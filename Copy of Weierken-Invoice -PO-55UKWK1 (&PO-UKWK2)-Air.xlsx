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3"/>
  <workbookPr/>
  <mc:AlternateContent xmlns:mc="http://schemas.openxmlformats.org/markup-compatibility/2006">
    <mc:Choice Requires="x15">
      <x15ac:absPath xmlns:x15ac="http://schemas.microsoft.com/office/spreadsheetml/2010/11/ac" url="/Users/bm/Downloads/"/>
    </mc:Choice>
  </mc:AlternateContent>
  <xr:revisionPtr revIDLastSave="0" documentId="13_ncr:1_{5803C987-D9F8-0345-96E0-2B6BDC893C80}" xr6:coauthVersionLast="47" xr6:coauthVersionMax="47" xr10:uidLastSave="{00000000-0000-0000-0000-000000000000}"/>
  <workbookProtection workbookAlgorithmName="SHA-512" workbookHashValue="JtCT5Vbf1DRsak4rffglpoHBFbqLrglZEOw92BP9Wncq0CD2jKZgjmzqeVieWjl0yrZllksxQjRGcs0cAZ2ZGg==" workbookSaltValue="xdClTFbaVG8FtPEgZp9LVw==" workbookSpinCount="100000" lockStructure="1"/>
  <bookViews>
    <workbookView xWindow="0" yWindow="660" windowWidth="26880" windowHeight="16300" xr2:uid="{00000000-000D-0000-FFFF-FFFF00000000}"/>
  </bookViews>
  <sheets>
    <sheet name="Invoice" sheetId="1" r:id="rId1"/>
    <sheet name="Packing List" sheetId="2" r:id="rId2"/>
    <sheet name="HS Codes" sheetId="10" state="hidden" r:id="rId3"/>
    <sheet name="SKU_LOOKUP" sheetId="11" state="hidden" r:id="rId4"/>
    <sheet name="Country" sheetId="13" state="hidden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56" i="11" l="1"/>
  <c r="L2556" i="11"/>
  <c r="K2556" i="11"/>
  <c r="J2556" i="11"/>
  <c r="I2556" i="11"/>
  <c r="H2556" i="11"/>
  <c r="G2556" i="11"/>
  <c r="F2556" i="11"/>
  <c r="M2555" i="11"/>
  <c r="L2555" i="11"/>
  <c r="K2555" i="11"/>
  <c r="J2555" i="11"/>
  <c r="I2555" i="11"/>
  <c r="H2555" i="11"/>
  <c r="G2555" i="11"/>
  <c r="F2555" i="11"/>
  <c r="M2554" i="11"/>
  <c r="L2554" i="11"/>
  <c r="K2554" i="11"/>
  <c r="J2554" i="11"/>
  <c r="I2554" i="11"/>
  <c r="H2554" i="11"/>
  <c r="G2554" i="11"/>
  <c r="F2554" i="11"/>
  <c r="M2553" i="11"/>
  <c r="L2553" i="11"/>
  <c r="K2553" i="11"/>
  <c r="J2553" i="11"/>
  <c r="I2553" i="11"/>
  <c r="H2553" i="11"/>
  <c r="G2553" i="11"/>
  <c r="F2553" i="11"/>
  <c r="M2552" i="11"/>
  <c r="L2552" i="11"/>
  <c r="K2552" i="11"/>
  <c r="J2552" i="11"/>
  <c r="I2552" i="11"/>
  <c r="H2552" i="11"/>
  <c r="G2552" i="11"/>
  <c r="F2552" i="11"/>
  <c r="M2551" i="11"/>
  <c r="L2551" i="11"/>
  <c r="K2551" i="11"/>
  <c r="J2551" i="11"/>
  <c r="I2551" i="11"/>
  <c r="H2551" i="11"/>
  <c r="G2551" i="11"/>
  <c r="F2551" i="11"/>
  <c r="M2550" i="11"/>
  <c r="L2550" i="11"/>
  <c r="K2550" i="11"/>
  <c r="J2550" i="11"/>
  <c r="I2550" i="11"/>
  <c r="H2550" i="11"/>
  <c r="G2550" i="11"/>
  <c r="F2550" i="11"/>
  <c r="M2549" i="11"/>
  <c r="L2549" i="11"/>
  <c r="K2549" i="11"/>
  <c r="J2549" i="11"/>
  <c r="I2549" i="11"/>
  <c r="H2549" i="11"/>
  <c r="G2549" i="11"/>
  <c r="F2549" i="11"/>
  <c r="M2548" i="11"/>
  <c r="L2548" i="11"/>
  <c r="K2548" i="11"/>
  <c r="J2548" i="11"/>
  <c r="I2548" i="11"/>
  <c r="H2548" i="11"/>
  <c r="G2548" i="11"/>
  <c r="F2548" i="11"/>
  <c r="M2547" i="11"/>
  <c r="L2547" i="11"/>
  <c r="K2547" i="11"/>
  <c r="J2547" i="11"/>
  <c r="I2547" i="11"/>
  <c r="H2547" i="11"/>
  <c r="G2547" i="11"/>
  <c r="F2547" i="11"/>
  <c r="M2546" i="11"/>
  <c r="L2546" i="11"/>
  <c r="K2546" i="11"/>
  <c r="J2546" i="11"/>
  <c r="I2546" i="11"/>
  <c r="H2546" i="11"/>
  <c r="G2546" i="11"/>
  <c r="F2546" i="11"/>
  <c r="M2545" i="11"/>
  <c r="L2545" i="11"/>
  <c r="K2545" i="11"/>
  <c r="J2545" i="11"/>
  <c r="I2545" i="11"/>
  <c r="H2545" i="11"/>
  <c r="G2545" i="11"/>
  <c r="F2545" i="11"/>
  <c r="M2544" i="11"/>
  <c r="L2544" i="11"/>
  <c r="K2544" i="11"/>
  <c r="J2544" i="11"/>
  <c r="I2544" i="11"/>
  <c r="H2544" i="11"/>
  <c r="G2544" i="11"/>
  <c r="F2544" i="11"/>
  <c r="M2543" i="11"/>
  <c r="L2543" i="11"/>
  <c r="K2543" i="11"/>
  <c r="J2543" i="11"/>
  <c r="I2543" i="11"/>
  <c r="H2543" i="11"/>
  <c r="G2543" i="11"/>
  <c r="F2543" i="11"/>
  <c r="M2542" i="11"/>
  <c r="L2542" i="11"/>
  <c r="K2542" i="11"/>
  <c r="J2542" i="11"/>
  <c r="I2542" i="11"/>
  <c r="H2542" i="11"/>
  <c r="G2542" i="11"/>
  <c r="F2542" i="11"/>
  <c r="M2541" i="11"/>
  <c r="L2541" i="11"/>
  <c r="K2541" i="11"/>
  <c r="J2541" i="11"/>
  <c r="I2541" i="11"/>
  <c r="H2541" i="11"/>
  <c r="G2541" i="11"/>
  <c r="F2541" i="11"/>
  <c r="M2540" i="11"/>
  <c r="L2540" i="11"/>
  <c r="K2540" i="11"/>
  <c r="J2540" i="11"/>
  <c r="I2540" i="11"/>
  <c r="H2540" i="11"/>
  <c r="G2540" i="11"/>
  <c r="F2540" i="11"/>
  <c r="M2539" i="11"/>
  <c r="L2539" i="11"/>
  <c r="K2539" i="11"/>
  <c r="J2539" i="11"/>
  <c r="I2539" i="11"/>
  <c r="H2539" i="11"/>
  <c r="G2539" i="11"/>
  <c r="F2539" i="11"/>
  <c r="M2538" i="11"/>
  <c r="L2538" i="11"/>
  <c r="K2538" i="11"/>
  <c r="J2538" i="11"/>
  <c r="I2538" i="11"/>
  <c r="H2538" i="11"/>
  <c r="G2538" i="11"/>
  <c r="F2538" i="11"/>
  <c r="M2537" i="11"/>
  <c r="L2537" i="11"/>
  <c r="K2537" i="11"/>
  <c r="J2537" i="11"/>
  <c r="I2537" i="11"/>
  <c r="H2537" i="11"/>
  <c r="G2537" i="11"/>
  <c r="F2537" i="11"/>
  <c r="M2536" i="11"/>
  <c r="L2536" i="11"/>
  <c r="K2536" i="11"/>
  <c r="J2536" i="11"/>
  <c r="I2536" i="11"/>
  <c r="H2536" i="11"/>
  <c r="G2536" i="11"/>
  <c r="F2536" i="11"/>
  <c r="M2535" i="11"/>
  <c r="L2535" i="11"/>
  <c r="K2535" i="11"/>
  <c r="J2535" i="11"/>
  <c r="I2535" i="11"/>
  <c r="H2535" i="11"/>
  <c r="G2535" i="11"/>
  <c r="F2535" i="11"/>
  <c r="M2534" i="11"/>
  <c r="L2534" i="11"/>
  <c r="K2534" i="11"/>
  <c r="J2534" i="11"/>
  <c r="I2534" i="11"/>
  <c r="H2534" i="11"/>
  <c r="G2534" i="11"/>
  <c r="F2534" i="11"/>
  <c r="M2533" i="11"/>
  <c r="L2533" i="11"/>
  <c r="K2533" i="11"/>
  <c r="J2533" i="11"/>
  <c r="I2533" i="11"/>
  <c r="H2533" i="11"/>
  <c r="G2533" i="11"/>
  <c r="F2533" i="11"/>
  <c r="M2532" i="11"/>
  <c r="L2532" i="11"/>
  <c r="K2532" i="11"/>
  <c r="J2532" i="11"/>
  <c r="I2532" i="11"/>
  <c r="H2532" i="11"/>
  <c r="G2532" i="11"/>
  <c r="F2532" i="11"/>
  <c r="M2531" i="11"/>
  <c r="L2531" i="11"/>
  <c r="K2531" i="11"/>
  <c r="J2531" i="11"/>
  <c r="I2531" i="11"/>
  <c r="H2531" i="11"/>
  <c r="G2531" i="11"/>
  <c r="F2531" i="11"/>
  <c r="M2530" i="11"/>
  <c r="L2530" i="11"/>
  <c r="K2530" i="11"/>
  <c r="J2530" i="11"/>
  <c r="I2530" i="11"/>
  <c r="H2530" i="11"/>
  <c r="G2530" i="11"/>
  <c r="F2530" i="11"/>
  <c r="M2529" i="11"/>
  <c r="L2529" i="11"/>
  <c r="K2529" i="11"/>
  <c r="J2529" i="11"/>
  <c r="I2529" i="11"/>
  <c r="H2529" i="11"/>
  <c r="G2529" i="11"/>
  <c r="F2529" i="11"/>
  <c r="M2528" i="11"/>
  <c r="L2528" i="11"/>
  <c r="K2528" i="11"/>
  <c r="J2528" i="11"/>
  <c r="I2528" i="11"/>
  <c r="H2528" i="11"/>
  <c r="G2528" i="11"/>
  <c r="F2528" i="11"/>
  <c r="M2527" i="11"/>
  <c r="L2527" i="11"/>
  <c r="K2527" i="11"/>
  <c r="J2527" i="11"/>
  <c r="I2527" i="11"/>
  <c r="H2527" i="11"/>
  <c r="G2527" i="11"/>
  <c r="F2527" i="11"/>
  <c r="M2526" i="11"/>
  <c r="L2526" i="11"/>
  <c r="K2526" i="11"/>
  <c r="J2526" i="11"/>
  <c r="I2526" i="11"/>
  <c r="H2526" i="11"/>
  <c r="G2526" i="11"/>
  <c r="F2526" i="11"/>
  <c r="M2525" i="11"/>
  <c r="L2525" i="11"/>
  <c r="K2525" i="11"/>
  <c r="J2525" i="11"/>
  <c r="I2525" i="11"/>
  <c r="H2525" i="11"/>
  <c r="G2525" i="11"/>
  <c r="F2525" i="11"/>
  <c r="M2524" i="11"/>
  <c r="L2524" i="11"/>
  <c r="K2524" i="11"/>
  <c r="J2524" i="11"/>
  <c r="I2524" i="11"/>
  <c r="H2524" i="11"/>
  <c r="G2524" i="11"/>
  <c r="F2524" i="11"/>
  <c r="M2523" i="11"/>
  <c r="L2523" i="11"/>
  <c r="K2523" i="11"/>
  <c r="J2523" i="11"/>
  <c r="I2523" i="11"/>
  <c r="H2523" i="11"/>
  <c r="G2523" i="11"/>
  <c r="F2523" i="11"/>
  <c r="M2522" i="11"/>
  <c r="L2522" i="11"/>
  <c r="K2522" i="11"/>
  <c r="J2522" i="11"/>
  <c r="I2522" i="11"/>
  <c r="H2522" i="11"/>
  <c r="G2522" i="11"/>
  <c r="F2522" i="11"/>
  <c r="M2521" i="11"/>
  <c r="L2521" i="11"/>
  <c r="K2521" i="11"/>
  <c r="J2521" i="11"/>
  <c r="I2521" i="11"/>
  <c r="H2521" i="11"/>
  <c r="G2521" i="11"/>
  <c r="F2521" i="11"/>
  <c r="M2520" i="11"/>
  <c r="L2520" i="11"/>
  <c r="K2520" i="11"/>
  <c r="J2520" i="11"/>
  <c r="I2520" i="11"/>
  <c r="H2520" i="11"/>
  <c r="G2520" i="11"/>
  <c r="F2520" i="11"/>
  <c r="M2519" i="11"/>
  <c r="L2519" i="11"/>
  <c r="K2519" i="11"/>
  <c r="J2519" i="11"/>
  <c r="I2519" i="11"/>
  <c r="H2519" i="11"/>
  <c r="G2519" i="11"/>
  <c r="F2519" i="11"/>
  <c r="M2518" i="11"/>
  <c r="L2518" i="11"/>
  <c r="K2518" i="11"/>
  <c r="J2518" i="11"/>
  <c r="I2518" i="11"/>
  <c r="H2518" i="11"/>
  <c r="G2518" i="11"/>
  <c r="F2518" i="11"/>
  <c r="M2517" i="11"/>
  <c r="L2517" i="11"/>
  <c r="K2517" i="11"/>
  <c r="J2517" i="11"/>
  <c r="I2517" i="11"/>
  <c r="H2517" i="11"/>
  <c r="G2517" i="11"/>
  <c r="F2517" i="11"/>
  <c r="M2516" i="11"/>
  <c r="L2516" i="11"/>
  <c r="K2516" i="11"/>
  <c r="J2516" i="11"/>
  <c r="I2516" i="11"/>
  <c r="H2516" i="11"/>
  <c r="G2516" i="11"/>
  <c r="F2516" i="11"/>
  <c r="M2515" i="11"/>
  <c r="L2515" i="11"/>
  <c r="K2515" i="11"/>
  <c r="J2515" i="11"/>
  <c r="I2515" i="11"/>
  <c r="H2515" i="11"/>
  <c r="G2515" i="11"/>
  <c r="F2515" i="11"/>
  <c r="M2514" i="11"/>
  <c r="L2514" i="11"/>
  <c r="K2514" i="11"/>
  <c r="J2514" i="11"/>
  <c r="I2514" i="11"/>
  <c r="H2514" i="11"/>
  <c r="G2514" i="11"/>
  <c r="F2514" i="11"/>
  <c r="M2513" i="11"/>
  <c r="L2513" i="11"/>
  <c r="K2513" i="11"/>
  <c r="J2513" i="11"/>
  <c r="I2513" i="11"/>
  <c r="H2513" i="11"/>
  <c r="G2513" i="11"/>
  <c r="F2513" i="11"/>
  <c r="M2512" i="11"/>
  <c r="L2512" i="11"/>
  <c r="K2512" i="11"/>
  <c r="J2512" i="11"/>
  <c r="I2512" i="11"/>
  <c r="H2512" i="11"/>
  <c r="G2512" i="11"/>
  <c r="F2512" i="11"/>
  <c r="M2511" i="11"/>
  <c r="L2511" i="11"/>
  <c r="K2511" i="11"/>
  <c r="J2511" i="11"/>
  <c r="I2511" i="11"/>
  <c r="H2511" i="11"/>
  <c r="G2511" i="11"/>
  <c r="F2511" i="11"/>
  <c r="M2510" i="11"/>
  <c r="L2510" i="11"/>
  <c r="K2510" i="11"/>
  <c r="J2510" i="11"/>
  <c r="I2510" i="11"/>
  <c r="H2510" i="11"/>
  <c r="G2510" i="11"/>
  <c r="F2510" i="11"/>
  <c r="M2509" i="11"/>
  <c r="L2509" i="11"/>
  <c r="K2509" i="11"/>
  <c r="J2509" i="11"/>
  <c r="I2509" i="11"/>
  <c r="H2509" i="11"/>
  <c r="G2509" i="11"/>
  <c r="F2509" i="11"/>
  <c r="M2508" i="11"/>
  <c r="L2508" i="11"/>
  <c r="K2508" i="11"/>
  <c r="J2508" i="11"/>
  <c r="I2508" i="11"/>
  <c r="H2508" i="11"/>
  <c r="G2508" i="11"/>
  <c r="F2508" i="11"/>
  <c r="M2507" i="11"/>
  <c r="L2507" i="11"/>
  <c r="K2507" i="11"/>
  <c r="J2507" i="11"/>
  <c r="I2507" i="11"/>
  <c r="H2507" i="11"/>
  <c r="G2507" i="11"/>
  <c r="F2507" i="11"/>
  <c r="M2506" i="11"/>
  <c r="L2506" i="11"/>
  <c r="K2506" i="11"/>
  <c r="J2506" i="11"/>
  <c r="I2506" i="11"/>
  <c r="H2506" i="11"/>
  <c r="G2506" i="11"/>
  <c r="F2506" i="11"/>
  <c r="M2505" i="11"/>
  <c r="L2505" i="11"/>
  <c r="K2505" i="11"/>
  <c r="J2505" i="11"/>
  <c r="I2505" i="11"/>
  <c r="H2505" i="11"/>
  <c r="G2505" i="11"/>
  <c r="F2505" i="11"/>
  <c r="M2504" i="11"/>
  <c r="L2504" i="11"/>
  <c r="K2504" i="11"/>
  <c r="J2504" i="11"/>
  <c r="I2504" i="11"/>
  <c r="H2504" i="11"/>
  <c r="G2504" i="11"/>
  <c r="F2504" i="11"/>
  <c r="M2503" i="11"/>
  <c r="L2503" i="11"/>
  <c r="K2503" i="11"/>
  <c r="J2503" i="11"/>
  <c r="I2503" i="11"/>
  <c r="H2503" i="11"/>
  <c r="G2503" i="11"/>
  <c r="F2503" i="11"/>
  <c r="M2502" i="11"/>
  <c r="L2502" i="11"/>
  <c r="K2502" i="11"/>
  <c r="J2502" i="11"/>
  <c r="I2502" i="11"/>
  <c r="H2502" i="11"/>
  <c r="G2502" i="11"/>
  <c r="F2502" i="11"/>
  <c r="M2501" i="11"/>
  <c r="L2501" i="11"/>
  <c r="K2501" i="11"/>
  <c r="J2501" i="11"/>
  <c r="I2501" i="11"/>
  <c r="H2501" i="11"/>
  <c r="G2501" i="11"/>
  <c r="F2501" i="11"/>
  <c r="M2500" i="11"/>
  <c r="L2500" i="11"/>
  <c r="K2500" i="11"/>
  <c r="J2500" i="11"/>
  <c r="I2500" i="11"/>
  <c r="H2500" i="11"/>
  <c r="G2500" i="11"/>
  <c r="F2500" i="11"/>
  <c r="M2499" i="11"/>
  <c r="L2499" i="11"/>
  <c r="K2499" i="11"/>
  <c r="J2499" i="11"/>
  <c r="I2499" i="11"/>
  <c r="H2499" i="11"/>
  <c r="G2499" i="11"/>
  <c r="F2499" i="11"/>
  <c r="M2498" i="11"/>
  <c r="L2498" i="11"/>
  <c r="K2498" i="11"/>
  <c r="J2498" i="11"/>
  <c r="I2498" i="11"/>
  <c r="H2498" i="11"/>
  <c r="G2498" i="11"/>
  <c r="F2498" i="11"/>
  <c r="M2497" i="11"/>
  <c r="L2497" i="11"/>
  <c r="K2497" i="11"/>
  <c r="J2497" i="11"/>
  <c r="I2497" i="11"/>
  <c r="H2497" i="11"/>
  <c r="G2497" i="11"/>
  <c r="F2497" i="11"/>
  <c r="M2496" i="11"/>
  <c r="L2496" i="11"/>
  <c r="K2496" i="11"/>
  <c r="J2496" i="11"/>
  <c r="I2496" i="11"/>
  <c r="H2496" i="11"/>
  <c r="G2496" i="11"/>
  <c r="F2496" i="11"/>
  <c r="M2495" i="11"/>
  <c r="L2495" i="11"/>
  <c r="K2495" i="11"/>
  <c r="J2495" i="11"/>
  <c r="I2495" i="11"/>
  <c r="H2495" i="11"/>
  <c r="G2495" i="11"/>
  <c r="F2495" i="11"/>
  <c r="M2494" i="11"/>
  <c r="L2494" i="11"/>
  <c r="K2494" i="11"/>
  <c r="J2494" i="11"/>
  <c r="I2494" i="11"/>
  <c r="H2494" i="11"/>
  <c r="G2494" i="11"/>
  <c r="F2494" i="11"/>
  <c r="M2493" i="11"/>
  <c r="L2493" i="11"/>
  <c r="K2493" i="11"/>
  <c r="J2493" i="11"/>
  <c r="I2493" i="11"/>
  <c r="H2493" i="11"/>
  <c r="G2493" i="11"/>
  <c r="F2493" i="11"/>
  <c r="M2492" i="11"/>
  <c r="L2492" i="11"/>
  <c r="K2492" i="11"/>
  <c r="J2492" i="11"/>
  <c r="I2492" i="11"/>
  <c r="H2492" i="11"/>
  <c r="G2492" i="11"/>
  <c r="F2492" i="11"/>
  <c r="M2491" i="11"/>
  <c r="L2491" i="11"/>
  <c r="K2491" i="11"/>
  <c r="J2491" i="11"/>
  <c r="I2491" i="11"/>
  <c r="H2491" i="11"/>
  <c r="G2491" i="11"/>
  <c r="F2491" i="11"/>
  <c r="M2490" i="11"/>
  <c r="L2490" i="11"/>
  <c r="K2490" i="11"/>
  <c r="J2490" i="11"/>
  <c r="I2490" i="11"/>
  <c r="H2490" i="11"/>
  <c r="G2490" i="11"/>
  <c r="F2490" i="11"/>
  <c r="M2489" i="11"/>
  <c r="L2489" i="11"/>
  <c r="K2489" i="11"/>
  <c r="J2489" i="11"/>
  <c r="I2489" i="11"/>
  <c r="H2489" i="11"/>
  <c r="G2489" i="11"/>
  <c r="F2489" i="11"/>
  <c r="M2488" i="11"/>
  <c r="L2488" i="11"/>
  <c r="K2488" i="11"/>
  <c r="J2488" i="11"/>
  <c r="I2488" i="11"/>
  <c r="H2488" i="11"/>
  <c r="G2488" i="11"/>
  <c r="F2488" i="11"/>
  <c r="M2487" i="11"/>
  <c r="L2487" i="11"/>
  <c r="K2487" i="11"/>
  <c r="J2487" i="11"/>
  <c r="I2487" i="11"/>
  <c r="H2487" i="11"/>
  <c r="G2487" i="11"/>
  <c r="F2487" i="11"/>
  <c r="M2486" i="11"/>
  <c r="L2486" i="11"/>
  <c r="K2486" i="11"/>
  <c r="J2486" i="11"/>
  <c r="I2486" i="11"/>
  <c r="H2486" i="11"/>
  <c r="G2486" i="11"/>
  <c r="F2486" i="11"/>
  <c r="M2485" i="11"/>
  <c r="L2485" i="11"/>
  <c r="K2485" i="11"/>
  <c r="J2485" i="11"/>
  <c r="I2485" i="11"/>
  <c r="H2485" i="11"/>
  <c r="G2485" i="11"/>
  <c r="F2485" i="11"/>
  <c r="M2484" i="11"/>
  <c r="L2484" i="11"/>
  <c r="K2484" i="11"/>
  <c r="J2484" i="11"/>
  <c r="I2484" i="11"/>
  <c r="H2484" i="11"/>
  <c r="G2484" i="11"/>
  <c r="F2484" i="11"/>
  <c r="M2483" i="11"/>
  <c r="L2483" i="11"/>
  <c r="K2483" i="11"/>
  <c r="J2483" i="11"/>
  <c r="I2483" i="11"/>
  <c r="H2483" i="11"/>
  <c r="G2483" i="11"/>
  <c r="F2483" i="11"/>
  <c r="M2482" i="11"/>
  <c r="L2482" i="11"/>
  <c r="K2482" i="11"/>
  <c r="J2482" i="11"/>
  <c r="I2482" i="11"/>
  <c r="H2482" i="11"/>
  <c r="G2482" i="11"/>
  <c r="F2482" i="11"/>
  <c r="M2481" i="11"/>
  <c r="L2481" i="11"/>
  <c r="K2481" i="11"/>
  <c r="J2481" i="11"/>
  <c r="I2481" i="11"/>
  <c r="H2481" i="11"/>
  <c r="G2481" i="11"/>
  <c r="F2481" i="11"/>
  <c r="M2480" i="11"/>
  <c r="L2480" i="11"/>
  <c r="K2480" i="11"/>
  <c r="J2480" i="11"/>
  <c r="I2480" i="11"/>
  <c r="H2480" i="11"/>
  <c r="G2480" i="11"/>
  <c r="F2480" i="11"/>
  <c r="M2479" i="11"/>
  <c r="L2479" i="11"/>
  <c r="K2479" i="11"/>
  <c r="J2479" i="11"/>
  <c r="I2479" i="11"/>
  <c r="H2479" i="11"/>
  <c r="G2479" i="11"/>
  <c r="F2479" i="11"/>
  <c r="M2478" i="11"/>
  <c r="L2478" i="11"/>
  <c r="K2478" i="11"/>
  <c r="J2478" i="11"/>
  <c r="I2478" i="11"/>
  <c r="H2478" i="11"/>
  <c r="G2478" i="11"/>
  <c r="F2478" i="11"/>
  <c r="M2477" i="11"/>
  <c r="L2477" i="11"/>
  <c r="K2477" i="11"/>
  <c r="J2477" i="11"/>
  <c r="I2477" i="11"/>
  <c r="H2477" i="11"/>
  <c r="G2477" i="11"/>
  <c r="F2477" i="11"/>
  <c r="M2476" i="11"/>
  <c r="L2476" i="11"/>
  <c r="K2476" i="11"/>
  <c r="J2476" i="11"/>
  <c r="I2476" i="11"/>
  <c r="H2476" i="11"/>
  <c r="G2476" i="11"/>
  <c r="F2476" i="11"/>
  <c r="M2475" i="11"/>
  <c r="L2475" i="11"/>
  <c r="K2475" i="11"/>
  <c r="J2475" i="11"/>
  <c r="I2475" i="11"/>
  <c r="H2475" i="11"/>
  <c r="G2475" i="11"/>
  <c r="F2475" i="11"/>
  <c r="M2474" i="11"/>
  <c r="L2474" i="11"/>
  <c r="K2474" i="11"/>
  <c r="J2474" i="11"/>
  <c r="I2474" i="11"/>
  <c r="H2474" i="11"/>
  <c r="G2474" i="11"/>
  <c r="F2474" i="11"/>
  <c r="M2473" i="11"/>
  <c r="L2473" i="11"/>
  <c r="K2473" i="11"/>
  <c r="J2473" i="11"/>
  <c r="I2473" i="11"/>
  <c r="H2473" i="11"/>
  <c r="G2473" i="11"/>
  <c r="F2473" i="11"/>
  <c r="M2472" i="11"/>
  <c r="L2472" i="11"/>
  <c r="K2472" i="11"/>
  <c r="J2472" i="11"/>
  <c r="I2472" i="11"/>
  <c r="H2472" i="11"/>
  <c r="G2472" i="11"/>
  <c r="F2472" i="11"/>
  <c r="M2471" i="11"/>
  <c r="L2471" i="11"/>
  <c r="K2471" i="11"/>
  <c r="J2471" i="11"/>
  <c r="I2471" i="11"/>
  <c r="H2471" i="11"/>
  <c r="G2471" i="11"/>
  <c r="F2471" i="11"/>
  <c r="M2470" i="11"/>
  <c r="L2470" i="11"/>
  <c r="K2470" i="11"/>
  <c r="J2470" i="11"/>
  <c r="I2470" i="11"/>
  <c r="H2470" i="11"/>
  <c r="G2470" i="11"/>
  <c r="F2470" i="11"/>
  <c r="M2469" i="11"/>
  <c r="L2469" i="11"/>
  <c r="K2469" i="11"/>
  <c r="J2469" i="11"/>
  <c r="I2469" i="11"/>
  <c r="H2469" i="11"/>
  <c r="G2469" i="11"/>
  <c r="F2469" i="11"/>
  <c r="M2468" i="11"/>
  <c r="L2468" i="11"/>
  <c r="K2468" i="11"/>
  <c r="J2468" i="11"/>
  <c r="I2468" i="11"/>
  <c r="H2468" i="11"/>
  <c r="G2468" i="11"/>
  <c r="F2468" i="11"/>
  <c r="M2467" i="11"/>
  <c r="L2467" i="11"/>
  <c r="K2467" i="11"/>
  <c r="J2467" i="11"/>
  <c r="I2467" i="11"/>
  <c r="H2467" i="11"/>
  <c r="G2467" i="11"/>
  <c r="F2467" i="11"/>
  <c r="M2466" i="11"/>
  <c r="L2466" i="11"/>
  <c r="K2466" i="11"/>
  <c r="J2466" i="11"/>
  <c r="I2466" i="11"/>
  <c r="H2466" i="11"/>
  <c r="G2466" i="11"/>
  <c r="F2466" i="11"/>
  <c r="M2465" i="11"/>
  <c r="L2465" i="11"/>
  <c r="K2465" i="11"/>
  <c r="J2465" i="11"/>
  <c r="I2465" i="11"/>
  <c r="H2465" i="11"/>
  <c r="G2465" i="11"/>
  <c r="F2465" i="11"/>
  <c r="M2464" i="11"/>
  <c r="L2464" i="11"/>
  <c r="K2464" i="11"/>
  <c r="J2464" i="11"/>
  <c r="I2464" i="11"/>
  <c r="H2464" i="11"/>
  <c r="G2464" i="11"/>
  <c r="F2464" i="11"/>
  <c r="M2463" i="11"/>
  <c r="L2463" i="11"/>
  <c r="K2463" i="11"/>
  <c r="J2463" i="11"/>
  <c r="I2463" i="11"/>
  <c r="H2463" i="11"/>
  <c r="G2463" i="11"/>
  <c r="F2463" i="11"/>
  <c r="M2462" i="11"/>
  <c r="L2462" i="11"/>
  <c r="K2462" i="11"/>
  <c r="J2462" i="11"/>
  <c r="I2462" i="11"/>
  <c r="H2462" i="11"/>
  <c r="G2462" i="11"/>
  <c r="F2462" i="11"/>
  <c r="M2461" i="11"/>
  <c r="L2461" i="11"/>
  <c r="K2461" i="11"/>
  <c r="J2461" i="11"/>
  <c r="I2461" i="11"/>
  <c r="H2461" i="11"/>
  <c r="G2461" i="11"/>
  <c r="F2461" i="11"/>
  <c r="M2460" i="11"/>
  <c r="L2460" i="11"/>
  <c r="K2460" i="11"/>
  <c r="J2460" i="11"/>
  <c r="I2460" i="11"/>
  <c r="H2460" i="11"/>
  <c r="G2460" i="11"/>
  <c r="F2460" i="11"/>
  <c r="M2459" i="11"/>
  <c r="L2459" i="11"/>
  <c r="K2459" i="11"/>
  <c r="J2459" i="11"/>
  <c r="I2459" i="11"/>
  <c r="H2459" i="11"/>
  <c r="G2459" i="11"/>
  <c r="F2459" i="11"/>
  <c r="M2458" i="11"/>
  <c r="L2458" i="11"/>
  <c r="K2458" i="11"/>
  <c r="J2458" i="11"/>
  <c r="I2458" i="11"/>
  <c r="H2458" i="11"/>
  <c r="G2458" i="11"/>
  <c r="F2458" i="11"/>
  <c r="M2457" i="11"/>
  <c r="L2457" i="11"/>
  <c r="K2457" i="11"/>
  <c r="J2457" i="11"/>
  <c r="I2457" i="11"/>
  <c r="H2457" i="11"/>
  <c r="G2457" i="11"/>
  <c r="F2457" i="11"/>
  <c r="M2456" i="11"/>
  <c r="L2456" i="11"/>
  <c r="K2456" i="11"/>
  <c r="J2456" i="11"/>
  <c r="I2456" i="11"/>
  <c r="H2456" i="11"/>
  <c r="G2456" i="11"/>
  <c r="F2456" i="11"/>
  <c r="M2455" i="11"/>
  <c r="L2455" i="11"/>
  <c r="K2455" i="11"/>
  <c r="J2455" i="11"/>
  <c r="I2455" i="11"/>
  <c r="H2455" i="11"/>
  <c r="G2455" i="11"/>
  <c r="F2455" i="11"/>
  <c r="M2454" i="11"/>
  <c r="L2454" i="11"/>
  <c r="K2454" i="11"/>
  <c r="J2454" i="11"/>
  <c r="I2454" i="11"/>
  <c r="H2454" i="11"/>
  <c r="G2454" i="11"/>
  <c r="F2454" i="11"/>
  <c r="M2453" i="11"/>
  <c r="L2453" i="11"/>
  <c r="K2453" i="11"/>
  <c r="J2453" i="11"/>
  <c r="I2453" i="11"/>
  <c r="H2453" i="11"/>
  <c r="G2453" i="11"/>
  <c r="F2453" i="11"/>
  <c r="M2452" i="11"/>
  <c r="L2452" i="11"/>
  <c r="K2452" i="11"/>
  <c r="J2452" i="11"/>
  <c r="I2452" i="11"/>
  <c r="H2452" i="11"/>
  <c r="G2452" i="11"/>
  <c r="F2452" i="11"/>
  <c r="M2451" i="11"/>
  <c r="L2451" i="11"/>
  <c r="K2451" i="11"/>
  <c r="J2451" i="11"/>
  <c r="I2451" i="11"/>
  <c r="H2451" i="11"/>
  <c r="G2451" i="11"/>
  <c r="F2451" i="11"/>
  <c r="M2450" i="11"/>
  <c r="L2450" i="11"/>
  <c r="K2450" i="11"/>
  <c r="J2450" i="11"/>
  <c r="I2450" i="11"/>
  <c r="H2450" i="11"/>
  <c r="G2450" i="11"/>
  <c r="F2450" i="11"/>
  <c r="M2449" i="11"/>
  <c r="L2449" i="11"/>
  <c r="K2449" i="11"/>
  <c r="J2449" i="11"/>
  <c r="I2449" i="11"/>
  <c r="H2449" i="11"/>
  <c r="G2449" i="11"/>
  <c r="F2449" i="11"/>
  <c r="M2448" i="11"/>
  <c r="L2448" i="11"/>
  <c r="K2448" i="11"/>
  <c r="J2448" i="11"/>
  <c r="I2448" i="11"/>
  <c r="H2448" i="11"/>
  <c r="G2448" i="11"/>
  <c r="F2448" i="11"/>
  <c r="M2447" i="11"/>
  <c r="L2447" i="11"/>
  <c r="K2447" i="11"/>
  <c r="J2447" i="11"/>
  <c r="I2447" i="11"/>
  <c r="H2447" i="11"/>
  <c r="G2447" i="11"/>
  <c r="F2447" i="11"/>
  <c r="M2446" i="11"/>
  <c r="L2446" i="11"/>
  <c r="K2446" i="11"/>
  <c r="J2446" i="11"/>
  <c r="I2446" i="11"/>
  <c r="H2446" i="11"/>
  <c r="G2446" i="11"/>
  <c r="F2446" i="11"/>
  <c r="M2445" i="11"/>
  <c r="L2445" i="11"/>
  <c r="K2445" i="11"/>
  <c r="J2445" i="11"/>
  <c r="I2445" i="11"/>
  <c r="H2445" i="11"/>
  <c r="G2445" i="11"/>
  <c r="F2445" i="11"/>
  <c r="M2444" i="11"/>
  <c r="L2444" i="11"/>
  <c r="K2444" i="11"/>
  <c r="J2444" i="11"/>
  <c r="I2444" i="11"/>
  <c r="H2444" i="11"/>
  <c r="G2444" i="11"/>
  <c r="F2444" i="11"/>
  <c r="M2443" i="11"/>
  <c r="L2443" i="11"/>
  <c r="K2443" i="11"/>
  <c r="J2443" i="11"/>
  <c r="I2443" i="11"/>
  <c r="H2443" i="11"/>
  <c r="G2443" i="11"/>
  <c r="F2443" i="11"/>
  <c r="M2442" i="11"/>
  <c r="L2442" i="11"/>
  <c r="K2442" i="11"/>
  <c r="J2442" i="11"/>
  <c r="I2442" i="11"/>
  <c r="H2442" i="11"/>
  <c r="G2442" i="11"/>
  <c r="F2442" i="11"/>
  <c r="M2441" i="11"/>
  <c r="L2441" i="11"/>
  <c r="K2441" i="11"/>
  <c r="J2441" i="11"/>
  <c r="I2441" i="11"/>
  <c r="H2441" i="11"/>
  <c r="G2441" i="11"/>
  <c r="F2441" i="11"/>
  <c r="M2440" i="11"/>
  <c r="L2440" i="11"/>
  <c r="K2440" i="11"/>
  <c r="J2440" i="11"/>
  <c r="I2440" i="11"/>
  <c r="H2440" i="11"/>
  <c r="G2440" i="11"/>
  <c r="F2440" i="11"/>
  <c r="M2439" i="11"/>
  <c r="L2439" i="11"/>
  <c r="K2439" i="11"/>
  <c r="J2439" i="11"/>
  <c r="I2439" i="11"/>
  <c r="H2439" i="11"/>
  <c r="G2439" i="11"/>
  <c r="F2439" i="11"/>
  <c r="M2438" i="11"/>
  <c r="L2438" i="11"/>
  <c r="K2438" i="11"/>
  <c r="J2438" i="11"/>
  <c r="I2438" i="11"/>
  <c r="H2438" i="11"/>
  <c r="G2438" i="11"/>
  <c r="F2438" i="11"/>
  <c r="M2437" i="11"/>
  <c r="L2437" i="11"/>
  <c r="K2437" i="11"/>
  <c r="J2437" i="11"/>
  <c r="I2437" i="11"/>
  <c r="H2437" i="11"/>
  <c r="G2437" i="11"/>
  <c r="F2437" i="11"/>
  <c r="M2436" i="11"/>
  <c r="L2436" i="11"/>
  <c r="K2436" i="11"/>
  <c r="J2436" i="11"/>
  <c r="I2436" i="11"/>
  <c r="H2436" i="11"/>
  <c r="G2436" i="11"/>
  <c r="F2436" i="11"/>
  <c r="M2435" i="11"/>
  <c r="L2435" i="11"/>
  <c r="K2435" i="11"/>
  <c r="J2435" i="11"/>
  <c r="I2435" i="11"/>
  <c r="H2435" i="11"/>
  <c r="G2435" i="11"/>
  <c r="F2435" i="11"/>
  <c r="M2434" i="11"/>
  <c r="L2434" i="11"/>
  <c r="K2434" i="11"/>
  <c r="J2434" i="11"/>
  <c r="I2434" i="11"/>
  <c r="H2434" i="11"/>
  <c r="G2434" i="11"/>
  <c r="F2434" i="11"/>
  <c r="M2433" i="11"/>
  <c r="L2433" i="11"/>
  <c r="K2433" i="11"/>
  <c r="J2433" i="11"/>
  <c r="I2433" i="11"/>
  <c r="H2433" i="11"/>
  <c r="G2433" i="11"/>
  <c r="F2433" i="11"/>
  <c r="M2432" i="11"/>
  <c r="L2432" i="11"/>
  <c r="K2432" i="11"/>
  <c r="J2432" i="11"/>
  <c r="I2432" i="11"/>
  <c r="H2432" i="11"/>
  <c r="G2432" i="11"/>
  <c r="F2432" i="11"/>
  <c r="M2431" i="11"/>
  <c r="L2431" i="11"/>
  <c r="K2431" i="11"/>
  <c r="J2431" i="11"/>
  <c r="I2431" i="11"/>
  <c r="H2431" i="11"/>
  <c r="G2431" i="11"/>
  <c r="F2431" i="11"/>
  <c r="M2430" i="11"/>
  <c r="L2430" i="11"/>
  <c r="K2430" i="11"/>
  <c r="J2430" i="11"/>
  <c r="I2430" i="11"/>
  <c r="H2430" i="11"/>
  <c r="G2430" i="11"/>
  <c r="F2430" i="11"/>
  <c r="M2429" i="11"/>
  <c r="L2429" i="11"/>
  <c r="K2429" i="11"/>
  <c r="J2429" i="11"/>
  <c r="I2429" i="11"/>
  <c r="H2429" i="11"/>
  <c r="G2429" i="11"/>
  <c r="F2429" i="11"/>
  <c r="M2428" i="11"/>
  <c r="L2428" i="11"/>
  <c r="K2428" i="11"/>
  <c r="J2428" i="11"/>
  <c r="I2428" i="11"/>
  <c r="H2428" i="11"/>
  <c r="G2428" i="11"/>
  <c r="F2428" i="11"/>
  <c r="M2427" i="11"/>
  <c r="L2427" i="11"/>
  <c r="K2427" i="11"/>
  <c r="J2427" i="11"/>
  <c r="I2427" i="11"/>
  <c r="H2427" i="11"/>
  <c r="G2427" i="11"/>
  <c r="F2427" i="11"/>
  <c r="M2426" i="11"/>
  <c r="L2426" i="11"/>
  <c r="K2426" i="11"/>
  <c r="J2426" i="11"/>
  <c r="I2426" i="11"/>
  <c r="H2426" i="11"/>
  <c r="G2426" i="11"/>
  <c r="F2426" i="11"/>
  <c r="M2425" i="11"/>
  <c r="L2425" i="11"/>
  <c r="K2425" i="11"/>
  <c r="J2425" i="11"/>
  <c r="I2425" i="11"/>
  <c r="H2425" i="11"/>
  <c r="G2425" i="11"/>
  <c r="F2425" i="11"/>
  <c r="M2424" i="11"/>
  <c r="L2424" i="11"/>
  <c r="K2424" i="11"/>
  <c r="J2424" i="11"/>
  <c r="I2424" i="11"/>
  <c r="H2424" i="11"/>
  <c r="G2424" i="11"/>
  <c r="F2424" i="11"/>
  <c r="M2423" i="11"/>
  <c r="L2423" i="11"/>
  <c r="K2423" i="11"/>
  <c r="J2423" i="11"/>
  <c r="I2423" i="11"/>
  <c r="H2423" i="11"/>
  <c r="G2423" i="11"/>
  <c r="F2423" i="11"/>
  <c r="M2422" i="11"/>
  <c r="L2422" i="11"/>
  <c r="K2422" i="11"/>
  <c r="J2422" i="11"/>
  <c r="I2422" i="11"/>
  <c r="H2422" i="11"/>
  <c r="G2422" i="11"/>
  <c r="F2422" i="11"/>
  <c r="M2421" i="11"/>
  <c r="L2421" i="11"/>
  <c r="K2421" i="11"/>
  <c r="J2421" i="11"/>
  <c r="I2421" i="11"/>
  <c r="H2421" i="11"/>
  <c r="G2421" i="11"/>
  <c r="F2421" i="11"/>
  <c r="M2420" i="11"/>
  <c r="L2420" i="11"/>
  <c r="K2420" i="11"/>
  <c r="J2420" i="11"/>
  <c r="I2420" i="11"/>
  <c r="H2420" i="11"/>
  <c r="G2420" i="11"/>
  <c r="F2420" i="11"/>
  <c r="M2419" i="11"/>
  <c r="L2419" i="11"/>
  <c r="K2419" i="11"/>
  <c r="J2419" i="11"/>
  <c r="I2419" i="11"/>
  <c r="H2419" i="11"/>
  <c r="G2419" i="11"/>
  <c r="F2419" i="11"/>
  <c r="M2418" i="11"/>
  <c r="L2418" i="11"/>
  <c r="K2418" i="11"/>
  <c r="J2418" i="11"/>
  <c r="I2418" i="11"/>
  <c r="H2418" i="11"/>
  <c r="G2418" i="11"/>
  <c r="F2418" i="11"/>
  <c r="M2417" i="11"/>
  <c r="L2417" i="11"/>
  <c r="K2417" i="11"/>
  <c r="J2417" i="11"/>
  <c r="I2417" i="11"/>
  <c r="H2417" i="11"/>
  <c r="G2417" i="11"/>
  <c r="F2417" i="11"/>
  <c r="M2416" i="11"/>
  <c r="L2416" i="11"/>
  <c r="K2416" i="11"/>
  <c r="J2416" i="11"/>
  <c r="I2416" i="11"/>
  <c r="H2416" i="11"/>
  <c r="G2416" i="11"/>
  <c r="F2416" i="11"/>
  <c r="M2415" i="11"/>
  <c r="L2415" i="11"/>
  <c r="K2415" i="11"/>
  <c r="J2415" i="11"/>
  <c r="I2415" i="11"/>
  <c r="H2415" i="11"/>
  <c r="G2415" i="11"/>
  <c r="F2415" i="11"/>
  <c r="M2414" i="11"/>
  <c r="L2414" i="11"/>
  <c r="K2414" i="11"/>
  <c r="J2414" i="11"/>
  <c r="I2414" i="11"/>
  <c r="H2414" i="11"/>
  <c r="G2414" i="11"/>
  <c r="F2414" i="11"/>
  <c r="M2413" i="11"/>
  <c r="L2413" i="11"/>
  <c r="K2413" i="11"/>
  <c r="J2413" i="11"/>
  <c r="I2413" i="11"/>
  <c r="H2413" i="11"/>
  <c r="G2413" i="11"/>
  <c r="F2413" i="11"/>
  <c r="M2412" i="11"/>
  <c r="L2412" i="11"/>
  <c r="K2412" i="11"/>
  <c r="J2412" i="11"/>
  <c r="I2412" i="11"/>
  <c r="H2412" i="11"/>
  <c r="G2412" i="11"/>
  <c r="F2412" i="11"/>
  <c r="M2411" i="11"/>
  <c r="L2411" i="11"/>
  <c r="K2411" i="11"/>
  <c r="J2411" i="11"/>
  <c r="I2411" i="11"/>
  <c r="H2411" i="11"/>
  <c r="G2411" i="11"/>
  <c r="F2411" i="11"/>
  <c r="M2410" i="11"/>
  <c r="L2410" i="11"/>
  <c r="K2410" i="11"/>
  <c r="J2410" i="11"/>
  <c r="I2410" i="11"/>
  <c r="H2410" i="11"/>
  <c r="G2410" i="11"/>
  <c r="F2410" i="11"/>
  <c r="M2409" i="11"/>
  <c r="L2409" i="11"/>
  <c r="K2409" i="11"/>
  <c r="J2409" i="11"/>
  <c r="I2409" i="11"/>
  <c r="H2409" i="11"/>
  <c r="G2409" i="11"/>
  <c r="F2409" i="11"/>
  <c r="M2408" i="11"/>
  <c r="L2408" i="11"/>
  <c r="K2408" i="11"/>
  <c r="J2408" i="11"/>
  <c r="I2408" i="11"/>
  <c r="H2408" i="11"/>
  <c r="G2408" i="11"/>
  <c r="F2408" i="11"/>
  <c r="M2407" i="11"/>
  <c r="L2407" i="11"/>
  <c r="K2407" i="11"/>
  <c r="J2407" i="11"/>
  <c r="I2407" i="11"/>
  <c r="H2407" i="11"/>
  <c r="G2407" i="11"/>
  <c r="F2407" i="11"/>
  <c r="M2406" i="11"/>
  <c r="L2406" i="11"/>
  <c r="K2406" i="11"/>
  <c r="J2406" i="11"/>
  <c r="I2406" i="11"/>
  <c r="H2406" i="11"/>
  <c r="G2406" i="11"/>
  <c r="F2406" i="11"/>
  <c r="M2405" i="11"/>
  <c r="L2405" i="11"/>
  <c r="K2405" i="11"/>
  <c r="J2405" i="11"/>
  <c r="I2405" i="11"/>
  <c r="H2405" i="11"/>
  <c r="G2405" i="11"/>
  <c r="F2405" i="11"/>
  <c r="M2404" i="11"/>
  <c r="L2404" i="11"/>
  <c r="K2404" i="11"/>
  <c r="J2404" i="11"/>
  <c r="I2404" i="11"/>
  <c r="H2404" i="11"/>
  <c r="G2404" i="11"/>
  <c r="F2404" i="11"/>
  <c r="M2403" i="11"/>
  <c r="L2403" i="11"/>
  <c r="K2403" i="11"/>
  <c r="J2403" i="11"/>
  <c r="I2403" i="11"/>
  <c r="H2403" i="11"/>
  <c r="G2403" i="11"/>
  <c r="F2403" i="11"/>
  <c r="M2402" i="11"/>
  <c r="L2402" i="11"/>
  <c r="K2402" i="11"/>
  <c r="J2402" i="11"/>
  <c r="I2402" i="11"/>
  <c r="H2402" i="11"/>
  <c r="G2402" i="11"/>
  <c r="F2402" i="11"/>
  <c r="M2401" i="11"/>
  <c r="L2401" i="11"/>
  <c r="K2401" i="11"/>
  <c r="J2401" i="11"/>
  <c r="I2401" i="11"/>
  <c r="H2401" i="11"/>
  <c r="G2401" i="11"/>
  <c r="F2401" i="11"/>
  <c r="M2400" i="11"/>
  <c r="L2400" i="11"/>
  <c r="K2400" i="11"/>
  <c r="J2400" i="11"/>
  <c r="I2400" i="11"/>
  <c r="H2400" i="11"/>
  <c r="G2400" i="11"/>
  <c r="F2400" i="11"/>
  <c r="M2399" i="11"/>
  <c r="L2399" i="11"/>
  <c r="K2399" i="11"/>
  <c r="J2399" i="11"/>
  <c r="I2399" i="11"/>
  <c r="H2399" i="11"/>
  <c r="G2399" i="11"/>
  <c r="F2399" i="11"/>
  <c r="M2398" i="11"/>
  <c r="L2398" i="11"/>
  <c r="K2398" i="11"/>
  <c r="J2398" i="11"/>
  <c r="I2398" i="11"/>
  <c r="H2398" i="11"/>
  <c r="G2398" i="11"/>
  <c r="F2398" i="11"/>
  <c r="M2397" i="11"/>
  <c r="L2397" i="11"/>
  <c r="K2397" i="11"/>
  <c r="J2397" i="11"/>
  <c r="I2397" i="11"/>
  <c r="H2397" i="11"/>
  <c r="G2397" i="11"/>
  <c r="F2397" i="11"/>
  <c r="M2396" i="11"/>
  <c r="L2396" i="11"/>
  <c r="K2396" i="11"/>
  <c r="J2396" i="11"/>
  <c r="I2396" i="11"/>
  <c r="H2396" i="11"/>
  <c r="G2396" i="11"/>
  <c r="F2396" i="11"/>
  <c r="M2395" i="11"/>
  <c r="L2395" i="11"/>
  <c r="K2395" i="11"/>
  <c r="J2395" i="11"/>
  <c r="I2395" i="11"/>
  <c r="H2395" i="11"/>
  <c r="G2395" i="11"/>
  <c r="F2395" i="11"/>
  <c r="M2394" i="11"/>
  <c r="L2394" i="11"/>
  <c r="K2394" i="11"/>
  <c r="J2394" i="11"/>
  <c r="I2394" i="11"/>
  <c r="H2394" i="11"/>
  <c r="G2394" i="11"/>
  <c r="F2394" i="11"/>
  <c r="M2393" i="11"/>
  <c r="L2393" i="11"/>
  <c r="K2393" i="11"/>
  <c r="J2393" i="11"/>
  <c r="I2393" i="11"/>
  <c r="H2393" i="11"/>
  <c r="G2393" i="11"/>
  <c r="F2393" i="11"/>
  <c r="M2392" i="11"/>
  <c r="L2392" i="11"/>
  <c r="K2392" i="11"/>
  <c r="J2392" i="11"/>
  <c r="I2392" i="11"/>
  <c r="H2392" i="11"/>
  <c r="G2392" i="11"/>
  <c r="F2392" i="11"/>
  <c r="M2391" i="11"/>
  <c r="L2391" i="11"/>
  <c r="K2391" i="11"/>
  <c r="J2391" i="11"/>
  <c r="I2391" i="11"/>
  <c r="H2391" i="11"/>
  <c r="G2391" i="11"/>
  <c r="F2391" i="11"/>
  <c r="M2390" i="11"/>
  <c r="L2390" i="11"/>
  <c r="K2390" i="11"/>
  <c r="J2390" i="11"/>
  <c r="I2390" i="11"/>
  <c r="H2390" i="11"/>
  <c r="G2390" i="11"/>
  <c r="F2390" i="11"/>
  <c r="M2389" i="11"/>
  <c r="L2389" i="11"/>
  <c r="K2389" i="11"/>
  <c r="J2389" i="11"/>
  <c r="I2389" i="11"/>
  <c r="H2389" i="11"/>
  <c r="G2389" i="11"/>
  <c r="F2389" i="11"/>
  <c r="M2388" i="11"/>
  <c r="L2388" i="11"/>
  <c r="K2388" i="11"/>
  <c r="J2388" i="11"/>
  <c r="I2388" i="11"/>
  <c r="H2388" i="11"/>
  <c r="G2388" i="11"/>
  <c r="F2388" i="11"/>
  <c r="M2387" i="11"/>
  <c r="L2387" i="11"/>
  <c r="K2387" i="11"/>
  <c r="J2387" i="11"/>
  <c r="I2387" i="11"/>
  <c r="H2387" i="11"/>
  <c r="G2387" i="11"/>
  <c r="F2387" i="11"/>
  <c r="M2386" i="11"/>
  <c r="L2386" i="11"/>
  <c r="K2386" i="11"/>
  <c r="J2386" i="11"/>
  <c r="I2386" i="11"/>
  <c r="H2386" i="11"/>
  <c r="G2386" i="11"/>
  <c r="F2386" i="11"/>
  <c r="M2385" i="11"/>
  <c r="L2385" i="11"/>
  <c r="K2385" i="11"/>
  <c r="J2385" i="11"/>
  <c r="I2385" i="11"/>
  <c r="H2385" i="11"/>
  <c r="G2385" i="11"/>
  <c r="F2385" i="11"/>
  <c r="M2384" i="11"/>
  <c r="L2384" i="11"/>
  <c r="K2384" i="11"/>
  <c r="J2384" i="11"/>
  <c r="I2384" i="11"/>
  <c r="H2384" i="11"/>
  <c r="G2384" i="11"/>
  <c r="F2384" i="11"/>
  <c r="M2383" i="11"/>
  <c r="L2383" i="11"/>
  <c r="K2383" i="11"/>
  <c r="J2383" i="11"/>
  <c r="I2383" i="11"/>
  <c r="H2383" i="11"/>
  <c r="G2383" i="11"/>
  <c r="F2383" i="11"/>
  <c r="M2382" i="11"/>
  <c r="L2382" i="11"/>
  <c r="K2382" i="11"/>
  <c r="J2382" i="11"/>
  <c r="I2382" i="11"/>
  <c r="H2382" i="11"/>
  <c r="G2382" i="11"/>
  <c r="F2382" i="11"/>
  <c r="M2381" i="11"/>
  <c r="L2381" i="11"/>
  <c r="K2381" i="11"/>
  <c r="J2381" i="11"/>
  <c r="I2381" i="11"/>
  <c r="H2381" i="11"/>
  <c r="G2381" i="11"/>
  <c r="F2381" i="11"/>
  <c r="M2380" i="11"/>
  <c r="L2380" i="11"/>
  <c r="K2380" i="11"/>
  <c r="J2380" i="11"/>
  <c r="I2380" i="11"/>
  <c r="H2380" i="11"/>
  <c r="G2380" i="11"/>
  <c r="F2380" i="11"/>
  <c r="M2379" i="11"/>
  <c r="L2379" i="11"/>
  <c r="K2379" i="11"/>
  <c r="J2379" i="11"/>
  <c r="I2379" i="11"/>
  <c r="H2379" i="11"/>
  <c r="G2379" i="11"/>
  <c r="F2379" i="11"/>
  <c r="M2378" i="11"/>
  <c r="L2378" i="11"/>
  <c r="K2378" i="11"/>
  <c r="J2378" i="11"/>
  <c r="I2378" i="11"/>
  <c r="H2378" i="11"/>
  <c r="G2378" i="11"/>
  <c r="F2378" i="11"/>
  <c r="M2377" i="11"/>
  <c r="L2377" i="11"/>
  <c r="K2377" i="11"/>
  <c r="J2377" i="11"/>
  <c r="I2377" i="11"/>
  <c r="H2377" i="11"/>
  <c r="G2377" i="11"/>
  <c r="F2377" i="11"/>
  <c r="M2376" i="11"/>
  <c r="L2376" i="11"/>
  <c r="K2376" i="11"/>
  <c r="J2376" i="11"/>
  <c r="I2376" i="11"/>
  <c r="H2376" i="11"/>
  <c r="G2376" i="11"/>
  <c r="F2376" i="11"/>
  <c r="M2375" i="11"/>
  <c r="L2375" i="11"/>
  <c r="K2375" i="11"/>
  <c r="J2375" i="11"/>
  <c r="I2375" i="11"/>
  <c r="H2375" i="11"/>
  <c r="G2375" i="11"/>
  <c r="F2375" i="11"/>
  <c r="M2374" i="11"/>
  <c r="L2374" i="11"/>
  <c r="K2374" i="11"/>
  <c r="J2374" i="11"/>
  <c r="I2374" i="11"/>
  <c r="H2374" i="11"/>
  <c r="G2374" i="11"/>
  <c r="F2374" i="11"/>
  <c r="M2373" i="11"/>
  <c r="L2373" i="11"/>
  <c r="K2373" i="11"/>
  <c r="J2373" i="11"/>
  <c r="I2373" i="11"/>
  <c r="H2373" i="11"/>
  <c r="G2373" i="11"/>
  <c r="F2373" i="11"/>
  <c r="M2372" i="11"/>
  <c r="L2372" i="11"/>
  <c r="K2372" i="11"/>
  <c r="J2372" i="11"/>
  <c r="I2372" i="11"/>
  <c r="H2372" i="11"/>
  <c r="G2372" i="11"/>
  <c r="F2372" i="11"/>
  <c r="M2371" i="11"/>
  <c r="L2371" i="11"/>
  <c r="K2371" i="11"/>
  <c r="J2371" i="11"/>
  <c r="I2371" i="11"/>
  <c r="H2371" i="11"/>
  <c r="G2371" i="11"/>
  <c r="F2371" i="11"/>
  <c r="M2370" i="11"/>
  <c r="L2370" i="11"/>
  <c r="K2370" i="11"/>
  <c r="J2370" i="11"/>
  <c r="I2370" i="11"/>
  <c r="H2370" i="11"/>
  <c r="G2370" i="11"/>
  <c r="F2370" i="11"/>
  <c r="M2369" i="11"/>
  <c r="L2369" i="11"/>
  <c r="K2369" i="11"/>
  <c r="J2369" i="11"/>
  <c r="I2369" i="11"/>
  <c r="H2369" i="11"/>
  <c r="G2369" i="11"/>
  <c r="F2369" i="11"/>
  <c r="M2368" i="11"/>
  <c r="L2368" i="11"/>
  <c r="K2368" i="11"/>
  <c r="J2368" i="11"/>
  <c r="I2368" i="11"/>
  <c r="H2368" i="11"/>
  <c r="G2368" i="11"/>
  <c r="F2368" i="11"/>
  <c r="M2367" i="11"/>
  <c r="L2367" i="11"/>
  <c r="K2367" i="11"/>
  <c r="J2367" i="11"/>
  <c r="I2367" i="11"/>
  <c r="H2367" i="11"/>
  <c r="G2367" i="11"/>
  <c r="F2367" i="11"/>
  <c r="M2366" i="11"/>
  <c r="L2366" i="11"/>
  <c r="K2366" i="11"/>
  <c r="J2366" i="11"/>
  <c r="I2366" i="11"/>
  <c r="H2366" i="11"/>
  <c r="G2366" i="11"/>
  <c r="F2366" i="11"/>
  <c r="M2365" i="11"/>
  <c r="L2365" i="11"/>
  <c r="K2365" i="11"/>
  <c r="J2365" i="11"/>
  <c r="I2365" i="11"/>
  <c r="H2365" i="11"/>
  <c r="G2365" i="11"/>
  <c r="F2365" i="11"/>
  <c r="M2364" i="11"/>
  <c r="L2364" i="11"/>
  <c r="K2364" i="11"/>
  <c r="J2364" i="11"/>
  <c r="I2364" i="11"/>
  <c r="H2364" i="11"/>
  <c r="G2364" i="11"/>
  <c r="F2364" i="11"/>
  <c r="M2363" i="11"/>
  <c r="L2363" i="11"/>
  <c r="K2363" i="11"/>
  <c r="J2363" i="11"/>
  <c r="I2363" i="11"/>
  <c r="H2363" i="11"/>
  <c r="G2363" i="11"/>
  <c r="F2363" i="11"/>
  <c r="M2362" i="11"/>
  <c r="L2362" i="11"/>
  <c r="K2362" i="11"/>
  <c r="J2362" i="11"/>
  <c r="I2362" i="11"/>
  <c r="H2362" i="11"/>
  <c r="G2362" i="11"/>
  <c r="F2362" i="11"/>
  <c r="M2361" i="11"/>
  <c r="L2361" i="11"/>
  <c r="K2361" i="11"/>
  <c r="J2361" i="11"/>
  <c r="I2361" i="11"/>
  <c r="H2361" i="11"/>
  <c r="G2361" i="11"/>
  <c r="F2361" i="11"/>
  <c r="M2360" i="11"/>
  <c r="L2360" i="11"/>
  <c r="K2360" i="11"/>
  <c r="J2360" i="11"/>
  <c r="I2360" i="11"/>
  <c r="H2360" i="11"/>
  <c r="G2360" i="11"/>
  <c r="F2360" i="11"/>
  <c r="M2359" i="11"/>
  <c r="L2359" i="11"/>
  <c r="K2359" i="11"/>
  <c r="J2359" i="11"/>
  <c r="I2359" i="11"/>
  <c r="H2359" i="11"/>
  <c r="G2359" i="11"/>
  <c r="F2359" i="11"/>
  <c r="M2358" i="11"/>
  <c r="L2358" i="11"/>
  <c r="K2358" i="11"/>
  <c r="J2358" i="11"/>
  <c r="I2358" i="11"/>
  <c r="H2358" i="11"/>
  <c r="G2358" i="11"/>
  <c r="F2358" i="11"/>
  <c r="M2357" i="11"/>
  <c r="L2357" i="11"/>
  <c r="K2357" i="11"/>
  <c r="J2357" i="11"/>
  <c r="I2357" i="11"/>
  <c r="H2357" i="11"/>
  <c r="G2357" i="11"/>
  <c r="F2357" i="11"/>
  <c r="M2356" i="11"/>
  <c r="L2356" i="11"/>
  <c r="K2356" i="11"/>
  <c r="J2356" i="11"/>
  <c r="I2356" i="11"/>
  <c r="H2356" i="11"/>
  <c r="G2356" i="11"/>
  <c r="F2356" i="11"/>
  <c r="M2355" i="11"/>
  <c r="L2355" i="11"/>
  <c r="K2355" i="11"/>
  <c r="J2355" i="11"/>
  <c r="I2355" i="11"/>
  <c r="H2355" i="11"/>
  <c r="G2355" i="11"/>
  <c r="F2355" i="11"/>
  <c r="M2354" i="11"/>
  <c r="L2354" i="11"/>
  <c r="K2354" i="11"/>
  <c r="J2354" i="11"/>
  <c r="I2354" i="11"/>
  <c r="H2354" i="11"/>
  <c r="G2354" i="11"/>
  <c r="F2354" i="11"/>
  <c r="M2353" i="11"/>
  <c r="L2353" i="11"/>
  <c r="K2353" i="11"/>
  <c r="J2353" i="11"/>
  <c r="I2353" i="11"/>
  <c r="H2353" i="11"/>
  <c r="G2353" i="11"/>
  <c r="F2353" i="11"/>
  <c r="M2352" i="11"/>
  <c r="L2352" i="11"/>
  <c r="K2352" i="11"/>
  <c r="J2352" i="11"/>
  <c r="I2352" i="11"/>
  <c r="H2352" i="11"/>
  <c r="G2352" i="11"/>
  <c r="F2352" i="11"/>
  <c r="M2351" i="11"/>
  <c r="L2351" i="11"/>
  <c r="K2351" i="11"/>
  <c r="J2351" i="11"/>
  <c r="I2351" i="11"/>
  <c r="H2351" i="11"/>
  <c r="G2351" i="11"/>
  <c r="F2351" i="11"/>
  <c r="M2350" i="11"/>
  <c r="L2350" i="11"/>
  <c r="K2350" i="11"/>
  <c r="J2350" i="11"/>
  <c r="I2350" i="11"/>
  <c r="H2350" i="11"/>
  <c r="G2350" i="11"/>
  <c r="F2350" i="11"/>
  <c r="M2349" i="11"/>
  <c r="L2349" i="11"/>
  <c r="K2349" i="11"/>
  <c r="J2349" i="11"/>
  <c r="I2349" i="11"/>
  <c r="H2349" i="11"/>
  <c r="G2349" i="11"/>
  <c r="F2349" i="11"/>
  <c r="M2348" i="11"/>
  <c r="L2348" i="11"/>
  <c r="K2348" i="11"/>
  <c r="J2348" i="11"/>
  <c r="I2348" i="11"/>
  <c r="H2348" i="11"/>
  <c r="G2348" i="11"/>
  <c r="F2348" i="11"/>
  <c r="M2347" i="11"/>
  <c r="L2347" i="11"/>
  <c r="K2347" i="11"/>
  <c r="J2347" i="11"/>
  <c r="I2347" i="11"/>
  <c r="H2347" i="11"/>
  <c r="G2347" i="11"/>
  <c r="F2347" i="11"/>
  <c r="M2346" i="11"/>
  <c r="L2346" i="11"/>
  <c r="K2346" i="11"/>
  <c r="J2346" i="11"/>
  <c r="I2346" i="11"/>
  <c r="H2346" i="11"/>
  <c r="G2346" i="11"/>
  <c r="F2346" i="11"/>
  <c r="M2345" i="11"/>
  <c r="L2345" i="11"/>
  <c r="K2345" i="11"/>
  <c r="J2345" i="11"/>
  <c r="I2345" i="11"/>
  <c r="H2345" i="11"/>
  <c r="G2345" i="11"/>
  <c r="F2345" i="11"/>
  <c r="M2344" i="11"/>
  <c r="L2344" i="11"/>
  <c r="K2344" i="11"/>
  <c r="J2344" i="11"/>
  <c r="I2344" i="11"/>
  <c r="H2344" i="11"/>
  <c r="G2344" i="11"/>
  <c r="F2344" i="11"/>
  <c r="M2343" i="11"/>
  <c r="L2343" i="11"/>
  <c r="K2343" i="11"/>
  <c r="J2343" i="11"/>
  <c r="I2343" i="11"/>
  <c r="H2343" i="11"/>
  <c r="G2343" i="11"/>
  <c r="F2343" i="11"/>
  <c r="M2342" i="11"/>
  <c r="L2342" i="11"/>
  <c r="K2342" i="11"/>
  <c r="J2342" i="11"/>
  <c r="I2342" i="11"/>
  <c r="H2342" i="11"/>
  <c r="G2342" i="11"/>
  <c r="F2342" i="11"/>
  <c r="M2341" i="11"/>
  <c r="L2341" i="11"/>
  <c r="K2341" i="11"/>
  <c r="J2341" i="11"/>
  <c r="I2341" i="11"/>
  <c r="H2341" i="11"/>
  <c r="G2341" i="11"/>
  <c r="F2341" i="11"/>
  <c r="M2340" i="11"/>
  <c r="L2340" i="11"/>
  <c r="K2340" i="11"/>
  <c r="J2340" i="11"/>
  <c r="I2340" i="11"/>
  <c r="H2340" i="11"/>
  <c r="G2340" i="11"/>
  <c r="F2340" i="11"/>
  <c r="M2339" i="11"/>
  <c r="L2339" i="11"/>
  <c r="K2339" i="11"/>
  <c r="J2339" i="11"/>
  <c r="I2339" i="11"/>
  <c r="H2339" i="11"/>
  <c r="G2339" i="11"/>
  <c r="F2339" i="11"/>
  <c r="M2338" i="11"/>
  <c r="L2338" i="11"/>
  <c r="K2338" i="11"/>
  <c r="J2338" i="11"/>
  <c r="I2338" i="11"/>
  <c r="H2338" i="11"/>
  <c r="G2338" i="11"/>
  <c r="F2338" i="11"/>
  <c r="M2337" i="11"/>
  <c r="L2337" i="11"/>
  <c r="K2337" i="11"/>
  <c r="J2337" i="11"/>
  <c r="I2337" i="11"/>
  <c r="H2337" i="11"/>
  <c r="G2337" i="11"/>
  <c r="F2337" i="11"/>
  <c r="M2336" i="11"/>
  <c r="L2336" i="11"/>
  <c r="K2336" i="11"/>
  <c r="J2336" i="11"/>
  <c r="I2336" i="11"/>
  <c r="H2336" i="11"/>
  <c r="G2336" i="11"/>
  <c r="F2336" i="11"/>
  <c r="M2335" i="11"/>
  <c r="L2335" i="11"/>
  <c r="K2335" i="11"/>
  <c r="J2335" i="11"/>
  <c r="I2335" i="11"/>
  <c r="H2335" i="11"/>
  <c r="G2335" i="11"/>
  <c r="F2335" i="11"/>
  <c r="M2334" i="11"/>
  <c r="L2334" i="11"/>
  <c r="K2334" i="11"/>
  <c r="J2334" i="11"/>
  <c r="I2334" i="11"/>
  <c r="H2334" i="11"/>
  <c r="G2334" i="11"/>
  <c r="F2334" i="11"/>
  <c r="M2333" i="11"/>
  <c r="L2333" i="11"/>
  <c r="K2333" i="11"/>
  <c r="J2333" i="11"/>
  <c r="I2333" i="11"/>
  <c r="H2333" i="11"/>
  <c r="G2333" i="11"/>
  <c r="F2333" i="11"/>
  <c r="M2332" i="11"/>
  <c r="L2332" i="11"/>
  <c r="K2332" i="11"/>
  <c r="J2332" i="11"/>
  <c r="I2332" i="11"/>
  <c r="H2332" i="11"/>
  <c r="G2332" i="11"/>
  <c r="F2332" i="11"/>
  <c r="M2331" i="11"/>
  <c r="L2331" i="11"/>
  <c r="K2331" i="11"/>
  <c r="J2331" i="11"/>
  <c r="I2331" i="11"/>
  <c r="H2331" i="11"/>
  <c r="G2331" i="11"/>
  <c r="F2331" i="11"/>
  <c r="M2330" i="11"/>
  <c r="L2330" i="11"/>
  <c r="K2330" i="11"/>
  <c r="J2330" i="11"/>
  <c r="I2330" i="11"/>
  <c r="H2330" i="11"/>
  <c r="G2330" i="11"/>
  <c r="F2330" i="11"/>
  <c r="M2329" i="11"/>
  <c r="L2329" i="11"/>
  <c r="K2329" i="11"/>
  <c r="J2329" i="11"/>
  <c r="I2329" i="11"/>
  <c r="H2329" i="11"/>
  <c r="G2329" i="11"/>
  <c r="F2329" i="11"/>
  <c r="M2328" i="11"/>
  <c r="L2328" i="11"/>
  <c r="K2328" i="11"/>
  <c r="J2328" i="11"/>
  <c r="I2328" i="11"/>
  <c r="H2328" i="11"/>
  <c r="G2328" i="11"/>
  <c r="F2328" i="11"/>
  <c r="M2327" i="11"/>
  <c r="L2327" i="11"/>
  <c r="K2327" i="11"/>
  <c r="J2327" i="11"/>
  <c r="I2327" i="11"/>
  <c r="H2327" i="11"/>
  <c r="G2327" i="11"/>
  <c r="F2327" i="11"/>
  <c r="M2326" i="11"/>
  <c r="L2326" i="11"/>
  <c r="K2326" i="11"/>
  <c r="J2326" i="11"/>
  <c r="I2326" i="11"/>
  <c r="H2326" i="11"/>
  <c r="G2326" i="11"/>
  <c r="F2326" i="11"/>
  <c r="M2325" i="11"/>
  <c r="L2325" i="11"/>
  <c r="K2325" i="11"/>
  <c r="J2325" i="11"/>
  <c r="I2325" i="11"/>
  <c r="H2325" i="11"/>
  <c r="G2325" i="11"/>
  <c r="F2325" i="11"/>
  <c r="M2324" i="11"/>
  <c r="L2324" i="11"/>
  <c r="K2324" i="11"/>
  <c r="J2324" i="11"/>
  <c r="I2324" i="11"/>
  <c r="H2324" i="11"/>
  <c r="G2324" i="11"/>
  <c r="F2324" i="11"/>
  <c r="M2323" i="11"/>
  <c r="L2323" i="11"/>
  <c r="K2323" i="11"/>
  <c r="J2323" i="11"/>
  <c r="I2323" i="11"/>
  <c r="H2323" i="11"/>
  <c r="G2323" i="11"/>
  <c r="F2323" i="11"/>
  <c r="M2322" i="11"/>
  <c r="L2322" i="11"/>
  <c r="K2322" i="11"/>
  <c r="J2322" i="11"/>
  <c r="I2322" i="11"/>
  <c r="H2322" i="11"/>
  <c r="G2322" i="11"/>
  <c r="F2322" i="11"/>
  <c r="M2321" i="11"/>
  <c r="L2321" i="11"/>
  <c r="K2321" i="11"/>
  <c r="J2321" i="11"/>
  <c r="I2321" i="11"/>
  <c r="H2321" i="11"/>
  <c r="G2321" i="11"/>
  <c r="F2321" i="11"/>
  <c r="M2320" i="11"/>
  <c r="L2320" i="11"/>
  <c r="K2320" i="11"/>
  <c r="J2320" i="11"/>
  <c r="I2320" i="11"/>
  <c r="H2320" i="11"/>
  <c r="G2320" i="11"/>
  <c r="F2320" i="11"/>
  <c r="M2319" i="11"/>
  <c r="L2319" i="11"/>
  <c r="K2319" i="11"/>
  <c r="J2319" i="11"/>
  <c r="I2319" i="11"/>
  <c r="H2319" i="11"/>
  <c r="G2319" i="11"/>
  <c r="F2319" i="11"/>
  <c r="M2318" i="11"/>
  <c r="L2318" i="11"/>
  <c r="K2318" i="11"/>
  <c r="J2318" i="11"/>
  <c r="I2318" i="11"/>
  <c r="H2318" i="11"/>
  <c r="G2318" i="11"/>
  <c r="F2318" i="11"/>
  <c r="M2317" i="11"/>
  <c r="L2317" i="11"/>
  <c r="K2317" i="11"/>
  <c r="J2317" i="11"/>
  <c r="I2317" i="11"/>
  <c r="H2317" i="11"/>
  <c r="G2317" i="11"/>
  <c r="F2317" i="11"/>
  <c r="M2316" i="11"/>
  <c r="L2316" i="11"/>
  <c r="K2316" i="11"/>
  <c r="J2316" i="11"/>
  <c r="I2316" i="11"/>
  <c r="H2316" i="11"/>
  <c r="G2316" i="11"/>
  <c r="F2316" i="11"/>
  <c r="M2315" i="11"/>
  <c r="L2315" i="11"/>
  <c r="K2315" i="11"/>
  <c r="J2315" i="11"/>
  <c r="I2315" i="11"/>
  <c r="H2315" i="11"/>
  <c r="G2315" i="11"/>
  <c r="F2315" i="11"/>
  <c r="M2314" i="11"/>
  <c r="L2314" i="11"/>
  <c r="K2314" i="11"/>
  <c r="J2314" i="11"/>
  <c r="I2314" i="11"/>
  <c r="H2314" i="11"/>
  <c r="G2314" i="11"/>
  <c r="F2314" i="11"/>
  <c r="M2313" i="11"/>
  <c r="L2313" i="11"/>
  <c r="K2313" i="11"/>
  <c r="J2313" i="11"/>
  <c r="I2313" i="11"/>
  <c r="H2313" i="11"/>
  <c r="G2313" i="11"/>
  <c r="F2313" i="11"/>
  <c r="M2312" i="11"/>
  <c r="L2312" i="11"/>
  <c r="K2312" i="11"/>
  <c r="J2312" i="11"/>
  <c r="I2312" i="11"/>
  <c r="H2312" i="11"/>
  <c r="G2312" i="11"/>
  <c r="F2312" i="11"/>
  <c r="M2311" i="11"/>
  <c r="L2311" i="11"/>
  <c r="K2311" i="11"/>
  <c r="J2311" i="11"/>
  <c r="I2311" i="11"/>
  <c r="H2311" i="11"/>
  <c r="G2311" i="11"/>
  <c r="F2311" i="11"/>
  <c r="M2310" i="11"/>
  <c r="L2310" i="11"/>
  <c r="K2310" i="11"/>
  <c r="J2310" i="11"/>
  <c r="I2310" i="11"/>
  <c r="H2310" i="11"/>
  <c r="G2310" i="11"/>
  <c r="F2310" i="11"/>
  <c r="M2309" i="11"/>
  <c r="L2309" i="11"/>
  <c r="K2309" i="11"/>
  <c r="J2309" i="11"/>
  <c r="I2309" i="11"/>
  <c r="H2309" i="11"/>
  <c r="G2309" i="11"/>
  <c r="F2309" i="11"/>
  <c r="M2308" i="11"/>
  <c r="L2308" i="11"/>
  <c r="K2308" i="11"/>
  <c r="J2308" i="11"/>
  <c r="I2308" i="11"/>
  <c r="H2308" i="11"/>
  <c r="G2308" i="11"/>
  <c r="F2308" i="11"/>
  <c r="M2307" i="11"/>
  <c r="L2307" i="11"/>
  <c r="K2307" i="11"/>
  <c r="J2307" i="11"/>
  <c r="I2307" i="11"/>
  <c r="H2307" i="11"/>
  <c r="G2307" i="11"/>
  <c r="F2307" i="11"/>
  <c r="M2306" i="11"/>
  <c r="L2306" i="11"/>
  <c r="K2306" i="11"/>
  <c r="J2306" i="11"/>
  <c r="I2306" i="11"/>
  <c r="H2306" i="11"/>
  <c r="G2306" i="11"/>
  <c r="F2306" i="11"/>
  <c r="M2305" i="11"/>
  <c r="L2305" i="11"/>
  <c r="K2305" i="11"/>
  <c r="J2305" i="11"/>
  <c r="I2305" i="11"/>
  <c r="H2305" i="11"/>
  <c r="G2305" i="11"/>
  <c r="F2305" i="11"/>
  <c r="M2304" i="11"/>
  <c r="L2304" i="11"/>
  <c r="K2304" i="11"/>
  <c r="J2304" i="11"/>
  <c r="I2304" i="11"/>
  <c r="H2304" i="11"/>
  <c r="G2304" i="11"/>
  <c r="F2304" i="11"/>
  <c r="M2303" i="11"/>
  <c r="L2303" i="11"/>
  <c r="K2303" i="11"/>
  <c r="J2303" i="11"/>
  <c r="I2303" i="11"/>
  <c r="H2303" i="11"/>
  <c r="G2303" i="11"/>
  <c r="F2303" i="11"/>
  <c r="M2302" i="11"/>
  <c r="L2302" i="11"/>
  <c r="K2302" i="11"/>
  <c r="J2302" i="11"/>
  <c r="I2302" i="11"/>
  <c r="H2302" i="11"/>
  <c r="G2302" i="11"/>
  <c r="F2302" i="11"/>
  <c r="M2301" i="11"/>
  <c r="L2301" i="11"/>
  <c r="K2301" i="11"/>
  <c r="J2301" i="11"/>
  <c r="I2301" i="11"/>
  <c r="H2301" i="11"/>
  <c r="G2301" i="11"/>
  <c r="F2301" i="11"/>
  <c r="M2300" i="11"/>
  <c r="L2300" i="11"/>
  <c r="K2300" i="11"/>
  <c r="J2300" i="11"/>
  <c r="I2300" i="11"/>
  <c r="H2300" i="11"/>
  <c r="G2300" i="11"/>
  <c r="F2300" i="11"/>
  <c r="M2299" i="11"/>
  <c r="L2299" i="11"/>
  <c r="K2299" i="11"/>
  <c r="J2299" i="11"/>
  <c r="I2299" i="11"/>
  <c r="H2299" i="11"/>
  <c r="G2299" i="11"/>
  <c r="F2299" i="11"/>
  <c r="M2298" i="11"/>
  <c r="L2298" i="11"/>
  <c r="K2298" i="11"/>
  <c r="J2298" i="11"/>
  <c r="I2298" i="11"/>
  <c r="H2298" i="11"/>
  <c r="G2298" i="11"/>
  <c r="F2298" i="11"/>
  <c r="M2297" i="11"/>
  <c r="L2297" i="11"/>
  <c r="K2297" i="11"/>
  <c r="J2297" i="11"/>
  <c r="I2297" i="11"/>
  <c r="H2297" i="11"/>
  <c r="G2297" i="11"/>
  <c r="F2297" i="11"/>
  <c r="M2296" i="11"/>
  <c r="L2296" i="11"/>
  <c r="K2296" i="11"/>
  <c r="J2296" i="11"/>
  <c r="I2296" i="11"/>
  <c r="H2296" i="11"/>
  <c r="G2296" i="11"/>
  <c r="F2296" i="11"/>
  <c r="M2295" i="11"/>
  <c r="L2295" i="11"/>
  <c r="K2295" i="11"/>
  <c r="J2295" i="11"/>
  <c r="I2295" i="11"/>
  <c r="H2295" i="11"/>
  <c r="G2295" i="11"/>
  <c r="F2295" i="11"/>
  <c r="M2294" i="11"/>
  <c r="L2294" i="11"/>
  <c r="K2294" i="11"/>
  <c r="J2294" i="11"/>
  <c r="I2294" i="11"/>
  <c r="H2294" i="11"/>
  <c r="G2294" i="11"/>
  <c r="F2294" i="11"/>
  <c r="M2293" i="11"/>
  <c r="L2293" i="11"/>
  <c r="K2293" i="11"/>
  <c r="J2293" i="11"/>
  <c r="I2293" i="11"/>
  <c r="H2293" i="11"/>
  <c r="G2293" i="11"/>
  <c r="F2293" i="11"/>
  <c r="M2292" i="11"/>
  <c r="L2292" i="11"/>
  <c r="K2292" i="11"/>
  <c r="J2292" i="11"/>
  <c r="I2292" i="11"/>
  <c r="H2292" i="11"/>
  <c r="G2292" i="11"/>
  <c r="F2292" i="11"/>
  <c r="M2291" i="11"/>
  <c r="L2291" i="11"/>
  <c r="K2291" i="11"/>
  <c r="J2291" i="11"/>
  <c r="I2291" i="11"/>
  <c r="H2291" i="11"/>
  <c r="G2291" i="11"/>
  <c r="F2291" i="11"/>
  <c r="M2290" i="11"/>
  <c r="L2290" i="11"/>
  <c r="K2290" i="11"/>
  <c r="J2290" i="11"/>
  <c r="I2290" i="11"/>
  <c r="H2290" i="11"/>
  <c r="G2290" i="11"/>
  <c r="F2290" i="11"/>
  <c r="M2289" i="11"/>
  <c r="L2289" i="11"/>
  <c r="K2289" i="11"/>
  <c r="J2289" i="11"/>
  <c r="I2289" i="11"/>
  <c r="H2289" i="11"/>
  <c r="G2289" i="11"/>
  <c r="F2289" i="11"/>
  <c r="M2288" i="11"/>
  <c r="L2288" i="11"/>
  <c r="K2288" i="11"/>
  <c r="J2288" i="11"/>
  <c r="I2288" i="11"/>
  <c r="H2288" i="11"/>
  <c r="G2288" i="11"/>
  <c r="F2288" i="11"/>
  <c r="M2287" i="11"/>
  <c r="L2287" i="11"/>
  <c r="K2287" i="11"/>
  <c r="J2287" i="11"/>
  <c r="I2287" i="11"/>
  <c r="H2287" i="11"/>
  <c r="G2287" i="11"/>
  <c r="F2287" i="11"/>
  <c r="M2286" i="11"/>
  <c r="L2286" i="11"/>
  <c r="K2286" i="11"/>
  <c r="J2286" i="11"/>
  <c r="I2286" i="11"/>
  <c r="H2286" i="11"/>
  <c r="G2286" i="11"/>
  <c r="F2286" i="11"/>
  <c r="M2285" i="11"/>
  <c r="L2285" i="11"/>
  <c r="K2285" i="11"/>
  <c r="J2285" i="11"/>
  <c r="I2285" i="11"/>
  <c r="H2285" i="11"/>
  <c r="G2285" i="11"/>
  <c r="F2285" i="11"/>
  <c r="M2284" i="11"/>
  <c r="L2284" i="11"/>
  <c r="K2284" i="11"/>
  <c r="J2284" i="11"/>
  <c r="I2284" i="11"/>
  <c r="H2284" i="11"/>
  <c r="G2284" i="11"/>
  <c r="F2284" i="11"/>
  <c r="M2283" i="11"/>
  <c r="L2283" i="11"/>
  <c r="K2283" i="11"/>
  <c r="J2283" i="11"/>
  <c r="I2283" i="11"/>
  <c r="H2283" i="11"/>
  <c r="G2283" i="11"/>
  <c r="F2283" i="11"/>
  <c r="M2282" i="11"/>
  <c r="L2282" i="11"/>
  <c r="K2282" i="11"/>
  <c r="J2282" i="11"/>
  <c r="I2282" i="11"/>
  <c r="H2282" i="11"/>
  <c r="G2282" i="11"/>
  <c r="F2282" i="11"/>
  <c r="M2281" i="11"/>
  <c r="L2281" i="11"/>
  <c r="K2281" i="11"/>
  <c r="J2281" i="11"/>
  <c r="I2281" i="11"/>
  <c r="H2281" i="11"/>
  <c r="G2281" i="11"/>
  <c r="F2281" i="11"/>
  <c r="M2280" i="11"/>
  <c r="L2280" i="11"/>
  <c r="K2280" i="11"/>
  <c r="J2280" i="11"/>
  <c r="I2280" i="11"/>
  <c r="H2280" i="11"/>
  <c r="G2280" i="11"/>
  <c r="F2280" i="11"/>
  <c r="M2279" i="11"/>
  <c r="L2279" i="11"/>
  <c r="K2279" i="11"/>
  <c r="J2279" i="11"/>
  <c r="I2279" i="11"/>
  <c r="H2279" i="11"/>
  <c r="G2279" i="11"/>
  <c r="F2279" i="11"/>
  <c r="M2278" i="11"/>
  <c r="L2278" i="11"/>
  <c r="K2278" i="11"/>
  <c r="J2278" i="11"/>
  <c r="I2278" i="11"/>
  <c r="H2278" i="11"/>
  <c r="G2278" i="11"/>
  <c r="F2278" i="11"/>
  <c r="M2277" i="11"/>
  <c r="L2277" i="11"/>
  <c r="K2277" i="11"/>
  <c r="J2277" i="11"/>
  <c r="I2277" i="11"/>
  <c r="H2277" i="11"/>
  <c r="G2277" i="11"/>
  <c r="F2277" i="11"/>
  <c r="M2276" i="11"/>
  <c r="L2276" i="11"/>
  <c r="K2276" i="11"/>
  <c r="J2276" i="11"/>
  <c r="I2276" i="11"/>
  <c r="H2276" i="11"/>
  <c r="G2276" i="11"/>
  <c r="F2276" i="11"/>
  <c r="M2275" i="11"/>
  <c r="L2275" i="11"/>
  <c r="K2275" i="11"/>
  <c r="J2275" i="11"/>
  <c r="I2275" i="11"/>
  <c r="H2275" i="11"/>
  <c r="G2275" i="11"/>
  <c r="F2275" i="11"/>
  <c r="M2274" i="11"/>
  <c r="L2274" i="11"/>
  <c r="K2274" i="11"/>
  <c r="J2274" i="11"/>
  <c r="I2274" i="11"/>
  <c r="H2274" i="11"/>
  <c r="G2274" i="11"/>
  <c r="F2274" i="11"/>
  <c r="M2273" i="11"/>
  <c r="L2273" i="11"/>
  <c r="K2273" i="11"/>
  <c r="J2273" i="11"/>
  <c r="I2273" i="11"/>
  <c r="H2273" i="11"/>
  <c r="G2273" i="11"/>
  <c r="F2273" i="11"/>
  <c r="M2272" i="11"/>
  <c r="L2272" i="11"/>
  <c r="K2272" i="11"/>
  <c r="J2272" i="11"/>
  <c r="I2272" i="11"/>
  <c r="H2272" i="11"/>
  <c r="G2272" i="11"/>
  <c r="F2272" i="11"/>
  <c r="M2271" i="11"/>
  <c r="L2271" i="11"/>
  <c r="K2271" i="11"/>
  <c r="J2271" i="11"/>
  <c r="I2271" i="11"/>
  <c r="H2271" i="11"/>
  <c r="G2271" i="11"/>
  <c r="F2271" i="11"/>
  <c r="M2270" i="11"/>
  <c r="L2270" i="11"/>
  <c r="K2270" i="11"/>
  <c r="J2270" i="11"/>
  <c r="I2270" i="11"/>
  <c r="H2270" i="11"/>
  <c r="G2270" i="11"/>
  <c r="F2270" i="11"/>
  <c r="M2269" i="11"/>
  <c r="L2269" i="11"/>
  <c r="K2269" i="11"/>
  <c r="J2269" i="11"/>
  <c r="I2269" i="11"/>
  <c r="H2269" i="11"/>
  <c r="G2269" i="11"/>
  <c r="F2269" i="11"/>
  <c r="M2268" i="11"/>
  <c r="L2268" i="11"/>
  <c r="K2268" i="11"/>
  <c r="J2268" i="11"/>
  <c r="I2268" i="11"/>
  <c r="H2268" i="11"/>
  <c r="G2268" i="11"/>
  <c r="F2268" i="11"/>
  <c r="M2267" i="11"/>
  <c r="L2267" i="11"/>
  <c r="K2267" i="11"/>
  <c r="J2267" i="11"/>
  <c r="I2267" i="11"/>
  <c r="H2267" i="11"/>
  <c r="G2267" i="11"/>
  <c r="F2267" i="11"/>
  <c r="M2266" i="11"/>
  <c r="L2266" i="11"/>
  <c r="K2266" i="11"/>
  <c r="J2266" i="11"/>
  <c r="I2266" i="11"/>
  <c r="H2266" i="11"/>
  <c r="G2266" i="11"/>
  <c r="F2266" i="11"/>
  <c r="M2265" i="11"/>
  <c r="L2265" i="11"/>
  <c r="K2265" i="11"/>
  <c r="J2265" i="11"/>
  <c r="I2265" i="11"/>
  <c r="H2265" i="11"/>
  <c r="G2265" i="11"/>
  <c r="F2265" i="11"/>
  <c r="M2264" i="11"/>
  <c r="L2264" i="11"/>
  <c r="K2264" i="11"/>
  <c r="J2264" i="11"/>
  <c r="I2264" i="11"/>
  <c r="H2264" i="11"/>
  <c r="G2264" i="11"/>
  <c r="F2264" i="11"/>
  <c r="M2263" i="11"/>
  <c r="L2263" i="11"/>
  <c r="K2263" i="11"/>
  <c r="J2263" i="11"/>
  <c r="I2263" i="11"/>
  <c r="H2263" i="11"/>
  <c r="G2263" i="11"/>
  <c r="F2263" i="11"/>
  <c r="M2262" i="11"/>
  <c r="L2262" i="11"/>
  <c r="K2262" i="11"/>
  <c r="J2262" i="11"/>
  <c r="I2262" i="11"/>
  <c r="H2262" i="11"/>
  <c r="G2262" i="11"/>
  <c r="F2262" i="11"/>
  <c r="M2261" i="11"/>
  <c r="L2261" i="11"/>
  <c r="K2261" i="11"/>
  <c r="J2261" i="11"/>
  <c r="I2261" i="11"/>
  <c r="H2261" i="11"/>
  <c r="G2261" i="11"/>
  <c r="F2261" i="11"/>
  <c r="M2260" i="11"/>
  <c r="L2260" i="11"/>
  <c r="K2260" i="11"/>
  <c r="J2260" i="11"/>
  <c r="I2260" i="11"/>
  <c r="H2260" i="11"/>
  <c r="G2260" i="11"/>
  <c r="F2260" i="11"/>
  <c r="M2259" i="11"/>
  <c r="L2259" i="11"/>
  <c r="K2259" i="11"/>
  <c r="J2259" i="11"/>
  <c r="I2259" i="11"/>
  <c r="H2259" i="11"/>
  <c r="G2259" i="11"/>
  <c r="F2259" i="11"/>
  <c r="M2258" i="11"/>
  <c r="L2258" i="11"/>
  <c r="K2258" i="11"/>
  <c r="J2258" i="11"/>
  <c r="I2258" i="11"/>
  <c r="H2258" i="11"/>
  <c r="G2258" i="11"/>
  <c r="F2258" i="11"/>
  <c r="M2257" i="11"/>
  <c r="L2257" i="11"/>
  <c r="K2257" i="11"/>
  <c r="J2257" i="11"/>
  <c r="I2257" i="11"/>
  <c r="H2257" i="11"/>
  <c r="G2257" i="11"/>
  <c r="F2257" i="11"/>
  <c r="M2256" i="11"/>
  <c r="L2256" i="11"/>
  <c r="K2256" i="11"/>
  <c r="J2256" i="11"/>
  <c r="I2256" i="11"/>
  <c r="H2256" i="11"/>
  <c r="G2256" i="11"/>
  <c r="F2256" i="11"/>
  <c r="M2255" i="11"/>
  <c r="L2255" i="11"/>
  <c r="K2255" i="11"/>
  <c r="J2255" i="11"/>
  <c r="I2255" i="11"/>
  <c r="H2255" i="11"/>
  <c r="G2255" i="11"/>
  <c r="F2255" i="11"/>
  <c r="M2254" i="11"/>
  <c r="L2254" i="11"/>
  <c r="K2254" i="11"/>
  <c r="J2254" i="11"/>
  <c r="I2254" i="11"/>
  <c r="H2254" i="11"/>
  <c r="G2254" i="11"/>
  <c r="F2254" i="11"/>
  <c r="M2253" i="11"/>
  <c r="L2253" i="11"/>
  <c r="K2253" i="11"/>
  <c r="J2253" i="11"/>
  <c r="I2253" i="11"/>
  <c r="H2253" i="11"/>
  <c r="G2253" i="11"/>
  <c r="F2253" i="11"/>
  <c r="M2252" i="11"/>
  <c r="L2252" i="11"/>
  <c r="K2252" i="11"/>
  <c r="J2252" i="11"/>
  <c r="I2252" i="11"/>
  <c r="H2252" i="11"/>
  <c r="G2252" i="11"/>
  <c r="F2252" i="11"/>
  <c r="M2251" i="11"/>
  <c r="L2251" i="11"/>
  <c r="K2251" i="11"/>
  <c r="J2251" i="11"/>
  <c r="I2251" i="11"/>
  <c r="H2251" i="11"/>
  <c r="G2251" i="11"/>
  <c r="F2251" i="11"/>
  <c r="M2250" i="11"/>
  <c r="L2250" i="11"/>
  <c r="K2250" i="11"/>
  <c r="J2250" i="11"/>
  <c r="I2250" i="11"/>
  <c r="H2250" i="11"/>
  <c r="G2250" i="11"/>
  <c r="F2250" i="11"/>
  <c r="M2249" i="11"/>
  <c r="L2249" i="11"/>
  <c r="K2249" i="11"/>
  <c r="J2249" i="11"/>
  <c r="I2249" i="11"/>
  <c r="H2249" i="11"/>
  <c r="G2249" i="11"/>
  <c r="F2249" i="11"/>
  <c r="M2248" i="11"/>
  <c r="L2248" i="11"/>
  <c r="K2248" i="11"/>
  <c r="J2248" i="11"/>
  <c r="I2248" i="11"/>
  <c r="H2248" i="11"/>
  <c r="G2248" i="11"/>
  <c r="F2248" i="11"/>
  <c r="M2247" i="11"/>
  <c r="L2247" i="11"/>
  <c r="K2247" i="11"/>
  <c r="J2247" i="11"/>
  <c r="I2247" i="11"/>
  <c r="H2247" i="11"/>
  <c r="G2247" i="11"/>
  <c r="F2247" i="11"/>
  <c r="M2246" i="11"/>
  <c r="L2246" i="11"/>
  <c r="K2246" i="11"/>
  <c r="J2246" i="11"/>
  <c r="I2246" i="11"/>
  <c r="H2246" i="11"/>
  <c r="G2246" i="11"/>
  <c r="F2246" i="11"/>
  <c r="M2245" i="11"/>
  <c r="L2245" i="11"/>
  <c r="K2245" i="11"/>
  <c r="J2245" i="11"/>
  <c r="I2245" i="11"/>
  <c r="H2245" i="11"/>
  <c r="G2245" i="11"/>
  <c r="F2245" i="11"/>
  <c r="M2244" i="11"/>
  <c r="L2244" i="11"/>
  <c r="K2244" i="11"/>
  <c r="J2244" i="11"/>
  <c r="I2244" i="11"/>
  <c r="H2244" i="11"/>
  <c r="G2244" i="11"/>
  <c r="F2244" i="11"/>
  <c r="M2243" i="11"/>
  <c r="L2243" i="11"/>
  <c r="K2243" i="11"/>
  <c r="J2243" i="11"/>
  <c r="I2243" i="11"/>
  <c r="H2243" i="11"/>
  <c r="G2243" i="11"/>
  <c r="F2243" i="11"/>
  <c r="M2242" i="11"/>
  <c r="L2242" i="11"/>
  <c r="K2242" i="11"/>
  <c r="J2242" i="11"/>
  <c r="I2242" i="11"/>
  <c r="H2242" i="11"/>
  <c r="G2242" i="11"/>
  <c r="F2242" i="11"/>
  <c r="M2241" i="11"/>
  <c r="L2241" i="11"/>
  <c r="K2241" i="11"/>
  <c r="J2241" i="11"/>
  <c r="I2241" i="11"/>
  <c r="H2241" i="11"/>
  <c r="G2241" i="11"/>
  <c r="F2241" i="11"/>
  <c r="M2240" i="11"/>
  <c r="L2240" i="11"/>
  <c r="K2240" i="11"/>
  <c r="J2240" i="11"/>
  <c r="I2240" i="11"/>
  <c r="H2240" i="11"/>
  <c r="G2240" i="11"/>
  <c r="F2240" i="11"/>
  <c r="M2239" i="11"/>
  <c r="L2239" i="11"/>
  <c r="K2239" i="11"/>
  <c r="J2239" i="11"/>
  <c r="I2239" i="11"/>
  <c r="H2239" i="11"/>
  <c r="G2239" i="11"/>
  <c r="F2239" i="11"/>
  <c r="M2238" i="11"/>
  <c r="L2238" i="11"/>
  <c r="K2238" i="11"/>
  <c r="J2238" i="11"/>
  <c r="I2238" i="11"/>
  <c r="H2238" i="11"/>
  <c r="G2238" i="11"/>
  <c r="F2238" i="11"/>
  <c r="M2237" i="11"/>
  <c r="L2237" i="11"/>
  <c r="K2237" i="11"/>
  <c r="J2237" i="11"/>
  <c r="I2237" i="11"/>
  <c r="H2237" i="11"/>
  <c r="G2237" i="11"/>
  <c r="F2237" i="11"/>
  <c r="M2236" i="11"/>
  <c r="L2236" i="11"/>
  <c r="K2236" i="11"/>
  <c r="J2236" i="11"/>
  <c r="I2236" i="11"/>
  <c r="H2236" i="11"/>
  <c r="G2236" i="11"/>
  <c r="F2236" i="11"/>
  <c r="M2235" i="11"/>
  <c r="L2235" i="11"/>
  <c r="K2235" i="11"/>
  <c r="J2235" i="11"/>
  <c r="I2235" i="11"/>
  <c r="H2235" i="11"/>
  <c r="G2235" i="11"/>
  <c r="F2235" i="11"/>
  <c r="M2234" i="11"/>
  <c r="L2234" i="11"/>
  <c r="K2234" i="11"/>
  <c r="J2234" i="11"/>
  <c r="I2234" i="11"/>
  <c r="H2234" i="11"/>
  <c r="G2234" i="11"/>
  <c r="F2234" i="11"/>
  <c r="M2233" i="11"/>
  <c r="L2233" i="11"/>
  <c r="K2233" i="11"/>
  <c r="J2233" i="11"/>
  <c r="I2233" i="11"/>
  <c r="H2233" i="11"/>
  <c r="G2233" i="11"/>
  <c r="F2233" i="11"/>
  <c r="M2232" i="11"/>
  <c r="L2232" i="11"/>
  <c r="K2232" i="11"/>
  <c r="J2232" i="11"/>
  <c r="I2232" i="11"/>
  <c r="H2232" i="11"/>
  <c r="G2232" i="11"/>
  <c r="F2232" i="11"/>
  <c r="M2231" i="11"/>
  <c r="L2231" i="11"/>
  <c r="K2231" i="11"/>
  <c r="J2231" i="11"/>
  <c r="I2231" i="11"/>
  <c r="H2231" i="11"/>
  <c r="G2231" i="11"/>
  <c r="F2231" i="11"/>
  <c r="M2230" i="11"/>
  <c r="L2230" i="11"/>
  <c r="K2230" i="11"/>
  <c r="J2230" i="11"/>
  <c r="I2230" i="11"/>
  <c r="H2230" i="11"/>
  <c r="G2230" i="11"/>
  <c r="F2230" i="11"/>
  <c r="M2229" i="11"/>
  <c r="L2229" i="11"/>
  <c r="K2229" i="11"/>
  <c r="J2229" i="11"/>
  <c r="I2229" i="11"/>
  <c r="H2229" i="11"/>
  <c r="G2229" i="11"/>
  <c r="F2229" i="11"/>
  <c r="M2228" i="11"/>
  <c r="L2228" i="11"/>
  <c r="K2228" i="11"/>
  <c r="J2228" i="11"/>
  <c r="I2228" i="11"/>
  <c r="H2228" i="11"/>
  <c r="G2228" i="11"/>
  <c r="F2228" i="11"/>
  <c r="M2227" i="11"/>
  <c r="L2227" i="11"/>
  <c r="K2227" i="11"/>
  <c r="J2227" i="11"/>
  <c r="I2227" i="11"/>
  <c r="H2227" i="11"/>
  <c r="G2227" i="11"/>
  <c r="F2227" i="11"/>
  <c r="M2226" i="11"/>
  <c r="L2226" i="11"/>
  <c r="K2226" i="11"/>
  <c r="J2226" i="11"/>
  <c r="I2226" i="11"/>
  <c r="H2226" i="11"/>
  <c r="G2226" i="11"/>
  <c r="F2226" i="11"/>
  <c r="M2225" i="11"/>
  <c r="L2225" i="11"/>
  <c r="K2225" i="11"/>
  <c r="J2225" i="11"/>
  <c r="I2225" i="11"/>
  <c r="H2225" i="11"/>
  <c r="G2225" i="11"/>
  <c r="F2225" i="11"/>
  <c r="M2224" i="11"/>
  <c r="L2224" i="11"/>
  <c r="K2224" i="11"/>
  <c r="J2224" i="11"/>
  <c r="I2224" i="11"/>
  <c r="H2224" i="11"/>
  <c r="G2224" i="11"/>
  <c r="F2224" i="11"/>
  <c r="M2223" i="11"/>
  <c r="L2223" i="11"/>
  <c r="K2223" i="11"/>
  <c r="J2223" i="11"/>
  <c r="I2223" i="11"/>
  <c r="H2223" i="11"/>
  <c r="G2223" i="11"/>
  <c r="F2223" i="11"/>
  <c r="M2222" i="11"/>
  <c r="L2222" i="11"/>
  <c r="K2222" i="11"/>
  <c r="J2222" i="11"/>
  <c r="I2222" i="11"/>
  <c r="H2222" i="11"/>
  <c r="G2222" i="11"/>
  <c r="F2222" i="11"/>
  <c r="M2221" i="11"/>
  <c r="L2221" i="11"/>
  <c r="K2221" i="11"/>
  <c r="J2221" i="11"/>
  <c r="I2221" i="11"/>
  <c r="H2221" i="11"/>
  <c r="G2221" i="11"/>
  <c r="F2221" i="11"/>
  <c r="M2220" i="11"/>
  <c r="L2220" i="11"/>
  <c r="K2220" i="11"/>
  <c r="J2220" i="11"/>
  <c r="I2220" i="11"/>
  <c r="H2220" i="11"/>
  <c r="G2220" i="11"/>
  <c r="F2220" i="11"/>
  <c r="M2219" i="11"/>
  <c r="L2219" i="11"/>
  <c r="K2219" i="11"/>
  <c r="J2219" i="11"/>
  <c r="I2219" i="11"/>
  <c r="H2219" i="11"/>
  <c r="G2219" i="11"/>
  <c r="F2219" i="11"/>
  <c r="M2218" i="11"/>
  <c r="L2218" i="11"/>
  <c r="K2218" i="11"/>
  <c r="J2218" i="11"/>
  <c r="I2218" i="11"/>
  <c r="H2218" i="11"/>
  <c r="G2218" i="11"/>
  <c r="F2218" i="11"/>
  <c r="M2217" i="11"/>
  <c r="L2217" i="11"/>
  <c r="K2217" i="11"/>
  <c r="J2217" i="11"/>
  <c r="I2217" i="11"/>
  <c r="H2217" i="11"/>
  <c r="G2217" i="11"/>
  <c r="F2217" i="11"/>
  <c r="M2216" i="11"/>
  <c r="L2216" i="11"/>
  <c r="K2216" i="11"/>
  <c r="J2216" i="11"/>
  <c r="I2216" i="11"/>
  <c r="H2216" i="11"/>
  <c r="G2216" i="11"/>
  <c r="F2216" i="11"/>
  <c r="M2215" i="11"/>
  <c r="L2215" i="11"/>
  <c r="K2215" i="11"/>
  <c r="J2215" i="11"/>
  <c r="I2215" i="11"/>
  <c r="H2215" i="11"/>
  <c r="G2215" i="11"/>
  <c r="F2215" i="11"/>
  <c r="M2214" i="11"/>
  <c r="L2214" i="11"/>
  <c r="K2214" i="11"/>
  <c r="J2214" i="11"/>
  <c r="I2214" i="11"/>
  <c r="H2214" i="11"/>
  <c r="G2214" i="11"/>
  <c r="F2214" i="11"/>
  <c r="M2213" i="11"/>
  <c r="L2213" i="11"/>
  <c r="K2213" i="11"/>
  <c r="J2213" i="11"/>
  <c r="I2213" i="11"/>
  <c r="H2213" i="11"/>
  <c r="G2213" i="11"/>
  <c r="F2213" i="11"/>
  <c r="M2212" i="11"/>
  <c r="L2212" i="11"/>
  <c r="K2212" i="11"/>
  <c r="J2212" i="11"/>
  <c r="I2212" i="11"/>
  <c r="H2212" i="11"/>
  <c r="G2212" i="11"/>
  <c r="F2212" i="11"/>
  <c r="M2211" i="11"/>
  <c r="L2211" i="11"/>
  <c r="K2211" i="11"/>
  <c r="J2211" i="11"/>
  <c r="I2211" i="11"/>
  <c r="H2211" i="11"/>
  <c r="G2211" i="11"/>
  <c r="F2211" i="11"/>
  <c r="M2210" i="11"/>
  <c r="L2210" i="11"/>
  <c r="K2210" i="11"/>
  <c r="J2210" i="11"/>
  <c r="I2210" i="11"/>
  <c r="H2210" i="11"/>
  <c r="G2210" i="11"/>
  <c r="F2210" i="11"/>
  <c r="M2209" i="11"/>
  <c r="L2209" i="11"/>
  <c r="K2209" i="11"/>
  <c r="J2209" i="11"/>
  <c r="I2209" i="11"/>
  <c r="H2209" i="11"/>
  <c r="G2209" i="11"/>
  <c r="F2209" i="11"/>
  <c r="M2208" i="11"/>
  <c r="L2208" i="11"/>
  <c r="K2208" i="11"/>
  <c r="J2208" i="11"/>
  <c r="I2208" i="11"/>
  <c r="H2208" i="11"/>
  <c r="G2208" i="11"/>
  <c r="F2208" i="11"/>
  <c r="M2207" i="11"/>
  <c r="L2207" i="11"/>
  <c r="K2207" i="11"/>
  <c r="J2207" i="11"/>
  <c r="I2207" i="11"/>
  <c r="H2207" i="11"/>
  <c r="G2207" i="11"/>
  <c r="F2207" i="11"/>
  <c r="M2206" i="11"/>
  <c r="L2206" i="11"/>
  <c r="K2206" i="11"/>
  <c r="J2206" i="11"/>
  <c r="I2206" i="11"/>
  <c r="H2206" i="11"/>
  <c r="G2206" i="11"/>
  <c r="F2206" i="11"/>
  <c r="M2205" i="11"/>
  <c r="L2205" i="11"/>
  <c r="K2205" i="11"/>
  <c r="J2205" i="11"/>
  <c r="I2205" i="11"/>
  <c r="H2205" i="11"/>
  <c r="G2205" i="11"/>
  <c r="F2205" i="11"/>
  <c r="M2204" i="11"/>
  <c r="L2204" i="11"/>
  <c r="K2204" i="11"/>
  <c r="J2204" i="11"/>
  <c r="I2204" i="11"/>
  <c r="H2204" i="11"/>
  <c r="G2204" i="11"/>
  <c r="F2204" i="11"/>
  <c r="M2203" i="11"/>
  <c r="L2203" i="11"/>
  <c r="K2203" i="11"/>
  <c r="J2203" i="11"/>
  <c r="I2203" i="11"/>
  <c r="H2203" i="11"/>
  <c r="G2203" i="11"/>
  <c r="F2203" i="11"/>
  <c r="M2202" i="11"/>
  <c r="L2202" i="11"/>
  <c r="K2202" i="11"/>
  <c r="J2202" i="11"/>
  <c r="I2202" i="11"/>
  <c r="H2202" i="11"/>
  <c r="G2202" i="11"/>
  <c r="F2202" i="11"/>
  <c r="M2201" i="11"/>
  <c r="L2201" i="11"/>
  <c r="K2201" i="11"/>
  <c r="J2201" i="11"/>
  <c r="I2201" i="11"/>
  <c r="H2201" i="11"/>
  <c r="G2201" i="11"/>
  <c r="F2201" i="11"/>
  <c r="M2200" i="11"/>
  <c r="L2200" i="11"/>
  <c r="K2200" i="11"/>
  <c r="J2200" i="11"/>
  <c r="I2200" i="11"/>
  <c r="H2200" i="11"/>
  <c r="G2200" i="11"/>
  <c r="F2200" i="11"/>
  <c r="M2199" i="11"/>
  <c r="L2199" i="11"/>
  <c r="K2199" i="11"/>
  <c r="J2199" i="11"/>
  <c r="I2199" i="11"/>
  <c r="H2199" i="11"/>
  <c r="G2199" i="11"/>
  <c r="F2199" i="11"/>
  <c r="M2198" i="11"/>
  <c r="L2198" i="11"/>
  <c r="K2198" i="11"/>
  <c r="J2198" i="11"/>
  <c r="I2198" i="11"/>
  <c r="H2198" i="11"/>
  <c r="G2198" i="11"/>
  <c r="F2198" i="11"/>
  <c r="M2197" i="11"/>
  <c r="L2197" i="11"/>
  <c r="K2197" i="11"/>
  <c r="J2197" i="11"/>
  <c r="I2197" i="11"/>
  <c r="H2197" i="11"/>
  <c r="G2197" i="11"/>
  <c r="F2197" i="11"/>
  <c r="M2196" i="11"/>
  <c r="L2196" i="11"/>
  <c r="K2196" i="11"/>
  <c r="J2196" i="11"/>
  <c r="I2196" i="11"/>
  <c r="H2196" i="11"/>
  <c r="G2196" i="11"/>
  <c r="F2196" i="11"/>
  <c r="M2195" i="11"/>
  <c r="L2195" i="11"/>
  <c r="K2195" i="11"/>
  <c r="J2195" i="11"/>
  <c r="I2195" i="11"/>
  <c r="H2195" i="11"/>
  <c r="G2195" i="11"/>
  <c r="F2195" i="11"/>
  <c r="M2194" i="11"/>
  <c r="L2194" i="11"/>
  <c r="K2194" i="11"/>
  <c r="J2194" i="11"/>
  <c r="I2194" i="11"/>
  <c r="H2194" i="11"/>
  <c r="G2194" i="11"/>
  <c r="F2194" i="11"/>
  <c r="M2193" i="11"/>
  <c r="L2193" i="11"/>
  <c r="K2193" i="11"/>
  <c r="J2193" i="11"/>
  <c r="I2193" i="11"/>
  <c r="H2193" i="11"/>
  <c r="G2193" i="11"/>
  <c r="F2193" i="11"/>
  <c r="M2192" i="11"/>
  <c r="L2192" i="11"/>
  <c r="K2192" i="11"/>
  <c r="J2192" i="11"/>
  <c r="I2192" i="11"/>
  <c r="H2192" i="11"/>
  <c r="G2192" i="11"/>
  <c r="F2192" i="11"/>
  <c r="M2191" i="11"/>
  <c r="L2191" i="11"/>
  <c r="K2191" i="11"/>
  <c r="J2191" i="11"/>
  <c r="I2191" i="11"/>
  <c r="H2191" i="11"/>
  <c r="G2191" i="11"/>
  <c r="F2191" i="11"/>
  <c r="M2190" i="11"/>
  <c r="L2190" i="11"/>
  <c r="K2190" i="11"/>
  <c r="J2190" i="11"/>
  <c r="I2190" i="11"/>
  <c r="H2190" i="11"/>
  <c r="G2190" i="11"/>
  <c r="F2190" i="11"/>
  <c r="M2189" i="11"/>
  <c r="L2189" i="11"/>
  <c r="K2189" i="11"/>
  <c r="J2189" i="11"/>
  <c r="I2189" i="11"/>
  <c r="H2189" i="11"/>
  <c r="G2189" i="11"/>
  <c r="F2189" i="11"/>
  <c r="M2188" i="11"/>
  <c r="L2188" i="11"/>
  <c r="K2188" i="11"/>
  <c r="J2188" i="11"/>
  <c r="I2188" i="11"/>
  <c r="H2188" i="11"/>
  <c r="G2188" i="11"/>
  <c r="F2188" i="11"/>
  <c r="M2187" i="11"/>
  <c r="L2187" i="11"/>
  <c r="K2187" i="11"/>
  <c r="J2187" i="11"/>
  <c r="I2187" i="11"/>
  <c r="H2187" i="11"/>
  <c r="G2187" i="11"/>
  <c r="F2187" i="11"/>
  <c r="M2186" i="11"/>
  <c r="L2186" i="11"/>
  <c r="K2186" i="11"/>
  <c r="J2186" i="11"/>
  <c r="I2186" i="11"/>
  <c r="H2186" i="11"/>
  <c r="G2186" i="11"/>
  <c r="F2186" i="11"/>
  <c r="M2185" i="11"/>
  <c r="L2185" i="11"/>
  <c r="K2185" i="11"/>
  <c r="J2185" i="11"/>
  <c r="I2185" i="11"/>
  <c r="H2185" i="11"/>
  <c r="G2185" i="11"/>
  <c r="F2185" i="11"/>
  <c r="M2184" i="11"/>
  <c r="L2184" i="11"/>
  <c r="K2184" i="11"/>
  <c r="J2184" i="11"/>
  <c r="I2184" i="11"/>
  <c r="H2184" i="11"/>
  <c r="G2184" i="11"/>
  <c r="F2184" i="11"/>
  <c r="M2183" i="11"/>
  <c r="L2183" i="11"/>
  <c r="K2183" i="11"/>
  <c r="J2183" i="11"/>
  <c r="I2183" i="11"/>
  <c r="H2183" i="11"/>
  <c r="G2183" i="11"/>
  <c r="F2183" i="11"/>
  <c r="M2182" i="11"/>
  <c r="L2182" i="11"/>
  <c r="K2182" i="11"/>
  <c r="J2182" i="11"/>
  <c r="I2182" i="11"/>
  <c r="H2182" i="11"/>
  <c r="G2182" i="11"/>
  <c r="F2182" i="11"/>
  <c r="M2181" i="11"/>
  <c r="L2181" i="11"/>
  <c r="K2181" i="11"/>
  <c r="J2181" i="11"/>
  <c r="I2181" i="11"/>
  <c r="H2181" i="11"/>
  <c r="G2181" i="11"/>
  <c r="F2181" i="11"/>
  <c r="M2180" i="11"/>
  <c r="L2180" i="11"/>
  <c r="K2180" i="11"/>
  <c r="J2180" i="11"/>
  <c r="I2180" i="11"/>
  <c r="H2180" i="11"/>
  <c r="G2180" i="11"/>
  <c r="F2180" i="11"/>
  <c r="M2179" i="11"/>
  <c r="L2179" i="11"/>
  <c r="K2179" i="11"/>
  <c r="J2179" i="11"/>
  <c r="I2179" i="11"/>
  <c r="H2179" i="11"/>
  <c r="G2179" i="11"/>
  <c r="F2179" i="11"/>
  <c r="M2178" i="11"/>
  <c r="L2178" i="11"/>
  <c r="K2178" i="11"/>
  <c r="J2178" i="11"/>
  <c r="I2178" i="11"/>
  <c r="H2178" i="11"/>
  <c r="G2178" i="11"/>
  <c r="F2178" i="11"/>
  <c r="M2177" i="11"/>
  <c r="L2177" i="11"/>
  <c r="K2177" i="11"/>
  <c r="J2177" i="11"/>
  <c r="I2177" i="11"/>
  <c r="H2177" i="11"/>
  <c r="G2177" i="11"/>
  <c r="F2177" i="11"/>
  <c r="M2176" i="11"/>
  <c r="L2176" i="11"/>
  <c r="K2176" i="11"/>
  <c r="J2176" i="11"/>
  <c r="I2176" i="11"/>
  <c r="H2176" i="11"/>
  <c r="G2176" i="11"/>
  <c r="F2176" i="11"/>
  <c r="M2175" i="11"/>
  <c r="L2175" i="11"/>
  <c r="K2175" i="11"/>
  <c r="J2175" i="11"/>
  <c r="I2175" i="11"/>
  <c r="H2175" i="11"/>
  <c r="G2175" i="11"/>
  <c r="F2175" i="11"/>
  <c r="M2174" i="11"/>
  <c r="L2174" i="11"/>
  <c r="K2174" i="11"/>
  <c r="J2174" i="11"/>
  <c r="I2174" i="11"/>
  <c r="H2174" i="11"/>
  <c r="G2174" i="11"/>
  <c r="F2174" i="11"/>
  <c r="M2173" i="11"/>
  <c r="L2173" i="11"/>
  <c r="K2173" i="11"/>
  <c r="J2173" i="11"/>
  <c r="I2173" i="11"/>
  <c r="H2173" i="11"/>
  <c r="G2173" i="11"/>
  <c r="F2173" i="11"/>
  <c r="M2172" i="11"/>
  <c r="L2172" i="11"/>
  <c r="K2172" i="11"/>
  <c r="J2172" i="11"/>
  <c r="I2172" i="11"/>
  <c r="H2172" i="11"/>
  <c r="G2172" i="11"/>
  <c r="F2172" i="11"/>
  <c r="M2171" i="11"/>
  <c r="L2171" i="11"/>
  <c r="K2171" i="11"/>
  <c r="J2171" i="11"/>
  <c r="I2171" i="11"/>
  <c r="H2171" i="11"/>
  <c r="G2171" i="11"/>
  <c r="F2171" i="11"/>
  <c r="M2170" i="11"/>
  <c r="L2170" i="11"/>
  <c r="K2170" i="11"/>
  <c r="J2170" i="11"/>
  <c r="I2170" i="11"/>
  <c r="H2170" i="11"/>
  <c r="G2170" i="11"/>
  <c r="F2170" i="11"/>
  <c r="M2169" i="11"/>
  <c r="L2169" i="11"/>
  <c r="K2169" i="11"/>
  <c r="J2169" i="11"/>
  <c r="I2169" i="11"/>
  <c r="H2169" i="11"/>
  <c r="G2169" i="11"/>
  <c r="F2169" i="11"/>
  <c r="M2168" i="11"/>
  <c r="L2168" i="11"/>
  <c r="K2168" i="11"/>
  <c r="J2168" i="11"/>
  <c r="I2168" i="11"/>
  <c r="H2168" i="11"/>
  <c r="G2168" i="11"/>
  <c r="F2168" i="11"/>
  <c r="M2167" i="11"/>
  <c r="L2167" i="11"/>
  <c r="K2167" i="11"/>
  <c r="J2167" i="11"/>
  <c r="I2167" i="11"/>
  <c r="H2167" i="11"/>
  <c r="G2167" i="11"/>
  <c r="F2167" i="11"/>
  <c r="M2166" i="11"/>
  <c r="L2166" i="11"/>
  <c r="K2166" i="11"/>
  <c r="J2166" i="11"/>
  <c r="I2166" i="11"/>
  <c r="H2166" i="11"/>
  <c r="G2166" i="11"/>
  <c r="F2166" i="11"/>
  <c r="M2165" i="11"/>
  <c r="L2165" i="11"/>
  <c r="K2165" i="11"/>
  <c r="J2165" i="11"/>
  <c r="I2165" i="11"/>
  <c r="H2165" i="11"/>
  <c r="G2165" i="11"/>
  <c r="F2165" i="11"/>
  <c r="M2164" i="11"/>
  <c r="L2164" i="11"/>
  <c r="K2164" i="11"/>
  <c r="J2164" i="11"/>
  <c r="I2164" i="11"/>
  <c r="H2164" i="11"/>
  <c r="G2164" i="11"/>
  <c r="F2164" i="11"/>
  <c r="M2163" i="11"/>
  <c r="L2163" i="11"/>
  <c r="K2163" i="11"/>
  <c r="J2163" i="11"/>
  <c r="I2163" i="11"/>
  <c r="H2163" i="11"/>
  <c r="G2163" i="11"/>
  <c r="F2163" i="11"/>
  <c r="M2162" i="11"/>
  <c r="L2162" i="11"/>
  <c r="K2162" i="11"/>
  <c r="J2162" i="11"/>
  <c r="I2162" i="11"/>
  <c r="H2162" i="11"/>
  <c r="G2162" i="11"/>
  <c r="F2162" i="11"/>
  <c r="M2161" i="11"/>
  <c r="L2161" i="11"/>
  <c r="K2161" i="11"/>
  <c r="J2161" i="11"/>
  <c r="I2161" i="11"/>
  <c r="H2161" i="11"/>
  <c r="G2161" i="11"/>
  <c r="F2161" i="11"/>
  <c r="M2160" i="11"/>
  <c r="L2160" i="11"/>
  <c r="K2160" i="11"/>
  <c r="J2160" i="11"/>
  <c r="I2160" i="11"/>
  <c r="H2160" i="11"/>
  <c r="G2160" i="11"/>
  <c r="F2160" i="11"/>
  <c r="M2159" i="11"/>
  <c r="L2159" i="11"/>
  <c r="K2159" i="11"/>
  <c r="J2159" i="11"/>
  <c r="I2159" i="11"/>
  <c r="H2159" i="11"/>
  <c r="G2159" i="11"/>
  <c r="F2159" i="11"/>
  <c r="M2158" i="11"/>
  <c r="L2158" i="11"/>
  <c r="K2158" i="11"/>
  <c r="J2158" i="11"/>
  <c r="I2158" i="11"/>
  <c r="H2158" i="11"/>
  <c r="G2158" i="11"/>
  <c r="F2158" i="11"/>
  <c r="M2157" i="11"/>
  <c r="L2157" i="11"/>
  <c r="K2157" i="11"/>
  <c r="J2157" i="11"/>
  <c r="I2157" i="11"/>
  <c r="H2157" i="11"/>
  <c r="G2157" i="11"/>
  <c r="F2157" i="11"/>
  <c r="M2156" i="11"/>
  <c r="L2156" i="11"/>
  <c r="K2156" i="11"/>
  <c r="J2156" i="11"/>
  <c r="I2156" i="11"/>
  <c r="H2156" i="11"/>
  <c r="G2156" i="11"/>
  <c r="F2156" i="11"/>
  <c r="M2155" i="11"/>
  <c r="L2155" i="11"/>
  <c r="K2155" i="11"/>
  <c r="J2155" i="11"/>
  <c r="I2155" i="11"/>
  <c r="H2155" i="11"/>
  <c r="G2155" i="11"/>
  <c r="F2155" i="11"/>
  <c r="M2154" i="11"/>
  <c r="L2154" i="11"/>
  <c r="K2154" i="11"/>
  <c r="J2154" i="11"/>
  <c r="I2154" i="11"/>
  <c r="H2154" i="11"/>
  <c r="G2154" i="11"/>
  <c r="F2154" i="11"/>
  <c r="M2153" i="11"/>
  <c r="L2153" i="11"/>
  <c r="K2153" i="11"/>
  <c r="J2153" i="11"/>
  <c r="I2153" i="11"/>
  <c r="H2153" i="11"/>
  <c r="G2153" i="11"/>
  <c r="F2153" i="11"/>
  <c r="M2152" i="11"/>
  <c r="L2152" i="11"/>
  <c r="K2152" i="11"/>
  <c r="J2152" i="11"/>
  <c r="I2152" i="11"/>
  <c r="H2152" i="11"/>
  <c r="G2152" i="11"/>
  <c r="F2152" i="11"/>
  <c r="M2151" i="11"/>
  <c r="L2151" i="11"/>
  <c r="K2151" i="11"/>
  <c r="J2151" i="11"/>
  <c r="I2151" i="11"/>
  <c r="H2151" i="11"/>
  <c r="G2151" i="11"/>
  <c r="F2151" i="11"/>
  <c r="M2150" i="11"/>
  <c r="L2150" i="11"/>
  <c r="K2150" i="11"/>
  <c r="J2150" i="11"/>
  <c r="I2150" i="11"/>
  <c r="H2150" i="11"/>
  <c r="G2150" i="11"/>
  <c r="F2150" i="11"/>
  <c r="M2149" i="11"/>
  <c r="L2149" i="11"/>
  <c r="K2149" i="11"/>
  <c r="J2149" i="11"/>
  <c r="I2149" i="11"/>
  <c r="H2149" i="11"/>
  <c r="G2149" i="11"/>
  <c r="F2149" i="11"/>
  <c r="M2148" i="11"/>
  <c r="L2148" i="11"/>
  <c r="K2148" i="11"/>
  <c r="J2148" i="11"/>
  <c r="I2148" i="11"/>
  <c r="H2148" i="11"/>
  <c r="G2148" i="11"/>
  <c r="F2148" i="11"/>
  <c r="M2147" i="11"/>
  <c r="L2147" i="11"/>
  <c r="K2147" i="11"/>
  <c r="J2147" i="11"/>
  <c r="I2147" i="11"/>
  <c r="H2147" i="11"/>
  <c r="G2147" i="11"/>
  <c r="F2147" i="11"/>
  <c r="M2146" i="11"/>
  <c r="L2146" i="11"/>
  <c r="K2146" i="11"/>
  <c r="J2146" i="11"/>
  <c r="I2146" i="11"/>
  <c r="H2146" i="11"/>
  <c r="G2146" i="11"/>
  <c r="F2146" i="11"/>
  <c r="M2145" i="11"/>
  <c r="L2145" i="11"/>
  <c r="K2145" i="11"/>
  <c r="J2145" i="11"/>
  <c r="I2145" i="11"/>
  <c r="H2145" i="11"/>
  <c r="G2145" i="11"/>
  <c r="F2145" i="11"/>
  <c r="M2144" i="11"/>
  <c r="L2144" i="11"/>
  <c r="K2144" i="11"/>
  <c r="J2144" i="11"/>
  <c r="I2144" i="11"/>
  <c r="H2144" i="11"/>
  <c r="G2144" i="11"/>
  <c r="F2144" i="11"/>
  <c r="M2143" i="11"/>
  <c r="L2143" i="11"/>
  <c r="K2143" i="11"/>
  <c r="J2143" i="11"/>
  <c r="I2143" i="11"/>
  <c r="H2143" i="11"/>
  <c r="G2143" i="11"/>
  <c r="F2143" i="11"/>
  <c r="M2142" i="11"/>
  <c r="L2142" i="11"/>
  <c r="K2142" i="11"/>
  <c r="J2142" i="11"/>
  <c r="I2142" i="11"/>
  <c r="H2142" i="11"/>
  <c r="G2142" i="11"/>
  <c r="F2142" i="11"/>
  <c r="M2141" i="11"/>
  <c r="L2141" i="11"/>
  <c r="K2141" i="11"/>
  <c r="J2141" i="11"/>
  <c r="I2141" i="11"/>
  <c r="H2141" i="11"/>
  <c r="G2141" i="11"/>
  <c r="F2141" i="11"/>
  <c r="M2140" i="11"/>
  <c r="L2140" i="11"/>
  <c r="K2140" i="11"/>
  <c r="J2140" i="11"/>
  <c r="I2140" i="11"/>
  <c r="H2140" i="11"/>
  <c r="G2140" i="11"/>
  <c r="F2140" i="11"/>
  <c r="M2139" i="11"/>
  <c r="L2139" i="11"/>
  <c r="K2139" i="11"/>
  <c r="J2139" i="11"/>
  <c r="I2139" i="11"/>
  <c r="H2139" i="11"/>
  <c r="G2139" i="11"/>
  <c r="F2139" i="11"/>
  <c r="M2138" i="11"/>
  <c r="L2138" i="11"/>
  <c r="K2138" i="11"/>
  <c r="J2138" i="11"/>
  <c r="I2138" i="11"/>
  <c r="H2138" i="11"/>
  <c r="G2138" i="11"/>
  <c r="F2138" i="11"/>
  <c r="M2137" i="11"/>
  <c r="L2137" i="11"/>
  <c r="K2137" i="11"/>
  <c r="J2137" i="11"/>
  <c r="I2137" i="11"/>
  <c r="H2137" i="11"/>
  <c r="G2137" i="11"/>
  <c r="F2137" i="11"/>
  <c r="M2136" i="11"/>
  <c r="L2136" i="11"/>
  <c r="K2136" i="11"/>
  <c r="J2136" i="11"/>
  <c r="I2136" i="11"/>
  <c r="H2136" i="11"/>
  <c r="G2136" i="11"/>
  <c r="F2136" i="11"/>
  <c r="M2135" i="11"/>
  <c r="L2135" i="11"/>
  <c r="K2135" i="11"/>
  <c r="J2135" i="11"/>
  <c r="I2135" i="11"/>
  <c r="H2135" i="11"/>
  <c r="G2135" i="11"/>
  <c r="F2135" i="11"/>
  <c r="M2134" i="11"/>
  <c r="L2134" i="11"/>
  <c r="K2134" i="11"/>
  <c r="J2134" i="11"/>
  <c r="I2134" i="11"/>
  <c r="H2134" i="11"/>
  <c r="G2134" i="11"/>
  <c r="F2134" i="11"/>
  <c r="M2133" i="11"/>
  <c r="L2133" i="11"/>
  <c r="K2133" i="11"/>
  <c r="J2133" i="11"/>
  <c r="I2133" i="11"/>
  <c r="H2133" i="11"/>
  <c r="G2133" i="11"/>
  <c r="F2133" i="11"/>
  <c r="M2132" i="11"/>
  <c r="L2132" i="11"/>
  <c r="K2132" i="11"/>
  <c r="J2132" i="11"/>
  <c r="I2132" i="11"/>
  <c r="H2132" i="11"/>
  <c r="G2132" i="11"/>
  <c r="F2132" i="11"/>
  <c r="M2131" i="11"/>
  <c r="L2131" i="11"/>
  <c r="K2131" i="11"/>
  <c r="J2131" i="11"/>
  <c r="I2131" i="11"/>
  <c r="H2131" i="11"/>
  <c r="G2131" i="11"/>
  <c r="F2131" i="11"/>
  <c r="M2130" i="11"/>
  <c r="L2130" i="11"/>
  <c r="K2130" i="11"/>
  <c r="J2130" i="11"/>
  <c r="I2130" i="11"/>
  <c r="H2130" i="11"/>
  <c r="G2130" i="11"/>
  <c r="F2130" i="11"/>
  <c r="M2129" i="11"/>
  <c r="L2129" i="11"/>
  <c r="K2129" i="11"/>
  <c r="J2129" i="11"/>
  <c r="I2129" i="11"/>
  <c r="H2129" i="11"/>
  <c r="G2129" i="11"/>
  <c r="F2129" i="11"/>
  <c r="M2128" i="11"/>
  <c r="L2128" i="11"/>
  <c r="K2128" i="11"/>
  <c r="J2128" i="11"/>
  <c r="I2128" i="11"/>
  <c r="H2128" i="11"/>
  <c r="G2128" i="11"/>
  <c r="F2128" i="11"/>
  <c r="M2127" i="11"/>
  <c r="L2127" i="11"/>
  <c r="K2127" i="11"/>
  <c r="J2127" i="11"/>
  <c r="I2127" i="11"/>
  <c r="H2127" i="11"/>
  <c r="G2127" i="11"/>
  <c r="F2127" i="11"/>
  <c r="M2126" i="11"/>
  <c r="L2126" i="11"/>
  <c r="K2126" i="11"/>
  <c r="J2126" i="11"/>
  <c r="I2126" i="11"/>
  <c r="H2126" i="11"/>
  <c r="G2126" i="11"/>
  <c r="F2126" i="11"/>
  <c r="M2125" i="11"/>
  <c r="L2125" i="11"/>
  <c r="K2125" i="11"/>
  <c r="J2125" i="11"/>
  <c r="I2125" i="11"/>
  <c r="H2125" i="11"/>
  <c r="G2125" i="11"/>
  <c r="F2125" i="11"/>
  <c r="M2124" i="11"/>
  <c r="L2124" i="11"/>
  <c r="K2124" i="11"/>
  <c r="J2124" i="11"/>
  <c r="I2124" i="11"/>
  <c r="H2124" i="11"/>
  <c r="G2124" i="11"/>
  <c r="F2124" i="11"/>
  <c r="M2123" i="11"/>
  <c r="L2123" i="11"/>
  <c r="K2123" i="11"/>
  <c r="J2123" i="11"/>
  <c r="I2123" i="11"/>
  <c r="H2123" i="11"/>
  <c r="G2123" i="11"/>
  <c r="F2123" i="11"/>
  <c r="M2122" i="11"/>
  <c r="L2122" i="11"/>
  <c r="K2122" i="11"/>
  <c r="J2122" i="11"/>
  <c r="I2122" i="11"/>
  <c r="H2122" i="11"/>
  <c r="G2122" i="11"/>
  <c r="F2122" i="11"/>
  <c r="M2121" i="11"/>
  <c r="L2121" i="11"/>
  <c r="K2121" i="11"/>
  <c r="J2121" i="11"/>
  <c r="I2121" i="11"/>
  <c r="H2121" i="11"/>
  <c r="G2121" i="11"/>
  <c r="F2121" i="11"/>
  <c r="M2120" i="11"/>
  <c r="L2120" i="11"/>
  <c r="K2120" i="11"/>
  <c r="J2120" i="11"/>
  <c r="I2120" i="11"/>
  <c r="H2120" i="11"/>
  <c r="G2120" i="11"/>
  <c r="F2120" i="11"/>
  <c r="M2119" i="11"/>
  <c r="L2119" i="11"/>
  <c r="K2119" i="11"/>
  <c r="J2119" i="11"/>
  <c r="I2119" i="11"/>
  <c r="H2119" i="11"/>
  <c r="G2119" i="11"/>
  <c r="F2119" i="11"/>
  <c r="M2118" i="11"/>
  <c r="L2118" i="11"/>
  <c r="K2118" i="11"/>
  <c r="J2118" i="11"/>
  <c r="I2118" i="11"/>
  <c r="H2118" i="11"/>
  <c r="G2118" i="11"/>
  <c r="F2118" i="11"/>
  <c r="M2117" i="11"/>
  <c r="L2117" i="11"/>
  <c r="K2117" i="11"/>
  <c r="J2117" i="11"/>
  <c r="I2117" i="11"/>
  <c r="H2117" i="11"/>
  <c r="G2117" i="11"/>
  <c r="F2117" i="11"/>
  <c r="M2116" i="11"/>
  <c r="L2116" i="11"/>
  <c r="K2116" i="11"/>
  <c r="J2116" i="11"/>
  <c r="I2116" i="11"/>
  <c r="H2116" i="11"/>
  <c r="G2116" i="11"/>
  <c r="F2116" i="11"/>
  <c r="M2115" i="11"/>
  <c r="L2115" i="11"/>
  <c r="K2115" i="11"/>
  <c r="J2115" i="11"/>
  <c r="I2115" i="11"/>
  <c r="H2115" i="11"/>
  <c r="G2115" i="11"/>
  <c r="F2115" i="11"/>
  <c r="M2114" i="11"/>
  <c r="L2114" i="11"/>
  <c r="K2114" i="11"/>
  <c r="J2114" i="11"/>
  <c r="I2114" i="11"/>
  <c r="H2114" i="11"/>
  <c r="G2114" i="11"/>
  <c r="F2114" i="11"/>
  <c r="M2113" i="11"/>
  <c r="L2113" i="11"/>
  <c r="K2113" i="11"/>
  <c r="J2113" i="11"/>
  <c r="I2113" i="11"/>
  <c r="H2113" i="11"/>
  <c r="G2113" i="11"/>
  <c r="F2113" i="11"/>
  <c r="M2112" i="11"/>
  <c r="L2112" i="11"/>
  <c r="K2112" i="11"/>
  <c r="J2112" i="11"/>
  <c r="I2112" i="11"/>
  <c r="H2112" i="11"/>
  <c r="G2112" i="11"/>
  <c r="F2112" i="11"/>
  <c r="M2111" i="11"/>
  <c r="L2111" i="11"/>
  <c r="K2111" i="11"/>
  <c r="J2111" i="11"/>
  <c r="I2111" i="11"/>
  <c r="H2111" i="11"/>
  <c r="G2111" i="11"/>
  <c r="F2111" i="11"/>
  <c r="M2110" i="11"/>
  <c r="L2110" i="11"/>
  <c r="K2110" i="11"/>
  <c r="J2110" i="11"/>
  <c r="I2110" i="11"/>
  <c r="H2110" i="11"/>
  <c r="G2110" i="11"/>
  <c r="F2110" i="11"/>
  <c r="M2109" i="11"/>
  <c r="L2109" i="11"/>
  <c r="K2109" i="11"/>
  <c r="J2109" i="11"/>
  <c r="I2109" i="11"/>
  <c r="H2109" i="11"/>
  <c r="G2109" i="11"/>
  <c r="F2109" i="11"/>
  <c r="M2108" i="11"/>
  <c r="L2108" i="11"/>
  <c r="K2108" i="11"/>
  <c r="J2108" i="11"/>
  <c r="I2108" i="11"/>
  <c r="H2108" i="11"/>
  <c r="G2108" i="11"/>
  <c r="F2108" i="11"/>
  <c r="M2107" i="11"/>
  <c r="L2107" i="11"/>
  <c r="K2107" i="11"/>
  <c r="J2107" i="11"/>
  <c r="I2107" i="11"/>
  <c r="H2107" i="11"/>
  <c r="G2107" i="11"/>
  <c r="F2107" i="11"/>
  <c r="M2106" i="11"/>
  <c r="L2106" i="11"/>
  <c r="K2106" i="11"/>
  <c r="J2106" i="11"/>
  <c r="I2106" i="11"/>
  <c r="H2106" i="11"/>
  <c r="G2106" i="11"/>
  <c r="F2106" i="11"/>
  <c r="M2105" i="11"/>
  <c r="L2105" i="11"/>
  <c r="K2105" i="11"/>
  <c r="J2105" i="11"/>
  <c r="I2105" i="11"/>
  <c r="H2105" i="11"/>
  <c r="G2105" i="11"/>
  <c r="F2105" i="11"/>
  <c r="M2104" i="11"/>
  <c r="L2104" i="11"/>
  <c r="K2104" i="11"/>
  <c r="J2104" i="11"/>
  <c r="I2104" i="11"/>
  <c r="H2104" i="11"/>
  <c r="G2104" i="11"/>
  <c r="F2104" i="11"/>
  <c r="M2103" i="11"/>
  <c r="L2103" i="11"/>
  <c r="K2103" i="11"/>
  <c r="J2103" i="11"/>
  <c r="I2103" i="11"/>
  <c r="H2103" i="11"/>
  <c r="G2103" i="11"/>
  <c r="F2103" i="11"/>
  <c r="M2102" i="11"/>
  <c r="L2102" i="11"/>
  <c r="K2102" i="11"/>
  <c r="J2102" i="11"/>
  <c r="I2102" i="11"/>
  <c r="H2102" i="11"/>
  <c r="G2102" i="11"/>
  <c r="F2102" i="11"/>
  <c r="M2101" i="11"/>
  <c r="L2101" i="11"/>
  <c r="K2101" i="11"/>
  <c r="J2101" i="11"/>
  <c r="I2101" i="11"/>
  <c r="H2101" i="11"/>
  <c r="G2101" i="11"/>
  <c r="F2101" i="11"/>
  <c r="M2100" i="11"/>
  <c r="L2100" i="11"/>
  <c r="K2100" i="11"/>
  <c r="J2100" i="11"/>
  <c r="I2100" i="11"/>
  <c r="H2100" i="11"/>
  <c r="G2100" i="11"/>
  <c r="F2100" i="11"/>
  <c r="M2099" i="11"/>
  <c r="L2099" i="11"/>
  <c r="K2099" i="11"/>
  <c r="J2099" i="11"/>
  <c r="I2099" i="11"/>
  <c r="H2099" i="11"/>
  <c r="G2099" i="11"/>
  <c r="F2099" i="11"/>
  <c r="M2098" i="11"/>
  <c r="L2098" i="11"/>
  <c r="K2098" i="11"/>
  <c r="J2098" i="11"/>
  <c r="I2098" i="11"/>
  <c r="H2098" i="11"/>
  <c r="G2098" i="11"/>
  <c r="F2098" i="11"/>
  <c r="M2097" i="11"/>
  <c r="L2097" i="11"/>
  <c r="K2097" i="11"/>
  <c r="J2097" i="11"/>
  <c r="I2097" i="11"/>
  <c r="H2097" i="11"/>
  <c r="G2097" i="11"/>
  <c r="F2097" i="11"/>
  <c r="M2096" i="11"/>
  <c r="L2096" i="11"/>
  <c r="K2096" i="11"/>
  <c r="J2096" i="11"/>
  <c r="I2096" i="11"/>
  <c r="H2096" i="11"/>
  <c r="G2096" i="11"/>
  <c r="F2096" i="11"/>
  <c r="M2095" i="11"/>
  <c r="L2095" i="11"/>
  <c r="K2095" i="11"/>
  <c r="J2095" i="11"/>
  <c r="I2095" i="11"/>
  <c r="H2095" i="11"/>
  <c r="G2095" i="11"/>
  <c r="F2095" i="11"/>
  <c r="M2094" i="11"/>
  <c r="L2094" i="11"/>
  <c r="K2094" i="11"/>
  <c r="J2094" i="11"/>
  <c r="I2094" i="11"/>
  <c r="H2094" i="11"/>
  <c r="G2094" i="11"/>
  <c r="F2094" i="11"/>
  <c r="M2093" i="11"/>
  <c r="L2093" i="11"/>
  <c r="K2093" i="11"/>
  <c r="J2093" i="11"/>
  <c r="I2093" i="11"/>
  <c r="H2093" i="11"/>
  <c r="G2093" i="11"/>
  <c r="F2093" i="11"/>
  <c r="M2092" i="11"/>
  <c r="L2092" i="11"/>
  <c r="K2092" i="11"/>
  <c r="J2092" i="11"/>
  <c r="I2092" i="11"/>
  <c r="H2092" i="11"/>
  <c r="G2092" i="11"/>
  <c r="F2092" i="11"/>
  <c r="M2091" i="11"/>
  <c r="L2091" i="11"/>
  <c r="K2091" i="11"/>
  <c r="J2091" i="11"/>
  <c r="I2091" i="11"/>
  <c r="H2091" i="11"/>
  <c r="G2091" i="11"/>
  <c r="F2091" i="11"/>
  <c r="M2090" i="11"/>
  <c r="L2090" i="11"/>
  <c r="K2090" i="11"/>
  <c r="J2090" i="11"/>
  <c r="I2090" i="11"/>
  <c r="H2090" i="11"/>
  <c r="G2090" i="11"/>
  <c r="F2090" i="11"/>
  <c r="M2089" i="11"/>
  <c r="L2089" i="11"/>
  <c r="K2089" i="11"/>
  <c r="J2089" i="11"/>
  <c r="I2089" i="11"/>
  <c r="H2089" i="11"/>
  <c r="G2089" i="11"/>
  <c r="F2089" i="11"/>
  <c r="M2088" i="11"/>
  <c r="L2088" i="11"/>
  <c r="K2088" i="11"/>
  <c r="J2088" i="11"/>
  <c r="I2088" i="11"/>
  <c r="H2088" i="11"/>
  <c r="G2088" i="11"/>
  <c r="F2088" i="11"/>
  <c r="M2087" i="11"/>
  <c r="L2087" i="11"/>
  <c r="K2087" i="11"/>
  <c r="J2087" i="11"/>
  <c r="I2087" i="11"/>
  <c r="H2087" i="11"/>
  <c r="G2087" i="11"/>
  <c r="F2087" i="11"/>
  <c r="M2086" i="11"/>
  <c r="L2086" i="11"/>
  <c r="K2086" i="11"/>
  <c r="J2086" i="11"/>
  <c r="I2086" i="11"/>
  <c r="H2086" i="11"/>
  <c r="G2086" i="11"/>
  <c r="F2086" i="11"/>
  <c r="M2085" i="11"/>
  <c r="L2085" i="11"/>
  <c r="K2085" i="11"/>
  <c r="J2085" i="11"/>
  <c r="I2085" i="11"/>
  <c r="H2085" i="11"/>
  <c r="G2085" i="11"/>
  <c r="F2085" i="11"/>
  <c r="M2084" i="11"/>
  <c r="L2084" i="11"/>
  <c r="K2084" i="11"/>
  <c r="J2084" i="11"/>
  <c r="I2084" i="11"/>
  <c r="H2084" i="11"/>
  <c r="G2084" i="11"/>
  <c r="F2084" i="11"/>
  <c r="M2083" i="11"/>
  <c r="L2083" i="11"/>
  <c r="K2083" i="11"/>
  <c r="J2083" i="11"/>
  <c r="I2083" i="11"/>
  <c r="H2083" i="11"/>
  <c r="G2083" i="11"/>
  <c r="F2083" i="11"/>
  <c r="M2082" i="11"/>
  <c r="L2082" i="11"/>
  <c r="K2082" i="11"/>
  <c r="J2082" i="11"/>
  <c r="I2082" i="11"/>
  <c r="H2082" i="11"/>
  <c r="G2082" i="11"/>
  <c r="F2082" i="11"/>
  <c r="M2081" i="11"/>
  <c r="L2081" i="11"/>
  <c r="K2081" i="11"/>
  <c r="J2081" i="11"/>
  <c r="I2081" i="11"/>
  <c r="H2081" i="11"/>
  <c r="G2081" i="11"/>
  <c r="F2081" i="11"/>
  <c r="M2080" i="11"/>
  <c r="L2080" i="11"/>
  <c r="K2080" i="11"/>
  <c r="J2080" i="11"/>
  <c r="I2080" i="11"/>
  <c r="H2080" i="11"/>
  <c r="G2080" i="11"/>
  <c r="F2080" i="11"/>
  <c r="M2079" i="11"/>
  <c r="L2079" i="11"/>
  <c r="K2079" i="11"/>
  <c r="J2079" i="11"/>
  <c r="I2079" i="11"/>
  <c r="H2079" i="11"/>
  <c r="G2079" i="11"/>
  <c r="F2079" i="11"/>
  <c r="M2078" i="11"/>
  <c r="L2078" i="11"/>
  <c r="K2078" i="11"/>
  <c r="J2078" i="11"/>
  <c r="I2078" i="11"/>
  <c r="H2078" i="11"/>
  <c r="G2078" i="11"/>
  <c r="F2078" i="11"/>
  <c r="M2077" i="11"/>
  <c r="L2077" i="11"/>
  <c r="K2077" i="11"/>
  <c r="J2077" i="11"/>
  <c r="I2077" i="11"/>
  <c r="H2077" i="11"/>
  <c r="G2077" i="11"/>
  <c r="F2077" i="11"/>
  <c r="M2076" i="11"/>
  <c r="L2076" i="11"/>
  <c r="K2076" i="11"/>
  <c r="J2076" i="11"/>
  <c r="I2076" i="11"/>
  <c r="H2076" i="11"/>
  <c r="G2076" i="11"/>
  <c r="F2076" i="11"/>
  <c r="M2075" i="11"/>
  <c r="L2075" i="11"/>
  <c r="K2075" i="11"/>
  <c r="J2075" i="11"/>
  <c r="I2075" i="11"/>
  <c r="H2075" i="11"/>
  <c r="G2075" i="11"/>
  <c r="F2075" i="11"/>
  <c r="M2074" i="11"/>
  <c r="L2074" i="11"/>
  <c r="K2074" i="11"/>
  <c r="J2074" i="11"/>
  <c r="I2074" i="11"/>
  <c r="H2074" i="11"/>
  <c r="G2074" i="11"/>
  <c r="F2074" i="11"/>
  <c r="M2073" i="11"/>
  <c r="L2073" i="11"/>
  <c r="K2073" i="11"/>
  <c r="J2073" i="11"/>
  <c r="I2073" i="11"/>
  <c r="H2073" i="11"/>
  <c r="G2073" i="11"/>
  <c r="F2073" i="11"/>
  <c r="M2072" i="11"/>
  <c r="L2072" i="11"/>
  <c r="K2072" i="11"/>
  <c r="J2072" i="11"/>
  <c r="I2072" i="11"/>
  <c r="H2072" i="11"/>
  <c r="G2072" i="11"/>
  <c r="F2072" i="11"/>
  <c r="M2071" i="11"/>
  <c r="L2071" i="11"/>
  <c r="K2071" i="11"/>
  <c r="J2071" i="11"/>
  <c r="I2071" i="11"/>
  <c r="H2071" i="11"/>
  <c r="G2071" i="11"/>
  <c r="F2071" i="11"/>
  <c r="M2070" i="11"/>
  <c r="L2070" i="11"/>
  <c r="K2070" i="11"/>
  <c r="J2070" i="11"/>
  <c r="I2070" i="11"/>
  <c r="H2070" i="11"/>
  <c r="G2070" i="11"/>
  <c r="F2070" i="11"/>
  <c r="M2069" i="11"/>
  <c r="L2069" i="11"/>
  <c r="K2069" i="11"/>
  <c r="J2069" i="11"/>
  <c r="I2069" i="11"/>
  <c r="H2069" i="11"/>
  <c r="G2069" i="11"/>
  <c r="F2069" i="11"/>
  <c r="M2068" i="11"/>
  <c r="L2068" i="11"/>
  <c r="K2068" i="11"/>
  <c r="J2068" i="11"/>
  <c r="I2068" i="11"/>
  <c r="H2068" i="11"/>
  <c r="G2068" i="11"/>
  <c r="F2068" i="11"/>
  <c r="M2067" i="11"/>
  <c r="L2067" i="11"/>
  <c r="K2067" i="11"/>
  <c r="J2067" i="11"/>
  <c r="I2067" i="11"/>
  <c r="H2067" i="11"/>
  <c r="G2067" i="11"/>
  <c r="F2067" i="11"/>
  <c r="M2066" i="11"/>
  <c r="L2066" i="11"/>
  <c r="K2066" i="11"/>
  <c r="J2066" i="11"/>
  <c r="I2066" i="11"/>
  <c r="H2066" i="11"/>
  <c r="G2066" i="11"/>
  <c r="F2066" i="11"/>
  <c r="M2065" i="11"/>
  <c r="L2065" i="11"/>
  <c r="K2065" i="11"/>
  <c r="J2065" i="11"/>
  <c r="I2065" i="11"/>
  <c r="H2065" i="11"/>
  <c r="G2065" i="11"/>
  <c r="F2065" i="11"/>
  <c r="M2064" i="11"/>
  <c r="L2064" i="11"/>
  <c r="K2064" i="11"/>
  <c r="J2064" i="11"/>
  <c r="I2064" i="11"/>
  <c r="H2064" i="11"/>
  <c r="G2064" i="11"/>
  <c r="F2064" i="11"/>
  <c r="M2063" i="11"/>
  <c r="L2063" i="11"/>
  <c r="K2063" i="11"/>
  <c r="J2063" i="11"/>
  <c r="I2063" i="11"/>
  <c r="H2063" i="11"/>
  <c r="G2063" i="11"/>
  <c r="F2063" i="11"/>
  <c r="M2062" i="11"/>
  <c r="L2062" i="11"/>
  <c r="K2062" i="11"/>
  <c r="J2062" i="11"/>
  <c r="I2062" i="11"/>
  <c r="H2062" i="11"/>
  <c r="G2062" i="11"/>
  <c r="F2062" i="11"/>
  <c r="M2061" i="11"/>
  <c r="L2061" i="11"/>
  <c r="K2061" i="11"/>
  <c r="J2061" i="11"/>
  <c r="I2061" i="11"/>
  <c r="H2061" i="11"/>
  <c r="G2061" i="11"/>
  <c r="F2061" i="11"/>
  <c r="M2060" i="11"/>
  <c r="L2060" i="11"/>
  <c r="K2060" i="11"/>
  <c r="J2060" i="11"/>
  <c r="I2060" i="11"/>
  <c r="H2060" i="11"/>
  <c r="G2060" i="11"/>
  <c r="F2060" i="11"/>
  <c r="M2059" i="11"/>
  <c r="L2059" i="11"/>
  <c r="K2059" i="11"/>
  <c r="J2059" i="11"/>
  <c r="I2059" i="11"/>
  <c r="H2059" i="11"/>
  <c r="G2059" i="11"/>
  <c r="F2059" i="11"/>
  <c r="M2058" i="11"/>
  <c r="L2058" i="11"/>
  <c r="K2058" i="11"/>
  <c r="J2058" i="11"/>
  <c r="I2058" i="11"/>
  <c r="H2058" i="11"/>
  <c r="G2058" i="11"/>
  <c r="F2058" i="11"/>
  <c r="M2057" i="11"/>
  <c r="L2057" i="11"/>
  <c r="K2057" i="11"/>
  <c r="J2057" i="11"/>
  <c r="I2057" i="11"/>
  <c r="H2057" i="11"/>
  <c r="G2057" i="11"/>
  <c r="F2057" i="11"/>
  <c r="M2056" i="11"/>
  <c r="L2056" i="11"/>
  <c r="K2056" i="11"/>
  <c r="J2056" i="11"/>
  <c r="I2056" i="11"/>
  <c r="H2056" i="11"/>
  <c r="G2056" i="11"/>
  <c r="F2056" i="11"/>
  <c r="M2055" i="11"/>
  <c r="L2055" i="11"/>
  <c r="K2055" i="11"/>
  <c r="J2055" i="11"/>
  <c r="I2055" i="11"/>
  <c r="H2055" i="11"/>
  <c r="G2055" i="11"/>
  <c r="F2055" i="11"/>
  <c r="M2054" i="11"/>
  <c r="L2054" i="11"/>
  <c r="K2054" i="11"/>
  <c r="J2054" i="11"/>
  <c r="I2054" i="11"/>
  <c r="H2054" i="11"/>
  <c r="G2054" i="11"/>
  <c r="F2054" i="11"/>
  <c r="M2053" i="11"/>
  <c r="L2053" i="11"/>
  <c r="K2053" i="11"/>
  <c r="J2053" i="11"/>
  <c r="I2053" i="11"/>
  <c r="H2053" i="11"/>
  <c r="G2053" i="11"/>
  <c r="F2053" i="11"/>
  <c r="M2052" i="11"/>
  <c r="L2052" i="11"/>
  <c r="K2052" i="11"/>
  <c r="J2052" i="11"/>
  <c r="I2052" i="11"/>
  <c r="H2052" i="11"/>
  <c r="G2052" i="11"/>
  <c r="F2052" i="11"/>
  <c r="M2051" i="11"/>
  <c r="L2051" i="11"/>
  <c r="K2051" i="11"/>
  <c r="J2051" i="11"/>
  <c r="I2051" i="11"/>
  <c r="H2051" i="11"/>
  <c r="G2051" i="11"/>
  <c r="F2051" i="11"/>
  <c r="M2050" i="11"/>
  <c r="L2050" i="11"/>
  <c r="K2050" i="11"/>
  <c r="J2050" i="11"/>
  <c r="I2050" i="11"/>
  <c r="H2050" i="11"/>
  <c r="G2050" i="11"/>
  <c r="F2050" i="11"/>
  <c r="M2049" i="11"/>
  <c r="L2049" i="11"/>
  <c r="K2049" i="11"/>
  <c r="J2049" i="11"/>
  <c r="I2049" i="11"/>
  <c r="H2049" i="11"/>
  <c r="G2049" i="11"/>
  <c r="F2049" i="11"/>
  <c r="M2048" i="11"/>
  <c r="L2048" i="11"/>
  <c r="K2048" i="11"/>
  <c r="J2048" i="11"/>
  <c r="I2048" i="11"/>
  <c r="H2048" i="11"/>
  <c r="G2048" i="11"/>
  <c r="F2048" i="11"/>
  <c r="M2047" i="11"/>
  <c r="L2047" i="11"/>
  <c r="K2047" i="11"/>
  <c r="J2047" i="11"/>
  <c r="I2047" i="11"/>
  <c r="H2047" i="11"/>
  <c r="G2047" i="11"/>
  <c r="F2047" i="11"/>
  <c r="M2046" i="11"/>
  <c r="L2046" i="11"/>
  <c r="K2046" i="11"/>
  <c r="J2046" i="11"/>
  <c r="I2046" i="11"/>
  <c r="H2046" i="11"/>
  <c r="G2046" i="11"/>
  <c r="F2046" i="11"/>
  <c r="M2045" i="11"/>
  <c r="L2045" i="11"/>
  <c r="K2045" i="11"/>
  <c r="J2045" i="11"/>
  <c r="I2045" i="11"/>
  <c r="H2045" i="11"/>
  <c r="G2045" i="11"/>
  <c r="F2045" i="11"/>
  <c r="M2044" i="11"/>
  <c r="L2044" i="11"/>
  <c r="K2044" i="11"/>
  <c r="J2044" i="11"/>
  <c r="I2044" i="11"/>
  <c r="H2044" i="11"/>
  <c r="G2044" i="11"/>
  <c r="F2044" i="11"/>
  <c r="M2043" i="11"/>
  <c r="L2043" i="11"/>
  <c r="K2043" i="11"/>
  <c r="J2043" i="11"/>
  <c r="I2043" i="11"/>
  <c r="H2043" i="11"/>
  <c r="G2043" i="11"/>
  <c r="F2043" i="11"/>
  <c r="M2042" i="11"/>
  <c r="L2042" i="11"/>
  <c r="K2042" i="11"/>
  <c r="J2042" i="11"/>
  <c r="I2042" i="11"/>
  <c r="H2042" i="11"/>
  <c r="G2042" i="11"/>
  <c r="F2042" i="11"/>
  <c r="M2041" i="11"/>
  <c r="L2041" i="11"/>
  <c r="K2041" i="11"/>
  <c r="J2041" i="11"/>
  <c r="I2041" i="11"/>
  <c r="H2041" i="11"/>
  <c r="G2041" i="11"/>
  <c r="F2041" i="11"/>
  <c r="M2040" i="11"/>
  <c r="L2040" i="11"/>
  <c r="K2040" i="11"/>
  <c r="J2040" i="11"/>
  <c r="I2040" i="11"/>
  <c r="H2040" i="11"/>
  <c r="G2040" i="11"/>
  <c r="F2040" i="11"/>
  <c r="M2039" i="11"/>
  <c r="L2039" i="11"/>
  <c r="K2039" i="11"/>
  <c r="J2039" i="11"/>
  <c r="I2039" i="11"/>
  <c r="H2039" i="11"/>
  <c r="G2039" i="11"/>
  <c r="F2039" i="11"/>
  <c r="M2038" i="11"/>
  <c r="L2038" i="11"/>
  <c r="K2038" i="11"/>
  <c r="J2038" i="11"/>
  <c r="I2038" i="11"/>
  <c r="H2038" i="11"/>
  <c r="G2038" i="11"/>
  <c r="F2038" i="11"/>
  <c r="M2037" i="11"/>
  <c r="L2037" i="11"/>
  <c r="K2037" i="11"/>
  <c r="J2037" i="11"/>
  <c r="I2037" i="11"/>
  <c r="H2037" i="11"/>
  <c r="G2037" i="11"/>
  <c r="F2037" i="11"/>
  <c r="M2036" i="11"/>
  <c r="L2036" i="11"/>
  <c r="K2036" i="11"/>
  <c r="J2036" i="11"/>
  <c r="I2036" i="11"/>
  <c r="H2036" i="11"/>
  <c r="G2036" i="11"/>
  <c r="F2036" i="11"/>
  <c r="M2035" i="11"/>
  <c r="L2035" i="11"/>
  <c r="K2035" i="11"/>
  <c r="J2035" i="11"/>
  <c r="I2035" i="11"/>
  <c r="H2035" i="11"/>
  <c r="G2035" i="11"/>
  <c r="F2035" i="11"/>
  <c r="M2034" i="11"/>
  <c r="L2034" i="11"/>
  <c r="K2034" i="11"/>
  <c r="J2034" i="11"/>
  <c r="I2034" i="11"/>
  <c r="H2034" i="11"/>
  <c r="G2034" i="11"/>
  <c r="F2034" i="11"/>
  <c r="M2033" i="11"/>
  <c r="L2033" i="11"/>
  <c r="K2033" i="11"/>
  <c r="J2033" i="11"/>
  <c r="I2033" i="11"/>
  <c r="H2033" i="11"/>
  <c r="G2033" i="11"/>
  <c r="F2033" i="11"/>
  <c r="M2032" i="11"/>
  <c r="L2032" i="11"/>
  <c r="K2032" i="11"/>
  <c r="J2032" i="11"/>
  <c r="I2032" i="11"/>
  <c r="H2032" i="11"/>
  <c r="G2032" i="11"/>
  <c r="F2032" i="11"/>
  <c r="M2031" i="11"/>
  <c r="L2031" i="11"/>
  <c r="K2031" i="11"/>
  <c r="J2031" i="11"/>
  <c r="I2031" i="11"/>
  <c r="H2031" i="11"/>
  <c r="G2031" i="11"/>
  <c r="F2031" i="11"/>
  <c r="M2030" i="11"/>
  <c r="L2030" i="11"/>
  <c r="K2030" i="11"/>
  <c r="J2030" i="11"/>
  <c r="I2030" i="11"/>
  <c r="H2030" i="11"/>
  <c r="G2030" i="11"/>
  <c r="F2030" i="11"/>
  <c r="M2029" i="11"/>
  <c r="L2029" i="11"/>
  <c r="K2029" i="11"/>
  <c r="J2029" i="11"/>
  <c r="I2029" i="11"/>
  <c r="H2029" i="11"/>
  <c r="G2029" i="11"/>
  <c r="F2029" i="11"/>
  <c r="M2028" i="11"/>
  <c r="L2028" i="11"/>
  <c r="K2028" i="11"/>
  <c r="J2028" i="11"/>
  <c r="I2028" i="11"/>
  <c r="H2028" i="11"/>
  <c r="G2028" i="11"/>
  <c r="F2028" i="11"/>
  <c r="M2027" i="11"/>
  <c r="L2027" i="11"/>
  <c r="K2027" i="11"/>
  <c r="J2027" i="11"/>
  <c r="I2027" i="11"/>
  <c r="H2027" i="11"/>
  <c r="G2027" i="11"/>
  <c r="F2027" i="11"/>
  <c r="M2026" i="11"/>
  <c r="L2026" i="11"/>
  <c r="K2026" i="11"/>
  <c r="J2026" i="11"/>
  <c r="I2026" i="11"/>
  <c r="H2026" i="11"/>
  <c r="G2026" i="11"/>
  <c r="F2026" i="11"/>
  <c r="M2025" i="11"/>
  <c r="L2025" i="11"/>
  <c r="K2025" i="11"/>
  <c r="J2025" i="11"/>
  <c r="I2025" i="11"/>
  <c r="H2025" i="11"/>
  <c r="G2025" i="11"/>
  <c r="F2025" i="11"/>
  <c r="M2024" i="11"/>
  <c r="L2024" i="11"/>
  <c r="K2024" i="11"/>
  <c r="J2024" i="11"/>
  <c r="I2024" i="11"/>
  <c r="H2024" i="11"/>
  <c r="G2024" i="11"/>
  <c r="F2024" i="11"/>
  <c r="M2023" i="11"/>
  <c r="L2023" i="11"/>
  <c r="K2023" i="11"/>
  <c r="J2023" i="11"/>
  <c r="I2023" i="11"/>
  <c r="H2023" i="11"/>
  <c r="G2023" i="11"/>
  <c r="F2023" i="11"/>
  <c r="M2022" i="11"/>
  <c r="L2022" i="11"/>
  <c r="K2022" i="11"/>
  <c r="J2022" i="11"/>
  <c r="I2022" i="11"/>
  <c r="H2022" i="11"/>
  <c r="G2022" i="11"/>
  <c r="F2022" i="11"/>
  <c r="M2021" i="11"/>
  <c r="L2021" i="11"/>
  <c r="K2021" i="11"/>
  <c r="J2021" i="11"/>
  <c r="I2021" i="11"/>
  <c r="H2021" i="11"/>
  <c r="G2021" i="11"/>
  <c r="F2021" i="11"/>
  <c r="M2020" i="11"/>
  <c r="L2020" i="11"/>
  <c r="K2020" i="11"/>
  <c r="J2020" i="11"/>
  <c r="I2020" i="11"/>
  <c r="H2020" i="11"/>
  <c r="G2020" i="11"/>
  <c r="F2020" i="11"/>
  <c r="M2019" i="11"/>
  <c r="L2019" i="11"/>
  <c r="K2019" i="11"/>
  <c r="J2019" i="11"/>
  <c r="I2019" i="11"/>
  <c r="H2019" i="11"/>
  <c r="G2019" i="11"/>
  <c r="F2019" i="11"/>
  <c r="M2018" i="11"/>
  <c r="L2018" i="11"/>
  <c r="K2018" i="11"/>
  <c r="J2018" i="11"/>
  <c r="I2018" i="11"/>
  <c r="H2018" i="11"/>
  <c r="G2018" i="11"/>
  <c r="F2018" i="11"/>
  <c r="M2017" i="11"/>
  <c r="L2017" i="11"/>
  <c r="K2017" i="11"/>
  <c r="J2017" i="11"/>
  <c r="I2017" i="11"/>
  <c r="H2017" i="11"/>
  <c r="G2017" i="11"/>
  <c r="F2017" i="11"/>
  <c r="M2016" i="11"/>
  <c r="L2016" i="11"/>
  <c r="K2016" i="11"/>
  <c r="J2016" i="11"/>
  <c r="I2016" i="11"/>
  <c r="H2016" i="11"/>
  <c r="G2016" i="11"/>
  <c r="F2016" i="11"/>
  <c r="M2015" i="11"/>
  <c r="L2015" i="11"/>
  <c r="K2015" i="11"/>
  <c r="J2015" i="11"/>
  <c r="I2015" i="11"/>
  <c r="H2015" i="11"/>
  <c r="G2015" i="11"/>
  <c r="F2015" i="11"/>
  <c r="M2014" i="11"/>
  <c r="L2014" i="11"/>
  <c r="K2014" i="11"/>
  <c r="J2014" i="11"/>
  <c r="I2014" i="11"/>
  <c r="H2014" i="11"/>
  <c r="G2014" i="11"/>
  <c r="F2014" i="11"/>
  <c r="M2013" i="11"/>
  <c r="L2013" i="11"/>
  <c r="K2013" i="11"/>
  <c r="J2013" i="11"/>
  <c r="I2013" i="11"/>
  <c r="H2013" i="11"/>
  <c r="G2013" i="11"/>
  <c r="F2013" i="11"/>
  <c r="M2012" i="11"/>
  <c r="L2012" i="11"/>
  <c r="K2012" i="11"/>
  <c r="J2012" i="11"/>
  <c r="I2012" i="11"/>
  <c r="H2012" i="11"/>
  <c r="G2012" i="11"/>
  <c r="F2012" i="11"/>
  <c r="M2011" i="11"/>
  <c r="L2011" i="11"/>
  <c r="K2011" i="11"/>
  <c r="J2011" i="11"/>
  <c r="I2011" i="11"/>
  <c r="H2011" i="11"/>
  <c r="G2011" i="11"/>
  <c r="F2011" i="11"/>
  <c r="M2010" i="11"/>
  <c r="L2010" i="11"/>
  <c r="K2010" i="11"/>
  <c r="J2010" i="11"/>
  <c r="I2010" i="11"/>
  <c r="H2010" i="11"/>
  <c r="G2010" i="11"/>
  <c r="F2010" i="11"/>
  <c r="M2009" i="11"/>
  <c r="L2009" i="11"/>
  <c r="K2009" i="11"/>
  <c r="J2009" i="11"/>
  <c r="I2009" i="11"/>
  <c r="H2009" i="11"/>
  <c r="G2009" i="11"/>
  <c r="F2009" i="11"/>
  <c r="M2008" i="11"/>
  <c r="L2008" i="11"/>
  <c r="K2008" i="11"/>
  <c r="J2008" i="11"/>
  <c r="I2008" i="11"/>
  <c r="H2008" i="11"/>
  <c r="G2008" i="11"/>
  <c r="F2008" i="11"/>
  <c r="M2007" i="11"/>
  <c r="L2007" i="11"/>
  <c r="K2007" i="11"/>
  <c r="J2007" i="11"/>
  <c r="I2007" i="11"/>
  <c r="H2007" i="11"/>
  <c r="G2007" i="11"/>
  <c r="F2007" i="11"/>
  <c r="M2006" i="11"/>
  <c r="L2006" i="11"/>
  <c r="K2006" i="11"/>
  <c r="J2006" i="11"/>
  <c r="I2006" i="11"/>
  <c r="H2006" i="11"/>
  <c r="G2006" i="11"/>
  <c r="F2006" i="11"/>
  <c r="M2005" i="11"/>
  <c r="L2005" i="11"/>
  <c r="K2005" i="11"/>
  <c r="J2005" i="11"/>
  <c r="I2005" i="11"/>
  <c r="H2005" i="11"/>
  <c r="G2005" i="11"/>
  <c r="F2005" i="11"/>
  <c r="M2004" i="11"/>
  <c r="L2004" i="11"/>
  <c r="K2004" i="11"/>
  <c r="J2004" i="11"/>
  <c r="I2004" i="11"/>
  <c r="H2004" i="11"/>
  <c r="G2004" i="11"/>
  <c r="F2004" i="11"/>
  <c r="M2003" i="11"/>
  <c r="L2003" i="11"/>
  <c r="K2003" i="11"/>
  <c r="J2003" i="11"/>
  <c r="I2003" i="11"/>
  <c r="H2003" i="11"/>
  <c r="G2003" i="11"/>
  <c r="F2003" i="11"/>
  <c r="M2002" i="11"/>
  <c r="L2002" i="11"/>
  <c r="K2002" i="11"/>
  <c r="J2002" i="11"/>
  <c r="I2002" i="11"/>
  <c r="H2002" i="11"/>
  <c r="G2002" i="11"/>
  <c r="F2002" i="11"/>
  <c r="M2001" i="11"/>
  <c r="L2001" i="11"/>
  <c r="K2001" i="11"/>
  <c r="J2001" i="11"/>
  <c r="I2001" i="11"/>
  <c r="H2001" i="11"/>
  <c r="G2001" i="11"/>
  <c r="F2001" i="11"/>
  <c r="M2000" i="11"/>
  <c r="L2000" i="11"/>
  <c r="K2000" i="11"/>
  <c r="J2000" i="11"/>
  <c r="I2000" i="11"/>
  <c r="H2000" i="11"/>
  <c r="G2000" i="11"/>
  <c r="F2000" i="11"/>
  <c r="M1999" i="11"/>
  <c r="L1999" i="11"/>
  <c r="K1999" i="11"/>
  <c r="J1999" i="11"/>
  <c r="I1999" i="11"/>
  <c r="H1999" i="11"/>
  <c r="G1999" i="11"/>
  <c r="F1999" i="11"/>
  <c r="M1998" i="11"/>
  <c r="L1998" i="11"/>
  <c r="K1998" i="11"/>
  <c r="J1998" i="11"/>
  <c r="I1998" i="11"/>
  <c r="H1998" i="11"/>
  <c r="G1998" i="11"/>
  <c r="F1998" i="11"/>
  <c r="M1997" i="11"/>
  <c r="L1997" i="11"/>
  <c r="K1997" i="11"/>
  <c r="J1997" i="11"/>
  <c r="I1997" i="11"/>
  <c r="H1997" i="11"/>
  <c r="G1997" i="11"/>
  <c r="F1997" i="11"/>
  <c r="M1996" i="11"/>
  <c r="L1996" i="11"/>
  <c r="K1996" i="11"/>
  <c r="J1996" i="11"/>
  <c r="I1996" i="11"/>
  <c r="H1996" i="11"/>
  <c r="G1996" i="11"/>
  <c r="F1996" i="11"/>
  <c r="M1995" i="11"/>
  <c r="L1995" i="11"/>
  <c r="K1995" i="11"/>
  <c r="J1995" i="11"/>
  <c r="I1995" i="11"/>
  <c r="H1995" i="11"/>
  <c r="G1995" i="11"/>
  <c r="F1995" i="11"/>
  <c r="M1994" i="11"/>
  <c r="L1994" i="11"/>
  <c r="K1994" i="11"/>
  <c r="J1994" i="11"/>
  <c r="I1994" i="11"/>
  <c r="H1994" i="11"/>
  <c r="G1994" i="11"/>
  <c r="F1994" i="11"/>
  <c r="M1993" i="11"/>
  <c r="L1993" i="11"/>
  <c r="K1993" i="11"/>
  <c r="J1993" i="11"/>
  <c r="I1993" i="11"/>
  <c r="H1993" i="11"/>
  <c r="G1993" i="11"/>
  <c r="F1993" i="11"/>
  <c r="M1992" i="11"/>
  <c r="L1992" i="11"/>
  <c r="K1992" i="11"/>
  <c r="J1992" i="11"/>
  <c r="I1992" i="11"/>
  <c r="H1992" i="11"/>
  <c r="G1992" i="11"/>
  <c r="F1992" i="11"/>
  <c r="M1991" i="11"/>
  <c r="L1991" i="11"/>
  <c r="K1991" i="11"/>
  <c r="J1991" i="11"/>
  <c r="I1991" i="11"/>
  <c r="H1991" i="11"/>
  <c r="G1991" i="11"/>
  <c r="F1991" i="11"/>
  <c r="M1990" i="11"/>
  <c r="L1990" i="11"/>
  <c r="K1990" i="11"/>
  <c r="J1990" i="11"/>
  <c r="I1990" i="11"/>
  <c r="H1990" i="11"/>
  <c r="G1990" i="11"/>
  <c r="F1990" i="11"/>
  <c r="M1989" i="11"/>
  <c r="L1989" i="11"/>
  <c r="K1989" i="11"/>
  <c r="J1989" i="11"/>
  <c r="I1989" i="11"/>
  <c r="H1989" i="11"/>
  <c r="G1989" i="11"/>
  <c r="F1989" i="11"/>
  <c r="M1988" i="11"/>
  <c r="L1988" i="11"/>
  <c r="K1988" i="11"/>
  <c r="J1988" i="11"/>
  <c r="I1988" i="11"/>
  <c r="H1988" i="11"/>
  <c r="G1988" i="11"/>
  <c r="F1988" i="11"/>
  <c r="M1987" i="11"/>
  <c r="L1987" i="11"/>
  <c r="K1987" i="11"/>
  <c r="J1987" i="11"/>
  <c r="I1987" i="11"/>
  <c r="H1987" i="11"/>
  <c r="G1987" i="11"/>
  <c r="F1987" i="11"/>
  <c r="M1986" i="11"/>
  <c r="L1986" i="11"/>
  <c r="K1986" i="11"/>
  <c r="J1986" i="11"/>
  <c r="I1986" i="11"/>
  <c r="H1986" i="11"/>
  <c r="G1986" i="11"/>
  <c r="F1986" i="11"/>
  <c r="M1985" i="11"/>
  <c r="L1985" i="11"/>
  <c r="K1985" i="11"/>
  <c r="J1985" i="11"/>
  <c r="I1985" i="11"/>
  <c r="H1985" i="11"/>
  <c r="G1985" i="11"/>
  <c r="F1985" i="11"/>
  <c r="M1984" i="11"/>
  <c r="L1984" i="11"/>
  <c r="K1984" i="11"/>
  <c r="J1984" i="11"/>
  <c r="I1984" i="11"/>
  <c r="H1984" i="11"/>
  <c r="G1984" i="11"/>
  <c r="F1984" i="11"/>
  <c r="M1983" i="11"/>
  <c r="L1983" i="11"/>
  <c r="K1983" i="11"/>
  <c r="J1983" i="11"/>
  <c r="I1983" i="11"/>
  <c r="H1983" i="11"/>
  <c r="G1983" i="11"/>
  <c r="F1983" i="11"/>
  <c r="M1982" i="11"/>
  <c r="L1982" i="11"/>
  <c r="K1982" i="11"/>
  <c r="J1982" i="11"/>
  <c r="I1982" i="11"/>
  <c r="H1982" i="11"/>
  <c r="G1982" i="11"/>
  <c r="F1982" i="11"/>
  <c r="M1981" i="11"/>
  <c r="L1981" i="11"/>
  <c r="K1981" i="11"/>
  <c r="J1981" i="11"/>
  <c r="I1981" i="11"/>
  <c r="H1981" i="11"/>
  <c r="G1981" i="11"/>
  <c r="F1981" i="11"/>
  <c r="M1980" i="11"/>
  <c r="L1980" i="11"/>
  <c r="K1980" i="11"/>
  <c r="J1980" i="11"/>
  <c r="I1980" i="11"/>
  <c r="H1980" i="11"/>
  <c r="G1980" i="11"/>
  <c r="F1980" i="11"/>
  <c r="M1979" i="11"/>
  <c r="L1979" i="11"/>
  <c r="K1979" i="11"/>
  <c r="J1979" i="11"/>
  <c r="I1979" i="11"/>
  <c r="H1979" i="11"/>
  <c r="G1979" i="11"/>
  <c r="F1979" i="11"/>
  <c r="M1978" i="11"/>
  <c r="L1978" i="11"/>
  <c r="K1978" i="11"/>
  <c r="J1978" i="11"/>
  <c r="I1978" i="11"/>
  <c r="H1978" i="11"/>
  <c r="G1978" i="11"/>
  <c r="F1978" i="11"/>
  <c r="M1977" i="11"/>
  <c r="L1977" i="11"/>
  <c r="K1977" i="11"/>
  <c r="J1977" i="11"/>
  <c r="I1977" i="11"/>
  <c r="H1977" i="11"/>
  <c r="G1977" i="11"/>
  <c r="F1977" i="11"/>
  <c r="M1976" i="11"/>
  <c r="L1976" i="11"/>
  <c r="K1976" i="11"/>
  <c r="J1976" i="11"/>
  <c r="I1976" i="11"/>
  <c r="H1976" i="11"/>
  <c r="G1976" i="11"/>
  <c r="F1976" i="11"/>
  <c r="M1975" i="11"/>
  <c r="L1975" i="11"/>
  <c r="K1975" i="11"/>
  <c r="J1975" i="11"/>
  <c r="I1975" i="11"/>
  <c r="H1975" i="11"/>
  <c r="G1975" i="11"/>
  <c r="F1975" i="11"/>
  <c r="M1974" i="11"/>
  <c r="L1974" i="11"/>
  <c r="K1974" i="11"/>
  <c r="J1974" i="11"/>
  <c r="I1974" i="11"/>
  <c r="H1974" i="11"/>
  <c r="G1974" i="11"/>
  <c r="F1974" i="11"/>
  <c r="M1973" i="11"/>
  <c r="L1973" i="11"/>
  <c r="K1973" i="11"/>
  <c r="J1973" i="11"/>
  <c r="I1973" i="11"/>
  <c r="H1973" i="11"/>
  <c r="G1973" i="11"/>
  <c r="F1973" i="11"/>
  <c r="M1972" i="11"/>
  <c r="L1972" i="11"/>
  <c r="K1972" i="11"/>
  <c r="J1972" i="11"/>
  <c r="I1972" i="11"/>
  <c r="H1972" i="11"/>
  <c r="G1972" i="11"/>
  <c r="F1972" i="11"/>
  <c r="M1971" i="11"/>
  <c r="L1971" i="11"/>
  <c r="K1971" i="11"/>
  <c r="J1971" i="11"/>
  <c r="I1971" i="11"/>
  <c r="H1971" i="11"/>
  <c r="G1971" i="11"/>
  <c r="F1971" i="11"/>
  <c r="M1970" i="11"/>
  <c r="L1970" i="11"/>
  <c r="K1970" i="11"/>
  <c r="J1970" i="11"/>
  <c r="I1970" i="11"/>
  <c r="H1970" i="11"/>
  <c r="G1970" i="11"/>
  <c r="F1970" i="11"/>
  <c r="M1969" i="11"/>
  <c r="L1969" i="11"/>
  <c r="K1969" i="11"/>
  <c r="J1969" i="11"/>
  <c r="I1969" i="11"/>
  <c r="H1969" i="11"/>
  <c r="G1969" i="11"/>
  <c r="F1969" i="11"/>
  <c r="M1968" i="11"/>
  <c r="L1968" i="11"/>
  <c r="K1968" i="11"/>
  <c r="J1968" i="11"/>
  <c r="I1968" i="11"/>
  <c r="H1968" i="11"/>
  <c r="G1968" i="11"/>
  <c r="F1968" i="11"/>
  <c r="M1967" i="11"/>
  <c r="L1967" i="11"/>
  <c r="K1967" i="11"/>
  <c r="J1967" i="11"/>
  <c r="I1967" i="11"/>
  <c r="H1967" i="11"/>
  <c r="G1967" i="11"/>
  <c r="F1967" i="11"/>
  <c r="M1966" i="11"/>
  <c r="L1966" i="11"/>
  <c r="K1966" i="11"/>
  <c r="J1966" i="11"/>
  <c r="I1966" i="11"/>
  <c r="H1966" i="11"/>
  <c r="G1966" i="11"/>
  <c r="F1966" i="11"/>
  <c r="M1965" i="11"/>
  <c r="L1965" i="11"/>
  <c r="K1965" i="11"/>
  <c r="J1965" i="11"/>
  <c r="I1965" i="11"/>
  <c r="H1965" i="11"/>
  <c r="G1965" i="11"/>
  <c r="F1965" i="11"/>
  <c r="M1964" i="11"/>
  <c r="L1964" i="11"/>
  <c r="K1964" i="11"/>
  <c r="J1964" i="11"/>
  <c r="I1964" i="11"/>
  <c r="H1964" i="11"/>
  <c r="G1964" i="11"/>
  <c r="F1964" i="11"/>
  <c r="M1963" i="11"/>
  <c r="L1963" i="11"/>
  <c r="K1963" i="11"/>
  <c r="J1963" i="11"/>
  <c r="I1963" i="11"/>
  <c r="H1963" i="11"/>
  <c r="G1963" i="11"/>
  <c r="F1963" i="11"/>
  <c r="M1962" i="11"/>
  <c r="L1962" i="11"/>
  <c r="K1962" i="11"/>
  <c r="J1962" i="11"/>
  <c r="I1962" i="11"/>
  <c r="H1962" i="11"/>
  <c r="G1962" i="11"/>
  <c r="F1962" i="11"/>
  <c r="M1961" i="11"/>
  <c r="L1961" i="11"/>
  <c r="K1961" i="11"/>
  <c r="J1961" i="11"/>
  <c r="I1961" i="11"/>
  <c r="H1961" i="11"/>
  <c r="G1961" i="11"/>
  <c r="F1961" i="11"/>
  <c r="M1960" i="11"/>
  <c r="L1960" i="11"/>
  <c r="K1960" i="11"/>
  <c r="J1960" i="11"/>
  <c r="I1960" i="11"/>
  <c r="H1960" i="11"/>
  <c r="G1960" i="11"/>
  <c r="F1960" i="11"/>
  <c r="M1959" i="11"/>
  <c r="L1959" i="11"/>
  <c r="K1959" i="11"/>
  <c r="J1959" i="11"/>
  <c r="I1959" i="11"/>
  <c r="H1959" i="11"/>
  <c r="G1959" i="11"/>
  <c r="F1959" i="11"/>
  <c r="M1958" i="11"/>
  <c r="L1958" i="11"/>
  <c r="K1958" i="11"/>
  <c r="J1958" i="11"/>
  <c r="I1958" i="11"/>
  <c r="H1958" i="11"/>
  <c r="G1958" i="11"/>
  <c r="F1958" i="11"/>
  <c r="M1957" i="11"/>
  <c r="L1957" i="11"/>
  <c r="K1957" i="11"/>
  <c r="J1957" i="11"/>
  <c r="I1957" i="11"/>
  <c r="H1957" i="11"/>
  <c r="G1957" i="11"/>
  <c r="F1957" i="11"/>
  <c r="M1956" i="11"/>
  <c r="L1956" i="11"/>
  <c r="K1956" i="11"/>
  <c r="J1956" i="11"/>
  <c r="I1956" i="11"/>
  <c r="H1956" i="11"/>
  <c r="G1956" i="11"/>
  <c r="F1956" i="11"/>
  <c r="M1955" i="11"/>
  <c r="L1955" i="11"/>
  <c r="K1955" i="11"/>
  <c r="J1955" i="11"/>
  <c r="I1955" i="11"/>
  <c r="H1955" i="11"/>
  <c r="G1955" i="11"/>
  <c r="F1955" i="11"/>
  <c r="M1954" i="11"/>
  <c r="L1954" i="11"/>
  <c r="K1954" i="11"/>
  <c r="J1954" i="11"/>
  <c r="I1954" i="11"/>
  <c r="H1954" i="11"/>
  <c r="G1954" i="11"/>
  <c r="F1954" i="11"/>
  <c r="M1953" i="11"/>
  <c r="L1953" i="11"/>
  <c r="K1953" i="11"/>
  <c r="J1953" i="11"/>
  <c r="I1953" i="11"/>
  <c r="H1953" i="11"/>
  <c r="G1953" i="11"/>
  <c r="F1953" i="11"/>
  <c r="M1952" i="11"/>
  <c r="L1952" i="11"/>
  <c r="K1952" i="11"/>
  <c r="J1952" i="11"/>
  <c r="I1952" i="11"/>
  <c r="H1952" i="11"/>
  <c r="G1952" i="11"/>
  <c r="F1952" i="11"/>
  <c r="M1951" i="11"/>
  <c r="L1951" i="11"/>
  <c r="K1951" i="11"/>
  <c r="J1951" i="11"/>
  <c r="I1951" i="11"/>
  <c r="H1951" i="11"/>
  <c r="G1951" i="11"/>
  <c r="F1951" i="11"/>
  <c r="M1950" i="11"/>
  <c r="L1950" i="11"/>
  <c r="K1950" i="11"/>
  <c r="J1950" i="11"/>
  <c r="I1950" i="11"/>
  <c r="H1950" i="11"/>
  <c r="G1950" i="11"/>
  <c r="F1950" i="11"/>
  <c r="M1949" i="11"/>
  <c r="L1949" i="11"/>
  <c r="K1949" i="11"/>
  <c r="J1949" i="11"/>
  <c r="I1949" i="11"/>
  <c r="H1949" i="11"/>
  <c r="G1949" i="11"/>
  <c r="F1949" i="11"/>
  <c r="M1948" i="11"/>
  <c r="L1948" i="11"/>
  <c r="K1948" i="11"/>
  <c r="J1948" i="11"/>
  <c r="I1948" i="11"/>
  <c r="H1948" i="11"/>
  <c r="G1948" i="11"/>
  <c r="F1948" i="11"/>
  <c r="M1947" i="11"/>
  <c r="L1947" i="11"/>
  <c r="K1947" i="11"/>
  <c r="J1947" i="11"/>
  <c r="I1947" i="11"/>
  <c r="H1947" i="11"/>
  <c r="G1947" i="11"/>
  <c r="F1947" i="11"/>
  <c r="M1946" i="11"/>
  <c r="L1946" i="11"/>
  <c r="K1946" i="11"/>
  <c r="J1946" i="11"/>
  <c r="I1946" i="11"/>
  <c r="H1946" i="11"/>
  <c r="G1946" i="11"/>
  <c r="F1946" i="11"/>
  <c r="M1945" i="11"/>
  <c r="L1945" i="11"/>
  <c r="K1945" i="11"/>
  <c r="J1945" i="11"/>
  <c r="I1945" i="11"/>
  <c r="H1945" i="11"/>
  <c r="G1945" i="11"/>
  <c r="F1945" i="11"/>
  <c r="M1944" i="11"/>
  <c r="L1944" i="11"/>
  <c r="K1944" i="11"/>
  <c r="J1944" i="11"/>
  <c r="I1944" i="11"/>
  <c r="H1944" i="11"/>
  <c r="G1944" i="11"/>
  <c r="F1944" i="11"/>
  <c r="M1943" i="11"/>
  <c r="L1943" i="11"/>
  <c r="K1943" i="11"/>
  <c r="J1943" i="11"/>
  <c r="I1943" i="11"/>
  <c r="H1943" i="11"/>
  <c r="G1943" i="11"/>
  <c r="F1943" i="11"/>
  <c r="M1942" i="11"/>
  <c r="L1942" i="11"/>
  <c r="K1942" i="11"/>
  <c r="J1942" i="11"/>
  <c r="I1942" i="11"/>
  <c r="H1942" i="11"/>
  <c r="G1942" i="11"/>
  <c r="F1942" i="11"/>
  <c r="M1941" i="11"/>
  <c r="L1941" i="11"/>
  <c r="K1941" i="11"/>
  <c r="J1941" i="11"/>
  <c r="I1941" i="11"/>
  <c r="H1941" i="11"/>
  <c r="G1941" i="11"/>
  <c r="F1941" i="11"/>
  <c r="M1940" i="11"/>
  <c r="L1940" i="11"/>
  <c r="K1940" i="11"/>
  <c r="J1940" i="11"/>
  <c r="I1940" i="11"/>
  <c r="H1940" i="11"/>
  <c r="G1940" i="11"/>
  <c r="F1940" i="11"/>
  <c r="M1939" i="11"/>
  <c r="L1939" i="11"/>
  <c r="K1939" i="11"/>
  <c r="J1939" i="11"/>
  <c r="I1939" i="11"/>
  <c r="H1939" i="11"/>
  <c r="G1939" i="11"/>
  <c r="F1939" i="11"/>
  <c r="M1938" i="11"/>
  <c r="L1938" i="11"/>
  <c r="K1938" i="11"/>
  <c r="J1938" i="11"/>
  <c r="I1938" i="11"/>
  <c r="H1938" i="11"/>
  <c r="G1938" i="11"/>
  <c r="F1938" i="11"/>
  <c r="M1937" i="11"/>
  <c r="L1937" i="11"/>
  <c r="K1937" i="11"/>
  <c r="J1937" i="11"/>
  <c r="I1937" i="11"/>
  <c r="H1937" i="11"/>
  <c r="G1937" i="11"/>
  <c r="F1937" i="11"/>
  <c r="M1936" i="11"/>
  <c r="L1936" i="11"/>
  <c r="K1936" i="11"/>
  <c r="J1936" i="11"/>
  <c r="I1936" i="11"/>
  <c r="H1936" i="11"/>
  <c r="G1936" i="11"/>
  <c r="F1936" i="11"/>
  <c r="M1935" i="11"/>
  <c r="L1935" i="11"/>
  <c r="K1935" i="11"/>
  <c r="J1935" i="11"/>
  <c r="I1935" i="11"/>
  <c r="H1935" i="11"/>
  <c r="G1935" i="11"/>
  <c r="F1935" i="11"/>
  <c r="M1934" i="11"/>
  <c r="L1934" i="11"/>
  <c r="K1934" i="11"/>
  <c r="J1934" i="11"/>
  <c r="I1934" i="11"/>
  <c r="H1934" i="11"/>
  <c r="G1934" i="11"/>
  <c r="F1934" i="11"/>
  <c r="M1933" i="11"/>
  <c r="L1933" i="11"/>
  <c r="K1933" i="11"/>
  <c r="J1933" i="11"/>
  <c r="I1933" i="11"/>
  <c r="H1933" i="11"/>
  <c r="G1933" i="11"/>
  <c r="F1933" i="11"/>
  <c r="M1932" i="11"/>
  <c r="L1932" i="11"/>
  <c r="K1932" i="11"/>
  <c r="J1932" i="11"/>
  <c r="I1932" i="11"/>
  <c r="H1932" i="11"/>
  <c r="G1932" i="11"/>
  <c r="F1932" i="11"/>
  <c r="M1931" i="11"/>
  <c r="L1931" i="11"/>
  <c r="K1931" i="11"/>
  <c r="J1931" i="11"/>
  <c r="I1931" i="11"/>
  <c r="H1931" i="11"/>
  <c r="G1931" i="11"/>
  <c r="F1931" i="11"/>
  <c r="M1930" i="11"/>
  <c r="L1930" i="11"/>
  <c r="K1930" i="11"/>
  <c r="J1930" i="11"/>
  <c r="I1930" i="11"/>
  <c r="H1930" i="11"/>
  <c r="G1930" i="11"/>
  <c r="F1930" i="11"/>
  <c r="M1929" i="11"/>
  <c r="L1929" i="11"/>
  <c r="K1929" i="11"/>
  <c r="J1929" i="11"/>
  <c r="I1929" i="11"/>
  <c r="H1929" i="11"/>
  <c r="G1929" i="11"/>
  <c r="F1929" i="11"/>
  <c r="M1928" i="11"/>
  <c r="L1928" i="11"/>
  <c r="K1928" i="11"/>
  <c r="J1928" i="11"/>
  <c r="I1928" i="11"/>
  <c r="H1928" i="11"/>
  <c r="G1928" i="11"/>
  <c r="F1928" i="11"/>
  <c r="M1927" i="11"/>
  <c r="L1927" i="11"/>
  <c r="K1927" i="11"/>
  <c r="J1927" i="11"/>
  <c r="I1927" i="11"/>
  <c r="H1927" i="11"/>
  <c r="G1927" i="11"/>
  <c r="F1927" i="11"/>
  <c r="M1926" i="11"/>
  <c r="L1926" i="11"/>
  <c r="K1926" i="11"/>
  <c r="J1926" i="11"/>
  <c r="I1926" i="11"/>
  <c r="H1926" i="11"/>
  <c r="G1926" i="11"/>
  <c r="F1926" i="11"/>
  <c r="M1925" i="11"/>
  <c r="L1925" i="11"/>
  <c r="K1925" i="11"/>
  <c r="J1925" i="11"/>
  <c r="I1925" i="11"/>
  <c r="H1925" i="11"/>
  <c r="G1925" i="11"/>
  <c r="F1925" i="11"/>
  <c r="M1924" i="11"/>
  <c r="L1924" i="11"/>
  <c r="K1924" i="11"/>
  <c r="J1924" i="11"/>
  <c r="I1924" i="11"/>
  <c r="H1924" i="11"/>
  <c r="G1924" i="11"/>
  <c r="F1924" i="11"/>
  <c r="M1923" i="11"/>
  <c r="L1923" i="11"/>
  <c r="K1923" i="11"/>
  <c r="J1923" i="11"/>
  <c r="I1923" i="11"/>
  <c r="H1923" i="11"/>
  <c r="G1923" i="11"/>
  <c r="F1923" i="11"/>
  <c r="M1922" i="11"/>
  <c r="L1922" i="11"/>
  <c r="K1922" i="11"/>
  <c r="J1922" i="11"/>
  <c r="I1922" i="11"/>
  <c r="H1922" i="11"/>
  <c r="G1922" i="11"/>
  <c r="F1922" i="11"/>
  <c r="M1921" i="11"/>
  <c r="L1921" i="11"/>
  <c r="K1921" i="11"/>
  <c r="J1921" i="11"/>
  <c r="I1921" i="11"/>
  <c r="H1921" i="11"/>
  <c r="G1921" i="11"/>
  <c r="F1921" i="11"/>
  <c r="M1920" i="11"/>
  <c r="L1920" i="11"/>
  <c r="K1920" i="11"/>
  <c r="J1920" i="11"/>
  <c r="I1920" i="11"/>
  <c r="H1920" i="11"/>
  <c r="G1920" i="11"/>
  <c r="F1920" i="11"/>
  <c r="M1919" i="11"/>
  <c r="L1919" i="11"/>
  <c r="K1919" i="11"/>
  <c r="J1919" i="11"/>
  <c r="I1919" i="11"/>
  <c r="H1919" i="11"/>
  <c r="G1919" i="11"/>
  <c r="F1919" i="11"/>
  <c r="M1918" i="11"/>
  <c r="L1918" i="11"/>
  <c r="K1918" i="11"/>
  <c r="J1918" i="11"/>
  <c r="I1918" i="11"/>
  <c r="H1918" i="11"/>
  <c r="G1918" i="11"/>
  <c r="F1918" i="11"/>
  <c r="M1917" i="11"/>
  <c r="L1917" i="11"/>
  <c r="K1917" i="11"/>
  <c r="J1917" i="11"/>
  <c r="I1917" i="11"/>
  <c r="H1917" i="11"/>
  <c r="G1917" i="11"/>
  <c r="F1917" i="11"/>
  <c r="M1916" i="11"/>
  <c r="L1916" i="11"/>
  <c r="K1916" i="11"/>
  <c r="J1916" i="11"/>
  <c r="I1916" i="11"/>
  <c r="H1916" i="11"/>
  <c r="G1916" i="11"/>
  <c r="F1916" i="11"/>
  <c r="M1915" i="11"/>
  <c r="L1915" i="11"/>
  <c r="K1915" i="11"/>
  <c r="J1915" i="11"/>
  <c r="I1915" i="11"/>
  <c r="H1915" i="11"/>
  <c r="G1915" i="11"/>
  <c r="F1915" i="11"/>
  <c r="M1914" i="11"/>
  <c r="L1914" i="11"/>
  <c r="K1914" i="11"/>
  <c r="J1914" i="11"/>
  <c r="I1914" i="11"/>
  <c r="H1914" i="11"/>
  <c r="G1914" i="11"/>
  <c r="F1914" i="11"/>
  <c r="M1913" i="11"/>
  <c r="L1913" i="11"/>
  <c r="K1913" i="11"/>
  <c r="J1913" i="11"/>
  <c r="I1913" i="11"/>
  <c r="H1913" i="11"/>
  <c r="G1913" i="11"/>
  <c r="F1913" i="11"/>
  <c r="M1912" i="11"/>
  <c r="L1912" i="11"/>
  <c r="K1912" i="11"/>
  <c r="J1912" i="11"/>
  <c r="I1912" i="11"/>
  <c r="H1912" i="11"/>
  <c r="G1912" i="11"/>
  <c r="F1912" i="11"/>
  <c r="M1911" i="11"/>
  <c r="L1911" i="11"/>
  <c r="K1911" i="11"/>
  <c r="J1911" i="11"/>
  <c r="I1911" i="11"/>
  <c r="H1911" i="11"/>
  <c r="G1911" i="11"/>
  <c r="F1911" i="11"/>
  <c r="M1910" i="11"/>
  <c r="L1910" i="11"/>
  <c r="K1910" i="11"/>
  <c r="J1910" i="11"/>
  <c r="I1910" i="11"/>
  <c r="H1910" i="11"/>
  <c r="G1910" i="11"/>
  <c r="F1910" i="11"/>
  <c r="M1909" i="11"/>
  <c r="L1909" i="11"/>
  <c r="K1909" i="11"/>
  <c r="J1909" i="11"/>
  <c r="I1909" i="11"/>
  <c r="H1909" i="11"/>
  <c r="G1909" i="11"/>
  <c r="F1909" i="11"/>
  <c r="M1908" i="11"/>
  <c r="L1908" i="11"/>
  <c r="K1908" i="11"/>
  <c r="J1908" i="11"/>
  <c r="I1908" i="11"/>
  <c r="H1908" i="11"/>
  <c r="G1908" i="11"/>
  <c r="F1908" i="11"/>
  <c r="M1907" i="11"/>
  <c r="L1907" i="11"/>
  <c r="K1907" i="11"/>
  <c r="J1907" i="11"/>
  <c r="I1907" i="11"/>
  <c r="H1907" i="11"/>
  <c r="G1907" i="11"/>
  <c r="F1907" i="11"/>
  <c r="M1906" i="11"/>
  <c r="L1906" i="11"/>
  <c r="K1906" i="11"/>
  <c r="J1906" i="11"/>
  <c r="I1906" i="11"/>
  <c r="H1906" i="11"/>
  <c r="G1906" i="11"/>
  <c r="F1906" i="11"/>
  <c r="M1905" i="11"/>
  <c r="L1905" i="11"/>
  <c r="K1905" i="11"/>
  <c r="J1905" i="11"/>
  <c r="I1905" i="11"/>
  <c r="H1905" i="11"/>
  <c r="G1905" i="11"/>
  <c r="F1905" i="11"/>
  <c r="M1904" i="11"/>
  <c r="L1904" i="11"/>
  <c r="K1904" i="11"/>
  <c r="J1904" i="11"/>
  <c r="I1904" i="11"/>
  <c r="H1904" i="11"/>
  <c r="G1904" i="11"/>
  <c r="F1904" i="11"/>
  <c r="M1903" i="11"/>
  <c r="L1903" i="11"/>
  <c r="K1903" i="11"/>
  <c r="J1903" i="11"/>
  <c r="I1903" i="11"/>
  <c r="H1903" i="11"/>
  <c r="G1903" i="11"/>
  <c r="F1903" i="11"/>
  <c r="M1902" i="11"/>
  <c r="L1902" i="11"/>
  <c r="K1902" i="11"/>
  <c r="J1902" i="11"/>
  <c r="I1902" i="11"/>
  <c r="H1902" i="11"/>
  <c r="G1902" i="11"/>
  <c r="F1902" i="11"/>
  <c r="M1901" i="11"/>
  <c r="L1901" i="11"/>
  <c r="K1901" i="11"/>
  <c r="J1901" i="11"/>
  <c r="I1901" i="11"/>
  <c r="H1901" i="11"/>
  <c r="G1901" i="11"/>
  <c r="F1901" i="11"/>
  <c r="M1900" i="11"/>
  <c r="L1900" i="11"/>
  <c r="K1900" i="11"/>
  <c r="J1900" i="11"/>
  <c r="I1900" i="11"/>
  <c r="H1900" i="11"/>
  <c r="G1900" i="11"/>
  <c r="F1900" i="11"/>
  <c r="M1899" i="11"/>
  <c r="L1899" i="11"/>
  <c r="K1899" i="11"/>
  <c r="J1899" i="11"/>
  <c r="I1899" i="11"/>
  <c r="H1899" i="11"/>
  <c r="G1899" i="11"/>
  <c r="F1899" i="11"/>
  <c r="M1898" i="11"/>
  <c r="L1898" i="11"/>
  <c r="K1898" i="11"/>
  <c r="J1898" i="11"/>
  <c r="I1898" i="11"/>
  <c r="H1898" i="11"/>
  <c r="G1898" i="11"/>
  <c r="F1898" i="11"/>
  <c r="M1897" i="11"/>
  <c r="L1897" i="11"/>
  <c r="K1897" i="11"/>
  <c r="J1897" i="11"/>
  <c r="I1897" i="11"/>
  <c r="H1897" i="11"/>
  <c r="G1897" i="11"/>
  <c r="F1897" i="11"/>
  <c r="M1896" i="11"/>
  <c r="L1896" i="11"/>
  <c r="K1896" i="11"/>
  <c r="J1896" i="11"/>
  <c r="I1896" i="11"/>
  <c r="H1896" i="11"/>
  <c r="G1896" i="11"/>
  <c r="F1896" i="11"/>
  <c r="M1895" i="11"/>
  <c r="L1895" i="11"/>
  <c r="K1895" i="11"/>
  <c r="J1895" i="11"/>
  <c r="I1895" i="11"/>
  <c r="H1895" i="11"/>
  <c r="G1895" i="11"/>
  <c r="F1895" i="11"/>
  <c r="M1894" i="11"/>
  <c r="L1894" i="11"/>
  <c r="K1894" i="11"/>
  <c r="J1894" i="11"/>
  <c r="I1894" i="11"/>
  <c r="H1894" i="11"/>
  <c r="G1894" i="11"/>
  <c r="F1894" i="11"/>
  <c r="M1893" i="11"/>
  <c r="L1893" i="11"/>
  <c r="K1893" i="11"/>
  <c r="J1893" i="11"/>
  <c r="I1893" i="11"/>
  <c r="H1893" i="11"/>
  <c r="G1893" i="11"/>
  <c r="F1893" i="11"/>
  <c r="M1892" i="11"/>
  <c r="L1892" i="11"/>
  <c r="K1892" i="11"/>
  <c r="J1892" i="11"/>
  <c r="I1892" i="11"/>
  <c r="H1892" i="11"/>
  <c r="G1892" i="11"/>
  <c r="F1892" i="11"/>
  <c r="M1891" i="11"/>
  <c r="L1891" i="11"/>
  <c r="K1891" i="11"/>
  <c r="J1891" i="11"/>
  <c r="I1891" i="11"/>
  <c r="H1891" i="11"/>
  <c r="G1891" i="11"/>
  <c r="F1891" i="11"/>
  <c r="M1890" i="11"/>
  <c r="L1890" i="11"/>
  <c r="K1890" i="11"/>
  <c r="J1890" i="11"/>
  <c r="I1890" i="11"/>
  <c r="H1890" i="11"/>
  <c r="G1890" i="11"/>
  <c r="F1890" i="11"/>
  <c r="M1889" i="11"/>
  <c r="L1889" i="11"/>
  <c r="K1889" i="11"/>
  <c r="J1889" i="11"/>
  <c r="I1889" i="11"/>
  <c r="H1889" i="11"/>
  <c r="G1889" i="11"/>
  <c r="F1889" i="11"/>
  <c r="M1888" i="11"/>
  <c r="L1888" i="11"/>
  <c r="K1888" i="11"/>
  <c r="J1888" i="11"/>
  <c r="I1888" i="11"/>
  <c r="H1888" i="11"/>
  <c r="G1888" i="11"/>
  <c r="F1888" i="11"/>
  <c r="M1887" i="11"/>
  <c r="L1887" i="11"/>
  <c r="K1887" i="11"/>
  <c r="J1887" i="11"/>
  <c r="I1887" i="11"/>
  <c r="H1887" i="11"/>
  <c r="G1887" i="11"/>
  <c r="F1887" i="11"/>
  <c r="M1886" i="11"/>
  <c r="L1886" i="11"/>
  <c r="K1886" i="11"/>
  <c r="J1886" i="11"/>
  <c r="I1886" i="11"/>
  <c r="H1886" i="11"/>
  <c r="G1886" i="11"/>
  <c r="F1886" i="11"/>
  <c r="M1885" i="11"/>
  <c r="L1885" i="11"/>
  <c r="K1885" i="11"/>
  <c r="J1885" i="11"/>
  <c r="I1885" i="11"/>
  <c r="H1885" i="11"/>
  <c r="G1885" i="11"/>
  <c r="F1885" i="11"/>
  <c r="M1884" i="11"/>
  <c r="L1884" i="11"/>
  <c r="K1884" i="11"/>
  <c r="J1884" i="11"/>
  <c r="I1884" i="11"/>
  <c r="H1884" i="11"/>
  <c r="G1884" i="11"/>
  <c r="F1884" i="11"/>
  <c r="M1883" i="11"/>
  <c r="L1883" i="11"/>
  <c r="K1883" i="11"/>
  <c r="J1883" i="11"/>
  <c r="I1883" i="11"/>
  <c r="H1883" i="11"/>
  <c r="G1883" i="11"/>
  <c r="F1883" i="11"/>
  <c r="M1882" i="11"/>
  <c r="L1882" i="11"/>
  <c r="K1882" i="11"/>
  <c r="J1882" i="11"/>
  <c r="I1882" i="11"/>
  <c r="H1882" i="11"/>
  <c r="G1882" i="11"/>
  <c r="F1882" i="11"/>
  <c r="M1881" i="11"/>
  <c r="L1881" i="11"/>
  <c r="K1881" i="11"/>
  <c r="J1881" i="11"/>
  <c r="I1881" i="11"/>
  <c r="H1881" i="11"/>
  <c r="G1881" i="11"/>
  <c r="F1881" i="11"/>
  <c r="M1880" i="11"/>
  <c r="L1880" i="11"/>
  <c r="K1880" i="11"/>
  <c r="J1880" i="11"/>
  <c r="I1880" i="11"/>
  <c r="H1880" i="11"/>
  <c r="G1880" i="11"/>
  <c r="F1880" i="11"/>
  <c r="M1879" i="11"/>
  <c r="L1879" i="11"/>
  <c r="K1879" i="11"/>
  <c r="J1879" i="11"/>
  <c r="I1879" i="11"/>
  <c r="H1879" i="11"/>
  <c r="G1879" i="11"/>
  <c r="F1879" i="11"/>
  <c r="M1878" i="11"/>
  <c r="L1878" i="11"/>
  <c r="K1878" i="11"/>
  <c r="J1878" i="11"/>
  <c r="I1878" i="11"/>
  <c r="H1878" i="11"/>
  <c r="G1878" i="11"/>
  <c r="F1878" i="11"/>
  <c r="M1877" i="11"/>
  <c r="L1877" i="11"/>
  <c r="K1877" i="11"/>
  <c r="J1877" i="11"/>
  <c r="I1877" i="11"/>
  <c r="H1877" i="11"/>
  <c r="G1877" i="11"/>
  <c r="F1877" i="11"/>
  <c r="M1876" i="11"/>
  <c r="L1876" i="11"/>
  <c r="K1876" i="11"/>
  <c r="J1876" i="11"/>
  <c r="I1876" i="11"/>
  <c r="H1876" i="11"/>
  <c r="G1876" i="11"/>
  <c r="F1876" i="11"/>
  <c r="M1875" i="11"/>
  <c r="L1875" i="11"/>
  <c r="K1875" i="11"/>
  <c r="J1875" i="11"/>
  <c r="I1875" i="11"/>
  <c r="H1875" i="11"/>
  <c r="G1875" i="11"/>
  <c r="F1875" i="11"/>
  <c r="M1874" i="11"/>
  <c r="L1874" i="11"/>
  <c r="K1874" i="11"/>
  <c r="J1874" i="11"/>
  <c r="I1874" i="11"/>
  <c r="H1874" i="11"/>
  <c r="G1874" i="11"/>
  <c r="F1874" i="11"/>
  <c r="M1873" i="11"/>
  <c r="L1873" i="11"/>
  <c r="K1873" i="11"/>
  <c r="J1873" i="11"/>
  <c r="I1873" i="11"/>
  <c r="H1873" i="11"/>
  <c r="G1873" i="11"/>
  <c r="F1873" i="11"/>
  <c r="M1872" i="11"/>
  <c r="L1872" i="11"/>
  <c r="K1872" i="11"/>
  <c r="J1872" i="11"/>
  <c r="I1872" i="11"/>
  <c r="H1872" i="11"/>
  <c r="G1872" i="11"/>
  <c r="F1872" i="11"/>
  <c r="M1871" i="11"/>
  <c r="L1871" i="11"/>
  <c r="K1871" i="11"/>
  <c r="J1871" i="11"/>
  <c r="I1871" i="11"/>
  <c r="H1871" i="11"/>
  <c r="G1871" i="11"/>
  <c r="F1871" i="11"/>
  <c r="M1870" i="11"/>
  <c r="L1870" i="11"/>
  <c r="K1870" i="11"/>
  <c r="J1870" i="11"/>
  <c r="I1870" i="11"/>
  <c r="H1870" i="11"/>
  <c r="G1870" i="11"/>
  <c r="F1870" i="11"/>
  <c r="M1869" i="11"/>
  <c r="L1869" i="11"/>
  <c r="K1869" i="11"/>
  <c r="J1869" i="11"/>
  <c r="I1869" i="11"/>
  <c r="H1869" i="11"/>
  <c r="G1869" i="11"/>
  <c r="F1869" i="11"/>
  <c r="M1868" i="11"/>
  <c r="L1868" i="11"/>
  <c r="K1868" i="11"/>
  <c r="J1868" i="11"/>
  <c r="I1868" i="11"/>
  <c r="H1868" i="11"/>
  <c r="G1868" i="11"/>
  <c r="F1868" i="11"/>
  <c r="M1867" i="11"/>
  <c r="L1867" i="11"/>
  <c r="K1867" i="11"/>
  <c r="J1867" i="11"/>
  <c r="I1867" i="11"/>
  <c r="H1867" i="11"/>
  <c r="G1867" i="11"/>
  <c r="F1867" i="11"/>
  <c r="M1866" i="11"/>
  <c r="L1866" i="11"/>
  <c r="K1866" i="11"/>
  <c r="J1866" i="11"/>
  <c r="I1866" i="11"/>
  <c r="H1866" i="11"/>
  <c r="G1866" i="11"/>
  <c r="F1866" i="11"/>
  <c r="M1865" i="11"/>
  <c r="L1865" i="11"/>
  <c r="K1865" i="11"/>
  <c r="J1865" i="11"/>
  <c r="I1865" i="11"/>
  <c r="H1865" i="11"/>
  <c r="G1865" i="11"/>
  <c r="F1865" i="11"/>
  <c r="M1864" i="11"/>
  <c r="L1864" i="11"/>
  <c r="K1864" i="11"/>
  <c r="J1864" i="11"/>
  <c r="I1864" i="11"/>
  <c r="H1864" i="11"/>
  <c r="G1864" i="11"/>
  <c r="F1864" i="11"/>
  <c r="M1863" i="11"/>
  <c r="L1863" i="11"/>
  <c r="K1863" i="11"/>
  <c r="J1863" i="11"/>
  <c r="I1863" i="11"/>
  <c r="H1863" i="11"/>
  <c r="G1863" i="11"/>
  <c r="F1863" i="11"/>
  <c r="M1862" i="11"/>
  <c r="L1862" i="11"/>
  <c r="K1862" i="11"/>
  <c r="J1862" i="11"/>
  <c r="I1862" i="11"/>
  <c r="H1862" i="11"/>
  <c r="G1862" i="11"/>
  <c r="F1862" i="11"/>
  <c r="M1861" i="11"/>
  <c r="L1861" i="11"/>
  <c r="K1861" i="11"/>
  <c r="J1861" i="11"/>
  <c r="I1861" i="11"/>
  <c r="H1861" i="11"/>
  <c r="G1861" i="11"/>
  <c r="F1861" i="11"/>
  <c r="M1860" i="11"/>
  <c r="L1860" i="11"/>
  <c r="K1860" i="11"/>
  <c r="J1860" i="11"/>
  <c r="I1860" i="11"/>
  <c r="H1860" i="11"/>
  <c r="G1860" i="11"/>
  <c r="F1860" i="11"/>
  <c r="M1859" i="11"/>
  <c r="L1859" i="11"/>
  <c r="K1859" i="11"/>
  <c r="J1859" i="11"/>
  <c r="I1859" i="11"/>
  <c r="H1859" i="11"/>
  <c r="G1859" i="11"/>
  <c r="F1859" i="11"/>
  <c r="M1858" i="11"/>
  <c r="L1858" i="11"/>
  <c r="K1858" i="11"/>
  <c r="J1858" i="11"/>
  <c r="I1858" i="11"/>
  <c r="H1858" i="11"/>
  <c r="G1858" i="11"/>
  <c r="F1858" i="11"/>
  <c r="M1857" i="11"/>
  <c r="L1857" i="11"/>
  <c r="K1857" i="11"/>
  <c r="J1857" i="11"/>
  <c r="I1857" i="11"/>
  <c r="H1857" i="11"/>
  <c r="G1857" i="11"/>
  <c r="F1857" i="11"/>
  <c r="M1856" i="11"/>
  <c r="L1856" i="11"/>
  <c r="K1856" i="11"/>
  <c r="J1856" i="11"/>
  <c r="I1856" i="11"/>
  <c r="H1856" i="11"/>
  <c r="G1856" i="11"/>
  <c r="F1856" i="11"/>
  <c r="M1855" i="11"/>
  <c r="L1855" i="11"/>
  <c r="K1855" i="11"/>
  <c r="J1855" i="11"/>
  <c r="I1855" i="11"/>
  <c r="H1855" i="11"/>
  <c r="G1855" i="11"/>
  <c r="F1855" i="11"/>
  <c r="M1854" i="11"/>
  <c r="L1854" i="11"/>
  <c r="K1854" i="11"/>
  <c r="J1854" i="11"/>
  <c r="I1854" i="11"/>
  <c r="H1854" i="11"/>
  <c r="G1854" i="11"/>
  <c r="F1854" i="11"/>
  <c r="M1853" i="11"/>
  <c r="L1853" i="11"/>
  <c r="K1853" i="11"/>
  <c r="J1853" i="11"/>
  <c r="I1853" i="11"/>
  <c r="H1853" i="11"/>
  <c r="G1853" i="11"/>
  <c r="F1853" i="11"/>
  <c r="M1852" i="11"/>
  <c r="L1852" i="11"/>
  <c r="K1852" i="11"/>
  <c r="J1852" i="11"/>
  <c r="I1852" i="11"/>
  <c r="H1852" i="11"/>
  <c r="G1852" i="11"/>
  <c r="F1852" i="11"/>
  <c r="M1851" i="11"/>
  <c r="L1851" i="11"/>
  <c r="K1851" i="11"/>
  <c r="J1851" i="11"/>
  <c r="I1851" i="11"/>
  <c r="H1851" i="11"/>
  <c r="G1851" i="11"/>
  <c r="F1851" i="11"/>
  <c r="M1850" i="11"/>
  <c r="L1850" i="11"/>
  <c r="K1850" i="11"/>
  <c r="J1850" i="11"/>
  <c r="I1850" i="11"/>
  <c r="H1850" i="11"/>
  <c r="G1850" i="11"/>
  <c r="F1850" i="11"/>
  <c r="M1849" i="11"/>
  <c r="L1849" i="11"/>
  <c r="K1849" i="11"/>
  <c r="J1849" i="11"/>
  <c r="I1849" i="11"/>
  <c r="H1849" i="11"/>
  <c r="G1849" i="11"/>
  <c r="F1849" i="11"/>
  <c r="M1848" i="11"/>
  <c r="L1848" i="11"/>
  <c r="K1848" i="11"/>
  <c r="J1848" i="11"/>
  <c r="I1848" i="11"/>
  <c r="H1848" i="11"/>
  <c r="G1848" i="11"/>
  <c r="F1848" i="11"/>
  <c r="M1847" i="11"/>
  <c r="L1847" i="11"/>
  <c r="K1847" i="11"/>
  <c r="J1847" i="11"/>
  <c r="I1847" i="11"/>
  <c r="H1847" i="11"/>
  <c r="G1847" i="11"/>
  <c r="F1847" i="11"/>
  <c r="M1846" i="11"/>
  <c r="L1846" i="11"/>
  <c r="K1846" i="11"/>
  <c r="J1846" i="11"/>
  <c r="I1846" i="11"/>
  <c r="H1846" i="11"/>
  <c r="G1846" i="11"/>
  <c r="F1846" i="11"/>
  <c r="M1845" i="11"/>
  <c r="L1845" i="11"/>
  <c r="K1845" i="11"/>
  <c r="J1845" i="11"/>
  <c r="I1845" i="11"/>
  <c r="H1845" i="11"/>
  <c r="G1845" i="11"/>
  <c r="F1845" i="11"/>
  <c r="M1844" i="11"/>
  <c r="L1844" i="11"/>
  <c r="K1844" i="11"/>
  <c r="J1844" i="11"/>
  <c r="I1844" i="11"/>
  <c r="H1844" i="11"/>
  <c r="G1844" i="11"/>
  <c r="F1844" i="11"/>
  <c r="M1843" i="11"/>
  <c r="L1843" i="11"/>
  <c r="K1843" i="11"/>
  <c r="J1843" i="11"/>
  <c r="I1843" i="11"/>
  <c r="H1843" i="11"/>
  <c r="G1843" i="11"/>
  <c r="F1843" i="11"/>
  <c r="M1842" i="11"/>
  <c r="L1842" i="11"/>
  <c r="K1842" i="11"/>
  <c r="J1842" i="11"/>
  <c r="I1842" i="11"/>
  <c r="H1842" i="11"/>
  <c r="G1842" i="11"/>
  <c r="F1842" i="11"/>
  <c r="M1841" i="11"/>
  <c r="L1841" i="11"/>
  <c r="K1841" i="11"/>
  <c r="J1841" i="11"/>
  <c r="I1841" i="11"/>
  <c r="H1841" i="11"/>
  <c r="G1841" i="11"/>
  <c r="F1841" i="11"/>
  <c r="M1840" i="11"/>
  <c r="L1840" i="11"/>
  <c r="K1840" i="11"/>
  <c r="J1840" i="11"/>
  <c r="I1840" i="11"/>
  <c r="H1840" i="11"/>
  <c r="G1840" i="11"/>
  <c r="F1840" i="11"/>
  <c r="M1839" i="11"/>
  <c r="L1839" i="11"/>
  <c r="K1839" i="11"/>
  <c r="J1839" i="11"/>
  <c r="I1839" i="11"/>
  <c r="H1839" i="11"/>
  <c r="G1839" i="11"/>
  <c r="F1839" i="11"/>
  <c r="M1838" i="11"/>
  <c r="L1838" i="11"/>
  <c r="K1838" i="11"/>
  <c r="J1838" i="11"/>
  <c r="I1838" i="11"/>
  <c r="H1838" i="11"/>
  <c r="G1838" i="11"/>
  <c r="F1838" i="11"/>
  <c r="M1837" i="11"/>
  <c r="L1837" i="11"/>
  <c r="K1837" i="11"/>
  <c r="J1837" i="11"/>
  <c r="I1837" i="11"/>
  <c r="H1837" i="11"/>
  <c r="G1837" i="11"/>
  <c r="F1837" i="11"/>
  <c r="M1836" i="11"/>
  <c r="L1836" i="11"/>
  <c r="K1836" i="11"/>
  <c r="J1836" i="11"/>
  <c r="I1836" i="11"/>
  <c r="H1836" i="11"/>
  <c r="G1836" i="11"/>
  <c r="F1836" i="11"/>
  <c r="M1835" i="11"/>
  <c r="L1835" i="11"/>
  <c r="K1835" i="11"/>
  <c r="J1835" i="11"/>
  <c r="I1835" i="11"/>
  <c r="H1835" i="11"/>
  <c r="G1835" i="11"/>
  <c r="F1835" i="11"/>
  <c r="M1834" i="11"/>
  <c r="L1834" i="11"/>
  <c r="K1834" i="11"/>
  <c r="J1834" i="11"/>
  <c r="I1834" i="11"/>
  <c r="H1834" i="11"/>
  <c r="G1834" i="11"/>
  <c r="F1834" i="11"/>
  <c r="M1833" i="11"/>
  <c r="L1833" i="11"/>
  <c r="K1833" i="11"/>
  <c r="J1833" i="11"/>
  <c r="I1833" i="11"/>
  <c r="H1833" i="11"/>
  <c r="G1833" i="11"/>
  <c r="F1833" i="11"/>
  <c r="M1832" i="11"/>
  <c r="L1832" i="11"/>
  <c r="K1832" i="11"/>
  <c r="J1832" i="11"/>
  <c r="I1832" i="11"/>
  <c r="H1832" i="11"/>
  <c r="G1832" i="11"/>
  <c r="F1832" i="11"/>
  <c r="M1831" i="11"/>
  <c r="L1831" i="11"/>
  <c r="K1831" i="11"/>
  <c r="J1831" i="11"/>
  <c r="I1831" i="11"/>
  <c r="H1831" i="11"/>
  <c r="G1831" i="11"/>
  <c r="F1831" i="11"/>
  <c r="M1830" i="11"/>
  <c r="L1830" i="11"/>
  <c r="K1830" i="11"/>
  <c r="J1830" i="11"/>
  <c r="I1830" i="11"/>
  <c r="H1830" i="11"/>
  <c r="G1830" i="11"/>
  <c r="F1830" i="11"/>
  <c r="M1829" i="11"/>
  <c r="L1829" i="11"/>
  <c r="K1829" i="11"/>
  <c r="J1829" i="11"/>
  <c r="I1829" i="11"/>
  <c r="H1829" i="11"/>
  <c r="G1829" i="11"/>
  <c r="F1829" i="11"/>
  <c r="M1828" i="11"/>
  <c r="L1828" i="11"/>
  <c r="K1828" i="11"/>
  <c r="J1828" i="11"/>
  <c r="I1828" i="11"/>
  <c r="H1828" i="11"/>
  <c r="G1828" i="11"/>
  <c r="F1828" i="11"/>
  <c r="M1827" i="11"/>
  <c r="L1827" i="11"/>
  <c r="K1827" i="11"/>
  <c r="J1827" i="11"/>
  <c r="I1827" i="11"/>
  <c r="H1827" i="11"/>
  <c r="G1827" i="11"/>
  <c r="F1827" i="11"/>
  <c r="M1826" i="11"/>
  <c r="L1826" i="11"/>
  <c r="K1826" i="11"/>
  <c r="J1826" i="11"/>
  <c r="I1826" i="11"/>
  <c r="H1826" i="11"/>
  <c r="G1826" i="11"/>
  <c r="F1826" i="11"/>
  <c r="M1825" i="11"/>
  <c r="L1825" i="11"/>
  <c r="K1825" i="11"/>
  <c r="J1825" i="11"/>
  <c r="I1825" i="11"/>
  <c r="H1825" i="11"/>
  <c r="G1825" i="11"/>
  <c r="F1825" i="11"/>
  <c r="M1824" i="11"/>
  <c r="L1824" i="11"/>
  <c r="K1824" i="11"/>
  <c r="J1824" i="11"/>
  <c r="I1824" i="11"/>
  <c r="H1824" i="11"/>
  <c r="G1824" i="11"/>
  <c r="F1824" i="11"/>
  <c r="M1823" i="11"/>
  <c r="L1823" i="11"/>
  <c r="K1823" i="11"/>
  <c r="J1823" i="11"/>
  <c r="I1823" i="11"/>
  <c r="H1823" i="11"/>
  <c r="G1823" i="11"/>
  <c r="F1823" i="11"/>
  <c r="M1822" i="11"/>
  <c r="L1822" i="11"/>
  <c r="K1822" i="11"/>
  <c r="J1822" i="11"/>
  <c r="I1822" i="11"/>
  <c r="H1822" i="11"/>
  <c r="G1822" i="11"/>
  <c r="F1822" i="11"/>
  <c r="M1821" i="11"/>
  <c r="L1821" i="11"/>
  <c r="K1821" i="11"/>
  <c r="J1821" i="11"/>
  <c r="I1821" i="11"/>
  <c r="H1821" i="11"/>
  <c r="G1821" i="11"/>
  <c r="F1821" i="11"/>
  <c r="M1820" i="11"/>
  <c r="L1820" i="11"/>
  <c r="K1820" i="11"/>
  <c r="J1820" i="11"/>
  <c r="I1820" i="11"/>
  <c r="H1820" i="11"/>
  <c r="G1820" i="11"/>
  <c r="F1820" i="11"/>
  <c r="M1819" i="11"/>
  <c r="L1819" i="11"/>
  <c r="K1819" i="11"/>
  <c r="J1819" i="11"/>
  <c r="I1819" i="11"/>
  <c r="H1819" i="11"/>
  <c r="G1819" i="11"/>
  <c r="F1819" i="11"/>
  <c r="M1818" i="11"/>
  <c r="L1818" i="11"/>
  <c r="K1818" i="11"/>
  <c r="J1818" i="11"/>
  <c r="I1818" i="11"/>
  <c r="H1818" i="11"/>
  <c r="G1818" i="11"/>
  <c r="F1818" i="11"/>
  <c r="M1817" i="11"/>
  <c r="L1817" i="11"/>
  <c r="K1817" i="11"/>
  <c r="J1817" i="11"/>
  <c r="I1817" i="11"/>
  <c r="H1817" i="11"/>
  <c r="G1817" i="11"/>
  <c r="F1817" i="11"/>
  <c r="M1816" i="11"/>
  <c r="L1816" i="11"/>
  <c r="K1816" i="11"/>
  <c r="J1816" i="11"/>
  <c r="I1816" i="11"/>
  <c r="H1816" i="11"/>
  <c r="G1816" i="11"/>
  <c r="F1816" i="11"/>
  <c r="M1815" i="11"/>
  <c r="L1815" i="11"/>
  <c r="K1815" i="11"/>
  <c r="J1815" i="11"/>
  <c r="I1815" i="11"/>
  <c r="H1815" i="11"/>
  <c r="G1815" i="11"/>
  <c r="F1815" i="11"/>
  <c r="M1814" i="11"/>
  <c r="L1814" i="11"/>
  <c r="K1814" i="11"/>
  <c r="J1814" i="11"/>
  <c r="I1814" i="11"/>
  <c r="H1814" i="11"/>
  <c r="G1814" i="11"/>
  <c r="F1814" i="11"/>
  <c r="M1813" i="11"/>
  <c r="L1813" i="11"/>
  <c r="K1813" i="11"/>
  <c r="J1813" i="11"/>
  <c r="I1813" i="11"/>
  <c r="H1813" i="11"/>
  <c r="G1813" i="11"/>
  <c r="F1813" i="11"/>
  <c r="M1812" i="11"/>
  <c r="L1812" i="11"/>
  <c r="K1812" i="11"/>
  <c r="J1812" i="11"/>
  <c r="I1812" i="11"/>
  <c r="H1812" i="11"/>
  <c r="G1812" i="11"/>
  <c r="F1812" i="11"/>
  <c r="M1811" i="11"/>
  <c r="L1811" i="11"/>
  <c r="K1811" i="11"/>
  <c r="J1811" i="11"/>
  <c r="I1811" i="11"/>
  <c r="H1811" i="11"/>
  <c r="G1811" i="11"/>
  <c r="F1811" i="11"/>
  <c r="M1810" i="11"/>
  <c r="L1810" i="11"/>
  <c r="K1810" i="11"/>
  <c r="J1810" i="11"/>
  <c r="I1810" i="11"/>
  <c r="H1810" i="11"/>
  <c r="G1810" i="11"/>
  <c r="F1810" i="11"/>
  <c r="M1809" i="11"/>
  <c r="L1809" i="11"/>
  <c r="K1809" i="11"/>
  <c r="J1809" i="11"/>
  <c r="I1809" i="11"/>
  <c r="H1809" i="11"/>
  <c r="G1809" i="11"/>
  <c r="F1809" i="11"/>
  <c r="M1808" i="11"/>
  <c r="L1808" i="11"/>
  <c r="K1808" i="11"/>
  <c r="J1808" i="11"/>
  <c r="I1808" i="11"/>
  <c r="H1808" i="11"/>
  <c r="G1808" i="11"/>
  <c r="F1808" i="11"/>
  <c r="M1807" i="11"/>
  <c r="L1807" i="11"/>
  <c r="K1807" i="11"/>
  <c r="J1807" i="11"/>
  <c r="I1807" i="11"/>
  <c r="H1807" i="11"/>
  <c r="G1807" i="11"/>
  <c r="F1807" i="11"/>
  <c r="M1806" i="11"/>
  <c r="L1806" i="11"/>
  <c r="K1806" i="11"/>
  <c r="J1806" i="11"/>
  <c r="I1806" i="11"/>
  <c r="H1806" i="11"/>
  <c r="G1806" i="11"/>
  <c r="F1806" i="11"/>
  <c r="M1805" i="11"/>
  <c r="L1805" i="11"/>
  <c r="K1805" i="11"/>
  <c r="J1805" i="11"/>
  <c r="I1805" i="11"/>
  <c r="H1805" i="11"/>
  <c r="G1805" i="11"/>
  <c r="F1805" i="11"/>
  <c r="M1804" i="11"/>
  <c r="L1804" i="11"/>
  <c r="K1804" i="11"/>
  <c r="J1804" i="11"/>
  <c r="I1804" i="11"/>
  <c r="H1804" i="11"/>
  <c r="G1804" i="11"/>
  <c r="F1804" i="11"/>
  <c r="M1803" i="11"/>
  <c r="L1803" i="11"/>
  <c r="K1803" i="11"/>
  <c r="J1803" i="11"/>
  <c r="I1803" i="11"/>
  <c r="H1803" i="11"/>
  <c r="G1803" i="11"/>
  <c r="F1803" i="11"/>
  <c r="M1802" i="11"/>
  <c r="L1802" i="11"/>
  <c r="K1802" i="11"/>
  <c r="J1802" i="11"/>
  <c r="I1802" i="11"/>
  <c r="H1802" i="11"/>
  <c r="G1802" i="11"/>
  <c r="F1802" i="11"/>
  <c r="M1801" i="11"/>
  <c r="L1801" i="11"/>
  <c r="K1801" i="11"/>
  <c r="J1801" i="11"/>
  <c r="I1801" i="11"/>
  <c r="H1801" i="11"/>
  <c r="G1801" i="11"/>
  <c r="F1801" i="11"/>
  <c r="M1800" i="11"/>
  <c r="L1800" i="11"/>
  <c r="K1800" i="11"/>
  <c r="J1800" i="11"/>
  <c r="I1800" i="11"/>
  <c r="H1800" i="11"/>
  <c r="G1800" i="11"/>
  <c r="F1800" i="11"/>
  <c r="M1799" i="11"/>
  <c r="L1799" i="11"/>
  <c r="K1799" i="11"/>
  <c r="J1799" i="11"/>
  <c r="I1799" i="11"/>
  <c r="H1799" i="11"/>
  <c r="G1799" i="11"/>
  <c r="F1799" i="11"/>
  <c r="M1798" i="11"/>
  <c r="L1798" i="11"/>
  <c r="K1798" i="11"/>
  <c r="J1798" i="11"/>
  <c r="I1798" i="11"/>
  <c r="H1798" i="11"/>
  <c r="G1798" i="11"/>
  <c r="F1798" i="11"/>
  <c r="M1797" i="11"/>
  <c r="L1797" i="11"/>
  <c r="K1797" i="11"/>
  <c r="J1797" i="11"/>
  <c r="I1797" i="11"/>
  <c r="H1797" i="11"/>
  <c r="G1797" i="11"/>
  <c r="F1797" i="11"/>
  <c r="M1796" i="11"/>
  <c r="L1796" i="11"/>
  <c r="K1796" i="11"/>
  <c r="J1796" i="11"/>
  <c r="I1796" i="11"/>
  <c r="H1796" i="11"/>
  <c r="G1796" i="11"/>
  <c r="F1796" i="11"/>
  <c r="M1795" i="11"/>
  <c r="L1795" i="11"/>
  <c r="K1795" i="11"/>
  <c r="J1795" i="11"/>
  <c r="I1795" i="11"/>
  <c r="H1795" i="11"/>
  <c r="G1795" i="11"/>
  <c r="F1795" i="11"/>
  <c r="M1794" i="11"/>
  <c r="L1794" i="11"/>
  <c r="K1794" i="11"/>
  <c r="J1794" i="11"/>
  <c r="I1794" i="11"/>
  <c r="H1794" i="11"/>
  <c r="G1794" i="11"/>
  <c r="F1794" i="11"/>
  <c r="M1793" i="11"/>
  <c r="L1793" i="11"/>
  <c r="K1793" i="11"/>
  <c r="J1793" i="11"/>
  <c r="I1793" i="11"/>
  <c r="H1793" i="11"/>
  <c r="G1793" i="11"/>
  <c r="F1793" i="11"/>
  <c r="M1792" i="11"/>
  <c r="L1792" i="11"/>
  <c r="K1792" i="11"/>
  <c r="J1792" i="11"/>
  <c r="I1792" i="11"/>
  <c r="H1792" i="11"/>
  <c r="G1792" i="11"/>
  <c r="F1792" i="11"/>
  <c r="M1791" i="11"/>
  <c r="L1791" i="11"/>
  <c r="K1791" i="11"/>
  <c r="J1791" i="11"/>
  <c r="I1791" i="11"/>
  <c r="H1791" i="11"/>
  <c r="G1791" i="11"/>
  <c r="F1791" i="11"/>
  <c r="M1790" i="11"/>
  <c r="L1790" i="11"/>
  <c r="K1790" i="11"/>
  <c r="J1790" i="11"/>
  <c r="I1790" i="11"/>
  <c r="H1790" i="11"/>
  <c r="G1790" i="11"/>
  <c r="F1790" i="11"/>
  <c r="M1789" i="11"/>
  <c r="L1789" i="11"/>
  <c r="K1789" i="11"/>
  <c r="J1789" i="11"/>
  <c r="I1789" i="11"/>
  <c r="H1789" i="11"/>
  <c r="G1789" i="11"/>
  <c r="F1789" i="11"/>
  <c r="M1788" i="11"/>
  <c r="L1788" i="11"/>
  <c r="K1788" i="11"/>
  <c r="J1788" i="11"/>
  <c r="I1788" i="11"/>
  <c r="H1788" i="11"/>
  <c r="G1788" i="11"/>
  <c r="F1788" i="11"/>
  <c r="M1787" i="11"/>
  <c r="L1787" i="11"/>
  <c r="K1787" i="11"/>
  <c r="J1787" i="11"/>
  <c r="I1787" i="11"/>
  <c r="H1787" i="11"/>
  <c r="G1787" i="11"/>
  <c r="F1787" i="11"/>
  <c r="M1786" i="11"/>
  <c r="L1786" i="11"/>
  <c r="K1786" i="11"/>
  <c r="J1786" i="11"/>
  <c r="I1786" i="11"/>
  <c r="H1786" i="11"/>
  <c r="G1786" i="11"/>
  <c r="F1786" i="11"/>
  <c r="M1785" i="11"/>
  <c r="L1785" i="11"/>
  <c r="K1785" i="11"/>
  <c r="J1785" i="11"/>
  <c r="I1785" i="11"/>
  <c r="H1785" i="11"/>
  <c r="G1785" i="11"/>
  <c r="F1785" i="11"/>
  <c r="M1784" i="11"/>
  <c r="L1784" i="11"/>
  <c r="K1784" i="11"/>
  <c r="J1784" i="11"/>
  <c r="I1784" i="11"/>
  <c r="H1784" i="11"/>
  <c r="G1784" i="11"/>
  <c r="F1784" i="11"/>
  <c r="M1783" i="11"/>
  <c r="L1783" i="11"/>
  <c r="K1783" i="11"/>
  <c r="J1783" i="11"/>
  <c r="I1783" i="11"/>
  <c r="H1783" i="11"/>
  <c r="G1783" i="11"/>
  <c r="F1783" i="11"/>
  <c r="M1782" i="11"/>
  <c r="L1782" i="11"/>
  <c r="K1782" i="11"/>
  <c r="J1782" i="11"/>
  <c r="I1782" i="11"/>
  <c r="H1782" i="11"/>
  <c r="G1782" i="11"/>
  <c r="F1782" i="11"/>
  <c r="M1781" i="11"/>
  <c r="L1781" i="11"/>
  <c r="K1781" i="11"/>
  <c r="J1781" i="11"/>
  <c r="I1781" i="11"/>
  <c r="H1781" i="11"/>
  <c r="G1781" i="11"/>
  <c r="F1781" i="11"/>
  <c r="M1780" i="11"/>
  <c r="L1780" i="11"/>
  <c r="K1780" i="11"/>
  <c r="J1780" i="11"/>
  <c r="I1780" i="11"/>
  <c r="H1780" i="11"/>
  <c r="G1780" i="11"/>
  <c r="F1780" i="11"/>
  <c r="M1779" i="11"/>
  <c r="L1779" i="11"/>
  <c r="K1779" i="11"/>
  <c r="J1779" i="11"/>
  <c r="I1779" i="11"/>
  <c r="H1779" i="11"/>
  <c r="G1779" i="11"/>
  <c r="F1779" i="11"/>
  <c r="M1778" i="11"/>
  <c r="L1778" i="11"/>
  <c r="K1778" i="11"/>
  <c r="J1778" i="11"/>
  <c r="I1778" i="11"/>
  <c r="H1778" i="11"/>
  <c r="G1778" i="11"/>
  <c r="F1778" i="11"/>
  <c r="M1777" i="11"/>
  <c r="L1777" i="11"/>
  <c r="K1777" i="11"/>
  <c r="J1777" i="11"/>
  <c r="I1777" i="11"/>
  <c r="H1777" i="11"/>
  <c r="G1777" i="11"/>
  <c r="F1777" i="11"/>
  <c r="M1776" i="11"/>
  <c r="L1776" i="11"/>
  <c r="K1776" i="11"/>
  <c r="J1776" i="11"/>
  <c r="I1776" i="11"/>
  <c r="H1776" i="11"/>
  <c r="G1776" i="11"/>
  <c r="F1776" i="11"/>
  <c r="M1775" i="11"/>
  <c r="L1775" i="11"/>
  <c r="K1775" i="11"/>
  <c r="J1775" i="11"/>
  <c r="I1775" i="11"/>
  <c r="H1775" i="11"/>
  <c r="G1775" i="11"/>
  <c r="F1775" i="11"/>
  <c r="M1774" i="11"/>
  <c r="L1774" i="11"/>
  <c r="K1774" i="11"/>
  <c r="J1774" i="11"/>
  <c r="I1774" i="11"/>
  <c r="H1774" i="11"/>
  <c r="G1774" i="11"/>
  <c r="F1774" i="11"/>
  <c r="M1773" i="11"/>
  <c r="L1773" i="11"/>
  <c r="K1773" i="11"/>
  <c r="J1773" i="11"/>
  <c r="I1773" i="11"/>
  <c r="H1773" i="11"/>
  <c r="G1773" i="11"/>
  <c r="F1773" i="11"/>
  <c r="M1772" i="11"/>
  <c r="L1772" i="11"/>
  <c r="K1772" i="11"/>
  <c r="J1772" i="11"/>
  <c r="I1772" i="11"/>
  <c r="H1772" i="11"/>
  <c r="G1772" i="11"/>
  <c r="F1772" i="11"/>
  <c r="M1771" i="11"/>
  <c r="L1771" i="11"/>
  <c r="K1771" i="11"/>
  <c r="J1771" i="11"/>
  <c r="I1771" i="11"/>
  <c r="H1771" i="11"/>
  <c r="G1771" i="11"/>
  <c r="F1771" i="11"/>
  <c r="M1770" i="11"/>
  <c r="L1770" i="11"/>
  <c r="K1770" i="11"/>
  <c r="J1770" i="11"/>
  <c r="I1770" i="11"/>
  <c r="H1770" i="11"/>
  <c r="G1770" i="11"/>
  <c r="F1770" i="11"/>
  <c r="M1769" i="11"/>
  <c r="L1769" i="11"/>
  <c r="K1769" i="11"/>
  <c r="J1769" i="11"/>
  <c r="I1769" i="11"/>
  <c r="H1769" i="11"/>
  <c r="G1769" i="11"/>
  <c r="F1769" i="11"/>
  <c r="M1768" i="11"/>
  <c r="L1768" i="11"/>
  <c r="K1768" i="11"/>
  <c r="J1768" i="11"/>
  <c r="I1768" i="11"/>
  <c r="H1768" i="11"/>
  <c r="G1768" i="11"/>
  <c r="F1768" i="11"/>
  <c r="M1767" i="11"/>
  <c r="L1767" i="11"/>
  <c r="K1767" i="11"/>
  <c r="J1767" i="11"/>
  <c r="I1767" i="11"/>
  <c r="H1767" i="11"/>
  <c r="G1767" i="11"/>
  <c r="F1767" i="11"/>
  <c r="M1766" i="11"/>
  <c r="L1766" i="11"/>
  <c r="K1766" i="11"/>
  <c r="J1766" i="11"/>
  <c r="I1766" i="11"/>
  <c r="H1766" i="11"/>
  <c r="G1766" i="11"/>
  <c r="F1766" i="11"/>
  <c r="M1765" i="11"/>
  <c r="L1765" i="11"/>
  <c r="K1765" i="11"/>
  <c r="J1765" i="11"/>
  <c r="I1765" i="11"/>
  <c r="H1765" i="11"/>
  <c r="G1765" i="11"/>
  <c r="F1765" i="11"/>
  <c r="M1764" i="11"/>
  <c r="L1764" i="11"/>
  <c r="K1764" i="11"/>
  <c r="J1764" i="11"/>
  <c r="I1764" i="11"/>
  <c r="H1764" i="11"/>
  <c r="G1764" i="11"/>
  <c r="F1764" i="11"/>
  <c r="M1763" i="11"/>
  <c r="L1763" i="11"/>
  <c r="K1763" i="11"/>
  <c r="J1763" i="11"/>
  <c r="I1763" i="11"/>
  <c r="H1763" i="11"/>
  <c r="G1763" i="11"/>
  <c r="F1763" i="11"/>
  <c r="M1762" i="11"/>
  <c r="L1762" i="11"/>
  <c r="K1762" i="11"/>
  <c r="J1762" i="11"/>
  <c r="I1762" i="11"/>
  <c r="H1762" i="11"/>
  <c r="G1762" i="11"/>
  <c r="F1762" i="11"/>
  <c r="M1761" i="11"/>
  <c r="L1761" i="11"/>
  <c r="K1761" i="11"/>
  <c r="J1761" i="11"/>
  <c r="I1761" i="11"/>
  <c r="H1761" i="11"/>
  <c r="G1761" i="11"/>
  <c r="F1761" i="11"/>
  <c r="M1760" i="11"/>
  <c r="L1760" i="11"/>
  <c r="K1760" i="11"/>
  <c r="J1760" i="11"/>
  <c r="I1760" i="11"/>
  <c r="H1760" i="11"/>
  <c r="G1760" i="11"/>
  <c r="F1760" i="11"/>
  <c r="M1759" i="11"/>
  <c r="L1759" i="11"/>
  <c r="K1759" i="11"/>
  <c r="J1759" i="11"/>
  <c r="I1759" i="11"/>
  <c r="H1759" i="11"/>
  <c r="G1759" i="11"/>
  <c r="F1759" i="11"/>
  <c r="M1758" i="11"/>
  <c r="L1758" i="11"/>
  <c r="K1758" i="11"/>
  <c r="J1758" i="11"/>
  <c r="I1758" i="11"/>
  <c r="H1758" i="11"/>
  <c r="G1758" i="11"/>
  <c r="F1758" i="11"/>
  <c r="M1757" i="11"/>
  <c r="L1757" i="11"/>
  <c r="K1757" i="11"/>
  <c r="J1757" i="11"/>
  <c r="I1757" i="11"/>
  <c r="H1757" i="11"/>
  <c r="G1757" i="11"/>
  <c r="F1757" i="11"/>
  <c r="M1756" i="11"/>
  <c r="L1756" i="11"/>
  <c r="K1756" i="11"/>
  <c r="J1756" i="11"/>
  <c r="I1756" i="11"/>
  <c r="H1756" i="11"/>
  <c r="G1756" i="11"/>
  <c r="F1756" i="11"/>
  <c r="M1755" i="11"/>
  <c r="L1755" i="11"/>
  <c r="K1755" i="11"/>
  <c r="J1755" i="11"/>
  <c r="I1755" i="11"/>
  <c r="H1755" i="11"/>
  <c r="G1755" i="11"/>
  <c r="F1755" i="11"/>
  <c r="M1754" i="11"/>
  <c r="L1754" i="11"/>
  <c r="K1754" i="11"/>
  <c r="J1754" i="11"/>
  <c r="I1754" i="11"/>
  <c r="H1754" i="11"/>
  <c r="G1754" i="11"/>
  <c r="F1754" i="11"/>
  <c r="M1753" i="11"/>
  <c r="L1753" i="11"/>
  <c r="K1753" i="11"/>
  <c r="J1753" i="11"/>
  <c r="I1753" i="11"/>
  <c r="H1753" i="11"/>
  <c r="G1753" i="11"/>
  <c r="F1753" i="11"/>
  <c r="M1752" i="11"/>
  <c r="L1752" i="11"/>
  <c r="K1752" i="11"/>
  <c r="J1752" i="11"/>
  <c r="I1752" i="11"/>
  <c r="H1752" i="11"/>
  <c r="G1752" i="11"/>
  <c r="F1752" i="11"/>
  <c r="M1751" i="11"/>
  <c r="L1751" i="11"/>
  <c r="K1751" i="11"/>
  <c r="J1751" i="11"/>
  <c r="I1751" i="11"/>
  <c r="H1751" i="11"/>
  <c r="G1751" i="11"/>
  <c r="F1751" i="11"/>
  <c r="M1750" i="11"/>
  <c r="L1750" i="11"/>
  <c r="K1750" i="11"/>
  <c r="J1750" i="11"/>
  <c r="I1750" i="11"/>
  <c r="H1750" i="11"/>
  <c r="G1750" i="11"/>
  <c r="F1750" i="11"/>
  <c r="M1749" i="11"/>
  <c r="L1749" i="11"/>
  <c r="K1749" i="11"/>
  <c r="J1749" i="11"/>
  <c r="I1749" i="11"/>
  <c r="H1749" i="11"/>
  <c r="G1749" i="11"/>
  <c r="F1749" i="11"/>
  <c r="M1748" i="11"/>
  <c r="L1748" i="11"/>
  <c r="K1748" i="11"/>
  <c r="J1748" i="11"/>
  <c r="I1748" i="11"/>
  <c r="H1748" i="11"/>
  <c r="G1748" i="11"/>
  <c r="F1748" i="11"/>
  <c r="M1747" i="11"/>
  <c r="L1747" i="11"/>
  <c r="K1747" i="11"/>
  <c r="J1747" i="11"/>
  <c r="I1747" i="11"/>
  <c r="H1747" i="11"/>
  <c r="G1747" i="11"/>
  <c r="F1747" i="11"/>
  <c r="M1746" i="11"/>
  <c r="L1746" i="11"/>
  <c r="K1746" i="11"/>
  <c r="J1746" i="11"/>
  <c r="I1746" i="11"/>
  <c r="H1746" i="11"/>
  <c r="G1746" i="11"/>
  <c r="F1746" i="11"/>
  <c r="M1745" i="11"/>
  <c r="L1745" i="11"/>
  <c r="K1745" i="11"/>
  <c r="J1745" i="11"/>
  <c r="I1745" i="11"/>
  <c r="H1745" i="11"/>
  <c r="G1745" i="11"/>
  <c r="F1745" i="11"/>
  <c r="M1744" i="11"/>
  <c r="L1744" i="11"/>
  <c r="K1744" i="11"/>
  <c r="J1744" i="11"/>
  <c r="I1744" i="11"/>
  <c r="H1744" i="11"/>
  <c r="G1744" i="11"/>
  <c r="F1744" i="11"/>
  <c r="M1743" i="11"/>
  <c r="L1743" i="11"/>
  <c r="K1743" i="11"/>
  <c r="J1743" i="11"/>
  <c r="I1743" i="11"/>
  <c r="H1743" i="11"/>
  <c r="G1743" i="11"/>
  <c r="F1743" i="11"/>
  <c r="M1742" i="11"/>
  <c r="L1742" i="11"/>
  <c r="K1742" i="11"/>
  <c r="J1742" i="11"/>
  <c r="I1742" i="11"/>
  <c r="H1742" i="11"/>
  <c r="G1742" i="11"/>
  <c r="F1742" i="11"/>
  <c r="M1741" i="11"/>
  <c r="L1741" i="11"/>
  <c r="K1741" i="11"/>
  <c r="J1741" i="11"/>
  <c r="I1741" i="11"/>
  <c r="H1741" i="11"/>
  <c r="G1741" i="11"/>
  <c r="F1741" i="11"/>
  <c r="M1740" i="11"/>
  <c r="L1740" i="11"/>
  <c r="K1740" i="11"/>
  <c r="J1740" i="11"/>
  <c r="I1740" i="11"/>
  <c r="H1740" i="11"/>
  <c r="G1740" i="11"/>
  <c r="F1740" i="11"/>
  <c r="M1739" i="11"/>
  <c r="L1739" i="11"/>
  <c r="K1739" i="11"/>
  <c r="J1739" i="11"/>
  <c r="I1739" i="11"/>
  <c r="H1739" i="11"/>
  <c r="G1739" i="11"/>
  <c r="F1739" i="11"/>
  <c r="M1738" i="11"/>
  <c r="L1738" i="11"/>
  <c r="K1738" i="11"/>
  <c r="J1738" i="11"/>
  <c r="I1738" i="11"/>
  <c r="H1738" i="11"/>
  <c r="G1738" i="11"/>
  <c r="F1738" i="11"/>
  <c r="M1737" i="11"/>
  <c r="L1737" i="11"/>
  <c r="K1737" i="11"/>
  <c r="J1737" i="11"/>
  <c r="I1737" i="11"/>
  <c r="H1737" i="11"/>
  <c r="G1737" i="11"/>
  <c r="F1737" i="11"/>
  <c r="M1736" i="11"/>
  <c r="L1736" i="11"/>
  <c r="K1736" i="11"/>
  <c r="J1736" i="11"/>
  <c r="I1736" i="11"/>
  <c r="H1736" i="11"/>
  <c r="G1736" i="11"/>
  <c r="F1736" i="11"/>
  <c r="M1735" i="11"/>
  <c r="L1735" i="11"/>
  <c r="K1735" i="11"/>
  <c r="J1735" i="11"/>
  <c r="I1735" i="11"/>
  <c r="H1735" i="11"/>
  <c r="G1735" i="11"/>
  <c r="F1735" i="11"/>
  <c r="M1734" i="11"/>
  <c r="L1734" i="11"/>
  <c r="K1734" i="11"/>
  <c r="J1734" i="11"/>
  <c r="I1734" i="11"/>
  <c r="H1734" i="11"/>
  <c r="G1734" i="11"/>
  <c r="F1734" i="11"/>
  <c r="M1733" i="11"/>
  <c r="L1733" i="11"/>
  <c r="K1733" i="11"/>
  <c r="J1733" i="11"/>
  <c r="I1733" i="11"/>
  <c r="H1733" i="11"/>
  <c r="G1733" i="11"/>
  <c r="F1733" i="11"/>
  <c r="M1732" i="11"/>
  <c r="L1732" i="11"/>
  <c r="K1732" i="11"/>
  <c r="J1732" i="11"/>
  <c r="I1732" i="11"/>
  <c r="H1732" i="11"/>
  <c r="G1732" i="11"/>
  <c r="F1732" i="11"/>
  <c r="M1731" i="11"/>
  <c r="L1731" i="11"/>
  <c r="K1731" i="11"/>
  <c r="J1731" i="11"/>
  <c r="I1731" i="11"/>
  <c r="H1731" i="11"/>
  <c r="G1731" i="11"/>
  <c r="F1731" i="11"/>
  <c r="M1730" i="11"/>
  <c r="L1730" i="11"/>
  <c r="K1730" i="11"/>
  <c r="J1730" i="11"/>
  <c r="I1730" i="11"/>
  <c r="H1730" i="11"/>
  <c r="G1730" i="11"/>
  <c r="F1730" i="11"/>
  <c r="M1729" i="11"/>
  <c r="L1729" i="11"/>
  <c r="K1729" i="11"/>
  <c r="J1729" i="11"/>
  <c r="I1729" i="11"/>
  <c r="H1729" i="11"/>
  <c r="G1729" i="11"/>
  <c r="F1729" i="11"/>
  <c r="M1728" i="11"/>
  <c r="L1728" i="11"/>
  <c r="K1728" i="11"/>
  <c r="J1728" i="11"/>
  <c r="I1728" i="11"/>
  <c r="H1728" i="11"/>
  <c r="G1728" i="11"/>
  <c r="F1728" i="11"/>
  <c r="M1727" i="11"/>
  <c r="L1727" i="11"/>
  <c r="K1727" i="11"/>
  <c r="J1727" i="11"/>
  <c r="I1727" i="11"/>
  <c r="H1727" i="11"/>
  <c r="G1727" i="11"/>
  <c r="F1727" i="11"/>
  <c r="M1726" i="11"/>
  <c r="L1726" i="11"/>
  <c r="K1726" i="11"/>
  <c r="J1726" i="11"/>
  <c r="I1726" i="11"/>
  <c r="H1726" i="11"/>
  <c r="G1726" i="11"/>
  <c r="F1726" i="11"/>
  <c r="M1725" i="11"/>
  <c r="L1725" i="11"/>
  <c r="K1725" i="11"/>
  <c r="J1725" i="11"/>
  <c r="I1725" i="11"/>
  <c r="H1725" i="11"/>
  <c r="G1725" i="11"/>
  <c r="F1725" i="11"/>
  <c r="M1724" i="11"/>
  <c r="L1724" i="11"/>
  <c r="K1724" i="11"/>
  <c r="J1724" i="11"/>
  <c r="I1724" i="11"/>
  <c r="H1724" i="11"/>
  <c r="G1724" i="11"/>
  <c r="F1724" i="11"/>
  <c r="M1723" i="11"/>
  <c r="L1723" i="11"/>
  <c r="K1723" i="11"/>
  <c r="J1723" i="11"/>
  <c r="I1723" i="11"/>
  <c r="H1723" i="11"/>
  <c r="G1723" i="11"/>
  <c r="F1723" i="11"/>
  <c r="M1722" i="11"/>
  <c r="L1722" i="11"/>
  <c r="K1722" i="11"/>
  <c r="J1722" i="11"/>
  <c r="I1722" i="11"/>
  <c r="H1722" i="11"/>
  <c r="G1722" i="11"/>
  <c r="F1722" i="11"/>
  <c r="M1721" i="11"/>
  <c r="L1721" i="11"/>
  <c r="K1721" i="11"/>
  <c r="J1721" i="11"/>
  <c r="I1721" i="11"/>
  <c r="H1721" i="11"/>
  <c r="G1721" i="11"/>
  <c r="F1721" i="11"/>
  <c r="M1720" i="11"/>
  <c r="L1720" i="11"/>
  <c r="K1720" i="11"/>
  <c r="J1720" i="11"/>
  <c r="I1720" i="11"/>
  <c r="H1720" i="11"/>
  <c r="G1720" i="11"/>
  <c r="F1720" i="11"/>
  <c r="M1719" i="11"/>
  <c r="L1719" i="11"/>
  <c r="K1719" i="11"/>
  <c r="J1719" i="11"/>
  <c r="I1719" i="11"/>
  <c r="H1719" i="11"/>
  <c r="G1719" i="11"/>
  <c r="F1719" i="11"/>
  <c r="M1718" i="11"/>
  <c r="L1718" i="11"/>
  <c r="K1718" i="11"/>
  <c r="J1718" i="11"/>
  <c r="I1718" i="11"/>
  <c r="H1718" i="11"/>
  <c r="G1718" i="11"/>
  <c r="F1718" i="11"/>
  <c r="M1717" i="11"/>
  <c r="L1717" i="11"/>
  <c r="K1717" i="11"/>
  <c r="J1717" i="11"/>
  <c r="I1717" i="11"/>
  <c r="H1717" i="11"/>
  <c r="G1717" i="11"/>
  <c r="F1717" i="11"/>
  <c r="M1716" i="11"/>
  <c r="L1716" i="11"/>
  <c r="K1716" i="11"/>
  <c r="J1716" i="11"/>
  <c r="I1716" i="11"/>
  <c r="H1716" i="11"/>
  <c r="G1716" i="11"/>
  <c r="F1716" i="11"/>
  <c r="M1715" i="11"/>
  <c r="L1715" i="11"/>
  <c r="K1715" i="11"/>
  <c r="J1715" i="11"/>
  <c r="I1715" i="11"/>
  <c r="H1715" i="11"/>
  <c r="G1715" i="11"/>
  <c r="F1715" i="11"/>
  <c r="M1714" i="11"/>
  <c r="L1714" i="11"/>
  <c r="K1714" i="11"/>
  <c r="J1714" i="11"/>
  <c r="I1714" i="11"/>
  <c r="H1714" i="11"/>
  <c r="G1714" i="11"/>
  <c r="F1714" i="11"/>
  <c r="M1713" i="11"/>
  <c r="L1713" i="11"/>
  <c r="K1713" i="11"/>
  <c r="J1713" i="11"/>
  <c r="I1713" i="11"/>
  <c r="H1713" i="11"/>
  <c r="G1713" i="11"/>
  <c r="F1713" i="11"/>
  <c r="M1712" i="11"/>
  <c r="L1712" i="11"/>
  <c r="K1712" i="11"/>
  <c r="J1712" i="11"/>
  <c r="I1712" i="11"/>
  <c r="H1712" i="11"/>
  <c r="G1712" i="11"/>
  <c r="F1712" i="11"/>
  <c r="M1711" i="11"/>
  <c r="L1711" i="11"/>
  <c r="K1711" i="11"/>
  <c r="J1711" i="11"/>
  <c r="I1711" i="11"/>
  <c r="H1711" i="11"/>
  <c r="G1711" i="11"/>
  <c r="F1711" i="11"/>
  <c r="M1710" i="11"/>
  <c r="L1710" i="11"/>
  <c r="K1710" i="11"/>
  <c r="J1710" i="11"/>
  <c r="I1710" i="11"/>
  <c r="H1710" i="11"/>
  <c r="G1710" i="11"/>
  <c r="F1710" i="11"/>
  <c r="M1709" i="11"/>
  <c r="L1709" i="11"/>
  <c r="K1709" i="11"/>
  <c r="J1709" i="11"/>
  <c r="I1709" i="11"/>
  <c r="H1709" i="11"/>
  <c r="G1709" i="11"/>
  <c r="F1709" i="11"/>
  <c r="M1708" i="11"/>
  <c r="L1708" i="11"/>
  <c r="K1708" i="11"/>
  <c r="J1708" i="11"/>
  <c r="I1708" i="11"/>
  <c r="H1708" i="11"/>
  <c r="G1708" i="11"/>
  <c r="F1708" i="11"/>
  <c r="M1707" i="11"/>
  <c r="L1707" i="11"/>
  <c r="K1707" i="11"/>
  <c r="J1707" i="11"/>
  <c r="I1707" i="11"/>
  <c r="H1707" i="11"/>
  <c r="G1707" i="11"/>
  <c r="F1707" i="11"/>
  <c r="M1706" i="11"/>
  <c r="L1706" i="11"/>
  <c r="K1706" i="11"/>
  <c r="J1706" i="11"/>
  <c r="I1706" i="11"/>
  <c r="H1706" i="11"/>
  <c r="G1706" i="11"/>
  <c r="F1706" i="11"/>
  <c r="M1705" i="11"/>
  <c r="L1705" i="11"/>
  <c r="K1705" i="11"/>
  <c r="J1705" i="11"/>
  <c r="I1705" i="11"/>
  <c r="H1705" i="11"/>
  <c r="G1705" i="11"/>
  <c r="F1705" i="11"/>
  <c r="M1704" i="11"/>
  <c r="L1704" i="11"/>
  <c r="K1704" i="11"/>
  <c r="J1704" i="11"/>
  <c r="I1704" i="11"/>
  <c r="H1704" i="11"/>
  <c r="G1704" i="11"/>
  <c r="F1704" i="11"/>
  <c r="M1703" i="11"/>
  <c r="L1703" i="11"/>
  <c r="K1703" i="11"/>
  <c r="J1703" i="11"/>
  <c r="I1703" i="11"/>
  <c r="H1703" i="11"/>
  <c r="G1703" i="11"/>
  <c r="F1703" i="11"/>
  <c r="M1702" i="11"/>
  <c r="L1702" i="11"/>
  <c r="K1702" i="11"/>
  <c r="J1702" i="11"/>
  <c r="I1702" i="11"/>
  <c r="H1702" i="11"/>
  <c r="G1702" i="11"/>
  <c r="F1702" i="11"/>
  <c r="M1701" i="11"/>
  <c r="L1701" i="11"/>
  <c r="K1701" i="11"/>
  <c r="J1701" i="11"/>
  <c r="I1701" i="11"/>
  <c r="H1701" i="11"/>
  <c r="G1701" i="11"/>
  <c r="F1701" i="11"/>
  <c r="M1700" i="11"/>
  <c r="L1700" i="11"/>
  <c r="K1700" i="11"/>
  <c r="J1700" i="11"/>
  <c r="I1700" i="11"/>
  <c r="H1700" i="11"/>
  <c r="G1700" i="11"/>
  <c r="F1700" i="11"/>
  <c r="M1699" i="11"/>
  <c r="L1699" i="11"/>
  <c r="K1699" i="11"/>
  <c r="J1699" i="11"/>
  <c r="I1699" i="11"/>
  <c r="H1699" i="11"/>
  <c r="G1699" i="11"/>
  <c r="F1699" i="11"/>
  <c r="M1698" i="11"/>
  <c r="L1698" i="11"/>
  <c r="K1698" i="11"/>
  <c r="J1698" i="11"/>
  <c r="I1698" i="11"/>
  <c r="H1698" i="11"/>
  <c r="G1698" i="11"/>
  <c r="F1698" i="11"/>
  <c r="M1697" i="11"/>
  <c r="L1697" i="11"/>
  <c r="K1697" i="11"/>
  <c r="J1697" i="11"/>
  <c r="I1697" i="11"/>
  <c r="H1697" i="11"/>
  <c r="G1697" i="11"/>
  <c r="F1697" i="11"/>
  <c r="M1696" i="11"/>
  <c r="L1696" i="11"/>
  <c r="K1696" i="11"/>
  <c r="J1696" i="11"/>
  <c r="I1696" i="11"/>
  <c r="H1696" i="11"/>
  <c r="G1696" i="11"/>
  <c r="F1696" i="11"/>
  <c r="M1695" i="11"/>
  <c r="L1695" i="11"/>
  <c r="K1695" i="11"/>
  <c r="J1695" i="11"/>
  <c r="I1695" i="11"/>
  <c r="H1695" i="11"/>
  <c r="G1695" i="11"/>
  <c r="F1695" i="11"/>
  <c r="M1694" i="11"/>
  <c r="L1694" i="11"/>
  <c r="K1694" i="11"/>
  <c r="J1694" i="11"/>
  <c r="I1694" i="11"/>
  <c r="H1694" i="11"/>
  <c r="G1694" i="11"/>
  <c r="F1694" i="11"/>
  <c r="M1693" i="11"/>
  <c r="L1693" i="11"/>
  <c r="K1693" i="11"/>
  <c r="J1693" i="11"/>
  <c r="I1693" i="11"/>
  <c r="H1693" i="11"/>
  <c r="G1693" i="11"/>
  <c r="F1693" i="11"/>
  <c r="M1692" i="11"/>
  <c r="L1692" i="11"/>
  <c r="K1692" i="11"/>
  <c r="J1692" i="11"/>
  <c r="I1692" i="11"/>
  <c r="H1692" i="11"/>
  <c r="G1692" i="11"/>
  <c r="F1692" i="11"/>
  <c r="M1691" i="11"/>
  <c r="L1691" i="11"/>
  <c r="K1691" i="11"/>
  <c r="J1691" i="11"/>
  <c r="I1691" i="11"/>
  <c r="H1691" i="11"/>
  <c r="G1691" i="11"/>
  <c r="F1691" i="11"/>
  <c r="M1690" i="11"/>
  <c r="L1690" i="11"/>
  <c r="K1690" i="11"/>
  <c r="J1690" i="11"/>
  <c r="I1690" i="11"/>
  <c r="H1690" i="11"/>
  <c r="G1690" i="11"/>
  <c r="F1690" i="11"/>
  <c r="M1689" i="11"/>
  <c r="L1689" i="11"/>
  <c r="K1689" i="11"/>
  <c r="J1689" i="11"/>
  <c r="I1689" i="11"/>
  <c r="H1689" i="11"/>
  <c r="G1689" i="11"/>
  <c r="F1689" i="11"/>
  <c r="M1688" i="11"/>
  <c r="L1688" i="11"/>
  <c r="K1688" i="11"/>
  <c r="J1688" i="11"/>
  <c r="I1688" i="11"/>
  <c r="H1688" i="11"/>
  <c r="G1688" i="11"/>
  <c r="F1688" i="11"/>
  <c r="M1687" i="11"/>
  <c r="L1687" i="11"/>
  <c r="K1687" i="11"/>
  <c r="J1687" i="11"/>
  <c r="I1687" i="11"/>
  <c r="H1687" i="11"/>
  <c r="G1687" i="11"/>
  <c r="F1687" i="11"/>
  <c r="M1686" i="11"/>
  <c r="L1686" i="11"/>
  <c r="K1686" i="11"/>
  <c r="J1686" i="11"/>
  <c r="I1686" i="11"/>
  <c r="H1686" i="11"/>
  <c r="G1686" i="11"/>
  <c r="F1686" i="11"/>
  <c r="M1685" i="11"/>
  <c r="L1685" i="11"/>
  <c r="K1685" i="11"/>
  <c r="J1685" i="11"/>
  <c r="I1685" i="11"/>
  <c r="H1685" i="11"/>
  <c r="G1685" i="11"/>
  <c r="F1685" i="11"/>
  <c r="M1684" i="11"/>
  <c r="L1684" i="11"/>
  <c r="K1684" i="11"/>
  <c r="J1684" i="11"/>
  <c r="I1684" i="11"/>
  <c r="H1684" i="11"/>
  <c r="G1684" i="11"/>
  <c r="F1684" i="11"/>
  <c r="M1683" i="11"/>
  <c r="L1683" i="11"/>
  <c r="K1683" i="11"/>
  <c r="J1683" i="11"/>
  <c r="I1683" i="11"/>
  <c r="H1683" i="11"/>
  <c r="G1683" i="11"/>
  <c r="F1683" i="11"/>
  <c r="M1682" i="11"/>
  <c r="L1682" i="11"/>
  <c r="K1682" i="11"/>
  <c r="J1682" i="11"/>
  <c r="I1682" i="11"/>
  <c r="H1682" i="11"/>
  <c r="G1682" i="11"/>
  <c r="F1682" i="11"/>
  <c r="M1681" i="11"/>
  <c r="L1681" i="11"/>
  <c r="K1681" i="11"/>
  <c r="J1681" i="11"/>
  <c r="I1681" i="11"/>
  <c r="H1681" i="11"/>
  <c r="G1681" i="11"/>
  <c r="F1681" i="11"/>
  <c r="M1680" i="11"/>
  <c r="L1680" i="11"/>
  <c r="K1680" i="11"/>
  <c r="J1680" i="11"/>
  <c r="I1680" i="11"/>
  <c r="H1680" i="11"/>
  <c r="G1680" i="11"/>
  <c r="F1680" i="11"/>
  <c r="M1679" i="11"/>
  <c r="L1679" i="11"/>
  <c r="K1679" i="11"/>
  <c r="J1679" i="11"/>
  <c r="I1679" i="11"/>
  <c r="H1679" i="11"/>
  <c r="G1679" i="11"/>
  <c r="F1679" i="11"/>
  <c r="M1678" i="11"/>
  <c r="L1678" i="11"/>
  <c r="K1678" i="11"/>
  <c r="J1678" i="11"/>
  <c r="I1678" i="11"/>
  <c r="H1678" i="11"/>
  <c r="G1678" i="11"/>
  <c r="F1678" i="11"/>
  <c r="M1677" i="11"/>
  <c r="L1677" i="11"/>
  <c r="K1677" i="11"/>
  <c r="J1677" i="11"/>
  <c r="I1677" i="11"/>
  <c r="H1677" i="11"/>
  <c r="G1677" i="11"/>
  <c r="F1677" i="11"/>
  <c r="M1676" i="11"/>
  <c r="L1676" i="11"/>
  <c r="K1676" i="11"/>
  <c r="J1676" i="11"/>
  <c r="I1676" i="11"/>
  <c r="H1676" i="11"/>
  <c r="G1676" i="11"/>
  <c r="F1676" i="11"/>
  <c r="M1675" i="11"/>
  <c r="L1675" i="11"/>
  <c r="K1675" i="11"/>
  <c r="J1675" i="11"/>
  <c r="I1675" i="11"/>
  <c r="H1675" i="11"/>
  <c r="G1675" i="11"/>
  <c r="F1675" i="11"/>
  <c r="M1674" i="11"/>
  <c r="L1674" i="11"/>
  <c r="K1674" i="11"/>
  <c r="J1674" i="11"/>
  <c r="I1674" i="11"/>
  <c r="H1674" i="11"/>
  <c r="G1674" i="11"/>
  <c r="F1674" i="11"/>
  <c r="M1673" i="11"/>
  <c r="L1673" i="11"/>
  <c r="K1673" i="11"/>
  <c r="J1673" i="11"/>
  <c r="I1673" i="11"/>
  <c r="H1673" i="11"/>
  <c r="G1673" i="11"/>
  <c r="F1673" i="11"/>
  <c r="M1672" i="11"/>
  <c r="L1672" i="11"/>
  <c r="K1672" i="11"/>
  <c r="J1672" i="11"/>
  <c r="I1672" i="11"/>
  <c r="H1672" i="11"/>
  <c r="G1672" i="11"/>
  <c r="F1672" i="11"/>
  <c r="M1671" i="11"/>
  <c r="L1671" i="11"/>
  <c r="K1671" i="11"/>
  <c r="J1671" i="11"/>
  <c r="I1671" i="11"/>
  <c r="H1671" i="11"/>
  <c r="G1671" i="11"/>
  <c r="F1671" i="11"/>
  <c r="M1670" i="11"/>
  <c r="L1670" i="11"/>
  <c r="K1670" i="11"/>
  <c r="J1670" i="11"/>
  <c r="I1670" i="11"/>
  <c r="H1670" i="11"/>
  <c r="G1670" i="11"/>
  <c r="F1670" i="11"/>
  <c r="M1669" i="11"/>
  <c r="L1669" i="11"/>
  <c r="K1669" i="11"/>
  <c r="J1669" i="11"/>
  <c r="I1669" i="11"/>
  <c r="H1669" i="11"/>
  <c r="G1669" i="11"/>
  <c r="F1669" i="11"/>
  <c r="M1668" i="11"/>
  <c r="L1668" i="11"/>
  <c r="K1668" i="11"/>
  <c r="J1668" i="11"/>
  <c r="I1668" i="11"/>
  <c r="H1668" i="11"/>
  <c r="G1668" i="11"/>
  <c r="F1668" i="11"/>
  <c r="M1667" i="11"/>
  <c r="L1667" i="11"/>
  <c r="K1667" i="11"/>
  <c r="J1667" i="11"/>
  <c r="I1667" i="11"/>
  <c r="H1667" i="11"/>
  <c r="G1667" i="11"/>
  <c r="F1667" i="11"/>
  <c r="M1666" i="11"/>
  <c r="L1666" i="11"/>
  <c r="K1666" i="11"/>
  <c r="J1666" i="11"/>
  <c r="I1666" i="11"/>
  <c r="H1666" i="11"/>
  <c r="G1666" i="11"/>
  <c r="F1666" i="11"/>
  <c r="M1665" i="11"/>
  <c r="L1665" i="11"/>
  <c r="K1665" i="11"/>
  <c r="J1665" i="11"/>
  <c r="I1665" i="11"/>
  <c r="H1665" i="11"/>
  <c r="G1665" i="11"/>
  <c r="F1665" i="11"/>
  <c r="M1664" i="11"/>
  <c r="L1664" i="11"/>
  <c r="K1664" i="11"/>
  <c r="J1664" i="11"/>
  <c r="I1664" i="11"/>
  <c r="H1664" i="11"/>
  <c r="G1664" i="11"/>
  <c r="F1664" i="11"/>
  <c r="M1663" i="11"/>
  <c r="L1663" i="11"/>
  <c r="K1663" i="11"/>
  <c r="J1663" i="11"/>
  <c r="I1663" i="11"/>
  <c r="H1663" i="11"/>
  <c r="G1663" i="11"/>
  <c r="F1663" i="11"/>
  <c r="M1662" i="11"/>
  <c r="L1662" i="11"/>
  <c r="K1662" i="11"/>
  <c r="J1662" i="11"/>
  <c r="I1662" i="11"/>
  <c r="H1662" i="11"/>
  <c r="G1662" i="11"/>
  <c r="F1662" i="11"/>
  <c r="M1661" i="11"/>
  <c r="L1661" i="11"/>
  <c r="K1661" i="11"/>
  <c r="J1661" i="11"/>
  <c r="I1661" i="11"/>
  <c r="H1661" i="11"/>
  <c r="G1661" i="11"/>
  <c r="F1661" i="11"/>
  <c r="M1660" i="11"/>
  <c r="L1660" i="11"/>
  <c r="K1660" i="11"/>
  <c r="J1660" i="11"/>
  <c r="I1660" i="11"/>
  <c r="H1660" i="11"/>
  <c r="G1660" i="11"/>
  <c r="F1660" i="11"/>
  <c r="M1659" i="11"/>
  <c r="L1659" i="11"/>
  <c r="K1659" i="11"/>
  <c r="J1659" i="11"/>
  <c r="I1659" i="11"/>
  <c r="H1659" i="11"/>
  <c r="G1659" i="11"/>
  <c r="F1659" i="11"/>
  <c r="M1658" i="11"/>
  <c r="L1658" i="11"/>
  <c r="K1658" i="11"/>
  <c r="J1658" i="11"/>
  <c r="I1658" i="11"/>
  <c r="H1658" i="11"/>
  <c r="G1658" i="11"/>
  <c r="F1658" i="11"/>
  <c r="M1657" i="11"/>
  <c r="L1657" i="11"/>
  <c r="K1657" i="11"/>
  <c r="J1657" i="11"/>
  <c r="I1657" i="11"/>
  <c r="H1657" i="11"/>
  <c r="G1657" i="11"/>
  <c r="F1657" i="11"/>
  <c r="M1656" i="11"/>
  <c r="L1656" i="11"/>
  <c r="K1656" i="11"/>
  <c r="J1656" i="11"/>
  <c r="I1656" i="11"/>
  <c r="H1656" i="11"/>
  <c r="G1656" i="11"/>
  <c r="F1656" i="11"/>
  <c r="M1655" i="11"/>
  <c r="L1655" i="11"/>
  <c r="K1655" i="11"/>
  <c r="J1655" i="11"/>
  <c r="I1655" i="11"/>
  <c r="H1655" i="11"/>
  <c r="G1655" i="11"/>
  <c r="F1655" i="11"/>
  <c r="M1654" i="11"/>
  <c r="L1654" i="11"/>
  <c r="K1654" i="11"/>
  <c r="J1654" i="11"/>
  <c r="I1654" i="11"/>
  <c r="H1654" i="11"/>
  <c r="G1654" i="11"/>
  <c r="F1654" i="11"/>
  <c r="M1653" i="11"/>
  <c r="L1653" i="11"/>
  <c r="K1653" i="11"/>
  <c r="J1653" i="11"/>
  <c r="I1653" i="11"/>
  <c r="H1653" i="11"/>
  <c r="G1653" i="11"/>
  <c r="F1653" i="11"/>
  <c r="M1652" i="11"/>
  <c r="L1652" i="11"/>
  <c r="K1652" i="11"/>
  <c r="J1652" i="11"/>
  <c r="I1652" i="11"/>
  <c r="H1652" i="11"/>
  <c r="G1652" i="11"/>
  <c r="F1652" i="11"/>
  <c r="M1651" i="11"/>
  <c r="L1651" i="11"/>
  <c r="K1651" i="11"/>
  <c r="J1651" i="11"/>
  <c r="I1651" i="11"/>
  <c r="H1651" i="11"/>
  <c r="G1651" i="11"/>
  <c r="F1651" i="11"/>
  <c r="M1650" i="11"/>
  <c r="L1650" i="11"/>
  <c r="K1650" i="11"/>
  <c r="J1650" i="11"/>
  <c r="I1650" i="11"/>
  <c r="H1650" i="11"/>
  <c r="G1650" i="11"/>
  <c r="F1650" i="11"/>
  <c r="M1649" i="11"/>
  <c r="L1649" i="11"/>
  <c r="K1649" i="11"/>
  <c r="J1649" i="11"/>
  <c r="I1649" i="11"/>
  <c r="H1649" i="11"/>
  <c r="G1649" i="11"/>
  <c r="F1649" i="11"/>
  <c r="M1648" i="11"/>
  <c r="L1648" i="11"/>
  <c r="K1648" i="11"/>
  <c r="J1648" i="11"/>
  <c r="I1648" i="11"/>
  <c r="H1648" i="11"/>
  <c r="G1648" i="11"/>
  <c r="F1648" i="11"/>
  <c r="M1647" i="11"/>
  <c r="L1647" i="11"/>
  <c r="K1647" i="11"/>
  <c r="J1647" i="11"/>
  <c r="I1647" i="11"/>
  <c r="H1647" i="11"/>
  <c r="G1647" i="11"/>
  <c r="F1647" i="11"/>
  <c r="M1646" i="11"/>
  <c r="L1646" i="11"/>
  <c r="K1646" i="11"/>
  <c r="J1646" i="11"/>
  <c r="I1646" i="11"/>
  <c r="H1646" i="11"/>
  <c r="G1646" i="11"/>
  <c r="F1646" i="11"/>
  <c r="M1645" i="11"/>
  <c r="L1645" i="11"/>
  <c r="K1645" i="11"/>
  <c r="J1645" i="11"/>
  <c r="I1645" i="11"/>
  <c r="H1645" i="11"/>
  <c r="G1645" i="11"/>
  <c r="F1645" i="11"/>
  <c r="M1644" i="11"/>
  <c r="L1644" i="11"/>
  <c r="K1644" i="11"/>
  <c r="J1644" i="11"/>
  <c r="I1644" i="11"/>
  <c r="H1644" i="11"/>
  <c r="G1644" i="11"/>
  <c r="F1644" i="11"/>
  <c r="M1643" i="11"/>
  <c r="L1643" i="11"/>
  <c r="K1643" i="11"/>
  <c r="J1643" i="11"/>
  <c r="I1643" i="11"/>
  <c r="H1643" i="11"/>
  <c r="G1643" i="11"/>
  <c r="F1643" i="11"/>
  <c r="M1642" i="11"/>
  <c r="L1642" i="11"/>
  <c r="K1642" i="11"/>
  <c r="J1642" i="11"/>
  <c r="I1642" i="11"/>
  <c r="H1642" i="11"/>
  <c r="G1642" i="11"/>
  <c r="F1642" i="11"/>
  <c r="M1641" i="11"/>
  <c r="L1641" i="11"/>
  <c r="K1641" i="11"/>
  <c r="J1641" i="11"/>
  <c r="I1641" i="11"/>
  <c r="H1641" i="11"/>
  <c r="G1641" i="11"/>
  <c r="F1641" i="11"/>
  <c r="M1640" i="11"/>
  <c r="L1640" i="11"/>
  <c r="K1640" i="11"/>
  <c r="J1640" i="11"/>
  <c r="I1640" i="11"/>
  <c r="H1640" i="11"/>
  <c r="G1640" i="11"/>
  <c r="F1640" i="11"/>
  <c r="M1639" i="11"/>
  <c r="L1639" i="11"/>
  <c r="K1639" i="11"/>
  <c r="J1639" i="11"/>
  <c r="I1639" i="11"/>
  <c r="H1639" i="11"/>
  <c r="G1639" i="11"/>
  <c r="F1639" i="11"/>
  <c r="M1638" i="11"/>
  <c r="L1638" i="11"/>
  <c r="K1638" i="11"/>
  <c r="J1638" i="11"/>
  <c r="I1638" i="11"/>
  <c r="H1638" i="11"/>
  <c r="G1638" i="11"/>
  <c r="F1638" i="11"/>
  <c r="M1637" i="11"/>
  <c r="L1637" i="11"/>
  <c r="K1637" i="11"/>
  <c r="J1637" i="11"/>
  <c r="I1637" i="11"/>
  <c r="H1637" i="11"/>
  <c r="G1637" i="11"/>
  <c r="F1637" i="11"/>
  <c r="M1636" i="11"/>
  <c r="L1636" i="11"/>
  <c r="K1636" i="11"/>
  <c r="J1636" i="11"/>
  <c r="I1636" i="11"/>
  <c r="H1636" i="11"/>
  <c r="G1636" i="11"/>
  <c r="F1636" i="11"/>
  <c r="M1635" i="11"/>
  <c r="L1635" i="11"/>
  <c r="K1635" i="11"/>
  <c r="J1635" i="11"/>
  <c r="I1635" i="11"/>
  <c r="H1635" i="11"/>
  <c r="G1635" i="11"/>
  <c r="F1635" i="11"/>
  <c r="M1634" i="11"/>
  <c r="L1634" i="11"/>
  <c r="K1634" i="11"/>
  <c r="J1634" i="11"/>
  <c r="I1634" i="11"/>
  <c r="H1634" i="11"/>
  <c r="G1634" i="11"/>
  <c r="F1634" i="11"/>
  <c r="M1633" i="11"/>
  <c r="L1633" i="11"/>
  <c r="K1633" i="11"/>
  <c r="J1633" i="11"/>
  <c r="I1633" i="11"/>
  <c r="H1633" i="11"/>
  <c r="G1633" i="11"/>
  <c r="F1633" i="11"/>
  <c r="M1632" i="11"/>
  <c r="L1632" i="11"/>
  <c r="K1632" i="11"/>
  <c r="J1632" i="11"/>
  <c r="I1632" i="11"/>
  <c r="H1632" i="11"/>
  <c r="G1632" i="11"/>
  <c r="F1632" i="11"/>
  <c r="M1631" i="11"/>
  <c r="L1631" i="11"/>
  <c r="K1631" i="11"/>
  <c r="J1631" i="11"/>
  <c r="I1631" i="11"/>
  <c r="H1631" i="11"/>
  <c r="G1631" i="11"/>
  <c r="F1631" i="11"/>
  <c r="M1630" i="11"/>
  <c r="L1630" i="11"/>
  <c r="K1630" i="11"/>
  <c r="J1630" i="11"/>
  <c r="I1630" i="11"/>
  <c r="H1630" i="11"/>
  <c r="G1630" i="11"/>
  <c r="F1630" i="11"/>
  <c r="M1629" i="11"/>
  <c r="L1629" i="11"/>
  <c r="K1629" i="11"/>
  <c r="J1629" i="11"/>
  <c r="I1629" i="11"/>
  <c r="H1629" i="11"/>
  <c r="G1629" i="11"/>
  <c r="F1629" i="11"/>
  <c r="M1628" i="11"/>
  <c r="L1628" i="11"/>
  <c r="K1628" i="11"/>
  <c r="J1628" i="11"/>
  <c r="I1628" i="11"/>
  <c r="H1628" i="11"/>
  <c r="G1628" i="11"/>
  <c r="F1628" i="11"/>
  <c r="M1627" i="11"/>
  <c r="L1627" i="11"/>
  <c r="K1627" i="11"/>
  <c r="J1627" i="11"/>
  <c r="I1627" i="11"/>
  <c r="H1627" i="11"/>
  <c r="G1627" i="11"/>
  <c r="F1627" i="11"/>
  <c r="M1626" i="11"/>
  <c r="L1626" i="11"/>
  <c r="K1626" i="11"/>
  <c r="J1626" i="11"/>
  <c r="I1626" i="11"/>
  <c r="H1626" i="11"/>
  <c r="G1626" i="11"/>
  <c r="F1626" i="11"/>
  <c r="M1625" i="11"/>
  <c r="L1625" i="11"/>
  <c r="K1625" i="11"/>
  <c r="J1625" i="11"/>
  <c r="I1625" i="11"/>
  <c r="H1625" i="11"/>
  <c r="G1625" i="11"/>
  <c r="F1625" i="11"/>
  <c r="M1624" i="11"/>
  <c r="L1624" i="11"/>
  <c r="K1624" i="11"/>
  <c r="J1624" i="11"/>
  <c r="I1624" i="11"/>
  <c r="H1624" i="11"/>
  <c r="G1624" i="11"/>
  <c r="F1624" i="11"/>
  <c r="M1623" i="11"/>
  <c r="L1623" i="11"/>
  <c r="K1623" i="11"/>
  <c r="J1623" i="11"/>
  <c r="I1623" i="11"/>
  <c r="H1623" i="11"/>
  <c r="G1623" i="11"/>
  <c r="F1623" i="11"/>
  <c r="M1622" i="11"/>
  <c r="L1622" i="11"/>
  <c r="K1622" i="11"/>
  <c r="J1622" i="11"/>
  <c r="I1622" i="11"/>
  <c r="H1622" i="11"/>
  <c r="G1622" i="11"/>
  <c r="F1622" i="11"/>
  <c r="M1621" i="11"/>
  <c r="L1621" i="11"/>
  <c r="K1621" i="11"/>
  <c r="J1621" i="11"/>
  <c r="I1621" i="11"/>
  <c r="H1621" i="11"/>
  <c r="G1621" i="11"/>
  <c r="F1621" i="11"/>
  <c r="M1620" i="11"/>
  <c r="L1620" i="11"/>
  <c r="K1620" i="11"/>
  <c r="J1620" i="11"/>
  <c r="I1620" i="11"/>
  <c r="H1620" i="11"/>
  <c r="G1620" i="11"/>
  <c r="F1620" i="11"/>
  <c r="M1619" i="11"/>
  <c r="L1619" i="11"/>
  <c r="K1619" i="11"/>
  <c r="J1619" i="11"/>
  <c r="I1619" i="11"/>
  <c r="H1619" i="11"/>
  <c r="G1619" i="11"/>
  <c r="F1619" i="11"/>
  <c r="M1618" i="11"/>
  <c r="L1618" i="11"/>
  <c r="K1618" i="11"/>
  <c r="J1618" i="11"/>
  <c r="I1618" i="11"/>
  <c r="H1618" i="11"/>
  <c r="G1618" i="11"/>
  <c r="F1618" i="11"/>
  <c r="M1617" i="11"/>
  <c r="L1617" i="11"/>
  <c r="K1617" i="11"/>
  <c r="J1617" i="11"/>
  <c r="I1617" i="11"/>
  <c r="H1617" i="11"/>
  <c r="G1617" i="11"/>
  <c r="F1617" i="11"/>
  <c r="M1616" i="11"/>
  <c r="L1616" i="11"/>
  <c r="K1616" i="11"/>
  <c r="J1616" i="11"/>
  <c r="I1616" i="11"/>
  <c r="H1616" i="11"/>
  <c r="G1616" i="11"/>
  <c r="F1616" i="11"/>
  <c r="M1615" i="11"/>
  <c r="L1615" i="11"/>
  <c r="K1615" i="11"/>
  <c r="J1615" i="11"/>
  <c r="I1615" i="11"/>
  <c r="H1615" i="11"/>
  <c r="G1615" i="11"/>
  <c r="F1615" i="11"/>
  <c r="M1614" i="11"/>
  <c r="L1614" i="11"/>
  <c r="K1614" i="11"/>
  <c r="J1614" i="11"/>
  <c r="I1614" i="11"/>
  <c r="H1614" i="11"/>
  <c r="G1614" i="11"/>
  <c r="F1614" i="11"/>
  <c r="M1613" i="11"/>
  <c r="L1613" i="11"/>
  <c r="K1613" i="11"/>
  <c r="J1613" i="11"/>
  <c r="I1613" i="11"/>
  <c r="H1613" i="11"/>
  <c r="G1613" i="11"/>
  <c r="F1613" i="11"/>
  <c r="M1612" i="11"/>
  <c r="L1612" i="11"/>
  <c r="K1612" i="11"/>
  <c r="J1612" i="11"/>
  <c r="I1612" i="11"/>
  <c r="H1612" i="11"/>
  <c r="G1612" i="11"/>
  <c r="F1612" i="11"/>
  <c r="M1611" i="11"/>
  <c r="L1611" i="11"/>
  <c r="K1611" i="11"/>
  <c r="J1611" i="11"/>
  <c r="I1611" i="11"/>
  <c r="H1611" i="11"/>
  <c r="G1611" i="11"/>
  <c r="F1611" i="11"/>
  <c r="M1610" i="11"/>
  <c r="L1610" i="11"/>
  <c r="K1610" i="11"/>
  <c r="J1610" i="11"/>
  <c r="I1610" i="11"/>
  <c r="H1610" i="11"/>
  <c r="G1610" i="11"/>
  <c r="F1610" i="11"/>
  <c r="M1609" i="11"/>
  <c r="L1609" i="11"/>
  <c r="K1609" i="11"/>
  <c r="J1609" i="11"/>
  <c r="I1609" i="11"/>
  <c r="H1609" i="11"/>
  <c r="G1609" i="11"/>
  <c r="F1609" i="11"/>
  <c r="M1608" i="11"/>
  <c r="L1608" i="11"/>
  <c r="K1608" i="11"/>
  <c r="J1608" i="11"/>
  <c r="I1608" i="11"/>
  <c r="H1608" i="11"/>
  <c r="G1608" i="11"/>
  <c r="F1608" i="11"/>
  <c r="M1607" i="11"/>
  <c r="L1607" i="11"/>
  <c r="K1607" i="11"/>
  <c r="J1607" i="11"/>
  <c r="I1607" i="11"/>
  <c r="H1607" i="11"/>
  <c r="G1607" i="11"/>
  <c r="F1607" i="11"/>
  <c r="M1606" i="11"/>
  <c r="L1606" i="11"/>
  <c r="K1606" i="11"/>
  <c r="J1606" i="11"/>
  <c r="I1606" i="11"/>
  <c r="H1606" i="11"/>
  <c r="G1606" i="11"/>
  <c r="F1606" i="11"/>
  <c r="M1605" i="11"/>
  <c r="L1605" i="11"/>
  <c r="K1605" i="11"/>
  <c r="J1605" i="11"/>
  <c r="I1605" i="11"/>
  <c r="H1605" i="11"/>
  <c r="G1605" i="11"/>
  <c r="F1605" i="11"/>
  <c r="M1604" i="11"/>
  <c r="L1604" i="11"/>
  <c r="K1604" i="11"/>
  <c r="J1604" i="11"/>
  <c r="I1604" i="11"/>
  <c r="H1604" i="11"/>
  <c r="G1604" i="11"/>
  <c r="F1604" i="11"/>
  <c r="M1603" i="11"/>
  <c r="L1603" i="11"/>
  <c r="K1603" i="11"/>
  <c r="J1603" i="11"/>
  <c r="I1603" i="11"/>
  <c r="H1603" i="11"/>
  <c r="G1603" i="11"/>
  <c r="F1603" i="11"/>
  <c r="M1602" i="11"/>
  <c r="L1602" i="11"/>
  <c r="K1602" i="11"/>
  <c r="J1602" i="11"/>
  <c r="I1602" i="11"/>
  <c r="H1602" i="11"/>
  <c r="G1602" i="11"/>
  <c r="F1602" i="11"/>
  <c r="M1601" i="11"/>
  <c r="L1601" i="11"/>
  <c r="K1601" i="11"/>
  <c r="J1601" i="11"/>
  <c r="I1601" i="11"/>
  <c r="H1601" i="11"/>
  <c r="G1601" i="11"/>
  <c r="F1601" i="11"/>
  <c r="M1600" i="11"/>
  <c r="L1600" i="11"/>
  <c r="K1600" i="11"/>
  <c r="J1600" i="11"/>
  <c r="I1600" i="11"/>
  <c r="H1600" i="11"/>
  <c r="G1600" i="11"/>
  <c r="F1600" i="11"/>
  <c r="M1599" i="11"/>
  <c r="L1599" i="11"/>
  <c r="K1599" i="11"/>
  <c r="J1599" i="11"/>
  <c r="I1599" i="11"/>
  <c r="H1599" i="11"/>
  <c r="G1599" i="11"/>
  <c r="F1599" i="11"/>
  <c r="M1598" i="11"/>
  <c r="L1598" i="11"/>
  <c r="K1598" i="11"/>
  <c r="J1598" i="11"/>
  <c r="I1598" i="11"/>
  <c r="H1598" i="11"/>
  <c r="G1598" i="11"/>
  <c r="F1598" i="11"/>
  <c r="M1597" i="11"/>
  <c r="L1597" i="11"/>
  <c r="K1597" i="11"/>
  <c r="J1597" i="11"/>
  <c r="I1597" i="11"/>
  <c r="H1597" i="11"/>
  <c r="G1597" i="11"/>
  <c r="F1597" i="11"/>
  <c r="M1596" i="11"/>
  <c r="L1596" i="11"/>
  <c r="K1596" i="11"/>
  <c r="J1596" i="11"/>
  <c r="I1596" i="11"/>
  <c r="H1596" i="11"/>
  <c r="G1596" i="11"/>
  <c r="F1596" i="11"/>
  <c r="M1595" i="11"/>
  <c r="L1595" i="11"/>
  <c r="K1595" i="11"/>
  <c r="J1595" i="11"/>
  <c r="I1595" i="11"/>
  <c r="H1595" i="11"/>
  <c r="G1595" i="11"/>
  <c r="F1595" i="11"/>
  <c r="M1594" i="11"/>
  <c r="L1594" i="11"/>
  <c r="K1594" i="11"/>
  <c r="J1594" i="11"/>
  <c r="I1594" i="11"/>
  <c r="H1594" i="11"/>
  <c r="G1594" i="11"/>
  <c r="F1594" i="11"/>
  <c r="M1593" i="11"/>
  <c r="L1593" i="11"/>
  <c r="K1593" i="11"/>
  <c r="J1593" i="11"/>
  <c r="I1593" i="11"/>
  <c r="H1593" i="11"/>
  <c r="G1593" i="11"/>
  <c r="F1593" i="11"/>
  <c r="M1592" i="11"/>
  <c r="L1592" i="11"/>
  <c r="K1592" i="11"/>
  <c r="J1592" i="11"/>
  <c r="I1592" i="11"/>
  <c r="H1592" i="11"/>
  <c r="G1592" i="11"/>
  <c r="F1592" i="11"/>
  <c r="M1591" i="11"/>
  <c r="L1591" i="11"/>
  <c r="K1591" i="11"/>
  <c r="J1591" i="11"/>
  <c r="I1591" i="11"/>
  <c r="H1591" i="11"/>
  <c r="G1591" i="11"/>
  <c r="F1591" i="11"/>
  <c r="M1590" i="11"/>
  <c r="L1590" i="11"/>
  <c r="K1590" i="11"/>
  <c r="J1590" i="11"/>
  <c r="I1590" i="11"/>
  <c r="H1590" i="11"/>
  <c r="G1590" i="11"/>
  <c r="F1590" i="11"/>
  <c r="M1589" i="11"/>
  <c r="L1589" i="11"/>
  <c r="K1589" i="11"/>
  <c r="J1589" i="11"/>
  <c r="I1589" i="11"/>
  <c r="H1589" i="11"/>
  <c r="G1589" i="11"/>
  <c r="F1589" i="11"/>
  <c r="M1588" i="11"/>
  <c r="L1588" i="11"/>
  <c r="K1588" i="11"/>
  <c r="J1588" i="11"/>
  <c r="I1588" i="11"/>
  <c r="H1588" i="11"/>
  <c r="G1588" i="11"/>
  <c r="F1588" i="11"/>
  <c r="M1587" i="11"/>
  <c r="L1587" i="11"/>
  <c r="K1587" i="11"/>
  <c r="J1587" i="11"/>
  <c r="I1587" i="11"/>
  <c r="H1587" i="11"/>
  <c r="G1587" i="11"/>
  <c r="F1587" i="11"/>
  <c r="M1586" i="11"/>
  <c r="L1586" i="11"/>
  <c r="K1586" i="11"/>
  <c r="J1586" i="11"/>
  <c r="I1586" i="11"/>
  <c r="H1586" i="11"/>
  <c r="G1586" i="11"/>
  <c r="F1586" i="11"/>
  <c r="M1585" i="11"/>
  <c r="L1585" i="11"/>
  <c r="K1585" i="11"/>
  <c r="J1585" i="11"/>
  <c r="I1585" i="11"/>
  <c r="H1585" i="11"/>
  <c r="G1585" i="11"/>
  <c r="F1585" i="11"/>
  <c r="M1584" i="11"/>
  <c r="L1584" i="11"/>
  <c r="K1584" i="11"/>
  <c r="J1584" i="11"/>
  <c r="I1584" i="11"/>
  <c r="H1584" i="11"/>
  <c r="G1584" i="11"/>
  <c r="F1584" i="11"/>
  <c r="M1583" i="11"/>
  <c r="L1583" i="11"/>
  <c r="K1583" i="11"/>
  <c r="J1583" i="11"/>
  <c r="I1583" i="11"/>
  <c r="H1583" i="11"/>
  <c r="G1583" i="11"/>
  <c r="F1583" i="11"/>
  <c r="M1582" i="11"/>
  <c r="L1582" i="11"/>
  <c r="K1582" i="11"/>
  <c r="J1582" i="11"/>
  <c r="I1582" i="11"/>
  <c r="H1582" i="11"/>
  <c r="G1582" i="11"/>
  <c r="F1582" i="11"/>
  <c r="M1581" i="11"/>
  <c r="L1581" i="11"/>
  <c r="K1581" i="11"/>
  <c r="J1581" i="11"/>
  <c r="I1581" i="11"/>
  <c r="H1581" i="11"/>
  <c r="G1581" i="11"/>
  <c r="F1581" i="11"/>
  <c r="M1580" i="11"/>
  <c r="L1580" i="11"/>
  <c r="K1580" i="11"/>
  <c r="J1580" i="11"/>
  <c r="I1580" i="11"/>
  <c r="H1580" i="11"/>
  <c r="G1580" i="11"/>
  <c r="F1580" i="11"/>
  <c r="M1579" i="11"/>
  <c r="L1579" i="11"/>
  <c r="K1579" i="11"/>
  <c r="J1579" i="11"/>
  <c r="I1579" i="11"/>
  <c r="H1579" i="11"/>
  <c r="G1579" i="11"/>
  <c r="F1579" i="11"/>
  <c r="M1578" i="11"/>
  <c r="L1578" i="11"/>
  <c r="K1578" i="11"/>
  <c r="J1578" i="11"/>
  <c r="I1578" i="11"/>
  <c r="H1578" i="11"/>
  <c r="G1578" i="11"/>
  <c r="F1578" i="11"/>
  <c r="M1577" i="11"/>
  <c r="L1577" i="11"/>
  <c r="K1577" i="11"/>
  <c r="J1577" i="11"/>
  <c r="I1577" i="11"/>
  <c r="H1577" i="11"/>
  <c r="G1577" i="11"/>
  <c r="F1577" i="11"/>
  <c r="M1576" i="11"/>
  <c r="L1576" i="11"/>
  <c r="K1576" i="11"/>
  <c r="J1576" i="11"/>
  <c r="I1576" i="11"/>
  <c r="H1576" i="11"/>
  <c r="G1576" i="11"/>
  <c r="F1576" i="11"/>
  <c r="M1575" i="11"/>
  <c r="L1575" i="11"/>
  <c r="K1575" i="11"/>
  <c r="J1575" i="11"/>
  <c r="I1575" i="11"/>
  <c r="H1575" i="11"/>
  <c r="G1575" i="11"/>
  <c r="F1575" i="11"/>
  <c r="M1574" i="11"/>
  <c r="L1574" i="11"/>
  <c r="K1574" i="11"/>
  <c r="J1574" i="11"/>
  <c r="I1574" i="11"/>
  <c r="H1574" i="11"/>
  <c r="G1574" i="11"/>
  <c r="F1574" i="11"/>
  <c r="M1573" i="11"/>
  <c r="L1573" i="11"/>
  <c r="K1573" i="11"/>
  <c r="J1573" i="11"/>
  <c r="I1573" i="11"/>
  <c r="H1573" i="11"/>
  <c r="G1573" i="11"/>
  <c r="F1573" i="11"/>
  <c r="M1572" i="11"/>
  <c r="L1572" i="11"/>
  <c r="K1572" i="11"/>
  <c r="J1572" i="11"/>
  <c r="I1572" i="11"/>
  <c r="H1572" i="11"/>
  <c r="G1572" i="11"/>
  <c r="F1572" i="11"/>
  <c r="M1571" i="11"/>
  <c r="L1571" i="11"/>
  <c r="K1571" i="11"/>
  <c r="J1571" i="11"/>
  <c r="I1571" i="11"/>
  <c r="H1571" i="11"/>
  <c r="G1571" i="11"/>
  <c r="F1571" i="11"/>
  <c r="M1570" i="11"/>
  <c r="L1570" i="11"/>
  <c r="K1570" i="11"/>
  <c r="J1570" i="11"/>
  <c r="I1570" i="11"/>
  <c r="H1570" i="11"/>
  <c r="G1570" i="11"/>
  <c r="F1570" i="11"/>
  <c r="M1569" i="11"/>
  <c r="L1569" i="11"/>
  <c r="K1569" i="11"/>
  <c r="J1569" i="11"/>
  <c r="I1569" i="11"/>
  <c r="H1569" i="11"/>
  <c r="G1569" i="11"/>
  <c r="F1569" i="11"/>
  <c r="M1568" i="11"/>
  <c r="L1568" i="11"/>
  <c r="K1568" i="11"/>
  <c r="J1568" i="11"/>
  <c r="I1568" i="11"/>
  <c r="H1568" i="11"/>
  <c r="G1568" i="11"/>
  <c r="F1568" i="11"/>
  <c r="M1567" i="11"/>
  <c r="L1567" i="11"/>
  <c r="K1567" i="11"/>
  <c r="J1567" i="11"/>
  <c r="I1567" i="11"/>
  <c r="H1567" i="11"/>
  <c r="G1567" i="11"/>
  <c r="F1567" i="11"/>
  <c r="M1566" i="11"/>
  <c r="L1566" i="11"/>
  <c r="K1566" i="11"/>
  <c r="J1566" i="11"/>
  <c r="I1566" i="11"/>
  <c r="H1566" i="11"/>
  <c r="G1566" i="11"/>
  <c r="F1566" i="11"/>
  <c r="M1565" i="11"/>
  <c r="L1565" i="11"/>
  <c r="K1565" i="11"/>
  <c r="J1565" i="11"/>
  <c r="I1565" i="11"/>
  <c r="H1565" i="11"/>
  <c r="G1565" i="11"/>
  <c r="F1565" i="11"/>
  <c r="M1564" i="11"/>
  <c r="L1564" i="11"/>
  <c r="K1564" i="11"/>
  <c r="J1564" i="11"/>
  <c r="I1564" i="11"/>
  <c r="H1564" i="11"/>
  <c r="G1564" i="11"/>
  <c r="F1564" i="11"/>
  <c r="M1563" i="11"/>
  <c r="L1563" i="11"/>
  <c r="K1563" i="11"/>
  <c r="J1563" i="11"/>
  <c r="I1563" i="11"/>
  <c r="H1563" i="11"/>
  <c r="G1563" i="11"/>
  <c r="F1563" i="11"/>
  <c r="M1562" i="11"/>
  <c r="L1562" i="11"/>
  <c r="K1562" i="11"/>
  <c r="J1562" i="11"/>
  <c r="I1562" i="11"/>
  <c r="H1562" i="11"/>
  <c r="G1562" i="11"/>
  <c r="F1562" i="11"/>
  <c r="M1561" i="11"/>
  <c r="L1561" i="11"/>
  <c r="K1561" i="11"/>
  <c r="J1561" i="11"/>
  <c r="I1561" i="11"/>
  <c r="H1561" i="11"/>
  <c r="G1561" i="11"/>
  <c r="F1561" i="11"/>
  <c r="M1560" i="11"/>
  <c r="L1560" i="11"/>
  <c r="K1560" i="11"/>
  <c r="J1560" i="11"/>
  <c r="I1560" i="11"/>
  <c r="H1560" i="11"/>
  <c r="G1560" i="11"/>
  <c r="F1560" i="11"/>
  <c r="M1559" i="11"/>
  <c r="L1559" i="11"/>
  <c r="K1559" i="11"/>
  <c r="J1559" i="11"/>
  <c r="I1559" i="11"/>
  <c r="H1559" i="11"/>
  <c r="G1559" i="11"/>
  <c r="F1559" i="11"/>
  <c r="M1558" i="11"/>
  <c r="L1558" i="11"/>
  <c r="K1558" i="11"/>
  <c r="J1558" i="11"/>
  <c r="I1558" i="11"/>
  <c r="H1558" i="11"/>
  <c r="G1558" i="11"/>
  <c r="F1558" i="11"/>
  <c r="M1557" i="11"/>
  <c r="L1557" i="11"/>
  <c r="K1557" i="11"/>
  <c r="J1557" i="11"/>
  <c r="I1557" i="11"/>
  <c r="H1557" i="11"/>
  <c r="G1557" i="11"/>
  <c r="F1557" i="11"/>
  <c r="M1556" i="11"/>
  <c r="L1556" i="11"/>
  <c r="K1556" i="11"/>
  <c r="J1556" i="11"/>
  <c r="I1556" i="11"/>
  <c r="H1556" i="11"/>
  <c r="G1556" i="11"/>
  <c r="F1556" i="11"/>
  <c r="M1555" i="11"/>
  <c r="L1555" i="11"/>
  <c r="K1555" i="11"/>
  <c r="J1555" i="11"/>
  <c r="I1555" i="11"/>
  <c r="H1555" i="11"/>
  <c r="G1555" i="11"/>
  <c r="F1555" i="11"/>
  <c r="M1554" i="11"/>
  <c r="L1554" i="11"/>
  <c r="K1554" i="11"/>
  <c r="J1554" i="11"/>
  <c r="I1554" i="11"/>
  <c r="H1554" i="11"/>
  <c r="G1554" i="11"/>
  <c r="F1554" i="11"/>
  <c r="M1553" i="11"/>
  <c r="L1553" i="11"/>
  <c r="K1553" i="11"/>
  <c r="J1553" i="11"/>
  <c r="I1553" i="11"/>
  <c r="H1553" i="11"/>
  <c r="G1553" i="11"/>
  <c r="F1553" i="11"/>
  <c r="M1552" i="11"/>
  <c r="L1552" i="11"/>
  <c r="K1552" i="11"/>
  <c r="J1552" i="11"/>
  <c r="I1552" i="11"/>
  <c r="H1552" i="11"/>
  <c r="G1552" i="11"/>
  <c r="F1552" i="11"/>
  <c r="M1551" i="11"/>
  <c r="L1551" i="11"/>
  <c r="K1551" i="11"/>
  <c r="J1551" i="11"/>
  <c r="I1551" i="11"/>
  <c r="H1551" i="11"/>
  <c r="G1551" i="11"/>
  <c r="F1551" i="11"/>
  <c r="M1550" i="11"/>
  <c r="L1550" i="11"/>
  <c r="K1550" i="11"/>
  <c r="J1550" i="11"/>
  <c r="I1550" i="11"/>
  <c r="H1550" i="11"/>
  <c r="G1550" i="11"/>
  <c r="F1550" i="11"/>
  <c r="M1549" i="11"/>
  <c r="L1549" i="11"/>
  <c r="K1549" i="11"/>
  <c r="J1549" i="11"/>
  <c r="I1549" i="11"/>
  <c r="H1549" i="11"/>
  <c r="G1549" i="11"/>
  <c r="F1549" i="11"/>
  <c r="M1548" i="11"/>
  <c r="L1548" i="11"/>
  <c r="K1548" i="11"/>
  <c r="J1548" i="11"/>
  <c r="I1548" i="11"/>
  <c r="H1548" i="11"/>
  <c r="G1548" i="11"/>
  <c r="F1548" i="11"/>
  <c r="M1547" i="11"/>
  <c r="L1547" i="11"/>
  <c r="K1547" i="11"/>
  <c r="J1547" i="11"/>
  <c r="I1547" i="11"/>
  <c r="H1547" i="11"/>
  <c r="G1547" i="11"/>
  <c r="F1547" i="11"/>
  <c r="M1546" i="11"/>
  <c r="L1546" i="11"/>
  <c r="K1546" i="11"/>
  <c r="J1546" i="11"/>
  <c r="I1546" i="11"/>
  <c r="H1546" i="11"/>
  <c r="G1546" i="11"/>
  <c r="F1546" i="11"/>
  <c r="M1545" i="11"/>
  <c r="L1545" i="11"/>
  <c r="K1545" i="11"/>
  <c r="J1545" i="11"/>
  <c r="I1545" i="11"/>
  <c r="H1545" i="11"/>
  <c r="G1545" i="11"/>
  <c r="F1545" i="11"/>
  <c r="M1544" i="11"/>
  <c r="L1544" i="11"/>
  <c r="K1544" i="11"/>
  <c r="J1544" i="11"/>
  <c r="I1544" i="11"/>
  <c r="H1544" i="11"/>
  <c r="G1544" i="11"/>
  <c r="F1544" i="11"/>
  <c r="M1543" i="11"/>
  <c r="L1543" i="11"/>
  <c r="K1543" i="11"/>
  <c r="J1543" i="11"/>
  <c r="I1543" i="11"/>
  <c r="H1543" i="11"/>
  <c r="G1543" i="11"/>
  <c r="F1543" i="11"/>
  <c r="M1542" i="11"/>
  <c r="L1542" i="11"/>
  <c r="K1542" i="11"/>
  <c r="J1542" i="11"/>
  <c r="I1542" i="11"/>
  <c r="H1542" i="11"/>
  <c r="G1542" i="11"/>
  <c r="F1542" i="11"/>
  <c r="M1541" i="11"/>
  <c r="L1541" i="11"/>
  <c r="K1541" i="11"/>
  <c r="J1541" i="11"/>
  <c r="I1541" i="11"/>
  <c r="H1541" i="11"/>
  <c r="G1541" i="11"/>
  <c r="F1541" i="11"/>
  <c r="M1540" i="11"/>
  <c r="L1540" i="11"/>
  <c r="K1540" i="11"/>
  <c r="J1540" i="11"/>
  <c r="I1540" i="11"/>
  <c r="H1540" i="11"/>
  <c r="G1540" i="11"/>
  <c r="F1540" i="11"/>
  <c r="M1539" i="11"/>
  <c r="L1539" i="11"/>
  <c r="K1539" i="11"/>
  <c r="J1539" i="11"/>
  <c r="I1539" i="11"/>
  <c r="H1539" i="11"/>
  <c r="G1539" i="11"/>
  <c r="F1539" i="11"/>
  <c r="M1538" i="11"/>
  <c r="L1538" i="11"/>
  <c r="K1538" i="11"/>
  <c r="J1538" i="11"/>
  <c r="I1538" i="11"/>
  <c r="H1538" i="11"/>
  <c r="G1538" i="11"/>
  <c r="F1538" i="11"/>
  <c r="M1537" i="11"/>
  <c r="L1537" i="11"/>
  <c r="K1537" i="11"/>
  <c r="J1537" i="11"/>
  <c r="I1537" i="11"/>
  <c r="H1537" i="11"/>
  <c r="G1537" i="11"/>
  <c r="F1537" i="11"/>
  <c r="M1536" i="11"/>
  <c r="L1536" i="11"/>
  <c r="K1536" i="11"/>
  <c r="J1536" i="11"/>
  <c r="I1536" i="11"/>
  <c r="H1536" i="11"/>
  <c r="G1536" i="11"/>
  <c r="F1536" i="11"/>
  <c r="M1535" i="11"/>
  <c r="L1535" i="11"/>
  <c r="K1535" i="11"/>
  <c r="J1535" i="11"/>
  <c r="I1535" i="11"/>
  <c r="H1535" i="11"/>
  <c r="G1535" i="11"/>
  <c r="F1535" i="11"/>
  <c r="M1534" i="11"/>
  <c r="L1534" i="11"/>
  <c r="K1534" i="11"/>
  <c r="J1534" i="11"/>
  <c r="I1534" i="11"/>
  <c r="H1534" i="11"/>
  <c r="G1534" i="11"/>
  <c r="F1534" i="11"/>
  <c r="M1533" i="11"/>
  <c r="L1533" i="11"/>
  <c r="K1533" i="11"/>
  <c r="J1533" i="11"/>
  <c r="I1533" i="11"/>
  <c r="H1533" i="11"/>
  <c r="G1533" i="11"/>
  <c r="F1533" i="11"/>
  <c r="M1532" i="11"/>
  <c r="L1532" i="11"/>
  <c r="K1532" i="11"/>
  <c r="J1532" i="11"/>
  <c r="I1532" i="11"/>
  <c r="H1532" i="11"/>
  <c r="G1532" i="11"/>
  <c r="F1532" i="11"/>
  <c r="M1531" i="11"/>
  <c r="L1531" i="11"/>
  <c r="K1531" i="11"/>
  <c r="J1531" i="11"/>
  <c r="I1531" i="11"/>
  <c r="H1531" i="11"/>
  <c r="G1531" i="11"/>
  <c r="F1531" i="11"/>
  <c r="M1530" i="11"/>
  <c r="L1530" i="11"/>
  <c r="K1530" i="11"/>
  <c r="J1530" i="11"/>
  <c r="I1530" i="11"/>
  <c r="H1530" i="11"/>
  <c r="G1530" i="11"/>
  <c r="F1530" i="11"/>
  <c r="M1529" i="11"/>
  <c r="L1529" i="11"/>
  <c r="K1529" i="11"/>
  <c r="J1529" i="11"/>
  <c r="I1529" i="11"/>
  <c r="H1529" i="11"/>
  <c r="G1529" i="11"/>
  <c r="F1529" i="11"/>
  <c r="M1528" i="11"/>
  <c r="L1528" i="11"/>
  <c r="K1528" i="11"/>
  <c r="J1528" i="11"/>
  <c r="I1528" i="11"/>
  <c r="H1528" i="11"/>
  <c r="G1528" i="11"/>
  <c r="F1528" i="11"/>
  <c r="M1527" i="11"/>
  <c r="L1527" i="11"/>
  <c r="K1527" i="11"/>
  <c r="J1527" i="11"/>
  <c r="I1527" i="11"/>
  <c r="H1527" i="11"/>
  <c r="G1527" i="11"/>
  <c r="F1527" i="11"/>
  <c r="M1526" i="11"/>
  <c r="L1526" i="11"/>
  <c r="K1526" i="11"/>
  <c r="J1526" i="11"/>
  <c r="I1526" i="11"/>
  <c r="H1526" i="11"/>
  <c r="G1526" i="11"/>
  <c r="F1526" i="11"/>
  <c r="M1525" i="11"/>
  <c r="L1525" i="11"/>
  <c r="K1525" i="11"/>
  <c r="J1525" i="11"/>
  <c r="I1525" i="11"/>
  <c r="H1525" i="11"/>
  <c r="G1525" i="11"/>
  <c r="F1525" i="11"/>
  <c r="M1524" i="11"/>
  <c r="L1524" i="11"/>
  <c r="K1524" i="11"/>
  <c r="J1524" i="11"/>
  <c r="I1524" i="11"/>
  <c r="H1524" i="11"/>
  <c r="G1524" i="11"/>
  <c r="F1524" i="11"/>
  <c r="M1523" i="11"/>
  <c r="L1523" i="11"/>
  <c r="K1523" i="11"/>
  <c r="J1523" i="11"/>
  <c r="I1523" i="11"/>
  <c r="H1523" i="11"/>
  <c r="G1523" i="11"/>
  <c r="F1523" i="11"/>
  <c r="M1522" i="11"/>
  <c r="L1522" i="11"/>
  <c r="K1522" i="11"/>
  <c r="J1522" i="11"/>
  <c r="I1522" i="11"/>
  <c r="H1522" i="11"/>
  <c r="G1522" i="11"/>
  <c r="F1522" i="11"/>
  <c r="M1521" i="11"/>
  <c r="L1521" i="11"/>
  <c r="K1521" i="11"/>
  <c r="J1521" i="11"/>
  <c r="I1521" i="11"/>
  <c r="H1521" i="11"/>
  <c r="G1521" i="11"/>
  <c r="F1521" i="11"/>
  <c r="M1520" i="11"/>
  <c r="L1520" i="11"/>
  <c r="K1520" i="11"/>
  <c r="J1520" i="11"/>
  <c r="I1520" i="11"/>
  <c r="H1520" i="11"/>
  <c r="G1520" i="11"/>
  <c r="F1520" i="11"/>
  <c r="M1519" i="11"/>
  <c r="L1519" i="11"/>
  <c r="K1519" i="11"/>
  <c r="J1519" i="11"/>
  <c r="I1519" i="11"/>
  <c r="H1519" i="11"/>
  <c r="G1519" i="11"/>
  <c r="F1519" i="11"/>
  <c r="M1518" i="11"/>
  <c r="L1518" i="11"/>
  <c r="K1518" i="11"/>
  <c r="J1518" i="11"/>
  <c r="I1518" i="11"/>
  <c r="H1518" i="11"/>
  <c r="G1518" i="11"/>
  <c r="F1518" i="11"/>
  <c r="M1517" i="11"/>
  <c r="L1517" i="11"/>
  <c r="K1517" i="11"/>
  <c r="J1517" i="11"/>
  <c r="I1517" i="11"/>
  <c r="H1517" i="11"/>
  <c r="G1517" i="11"/>
  <c r="F1517" i="11"/>
  <c r="M1516" i="11"/>
  <c r="L1516" i="11"/>
  <c r="K1516" i="11"/>
  <c r="J1516" i="11"/>
  <c r="I1516" i="11"/>
  <c r="H1516" i="11"/>
  <c r="G1516" i="11"/>
  <c r="F1516" i="11"/>
  <c r="M1515" i="11"/>
  <c r="L1515" i="11"/>
  <c r="K1515" i="11"/>
  <c r="J1515" i="11"/>
  <c r="I1515" i="11"/>
  <c r="H1515" i="11"/>
  <c r="G1515" i="11"/>
  <c r="F1515" i="11"/>
  <c r="M1514" i="11"/>
  <c r="L1514" i="11"/>
  <c r="K1514" i="11"/>
  <c r="J1514" i="11"/>
  <c r="I1514" i="11"/>
  <c r="H1514" i="11"/>
  <c r="G1514" i="11"/>
  <c r="F1514" i="11"/>
  <c r="M1513" i="11"/>
  <c r="L1513" i="11"/>
  <c r="K1513" i="11"/>
  <c r="J1513" i="11"/>
  <c r="I1513" i="11"/>
  <c r="H1513" i="11"/>
  <c r="G1513" i="11"/>
  <c r="F1513" i="11"/>
  <c r="M1512" i="11"/>
  <c r="L1512" i="11"/>
  <c r="K1512" i="11"/>
  <c r="J1512" i="11"/>
  <c r="I1512" i="11"/>
  <c r="H1512" i="11"/>
  <c r="G1512" i="11"/>
  <c r="F1512" i="11"/>
  <c r="M1511" i="11"/>
  <c r="L1511" i="11"/>
  <c r="K1511" i="11"/>
  <c r="J1511" i="11"/>
  <c r="I1511" i="11"/>
  <c r="H1511" i="11"/>
  <c r="G1511" i="11"/>
  <c r="F1511" i="11"/>
  <c r="M1510" i="11"/>
  <c r="L1510" i="11"/>
  <c r="K1510" i="11"/>
  <c r="J1510" i="11"/>
  <c r="I1510" i="11"/>
  <c r="H1510" i="11"/>
  <c r="G1510" i="11"/>
  <c r="F1510" i="11"/>
  <c r="M1509" i="11"/>
  <c r="L1509" i="11"/>
  <c r="K1509" i="11"/>
  <c r="J1509" i="11"/>
  <c r="I1509" i="11"/>
  <c r="H1509" i="11"/>
  <c r="G1509" i="11"/>
  <c r="F1509" i="11"/>
  <c r="M1508" i="11"/>
  <c r="L1508" i="11"/>
  <c r="K1508" i="11"/>
  <c r="J1508" i="11"/>
  <c r="I1508" i="11"/>
  <c r="H1508" i="11"/>
  <c r="G1508" i="11"/>
  <c r="F1508" i="11"/>
  <c r="M1507" i="11"/>
  <c r="L1507" i="11"/>
  <c r="K1507" i="11"/>
  <c r="J1507" i="11"/>
  <c r="I1507" i="11"/>
  <c r="H1507" i="11"/>
  <c r="G1507" i="11"/>
  <c r="F1507" i="11"/>
  <c r="M1506" i="11"/>
  <c r="L1506" i="11"/>
  <c r="K1506" i="11"/>
  <c r="J1506" i="11"/>
  <c r="I1506" i="11"/>
  <c r="H1506" i="11"/>
  <c r="G1506" i="11"/>
  <c r="F1506" i="11"/>
  <c r="M1505" i="11"/>
  <c r="L1505" i="11"/>
  <c r="K1505" i="11"/>
  <c r="J1505" i="11"/>
  <c r="I1505" i="11"/>
  <c r="H1505" i="11"/>
  <c r="G1505" i="11"/>
  <c r="F1505" i="11"/>
  <c r="M1504" i="11"/>
  <c r="L1504" i="11"/>
  <c r="K1504" i="11"/>
  <c r="J1504" i="11"/>
  <c r="I1504" i="11"/>
  <c r="H1504" i="11"/>
  <c r="G1504" i="11"/>
  <c r="F1504" i="11"/>
  <c r="M1503" i="11"/>
  <c r="L1503" i="11"/>
  <c r="K1503" i="11"/>
  <c r="J1503" i="11"/>
  <c r="I1503" i="11"/>
  <c r="H1503" i="11"/>
  <c r="G1503" i="11"/>
  <c r="F1503" i="11"/>
  <c r="M1502" i="11"/>
  <c r="L1502" i="11"/>
  <c r="K1502" i="11"/>
  <c r="J1502" i="11"/>
  <c r="I1502" i="11"/>
  <c r="H1502" i="11"/>
  <c r="G1502" i="11"/>
  <c r="F1502" i="11"/>
  <c r="M1501" i="11"/>
  <c r="L1501" i="11"/>
  <c r="K1501" i="11"/>
  <c r="J1501" i="11"/>
  <c r="I1501" i="11"/>
  <c r="H1501" i="11"/>
  <c r="G1501" i="11"/>
  <c r="F1501" i="11"/>
  <c r="M1500" i="11"/>
  <c r="L1500" i="11"/>
  <c r="K1500" i="11"/>
  <c r="J1500" i="11"/>
  <c r="I1500" i="11"/>
  <c r="H1500" i="11"/>
  <c r="G1500" i="11"/>
  <c r="F1500" i="11"/>
  <c r="M1499" i="11"/>
  <c r="L1499" i="11"/>
  <c r="K1499" i="11"/>
  <c r="J1499" i="11"/>
  <c r="I1499" i="11"/>
  <c r="H1499" i="11"/>
  <c r="G1499" i="11"/>
  <c r="F1499" i="11"/>
  <c r="M1498" i="11"/>
  <c r="L1498" i="11"/>
  <c r="K1498" i="11"/>
  <c r="J1498" i="11"/>
  <c r="I1498" i="11"/>
  <c r="H1498" i="11"/>
  <c r="G1498" i="11"/>
  <c r="F1498" i="11"/>
  <c r="M1497" i="11"/>
  <c r="L1497" i="11"/>
  <c r="K1497" i="11"/>
  <c r="J1497" i="11"/>
  <c r="I1497" i="11"/>
  <c r="H1497" i="11"/>
  <c r="G1497" i="11"/>
  <c r="F1497" i="11"/>
  <c r="M1496" i="11"/>
  <c r="L1496" i="11"/>
  <c r="K1496" i="11"/>
  <c r="J1496" i="11"/>
  <c r="I1496" i="11"/>
  <c r="H1496" i="11"/>
  <c r="G1496" i="11"/>
  <c r="F1496" i="11"/>
  <c r="M1495" i="11"/>
  <c r="L1495" i="11"/>
  <c r="K1495" i="11"/>
  <c r="J1495" i="11"/>
  <c r="I1495" i="11"/>
  <c r="H1495" i="11"/>
  <c r="G1495" i="11"/>
  <c r="F1495" i="11"/>
  <c r="M1494" i="11"/>
  <c r="L1494" i="11"/>
  <c r="K1494" i="11"/>
  <c r="J1494" i="11"/>
  <c r="I1494" i="11"/>
  <c r="H1494" i="11"/>
  <c r="G1494" i="11"/>
  <c r="F1494" i="11"/>
  <c r="M1493" i="11"/>
  <c r="L1493" i="11"/>
  <c r="K1493" i="11"/>
  <c r="J1493" i="11"/>
  <c r="I1493" i="11"/>
  <c r="H1493" i="11"/>
  <c r="G1493" i="11"/>
  <c r="F1493" i="11"/>
  <c r="M1492" i="11"/>
  <c r="L1492" i="11"/>
  <c r="K1492" i="11"/>
  <c r="J1492" i="11"/>
  <c r="I1492" i="11"/>
  <c r="H1492" i="11"/>
  <c r="G1492" i="11"/>
  <c r="F1492" i="11"/>
  <c r="M1491" i="11"/>
  <c r="L1491" i="11"/>
  <c r="K1491" i="11"/>
  <c r="J1491" i="11"/>
  <c r="I1491" i="11"/>
  <c r="H1491" i="11"/>
  <c r="G1491" i="11"/>
  <c r="F1491" i="11"/>
  <c r="M1490" i="11"/>
  <c r="L1490" i="11"/>
  <c r="K1490" i="11"/>
  <c r="J1490" i="11"/>
  <c r="I1490" i="11"/>
  <c r="H1490" i="11"/>
  <c r="G1490" i="11"/>
  <c r="F1490" i="11"/>
  <c r="M1489" i="11"/>
  <c r="L1489" i="11"/>
  <c r="K1489" i="11"/>
  <c r="J1489" i="11"/>
  <c r="I1489" i="11"/>
  <c r="H1489" i="11"/>
  <c r="G1489" i="11"/>
  <c r="F1489" i="11"/>
  <c r="M1488" i="11"/>
  <c r="L1488" i="11"/>
  <c r="K1488" i="11"/>
  <c r="J1488" i="11"/>
  <c r="I1488" i="11"/>
  <c r="H1488" i="11"/>
  <c r="G1488" i="11"/>
  <c r="F1488" i="11"/>
  <c r="M1487" i="11"/>
  <c r="L1487" i="11"/>
  <c r="K1487" i="11"/>
  <c r="J1487" i="11"/>
  <c r="I1487" i="11"/>
  <c r="H1487" i="11"/>
  <c r="G1487" i="11"/>
  <c r="F1487" i="11"/>
  <c r="M1486" i="11"/>
  <c r="L1486" i="11"/>
  <c r="K1486" i="11"/>
  <c r="J1486" i="11"/>
  <c r="I1486" i="11"/>
  <c r="H1486" i="11"/>
  <c r="G1486" i="11"/>
  <c r="F1486" i="11"/>
  <c r="M1485" i="11"/>
  <c r="L1485" i="11"/>
  <c r="K1485" i="11"/>
  <c r="J1485" i="11"/>
  <c r="I1485" i="11"/>
  <c r="H1485" i="11"/>
  <c r="G1485" i="11"/>
  <c r="F1485" i="11"/>
  <c r="M1484" i="11"/>
  <c r="L1484" i="11"/>
  <c r="K1484" i="11"/>
  <c r="J1484" i="11"/>
  <c r="I1484" i="11"/>
  <c r="H1484" i="11"/>
  <c r="G1484" i="11"/>
  <c r="F1484" i="11"/>
  <c r="M1483" i="11"/>
  <c r="L1483" i="11"/>
  <c r="K1483" i="11"/>
  <c r="J1483" i="11"/>
  <c r="I1483" i="11"/>
  <c r="H1483" i="11"/>
  <c r="G1483" i="11"/>
  <c r="F1483" i="11"/>
  <c r="M1482" i="11"/>
  <c r="L1482" i="11"/>
  <c r="K1482" i="11"/>
  <c r="J1482" i="11"/>
  <c r="I1482" i="11"/>
  <c r="H1482" i="11"/>
  <c r="G1482" i="11"/>
  <c r="F1482" i="11"/>
  <c r="M1481" i="11"/>
  <c r="L1481" i="11"/>
  <c r="K1481" i="11"/>
  <c r="J1481" i="11"/>
  <c r="I1481" i="11"/>
  <c r="H1481" i="11"/>
  <c r="G1481" i="11"/>
  <c r="F1481" i="11"/>
  <c r="M1480" i="11"/>
  <c r="L1480" i="11"/>
  <c r="K1480" i="11"/>
  <c r="J1480" i="11"/>
  <c r="I1480" i="11"/>
  <c r="H1480" i="11"/>
  <c r="G1480" i="11"/>
  <c r="F1480" i="11"/>
  <c r="M1479" i="11"/>
  <c r="L1479" i="11"/>
  <c r="K1479" i="11"/>
  <c r="J1479" i="11"/>
  <c r="I1479" i="11"/>
  <c r="H1479" i="11"/>
  <c r="G1479" i="11"/>
  <c r="F1479" i="11"/>
  <c r="M1478" i="11"/>
  <c r="L1478" i="11"/>
  <c r="K1478" i="11"/>
  <c r="J1478" i="11"/>
  <c r="I1478" i="11"/>
  <c r="H1478" i="11"/>
  <c r="G1478" i="11"/>
  <c r="F1478" i="11"/>
  <c r="M1477" i="11"/>
  <c r="L1477" i="11"/>
  <c r="K1477" i="11"/>
  <c r="J1477" i="11"/>
  <c r="I1477" i="11"/>
  <c r="H1477" i="11"/>
  <c r="G1477" i="11"/>
  <c r="F1477" i="11"/>
  <c r="M1476" i="11"/>
  <c r="L1476" i="11"/>
  <c r="K1476" i="11"/>
  <c r="J1476" i="11"/>
  <c r="I1476" i="11"/>
  <c r="H1476" i="11"/>
  <c r="G1476" i="11"/>
  <c r="F1476" i="11"/>
  <c r="M1475" i="11"/>
  <c r="L1475" i="11"/>
  <c r="K1475" i="11"/>
  <c r="J1475" i="11"/>
  <c r="I1475" i="11"/>
  <c r="H1475" i="11"/>
  <c r="G1475" i="11"/>
  <c r="F1475" i="11"/>
  <c r="M1474" i="11"/>
  <c r="L1474" i="11"/>
  <c r="K1474" i="11"/>
  <c r="J1474" i="11"/>
  <c r="I1474" i="11"/>
  <c r="H1474" i="11"/>
  <c r="G1474" i="11"/>
  <c r="F1474" i="11"/>
  <c r="M1473" i="11"/>
  <c r="L1473" i="11"/>
  <c r="K1473" i="11"/>
  <c r="J1473" i="11"/>
  <c r="I1473" i="11"/>
  <c r="H1473" i="11"/>
  <c r="G1473" i="11"/>
  <c r="F1473" i="11"/>
  <c r="M1472" i="11"/>
  <c r="L1472" i="11"/>
  <c r="K1472" i="11"/>
  <c r="J1472" i="11"/>
  <c r="I1472" i="11"/>
  <c r="H1472" i="11"/>
  <c r="G1472" i="11"/>
  <c r="F1472" i="11"/>
  <c r="M1471" i="11"/>
  <c r="L1471" i="11"/>
  <c r="K1471" i="11"/>
  <c r="J1471" i="11"/>
  <c r="I1471" i="11"/>
  <c r="H1471" i="11"/>
  <c r="G1471" i="11"/>
  <c r="F1471" i="11"/>
  <c r="M1470" i="11"/>
  <c r="L1470" i="11"/>
  <c r="K1470" i="11"/>
  <c r="J1470" i="11"/>
  <c r="I1470" i="11"/>
  <c r="H1470" i="11"/>
  <c r="G1470" i="11"/>
  <c r="F1470" i="11"/>
  <c r="M1469" i="11"/>
  <c r="L1469" i="11"/>
  <c r="K1469" i="11"/>
  <c r="J1469" i="11"/>
  <c r="I1469" i="11"/>
  <c r="H1469" i="11"/>
  <c r="G1469" i="11"/>
  <c r="F1469" i="11"/>
  <c r="M1468" i="11"/>
  <c r="L1468" i="11"/>
  <c r="K1468" i="11"/>
  <c r="J1468" i="11"/>
  <c r="I1468" i="11"/>
  <c r="H1468" i="11"/>
  <c r="G1468" i="11"/>
  <c r="F1468" i="11"/>
  <c r="M1467" i="11"/>
  <c r="L1467" i="11"/>
  <c r="K1467" i="11"/>
  <c r="J1467" i="11"/>
  <c r="I1467" i="11"/>
  <c r="H1467" i="11"/>
  <c r="G1467" i="11"/>
  <c r="F1467" i="11"/>
  <c r="M1466" i="11"/>
  <c r="L1466" i="11"/>
  <c r="K1466" i="11"/>
  <c r="J1466" i="11"/>
  <c r="I1466" i="11"/>
  <c r="H1466" i="11"/>
  <c r="G1466" i="11"/>
  <c r="F1466" i="11"/>
  <c r="M1465" i="11"/>
  <c r="L1465" i="11"/>
  <c r="K1465" i="11"/>
  <c r="J1465" i="11"/>
  <c r="I1465" i="11"/>
  <c r="H1465" i="11"/>
  <c r="G1465" i="11"/>
  <c r="F1465" i="11"/>
  <c r="M1464" i="11"/>
  <c r="L1464" i="11"/>
  <c r="K1464" i="11"/>
  <c r="J1464" i="11"/>
  <c r="I1464" i="11"/>
  <c r="H1464" i="11"/>
  <c r="G1464" i="11"/>
  <c r="F1464" i="11"/>
  <c r="M1463" i="11"/>
  <c r="L1463" i="11"/>
  <c r="K1463" i="11"/>
  <c r="J1463" i="11"/>
  <c r="I1463" i="11"/>
  <c r="H1463" i="11"/>
  <c r="G1463" i="11"/>
  <c r="F1463" i="11"/>
  <c r="M1462" i="11"/>
  <c r="L1462" i="11"/>
  <c r="K1462" i="11"/>
  <c r="J1462" i="11"/>
  <c r="I1462" i="11"/>
  <c r="H1462" i="11"/>
  <c r="G1462" i="11"/>
  <c r="F1462" i="11"/>
  <c r="M1461" i="11"/>
  <c r="L1461" i="11"/>
  <c r="K1461" i="11"/>
  <c r="J1461" i="11"/>
  <c r="I1461" i="11"/>
  <c r="H1461" i="11"/>
  <c r="G1461" i="11"/>
  <c r="F1461" i="11"/>
  <c r="M1460" i="11"/>
  <c r="L1460" i="11"/>
  <c r="K1460" i="11"/>
  <c r="J1460" i="11"/>
  <c r="I1460" i="11"/>
  <c r="H1460" i="11"/>
  <c r="G1460" i="11"/>
  <c r="F1460" i="11"/>
  <c r="M1459" i="11"/>
  <c r="L1459" i="11"/>
  <c r="K1459" i="11"/>
  <c r="J1459" i="11"/>
  <c r="I1459" i="11"/>
  <c r="H1459" i="11"/>
  <c r="G1459" i="11"/>
  <c r="F1459" i="11"/>
  <c r="M1458" i="11"/>
  <c r="L1458" i="11"/>
  <c r="K1458" i="11"/>
  <c r="J1458" i="11"/>
  <c r="I1458" i="11"/>
  <c r="H1458" i="11"/>
  <c r="G1458" i="11"/>
  <c r="F1458" i="11"/>
  <c r="M1457" i="11"/>
  <c r="L1457" i="11"/>
  <c r="K1457" i="11"/>
  <c r="J1457" i="11"/>
  <c r="I1457" i="11"/>
  <c r="H1457" i="11"/>
  <c r="G1457" i="11"/>
  <c r="F1457" i="11"/>
  <c r="M1456" i="11"/>
  <c r="L1456" i="11"/>
  <c r="K1456" i="11"/>
  <c r="J1456" i="11"/>
  <c r="I1456" i="11"/>
  <c r="H1456" i="11"/>
  <c r="G1456" i="11"/>
  <c r="F1456" i="11"/>
  <c r="M1455" i="11"/>
  <c r="L1455" i="11"/>
  <c r="K1455" i="11"/>
  <c r="J1455" i="11"/>
  <c r="I1455" i="11"/>
  <c r="H1455" i="11"/>
  <c r="G1455" i="11"/>
  <c r="F1455" i="11"/>
  <c r="M1454" i="11"/>
  <c r="L1454" i="11"/>
  <c r="K1454" i="11"/>
  <c r="J1454" i="11"/>
  <c r="I1454" i="11"/>
  <c r="H1454" i="11"/>
  <c r="G1454" i="11"/>
  <c r="F1454" i="11"/>
  <c r="M1453" i="11"/>
  <c r="L1453" i="11"/>
  <c r="K1453" i="11"/>
  <c r="J1453" i="11"/>
  <c r="I1453" i="11"/>
  <c r="H1453" i="11"/>
  <c r="G1453" i="11"/>
  <c r="F1453" i="11"/>
  <c r="M1452" i="11"/>
  <c r="L1452" i="11"/>
  <c r="K1452" i="11"/>
  <c r="J1452" i="11"/>
  <c r="I1452" i="11"/>
  <c r="H1452" i="11"/>
  <c r="G1452" i="11"/>
  <c r="F1452" i="11"/>
  <c r="M1451" i="11"/>
  <c r="L1451" i="11"/>
  <c r="K1451" i="11"/>
  <c r="J1451" i="11"/>
  <c r="I1451" i="11"/>
  <c r="H1451" i="11"/>
  <c r="G1451" i="11"/>
  <c r="F1451" i="11"/>
  <c r="M1450" i="11"/>
  <c r="L1450" i="11"/>
  <c r="K1450" i="11"/>
  <c r="J1450" i="11"/>
  <c r="I1450" i="11"/>
  <c r="H1450" i="11"/>
  <c r="G1450" i="11"/>
  <c r="F1450" i="11"/>
  <c r="M1449" i="11"/>
  <c r="L1449" i="11"/>
  <c r="K1449" i="11"/>
  <c r="J1449" i="11"/>
  <c r="I1449" i="11"/>
  <c r="H1449" i="11"/>
  <c r="G1449" i="11"/>
  <c r="F1449" i="11"/>
  <c r="M1448" i="11"/>
  <c r="L1448" i="11"/>
  <c r="K1448" i="11"/>
  <c r="J1448" i="11"/>
  <c r="I1448" i="11"/>
  <c r="H1448" i="11"/>
  <c r="G1448" i="11"/>
  <c r="F1448" i="11"/>
  <c r="M1447" i="11"/>
  <c r="L1447" i="11"/>
  <c r="K1447" i="11"/>
  <c r="J1447" i="11"/>
  <c r="I1447" i="11"/>
  <c r="H1447" i="11"/>
  <c r="G1447" i="11"/>
  <c r="F1447" i="11"/>
  <c r="M1446" i="11"/>
  <c r="L1446" i="11"/>
  <c r="K1446" i="11"/>
  <c r="J1446" i="11"/>
  <c r="I1446" i="11"/>
  <c r="H1446" i="11"/>
  <c r="G1446" i="11"/>
  <c r="F1446" i="11"/>
  <c r="M1445" i="11"/>
  <c r="L1445" i="11"/>
  <c r="K1445" i="11"/>
  <c r="J1445" i="11"/>
  <c r="I1445" i="11"/>
  <c r="H1445" i="11"/>
  <c r="G1445" i="11"/>
  <c r="F1445" i="11"/>
  <c r="M1444" i="11"/>
  <c r="L1444" i="11"/>
  <c r="K1444" i="11"/>
  <c r="J1444" i="11"/>
  <c r="I1444" i="11"/>
  <c r="H1444" i="11"/>
  <c r="G1444" i="11"/>
  <c r="F1444" i="11"/>
  <c r="M1443" i="11"/>
  <c r="L1443" i="11"/>
  <c r="K1443" i="11"/>
  <c r="J1443" i="11"/>
  <c r="I1443" i="11"/>
  <c r="H1443" i="11"/>
  <c r="G1443" i="11"/>
  <c r="F1443" i="11"/>
  <c r="M1442" i="11"/>
  <c r="L1442" i="11"/>
  <c r="K1442" i="11"/>
  <c r="J1442" i="11"/>
  <c r="I1442" i="11"/>
  <c r="H1442" i="11"/>
  <c r="G1442" i="11"/>
  <c r="F1442" i="11"/>
  <c r="M1441" i="11"/>
  <c r="L1441" i="11"/>
  <c r="K1441" i="11"/>
  <c r="J1441" i="11"/>
  <c r="I1441" i="11"/>
  <c r="H1441" i="11"/>
  <c r="G1441" i="11"/>
  <c r="F1441" i="11"/>
  <c r="M1440" i="11"/>
  <c r="L1440" i="11"/>
  <c r="K1440" i="11"/>
  <c r="J1440" i="11"/>
  <c r="I1440" i="11"/>
  <c r="H1440" i="11"/>
  <c r="G1440" i="11"/>
  <c r="F1440" i="11"/>
  <c r="M1439" i="11"/>
  <c r="L1439" i="11"/>
  <c r="K1439" i="11"/>
  <c r="J1439" i="11"/>
  <c r="I1439" i="11"/>
  <c r="H1439" i="11"/>
  <c r="G1439" i="11"/>
  <c r="F1439" i="11"/>
  <c r="M1438" i="11"/>
  <c r="L1438" i="11"/>
  <c r="K1438" i="11"/>
  <c r="J1438" i="11"/>
  <c r="I1438" i="11"/>
  <c r="H1438" i="11"/>
  <c r="G1438" i="11"/>
  <c r="F1438" i="11"/>
  <c r="M1437" i="11"/>
  <c r="L1437" i="11"/>
  <c r="K1437" i="11"/>
  <c r="J1437" i="11"/>
  <c r="I1437" i="11"/>
  <c r="H1437" i="11"/>
  <c r="G1437" i="11"/>
  <c r="F1437" i="11"/>
  <c r="M1436" i="11"/>
  <c r="L1436" i="11"/>
  <c r="K1436" i="11"/>
  <c r="J1436" i="11"/>
  <c r="I1436" i="11"/>
  <c r="H1436" i="11"/>
  <c r="G1436" i="11"/>
  <c r="F1436" i="11"/>
  <c r="M1435" i="11"/>
  <c r="L1435" i="11"/>
  <c r="K1435" i="11"/>
  <c r="J1435" i="11"/>
  <c r="I1435" i="11"/>
  <c r="H1435" i="11"/>
  <c r="G1435" i="11"/>
  <c r="F1435" i="11"/>
  <c r="M1434" i="11"/>
  <c r="L1434" i="11"/>
  <c r="K1434" i="11"/>
  <c r="J1434" i="11"/>
  <c r="I1434" i="11"/>
  <c r="H1434" i="11"/>
  <c r="G1434" i="11"/>
  <c r="F1434" i="11"/>
  <c r="M1433" i="11"/>
  <c r="L1433" i="11"/>
  <c r="K1433" i="11"/>
  <c r="J1433" i="11"/>
  <c r="I1433" i="11"/>
  <c r="H1433" i="11"/>
  <c r="G1433" i="11"/>
  <c r="F1433" i="11"/>
  <c r="M1432" i="11"/>
  <c r="L1432" i="11"/>
  <c r="K1432" i="11"/>
  <c r="J1432" i="11"/>
  <c r="I1432" i="11"/>
  <c r="H1432" i="11"/>
  <c r="G1432" i="11"/>
  <c r="F1432" i="11"/>
  <c r="M1431" i="11"/>
  <c r="L1431" i="11"/>
  <c r="K1431" i="11"/>
  <c r="J1431" i="11"/>
  <c r="I1431" i="11"/>
  <c r="H1431" i="11"/>
  <c r="G1431" i="11"/>
  <c r="F1431" i="11"/>
  <c r="M1430" i="11"/>
  <c r="L1430" i="11"/>
  <c r="K1430" i="11"/>
  <c r="J1430" i="11"/>
  <c r="I1430" i="11"/>
  <c r="H1430" i="11"/>
  <c r="G1430" i="11"/>
  <c r="F1430" i="11"/>
  <c r="M1429" i="11"/>
  <c r="L1429" i="11"/>
  <c r="K1429" i="11"/>
  <c r="J1429" i="11"/>
  <c r="I1429" i="11"/>
  <c r="H1429" i="11"/>
  <c r="G1429" i="11"/>
  <c r="F1429" i="11"/>
  <c r="M1428" i="11"/>
  <c r="L1428" i="11"/>
  <c r="K1428" i="11"/>
  <c r="J1428" i="11"/>
  <c r="I1428" i="11"/>
  <c r="H1428" i="11"/>
  <c r="G1428" i="11"/>
  <c r="F1428" i="11"/>
  <c r="M1427" i="11"/>
  <c r="L1427" i="11"/>
  <c r="K1427" i="11"/>
  <c r="J1427" i="11"/>
  <c r="I1427" i="11"/>
  <c r="H1427" i="11"/>
  <c r="G1427" i="11"/>
  <c r="F1427" i="11"/>
  <c r="M1426" i="11"/>
  <c r="L1426" i="11"/>
  <c r="K1426" i="11"/>
  <c r="J1426" i="11"/>
  <c r="I1426" i="11"/>
  <c r="H1426" i="11"/>
  <c r="G1426" i="11"/>
  <c r="F1426" i="11"/>
  <c r="M1425" i="11"/>
  <c r="L1425" i="11"/>
  <c r="K1425" i="11"/>
  <c r="J1425" i="11"/>
  <c r="I1425" i="11"/>
  <c r="H1425" i="11"/>
  <c r="G1425" i="11"/>
  <c r="F1425" i="11"/>
  <c r="M1424" i="11"/>
  <c r="L1424" i="11"/>
  <c r="K1424" i="11"/>
  <c r="J1424" i="11"/>
  <c r="I1424" i="11"/>
  <c r="H1424" i="11"/>
  <c r="G1424" i="11"/>
  <c r="F1424" i="11"/>
  <c r="M1423" i="11"/>
  <c r="L1423" i="11"/>
  <c r="K1423" i="11"/>
  <c r="J1423" i="11"/>
  <c r="I1423" i="11"/>
  <c r="H1423" i="11"/>
  <c r="G1423" i="11"/>
  <c r="F1423" i="11"/>
  <c r="M1422" i="11"/>
  <c r="L1422" i="11"/>
  <c r="K1422" i="11"/>
  <c r="J1422" i="11"/>
  <c r="I1422" i="11"/>
  <c r="H1422" i="11"/>
  <c r="G1422" i="11"/>
  <c r="F1422" i="11"/>
  <c r="M1421" i="11"/>
  <c r="L1421" i="11"/>
  <c r="K1421" i="11"/>
  <c r="J1421" i="11"/>
  <c r="I1421" i="11"/>
  <c r="H1421" i="11"/>
  <c r="G1421" i="11"/>
  <c r="F1421" i="11"/>
  <c r="M1420" i="11"/>
  <c r="L1420" i="11"/>
  <c r="K1420" i="11"/>
  <c r="J1420" i="11"/>
  <c r="I1420" i="11"/>
  <c r="H1420" i="11"/>
  <c r="G1420" i="11"/>
  <c r="F1420" i="11"/>
  <c r="M1419" i="11"/>
  <c r="L1419" i="11"/>
  <c r="K1419" i="11"/>
  <c r="J1419" i="11"/>
  <c r="I1419" i="11"/>
  <c r="H1419" i="11"/>
  <c r="G1419" i="11"/>
  <c r="F1419" i="11"/>
  <c r="M1418" i="11"/>
  <c r="L1418" i="11"/>
  <c r="K1418" i="11"/>
  <c r="J1418" i="11"/>
  <c r="I1418" i="11"/>
  <c r="H1418" i="11"/>
  <c r="G1418" i="11"/>
  <c r="F1418" i="11"/>
  <c r="M1417" i="11"/>
  <c r="L1417" i="11"/>
  <c r="K1417" i="11"/>
  <c r="J1417" i="11"/>
  <c r="I1417" i="11"/>
  <c r="H1417" i="11"/>
  <c r="G1417" i="11"/>
  <c r="F1417" i="11"/>
  <c r="M1416" i="11"/>
  <c r="L1416" i="11"/>
  <c r="K1416" i="11"/>
  <c r="J1416" i="11"/>
  <c r="I1416" i="11"/>
  <c r="H1416" i="11"/>
  <c r="G1416" i="11"/>
  <c r="F1416" i="11"/>
  <c r="M1415" i="11"/>
  <c r="L1415" i="11"/>
  <c r="K1415" i="11"/>
  <c r="J1415" i="11"/>
  <c r="I1415" i="11"/>
  <c r="H1415" i="11"/>
  <c r="G1415" i="11"/>
  <c r="F1415" i="11"/>
  <c r="M1414" i="11"/>
  <c r="L1414" i="11"/>
  <c r="K1414" i="11"/>
  <c r="J1414" i="11"/>
  <c r="I1414" i="11"/>
  <c r="H1414" i="11"/>
  <c r="G1414" i="11"/>
  <c r="F1414" i="11"/>
  <c r="M1413" i="11"/>
  <c r="L1413" i="11"/>
  <c r="K1413" i="11"/>
  <c r="J1413" i="11"/>
  <c r="I1413" i="11"/>
  <c r="H1413" i="11"/>
  <c r="G1413" i="11"/>
  <c r="F1413" i="11"/>
  <c r="M1412" i="11"/>
  <c r="L1412" i="11"/>
  <c r="K1412" i="11"/>
  <c r="J1412" i="11"/>
  <c r="I1412" i="11"/>
  <c r="H1412" i="11"/>
  <c r="G1412" i="11"/>
  <c r="F1412" i="11"/>
  <c r="M1411" i="11"/>
  <c r="L1411" i="11"/>
  <c r="K1411" i="11"/>
  <c r="J1411" i="11"/>
  <c r="I1411" i="11"/>
  <c r="H1411" i="11"/>
  <c r="G1411" i="11"/>
  <c r="F1411" i="11"/>
  <c r="M1410" i="11"/>
  <c r="L1410" i="11"/>
  <c r="K1410" i="11"/>
  <c r="J1410" i="11"/>
  <c r="I1410" i="11"/>
  <c r="H1410" i="11"/>
  <c r="G1410" i="11"/>
  <c r="F1410" i="11"/>
  <c r="M1409" i="11"/>
  <c r="L1409" i="11"/>
  <c r="K1409" i="11"/>
  <c r="J1409" i="11"/>
  <c r="I1409" i="11"/>
  <c r="H1409" i="11"/>
  <c r="G1409" i="11"/>
  <c r="F1409" i="11"/>
  <c r="M1408" i="11"/>
  <c r="L1408" i="11"/>
  <c r="K1408" i="11"/>
  <c r="J1408" i="11"/>
  <c r="I1408" i="11"/>
  <c r="H1408" i="11"/>
  <c r="G1408" i="11"/>
  <c r="F1408" i="11"/>
  <c r="M1407" i="11"/>
  <c r="L1407" i="11"/>
  <c r="K1407" i="11"/>
  <c r="J1407" i="11"/>
  <c r="I1407" i="11"/>
  <c r="H1407" i="11"/>
  <c r="G1407" i="11"/>
  <c r="F1407" i="11"/>
  <c r="M1406" i="11"/>
  <c r="L1406" i="11"/>
  <c r="K1406" i="11"/>
  <c r="J1406" i="11"/>
  <c r="I1406" i="11"/>
  <c r="H1406" i="11"/>
  <c r="G1406" i="11"/>
  <c r="F1406" i="11"/>
  <c r="M1405" i="11"/>
  <c r="L1405" i="11"/>
  <c r="K1405" i="11"/>
  <c r="J1405" i="11"/>
  <c r="I1405" i="11"/>
  <c r="H1405" i="11"/>
  <c r="G1405" i="11"/>
  <c r="F1405" i="11"/>
  <c r="M1404" i="11"/>
  <c r="L1404" i="11"/>
  <c r="K1404" i="11"/>
  <c r="J1404" i="11"/>
  <c r="I1404" i="11"/>
  <c r="H1404" i="11"/>
  <c r="G1404" i="11"/>
  <c r="F1404" i="11"/>
  <c r="M1403" i="11"/>
  <c r="L1403" i="11"/>
  <c r="K1403" i="11"/>
  <c r="J1403" i="11"/>
  <c r="I1403" i="11"/>
  <c r="H1403" i="11"/>
  <c r="G1403" i="11"/>
  <c r="F1403" i="11"/>
  <c r="M1402" i="11"/>
  <c r="L1402" i="11"/>
  <c r="K1402" i="11"/>
  <c r="J1402" i="11"/>
  <c r="I1402" i="11"/>
  <c r="H1402" i="11"/>
  <c r="G1402" i="11"/>
  <c r="F1402" i="11"/>
  <c r="M1401" i="11"/>
  <c r="L1401" i="11"/>
  <c r="K1401" i="11"/>
  <c r="J1401" i="11"/>
  <c r="I1401" i="11"/>
  <c r="H1401" i="11"/>
  <c r="G1401" i="11"/>
  <c r="F1401" i="11"/>
  <c r="M1400" i="11"/>
  <c r="L1400" i="11"/>
  <c r="K1400" i="11"/>
  <c r="J1400" i="11"/>
  <c r="I1400" i="11"/>
  <c r="H1400" i="11"/>
  <c r="G1400" i="11"/>
  <c r="F1400" i="11"/>
  <c r="M1399" i="11"/>
  <c r="L1399" i="11"/>
  <c r="K1399" i="11"/>
  <c r="J1399" i="11"/>
  <c r="I1399" i="11"/>
  <c r="H1399" i="11"/>
  <c r="G1399" i="11"/>
  <c r="F1399" i="11"/>
  <c r="M1398" i="11"/>
  <c r="L1398" i="11"/>
  <c r="K1398" i="11"/>
  <c r="J1398" i="11"/>
  <c r="I1398" i="11"/>
  <c r="H1398" i="11"/>
  <c r="G1398" i="11"/>
  <c r="F1398" i="11"/>
  <c r="M1397" i="11"/>
  <c r="L1397" i="11"/>
  <c r="K1397" i="11"/>
  <c r="J1397" i="11"/>
  <c r="I1397" i="11"/>
  <c r="H1397" i="11"/>
  <c r="G1397" i="11"/>
  <c r="F1397" i="11"/>
  <c r="M1396" i="11"/>
  <c r="L1396" i="11"/>
  <c r="K1396" i="11"/>
  <c r="J1396" i="11"/>
  <c r="I1396" i="11"/>
  <c r="H1396" i="11"/>
  <c r="G1396" i="11"/>
  <c r="F1396" i="11"/>
  <c r="M1395" i="11"/>
  <c r="L1395" i="11"/>
  <c r="K1395" i="11"/>
  <c r="J1395" i="11"/>
  <c r="I1395" i="11"/>
  <c r="H1395" i="11"/>
  <c r="G1395" i="11"/>
  <c r="F1395" i="11"/>
  <c r="M1394" i="11"/>
  <c r="L1394" i="11"/>
  <c r="K1394" i="11"/>
  <c r="J1394" i="11"/>
  <c r="I1394" i="11"/>
  <c r="H1394" i="11"/>
  <c r="G1394" i="11"/>
  <c r="F1394" i="11"/>
  <c r="M1393" i="11"/>
  <c r="L1393" i="11"/>
  <c r="K1393" i="11"/>
  <c r="J1393" i="11"/>
  <c r="I1393" i="11"/>
  <c r="H1393" i="11"/>
  <c r="G1393" i="11"/>
  <c r="F1393" i="11"/>
  <c r="M1392" i="11"/>
  <c r="L1392" i="11"/>
  <c r="K1392" i="11"/>
  <c r="J1392" i="11"/>
  <c r="I1392" i="11"/>
  <c r="H1392" i="11"/>
  <c r="G1392" i="11"/>
  <c r="F1392" i="11"/>
  <c r="M1391" i="11"/>
  <c r="L1391" i="11"/>
  <c r="K1391" i="11"/>
  <c r="J1391" i="11"/>
  <c r="I1391" i="11"/>
  <c r="H1391" i="11"/>
  <c r="G1391" i="11"/>
  <c r="F1391" i="11"/>
  <c r="M1390" i="11"/>
  <c r="L1390" i="11"/>
  <c r="K1390" i="11"/>
  <c r="J1390" i="11"/>
  <c r="I1390" i="11"/>
  <c r="H1390" i="11"/>
  <c r="G1390" i="11"/>
  <c r="F1390" i="11"/>
  <c r="M1389" i="11"/>
  <c r="L1389" i="11"/>
  <c r="K1389" i="11"/>
  <c r="J1389" i="11"/>
  <c r="I1389" i="11"/>
  <c r="H1389" i="11"/>
  <c r="G1389" i="11"/>
  <c r="F1389" i="11"/>
  <c r="M1388" i="11"/>
  <c r="L1388" i="11"/>
  <c r="K1388" i="11"/>
  <c r="J1388" i="11"/>
  <c r="I1388" i="11"/>
  <c r="H1388" i="11"/>
  <c r="G1388" i="11"/>
  <c r="F1388" i="11"/>
  <c r="M1387" i="11"/>
  <c r="L1387" i="11"/>
  <c r="K1387" i="11"/>
  <c r="J1387" i="11"/>
  <c r="I1387" i="11"/>
  <c r="H1387" i="11"/>
  <c r="G1387" i="11"/>
  <c r="F1387" i="11"/>
  <c r="M1386" i="11"/>
  <c r="L1386" i="11"/>
  <c r="K1386" i="11"/>
  <c r="J1386" i="11"/>
  <c r="I1386" i="11"/>
  <c r="H1386" i="11"/>
  <c r="G1386" i="11"/>
  <c r="F1386" i="11"/>
  <c r="M1385" i="11"/>
  <c r="L1385" i="11"/>
  <c r="K1385" i="11"/>
  <c r="J1385" i="11"/>
  <c r="I1385" i="11"/>
  <c r="H1385" i="11"/>
  <c r="G1385" i="11"/>
  <c r="F1385" i="11"/>
  <c r="M1384" i="11"/>
  <c r="L1384" i="11"/>
  <c r="K1384" i="11"/>
  <c r="J1384" i="11"/>
  <c r="I1384" i="11"/>
  <c r="H1384" i="11"/>
  <c r="G1384" i="11"/>
  <c r="F1384" i="11"/>
  <c r="M1383" i="11"/>
  <c r="L1383" i="11"/>
  <c r="K1383" i="11"/>
  <c r="J1383" i="11"/>
  <c r="I1383" i="11"/>
  <c r="H1383" i="11"/>
  <c r="G1383" i="11"/>
  <c r="F1383" i="11"/>
  <c r="M1382" i="11"/>
  <c r="L1382" i="11"/>
  <c r="K1382" i="11"/>
  <c r="J1382" i="11"/>
  <c r="I1382" i="11"/>
  <c r="H1382" i="11"/>
  <c r="G1382" i="11"/>
  <c r="F1382" i="11"/>
  <c r="M1381" i="11"/>
  <c r="L1381" i="11"/>
  <c r="K1381" i="11"/>
  <c r="J1381" i="11"/>
  <c r="I1381" i="11"/>
  <c r="H1381" i="11"/>
  <c r="G1381" i="11"/>
  <c r="F1381" i="11"/>
  <c r="M1380" i="11"/>
  <c r="L1380" i="11"/>
  <c r="K1380" i="11"/>
  <c r="J1380" i="11"/>
  <c r="I1380" i="11"/>
  <c r="H1380" i="11"/>
  <c r="G1380" i="11"/>
  <c r="F1380" i="11"/>
  <c r="M1379" i="11"/>
  <c r="L1379" i="11"/>
  <c r="K1379" i="11"/>
  <c r="J1379" i="11"/>
  <c r="I1379" i="11"/>
  <c r="H1379" i="11"/>
  <c r="G1379" i="11"/>
  <c r="F1379" i="11"/>
  <c r="M1378" i="11"/>
  <c r="L1378" i="11"/>
  <c r="K1378" i="11"/>
  <c r="J1378" i="11"/>
  <c r="I1378" i="11"/>
  <c r="H1378" i="11"/>
  <c r="G1378" i="11"/>
  <c r="F1378" i="11"/>
  <c r="M1377" i="11"/>
  <c r="L1377" i="11"/>
  <c r="K1377" i="11"/>
  <c r="J1377" i="11"/>
  <c r="I1377" i="11"/>
  <c r="H1377" i="11"/>
  <c r="G1377" i="11"/>
  <c r="F1377" i="11"/>
  <c r="M1376" i="11"/>
  <c r="L1376" i="11"/>
  <c r="K1376" i="11"/>
  <c r="J1376" i="11"/>
  <c r="I1376" i="11"/>
  <c r="H1376" i="11"/>
  <c r="G1376" i="11"/>
  <c r="F1376" i="11"/>
  <c r="M1375" i="11"/>
  <c r="L1375" i="11"/>
  <c r="K1375" i="11"/>
  <c r="J1375" i="11"/>
  <c r="I1375" i="11"/>
  <c r="H1375" i="11"/>
  <c r="G1375" i="11"/>
  <c r="F1375" i="11"/>
  <c r="M1374" i="11"/>
  <c r="L1374" i="11"/>
  <c r="K1374" i="11"/>
  <c r="J1374" i="11"/>
  <c r="I1374" i="11"/>
  <c r="H1374" i="11"/>
  <c r="G1374" i="11"/>
  <c r="F1374" i="11"/>
  <c r="M1373" i="11"/>
  <c r="L1373" i="11"/>
  <c r="K1373" i="11"/>
  <c r="J1373" i="11"/>
  <c r="I1373" i="11"/>
  <c r="H1373" i="11"/>
  <c r="G1373" i="11"/>
  <c r="F1373" i="11"/>
  <c r="M1372" i="11"/>
  <c r="L1372" i="11"/>
  <c r="K1372" i="11"/>
  <c r="J1372" i="11"/>
  <c r="I1372" i="11"/>
  <c r="H1372" i="11"/>
  <c r="G1372" i="11"/>
  <c r="F1372" i="11"/>
  <c r="M1371" i="11"/>
  <c r="L1371" i="11"/>
  <c r="K1371" i="11"/>
  <c r="J1371" i="11"/>
  <c r="I1371" i="11"/>
  <c r="H1371" i="11"/>
  <c r="G1371" i="11"/>
  <c r="F1371" i="11"/>
  <c r="M1370" i="11"/>
  <c r="L1370" i="11"/>
  <c r="K1370" i="11"/>
  <c r="J1370" i="11"/>
  <c r="I1370" i="11"/>
  <c r="H1370" i="11"/>
  <c r="G1370" i="11"/>
  <c r="F1370" i="11"/>
  <c r="M1369" i="11"/>
  <c r="L1369" i="11"/>
  <c r="K1369" i="11"/>
  <c r="J1369" i="11"/>
  <c r="I1369" i="11"/>
  <c r="H1369" i="11"/>
  <c r="G1369" i="11"/>
  <c r="F1369" i="11"/>
  <c r="M1368" i="11"/>
  <c r="L1368" i="11"/>
  <c r="K1368" i="11"/>
  <c r="J1368" i="11"/>
  <c r="I1368" i="11"/>
  <c r="H1368" i="11"/>
  <c r="G1368" i="11"/>
  <c r="F1368" i="11"/>
  <c r="M1367" i="11"/>
  <c r="L1367" i="11"/>
  <c r="K1367" i="11"/>
  <c r="J1367" i="11"/>
  <c r="I1367" i="11"/>
  <c r="H1367" i="11"/>
  <c r="G1367" i="11"/>
  <c r="F1367" i="11"/>
  <c r="M1366" i="11"/>
  <c r="L1366" i="11"/>
  <c r="K1366" i="11"/>
  <c r="J1366" i="11"/>
  <c r="I1366" i="11"/>
  <c r="H1366" i="11"/>
  <c r="G1366" i="11"/>
  <c r="F1366" i="11"/>
  <c r="M1365" i="11"/>
  <c r="L1365" i="11"/>
  <c r="K1365" i="11"/>
  <c r="J1365" i="11"/>
  <c r="I1365" i="11"/>
  <c r="H1365" i="11"/>
  <c r="G1365" i="11"/>
  <c r="F1365" i="11"/>
  <c r="M1364" i="11"/>
  <c r="L1364" i="11"/>
  <c r="K1364" i="11"/>
  <c r="J1364" i="11"/>
  <c r="I1364" i="11"/>
  <c r="H1364" i="11"/>
  <c r="G1364" i="11"/>
  <c r="F1364" i="11"/>
  <c r="M1363" i="11"/>
  <c r="L1363" i="11"/>
  <c r="K1363" i="11"/>
  <c r="J1363" i="11"/>
  <c r="I1363" i="11"/>
  <c r="H1363" i="11"/>
  <c r="G1363" i="11"/>
  <c r="F1363" i="11"/>
  <c r="M1362" i="11"/>
  <c r="L1362" i="11"/>
  <c r="K1362" i="11"/>
  <c r="J1362" i="11"/>
  <c r="I1362" i="11"/>
  <c r="H1362" i="11"/>
  <c r="G1362" i="11"/>
  <c r="F1362" i="11"/>
  <c r="M1361" i="11"/>
  <c r="L1361" i="11"/>
  <c r="K1361" i="11"/>
  <c r="J1361" i="11"/>
  <c r="I1361" i="11"/>
  <c r="H1361" i="11"/>
  <c r="G1361" i="11"/>
  <c r="F1361" i="11"/>
  <c r="M1360" i="11"/>
  <c r="L1360" i="11"/>
  <c r="K1360" i="11"/>
  <c r="J1360" i="11"/>
  <c r="I1360" i="11"/>
  <c r="H1360" i="11"/>
  <c r="G1360" i="11"/>
  <c r="F1360" i="11"/>
  <c r="M1359" i="11"/>
  <c r="L1359" i="11"/>
  <c r="K1359" i="11"/>
  <c r="J1359" i="11"/>
  <c r="I1359" i="11"/>
  <c r="H1359" i="11"/>
  <c r="G1359" i="11"/>
  <c r="F1359" i="11"/>
  <c r="M1358" i="11"/>
  <c r="L1358" i="11"/>
  <c r="K1358" i="11"/>
  <c r="J1358" i="11"/>
  <c r="I1358" i="11"/>
  <c r="H1358" i="11"/>
  <c r="G1358" i="11"/>
  <c r="F1358" i="11"/>
  <c r="M1357" i="11"/>
  <c r="L1357" i="11"/>
  <c r="K1357" i="11"/>
  <c r="J1357" i="11"/>
  <c r="I1357" i="11"/>
  <c r="H1357" i="11"/>
  <c r="G1357" i="11"/>
  <c r="F1357" i="11"/>
  <c r="M1356" i="11"/>
  <c r="L1356" i="11"/>
  <c r="K1356" i="11"/>
  <c r="J1356" i="11"/>
  <c r="I1356" i="11"/>
  <c r="H1356" i="11"/>
  <c r="G1356" i="11"/>
  <c r="F1356" i="11"/>
  <c r="M1355" i="11"/>
  <c r="L1355" i="11"/>
  <c r="K1355" i="11"/>
  <c r="J1355" i="11"/>
  <c r="I1355" i="11"/>
  <c r="H1355" i="11"/>
  <c r="G1355" i="11"/>
  <c r="F1355" i="11"/>
  <c r="M1354" i="11"/>
  <c r="L1354" i="11"/>
  <c r="K1354" i="11"/>
  <c r="J1354" i="11"/>
  <c r="I1354" i="11"/>
  <c r="H1354" i="11"/>
  <c r="G1354" i="11"/>
  <c r="F1354" i="11"/>
  <c r="M1353" i="11"/>
  <c r="L1353" i="11"/>
  <c r="K1353" i="11"/>
  <c r="J1353" i="11"/>
  <c r="I1353" i="11"/>
  <c r="H1353" i="11"/>
  <c r="G1353" i="11"/>
  <c r="F1353" i="11"/>
  <c r="M1352" i="11"/>
  <c r="L1352" i="11"/>
  <c r="K1352" i="11"/>
  <c r="J1352" i="11"/>
  <c r="I1352" i="11"/>
  <c r="H1352" i="11"/>
  <c r="G1352" i="11"/>
  <c r="F1352" i="11"/>
  <c r="M1351" i="11"/>
  <c r="L1351" i="11"/>
  <c r="K1351" i="11"/>
  <c r="J1351" i="11"/>
  <c r="I1351" i="11"/>
  <c r="H1351" i="11"/>
  <c r="G1351" i="11"/>
  <c r="F1351" i="11"/>
  <c r="M1350" i="11"/>
  <c r="L1350" i="11"/>
  <c r="K1350" i="11"/>
  <c r="J1350" i="11"/>
  <c r="I1350" i="11"/>
  <c r="H1350" i="11"/>
  <c r="G1350" i="11"/>
  <c r="F1350" i="11"/>
  <c r="M1349" i="11"/>
  <c r="L1349" i="11"/>
  <c r="K1349" i="11"/>
  <c r="J1349" i="11"/>
  <c r="I1349" i="11"/>
  <c r="H1349" i="11"/>
  <c r="G1349" i="11"/>
  <c r="F1349" i="11"/>
  <c r="M1348" i="11"/>
  <c r="L1348" i="11"/>
  <c r="K1348" i="11"/>
  <c r="J1348" i="11"/>
  <c r="I1348" i="11"/>
  <c r="H1348" i="11"/>
  <c r="G1348" i="11"/>
  <c r="F1348" i="11"/>
  <c r="M1347" i="11"/>
  <c r="L1347" i="11"/>
  <c r="K1347" i="11"/>
  <c r="J1347" i="11"/>
  <c r="I1347" i="11"/>
  <c r="H1347" i="11"/>
  <c r="G1347" i="11"/>
  <c r="F1347" i="11"/>
  <c r="M1346" i="11"/>
  <c r="L1346" i="11"/>
  <c r="K1346" i="11"/>
  <c r="J1346" i="11"/>
  <c r="I1346" i="11"/>
  <c r="H1346" i="11"/>
  <c r="G1346" i="11"/>
  <c r="F1346" i="11"/>
  <c r="M1345" i="11"/>
  <c r="L1345" i="11"/>
  <c r="K1345" i="11"/>
  <c r="J1345" i="11"/>
  <c r="I1345" i="11"/>
  <c r="H1345" i="11"/>
  <c r="G1345" i="11"/>
  <c r="F1345" i="11"/>
  <c r="M1344" i="11"/>
  <c r="L1344" i="11"/>
  <c r="K1344" i="11"/>
  <c r="J1344" i="11"/>
  <c r="I1344" i="11"/>
  <c r="H1344" i="11"/>
  <c r="G1344" i="11"/>
  <c r="F1344" i="11"/>
  <c r="M1343" i="11"/>
  <c r="L1343" i="11"/>
  <c r="K1343" i="11"/>
  <c r="J1343" i="11"/>
  <c r="I1343" i="11"/>
  <c r="H1343" i="11"/>
  <c r="G1343" i="11"/>
  <c r="F1343" i="11"/>
  <c r="M1342" i="11"/>
  <c r="L1342" i="11"/>
  <c r="K1342" i="11"/>
  <c r="J1342" i="11"/>
  <c r="I1342" i="11"/>
  <c r="H1342" i="11"/>
  <c r="G1342" i="11"/>
  <c r="F1342" i="11"/>
  <c r="M1341" i="11"/>
  <c r="L1341" i="11"/>
  <c r="K1341" i="11"/>
  <c r="J1341" i="11"/>
  <c r="I1341" i="11"/>
  <c r="H1341" i="11"/>
  <c r="G1341" i="11"/>
  <c r="F1341" i="11"/>
  <c r="M1340" i="11"/>
  <c r="L1340" i="11"/>
  <c r="K1340" i="11"/>
  <c r="J1340" i="11"/>
  <c r="I1340" i="11"/>
  <c r="H1340" i="11"/>
  <c r="G1340" i="11"/>
  <c r="F1340" i="11"/>
  <c r="M1339" i="11"/>
  <c r="L1339" i="11"/>
  <c r="K1339" i="11"/>
  <c r="J1339" i="11"/>
  <c r="I1339" i="11"/>
  <c r="H1339" i="11"/>
  <c r="G1339" i="11"/>
  <c r="F1339" i="11"/>
  <c r="M1338" i="11"/>
  <c r="L1338" i="11"/>
  <c r="K1338" i="11"/>
  <c r="J1338" i="11"/>
  <c r="I1338" i="11"/>
  <c r="H1338" i="11"/>
  <c r="G1338" i="11"/>
  <c r="F1338" i="11"/>
  <c r="M1337" i="11"/>
  <c r="L1337" i="11"/>
  <c r="K1337" i="11"/>
  <c r="J1337" i="11"/>
  <c r="I1337" i="11"/>
  <c r="H1337" i="11"/>
  <c r="G1337" i="11"/>
  <c r="F1337" i="11"/>
  <c r="M1336" i="11"/>
  <c r="L1336" i="11"/>
  <c r="K1336" i="11"/>
  <c r="J1336" i="11"/>
  <c r="I1336" i="11"/>
  <c r="H1336" i="11"/>
  <c r="G1336" i="11"/>
  <c r="F1336" i="11"/>
  <c r="M1335" i="11"/>
  <c r="L1335" i="11"/>
  <c r="K1335" i="11"/>
  <c r="J1335" i="11"/>
  <c r="I1335" i="11"/>
  <c r="H1335" i="11"/>
  <c r="G1335" i="11"/>
  <c r="F1335" i="11"/>
  <c r="M1334" i="11"/>
  <c r="L1334" i="11"/>
  <c r="K1334" i="11"/>
  <c r="J1334" i="11"/>
  <c r="I1334" i="11"/>
  <c r="H1334" i="11"/>
  <c r="G1334" i="11"/>
  <c r="F1334" i="11"/>
  <c r="M1333" i="11"/>
  <c r="L1333" i="11"/>
  <c r="K1333" i="11"/>
  <c r="J1333" i="11"/>
  <c r="I1333" i="11"/>
  <c r="H1333" i="11"/>
  <c r="G1333" i="11"/>
  <c r="F1333" i="11"/>
  <c r="M1332" i="11"/>
  <c r="L1332" i="11"/>
  <c r="K1332" i="11"/>
  <c r="J1332" i="11"/>
  <c r="I1332" i="11"/>
  <c r="H1332" i="11"/>
  <c r="G1332" i="11"/>
  <c r="F1332" i="11"/>
  <c r="M1331" i="11"/>
  <c r="L1331" i="11"/>
  <c r="K1331" i="11"/>
  <c r="J1331" i="11"/>
  <c r="I1331" i="11"/>
  <c r="H1331" i="11"/>
  <c r="G1331" i="11"/>
  <c r="F1331" i="11"/>
  <c r="M1330" i="11"/>
  <c r="L1330" i="11"/>
  <c r="K1330" i="11"/>
  <c r="J1330" i="11"/>
  <c r="I1330" i="11"/>
  <c r="H1330" i="11"/>
  <c r="G1330" i="11"/>
  <c r="F1330" i="11"/>
  <c r="M1329" i="11"/>
  <c r="L1329" i="11"/>
  <c r="K1329" i="11"/>
  <c r="J1329" i="11"/>
  <c r="I1329" i="11"/>
  <c r="H1329" i="11"/>
  <c r="G1329" i="11"/>
  <c r="F1329" i="11"/>
  <c r="M1328" i="11"/>
  <c r="L1328" i="11"/>
  <c r="K1328" i="11"/>
  <c r="J1328" i="11"/>
  <c r="I1328" i="11"/>
  <c r="H1328" i="11"/>
  <c r="G1328" i="11"/>
  <c r="F1328" i="11"/>
  <c r="M1327" i="11"/>
  <c r="L1327" i="11"/>
  <c r="K1327" i="11"/>
  <c r="J1327" i="11"/>
  <c r="I1327" i="11"/>
  <c r="H1327" i="11"/>
  <c r="G1327" i="11"/>
  <c r="F1327" i="11"/>
  <c r="M1326" i="11"/>
  <c r="L1326" i="11"/>
  <c r="K1326" i="11"/>
  <c r="J1326" i="11"/>
  <c r="I1326" i="11"/>
  <c r="H1326" i="11"/>
  <c r="G1326" i="11"/>
  <c r="F1326" i="11"/>
  <c r="M1325" i="11"/>
  <c r="L1325" i="11"/>
  <c r="K1325" i="11"/>
  <c r="J1325" i="11"/>
  <c r="I1325" i="11"/>
  <c r="H1325" i="11"/>
  <c r="G1325" i="11"/>
  <c r="F1325" i="11"/>
  <c r="M1324" i="11"/>
  <c r="L1324" i="11"/>
  <c r="K1324" i="11"/>
  <c r="J1324" i="11"/>
  <c r="I1324" i="11"/>
  <c r="H1324" i="11"/>
  <c r="G1324" i="11"/>
  <c r="F1324" i="11"/>
  <c r="M1323" i="11"/>
  <c r="L1323" i="11"/>
  <c r="K1323" i="11"/>
  <c r="J1323" i="11"/>
  <c r="I1323" i="11"/>
  <c r="H1323" i="11"/>
  <c r="G1323" i="11"/>
  <c r="F1323" i="11"/>
  <c r="M1322" i="11"/>
  <c r="L1322" i="11"/>
  <c r="K1322" i="11"/>
  <c r="J1322" i="11"/>
  <c r="I1322" i="11"/>
  <c r="H1322" i="11"/>
  <c r="G1322" i="11"/>
  <c r="F1322" i="11"/>
  <c r="M1321" i="11"/>
  <c r="L1321" i="11"/>
  <c r="K1321" i="11"/>
  <c r="J1321" i="11"/>
  <c r="I1321" i="11"/>
  <c r="H1321" i="11"/>
  <c r="G1321" i="11"/>
  <c r="F1321" i="11"/>
  <c r="M1320" i="11"/>
  <c r="L1320" i="11"/>
  <c r="K1320" i="11"/>
  <c r="J1320" i="11"/>
  <c r="I1320" i="11"/>
  <c r="H1320" i="11"/>
  <c r="G1320" i="11"/>
  <c r="F1320" i="11"/>
  <c r="M1319" i="11"/>
  <c r="L1319" i="11"/>
  <c r="K1319" i="11"/>
  <c r="J1319" i="11"/>
  <c r="I1319" i="11"/>
  <c r="H1319" i="11"/>
  <c r="G1319" i="11"/>
  <c r="F1319" i="11"/>
  <c r="M1318" i="11"/>
  <c r="L1318" i="11"/>
  <c r="K1318" i="11"/>
  <c r="J1318" i="11"/>
  <c r="I1318" i="11"/>
  <c r="H1318" i="11"/>
  <c r="G1318" i="11"/>
  <c r="F1318" i="11"/>
  <c r="M1317" i="11"/>
  <c r="L1317" i="11"/>
  <c r="K1317" i="11"/>
  <c r="J1317" i="11"/>
  <c r="I1317" i="11"/>
  <c r="H1317" i="11"/>
  <c r="G1317" i="11"/>
  <c r="F1317" i="11"/>
  <c r="M1316" i="11"/>
  <c r="L1316" i="11"/>
  <c r="K1316" i="11"/>
  <c r="J1316" i="11"/>
  <c r="I1316" i="11"/>
  <c r="H1316" i="11"/>
  <c r="G1316" i="11"/>
  <c r="F1316" i="11"/>
  <c r="M1315" i="11"/>
  <c r="L1315" i="11"/>
  <c r="K1315" i="11"/>
  <c r="J1315" i="11"/>
  <c r="I1315" i="11"/>
  <c r="H1315" i="11"/>
  <c r="G1315" i="11"/>
  <c r="F1315" i="11"/>
  <c r="M1314" i="11"/>
  <c r="L1314" i="11"/>
  <c r="K1314" i="11"/>
  <c r="J1314" i="11"/>
  <c r="I1314" i="11"/>
  <c r="H1314" i="11"/>
  <c r="G1314" i="11"/>
  <c r="F1314" i="11"/>
  <c r="M1313" i="11"/>
  <c r="L1313" i="11"/>
  <c r="K1313" i="11"/>
  <c r="J1313" i="11"/>
  <c r="I1313" i="11"/>
  <c r="H1313" i="11"/>
  <c r="G1313" i="11"/>
  <c r="F1313" i="11"/>
  <c r="M1312" i="11"/>
  <c r="L1312" i="11"/>
  <c r="K1312" i="11"/>
  <c r="J1312" i="11"/>
  <c r="I1312" i="11"/>
  <c r="H1312" i="11"/>
  <c r="G1312" i="11"/>
  <c r="F1312" i="11"/>
  <c r="M1311" i="11"/>
  <c r="L1311" i="11"/>
  <c r="K1311" i="11"/>
  <c r="J1311" i="11"/>
  <c r="I1311" i="11"/>
  <c r="H1311" i="11"/>
  <c r="G1311" i="11"/>
  <c r="F1311" i="11"/>
  <c r="M1310" i="11"/>
  <c r="L1310" i="11"/>
  <c r="K1310" i="11"/>
  <c r="J1310" i="11"/>
  <c r="I1310" i="11"/>
  <c r="H1310" i="11"/>
  <c r="G1310" i="11"/>
  <c r="F1310" i="11"/>
  <c r="M1309" i="11"/>
  <c r="L1309" i="11"/>
  <c r="K1309" i="11"/>
  <c r="J1309" i="11"/>
  <c r="I1309" i="11"/>
  <c r="H1309" i="11"/>
  <c r="G1309" i="11"/>
  <c r="F1309" i="11"/>
  <c r="M1308" i="11"/>
  <c r="L1308" i="11"/>
  <c r="K1308" i="11"/>
  <c r="J1308" i="11"/>
  <c r="I1308" i="11"/>
  <c r="H1308" i="11"/>
  <c r="G1308" i="11"/>
  <c r="F1308" i="11"/>
  <c r="M1307" i="11"/>
  <c r="L1307" i="11"/>
  <c r="K1307" i="11"/>
  <c r="J1307" i="11"/>
  <c r="I1307" i="11"/>
  <c r="H1307" i="11"/>
  <c r="G1307" i="11"/>
  <c r="F1307" i="11"/>
  <c r="M1306" i="11"/>
  <c r="L1306" i="11"/>
  <c r="K1306" i="11"/>
  <c r="J1306" i="11"/>
  <c r="I1306" i="11"/>
  <c r="H1306" i="11"/>
  <c r="G1306" i="11"/>
  <c r="F1306" i="11"/>
  <c r="M1305" i="11"/>
  <c r="L1305" i="11"/>
  <c r="K1305" i="11"/>
  <c r="J1305" i="11"/>
  <c r="I1305" i="11"/>
  <c r="H1305" i="11"/>
  <c r="G1305" i="11"/>
  <c r="F1305" i="11"/>
  <c r="M1304" i="11"/>
  <c r="L1304" i="11"/>
  <c r="K1304" i="11"/>
  <c r="J1304" i="11"/>
  <c r="I1304" i="11"/>
  <c r="H1304" i="11"/>
  <c r="G1304" i="11"/>
  <c r="F1304" i="11"/>
  <c r="M1303" i="11"/>
  <c r="L1303" i="11"/>
  <c r="K1303" i="11"/>
  <c r="J1303" i="11"/>
  <c r="I1303" i="11"/>
  <c r="H1303" i="11"/>
  <c r="G1303" i="11"/>
  <c r="F1303" i="11"/>
  <c r="M1302" i="11"/>
  <c r="L1302" i="11"/>
  <c r="K1302" i="11"/>
  <c r="J1302" i="11"/>
  <c r="I1302" i="11"/>
  <c r="H1302" i="11"/>
  <c r="G1302" i="11"/>
  <c r="F1302" i="11"/>
  <c r="M1301" i="11"/>
  <c r="L1301" i="11"/>
  <c r="K1301" i="11"/>
  <c r="J1301" i="11"/>
  <c r="I1301" i="11"/>
  <c r="H1301" i="11"/>
  <c r="G1301" i="11"/>
  <c r="F1301" i="11"/>
  <c r="M1300" i="11"/>
  <c r="L1300" i="11"/>
  <c r="K1300" i="11"/>
  <c r="J1300" i="11"/>
  <c r="I1300" i="11"/>
  <c r="H1300" i="11"/>
  <c r="G1300" i="11"/>
  <c r="F1300" i="11"/>
  <c r="M1299" i="11"/>
  <c r="L1299" i="11"/>
  <c r="K1299" i="11"/>
  <c r="J1299" i="11"/>
  <c r="I1299" i="11"/>
  <c r="H1299" i="11"/>
  <c r="G1299" i="11"/>
  <c r="F1299" i="11"/>
  <c r="M1298" i="11"/>
  <c r="L1298" i="11"/>
  <c r="K1298" i="11"/>
  <c r="J1298" i="11"/>
  <c r="I1298" i="11"/>
  <c r="H1298" i="11"/>
  <c r="G1298" i="11"/>
  <c r="F1298" i="11"/>
  <c r="M1297" i="11"/>
  <c r="L1297" i="11"/>
  <c r="K1297" i="11"/>
  <c r="J1297" i="11"/>
  <c r="I1297" i="11"/>
  <c r="H1297" i="11"/>
  <c r="G1297" i="11"/>
  <c r="F1297" i="11"/>
  <c r="M1296" i="11"/>
  <c r="L1296" i="11"/>
  <c r="K1296" i="11"/>
  <c r="J1296" i="11"/>
  <c r="I1296" i="11"/>
  <c r="H1296" i="11"/>
  <c r="G1296" i="11"/>
  <c r="F1296" i="11"/>
  <c r="M1295" i="11"/>
  <c r="L1295" i="11"/>
  <c r="K1295" i="11"/>
  <c r="J1295" i="11"/>
  <c r="I1295" i="11"/>
  <c r="H1295" i="11"/>
  <c r="G1295" i="11"/>
  <c r="F1295" i="11"/>
  <c r="M1294" i="11"/>
  <c r="L1294" i="11"/>
  <c r="K1294" i="11"/>
  <c r="J1294" i="11"/>
  <c r="I1294" i="11"/>
  <c r="H1294" i="11"/>
  <c r="G1294" i="11"/>
  <c r="F1294" i="11"/>
  <c r="M1293" i="11"/>
  <c r="L1293" i="11"/>
  <c r="K1293" i="11"/>
  <c r="J1293" i="11"/>
  <c r="I1293" i="11"/>
  <c r="H1293" i="11"/>
  <c r="G1293" i="11"/>
  <c r="F1293" i="11"/>
  <c r="M1292" i="11"/>
  <c r="L1292" i="11"/>
  <c r="K1292" i="11"/>
  <c r="J1292" i="11"/>
  <c r="I1292" i="11"/>
  <c r="H1292" i="11"/>
  <c r="G1292" i="11"/>
  <c r="F1292" i="11"/>
  <c r="M1291" i="11"/>
  <c r="L1291" i="11"/>
  <c r="K1291" i="11"/>
  <c r="J1291" i="11"/>
  <c r="I1291" i="11"/>
  <c r="H1291" i="11"/>
  <c r="G1291" i="11"/>
  <c r="F1291" i="11"/>
  <c r="M1290" i="11"/>
  <c r="L1290" i="11"/>
  <c r="K1290" i="11"/>
  <c r="J1290" i="11"/>
  <c r="I1290" i="11"/>
  <c r="H1290" i="11"/>
  <c r="G1290" i="11"/>
  <c r="F1290" i="11"/>
  <c r="M1289" i="11"/>
  <c r="L1289" i="11"/>
  <c r="K1289" i="11"/>
  <c r="J1289" i="11"/>
  <c r="I1289" i="11"/>
  <c r="H1289" i="11"/>
  <c r="G1289" i="11"/>
  <c r="F1289" i="11"/>
  <c r="M1288" i="11"/>
  <c r="L1288" i="11"/>
  <c r="K1288" i="11"/>
  <c r="J1288" i="11"/>
  <c r="I1288" i="11"/>
  <c r="H1288" i="11"/>
  <c r="G1288" i="11"/>
  <c r="F1288" i="11"/>
  <c r="M1287" i="11"/>
  <c r="L1287" i="11"/>
  <c r="K1287" i="11"/>
  <c r="J1287" i="11"/>
  <c r="I1287" i="11"/>
  <c r="H1287" i="11"/>
  <c r="G1287" i="11"/>
  <c r="F1287" i="11"/>
  <c r="M1286" i="11"/>
  <c r="L1286" i="11"/>
  <c r="K1286" i="11"/>
  <c r="J1286" i="11"/>
  <c r="I1286" i="11"/>
  <c r="H1286" i="11"/>
  <c r="G1286" i="11"/>
  <c r="F1286" i="11"/>
  <c r="M1285" i="11"/>
  <c r="L1285" i="11"/>
  <c r="K1285" i="11"/>
  <c r="J1285" i="11"/>
  <c r="I1285" i="11"/>
  <c r="H1285" i="11"/>
  <c r="G1285" i="11"/>
  <c r="F1285" i="11"/>
  <c r="M1284" i="11"/>
  <c r="L1284" i="11"/>
  <c r="K1284" i="11"/>
  <c r="J1284" i="11"/>
  <c r="I1284" i="11"/>
  <c r="H1284" i="11"/>
  <c r="G1284" i="11"/>
  <c r="F1284" i="11"/>
  <c r="M1283" i="11"/>
  <c r="L1283" i="11"/>
  <c r="K1283" i="11"/>
  <c r="J1283" i="11"/>
  <c r="I1283" i="11"/>
  <c r="H1283" i="11"/>
  <c r="G1283" i="11"/>
  <c r="F1283" i="11"/>
  <c r="M1282" i="11"/>
  <c r="L1282" i="11"/>
  <c r="K1282" i="11"/>
  <c r="J1282" i="11"/>
  <c r="I1282" i="11"/>
  <c r="H1282" i="11"/>
  <c r="G1282" i="11"/>
  <c r="F1282" i="11"/>
  <c r="M1281" i="11"/>
  <c r="L1281" i="11"/>
  <c r="K1281" i="11"/>
  <c r="J1281" i="11"/>
  <c r="I1281" i="11"/>
  <c r="H1281" i="11"/>
  <c r="G1281" i="11"/>
  <c r="F1281" i="11"/>
  <c r="M1280" i="11"/>
  <c r="L1280" i="11"/>
  <c r="K1280" i="11"/>
  <c r="J1280" i="11"/>
  <c r="I1280" i="11"/>
  <c r="H1280" i="11"/>
  <c r="G1280" i="11"/>
  <c r="F1280" i="11"/>
  <c r="M1279" i="11"/>
  <c r="L1279" i="11"/>
  <c r="K1279" i="11"/>
  <c r="J1279" i="11"/>
  <c r="I1279" i="11"/>
  <c r="H1279" i="11"/>
  <c r="G1279" i="11"/>
  <c r="F1279" i="11"/>
  <c r="M1278" i="11"/>
  <c r="L1278" i="11"/>
  <c r="K1278" i="11"/>
  <c r="J1278" i="11"/>
  <c r="I1278" i="11"/>
  <c r="H1278" i="11"/>
  <c r="G1278" i="11"/>
  <c r="F1278" i="11"/>
  <c r="M1277" i="11"/>
  <c r="L1277" i="11"/>
  <c r="K1277" i="11"/>
  <c r="J1277" i="11"/>
  <c r="I1277" i="11"/>
  <c r="H1277" i="11"/>
  <c r="G1277" i="11"/>
  <c r="F1277" i="11"/>
  <c r="M1276" i="11"/>
  <c r="L1276" i="11"/>
  <c r="K1276" i="11"/>
  <c r="J1276" i="11"/>
  <c r="I1276" i="11"/>
  <c r="H1276" i="11"/>
  <c r="G1276" i="11"/>
  <c r="F1276" i="11"/>
  <c r="M1275" i="11"/>
  <c r="L1275" i="11"/>
  <c r="K1275" i="11"/>
  <c r="J1275" i="11"/>
  <c r="I1275" i="11"/>
  <c r="H1275" i="11"/>
  <c r="G1275" i="11"/>
  <c r="F1275" i="11"/>
  <c r="M1274" i="11"/>
  <c r="L1274" i="11"/>
  <c r="K1274" i="11"/>
  <c r="J1274" i="11"/>
  <c r="I1274" i="11"/>
  <c r="H1274" i="11"/>
  <c r="G1274" i="11"/>
  <c r="F1274" i="11"/>
  <c r="M1273" i="11"/>
  <c r="L1273" i="11"/>
  <c r="K1273" i="11"/>
  <c r="J1273" i="11"/>
  <c r="I1273" i="11"/>
  <c r="H1273" i="11"/>
  <c r="G1273" i="11"/>
  <c r="F1273" i="11"/>
  <c r="M1272" i="11"/>
  <c r="L1272" i="11"/>
  <c r="K1272" i="11"/>
  <c r="J1272" i="11"/>
  <c r="I1272" i="11"/>
  <c r="H1272" i="11"/>
  <c r="G1272" i="11"/>
  <c r="F1272" i="11"/>
  <c r="M1271" i="11"/>
  <c r="L1271" i="11"/>
  <c r="K1271" i="11"/>
  <c r="J1271" i="11"/>
  <c r="I1271" i="11"/>
  <c r="H1271" i="11"/>
  <c r="G1271" i="11"/>
  <c r="F1271" i="11"/>
  <c r="M1270" i="11"/>
  <c r="L1270" i="11"/>
  <c r="K1270" i="11"/>
  <c r="J1270" i="11"/>
  <c r="I1270" i="11"/>
  <c r="H1270" i="11"/>
  <c r="G1270" i="11"/>
  <c r="F1270" i="11"/>
  <c r="M1269" i="11"/>
  <c r="L1269" i="11"/>
  <c r="K1269" i="11"/>
  <c r="J1269" i="11"/>
  <c r="I1269" i="11"/>
  <c r="H1269" i="11"/>
  <c r="G1269" i="11"/>
  <c r="F1269" i="11"/>
  <c r="M1268" i="11"/>
  <c r="L1268" i="11"/>
  <c r="K1268" i="11"/>
  <c r="J1268" i="11"/>
  <c r="I1268" i="11"/>
  <c r="H1268" i="11"/>
  <c r="G1268" i="11"/>
  <c r="F1268" i="11"/>
  <c r="M1267" i="11"/>
  <c r="L1267" i="11"/>
  <c r="K1267" i="11"/>
  <c r="J1267" i="11"/>
  <c r="I1267" i="11"/>
  <c r="H1267" i="11"/>
  <c r="G1267" i="11"/>
  <c r="F1267" i="11"/>
  <c r="M1266" i="11"/>
  <c r="L1266" i="11"/>
  <c r="K1266" i="11"/>
  <c r="J1266" i="11"/>
  <c r="I1266" i="11"/>
  <c r="H1266" i="11"/>
  <c r="G1266" i="11"/>
  <c r="F1266" i="11"/>
  <c r="M1265" i="11"/>
  <c r="L1265" i="11"/>
  <c r="K1265" i="11"/>
  <c r="J1265" i="11"/>
  <c r="I1265" i="11"/>
  <c r="H1265" i="11"/>
  <c r="G1265" i="11"/>
  <c r="F1265" i="11"/>
  <c r="M1264" i="11"/>
  <c r="L1264" i="11"/>
  <c r="K1264" i="11"/>
  <c r="J1264" i="11"/>
  <c r="I1264" i="11"/>
  <c r="H1264" i="11"/>
  <c r="G1264" i="11"/>
  <c r="F1264" i="11"/>
  <c r="M1263" i="11"/>
  <c r="L1263" i="11"/>
  <c r="K1263" i="11"/>
  <c r="J1263" i="11"/>
  <c r="I1263" i="11"/>
  <c r="H1263" i="11"/>
  <c r="G1263" i="11"/>
  <c r="F1263" i="11"/>
  <c r="M1262" i="11"/>
  <c r="L1262" i="11"/>
  <c r="K1262" i="11"/>
  <c r="J1262" i="11"/>
  <c r="I1262" i="11"/>
  <c r="H1262" i="11"/>
  <c r="G1262" i="11"/>
  <c r="F1262" i="11"/>
  <c r="M1261" i="11"/>
  <c r="L1261" i="11"/>
  <c r="K1261" i="11"/>
  <c r="J1261" i="11"/>
  <c r="I1261" i="11"/>
  <c r="H1261" i="11"/>
  <c r="G1261" i="11"/>
  <c r="F1261" i="11"/>
  <c r="M1260" i="11"/>
  <c r="L1260" i="11"/>
  <c r="K1260" i="11"/>
  <c r="J1260" i="11"/>
  <c r="I1260" i="11"/>
  <c r="H1260" i="11"/>
  <c r="G1260" i="11"/>
  <c r="F1260" i="11"/>
  <c r="M1259" i="11"/>
  <c r="L1259" i="11"/>
  <c r="K1259" i="11"/>
  <c r="J1259" i="11"/>
  <c r="I1259" i="11"/>
  <c r="H1259" i="11"/>
  <c r="G1259" i="11"/>
  <c r="F1259" i="11"/>
  <c r="M1258" i="11"/>
  <c r="L1258" i="11"/>
  <c r="K1258" i="11"/>
  <c r="J1258" i="11"/>
  <c r="I1258" i="11"/>
  <c r="H1258" i="11"/>
  <c r="G1258" i="11"/>
  <c r="F1258" i="11"/>
  <c r="M1257" i="11"/>
  <c r="L1257" i="11"/>
  <c r="K1257" i="11"/>
  <c r="J1257" i="11"/>
  <c r="I1257" i="11"/>
  <c r="H1257" i="11"/>
  <c r="G1257" i="11"/>
  <c r="F1257" i="11"/>
  <c r="M1256" i="11"/>
  <c r="L1256" i="11"/>
  <c r="K1256" i="11"/>
  <c r="J1256" i="11"/>
  <c r="I1256" i="11"/>
  <c r="H1256" i="11"/>
  <c r="G1256" i="11"/>
  <c r="F1256" i="11"/>
  <c r="M1255" i="11"/>
  <c r="L1255" i="11"/>
  <c r="K1255" i="11"/>
  <c r="J1255" i="11"/>
  <c r="I1255" i="11"/>
  <c r="H1255" i="11"/>
  <c r="G1255" i="11"/>
  <c r="F1255" i="11"/>
  <c r="M1254" i="11"/>
  <c r="L1254" i="11"/>
  <c r="K1254" i="11"/>
  <c r="J1254" i="11"/>
  <c r="I1254" i="11"/>
  <c r="H1254" i="11"/>
  <c r="G1254" i="11"/>
  <c r="F1254" i="11"/>
  <c r="M1253" i="11"/>
  <c r="L1253" i="11"/>
  <c r="K1253" i="11"/>
  <c r="J1253" i="11"/>
  <c r="I1253" i="11"/>
  <c r="H1253" i="11"/>
  <c r="G1253" i="11"/>
  <c r="F1253" i="11"/>
  <c r="M1252" i="11"/>
  <c r="L1252" i="11"/>
  <c r="K1252" i="11"/>
  <c r="J1252" i="11"/>
  <c r="I1252" i="11"/>
  <c r="H1252" i="11"/>
  <c r="G1252" i="11"/>
  <c r="F1252" i="11"/>
  <c r="M1251" i="11"/>
  <c r="L1251" i="11"/>
  <c r="K1251" i="11"/>
  <c r="J1251" i="11"/>
  <c r="I1251" i="11"/>
  <c r="H1251" i="11"/>
  <c r="G1251" i="11"/>
  <c r="F1251" i="11"/>
  <c r="M1250" i="11"/>
  <c r="L1250" i="11"/>
  <c r="K1250" i="11"/>
  <c r="J1250" i="11"/>
  <c r="I1250" i="11"/>
  <c r="H1250" i="11"/>
  <c r="G1250" i="11"/>
  <c r="F1250" i="11"/>
  <c r="M1249" i="11"/>
  <c r="L1249" i="11"/>
  <c r="K1249" i="11"/>
  <c r="J1249" i="11"/>
  <c r="I1249" i="11"/>
  <c r="H1249" i="11"/>
  <c r="G1249" i="11"/>
  <c r="F1249" i="11"/>
  <c r="M1248" i="11"/>
  <c r="L1248" i="11"/>
  <c r="K1248" i="11"/>
  <c r="J1248" i="11"/>
  <c r="I1248" i="11"/>
  <c r="H1248" i="11"/>
  <c r="G1248" i="11"/>
  <c r="F1248" i="11"/>
  <c r="M1247" i="11"/>
  <c r="L1247" i="11"/>
  <c r="K1247" i="11"/>
  <c r="J1247" i="11"/>
  <c r="I1247" i="11"/>
  <c r="H1247" i="11"/>
  <c r="G1247" i="11"/>
  <c r="F1247" i="11"/>
  <c r="M1246" i="11"/>
  <c r="L1246" i="11"/>
  <c r="K1246" i="11"/>
  <c r="J1246" i="11"/>
  <c r="I1246" i="11"/>
  <c r="H1246" i="11"/>
  <c r="G1246" i="11"/>
  <c r="F1246" i="11"/>
  <c r="M1245" i="11"/>
  <c r="L1245" i="11"/>
  <c r="K1245" i="11"/>
  <c r="J1245" i="11"/>
  <c r="I1245" i="11"/>
  <c r="H1245" i="11"/>
  <c r="G1245" i="11"/>
  <c r="F1245" i="11"/>
  <c r="M1244" i="11"/>
  <c r="L1244" i="11"/>
  <c r="K1244" i="11"/>
  <c r="J1244" i="11"/>
  <c r="I1244" i="11"/>
  <c r="H1244" i="11"/>
  <c r="G1244" i="11"/>
  <c r="F1244" i="11"/>
  <c r="M1243" i="11"/>
  <c r="L1243" i="11"/>
  <c r="K1243" i="11"/>
  <c r="J1243" i="11"/>
  <c r="I1243" i="11"/>
  <c r="H1243" i="11"/>
  <c r="G1243" i="11"/>
  <c r="F1243" i="11"/>
  <c r="M1242" i="11"/>
  <c r="L1242" i="11"/>
  <c r="K1242" i="11"/>
  <c r="J1242" i="11"/>
  <c r="I1242" i="11"/>
  <c r="H1242" i="11"/>
  <c r="G1242" i="11"/>
  <c r="F1242" i="11"/>
  <c r="M1241" i="11"/>
  <c r="L1241" i="11"/>
  <c r="K1241" i="11"/>
  <c r="J1241" i="11"/>
  <c r="I1241" i="11"/>
  <c r="H1241" i="11"/>
  <c r="G1241" i="11"/>
  <c r="F1241" i="11"/>
  <c r="M1240" i="11"/>
  <c r="L1240" i="11"/>
  <c r="K1240" i="11"/>
  <c r="J1240" i="11"/>
  <c r="I1240" i="11"/>
  <c r="H1240" i="11"/>
  <c r="G1240" i="11"/>
  <c r="F1240" i="11"/>
  <c r="M1239" i="11"/>
  <c r="L1239" i="11"/>
  <c r="K1239" i="11"/>
  <c r="J1239" i="11"/>
  <c r="I1239" i="11"/>
  <c r="H1239" i="11"/>
  <c r="G1239" i="11"/>
  <c r="F1239" i="11"/>
  <c r="M1238" i="11"/>
  <c r="L1238" i="11"/>
  <c r="K1238" i="11"/>
  <c r="J1238" i="11"/>
  <c r="I1238" i="11"/>
  <c r="H1238" i="11"/>
  <c r="G1238" i="11"/>
  <c r="F1238" i="11"/>
  <c r="M1237" i="11"/>
  <c r="L1237" i="11"/>
  <c r="K1237" i="11"/>
  <c r="J1237" i="11"/>
  <c r="I1237" i="11"/>
  <c r="H1237" i="11"/>
  <c r="G1237" i="11"/>
  <c r="F1237" i="11"/>
  <c r="M1236" i="11"/>
  <c r="L1236" i="11"/>
  <c r="K1236" i="11"/>
  <c r="J1236" i="11"/>
  <c r="I1236" i="11"/>
  <c r="H1236" i="11"/>
  <c r="G1236" i="11"/>
  <c r="F1236" i="11"/>
  <c r="M1235" i="11"/>
  <c r="L1235" i="11"/>
  <c r="K1235" i="11"/>
  <c r="J1235" i="11"/>
  <c r="I1235" i="11"/>
  <c r="H1235" i="11"/>
  <c r="G1235" i="11"/>
  <c r="F1235" i="11"/>
  <c r="M1234" i="11"/>
  <c r="L1234" i="11"/>
  <c r="K1234" i="11"/>
  <c r="J1234" i="11"/>
  <c r="I1234" i="11"/>
  <c r="H1234" i="11"/>
  <c r="G1234" i="11"/>
  <c r="F1234" i="11"/>
  <c r="M1233" i="11"/>
  <c r="L1233" i="11"/>
  <c r="K1233" i="11"/>
  <c r="J1233" i="11"/>
  <c r="I1233" i="11"/>
  <c r="H1233" i="11"/>
  <c r="G1233" i="11"/>
  <c r="F1233" i="11"/>
  <c r="M1232" i="11"/>
  <c r="L1232" i="11"/>
  <c r="K1232" i="11"/>
  <c r="J1232" i="11"/>
  <c r="I1232" i="11"/>
  <c r="H1232" i="11"/>
  <c r="G1232" i="11"/>
  <c r="F1232" i="11"/>
  <c r="M1231" i="11"/>
  <c r="L1231" i="11"/>
  <c r="K1231" i="11"/>
  <c r="J1231" i="11"/>
  <c r="I1231" i="11"/>
  <c r="H1231" i="11"/>
  <c r="G1231" i="11"/>
  <c r="F1231" i="11"/>
  <c r="M1230" i="11"/>
  <c r="L1230" i="11"/>
  <c r="K1230" i="11"/>
  <c r="J1230" i="11"/>
  <c r="I1230" i="11"/>
  <c r="H1230" i="11"/>
  <c r="G1230" i="11"/>
  <c r="F1230" i="11"/>
  <c r="M1229" i="11"/>
  <c r="L1229" i="11"/>
  <c r="K1229" i="11"/>
  <c r="J1229" i="11"/>
  <c r="I1229" i="11"/>
  <c r="H1229" i="11"/>
  <c r="G1229" i="11"/>
  <c r="F1229" i="11"/>
  <c r="M1228" i="11"/>
  <c r="L1228" i="11"/>
  <c r="K1228" i="11"/>
  <c r="J1228" i="11"/>
  <c r="I1228" i="11"/>
  <c r="H1228" i="11"/>
  <c r="G1228" i="11"/>
  <c r="F1228" i="11"/>
  <c r="M1227" i="11"/>
  <c r="L1227" i="11"/>
  <c r="K1227" i="11"/>
  <c r="J1227" i="11"/>
  <c r="I1227" i="11"/>
  <c r="H1227" i="11"/>
  <c r="G1227" i="11"/>
  <c r="F1227" i="11"/>
  <c r="M1226" i="11"/>
  <c r="L1226" i="11"/>
  <c r="K1226" i="11"/>
  <c r="J1226" i="11"/>
  <c r="I1226" i="11"/>
  <c r="H1226" i="11"/>
  <c r="G1226" i="11"/>
  <c r="F1226" i="11"/>
  <c r="M1225" i="11"/>
  <c r="L1225" i="11"/>
  <c r="K1225" i="11"/>
  <c r="J1225" i="11"/>
  <c r="I1225" i="11"/>
  <c r="H1225" i="11"/>
  <c r="G1225" i="11"/>
  <c r="F1225" i="11"/>
  <c r="M1224" i="11"/>
  <c r="L1224" i="11"/>
  <c r="K1224" i="11"/>
  <c r="J1224" i="11"/>
  <c r="I1224" i="11"/>
  <c r="H1224" i="11"/>
  <c r="G1224" i="11"/>
  <c r="F1224" i="11"/>
  <c r="M1223" i="11"/>
  <c r="L1223" i="11"/>
  <c r="K1223" i="11"/>
  <c r="J1223" i="11"/>
  <c r="I1223" i="11"/>
  <c r="H1223" i="11"/>
  <c r="G1223" i="11"/>
  <c r="F1223" i="11"/>
  <c r="M1222" i="11"/>
  <c r="L1222" i="11"/>
  <c r="K1222" i="11"/>
  <c r="J1222" i="11"/>
  <c r="I1222" i="11"/>
  <c r="H1222" i="11"/>
  <c r="G1222" i="11"/>
  <c r="F1222" i="11"/>
  <c r="M1221" i="11"/>
  <c r="L1221" i="11"/>
  <c r="K1221" i="11"/>
  <c r="J1221" i="11"/>
  <c r="I1221" i="11"/>
  <c r="H1221" i="11"/>
  <c r="G1221" i="11"/>
  <c r="F1221" i="11"/>
  <c r="M1220" i="11"/>
  <c r="L1220" i="11"/>
  <c r="K1220" i="11"/>
  <c r="J1220" i="11"/>
  <c r="I1220" i="11"/>
  <c r="H1220" i="11"/>
  <c r="G1220" i="11"/>
  <c r="F1220" i="11"/>
  <c r="M1219" i="11"/>
  <c r="L1219" i="11"/>
  <c r="K1219" i="11"/>
  <c r="J1219" i="11"/>
  <c r="I1219" i="11"/>
  <c r="H1219" i="11"/>
  <c r="G1219" i="11"/>
  <c r="F1219" i="11"/>
  <c r="M1218" i="11"/>
  <c r="L1218" i="11"/>
  <c r="K1218" i="11"/>
  <c r="J1218" i="11"/>
  <c r="I1218" i="11"/>
  <c r="H1218" i="11"/>
  <c r="G1218" i="11"/>
  <c r="F1218" i="11"/>
  <c r="M1217" i="11"/>
  <c r="L1217" i="11"/>
  <c r="K1217" i="11"/>
  <c r="J1217" i="11"/>
  <c r="I1217" i="11"/>
  <c r="H1217" i="11"/>
  <c r="G1217" i="11"/>
  <c r="F1217" i="11"/>
  <c r="M1216" i="11"/>
  <c r="L1216" i="11"/>
  <c r="K1216" i="11"/>
  <c r="J1216" i="11"/>
  <c r="I1216" i="11"/>
  <c r="H1216" i="11"/>
  <c r="G1216" i="11"/>
  <c r="F1216" i="11"/>
  <c r="M1215" i="11"/>
  <c r="L1215" i="11"/>
  <c r="K1215" i="11"/>
  <c r="J1215" i="11"/>
  <c r="I1215" i="11"/>
  <c r="H1215" i="11"/>
  <c r="G1215" i="11"/>
  <c r="F1215" i="11"/>
  <c r="M1214" i="11"/>
  <c r="L1214" i="11"/>
  <c r="K1214" i="11"/>
  <c r="J1214" i="11"/>
  <c r="I1214" i="11"/>
  <c r="H1214" i="11"/>
  <c r="G1214" i="11"/>
  <c r="F1214" i="11"/>
  <c r="M1213" i="11"/>
  <c r="L1213" i="11"/>
  <c r="K1213" i="11"/>
  <c r="J1213" i="11"/>
  <c r="I1213" i="11"/>
  <c r="H1213" i="11"/>
  <c r="G1213" i="11"/>
  <c r="F1213" i="11"/>
  <c r="M1212" i="11"/>
  <c r="L1212" i="11"/>
  <c r="K1212" i="11"/>
  <c r="J1212" i="11"/>
  <c r="I1212" i="11"/>
  <c r="H1212" i="11"/>
  <c r="G1212" i="11"/>
  <c r="F1212" i="11"/>
  <c r="M1211" i="11"/>
  <c r="L1211" i="11"/>
  <c r="K1211" i="11"/>
  <c r="J1211" i="11"/>
  <c r="I1211" i="11"/>
  <c r="H1211" i="11"/>
  <c r="G1211" i="11"/>
  <c r="F1211" i="11"/>
  <c r="M1210" i="11"/>
  <c r="L1210" i="11"/>
  <c r="K1210" i="11"/>
  <c r="J1210" i="11"/>
  <c r="I1210" i="11"/>
  <c r="H1210" i="11"/>
  <c r="G1210" i="11"/>
  <c r="F1210" i="11"/>
  <c r="M1209" i="11"/>
  <c r="L1209" i="11"/>
  <c r="K1209" i="11"/>
  <c r="J1209" i="11"/>
  <c r="I1209" i="11"/>
  <c r="H1209" i="11"/>
  <c r="G1209" i="11"/>
  <c r="F1209" i="11"/>
  <c r="M1208" i="11"/>
  <c r="L1208" i="11"/>
  <c r="K1208" i="11"/>
  <c r="J1208" i="11"/>
  <c r="I1208" i="11"/>
  <c r="H1208" i="11"/>
  <c r="G1208" i="11"/>
  <c r="F1208" i="11"/>
  <c r="M1207" i="11"/>
  <c r="L1207" i="11"/>
  <c r="K1207" i="11"/>
  <c r="J1207" i="11"/>
  <c r="I1207" i="11"/>
  <c r="H1207" i="11"/>
  <c r="G1207" i="11"/>
  <c r="F1207" i="11"/>
  <c r="M1206" i="11"/>
  <c r="L1206" i="11"/>
  <c r="K1206" i="11"/>
  <c r="J1206" i="11"/>
  <c r="I1206" i="11"/>
  <c r="H1206" i="11"/>
  <c r="G1206" i="11"/>
  <c r="F1206" i="11"/>
  <c r="M1205" i="11"/>
  <c r="L1205" i="11"/>
  <c r="K1205" i="11"/>
  <c r="J1205" i="11"/>
  <c r="I1205" i="11"/>
  <c r="H1205" i="11"/>
  <c r="G1205" i="11"/>
  <c r="F1205" i="11"/>
  <c r="M1204" i="11"/>
  <c r="L1204" i="11"/>
  <c r="K1204" i="11"/>
  <c r="J1204" i="11"/>
  <c r="I1204" i="11"/>
  <c r="H1204" i="11"/>
  <c r="G1204" i="11"/>
  <c r="F1204" i="11"/>
  <c r="M1203" i="11"/>
  <c r="L1203" i="11"/>
  <c r="K1203" i="11"/>
  <c r="J1203" i="11"/>
  <c r="I1203" i="11"/>
  <c r="H1203" i="11"/>
  <c r="G1203" i="11"/>
  <c r="F1203" i="11"/>
  <c r="M1202" i="11"/>
  <c r="L1202" i="11"/>
  <c r="K1202" i="11"/>
  <c r="J1202" i="11"/>
  <c r="I1202" i="11"/>
  <c r="H1202" i="11"/>
  <c r="G1202" i="11"/>
  <c r="F1202" i="11"/>
  <c r="M1201" i="11"/>
  <c r="L1201" i="11"/>
  <c r="K1201" i="11"/>
  <c r="J1201" i="11"/>
  <c r="I1201" i="11"/>
  <c r="H1201" i="11"/>
  <c r="G1201" i="11"/>
  <c r="F1201" i="11"/>
  <c r="M1200" i="11"/>
  <c r="L1200" i="11"/>
  <c r="K1200" i="11"/>
  <c r="J1200" i="11"/>
  <c r="I1200" i="11"/>
  <c r="H1200" i="11"/>
  <c r="G1200" i="11"/>
  <c r="F1200" i="11"/>
  <c r="M1199" i="11"/>
  <c r="L1199" i="11"/>
  <c r="K1199" i="11"/>
  <c r="J1199" i="11"/>
  <c r="I1199" i="11"/>
  <c r="H1199" i="11"/>
  <c r="G1199" i="11"/>
  <c r="F1199" i="11"/>
  <c r="M1198" i="11"/>
  <c r="L1198" i="11"/>
  <c r="K1198" i="11"/>
  <c r="J1198" i="11"/>
  <c r="I1198" i="11"/>
  <c r="H1198" i="11"/>
  <c r="G1198" i="11"/>
  <c r="F1198" i="11"/>
  <c r="M1197" i="11"/>
  <c r="L1197" i="11"/>
  <c r="K1197" i="11"/>
  <c r="J1197" i="11"/>
  <c r="I1197" i="11"/>
  <c r="H1197" i="11"/>
  <c r="G1197" i="11"/>
  <c r="F1197" i="11"/>
  <c r="M1196" i="11"/>
  <c r="L1196" i="11"/>
  <c r="K1196" i="11"/>
  <c r="J1196" i="11"/>
  <c r="I1196" i="11"/>
  <c r="H1196" i="11"/>
  <c r="G1196" i="11"/>
  <c r="F1196" i="11"/>
  <c r="M1195" i="11"/>
  <c r="L1195" i="11"/>
  <c r="K1195" i="11"/>
  <c r="J1195" i="11"/>
  <c r="I1195" i="11"/>
  <c r="H1195" i="11"/>
  <c r="G1195" i="11"/>
  <c r="F1195" i="11"/>
  <c r="M1194" i="11"/>
  <c r="L1194" i="11"/>
  <c r="K1194" i="11"/>
  <c r="J1194" i="11"/>
  <c r="I1194" i="11"/>
  <c r="H1194" i="11"/>
  <c r="G1194" i="11"/>
  <c r="F1194" i="11"/>
  <c r="M1193" i="11"/>
  <c r="L1193" i="11"/>
  <c r="K1193" i="11"/>
  <c r="J1193" i="11"/>
  <c r="I1193" i="11"/>
  <c r="H1193" i="11"/>
  <c r="G1193" i="11"/>
  <c r="F1193" i="11"/>
  <c r="M1192" i="11"/>
  <c r="L1192" i="11"/>
  <c r="K1192" i="11"/>
  <c r="J1192" i="11"/>
  <c r="I1192" i="11"/>
  <c r="H1192" i="11"/>
  <c r="G1192" i="11"/>
  <c r="F1192" i="11"/>
  <c r="M1191" i="11"/>
  <c r="L1191" i="11"/>
  <c r="K1191" i="11"/>
  <c r="J1191" i="11"/>
  <c r="I1191" i="11"/>
  <c r="H1191" i="11"/>
  <c r="G1191" i="11"/>
  <c r="F1191" i="11"/>
  <c r="M1190" i="11"/>
  <c r="L1190" i="11"/>
  <c r="K1190" i="11"/>
  <c r="J1190" i="11"/>
  <c r="I1190" i="11"/>
  <c r="H1190" i="11"/>
  <c r="G1190" i="11"/>
  <c r="F1190" i="11"/>
  <c r="M1189" i="11"/>
  <c r="L1189" i="11"/>
  <c r="K1189" i="11"/>
  <c r="J1189" i="11"/>
  <c r="I1189" i="11"/>
  <c r="H1189" i="11"/>
  <c r="G1189" i="11"/>
  <c r="F1189" i="11"/>
  <c r="M1188" i="11"/>
  <c r="L1188" i="11"/>
  <c r="K1188" i="11"/>
  <c r="J1188" i="11"/>
  <c r="I1188" i="11"/>
  <c r="H1188" i="11"/>
  <c r="G1188" i="11"/>
  <c r="F1188" i="11"/>
  <c r="M1187" i="11"/>
  <c r="L1187" i="11"/>
  <c r="K1187" i="11"/>
  <c r="J1187" i="11"/>
  <c r="I1187" i="11"/>
  <c r="H1187" i="11"/>
  <c r="G1187" i="11"/>
  <c r="F1187" i="11"/>
  <c r="M1186" i="11"/>
  <c r="L1186" i="11"/>
  <c r="K1186" i="11"/>
  <c r="J1186" i="11"/>
  <c r="I1186" i="11"/>
  <c r="H1186" i="11"/>
  <c r="G1186" i="11"/>
  <c r="F1186" i="11"/>
  <c r="M1185" i="11"/>
  <c r="L1185" i="11"/>
  <c r="K1185" i="11"/>
  <c r="J1185" i="11"/>
  <c r="I1185" i="11"/>
  <c r="H1185" i="11"/>
  <c r="G1185" i="11"/>
  <c r="F1185" i="11"/>
  <c r="M1184" i="11"/>
  <c r="L1184" i="11"/>
  <c r="K1184" i="11"/>
  <c r="J1184" i="11"/>
  <c r="I1184" i="11"/>
  <c r="H1184" i="11"/>
  <c r="G1184" i="11"/>
  <c r="F1184" i="11"/>
  <c r="M1183" i="11"/>
  <c r="L1183" i="11"/>
  <c r="K1183" i="11"/>
  <c r="J1183" i="11"/>
  <c r="I1183" i="11"/>
  <c r="H1183" i="11"/>
  <c r="G1183" i="11"/>
  <c r="F1183" i="11"/>
  <c r="M1182" i="11"/>
  <c r="L1182" i="11"/>
  <c r="K1182" i="11"/>
  <c r="J1182" i="11"/>
  <c r="I1182" i="11"/>
  <c r="H1182" i="11"/>
  <c r="G1182" i="11"/>
  <c r="F1182" i="11"/>
  <c r="M1181" i="11"/>
  <c r="L1181" i="11"/>
  <c r="K1181" i="11"/>
  <c r="J1181" i="11"/>
  <c r="I1181" i="11"/>
  <c r="H1181" i="11"/>
  <c r="G1181" i="11"/>
  <c r="F1181" i="11"/>
  <c r="M1180" i="11"/>
  <c r="L1180" i="11"/>
  <c r="K1180" i="11"/>
  <c r="J1180" i="11"/>
  <c r="I1180" i="11"/>
  <c r="H1180" i="11"/>
  <c r="G1180" i="11"/>
  <c r="F1180" i="11"/>
  <c r="M1179" i="11"/>
  <c r="L1179" i="11"/>
  <c r="K1179" i="11"/>
  <c r="J1179" i="11"/>
  <c r="I1179" i="11"/>
  <c r="H1179" i="11"/>
  <c r="G1179" i="11"/>
  <c r="F1179" i="11"/>
  <c r="M1178" i="11"/>
  <c r="L1178" i="11"/>
  <c r="K1178" i="11"/>
  <c r="J1178" i="11"/>
  <c r="I1178" i="11"/>
  <c r="H1178" i="11"/>
  <c r="G1178" i="11"/>
  <c r="F1178" i="11"/>
  <c r="M1177" i="11"/>
  <c r="L1177" i="11"/>
  <c r="K1177" i="11"/>
  <c r="J1177" i="11"/>
  <c r="I1177" i="11"/>
  <c r="H1177" i="11"/>
  <c r="G1177" i="11"/>
  <c r="F1177" i="11"/>
  <c r="M1176" i="11"/>
  <c r="L1176" i="11"/>
  <c r="K1176" i="11"/>
  <c r="J1176" i="11"/>
  <c r="I1176" i="11"/>
  <c r="H1176" i="11"/>
  <c r="G1176" i="11"/>
  <c r="F1176" i="11"/>
  <c r="M1175" i="11"/>
  <c r="L1175" i="11"/>
  <c r="K1175" i="11"/>
  <c r="J1175" i="11"/>
  <c r="I1175" i="11"/>
  <c r="H1175" i="11"/>
  <c r="G1175" i="11"/>
  <c r="F1175" i="11"/>
  <c r="M1174" i="11"/>
  <c r="L1174" i="11"/>
  <c r="K1174" i="11"/>
  <c r="J1174" i="11"/>
  <c r="I1174" i="11"/>
  <c r="H1174" i="11"/>
  <c r="G1174" i="11"/>
  <c r="F1174" i="11"/>
  <c r="M1173" i="11"/>
  <c r="L1173" i="11"/>
  <c r="K1173" i="11"/>
  <c r="J1173" i="11"/>
  <c r="I1173" i="11"/>
  <c r="H1173" i="11"/>
  <c r="G1173" i="11"/>
  <c r="F1173" i="11"/>
  <c r="M1172" i="11"/>
  <c r="L1172" i="11"/>
  <c r="K1172" i="11"/>
  <c r="J1172" i="11"/>
  <c r="I1172" i="11"/>
  <c r="H1172" i="11"/>
  <c r="G1172" i="11"/>
  <c r="F1172" i="11"/>
  <c r="M1171" i="11"/>
  <c r="L1171" i="11"/>
  <c r="K1171" i="11"/>
  <c r="J1171" i="11"/>
  <c r="I1171" i="11"/>
  <c r="H1171" i="11"/>
  <c r="G1171" i="11"/>
  <c r="F1171" i="11"/>
  <c r="M1170" i="11"/>
  <c r="L1170" i="11"/>
  <c r="K1170" i="11"/>
  <c r="J1170" i="11"/>
  <c r="I1170" i="11"/>
  <c r="H1170" i="11"/>
  <c r="G1170" i="11"/>
  <c r="F1170" i="11"/>
  <c r="M1169" i="11"/>
  <c r="L1169" i="11"/>
  <c r="K1169" i="11"/>
  <c r="J1169" i="11"/>
  <c r="I1169" i="11"/>
  <c r="H1169" i="11"/>
  <c r="G1169" i="11"/>
  <c r="F1169" i="11"/>
  <c r="M1168" i="11"/>
  <c r="L1168" i="11"/>
  <c r="K1168" i="11"/>
  <c r="J1168" i="11"/>
  <c r="I1168" i="11"/>
  <c r="H1168" i="11"/>
  <c r="G1168" i="11"/>
  <c r="F1168" i="11"/>
  <c r="M1167" i="11"/>
  <c r="L1167" i="11"/>
  <c r="K1167" i="11"/>
  <c r="J1167" i="11"/>
  <c r="I1167" i="11"/>
  <c r="H1167" i="11"/>
  <c r="G1167" i="11"/>
  <c r="F1167" i="11"/>
  <c r="M1166" i="11"/>
  <c r="L1166" i="11"/>
  <c r="K1166" i="11"/>
  <c r="J1166" i="11"/>
  <c r="I1166" i="11"/>
  <c r="H1166" i="11"/>
  <c r="G1166" i="11"/>
  <c r="F1166" i="11"/>
  <c r="M1165" i="11"/>
  <c r="L1165" i="11"/>
  <c r="K1165" i="11"/>
  <c r="J1165" i="11"/>
  <c r="I1165" i="11"/>
  <c r="H1165" i="11"/>
  <c r="G1165" i="11"/>
  <c r="F1165" i="11"/>
  <c r="M1164" i="11"/>
  <c r="L1164" i="11"/>
  <c r="K1164" i="11"/>
  <c r="J1164" i="11"/>
  <c r="I1164" i="11"/>
  <c r="H1164" i="11"/>
  <c r="G1164" i="11"/>
  <c r="F1164" i="11"/>
  <c r="M1163" i="11"/>
  <c r="L1163" i="11"/>
  <c r="K1163" i="11"/>
  <c r="J1163" i="11"/>
  <c r="I1163" i="11"/>
  <c r="H1163" i="11"/>
  <c r="G1163" i="11"/>
  <c r="F1163" i="11"/>
  <c r="M1162" i="11"/>
  <c r="L1162" i="11"/>
  <c r="K1162" i="11"/>
  <c r="J1162" i="11"/>
  <c r="I1162" i="11"/>
  <c r="H1162" i="11"/>
  <c r="G1162" i="11"/>
  <c r="F1162" i="11"/>
  <c r="M1161" i="11"/>
  <c r="L1161" i="11"/>
  <c r="K1161" i="11"/>
  <c r="J1161" i="11"/>
  <c r="I1161" i="11"/>
  <c r="H1161" i="11"/>
  <c r="G1161" i="11"/>
  <c r="F1161" i="11"/>
  <c r="M1160" i="11"/>
  <c r="L1160" i="11"/>
  <c r="K1160" i="11"/>
  <c r="J1160" i="11"/>
  <c r="I1160" i="11"/>
  <c r="H1160" i="11"/>
  <c r="G1160" i="11"/>
  <c r="F1160" i="11"/>
  <c r="M1159" i="11"/>
  <c r="L1159" i="11"/>
  <c r="K1159" i="11"/>
  <c r="J1159" i="11"/>
  <c r="I1159" i="11"/>
  <c r="H1159" i="11"/>
  <c r="G1159" i="11"/>
  <c r="F1159" i="11"/>
  <c r="M1158" i="11"/>
  <c r="L1158" i="11"/>
  <c r="K1158" i="11"/>
  <c r="J1158" i="11"/>
  <c r="I1158" i="11"/>
  <c r="H1158" i="11"/>
  <c r="G1158" i="11"/>
  <c r="F1158" i="11"/>
  <c r="M1157" i="11"/>
  <c r="L1157" i="11"/>
  <c r="K1157" i="11"/>
  <c r="J1157" i="11"/>
  <c r="I1157" i="11"/>
  <c r="H1157" i="11"/>
  <c r="G1157" i="11"/>
  <c r="F1157" i="11"/>
  <c r="M1156" i="11"/>
  <c r="L1156" i="11"/>
  <c r="K1156" i="11"/>
  <c r="J1156" i="11"/>
  <c r="I1156" i="11"/>
  <c r="H1156" i="11"/>
  <c r="G1156" i="11"/>
  <c r="F1156" i="11"/>
  <c r="M1155" i="11"/>
  <c r="L1155" i="11"/>
  <c r="K1155" i="11"/>
  <c r="J1155" i="11"/>
  <c r="I1155" i="11"/>
  <c r="H1155" i="11"/>
  <c r="G1155" i="11"/>
  <c r="F1155" i="11"/>
  <c r="M1154" i="11"/>
  <c r="L1154" i="11"/>
  <c r="K1154" i="11"/>
  <c r="J1154" i="11"/>
  <c r="I1154" i="11"/>
  <c r="H1154" i="11"/>
  <c r="G1154" i="11"/>
  <c r="F1154" i="11"/>
  <c r="M1153" i="11"/>
  <c r="L1153" i="11"/>
  <c r="K1153" i="11"/>
  <c r="J1153" i="11"/>
  <c r="I1153" i="11"/>
  <c r="H1153" i="11"/>
  <c r="G1153" i="11"/>
  <c r="F1153" i="11"/>
  <c r="M1152" i="11"/>
  <c r="L1152" i="11"/>
  <c r="K1152" i="11"/>
  <c r="J1152" i="11"/>
  <c r="I1152" i="11"/>
  <c r="H1152" i="11"/>
  <c r="G1152" i="11"/>
  <c r="F1152" i="11"/>
  <c r="M1151" i="11"/>
  <c r="L1151" i="11"/>
  <c r="K1151" i="11"/>
  <c r="J1151" i="11"/>
  <c r="I1151" i="11"/>
  <c r="H1151" i="11"/>
  <c r="G1151" i="11"/>
  <c r="F1151" i="11"/>
  <c r="M1150" i="11"/>
  <c r="L1150" i="11"/>
  <c r="K1150" i="11"/>
  <c r="J1150" i="11"/>
  <c r="I1150" i="11"/>
  <c r="H1150" i="11"/>
  <c r="G1150" i="11"/>
  <c r="F1150" i="11"/>
  <c r="M1149" i="11"/>
  <c r="L1149" i="11"/>
  <c r="K1149" i="11"/>
  <c r="J1149" i="11"/>
  <c r="I1149" i="11"/>
  <c r="H1149" i="11"/>
  <c r="G1149" i="11"/>
  <c r="F1149" i="11"/>
  <c r="M1148" i="11"/>
  <c r="L1148" i="11"/>
  <c r="K1148" i="11"/>
  <c r="J1148" i="11"/>
  <c r="I1148" i="11"/>
  <c r="H1148" i="11"/>
  <c r="G1148" i="11"/>
  <c r="F1148" i="11"/>
  <c r="M1147" i="11"/>
  <c r="L1147" i="11"/>
  <c r="K1147" i="11"/>
  <c r="J1147" i="11"/>
  <c r="I1147" i="11"/>
  <c r="H1147" i="11"/>
  <c r="G1147" i="11"/>
  <c r="F1147" i="11"/>
  <c r="M1146" i="11"/>
  <c r="L1146" i="11"/>
  <c r="K1146" i="11"/>
  <c r="J1146" i="11"/>
  <c r="I1146" i="11"/>
  <c r="H1146" i="11"/>
  <c r="G1146" i="11"/>
  <c r="F1146" i="11"/>
  <c r="M1145" i="11"/>
  <c r="L1145" i="11"/>
  <c r="K1145" i="11"/>
  <c r="J1145" i="11"/>
  <c r="I1145" i="11"/>
  <c r="H1145" i="11"/>
  <c r="G1145" i="11"/>
  <c r="F1145" i="11"/>
  <c r="M1144" i="11"/>
  <c r="L1144" i="11"/>
  <c r="K1144" i="11"/>
  <c r="J1144" i="11"/>
  <c r="I1144" i="11"/>
  <c r="H1144" i="11"/>
  <c r="G1144" i="11"/>
  <c r="F1144" i="11"/>
  <c r="M1143" i="11"/>
  <c r="L1143" i="11"/>
  <c r="K1143" i="11"/>
  <c r="J1143" i="11"/>
  <c r="I1143" i="11"/>
  <c r="H1143" i="11"/>
  <c r="G1143" i="11"/>
  <c r="F1143" i="11"/>
  <c r="M1142" i="11"/>
  <c r="L1142" i="11"/>
  <c r="K1142" i="11"/>
  <c r="J1142" i="11"/>
  <c r="I1142" i="11"/>
  <c r="H1142" i="11"/>
  <c r="G1142" i="11"/>
  <c r="F1142" i="11"/>
  <c r="M1141" i="11"/>
  <c r="L1141" i="11"/>
  <c r="K1141" i="11"/>
  <c r="J1141" i="11"/>
  <c r="I1141" i="11"/>
  <c r="H1141" i="11"/>
  <c r="G1141" i="11"/>
  <c r="F1141" i="11"/>
  <c r="M1140" i="11"/>
  <c r="L1140" i="11"/>
  <c r="K1140" i="11"/>
  <c r="J1140" i="11"/>
  <c r="I1140" i="11"/>
  <c r="H1140" i="11"/>
  <c r="G1140" i="11"/>
  <c r="F1140" i="11"/>
  <c r="M1139" i="11"/>
  <c r="L1139" i="11"/>
  <c r="K1139" i="11"/>
  <c r="J1139" i="11"/>
  <c r="I1139" i="11"/>
  <c r="H1139" i="11"/>
  <c r="G1139" i="11"/>
  <c r="F1139" i="11"/>
  <c r="M1138" i="11"/>
  <c r="L1138" i="11"/>
  <c r="K1138" i="11"/>
  <c r="J1138" i="11"/>
  <c r="I1138" i="11"/>
  <c r="H1138" i="11"/>
  <c r="G1138" i="11"/>
  <c r="F1138" i="11"/>
  <c r="M1137" i="11"/>
  <c r="L1137" i="11"/>
  <c r="K1137" i="11"/>
  <c r="J1137" i="11"/>
  <c r="I1137" i="11"/>
  <c r="H1137" i="11"/>
  <c r="G1137" i="11"/>
  <c r="F1137" i="11"/>
  <c r="M1136" i="11"/>
  <c r="L1136" i="11"/>
  <c r="K1136" i="11"/>
  <c r="J1136" i="11"/>
  <c r="I1136" i="11"/>
  <c r="H1136" i="11"/>
  <c r="G1136" i="11"/>
  <c r="F1136" i="11"/>
  <c r="M1135" i="11"/>
  <c r="L1135" i="11"/>
  <c r="K1135" i="11"/>
  <c r="J1135" i="11"/>
  <c r="I1135" i="11"/>
  <c r="H1135" i="11"/>
  <c r="G1135" i="11"/>
  <c r="F1135" i="11"/>
  <c r="M1134" i="11"/>
  <c r="L1134" i="11"/>
  <c r="K1134" i="11"/>
  <c r="J1134" i="11"/>
  <c r="I1134" i="11"/>
  <c r="H1134" i="11"/>
  <c r="G1134" i="11"/>
  <c r="F1134" i="11"/>
  <c r="M1133" i="11"/>
  <c r="L1133" i="11"/>
  <c r="K1133" i="11"/>
  <c r="J1133" i="11"/>
  <c r="I1133" i="11"/>
  <c r="H1133" i="11"/>
  <c r="G1133" i="11"/>
  <c r="F1133" i="11"/>
  <c r="M1132" i="11"/>
  <c r="L1132" i="11"/>
  <c r="K1132" i="11"/>
  <c r="J1132" i="11"/>
  <c r="I1132" i="11"/>
  <c r="H1132" i="11"/>
  <c r="G1132" i="11"/>
  <c r="F1132" i="11"/>
  <c r="M1131" i="11"/>
  <c r="L1131" i="11"/>
  <c r="K1131" i="11"/>
  <c r="J1131" i="11"/>
  <c r="I1131" i="11"/>
  <c r="H1131" i="11"/>
  <c r="G1131" i="11"/>
  <c r="F1131" i="11"/>
  <c r="M1130" i="11"/>
  <c r="L1130" i="11"/>
  <c r="K1130" i="11"/>
  <c r="J1130" i="11"/>
  <c r="I1130" i="11"/>
  <c r="H1130" i="11"/>
  <c r="G1130" i="11"/>
  <c r="F1130" i="11"/>
  <c r="M1129" i="11"/>
  <c r="L1129" i="11"/>
  <c r="K1129" i="11"/>
  <c r="J1129" i="11"/>
  <c r="I1129" i="11"/>
  <c r="H1129" i="11"/>
  <c r="G1129" i="11"/>
  <c r="F1129" i="11"/>
  <c r="M1128" i="11"/>
  <c r="L1128" i="11"/>
  <c r="K1128" i="11"/>
  <c r="J1128" i="11"/>
  <c r="I1128" i="11"/>
  <c r="H1128" i="11"/>
  <c r="G1128" i="11"/>
  <c r="F1128" i="11"/>
  <c r="M1127" i="11"/>
  <c r="L1127" i="11"/>
  <c r="K1127" i="11"/>
  <c r="J1127" i="11"/>
  <c r="I1127" i="11"/>
  <c r="H1127" i="11"/>
  <c r="G1127" i="11"/>
  <c r="F1127" i="11"/>
  <c r="M1126" i="11"/>
  <c r="L1126" i="11"/>
  <c r="K1126" i="11"/>
  <c r="J1126" i="11"/>
  <c r="I1126" i="11"/>
  <c r="H1126" i="11"/>
  <c r="G1126" i="11"/>
  <c r="F1126" i="11"/>
  <c r="M1125" i="11"/>
  <c r="L1125" i="11"/>
  <c r="K1125" i="11"/>
  <c r="J1125" i="11"/>
  <c r="I1125" i="11"/>
  <c r="H1125" i="11"/>
  <c r="G1125" i="11"/>
  <c r="F1125" i="11"/>
  <c r="M1124" i="11"/>
  <c r="L1124" i="11"/>
  <c r="K1124" i="11"/>
  <c r="J1124" i="11"/>
  <c r="I1124" i="11"/>
  <c r="H1124" i="11"/>
  <c r="G1124" i="11"/>
  <c r="F1124" i="11"/>
  <c r="M1123" i="11"/>
  <c r="L1123" i="11"/>
  <c r="K1123" i="11"/>
  <c r="J1123" i="11"/>
  <c r="I1123" i="11"/>
  <c r="H1123" i="11"/>
  <c r="G1123" i="11"/>
  <c r="F1123" i="11"/>
  <c r="M1122" i="11"/>
  <c r="L1122" i="11"/>
  <c r="K1122" i="11"/>
  <c r="J1122" i="11"/>
  <c r="I1122" i="11"/>
  <c r="H1122" i="11"/>
  <c r="G1122" i="11"/>
  <c r="F1122" i="11"/>
  <c r="M1121" i="11"/>
  <c r="L1121" i="11"/>
  <c r="K1121" i="11"/>
  <c r="J1121" i="11"/>
  <c r="I1121" i="11"/>
  <c r="H1121" i="11"/>
  <c r="G1121" i="11"/>
  <c r="F1121" i="11"/>
  <c r="M1120" i="11"/>
  <c r="L1120" i="11"/>
  <c r="K1120" i="11"/>
  <c r="J1120" i="11"/>
  <c r="I1120" i="11"/>
  <c r="H1120" i="11"/>
  <c r="G1120" i="11"/>
  <c r="F1120" i="11"/>
  <c r="M1119" i="11"/>
  <c r="L1119" i="11"/>
  <c r="K1119" i="11"/>
  <c r="J1119" i="11"/>
  <c r="I1119" i="11"/>
  <c r="H1119" i="11"/>
  <c r="G1119" i="11"/>
  <c r="F1119" i="11"/>
  <c r="M1118" i="11"/>
  <c r="L1118" i="11"/>
  <c r="K1118" i="11"/>
  <c r="J1118" i="11"/>
  <c r="I1118" i="11"/>
  <c r="H1118" i="11"/>
  <c r="G1118" i="11"/>
  <c r="F1118" i="11"/>
  <c r="M1117" i="11"/>
  <c r="L1117" i="11"/>
  <c r="K1117" i="11"/>
  <c r="J1117" i="11"/>
  <c r="I1117" i="11"/>
  <c r="H1117" i="11"/>
  <c r="G1117" i="11"/>
  <c r="F1117" i="11"/>
  <c r="M1116" i="11"/>
  <c r="L1116" i="11"/>
  <c r="K1116" i="11"/>
  <c r="J1116" i="11"/>
  <c r="I1116" i="11"/>
  <c r="H1116" i="11"/>
  <c r="G1116" i="11"/>
  <c r="F1116" i="11"/>
  <c r="M1115" i="11"/>
  <c r="L1115" i="11"/>
  <c r="K1115" i="11"/>
  <c r="J1115" i="11"/>
  <c r="I1115" i="11"/>
  <c r="H1115" i="11"/>
  <c r="G1115" i="11"/>
  <c r="F1115" i="11"/>
  <c r="M1114" i="11"/>
  <c r="L1114" i="11"/>
  <c r="K1114" i="11"/>
  <c r="J1114" i="11"/>
  <c r="I1114" i="11"/>
  <c r="H1114" i="11"/>
  <c r="G1114" i="11"/>
  <c r="F1114" i="11"/>
  <c r="M1113" i="11"/>
  <c r="L1113" i="11"/>
  <c r="K1113" i="11"/>
  <c r="J1113" i="11"/>
  <c r="I1113" i="11"/>
  <c r="H1113" i="11"/>
  <c r="G1113" i="11"/>
  <c r="F1113" i="11"/>
  <c r="M1112" i="11"/>
  <c r="L1112" i="11"/>
  <c r="K1112" i="11"/>
  <c r="J1112" i="11"/>
  <c r="I1112" i="11"/>
  <c r="H1112" i="11"/>
  <c r="G1112" i="11"/>
  <c r="F1112" i="11"/>
  <c r="M1111" i="11"/>
  <c r="L1111" i="11"/>
  <c r="K1111" i="11"/>
  <c r="J1111" i="11"/>
  <c r="I1111" i="11"/>
  <c r="H1111" i="11"/>
  <c r="G1111" i="11"/>
  <c r="F1111" i="11"/>
  <c r="M1110" i="11"/>
  <c r="L1110" i="11"/>
  <c r="K1110" i="11"/>
  <c r="J1110" i="11"/>
  <c r="I1110" i="11"/>
  <c r="H1110" i="11"/>
  <c r="G1110" i="11"/>
  <c r="F1110" i="11"/>
  <c r="M1109" i="11"/>
  <c r="L1109" i="11"/>
  <c r="K1109" i="11"/>
  <c r="J1109" i="11"/>
  <c r="I1109" i="11"/>
  <c r="H1109" i="11"/>
  <c r="G1109" i="11"/>
  <c r="F1109" i="11"/>
  <c r="M1108" i="11"/>
  <c r="L1108" i="11"/>
  <c r="K1108" i="11"/>
  <c r="J1108" i="11"/>
  <c r="I1108" i="11"/>
  <c r="H1108" i="11"/>
  <c r="G1108" i="11"/>
  <c r="F1108" i="11"/>
  <c r="M1107" i="11"/>
  <c r="L1107" i="11"/>
  <c r="K1107" i="11"/>
  <c r="J1107" i="11"/>
  <c r="I1107" i="11"/>
  <c r="H1107" i="11"/>
  <c r="G1107" i="11"/>
  <c r="F1107" i="11"/>
  <c r="M1106" i="11"/>
  <c r="L1106" i="11"/>
  <c r="K1106" i="11"/>
  <c r="J1106" i="11"/>
  <c r="I1106" i="11"/>
  <c r="H1106" i="11"/>
  <c r="G1106" i="11"/>
  <c r="F1106" i="11"/>
  <c r="M1105" i="11"/>
  <c r="L1105" i="11"/>
  <c r="K1105" i="11"/>
  <c r="J1105" i="11"/>
  <c r="I1105" i="11"/>
  <c r="H1105" i="11"/>
  <c r="G1105" i="11"/>
  <c r="F1105" i="11"/>
  <c r="M1104" i="11"/>
  <c r="L1104" i="11"/>
  <c r="K1104" i="11"/>
  <c r="J1104" i="11"/>
  <c r="I1104" i="11"/>
  <c r="H1104" i="11"/>
  <c r="G1104" i="11"/>
  <c r="F1104" i="11"/>
  <c r="M1103" i="11"/>
  <c r="L1103" i="11"/>
  <c r="K1103" i="11"/>
  <c r="J1103" i="11"/>
  <c r="I1103" i="11"/>
  <c r="H1103" i="11"/>
  <c r="G1103" i="11"/>
  <c r="F1103" i="11"/>
  <c r="M1102" i="11"/>
  <c r="L1102" i="11"/>
  <c r="K1102" i="11"/>
  <c r="J1102" i="11"/>
  <c r="I1102" i="11"/>
  <c r="H1102" i="11"/>
  <c r="G1102" i="11"/>
  <c r="F1102" i="11"/>
  <c r="M1101" i="11"/>
  <c r="L1101" i="11"/>
  <c r="K1101" i="11"/>
  <c r="J1101" i="11"/>
  <c r="I1101" i="11"/>
  <c r="H1101" i="11"/>
  <c r="G1101" i="11"/>
  <c r="F1101" i="11"/>
  <c r="M1100" i="11"/>
  <c r="L1100" i="11"/>
  <c r="K1100" i="11"/>
  <c r="J1100" i="11"/>
  <c r="I1100" i="11"/>
  <c r="H1100" i="11"/>
  <c r="G1100" i="11"/>
  <c r="F1100" i="11"/>
  <c r="M1099" i="11"/>
  <c r="L1099" i="11"/>
  <c r="K1099" i="11"/>
  <c r="J1099" i="11"/>
  <c r="I1099" i="11"/>
  <c r="H1099" i="11"/>
  <c r="G1099" i="11"/>
  <c r="F1099" i="11"/>
  <c r="M1098" i="11"/>
  <c r="L1098" i="11"/>
  <c r="K1098" i="11"/>
  <c r="J1098" i="11"/>
  <c r="I1098" i="11"/>
  <c r="H1098" i="11"/>
  <c r="G1098" i="11"/>
  <c r="F1098" i="11"/>
  <c r="M1097" i="11"/>
  <c r="L1097" i="11"/>
  <c r="K1097" i="11"/>
  <c r="J1097" i="11"/>
  <c r="I1097" i="11"/>
  <c r="H1097" i="11"/>
  <c r="G1097" i="11"/>
  <c r="F1097" i="11"/>
  <c r="M1096" i="11"/>
  <c r="L1096" i="11"/>
  <c r="K1096" i="11"/>
  <c r="J1096" i="11"/>
  <c r="I1096" i="11"/>
  <c r="H1096" i="11"/>
  <c r="G1096" i="11"/>
  <c r="F1096" i="11"/>
  <c r="M1095" i="11"/>
  <c r="L1095" i="11"/>
  <c r="K1095" i="11"/>
  <c r="J1095" i="11"/>
  <c r="I1095" i="11"/>
  <c r="H1095" i="11"/>
  <c r="G1095" i="11"/>
  <c r="F1095" i="11"/>
  <c r="M1094" i="11"/>
  <c r="L1094" i="11"/>
  <c r="K1094" i="11"/>
  <c r="J1094" i="11"/>
  <c r="I1094" i="11"/>
  <c r="H1094" i="11"/>
  <c r="G1094" i="11"/>
  <c r="F1094" i="11"/>
  <c r="M1093" i="11"/>
  <c r="L1093" i="11"/>
  <c r="K1093" i="11"/>
  <c r="J1093" i="11"/>
  <c r="I1093" i="11"/>
  <c r="H1093" i="11"/>
  <c r="G1093" i="11"/>
  <c r="F1093" i="11"/>
  <c r="M1092" i="11"/>
  <c r="L1092" i="11"/>
  <c r="K1092" i="11"/>
  <c r="J1092" i="11"/>
  <c r="I1092" i="11"/>
  <c r="H1092" i="11"/>
  <c r="G1092" i="11"/>
  <c r="F1092" i="11"/>
  <c r="M1091" i="11"/>
  <c r="L1091" i="11"/>
  <c r="K1091" i="11"/>
  <c r="J1091" i="11"/>
  <c r="I1091" i="11"/>
  <c r="H1091" i="11"/>
  <c r="G1091" i="11"/>
  <c r="F1091" i="11"/>
  <c r="M1090" i="11"/>
  <c r="L1090" i="11"/>
  <c r="K1090" i="11"/>
  <c r="J1090" i="11"/>
  <c r="I1090" i="11"/>
  <c r="H1090" i="11"/>
  <c r="G1090" i="11"/>
  <c r="F1090" i="11"/>
  <c r="M1089" i="11"/>
  <c r="L1089" i="11"/>
  <c r="K1089" i="11"/>
  <c r="J1089" i="11"/>
  <c r="I1089" i="11"/>
  <c r="H1089" i="11"/>
  <c r="G1089" i="11"/>
  <c r="F1089" i="11"/>
  <c r="M1088" i="11"/>
  <c r="L1088" i="11"/>
  <c r="K1088" i="11"/>
  <c r="J1088" i="11"/>
  <c r="I1088" i="11"/>
  <c r="H1088" i="11"/>
  <c r="G1088" i="11"/>
  <c r="F1088" i="11"/>
  <c r="M1087" i="11"/>
  <c r="L1087" i="11"/>
  <c r="K1087" i="11"/>
  <c r="J1087" i="11"/>
  <c r="I1087" i="11"/>
  <c r="H1087" i="11"/>
  <c r="G1087" i="11"/>
  <c r="F1087" i="11"/>
  <c r="M1086" i="11"/>
  <c r="L1086" i="11"/>
  <c r="K1086" i="11"/>
  <c r="J1086" i="11"/>
  <c r="I1086" i="11"/>
  <c r="H1086" i="11"/>
  <c r="G1086" i="11"/>
  <c r="F1086" i="11"/>
  <c r="M1085" i="11"/>
  <c r="L1085" i="11"/>
  <c r="K1085" i="11"/>
  <c r="J1085" i="11"/>
  <c r="I1085" i="11"/>
  <c r="H1085" i="11"/>
  <c r="G1085" i="11"/>
  <c r="F1085" i="11"/>
  <c r="M1084" i="11"/>
  <c r="L1084" i="11"/>
  <c r="K1084" i="11"/>
  <c r="J1084" i="11"/>
  <c r="I1084" i="11"/>
  <c r="H1084" i="11"/>
  <c r="G1084" i="11"/>
  <c r="F1084" i="11"/>
  <c r="M1083" i="11"/>
  <c r="L1083" i="11"/>
  <c r="K1083" i="11"/>
  <c r="J1083" i="11"/>
  <c r="I1083" i="11"/>
  <c r="H1083" i="11"/>
  <c r="G1083" i="11"/>
  <c r="F1083" i="11"/>
  <c r="M1082" i="11"/>
  <c r="L1082" i="11"/>
  <c r="K1082" i="11"/>
  <c r="J1082" i="11"/>
  <c r="I1082" i="11"/>
  <c r="H1082" i="11"/>
  <c r="G1082" i="11"/>
  <c r="F1082" i="11"/>
  <c r="M1081" i="11"/>
  <c r="L1081" i="11"/>
  <c r="K1081" i="11"/>
  <c r="J1081" i="11"/>
  <c r="I1081" i="11"/>
  <c r="H1081" i="11"/>
  <c r="G1081" i="11"/>
  <c r="F1081" i="11"/>
  <c r="M1080" i="11"/>
  <c r="L1080" i="11"/>
  <c r="K1080" i="11"/>
  <c r="J1080" i="11"/>
  <c r="I1080" i="11"/>
  <c r="H1080" i="11"/>
  <c r="G1080" i="11"/>
  <c r="F1080" i="11"/>
  <c r="M1079" i="11"/>
  <c r="L1079" i="11"/>
  <c r="K1079" i="11"/>
  <c r="J1079" i="11"/>
  <c r="I1079" i="11"/>
  <c r="H1079" i="11"/>
  <c r="G1079" i="11"/>
  <c r="F1079" i="11"/>
  <c r="M1078" i="11"/>
  <c r="L1078" i="11"/>
  <c r="K1078" i="11"/>
  <c r="J1078" i="11"/>
  <c r="I1078" i="11"/>
  <c r="H1078" i="11"/>
  <c r="G1078" i="11"/>
  <c r="F1078" i="11"/>
  <c r="M1077" i="11"/>
  <c r="L1077" i="11"/>
  <c r="K1077" i="11"/>
  <c r="J1077" i="11"/>
  <c r="I1077" i="11"/>
  <c r="H1077" i="11"/>
  <c r="G1077" i="11"/>
  <c r="F1077" i="11"/>
  <c r="M1076" i="11"/>
  <c r="L1076" i="11"/>
  <c r="K1076" i="11"/>
  <c r="J1076" i="11"/>
  <c r="I1076" i="11"/>
  <c r="H1076" i="11"/>
  <c r="G1076" i="11"/>
  <c r="F1076" i="11"/>
  <c r="M1075" i="11"/>
  <c r="L1075" i="11"/>
  <c r="K1075" i="11"/>
  <c r="J1075" i="11"/>
  <c r="I1075" i="11"/>
  <c r="H1075" i="11"/>
  <c r="G1075" i="11"/>
  <c r="F1075" i="11"/>
  <c r="M1074" i="11"/>
  <c r="L1074" i="11"/>
  <c r="K1074" i="11"/>
  <c r="J1074" i="11"/>
  <c r="I1074" i="11"/>
  <c r="H1074" i="11"/>
  <c r="G1074" i="11"/>
  <c r="F1074" i="11"/>
  <c r="M1073" i="11"/>
  <c r="L1073" i="11"/>
  <c r="K1073" i="11"/>
  <c r="J1073" i="11"/>
  <c r="I1073" i="11"/>
  <c r="H1073" i="11"/>
  <c r="G1073" i="11"/>
  <c r="F1073" i="11"/>
  <c r="M1072" i="11"/>
  <c r="L1072" i="11"/>
  <c r="K1072" i="11"/>
  <c r="J1072" i="11"/>
  <c r="I1072" i="11"/>
  <c r="H1072" i="11"/>
  <c r="G1072" i="11"/>
  <c r="F1072" i="11"/>
  <c r="M1071" i="11"/>
  <c r="L1071" i="11"/>
  <c r="K1071" i="11"/>
  <c r="J1071" i="11"/>
  <c r="I1071" i="11"/>
  <c r="H1071" i="11"/>
  <c r="G1071" i="11"/>
  <c r="F1071" i="11"/>
  <c r="M1070" i="11"/>
  <c r="L1070" i="11"/>
  <c r="K1070" i="11"/>
  <c r="J1070" i="11"/>
  <c r="I1070" i="11"/>
  <c r="H1070" i="11"/>
  <c r="G1070" i="11"/>
  <c r="F1070" i="11"/>
  <c r="M1069" i="11"/>
  <c r="L1069" i="11"/>
  <c r="K1069" i="11"/>
  <c r="J1069" i="11"/>
  <c r="I1069" i="11"/>
  <c r="H1069" i="11"/>
  <c r="G1069" i="11"/>
  <c r="F1069" i="11"/>
  <c r="M1068" i="11"/>
  <c r="L1068" i="11"/>
  <c r="K1068" i="11"/>
  <c r="J1068" i="11"/>
  <c r="I1068" i="11"/>
  <c r="H1068" i="11"/>
  <c r="G1068" i="11"/>
  <c r="F1068" i="11"/>
  <c r="M1067" i="11"/>
  <c r="L1067" i="11"/>
  <c r="K1067" i="11"/>
  <c r="J1067" i="11"/>
  <c r="I1067" i="11"/>
  <c r="H1067" i="11"/>
  <c r="G1067" i="11"/>
  <c r="F1067" i="11"/>
  <c r="M1066" i="11"/>
  <c r="L1066" i="11"/>
  <c r="K1066" i="11"/>
  <c r="J1066" i="11"/>
  <c r="I1066" i="11"/>
  <c r="H1066" i="11"/>
  <c r="G1066" i="11"/>
  <c r="F1066" i="11"/>
  <c r="M1065" i="11"/>
  <c r="L1065" i="11"/>
  <c r="K1065" i="11"/>
  <c r="J1065" i="11"/>
  <c r="I1065" i="11"/>
  <c r="H1065" i="11"/>
  <c r="G1065" i="11"/>
  <c r="F1065" i="11"/>
  <c r="M1064" i="11"/>
  <c r="L1064" i="11"/>
  <c r="K1064" i="11"/>
  <c r="J1064" i="11"/>
  <c r="I1064" i="11"/>
  <c r="H1064" i="11"/>
  <c r="G1064" i="11"/>
  <c r="F1064" i="11"/>
  <c r="M1063" i="11"/>
  <c r="L1063" i="11"/>
  <c r="K1063" i="11"/>
  <c r="J1063" i="11"/>
  <c r="I1063" i="11"/>
  <c r="H1063" i="11"/>
  <c r="G1063" i="11"/>
  <c r="F1063" i="11"/>
  <c r="M1062" i="11"/>
  <c r="L1062" i="11"/>
  <c r="K1062" i="11"/>
  <c r="J1062" i="11"/>
  <c r="I1062" i="11"/>
  <c r="H1062" i="11"/>
  <c r="G1062" i="11"/>
  <c r="F1062" i="11"/>
  <c r="M1061" i="11"/>
  <c r="L1061" i="11"/>
  <c r="K1061" i="11"/>
  <c r="J1061" i="11"/>
  <c r="I1061" i="11"/>
  <c r="H1061" i="11"/>
  <c r="G1061" i="11"/>
  <c r="F1061" i="11"/>
  <c r="M1060" i="11"/>
  <c r="L1060" i="11"/>
  <c r="K1060" i="11"/>
  <c r="J1060" i="11"/>
  <c r="I1060" i="11"/>
  <c r="H1060" i="11"/>
  <c r="G1060" i="11"/>
  <c r="F1060" i="11"/>
  <c r="M1059" i="11"/>
  <c r="L1059" i="11"/>
  <c r="K1059" i="11"/>
  <c r="J1059" i="11"/>
  <c r="I1059" i="11"/>
  <c r="H1059" i="11"/>
  <c r="G1059" i="11"/>
  <c r="F1059" i="11"/>
  <c r="M1058" i="11"/>
  <c r="L1058" i="11"/>
  <c r="K1058" i="11"/>
  <c r="J1058" i="11"/>
  <c r="I1058" i="11"/>
  <c r="H1058" i="11"/>
  <c r="G1058" i="11"/>
  <c r="F1058" i="11"/>
  <c r="M1057" i="11"/>
  <c r="L1057" i="11"/>
  <c r="K1057" i="11"/>
  <c r="J1057" i="11"/>
  <c r="I1057" i="11"/>
  <c r="H1057" i="11"/>
  <c r="G1057" i="11"/>
  <c r="F1057" i="11"/>
  <c r="M1056" i="11"/>
  <c r="L1056" i="11"/>
  <c r="K1056" i="11"/>
  <c r="J1056" i="11"/>
  <c r="I1056" i="11"/>
  <c r="H1056" i="11"/>
  <c r="G1056" i="11"/>
  <c r="F1056" i="11"/>
  <c r="M1055" i="11"/>
  <c r="L1055" i="11"/>
  <c r="K1055" i="11"/>
  <c r="J1055" i="11"/>
  <c r="I1055" i="11"/>
  <c r="H1055" i="11"/>
  <c r="G1055" i="11"/>
  <c r="F1055" i="11"/>
  <c r="M1054" i="11"/>
  <c r="L1054" i="11"/>
  <c r="K1054" i="11"/>
  <c r="J1054" i="11"/>
  <c r="I1054" i="11"/>
  <c r="H1054" i="11"/>
  <c r="G1054" i="11"/>
  <c r="F1054" i="11"/>
  <c r="M1053" i="11"/>
  <c r="L1053" i="11"/>
  <c r="K1053" i="11"/>
  <c r="J1053" i="11"/>
  <c r="I1053" i="11"/>
  <c r="H1053" i="11"/>
  <c r="G1053" i="11"/>
  <c r="F1053" i="11"/>
  <c r="M1052" i="11"/>
  <c r="L1052" i="11"/>
  <c r="K1052" i="11"/>
  <c r="J1052" i="11"/>
  <c r="I1052" i="11"/>
  <c r="H1052" i="11"/>
  <c r="G1052" i="11"/>
  <c r="F1052" i="11"/>
  <c r="M1051" i="11"/>
  <c r="L1051" i="11"/>
  <c r="K1051" i="11"/>
  <c r="J1051" i="11"/>
  <c r="I1051" i="11"/>
  <c r="H1051" i="11"/>
  <c r="G1051" i="11"/>
  <c r="F1051" i="11"/>
  <c r="M1050" i="11"/>
  <c r="L1050" i="11"/>
  <c r="K1050" i="11"/>
  <c r="J1050" i="11"/>
  <c r="I1050" i="11"/>
  <c r="H1050" i="11"/>
  <c r="G1050" i="11"/>
  <c r="F1050" i="11"/>
  <c r="M1049" i="11"/>
  <c r="L1049" i="11"/>
  <c r="K1049" i="11"/>
  <c r="J1049" i="11"/>
  <c r="I1049" i="11"/>
  <c r="H1049" i="11"/>
  <c r="G1049" i="11"/>
  <c r="F1049" i="11"/>
  <c r="M1048" i="11"/>
  <c r="L1048" i="11"/>
  <c r="K1048" i="11"/>
  <c r="J1048" i="11"/>
  <c r="I1048" i="11"/>
  <c r="H1048" i="11"/>
  <c r="G1048" i="11"/>
  <c r="F1048" i="11"/>
  <c r="M1047" i="11"/>
  <c r="L1047" i="11"/>
  <c r="K1047" i="11"/>
  <c r="J1047" i="11"/>
  <c r="I1047" i="11"/>
  <c r="H1047" i="11"/>
  <c r="G1047" i="11"/>
  <c r="F1047" i="11"/>
  <c r="M1046" i="11"/>
  <c r="L1046" i="11"/>
  <c r="K1046" i="11"/>
  <c r="J1046" i="11"/>
  <c r="I1046" i="11"/>
  <c r="H1046" i="11"/>
  <c r="G1046" i="11"/>
  <c r="F1046" i="11"/>
  <c r="M1045" i="11"/>
  <c r="L1045" i="11"/>
  <c r="K1045" i="11"/>
  <c r="J1045" i="11"/>
  <c r="I1045" i="11"/>
  <c r="H1045" i="11"/>
  <c r="G1045" i="11"/>
  <c r="F1045" i="11"/>
  <c r="M1044" i="11"/>
  <c r="L1044" i="11"/>
  <c r="K1044" i="11"/>
  <c r="J1044" i="11"/>
  <c r="I1044" i="11"/>
  <c r="H1044" i="11"/>
  <c r="G1044" i="11"/>
  <c r="F1044" i="11"/>
  <c r="M1043" i="11"/>
  <c r="L1043" i="11"/>
  <c r="K1043" i="11"/>
  <c r="J1043" i="11"/>
  <c r="I1043" i="11"/>
  <c r="H1043" i="11"/>
  <c r="G1043" i="11"/>
  <c r="F1043" i="11"/>
  <c r="M1042" i="11"/>
  <c r="L1042" i="11"/>
  <c r="K1042" i="11"/>
  <c r="J1042" i="11"/>
  <c r="I1042" i="11"/>
  <c r="H1042" i="11"/>
  <c r="G1042" i="11"/>
  <c r="F1042" i="11"/>
  <c r="M1041" i="11"/>
  <c r="L1041" i="11"/>
  <c r="K1041" i="11"/>
  <c r="J1041" i="11"/>
  <c r="I1041" i="11"/>
  <c r="H1041" i="11"/>
  <c r="G1041" i="11"/>
  <c r="F1041" i="11"/>
  <c r="M1040" i="11"/>
  <c r="L1040" i="11"/>
  <c r="K1040" i="11"/>
  <c r="J1040" i="11"/>
  <c r="I1040" i="11"/>
  <c r="H1040" i="11"/>
  <c r="G1040" i="11"/>
  <c r="F1040" i="11"/>
  <c r="M1039" i="11"/>
  <c r="L1039" i="11"/>
  <c r="K1039" i="11"/>
  <c r="J1039" i="11"/>
  <c r="I1039" i="11"/>
  <c r="H1039" i="11"/>
  <c r="G1039" i="11"/>
  <c r="F1039" i="11"/>
  <c r="M1038" i="11"/>
  <c r="L1038" i="11"/>
  <c r="K1038" i="11"/>
  <c r="J1038" i="11"/>
  <c r="I1038" i="11"/>
  <c r="H1038" i="11"/>
  <c r="G1038" i="11"/>
  <c r="F1038" i="11"/>
  <c r="M1037" i="11"/>
  <c r="L1037" i="11"/>
  <c r="K1037" i="11"/>
  <c r="J1037" i="11"/>
  <c r="I1037" i="11"/>
  <c r="H1037" i="11"/>
  <c r="G1037" i="11"/>
  <c r="F1037" i="11"/>
  <c r="M1036" i="11"/>
  <c r="L1036" i="11"/>
  <c r="K1036" i="11"/>
  <c r="J1036" i="11"/>
  <c r="I1036" i="11"/>
  <c r="H1036" i="11"/>
  <c r="G1036" i="11"/>
  <c r="F1036" i="11"/>
  <c r="M1035" i="11"/>
  <c r="L1035" i="11"/>
  <c r="K1035" i="11"/>
  <c r="J1035" i="11"/>
  <c r="I1035" i="11"/>
  <c r="H1035" i="11"/>
  <c r="G1035" i="11"/>
  <c r="F1035" i="11"/>
  <c r="M1034" i="11"/>
  <c r="L1034" i="11"/>
  <c r="K1034" i="11"/>
  <c r="J1034" i="11"/>
  <c r="I1034" i="11"/>
  <c r="H1034" i="11"/>
  <c r="G1034" i="11"/>
  <c r="F1034" i="11"/>
  <c r="M1033" i="11"/>
  <c r="L1033" i="11"/>
  <c r="K1033" i="11"/>
  <c r="J1033" i="11"/>
  <c r="I1033" i="11"/>
  <c r="H1033" i="11"/>
  <c r="G1033" i="11"/>
  <c r="F1033" i="11"/>
  <c r="M1032" i="11"/>
  <c r="L1032" i="11"/>
  <c r="K1032" i="11"/>
  <c r="J1032" i="11"/>
  <c r="I1032" i="11"/>
  <c r="H1032" i="11"/>
  <c r="G1032" i="11"/>
  <c r="F1032" i="11"/>
  <c r="M1031" i="11"/>
  <c r="L1031" i="11"/>
  <c r="K1031" i="11"/>
  <c r="J1031" i="11"/>
  <c r="I1031" i="11"/>
  <c r="H1031" i="11"/>
  <c r="G1031" i="11"/>
  <c r="F1031" i="11"/>
  <c r="M1030" i="11"/>
  <c r="L1030" i="11"/>
  <c r="K1030" i="11"/>
  <c r="J1030" i="11"/>
  <c r="I1030" i="11"/>
  <c r="H1030" i="11"/>
  <c r="G1030" i="11"/>
  <c r="F1030" i="11"/>
  <c r="M1029" i="11"/>
  <c r="L1029" i="11"/>
  <c r="K1029" i="11"/>
  <c r="J1029" i="11"/>
  <c r="I1029" i="11"/>
  <c r="H1029" i="11"/>
  <c r="G1029" i="11"/>
  <c r="F1029" i="11"/>
  <c r="M1028" i="11"/>
  <c r="L1028" i="11"/>
  <c r="K1028" i="11"/>
  <c r="J1028" i="11"/>
  <c r="I1028" i="11"/>
  <c r="H1028" i="11"/>
  <c r="G1028" i="11"/>
  <c r="F1028" i="11"/>
  <c r="M1027" i="11"/>
  <c r="L1027" i="11"/>
  <c r="K1027" i="11"/>
  <c r="J1027" i="11"/>
  <c r="I1027" i="11"/>
  <c r="H1027" i="11"/>
  <c r="G1027" i="11"/>
  <c r="F1027" i="11"/>
  <c r="M1026" i="11"/>
  <c r="L1026" i="11"/>
  <c r="K1026" i="11"/>
  <c r="J1026" i="11"/>
  <c r="I1026" i="11"/>
  <c r="H1026" i="11"/>
  <c r="G1026" i="11"/>
  <c r="F1026" i="11"/>
  <c r="M1025" i="11"/>
  <c r="L1025" i="11"/>
  <c r="K1025" i="11"/>
  <c r="J1025" i="11"/>
  <c r="I1025" i="11"/>
  <c r="H1025" i="11"/>
  <c r="G1025" i="11"/>
  <c r="F1025" i="11"/>
  <c r="M1024" i="11"/>
  <c r="L1024" i="11"/>
  <c r="K1024" i="11"/>
  <c r="J1024" i="11"/>
  <c r="I1024" i="11"/>
  <c r="H1024" i="11"/>
  <c r="G1024" i="11"/>
  <c r="F1024" i="11"/>
  <c r="M1023" i="11"/>
  <c r="L1023" i="11"/>
  <c r="K1023" i="11"/>
  <c r="J1023" i="11"/>
  <c r="I1023" i="11"/>
  <c r="H1023" i="11"/>
  <c r="G1023" i="11"/>
  <c r="F1023" i="11"/>
  <c r="M1022" i="11"/>
  <c r="L1022" i="11"/>
  <c r="K1022" i="11"/>
  <c r="J1022" i="11"/>
  <c r="I1022" i="11"/>
  <c r="H1022" i="11"/>
  <c r="G1022" i="11"/>
  <c r="F1022" i="11"/>
  <c r="M1021" i="11"/>
  <c r="L1021" i="11"/>
  <c r="K1021" i="11"/>
  <c r="J1021" i="11"/>
  <c r="I1021" i="11"/>
  <c r="H1021" i="11"/>
  <c r="G1021" i="11"/>
  <c r="F1021" i="11"/>
  <c r="M1020" i="11"/>
  <c r="L1020" i="11"/>
  <c r="K1020" i="11"/>
  <c r="J1020" i="11"/>
  <c r="I1020" i="11"/>
  <c r="H1020" i="11"/>
  <c r="G1020" i="11"/>
  <c r="F1020" i="11"/>
  <c r="M1019" i="11"/>
  <c r="L1019" i="11"/>
  <c r="K1019" i="11"/>
  <c r="J1019" i="11"/>
  <c r="I1019" i="11"/>
  <c r="H1019" i="11"/>
  <c r="G1019" i="11"/>
  <c r="F1019" i="11"/>
  <c r="M1018" i="11"/>
  <c r="L1018" i="11"/>
  <c r="K1018" i="11"/>
  <c r="J1018" i="11"/>
  <c r="I1018" i="11"/>
  <c r="H1018" i="11"/>
  <c r="G1018" i="11"/>
  <c r="F1018" i="11"/>
  <c r="M1017" i="11"/>
  <c r="L1017" i="11"/>
  <c r="K1017" i="11"/>
  <c r="J1017" i="11"/>
  <c r="I1017" i="11"/>
  <c r="H1017" i="11"/>
  <c r="G1017" i="11"/>
  <c r="F1017" i="11"/>
  <c r="M1016" i="11"/>
  <c r="L1016" i="11"/>
  <c r="K1016" i="11"/>
  <c r="J1016" i="11"/>
  <c r="I1016" i="11"/>
  <c r="H1016" i="11"/>
  <c r="G1016" i="11"/>
  <c r="F1016" i="11"/>
  <c r="M1015" i="11"/>
  <c r="L1015" i="11"/>
  <c r="K1015" i="11"/>
  <c r="J1015" i="11"/>
  <c r="I1015" i="11"/>
  <c r="H1015" i="11"/>
  <c r="G1015" i="11"/>
  <c r="F1015" i="11"/>
  <c r="M1014" i="11"/>
  <c r="L1014" i="11"/>
  <c r="K1014" i="11"/>
  <c r="J1014" i="11"/>
  <c r="I1014" i="11"/>
  <c r="H1014" i="11"/>
  <c r="G1014" i="11"/>
  <c r="F1014" i="11"/>
  <c r="M1013" i="11"/>
  <c r="L1013" i="11"/>
  <c r="K1013" i="11"/>
  <c r="J1013" i="11"/>
  <c r="I1013" i="11"/>
  <c r="H1013" i="11"/>
  <c r="G1013" i="11"/>
  <c r="F1013" i="11"/>
  <c r="M1012" i="11"/>
  <c r="L1012" i="11"/>
  <c r="K1012" i="11"/>
  <c r="J1012" i="11"/>
  <c r="I1012" i="11"/>
  <c r="H1012" i="11"/>
  <c r="G1012" i="11"/>
  <c r="F1012" i="11"/>
  <c r="M1011" i="11"/>
  <c r="L1011" i="11"/>
  <c r="K1011" i="11"/>
  <c r="J1011" i="11"/>
  <c r="I1011" i="11"/>
  <c r="H1011" i="11"/>
  <c r="G1011" i="11"/>
  <c r="F1011" i="11"/>
  <c r="M1010" i="11"/>
  <c r="L1010" i="11"/>
  <c r="K1010" i="11"/>
  <c r="J1010" i="11"/>
  <c r="I1010" i="11"/>
  <c r="H1010" i="11"/>
  <c r="G1010" i="11"/>
  <c r="F1010" i="11"/>
  <c r="M1009" i="11"/>
  <c r="L1009" i="11"/>
  <c r="K1009" i="11"/>
  <c r="J1009" i="11"/>
  <c r="I1009" i="11"/>
  <c r="H1009" i="11"/>
  <c r="G1009" i="11"/>
  <c r="F1009" i="11"/>
  <c r="M1008" i="11"/>
  <c r="L1008" i="11"/>
  <c r="K1008" i="11"/>
  <c r="J1008" i="11"/>
  <c r="I1008" i="11"/>
  <c r="H1008" i="11"/>
  <c r="G1008" i="11"/>
  <c r="F1008" i="11"/>
  <c r="M1007" i="11"/>
  <c r="L1007" i="11"/>
  <c r="K1007" i="11"/>
  <c r="J1007" i="11"/>
  <c r="I1007" i="11"/>
  <c r="H1007" i="11"/>
  <c r="G1007" i="11"/>
  <c r="F1007" i="11"/>
  <c r="M1006" i="11"/>
  <c r="L1006" i="11"/>
  <c r="K1006" i="11"/>
  <c r="J1006" i="11"/>
  <c r="I1006" i="11"/>
  <c r="H1006" i="11"/>
  <c r="G1006" i="11"/>
  <c r="F1006" i="11"/>
  <c r="M1005" i="11"/>
  <c r="L1005" i="11"/>
  <c r="K1005" i="11"/>
  <c r="J1005" i="11"/>
  <c r="I1005" i="11"/>
  <c r="H1005" i="11"/>
  <c r="G1005" i="11"/>
  <c r="F1005" i="11"/>
  <c r="M1004" i="11"/>
  <c r="L1004" i="11"/>
  <c r="K1004" i="11"/>
  <c r="J1004" i="11"/>
  <c r="I1004" i="11"/>
  <c r="H1004" i="11"/>
  <c r="G1004" i="11"/>
  <c r="F1004" i="11"/>
  <c r="M1003" i="11"/>
  <c r="L1003" i="11"/>
  <c r="K1003" i="11"/>
  <c r="J1003" i="11"/>
  <c r="I1003" i="11"/>
  <c r="H1003" i="11"/>
  <c r="G1003" i="11"/>
  <c r="F1003" i="11"/>
  <c r="M1002" i="11"/>
  <c r="L1002" i="11"/>
  <c r="K1002" i="11"/>
  <c r="J1002" i="11"/>
  <c r="I1002" i="11"/>
  <c r="H1002" i="11"/>
  <c r="G1002" i="11"/>
  <c r="F1002" i="11"/>
  <c r="M1001" i="11"/>
  <c r="L1001" i="11"/>
  <c r="K1001" i="11"/>
  <c r="J1001" i="11"/>
  <c r="I1001" i="11"/>
  <c r="H1001" i="11"/>
  <c r="G1001" i="11"/>
  <c r="F1001" i="11"/>
  <c r="M1000" i="11"/>
  <c r="L1000" i="11"/>
  <c r="K1000" i="11"/>
  <c r="J1000" i="11"/>
  <c r="I1000" i="11"/>
  <c r="H1000" i="11"/>
  <c r="G1000" i="11"/>
  <c r="F1000" i="11"/>
  <c r="M999" i="11"/>
  <c r="L999" i="11"/>
  <c r="K999" i="11"/>
  <c r="J999" i="11"/>
  <c r="I999" i="11"/>
  <c r="H999" i="11"/>
  <c r="G999" i="11"/>
  <c r="F999" i="11"/>
  <c r="M998" i="11"/>
  <c r="L998" i="11"/>
  <c r="K998" i="11"/>
  <c r="J998" i="11"/>
  <c r="I998" i="11"/>
  <c r="H998" i="11"/>
  <c r="G998" i="11"/>
  <c r="F998" i="11"/>
  <c r="M997" i="11"/>
  <c r="L997" i="11"/>
  <c r="K997" i="11"/>
  <c r="J997" i="11"/>
  <c r="I997" i="11"/>
  <c r="H997" i="11"/>
  <c r="G997" i="11"/>
  <c r="F997" i="11"/>
  <c r="M996" i="11"/>
  <c r="L996" i="11"/>
  <c r="K996" i="11"/>
  <c r="J996" i="11"/>
  <c r="I996" i="11"/>
  <c r="H996" i="11"/>
  <c r="G996" i="11"/>
  <c r="F996" i="11"/>
  <c r="M995" i="11"/>
  <c r="L995" i="11"/>
  <c r="K995" i="11"/>
  <c r="J995" i="11"/>
  <c r="I995" i="11"/>
  <c r="H995" i="11"/>
  <c r="G995" i="11"/>
  <c r="F995" i="11"/>
  <c r="M994" i="11"/>
  <c r="L994" i="11"/>
  <c r="K994" i="11"/>
  <c r="J994" i="11"/>
  <c r="I994" i="11"/>
  <c r="H994" i="11"/>
  <c r="G994" i="11"/>
  <c r="F994" i="11"/>
  <c r="M993" i="11"/>
  <c r="L993" i="11"/>
  <c r="K993" i="11"/>
  <c r="J993" i="11"/>
  <c r="I993" i="11"/>
  <c r="H993" i="11"/>
  <c r="G993" i="11"/>
  <c r="F993" i="11"/>
  <c r="M992" i="11"/>
  <c r="L992" i="11"/>
  <c r="K992" i="11"/>
  <c r="J992" i="11"/>
  <c r="I992" i="11"/>
  <c r="H992" i="11"/>
  <c r="G992" i="11"/>
  <c r="F992" i="11"/>
  <c r="M991" i="11"/>
  <c r="L991" i="11"/>
  <c r="K991" i="11"/>
  <c r="J991" i="11"/>
  <c r="I991" i="11"/>
  <c r="H991" i="11"/>
  <c r="G991" i="11"/>
  <c r="F991" i="11"/>
  <c r="M990" i="11"/>
  <c r="L990" i="11"/>
  <c r="K990" i="11"/>
  <c r="J990" i="11"/>
  <c r="I990" i="11"/>
  <c r="H990" i="11"/>
  <c r="G990" i="11"/>
  <c r="F990" i="11"/>
  <c r="M989" i="11"/>
  <c r="L989" i="11"/>
  <c r="K989" i="11"/>
  <c r="J989" i="11"/>
  <c r="I989" i="11"/>
  <c r="H989" i="11"/>
  <c r="G989" i="11"/>
  <c r="F989" i="11"/>
  <c r="M988" i="11"/>
  <c r="L988" i="11"/>
  <c r="K988" i="11"/>
  <c r="J988" i="11"/>
  <c r="I988" i="11"/>
  <c r="H988" i="11"/>
  <c r="G988" i="11"/>
  <c r="F988" i="11"/>
  <c r="M987" i="11"/>
  <c r="L987" i="11"/>
  <c r="K987" i="11"/>
  <c r="J987" i="11"/>
  <c r="I987" i="11"/>
  <c r="H987" i="11"/>
  <c r="G987" i="11"/>
  <c r="F987" i="11"/>
  <c r="M986" i="11"/>
  <c r="L986" i="11"/>
  <c r="K986" i="11"/>
  <c r="J986" i="11"/>
  <c r="I986" i="11"/>
  <c r="H986" i="11"/>
  <c r="G986" i="11"/>
  <c r="F986" i="11"/>
  <c r="M985" i="11"/>
  <c r="L985" i="11"/>
  <c r="K985" i="11"/>
  <c r="J985" i="11"/>
  <c r="I985" i="11"/>
  <c r="H985" i="11"/>
  <c r="G985" i="11"/>
  <c r="F985" i="11"/>
  <c r="M984" i="11"/>
  <c r="L984" i="11"/>
  <c r="K984" i="11"/>
  <c r="J984" i="11"/>
  <c r="I984" i="11"/>
  <c r="H984" i="11"/>
  <c r="G984" i="11"/>
  <c r="F984" i="11"/>
  <c r="M983" i="11"/>
  <c r="L983" i="11"/>
  <c r="K983" i="11"/>
  <c r="J983" i="11"/>
  <c r="I983" i="11"/>
  <c r="H983" i="11"/>
  <c r="G983" i="11"/>
  <c r="F983" i="11"/>
  <c r="M982" i="11"/>
  <c r="L982" i="11"/>
  <c r="K982" i="11"/>
  <c r="J982" i="11"/>
  <c r="I982" i="11"/>
  <c r="H982" i="11"/>
  <c r="G982" i="11"/>
  <c r="F982" i="11"/>
  <c r="M981" i="11"/>
  <c r="L981" i="11"/>
  <c r="K981" i="11"/>
  <c r="J981" i="11"/>
  <c r="I981" i="11"/>
  <c r="H981" i="11"/>
  <c r="G981" i="11"/>
  <c r="F981" i="11"/>
  <c r="M980" i="11"/>
  <c r="L980" i="11"/>
  <c r="K980" i="11"/>
  <c r="J980" i="11"/>
  <c r="I980" i="11"/>
  <c r="H980" i="11"/>
  <c r="G980" i="11"/>
  <c r="F980" i="11"/>
  <c r="M979" i="11"/>
  <c r="L979" i="11"/>
  <c r="K979" i="11"/>
  <c r="J979" i="11"/>
  <c r="I979" i="11"/>
  <c r="H979" i="11"/>
  <c r="G979" i="11"/>
  <c r="F979" i="11"/>
  <c r="M978" i="11"/>
  <c r="L978" i="11"/>
  <c r="K978" i="11"/>
  <c r="J978" i="11"/>
  <c r="I978" i="11"/>
  <c r="H978" i="11"/>
  <c r="G978" i="11"/>
  <c r="F978" i="11"/>
  <c r="M977" i="11"/>
  <c r="L977" i="11"/>
  <c r="K977" i="11"/>
  <c r="J977" i="11"/>
  <c r="I977" i="11"/>
  <c r="H977" i="11"/>
  <c r="G977" i="11"/>
  <c r="F977" i="11"/>
  <c r="M976" i="11"/>
  <c r="L976" i="11"/>
  <c r="K976" i="11"/>
  <c r="J976" i="11"/>
  <c r="I976" i="11"/>
  <c r="H976" i="11"/>
  <c r="G976" i="11"/>
  <c r="F976" i="11"/>
  <c r="M975" i="11"/>
  <c r="L975" i="11"/>
  <c r="K975" i="11"/>
  <c r="J975" i="11"/>
  <c r="I975" i="11"/>
  <c r="H975" i="11"/>
  <c r="G975" i="11"/>
  <c r="F975" i="11"/>
  <c r="M974" i="11"/>
  <c r="L974" i="11"/>
  <c r="K974" i="11"/>
  <c r="J974" i="11"/>
  <c r="I974" i="11"/>
  <c r="H974" i="11"/>
  <c r="G974" i="11"/>
  <c r="F974" i="11"/>
  <c r="M973" i="11"/>
  <c r="L973" i="11"/>
  <c r="K973" i="11"/>
  <c r="J973" i="11"/>
  <c r="I973" i="11"/>
  <c r="H973" i="11"/>
  <c r="G973" i="11"/>
  <c r="F973" i="11"/>
  <c r="M972" i="11"/>
  <c r="L972" i="11"/>
  <c r="K972" i="11"/>
  <c r="J972" i="11"/>
  <c r="I972" i="11"/>
  <c r="H972" i="11"/>
  <c r="G972" i="11"/>
  <c r="F972" i="11"/>
  <c r="M971" i="11"/>
  <c r="L971" i="11"/>
  <c r="K971" i="11"/>
  <c r="J971" i="11"/>
  <c r="I971" i="11"/>
  <c r="H971" i="11"/>
  <c r="G971" i="11"/>
  <c r="F971" i="11"/>
  <c r="M970" i="11"/>
  <c r="L970" i="11"/>
  <c r="K970" i="11"/>
  <c r="J970" i="11"/>
  <c r="I970" i="11"/>
  <c r="H970" i="11"/>
  <c r="G970" i="11"/>
  <c r="F970" i="11"/>
  <c r="M969" i="11"/>
  <c r="L969" i="11"/>
  <c r="K969" i="11"/>
  <c r="J969" i="11"/>
  <c r="I969" i="11"/>
  <c r="H969" i="11"/>
  <c r="G969" i="11"/>
  <c r="F969" i="11"/>
  <c r="M968" i="11"/>
  <c r="L968" i="11"/>
  <c r="K968" i="11"/>
  <c r="J968" i="11"/>
  <c r="I968" i="11"/>
  <c r="H968" i="11"/>
  <c r="G968" i="11"/>
  <c r="F968" i="11"/>
  <c r="M967" i="11"/>
  <c r="L967" i="11"/>
  <c r="K967" i="11"/>
  <c r="J967" i="11"/>
  <c r="I967" i="11"/>
  <c r="H967" i="11"/>
  <c r="G967" i="11"/>
  <c r="F967" i="11"/>
  <c r="M966" i="11"/>
  <c r="L966" i="11"/>
  <c r="K966" i="11"/>
  <c r="J966" i="11"/>
  <c r="I966" i="11"/>
  <c r="H966" i="11"/>
  <c r="G966" i="11"/>
  <c r="F966" i="11"/>
  <c r="M965" i="11"/>
  <c r="L965" i="11"/>
  <c r="K965" i="11"/>
  <c r="J965" i="11"/>
  <c r="I965" i="11"/>
  <c r="H965" i="11"/>
  <c r="G965" i="11"/>
  <c r="F965" i="11"/>
  <c r="M964" i="11"/>
  <c r="L964" i="11"/>
  <c r="K964" i="11"/>
  <c r="J964" i="11"/>
  <c r="I964" i="11"/>
  <c r="H964" i="11"/>
  <c r="G964" i="11"/>
  <c r="F964" i="11"/>
  <c r="M963" i="11"/>
  <c r="L963" i="11"/>
  <c r="K963" i="11"/>
  <c r="J963" i="11"/>
  <c r="I963" i="11"/>
  <c r="H963" i="11"/>
  <c r="G963" i="11"/>
  <c r="F963" i="11"/>
  <c r="M962" i="11"/>
  <c r="L962" i="11"/>
  <c r="K962" i="11"/>
  <c r="J962" i="11"/>
  <c r="I962" i="11"/>
  <c r="H962" i="11"/>
  <c r="G962" i="11"/>
  <c r="F962" i="11"/>
  <c r="M961" i="11"/>
  <c r="L961" i="11"/>
  <c r="K961" i="11"/>
  <c r="J961" i="11"/>
  <c r="I961" i="11"/>
  <c r="H961" i="11"/>
  <c r="G961" i="11"/>
  <c r="F961" i="11"/>
  <c r="M960" i="11"/>
  <c r="L960" i="11"/>
  <c r="K960" i="11"/>
  <c r="J960" i="11"/>
  <c r="I960" i="11"/>
  <c r="H960" i="11"/>
  <c r="G960" i="11"/>
  <c r="F960" i="11"/>
  <c r="M959" i="11"/>
  <c r="L959" i="11"/>
  <c r="K959" i="11"/>
  <c r="J959" i="11"/>
  <c r="I959" i="11"/>
  <c r="H959" i="11"/>
  <c r="G959" i="11"/>
  <c r="F959" i="11"/>
  <c r="M958" i="11"/>
  <c r="L958" i="11"/>
  <c r="K958" i="11"/>
  <c r="J958" i="11"/>
  <c r="I958" i="11"/>
  <c r="H958" i="11"/>
  <c r="G958" i="11"/>
  <c r="F958" i="11"/>
  <c r="M957" i="11"/>
  <c r="L957" i="11"/>
  <c r="K957" i="11"/>
  <c r="J957" i="11"/>
  <c r="I957" i="11"/>
  <c r="H957" i="11"/>
  <c r="G957" i="11"/>
  <c r="F957" i="11"/>
  <c r="M956" i="11"/>
  <c r="L956" i="11"/>
  <c r="K956" i="11"/>
  <c r="J956" i="11"/>
  <c r="I956" i="11"/>
  <c r="H956" i="11"/>
  <c r="G956" i="11"/>
  <c r="F956" i="11"/>
  <c r="M955" i="11"/>
  <c r="L955" i="11"/>
  <c r="K955" i="11"/>
  <c r="J955" i="11"/>
  <c r="I955" i="11"/>
  <c r="H955" i="11"/>
  <c r="G955" i="11"/>
  <c r="F955" i="11"/>
  <c r="M954" i="11"/>
  <c r="L954" i="11"/>
  <c r="K954" i="11"/>
  <c r="J954" i="11"/>
  <c r="I954" i="11"/>
  <c r="H954" i="11"/>
  <c r="G954" i="11"/>
  <c r="F954" i="11"/>
  <c r="M953" i="11"/>
  <c r="L953" i="11"/>
  <c r="K953" i="11"/>
  <c r="J953" i="11"/>
  <c r="I953" i="11"/>
  <c r="H953" i="11"/>
  <c r="G953" i="11"/>
  <c r="F953" i="11"/>
  <c r="M952" i="11"/>
  <c r="L952" i="11"/>
  <c r="K952" i="11"/>
  <c r="J952" i="11"/>
  <c r="I952" i="11"/>
  <c r="H952" i="11"/>
  <c r="G952" i="11"/>
  <c r="F952" i="11"/>
  <c r="M951" i="11"/>
  <c r="L951" i="11"/>
  <c r="K951" i="11"/>
  <c r="J951" i="11"/>
  <c r="I951" i="11"/>
  <c r="H951" i="11"/>
  <c r="G951" i="11"/>
  <c r="F951" i="11"/>
  <c r="M950" i="11"/>
  <c r="L950" i="11"/>
  <c r="K950" i="11"/>
  <c r="J950" i="11"/>
  <c r="I950" i="11"/>
  <c r="H950" i="11"/>
  <c r="G950" i="11"/>
  <c r="F950" i="11"/>
  <c r="M949" i="11"/>
  <c r="L949" i="11"/>
  <c r="K949" i="11"/>
  <c r="J949" i="11"/>
  <c r="I949" i="11"/>
  <c r="H949" i="11"/>
  <c r="G949" i="11"/>
  <c r="F949" i="11"/>
  <c r="M948" i="11"/>
  <c r="L948" i="11"/>
  <c r="K948" i="11"/>
  <c r="J948" i="11"/>
  <c r="I948" i="11"/>
  <c r="H948" i="11"/>
  <c r="G948" i="11"/>
  <c r="F948" i="11"/>
  <c r="M947" i="11"/>
  <c r="L947" i="11"/>
  <c r="K947" i="11"/>
  <c r="J947" i="11"/>
  <c r="I947" i="11"/>
  <c r="H947" i="11"/>
  <c r="G947" i="11"/>
  <c r="F947" i="11"/>
  <c r="M946" i="11"/>
  <c r="L946" i="11"/>
  <c r="K946" i="11"/>
  <c r="J946" i="11"/>
  <c r="I946" i="11"/>
  <c r="H946" i="11"/>
  <c r="G946" i="11"/>
  <c r="F946" i="11"/>
  <c r="M945" i="11"/>
  <c r="L945" i="11"/>
  <c r="K945" i="11"/>
  <c r="J945" i="11"/>
  <c r="I945" i="11"/>
  <c r="H945" i="11"/>
  <c r="G945" i="11"/>
  <c r="F945" i="11"/>
  <c r="M944" i="11"/>
  <c r="L944" i="11"/>
  <c r="K944" i="11"/>
  <c r="J944" i="11"/>
  <c r="I944" i="11"/>
  <c r="H944" i="11"/>
  <c r="G944" i="11"/>
  <c r="F944" i="11"/>
  <c r="M943" i="11"/>
  <c r="L943" i="11"/>
  <c r="K943" i="11"/>
  <c r="J943" i="11"/>
  <c r="I943" i="11"/>
  <c r="H943" i="11"/>
  <c r="G943" i="11"/>
  <c r="F943" i="11"/>
  <c r="M942" i="11"/>
  <c r="L942" i="11"/>
  <c r="K942" i="11"/>
  <c r="J942" i="11"/>
  <c r="I942" i="11"/>
  <c r="H942" i="11"/>
  <c r="G942" i="11"/>
  <c r="F942" i="11"/>
  <c r="M941" i="11"/>
  <c r="L941" i="11"/>
  <c r="K941" i="11"/>
  <c r="J941" i="11"/>
  <c r="I941" i="11"/>
  <c r="H941" i="11"/>
  <c r="G941" i="11"/>
  <c r="F941" i="11"/>
  <c r="M940" i="11"/>
  <c r="L940" i="11"/>
  <c r="K940" i="11"/>
  <c r="J940" i="11"/>
  <c r="I940" i="11"/>
  <c r="H940" i="11"/>
  <c r="G940" i="11"/>
  <c r="F940" i="11"/>
  <c r="M939" i="11"/>
  <c r="L939" i="11"/>
  <c r="K939" i="11"/>
  <c r="J939" i="11"/>
  <c r="I939" i="11"/>
  <c r="H939" i="11"/>
  <c r="G939" i="11"/>
  <c r="F939" i="11"/>
  <c r="M938" i="11"/>
  <c r="L938" i="11"/>
  <c r="K938" i="11"/>
  <c r="J938" i="11"/>
  <c r="I938" i="11"/>
  <c r="H938" i="11"/>
  <c r="G938" i="11"/>
  <c r="F938" i="11"/>
  <c r="M937" i="11"/>
  <c r="L937" i="11"/>
  <c r="K937" i="11"/>
  <c r="J937" i="11"/>
  <c r="I937" i="11"/>
  <c r="H937" i="11"/>
  <c r="G937" i="11"/>
  <c r="F937" i="11"/>
  <c r="M936" i="11"/>
  <c r="L936" i="11"/>
  <c r="K936" i="11"/>
  <c r="J936" i="11"/>
  <c r="I936" i="11"/>
  <c r="H936" i="11"/>
  <c r="G936" i="11"/>
  <c r="F936" i="11"/>
  <c r="M935" i="11"/>
  <c r="L935" i="11"/>
  <c r="K935" i="11"/>
  <c r="J935" i="11"/>
  <c r="I935" i="11"/>
  <c r="H935" i="11"/>
  <c r="G935" i="11"/>
  <c r="F935" i="11"/>
  <c r="M934" i="11"/>
  <c r="L934" i="11"/>
  <c r="K934" i="11"/>
  <c r="J934" i="11"/>
  <c r="I934" i="11"/>
  <c r="H934" i="11"/>
  <c r="G934" i="11"/>
  <c r="F934" i="11"/>
  <c r="M933" i="11"/>
  <c r="L933" i="11"/>
  <c r="K933" i="11"/>
  <c r="J933" i="11"/>
  <c r="I933" i="11"/>
  <c r="H933" i="11"/>
  <c r="G933" i="11"/>
  <c r="F933" i="11"/>
  <c r="M932" i="11"/>
  <c r="L932" i="11"/>
  <c r="K932" i="11"/>
  <c r="J932" i="11"/>
  <c r="I932" i="11"/>
  <c r="H932" i="11"/>
  <c r="G932" i="11"/>
  <c r="F932" i="11"/>
  <c r="M931" i="11"/>
  <c r="L931" i="11"/>
  <c r="K931" i="11"/>
  <c r="J931" i="11"/>
  <c r="I931" i="11"/>
  <c r="H931" i="11"/>
  <c r="G931" i="11"/>
  <c r="F931" i="11"/>
  <c r="M930" i="11"/>
  <c r="L930" i="11"/>
  <c r="K930" i="11"/>
  <c r="J930" i="11"/>
  <c r="I930" i="11"/>
  <c r="H930" i="11"/>
  <c r="G930" i="11"/>
  <c r="F930" i="11"/>
  <c r="M929" i="11"/>
  <c r="L929" i="11"/>
  <c r="K929" i="11"/>
  <c r="J929" i="11"/>
  <c r="I929" i="11"/>
  <c r="H929" i="11"/>
  <c r="G929" i="11"/>
  <c r="F929" i="11"/>
  <c r="M928" i="11"/>
  <c r="L928" i="11"/>
  <c r="K928" i="11"/>
  <c r="J928" i="11"/>
  <c r="I928" i="11"/>
  <c r="H928" i="11"/>
  <c r="G928" i="11"/>
  <c r="F928" i="11"/>
  <c r="M927" i="11"/>
  <c r="L927" i="11"/>
  <c r="K927" i="11"/>
  <c r="J927" i="11"/>
  <c r="I927" i="11"/>
  <c r="H927" i="11"/>
  <c r="G927" i="11"/>
  <c r="F927" i="11"/>
  <c r="M926" i="11"/>
  <c r="L926" i="11"/>
  <c r="K926" i="11"/>
  <c r="J926" i="11"/>
  <c r="I926" i="11"/>
  <c r="H926" i="11"/>
  <c r="G926" i="11"/>
  <c r="F926" i="11"/>
  <c r="M925" i="11"/>
  <c r="L925" i="11"/>
  <c r="K925" i="11"/>
  <c r="J925" i="11"/>
  <c r="I925" i="11"/>
  <c r="H925" i="11"/>
  <c r="G925" i="11"/>
  <c r="F925" i="11"/>
  <c r="M924" i="11"/>
  <c r="L924" i="11"/>
  <c r="K924" i="11"/>
  <c r="J924" i="11"/>
  <c r="I924" i="11"/>
  <c r="H924" i="11"/>
  <c r="G924" i="11"/>
  <c r="F924" i="11"/>
  <c r="M923" i="11"/>
  <c r="L923" i="11"/>
  <c r="K923" i="11"/>
  <c r="J923" i="11"/>
  <c r="I923" i="11"/>
  <c r="H923" i="11"/>
  <c r="G923" i="11"/>
  <c r="F923" i="11"/>
  <c r="M922" i="11"/>
  <c r="L922" i="11"/>
  <c r="K922" i="11"/>
  <c r="J922" i="11"/>
  <c r="I922" i="11"/>
  <c r="H922" i="11"/>
  <c r="G922" i="11"/>
  <c r="F922" i="11"/>
  <c r="M921" i="11"/>
  <c r="L921" i="11"/>
  <c r="K921" i="11"/>
  <c r="J921" i="11"/>
  <c r="I921" i="11"/>
  <c r="H921" i="11"/>
  <c r="G921" i="11"/>
  <c r="F921" i="11"/>
  <c r="M920" i="11"/>
  <c r="L920" i="11"/>
  <c r="K920" i="11"/>
  <c r="J920" i="11"/>
  <c r="I920" i="11"/>
  <c r="H920" i="11"/>
  <c r="G920" i="11"/>
  <c r="F920" i="11"/>
  <c r="M919" i="11"/>
  <c r="L919" i="11"/>
  <c r="K919" i="11"/>
  <c r="J919" i="11"/>
  <c r="I919" i="11"/>
  <c r="H919" i="11"/>
  <c r="G919" i="11"/>
  <c r="F919" i="11"/>
  <c r="M918" i="11"/>
  <c r="L918" i="11"/>
  <c r="K918" i="11"/>
  <c r="J918" i="11"/>
  <c r="I918" i="11"/>
  <c r="H918" i="11"/>
  <c r="G918" i="11"/>
  <c r="F918" i="11"/>
  <c r="M917" i="11"/>
  <c r="L917" i="11"/>
  <c r="K917" i="11"/>
  <c r="J917" i="11"/>
  <c r="I917" i="11"/>
  <c r="H917" i="11"/>
  <c r="G917" i="11"/>
  <c r="F917" i="11"/>
  <c r="M916" i="11"/>
  <c r="L916" i="11"/>
  <c r="K916" i="11"/>
  <c r="J916" i="11"/>
  <c r="I916" i="11"/>
  <c r="H916" i="11"/>
  <c r="G916" i="11"/>
  <c r="F916" i="11"/>
  <c r="M915" i="11"/>
  <c r="L915" i="11"/>
  <c r="K915" i="11"/>
  <c r="J915" i="11"/>
  <c r="I915" i="11"/>
  <c r="H915" i="11"/>
  <c r="G915" i="11"/>
  <c r="F915" i="11"/>
  <c r="M914" i="11"/>
  <c r="L914" i="11"/>
  <c r="K914" i="11"/>
  <c r="J914" i="11"/>
  <c r="I914" i="11"/>
  <c r="H914" i="11"/>
  <c r="G914" i="11"/>
  <c r="F914" i="11"/>
  <c r="M913" i="11"/>
  <c r="L913" i="11"/>
  <c r="K913" i="11"/>
  <c r="J913" i="11"/>
  <c r="I913" i="11"/>
  <c r="H913" i="11"/>
  <c r="G913" i="11"/>
  <c r="F913" i="11"/>
  <c r="M912" i="11"/>
  <c r="L912" i="11"/>
  <c r="K912" i="11"/>
  <c r="J912" i="11"/>
  <c r="I912" i="11"/>
  <c r="H912" i="11"/>
  <c r="G912" i="11"/>
  <c r="F912" i="11"/>
  <c r="M911" i="11"/>
  <c r="L911" i="11"/>
  <c r="K911" i="11"/>
  <c r="J911" i="11"/>
  <c r="I911" i="11"/>
  <c r="H911" i="11"/>
  <c r="G911" i="11"/>
  <c r="F911" i="11"/>
  <c r="M910" i="11"/>
  <c r="L910" i="11"/>
  <c r="K910" i="11"/>
  <c r="J910" i="11"/>
  <c r="I910" i="11"/>
  <c r="H910" i="11"/>
  <c r="G910" i="11"/>
  <c r="F910" i="11"/>
  <c r="M909" i="11"/>
  <c r="L909" i="11"/>
  <c r="K909" i="11"/>
  <c r="J909" i="11"/>
  <c r="I909" i="11"/>
  <c r="H909" i="11"/>
  <c r="G909" i="11"/>
  <c r="F909" i="11"/>
  <c r="M908" i="11"/>
  <c r="L908" i="11"/>
  <c r="K908" i="11"/>
  <c r="J908" i="11"/>
  <c r="I908" i="11"/>
  <c r="H908" i="11"/>
  <c r="G908" i="11"/>
  <c r="F908" i="11"/>
  <c r="M907" i="11"/>
  <c r="L907" i="11"/>
  <c r="K907" i="11"/>
  <c r="J907" i="11"/>
  <c r="I907" i="11"/>
  <c r="H907" i="11"/>
  <c r="G907" i="11"/>
  <c r="F907" i="11"/>
  <c r="M906" i="11"/>
  <c r="L906" i="11"/>
  <c r="K906" i="11"/>
  <c r="J906" i="11"/>
  <c r="I906" i="11"/>
  <c r="H906" i="11"/>
  <c r="G906" i="11"/>
  <c r="F906" i="11"/>
  <c r="M905" i="11"/>
  <c r="L905" i="11"/>
  <c r="K905" i="11"/>
  <c r="J905" i="11"/>
  <c r="I905" i="11"/>
  <c r="H905" i="11"/>
  <c r="G905" i="11"/>
  <c r="F905" i="11"/>
  <c r="M904" i="11"/>
  <c r="L904" i="11"/>
  <c r="K904" i="11"/>
  <c r="J904" i="11"/>
  <c r="I904" i="11"/>
  <c r="H904" i="11"/>
  <c r="G904" i="11"/>
  <c r="F904" i="11"/>
  <c r="M903" i="11"/>
  <c r="L903" i="11"/>
  <c r="K903" i="11"/>
  <c r="J903" i="11"/>
  <c r="I903" i="11"/>
  <c r="H903" i="11"/>
  <c r="G903" i="11"/>
  <c r="F903" i="11"/>
  <c r="M902" i="11"/>
  <c r="L902" i="11"/>
  <c r="K902" i="11"/>
  <c r="J902" i="11"/>
  <c r="I902" i="11"/>
  <c r="H902" i="11"/>
  <c r="G902" i="11"/>
  <c r="F902" i="11"/>
  <c r="M901" i="11"/>
  <c r="L901" i="11"/>
  <c r="K901" i="11"/>
  <c r="J901" i="11"/>
  <c r="I901" i="11"/>
  <c r="H901" i="11"/>
  <c r="G901" i="11"/>
  <c r="F901" i="11"/>
  <c r="M900" i="11"/>
  <c r="L900" i="11"/>
  <c r="K900" i="11"/>
  <c r="J900" i="11"/>
  <c r="I900" i="11"/>
  <c r="H900" i="11"/>
  <c r="G900" i="11"/>
  <c r="F900" i="11"/>
  <c r="M899" i="11"/>
  <c r="L899" i="11"/>
  <c r="K899" i="11"/>
  <c r="J899" i="11"/>
  <c r="I899" i="11"/>
  <c r="H899" i="11"/>
  <c r="G899" i="11"/>
  <c r="F899" i="11"/>
  <c r="M898" i="11"/>
  <c r="L898" i="11"/>
  <c r="K898" i="11"/>
  <c r="J898" i="11"/>
  <c r="I898" i="11"/>
  <c r="H898" i="11"/>
  <c r="G898" i="11"/>
  <c r="F898" i="11"/>
  <c r="M897" i="11"/>
  <c r="L897" i="11"/>
  <c r="K897" i="11"/>
  <c r="J897" i="11"/>
  <c r="I897" i="11"/>
  <c r="H897" i="11"/>
  <c r="G897" i="11"/>
  <c r="F897" i="11"/>
  <c r="M896" i="11"/>
  <c r="L896" i="11"/>
  <c r="K896" i="11"/>
  <c r="J896" i="11"/>
  <c r="I896" i="11"/>
  <c r="H896" i="11"/>
  <c r="G896" i="11"/>
  <c r="F896" i="11"/>
  <c r="M895" i="11"/>
  <c r="L895" i="11"/>
  <c r="K895" i="11"/>
  <c r="J895" i="11"/>
  <c r="I895" i="11"/>
  <c r="H895" i="11"/>
  <c r="G895" i="11"/>
  <c r="F895" i="11"/>
  <c r="M894" i="11"/>
  <c r="L894" i="11"/>
  <c r="K894" i="11"/>
  <c r="J894" i="11"/>
  <c r="I894" i="11"/>
  <c r="H894" i="11"/>
  <c r="G894" i="11"/>
  <c r="F894" i="11"/>
  <c r="M893" i="11"/>
  <c r="L893" i="11"/>
  <c r="K893" i="11"/>
  <c r="J893" i="11"/>
  <c r="I893" i="11"/>
  <c r="H893" i="11"/>
  <c r="G893" i="11"/>
  <c r="F893" i="11"/>
  <c r="M892" i="11"/>
  <c r="L892" i="11"/>
  <c r="K892" i="11"/>
  <c r="J892" i="11"/>
  <c r="I892" i="11"/>
  <c r="H892" i="11"/>
  <c r="G892" i="11"/>
  <c r="F892" i="11"/>
  <c r="M891" i="11"/>
  <c r="L891" i="11"/>
  <c r="K891" i="11"/>
  <c r="J891" i="11"/>
  <c r="I891" i="11"/>
  <c r="H891" i="11"/>
  <c r="G891" i="11"/>
  <c r="F891" i="11"/>
  <c r="M890" i="11"/>
  <c r="L890" i="11"/>
  <c r="K890" i="11"/>
  <c r="J890" i="11"/>
  <c r="I890" i="11"/>
  <c r="H890" i="11"/>
  <c r="G890" i="11"/>
  <c r="F890" i="11"/>
  <c r="M889" i="11"/>
  <c r="L889" i="11"/>
  <c r="K889" i="11"/>
  <c r="J889" i="11"/>
  <c r="I889" i="11"/>
  <c r="H889" i="11"/>
  <c r="G889" i="11"/>
  <c r="F889" i="11"/>
  <c r="M888" i="11"/>
  <c r="L888" i="11"/>
  <c r="K888" i="11"/>
  <c r="J888" i="11"/>
  <c r="I888" i="11"/>
  <c r="H888" i="11"/>
  <c r="G888" i="11"/>
  <c r="F888" i="11"/>
  <c r="M887" i="11"/>
  <c r="L887" i="11"/>
  <c r="K887" i="11"/>
  <c r="J887" i="11"/>
  <c r="I887" i="11"/>
  <c r="H887" i="11"/>
  <c r="G887" i="11"/>
  <c r="F887" i="11"/>
  <c r="M886" i="11"/>
  <c r="L886" i="11"/>
  <c r="K886" i="11"/>
  <c r="J886" i="11"/>
  <c r="I886" i="11"/>
  <c r="H886" i="11"/>
  <c r="G886" i="11"/>
  <c r="F886" i="11"/>
  <c r="M885" i="11"/>
  <c r="L885" i="11"/>
  <c r="K885" i="11"/>
  <c r="J885" i="11"/>
  <c r="I885" i="11"/>
  <c r="H885" i="11"/>
  <c r="G885" i="11"/>
  <c r="F885" i="11"/>
  <c r="M884" i="11"/>
  <c r="L884" i="11"/>
  <c r="K884" i="11"/>
  <c r="J884" i="11"/>
  <c r="I884" i="11"/>
  <c r="H884" i="11"/>
  <c r="G884" i="11"/>
  <c r="F884" i="11"/>
  <c r="M883" i="11"/>
  <c r="L883" i="11"/>
  <c r="K883" i="11"/>
  <c r="J883" i="11"/>
  <c r="I883" i="11"/>
  <c r="H883" i="11"/>
  <c r="G883" i="11"/>
  <c r="F883" i="11"/>
  <c r="M882" i="11"/>
  <c r="L882" i="11"/>
  <c r="K882" i="11"/>
  <c r="J882" i="11"/>
  <c r="I882" i="11"/>
  <c r="H882" i="11"/>
  <c r="G882" i="11"/>
  <c r="F882" i="11"/>
  <c r="M881" i="11"/>
  <c r="L881" i="11"/>
  <c r="K881" i="11"/>
  <c r="J881" i="11"/>
  <c r="I881" i="11"/>
  <c r="H881" i="11"/>
  <c r="G881" i="11"/>
  <c r="F881" i="11"/>
  <c r="M880" i="11"/>
  <c r="L880" i="11"/>
  <c r="K880" i="11"/>
  <c r="J880" i="11"/>
  <c r="I880" i="11"/>
  <c r="H880" i="11"/>
  <c r="G880" i="11"/>
  <c r="F880" i="11"/>
  <c r="M879" i="11"/>
  <c r="L879" i="11"/>
  <c r="K879" i="11"/>
  <c r="J879" i="11"/>
  <c r="I879" i="11"/>
  <c r="H879" i="11"/>
  <c r="G879" i="11"/>
  <c r="F879" i="11"/>
  <c r="M878" i="11"/>
  <c r="L878" i="11"/>
  <c r="K878" i="11"/>
  <c r="J878" i="11"/>
  <c r="I878" i="11"/>
  <c r="H878" i="11"/>
  <c r="G878" i="11"/>
  <c r="F878" i="11"/>
  <c r="M877" i="11"/>
  <c r="L877" i="11"/>
  <c r="K877" i="11"/>
  <c r="J877" i="11"/>
  <c r="I877" i="11"/>
  <c r="H877" i="11"/>
  <c r="G877" i="11"/>
  <c r="F877" i="11"/>
  <c r="M876" i="11"/>
  <c r="L876" i="11"/>
  <c r="K876" i="11"/>
  <c r="J876" i="11"/>
  <c r="I876" i="11"/>
  <c r="H876" i="11"/>
  <c r="G876" i="11"/>
  <c r="F876" i="11"/>
  <c r="M875" i="11"/>
  <c r="L875" i="11"/>
  <c r="K875" i="11"/>
  <c r="J875" i="11"/>
  <c r="I875" i="11"/>
  <c r="H875" i="11"/>
  <c r="G875" i="11"/>
  <c r="F875" i="11"/>
  <c r="M874" i="11"/>
  <c r="L874" i="11"/>
  <c r="K874" i="11"/>
  <c r="J874" i="11"/>
  <c r="I874" i="11"/>
  <c r="H874" i="11"/>
  <c r="G874" i="11"/>
  <c r="F874" i="11"/>
  <c r="M873" i="11"/>
  <c r="L873" i="11"/>
  <c r="K873" i="11"/>
  <c r="J873" i="11"/>
  <c r="I873" i="11"/>
  <c r="H873" i="11"/>
  <c r="G873" i="11"/>
  <c r="F873" i="11"/>
  <c r="M872" i="11"/>
  <c r="L872" i="11"/>
  <c r="K872" i="11"/>
  <c r="J872" i="11"/>
  <c r="I872" i="11"/>
  <c r="H872" i="11"/>
  <c r="G872" i="11"/>
  <c r="F872" i="11"/>
  <c r="M871" i="11"/>
  <c r="L871" i="11"/>
  <c r="K871" i="11"/>
  <c r="J871" i="11"/>
  <c r="I871" i="11"/>
  <c r="H871" i="11"/>
  <c r="G871" i="11"/>
  <c r="F871" i="11"/>
  <c r="M870" i="11"/>
  <c r="L870" i="11"/>
  <c r="K870" i="11"/>
  <c r="J870" i="11"/>
  <c r="I870" i="11"/>
  <c r="H870" i="11"/>
  <c r="G870" i="11"/>
  <c r="F870" i="11"/>
  <c r="M869" i="11"/>
  <c r="L869" i="11"/>
  <c r="K869" i="11"/>
  <c r="J869" i="11"/>
  <c r="I869" i="11"/>
  <c r="H869" i="11"/>
  <c r="G869" i="11"/>
  <c r="F869" i="11"/>
  <c r="M868" i="11"/>
  <c r="L868" i="11"/>
  <c r="K868" i="11"/>
  <c r="J868" i="11"/>
  <c r="I868" i="11"/>
  <c r="H868" i="11"/>
  <c r="G868" i="11"/>
  <c r="F868" i="11"/>
  <c r="M867" i="11"/>
  <c r="L867" i="11"/>
  <c r="K867" i="11"/>
  <c r="J867" i="11"/>
  <c r="I867" i="11"/>
  <c r="H867" i="11"/>
  <c r="G867" i="11"/>
  <c r="F867" i="11"/>
  <c r="M866" i="11"/>
  <c r="L866" i="11"/>
  <c r="K866" i="11"/>
  <c r="J866" i="11"/>
  <c r="I866" i="11"/>
  <c r="H866" i="11"/>
  <c r="G866" i="11"/>
  <c r="F866" i="11"/>
  <c r="M865" i="11"/>
  <c r="L865" i="11"/>
  <c r="K865" i="11"/>
  <c r="J865" i="11"/>
  <c r="I865" i="11"/>
  <c r="H865" i="11"/>
  <c r="G865" i="11"/>
  <c r="F865" i="11"/>
  <c r="M864" i="11"/>
  <c r="L864" i="11"/>
  <c r="K864" i="11"/>
  <c r="J864" i="11"/>
  <c r="I864" i="11"/>
  <c r="H864" i="11"/>
  <c r="G864" i="11"/>
  <c r="F864" i="11"/>
  <c r="M863" i="11"/>
  <c r="L863" i="11"/>
  <c r="K863" i="11"/>
  <c r="J863" i="11"/>
  <c r="I863" i="11"/>
  <c r="H863" i="11"/>
  <c r="G863" i="11"/>
  <c r="F863" i="11"/>
  <c r="M862" i="11"/>
  <c r="L862" i="11"/>
  <c r="K862" i="11"/>
  <c r="J862" i="11"/>
  <c r="I862" i="11"/>
  <c r="H862" i="11"/>
  <c r="G862" i="11"/>
  <c r="F862" i="11"/>
  <c r="M861" i="11"/>
  <c r="L861" i="11"/>
  <c r="K861" i="11"/>
  <c r="J861" i="11"/>
  <c r="I861" i="11"/>
  <c r="H861" i="11"/>
  <c r="G861" i="11"/>
  <c r="F861" i="11"/>
  <c r="M860" i="11"/>
  <c r="L860" i="11"/>
  <c r="K860" i="11"/>
  <c r="J860" i="11"/>
  <c r="I860" i="11"/>
  <c r="H860" i="11"/>
  <c r="G860" i="11"/>
  <c r="F860" i="11"/>
  <c r="M859" i="11"/>
  <c r="L859" i="11"/>
  <c r="K859" i="11"/>
  <c r="J859" i="11"/>
  <c r="I859" i="11"/>
  <c r="H859" i="11"/>
  <c r="G859" i="11"/>
  <c r="F859" i="11"/>
  <c r="M858" i="11"/>
  <c r="L858" i="11"/>
  <c r="K858" i="11"/>
  <c r="J858" i="11"/>
  <c r="I858" i="11"/>
  <c r="H858" i="11"/>
  <c r="G858" i="11"/>
  <c r="F858" i="11"/>
  <c r="M857" i="11"/>
  <c r="L857" i="11"/>
  <c r="K857" i="11"/>
  <c r="J857" i="11"/>
  <c r="I857" i="11"/>
  <c r="H857" i="11"/>
  <c r="G857" i="11"/>
  <c r="F857" i="11"/>
  <c r="M856" i="11"/>
  <c r="L856" i="11"/>
  <c r="K856" i="11"/>
  <c r="J856" i="11"/>
  <c r="I856" i="11"/>
  <c r="H856" i="11"/>
  <c r="G856" i="11"/>
  <c r="F856" i="11"/>
  <c r="M855" i="11"/>
  <c r="L855" i="11"/>
  <c r="K855" i="11"/>
  <c r="J855" i="11"/>
  <c r="I855" i="11"/>
  <c r="H855" i="11"/>
  <c r="G855" i="11"/>
  <c r="F855" i="11"/>
  <c r="M854" i="11"/>
  <c r="L854" i="11"/>
  <c r="K854" i="11"/>
  <c r="J854" i="11"/>
  <c r="I854" i="11"/>
  <c r="H854" i="11"/>
  <c r="G854" i="11"/>
  <c r="F854" i="11"/>
  <c r="M853" i="11"/>
  <c r="L853" i="11"/>
  <c r="K853" i="11"/>
  <c r="J853" i="11"/>
  <c r="I853" i="11"/>
  <c r="H853" i="11"/>
  <c r="G853" i="11"/>
  <c r="F853" i="11"/>
  <c r="M852" i="11"/>
  <c r="L852" i="11"/>
  <c r="K852" i="11"/>
  <c r="J852" i="11"/>
  <c r="I852" i="11"/>
  <c r="H852" i="11"/>
  <c r="G852" i="11"/>
  <c r="F852" i="11"/>
  <c r="M851" i="11"/>
  <c r="L851" i="11"/>
  <c r="K851" i="11"/>
  <c r="J851" i="11"/>
  <c r="I851" i="11"/>
  <c r="H851" i="11"/>
  <c r="G851" i="11"/>
  <c r="F851" i="11"/>
  <c r="M850" i="11"/>
  <c r="L850" i="11"/>
  <c r="K850" i="11"/>
  <c r="J850" i="11"/>
  <c r="I850" i="11"/>
  <c r="H850" i="11"/>
  <c r="G850" i="11"/>
  <c r="F850" i="11"/>
  <c r="M849" i="11"/>
  <c r="L849" i="11"/>
  <c r="K849" i="11"/>
  <c r="J849" i="11"/>
  <c r="I849" i="11"/>
  <c r="H849" i="11"/>
  <c r="G849" i="11"/>
  <c r="F849" i="11"/>
  <c r="M848" i="11"/>
  <c r="L848" i="11"/>
  <c r="K848" i="11"/>
  <c r="J848" i="11"/>
  <c r="I848" i="11"/>
  <c r="H848" i="11"/>
  <c r="G848" i="11"/>
  <c r="F848" i="11"/>
  <c r="M847" i="11"/>
  <c r="L847" i="11"/>
  <c r="K847" i="11"/>
  <c r="J847" i="11"/>
  <c r="I847" i="11"/>
  <c r="H847" i="11"/>
  <c r="G847" i="11"/>
  <c r="F847" i="11"/>
  <c r="M846" i="11"/>
  <c r="L846" i="11"/>
  <c r="K846" i="11"/>
  <c r="J846" i="11"/>
  <c r="I846" i="11"/>
  <c r="H846" i="11"/>
  <c r="G846" i="11"/>
  <c r="F846" i="11"/>
  <c r="M845" i="11"/>
  <c r="L845" i="11"/>
  <c r="K845" i="11"/>
  <c r="J845" i="11"/>
  <c r="I845" i="11"/>
  <c r="H845" i="11"/>
  <c r="G845" i="11"/>
  <c r="F845" i="11"/>
  <c r="M844" i="11"/>
  <c r="L844" i="11"/>
  <c r="K844" i="11"/>
  <c r="J844" i="11"/>
  <c r="I844" i="11"/>
  <c r="H844" i="11"/>
  <c r="G844" i="11"/>
  <c r="F844" i="11"/>
  <c r="M843" i="11"/>
  <c r="L843" i="11"/>
  <c r="K843" i="11"/>
  <c r="J843" i="11"/>
  <c r="I843" i="11"/>
  <c r="H843" i="11"/>
  <c r="G843" i="11"/>
  <c r="F843" i="11"/>
  <c r="M842" i="11"/>
  <c r="L842" i="11"/>
  <c r="K842" i="11"/>
  <c r="J842" i="11"/>
  <c r="I842" i="11"/>
  <c r="H842" i="11"/>
  <c r="G842" i="11"/>
  <c r="F842" i="11"/>
  <c r="M841" i="11"/>
  <c r="L841" i="11"/>
  <c r="K841" i="11"/>
  <c r="J841" i="11"/>
  <c r="I841" i="11"/>
  <c r="H841" i="11"/>
  <c r="G841" i="11"/>
  <c r="F841" i="11"/>
  <c r="M840" i="11"/>
  <c r="L840" i="11"/>
  <c r="K840" i="11"/>
  <c r="J840" i="11"/>
  <c r="I840" i="11"/>
  <c r="H840" i="11"/>
  <c r="G840" i="11"/>
  <c r="F840" i="11"/>
  <c r="M839" i="11"/>
  <c r="L839" i="11"/>
  <c r="K839" i="11"/>
  <c r="J839" i="11"/>
  <c r="I839" i="11"/>
  <c r="H839" i="11"/>
  <c r="G839" i="11"/>
  <c r="F839" i="11"/>
  <c r="M838" i="11"/>
  <c r="L838" i="11"/>
  <c r="K838" i="11"/>
  <c r="J838" i="11"/>
  <c r="I838" i="11"/>
  <c r="H838" i="11"/>
  <c r="G838" i="11"/>
  <c r="F838" i="11"/>
  <c r="M837" i="11"/>
  <c r="L837" i="11"/>
  <c r="K837" i="11"/>
  <c r="J837" i="11"/>
  <c r="I837" i="11"/>
  <c r="H837" i="11"/>
  <c r="G837" i="11"/>
  <c r="F837" i="11"/>
  <c r="M836" i="11"/>
  <c r="L836" i="11"/>
  <c r="K836" i="11"/>
  <c r="J836" i="11"/>
  <c r="I836" i="11"/>
  <c r="H836" i="11"/>
  <c r="G836" i="11"/>
  <c r="F836" i="11"/>
  <c r="M835" i="11"/>
  <c r="L835" i="11"/>
  <c r="K835" i="11"/>
  <c r="J835" i="11"/>
  <c r="I835" i="11"/>
  <c r="H835" i="11"/>
  <c r="G835" i="11"/>
  <c r="F835" i="11"/>
  <c r="M834" i="11"/>
  <c r="L834" i="11"/>
  <c r="K834" i="11"/>
  <c r="J834" i="11"/>
  <c r="I834" i="11"/>
  <c r="H834" i="11"/>
  <c r="G834" i="11"/>
  <c r="F834" i="11"/>
  <c r="M833" i="11"/>
  <c r="L833" i="11"/>
  <c r="K833" i="11"/>
  <c r="J833" i="11"/>
  <c r="I833" i="11"/>
  <c r="H833" i="11"/>
  <c r="G833" i="11"/>
  <c r="F833" i="11"/>
  <c r="M832" i="11"/>
  <c r="L832" i="11"/>
  <c r="K832" i="11"/>
  <c r="J832" i="11"/>
  <c r="I832" i="11"/>
  <c r="H832" i="11"/>
  <c r="G832" i="11"/>
  <c r="F832" i="11"/>
  <c r="M831" i="11"/>
  <c r="L831" i="11"/>
  <c r="K831" i="11"/>
  <c r="J831" i="11"/>
  <c r="I831" i="11"/>
  <c r="H831" i="11"/>
  <c r="G831" i="11"/>
  <c r="F831" i="11"/>
  <c r="M830" i="11"/>
  <c r="L830" i="11"/>
  <c r="K830" i="11"/>
  <c r="J830" i="11"/>
  <c r="I830" i="11"/>
  <c r="H830" i="11"/>
  <c r="G830" i="11"/>
  <c r="F830" i="11"/>
  <c r="M829" i="11"/>
  <c r="L829" i="11"/>
  <c r="K829" i="11"/>
  <c r="J829" i="11"/>
  <c r="I829" i="11"/>
  <c r="H829" i="11"/>
  <c r="G829" i="11"/>
  <c r="F829" i="11"/>
  <c r="M828" i="11"/>
  <c r="L828" i="11"/>
  <c r="K828" i="11"/>
  <c r="J828" i="11"/>
  <c r="I828" i="11"/>
  <c r="H828" i="11"/>
  <c r="G828" i="11"/>
  <c r="F828" i="11"/>
  <c r="M827" i="11"/>
  <c r="L827" i="11"/>
  <c r="K827" i="11"/>
  <c r="J827" i="11"/>
  <c r="I827" i="11"/>
  <c r="H827" i="11"/>
  <c r="G827" i="11"/>
  <c r="F827" i="11"/>
  <c r="M826" i="11"/>
  <c r="L826" i="11"/>
  <c r="K826" i="11"/>
  <c r="J826" i="11"/>
  <c r="I826" i="11"/>
  <c r="H826" i="11"/>
  <c r="G826" i="11"/>
  <c r="F826" i="11"/>
  <c r="M825" i="11"/>
  <c r="L825" i="11"/>
  <c r="K825" i="11"/>
  <c r="J825" i="11"/>
  <c r="I825" i="11"/>
  <c r="H825" i="11"/>
  <c r="G825" i="11"/>
  <c r="F825" i="11"/>
  <c r="M824" i="11"/>
  <c r="L824" i="11"/>
  <c r="K824" i="11"/>
  <c r="J824" i="11"/>
  <c r="I824" i="11"/>
  <c r="H824" i="11"/>
  <c r="G824" i="11"/>
  <c r="F824" i="11"/>
  <c r="M823" i="11"/>
  <c r="L823" i="11"/>
  <c r="K823" i="11"/>
  <c r="J823" i="11"/>
  <c r="I823" i="11"/>
  <c r="H823" i="11"/>
  <c r="G823" i="11"/>
  <c r="F823" i="11"/>
  <c r="M822" i="11"/>
  <c r="L822" i="11"/>
  <c r="K822" i="11"/>
  <c r="J822" i="11"/>
  <c r="I822" i="11"/>
  <c r="H822" i="11"/>
  <c r="G822" i="11"/>
  <c r="F822" i="11"/>
  <c r="M821" i="11"/>
  <c r="L821" i="11"/>
  <c r="K821" i="11"/>
  <c r="J821" i="11"/>
  <c r="I821" i="11"/>
  <c r="H821" i="11"/>
  <c r="G821" i="11"/>
  <c r="F821" i="11"/>
  <c r="M820" i="11"/>
  <c r="L820" i="11"/>
  <c r="K820" i="11"/>
  <c r="J820" i="11"/>
  <c r="I820" i="11"/>
  <c r="H820" i="11"/>
  <c r="G820" i="11"/>
  <c r="F820" i="11"/>
  <c r="M819" i="11"/>
  <c r="L819" i="11"/>
  <c r="K819" i="11"/>
  <c r="J819" i="11"/>
  <c r="I819" i="11"/>
  <c r="H819" i="11"/>
  <c r="G819" i="11"/>
  <c r="F819" i="11"/>
  <c r="M818" i="11"/>
  <c r="L818" i="11"/>
  <c r="K818" i="11"/>
  <c r="J818" i="11"/>
  <c r="I818" i="11"/>
  <c r="H818" i="11"/>
  <c r="G818" i="11"/>
  <c r="F818" i="11"/>
  <c r="M817" i="11"/>
  <c r="L817" i="11"/>
  <c r="K817" i="11"/>
  <c r="J817" i="11"/>
  <c r="I817" i="11"/>
  <c r="H817" i="11"/>
  <c r="G817" i="11"/>
  <c r="F817" i="11"/>
  <c r="M816" i="11"/>
  <c r="L816" i="11"/>
  <c r="K816" i="11"/>
  <c r="J816" i="11"/>
  <c r="I816" i="11"/>
  <c r="H816" i="11"/>
  <c r="G816" i="11"/>
  <c r="F816" i="11"/>
  <c r="M815" i="11"/>
  <c r="L815" i="11"/>
  <c r="K815" i="11"/>
  <c r="J815" i="11"/>
  <c r="I815" i="11"/>
  <c r="H815" i="11"/>
  <c r="G815" i="11"/>
  <c r="F815" i="11"/>
  <c r="M814" i="11"/>
  <c r="L814" i="11"/>
  <c r="K814" i="11"/>
  <c r="J814" i="11"/>
  <c r="I814" i="11"/>
  <c r="H814" i="11"/>
  <c r="G814" i="11"/>
  <c r="F814" i="11"/>
  <c r="M813" i="11"/>
  <c r="L813" i="11"/>
  <c r="K813" i="11"/>
  <c r="J813" i="11"/>
  <c r="I813" i="11"/>
  <c r="H813" i="11"/>
  <c r="G813" i="11"/>
  <c r="F813" i="11"/>
  <c r="M812" i="11"/>
  <c r="L812" i="11"/>
  <c r="K812" i="11"/>
  <c r="J812" i="11"/>
  <c r="I812" i="11"/>
  <c r="H812" i="11"/>
  <c r="G812" i="11"/>
  <c r="F812" i="11"/>
  <c r="M811" i="11"/>
  <c r="L811" i="11"/>
  <c r="K811" i="11"/>
  <c r="J811" i="11"/>
  <c r="I811" i="11"/>
  <c r="H811" i="11"/>
  <c r="G811" i="11"/>
  <c r="F811" i="11"/>
  <c r="M810" i="11"/>
  <c r="L810" i="11"/>
  <c r="K810" i="11"/>
  <c r="J810" i="11"/>
  <c r="I810" i="11"/>
  <c r="H810" i="11"/>
  <c r="G810" i="11"/>
  <c r="F810" i="11"/>
  <c r="M809" i="11"/>
  <c r="L809" i="11"/>
  <c r="K809" i="11"/>
  <c r="J809" i="11"/>
  <c r="I809" i="11"/>
  <c r="H809" i="11"/>
  <c r="G809" i="11"/>
  <c r="F809" i="11"/>
  <c r="M808" i="11"/>
  <c r="L808" i="11"/>
  <c r="K808" i="11"/>
  <c r="J808" i="11"/>
  <c r="I808" i="11"/>
  <c r="H808" i="11"/>
  <c r="G808" i="11"/>
  <c r="F808" i="11"/>
  <c r="M807" i="11"/>
  <c r="L807" i="11"/>
  <c r="K807" i="11"/>
  <c r="J807" i="11"/>
  <c r="I807" i="11"/>
  <c r="H807" i="11"/>
  <c r="G807" i="11"/>
  <c r="F807" i="11"/>
  <c r="M806" i="11"/>
  <c r="L806" i="11"/>
  <c r="K806" i="11"/>
  <c r="J806" i="11"/>
  <c r="I806" i="11"/>
  <c r="H806" i="11"/>
  <c r="G806" i="11"/>
  <c r="F806" i="11"/>
  <c r="M805" i="11"/>
  <c r="L805" i="11"/>
  <c r="K805" i="11"/>
  <c r="J805" i="11"/>
  <c r="I805" i="11"/>
  <c r="H805" i="11"/>
  <c r="G805" i="11"/>
  <c r="F805" i="11"/>
  <c r="M804" i="11"/>
  <c r="L804" i="11"/>
  <c r="K804" i="11"/>
  <c r="J804" i="11"/>
  <c r="I804" i="11"/>
  <c r="H804" i="11"/>
  <c r="G804" i="11"/>
  <c r="F804" i="11"/>
  <c r="M803" i="11"/>
  <c r="L803" i="11"/>
  <c r="K803" i="11"/>
  <c r="J803" i="11"/>
  <c r="I803" i="11"/>
  <c r="H803" i="11"/>
  <c r="G803" i="11"/>
  <c r="F803" i="11"/>
  <c r="M802" i="11"/>
  <c r="L802" i="11"/>
  <c r="K802" i="11"/>
  <c r="J802" i="11"/>
  <c r="I802" i="11"/>
  <c r="H802" i="11"/>
  <c r="G802" i="11"/>
  <c r="F802" i="11"/>
  <c r="M801" i="11"/>
  <c r="L801" i="11"/>
  <c r="K801" i="11"/>
  <c r="J801" i="11"/>
  <c r="I801" i="11"/>
  <c r="H801" i="11"/>
  <c r="G801" i="11"/>
  <c r="F801" i="11"/>
  <c r="M800" i="11"/>
  <c r="L800" i="11"/>
  <c r="K800" i="11"/>
  <c r="J800" i="11"/>
  <c r="I800" i="11"/>
  <c r="H800" i="11"/>
  <c r="G800" i="11"/>
  <c r="F800" i="11"/>
  <c r="M799" i="11"/>
  <c r="L799" i="11"/>
  <c r="K799" i="11"/>
  <c r="J799" i="11"/>
  <c r="I799" i="11"/>
  <c r="H799" i="11"/>
  <c r="G799" i="11"/>
  <c r="F799" i="11"/>
  <c r="M798" i="11"/>
  <c r="L798" i="11"/>
  <c r="K798" i="11"/>
  <c r="J798" i="11"/>
  <c r="I798" i="11"/>
  <c r="H798" i="11"/>
  <c r="G798" i="11"/>
  <c r="F798" i="11"/>
  <c r="M797" i="11"/>
  <c r="L797" i="11"/>
  <c r="K797" i="11"/>
  <c r="J797" i="11"/>
  <c r="I797" i="11"/>
  <c r="H797" i="11"/>
  <c r="G797" i="11"/>
  <c r="F797" i="11"/>
  <c r="M796" i="11"/>
  <c r="L796" i="11"/>
  <c r="K796" i="11"/>
  <c r="J796" i="11"/>
  <c r="I796" i="11"/>
  <c r="H796" i="11"/>
  <c r="G796" i="11"/>
  <c r="F796" i="11"/>
  <c r="M795" i="11"/>
  <c r="L795" i="11"/>
  <c r="K795" i="11"/>
  <c r="J795" i="11"/>
  <c r="I795" i="11"/>
  <c r="H795" i="11"/>
  <c r="G795" i="11"/>
  <c r="F795" i="11"/>
  <c r="M794" i="11"/>
  <c r="L794" i="11"/>
  <c r="K794" i="11"/>
  <c r="J794" i="11"/>
  <c r="I794" i="11"/>
  <c r="H794" i="11"/>
  <c r="G794" i="11"/>
  <c r="F794" i="11"/>
  <c r="M793" i="11"/>
  <c r="L793" i="11"/>
  <c r="K793" i="11"/>
  <c r="J793" i="11"/>
  <c r="I793" i="11"/>
  <c r="H793" i="11"/>
  <c r="G793" i="11"/>
  <c r="F793" i="11"/>
  <c r="M792" i="11"/>
  <c r="L792" i="11"/>
  <c r="K792" i="11"/>
  <c r="J792" i="11"/>
  <c r="I792" i="11"/>
  <c r="H792" i="11"/>
  <c r="G792" i="11"/>
  <c r="F792" i="11"/>
  <c r="M791" i="11"/>
  <c r="L791" i="11"/>
  <c r="K791" i="11"/>
  <c r="J791" i="11"/>
  <c r="I791" i="11"/>
  <c r="H791" i="11"/>
  <c r="G791" i="11"/>
  <c r="F791" i="11"/>
  <c r="M790" i="11"/>
  <c r="L790" i="11"/>
  <c r="K790" i="11"/>
  <c r="J790" i="11"/>
  <c r="I790" i="11"/>
  <c r="H790" i="11"/>
  <c r="G790" i="11"/>
  <c r="F790" i="11"/>
  <c r="M789" i="11"/>
  <c r="L789" i="11"/>
  <c r="K789" i="11"/>
  <c r="J789" i="11"/>
  <c r="I789" i="11"/>
  <c r="H789" i="11"/>
  <c r="G789" i="11"/>
  <c r="F789" i="11"/>
  <c r="M788" i="11"/>
  <c r="L788" i="11"/>
  <c r="K788" i="11"/>
  <c r="J788" i="11"/>
  <c r="I788" i="11"/>
  <c r="H788" i="11"/>
  <c r="G788" i="11"/>
  <c r="F788" i="11"/>
  <c r="M787" i="11"/>
  <c r="L787" i="11"/>
  <c r="K787" i="11"/>
  <c r="J787" i="11"/>
  <c r="I787" i="11"/>
  <c r="H787" i="11"/>
  <c r="G787" i="11"/>
  <c r="F787" i="11"/>
  <c r="M786" i="11"/>
  <c r="L786" i="11"/>
  <c r="K786" i="11"/>
  <c r="J786" i="11"/>
  <c r="I786" i="11"/>
  <c r="H786" i="11"/>
  <c r="G786" i="11"/>
  <c r="F786" i="11"/>
  <c r="M785" i="11"/>
  <c r="L785" i="11"/>
  <c r="K785" i="11"/>
  <c r="J785" i="11"/>
  <c r="I785" i="11"/>
  <c r="H785" i="11"/>
  <c r="G785" i="11"/>
  <c r="F785" i="11"/>
  <c r="M784" i="11"/>
  <c r="L784" i="11"/>
  <c r="K784" i="11"/>
  <c r="J784" i="11"/>
  <c r="I784" i="11"/>
  <c r="H784" i="11"/>
  <c r="G784" i="11"/>
  <c r="F784" i="11"/>
  <c r="M783" i="11"/>
  <c r="L783" i="11"/>
  <c r="K783" i="11"/>
  <c r="J783" i="11"/>
  <c r="I783" i="11"/>
  <c r="H783" i="11"/>
  <c r="G783" i="11"/>
  <c r="F783" i="11"/>
  <c r="M782" i="11"/>
  <c r="L782" i="11"/>
  <c r="K782" i="11"/>
  <c r="J782" i="11"/>
  <c r="I782" i="11"/>
  <c r="H782" i="11"/>
  <c r="G782" i="11"/>
  <c r="F782" i="11"/>
  <c r="M781" i="11"/>
  <c r="L781" i="11"/>
  <c r="K781" i="11"/>
  <c r="J781" i="11"/>
  <c r="I781" i="11"/>
  <c r="H781" i="11"/>
  <c r="G781" i="11"/>
  <c r="F781" i="11"/>
  <c r="M780" i="11"/>
  <c r="L780" i="11"/>
  <c r="K780" i="11"/>
  <c r="J780" i="11"/>
  <c r="I780" i="11"/>
  <c r="H780" i="11"/>
  <c r="G780" i="11"/>
  <c r="F780" i="11"/>
  <c r="M779" i="11"/>
  <c r="L779" i="11"/>
  <c r="K779" i="11"/>
  <c r="J779" i="11"/>
  <c r="I779" i="11"/>
  <c r="H779" i="11"/>
  <c r="G779" i="11"/>
  <c r="F779" i="11"/>
  <c r="M778" i="11"/>
  <c r="L778" i="11"/>
  <c r="K778" i="11"/>
  <c r="J778" i="11"/>
  <c r="I778" i="11"/>
  <c r="H778" i="11"/>
  <c r="G778" i="11"/>
  <c r="F778" i="11"/>
  <c r="M777" i="11"/>
  <c r="L777" i="11"/>
  <c r="K777" i="11"/>
  <c r="J777" i="11"/>
  <c r="I777" i="11"/>
  <c r="H777" i="11"/>
  <c r="G777" i="11"/>
  <c r="F777" i="11"/>
  <c r="M776" i="11"/>
  <c r="L776" i="11"/>
  <c r="K776" i="11"/>
  <c r="J776" i="11"/>
  <c r="I776" i="11"/>
  <c r="H776" i="11"/>
  <c r="G776" i="11"/>
  <c r="F776" i="11"/>
  <c r="M775" i="11"/>
  <c r="L775" i="11"/>
  <c r="K775" i="11"/>
  <c r="J775" i="11"/>
  <c r="I775" i="11"/>
  <c r="H775" i="11"/>
  <c r="G775" i="11"/>
  <c r="F775" i="11"/>
  <c r="M774" i="11"/>
  <c r="L774" i="11"/>
  <c r="K774" i="11"/>
  <c r="J774" i="11"/>
  <c r="I774" i="11"/>
  <c r="H774" i="11"/>
  <c r="G774" i="11"/>
  <c r="F774" i="11"/>
  <c r="M773" i="11"/>
  <c r="L773" i="11"/>
  <c r="K773" i="11"/>
  <c r="J773" i="11"/>
  <c r="I773" i="11"/>
  <c r="H773" i="11"/>
  <c r="G773" i="11"/>
  <c r="F773" i="11"/>
  <c r="M772" i="11"/>
  <c r="L772" i="11"/>
  <c r="K772" i="11"/>
  <c r="J772" i="11"/>
  <c r="I772" i="11"/>
  <c r="H772" i="11"/>
  <c r="G772" i="11"/>
  <c r="F772" i="11"/>
  <c r="M771" i="11"/>
  <c r="L771" i="11"/>
  <c r="K771" i="11"/>
  <c r="J771" i="11"/>
  <c r="I771" i="11"/>
  <c r="H771" i="11"/>
  <c r="G771" i="11"/>
  <c r="F771" i="11"/>
  <c r="M770" i="11"/>
  <c r="L770" i="11"/>
  <c r="K770" i="11"/>
  <c r="J770" i="11"/>
  <c r="I770" i="11"/>
  <c r="H770" i="11"/>
  <c r="G770" i="11"/>
  <c r="F770" i="11"/>
  <c r="M769" i="11"/>
  <c r="L769" i="11"/>
  <c r="K769" i="11"/>
  <c r="J769" i="11"/>
  <c r="I769" i="11"/>
  <c r="H769" i="11"/>
  <c r="G769" i="11"/>
  <c r="F769" i="11"/>
  <c r="M768" i="11"/>
  <c r="L768" i="11"/>
  <c r="K768" i="11"/>
  <c r="J768" i="11"/>
  <c r="I768" i="11"/>
  <c r="H768" i="11"/>
  <c r="G768" i="11"/>
  <c r="F768" i="11"/>
  <c r="M767" i="11"/>
  <c r="L767" i="11"/>
  <c r="K767" i="11"/>
  <c r="J767" i="11"/>
  <c r="I767" i="11"/>
  <c r="H767" i="11"/>
  <c r="G767" i="11"/>
  <c r="F767" i="11"/>
  <c r="M766" i="11"/>
  <c r="L766" i="11"/>
  <c r="K766" i="11"/>
  <c r="J766" i="11"/>
  <c r="I766" i="11"/>
  <c r="H766" i="11"/>
  <c r="G766" i="11"/>
  <c r="F766" i="11"/>
  <c r="M765" i="11"/>
  <c r="L765" i="11"/>
  <c r="K765" i="11"/>
  <c r="J765" i="11"/>
  <c r="I765" i="11"/>
  <c r="H765" i="11"/>
  <c r="G765" i="11"/>
  <c r="F765" i="11"/>
  <c r="M764" i="11"/>
  <c r="L764" i="11"/>
  <c r="K764" i="11"/>
  <c r="J764" i="11"/>
  <c r="I764" i="11"/>
  <c r="H764" i="11"/>
  <c r="G764" i="11"/>
  <c r="F764" i="11"/>
  <c r="M763" i="11"/>
  <c r="L763" i="11"/>
  <c r="K763" i="11"/>
  <c r="J763" i="11"/>
  <c r="I763" i="11"/>
  <c r="H763" i="11"/>
  <c r="G763" i="11"/>
  <c r="F763" i="11"/>
  <c r="M762" i="11"/>
  <c r="L762" i="11"/>
  <c r="K762" i="11"/>
  <c r="J762" i="11"/>
  <c r="I762" i="11"/>
  <c r="H762" i="11"/>
  <c r="G762" i="11"/>
  <c r="F762" i="11"/>
  <c r="M761" i="11"/>
  <c r="L761" i="11"/>
  <c r="K761" i="11"/>
  <c r="J761" i="11"/>
  <c r="I761" i="11"/>
  <c r="H761" i="11"/>
  <c r="G761" i="11"/>
  <c r="F761" i="11"/>
  <c r="M760" i="11"/>
  <c r="L760" i="11"/>
  <c r="K760" i="11"/>
  <c r="J760" i="11"/>
  <c r="I760" i="11"/>
  <c r="H760" i="11"/>
  <c r="G760" i="11"/>
  <c r="F760" i="11"/>
  <c r="M759" i="11"/>
  <c r="L759" i="11"/>
  <c r="K759" i="11"/>
  <c r="J759" i="11"/>
  <c r="I759" i="11"/>
  <c r="H759" i="11"/>
  <c r="G759" i="11"/>
  <c r="F759" i="11"/>
  <c r="M758" i="11"/>
  <c r="L758" i="11"/>
  <c r="K758" i="11"/>
  <c r="J758" i="11"/>
  <c r="I758" i="11"/>
  <c r="H758" i="11"/>
  <c r="G758" i="11"/>
  <c r="F758" i="11"/>
  <c r="M757" i="11"/>
  <c r="L757" i="11"/>
  <c r="K757" i="11"/>
  <c r="J757" i="11"/>
  <c r="I757" i="11"/>
  <c r="H757" i="11"/>
  <c r="G757" i="11"/>
  <c r="F757" i="11"/>
  <c r="M756" i="11"/>
  <c r="L756" i="11"/>
  <c r="K756" i="11"/>
  <c r="J756" i="11"/>
  <c r="I756" i="11"/>
  <c r="H756" i="11"/>
  <c r="G756" i="11"/>
  <c r="F756" i="11"/>
  <c r="M755" i="11"/>
  <c r="L755" i="11"/>
  <c r="K755" i="11"/>
  <c r="J755" i="11"/>
  <c r="I755" i="11"/>
  <c r="H755" i="11"/>
  <c r="G755" i="11"/>
  <c r="F755" i="11"/>
  <c r="M754" i="11"/>
  <c r="L754" i="11"/>
  <c r="K754" i="11"/>
  <c r="J754" i="11"/>
  <c r="I754" i="11"/>
  <c r="H754" i="11"/>
  <c r="G754" i="11"/>
  <c r="F754" i="11"/>
  <c r="M753" i="11"/>
  <c r="L753" i="11"/>
  <c r="K753" i="11"/>
  <c r="J753" i="11"/>
  <c r="I753" i="11"/>
  <c r="H753" i="11"/>
  <c r="G753" i="11"/>
  <c r="F753" i="11"/>
  <c r="M752" i="11"/>
  <c r="L752" i="11"/>
  <c r="K752" i="11"/>
  <c r="J752" i="11"/>
  <c r="I752" i="11"/>
  <c r="H752" i="11"/>
  <c r="G752" i="11"/>
  <c r="F752" i="11"/>
  <c r="M751" i="11"/>
  <c r="L751" i="11"/>
  <c r="K751" i="11"/>
  <c r="J751" i="11"/>
  <c r="I751" i="11"/>
  <c r="H751" i="11"/>
  <c r="G751" i="11"/>
  <c r="F751" i="11"/>
  <c r="M750" i="11"/>
  <c r="L750" i="11"/>
  <c r="K750" i="11"/>
  <c r="J750" i="11"/>
  <c r="I750" i="11"/>
  <c r="H750" i="11"/>
  <c r="G750" i="11"/>
  <c r="F750" i="11"/>
  <c r="M749" i="11"/>
  <c r="L749" i="11"/>
  <c r="K749" i="11"/>
  <c r="J749" i="11"/>
  <c r="I749" i="11"/>
  <c r="H749" i="11"/>
  <c r="G749" i="11"/>
  <c r="F749" i="11"/>
  <c r="M748" i="11"/>
  <c r="L748" i="11"/>
  <c r="K748" i="11"/>
  <c r="J748" i="11"/>
  <c r="I748" i="11"/>
  <c r="H748" i="11"/>
  <c r="G748" i="11"/>
  <c r="F748" i="11"/>
  <c r="M747" i="11"/>
  <c r="L747" i="11"/>
  <c r="K747" i="11"/>
  <c r="J747" i="11"/>
  <c r="I747" i="11"/>
  <c r="H747" i="11"/>
  <c r="G747" i="11"/>
  <c r="F747" i="11"/>
  <c r="M746" i="11"/>
  <c r="L746" i="11"/>
  <c r="K746" i="11"/>
  <c r="J746" i="11"/>
  <c r="I746" i="11"/>
  <c r="H746" i="11"/>
  <c r="G746" i="11"/>
  <c r="F746" i="11"/>
  <c r="M745" i="11"/>
  <c r="L745" i="11"/>
  <c r="K745" i="11"/>
  <c r="J745" i="11"/>
  <c r="I745" i="11"/>
  <c r="H745" i="11"/>
  <c r="G745" i="11"/>
  <c r="F745" i="11"/>
  <c r="M744" i="11"/>
  <c r="L744" i="11"/>
  <c r="K744" i="11"/>
  <c r="J744" i="11"/>
  <c r="I744" i="11"/>
  <c r="H744" i="11"/>
  <c r="G744" i="11"/>
  <c r="F744" i="11"/>
  <c r="M743" i="11"/>
  <c r="L743" i="11"/>
  <c r="K743" i="11"/>
  <c r="J743" i="11"/>
  <c r="I743" i="11"/>
  <c r="H743" i="11"/>
  <c r="G743" i="11"/>
  <c r="F743" i="11"/>
  <c r="M742" i="11"/>
  <c r="L742" i="11"/>
  <c r="K742" i="11"/>
  <c r="J742" i="11"/>
  <c r="I742" i="11"/>
  <c r="H742" i="11"/>
  <c r="G742" i="11"/>
  <c r="F742" i="11"/>
  <c r="M741" i="11"/>
  <c r="L741" i="11"/>
  <c r="K741" i="11"/>
  <c r="J741" i="11"/>
  <c r="I741" i="11"/>
  <c r="H741" i="11"/>
  <c r="G741" i="11"/>
  <c r="F741" i="11"/>
  <c r="M740" i="11"/>
  <c r="L740" i="11"/>
  <c r="K740" i="11"/>
  <c r="J740" i="11"/>
  <c r="I740" i="11"/>
  <c r="H740" i="11"/>
  <c r="G740" i="11"/>
  <c r="F740" i="11"/>
  <c r="M739" i="11"/>
  <c r="L739" i="11"/>
  <c r="K739" i="11"/>
  <c r="J739" i="11"/>
  <c r="I739" i="11"/>
  <c r="H739" i="11"/>
  <c r="G739" i="11"/>
  <c r="F739" i="11"/>
  <c r="M738" i="11"/>
  <c r="L738" i="11"/>
  <c r="K738" i="11"/>
  <c r="J738" i="11"/>
  <c r="I738" i="11"/>
  <c r="H738" i="11"/>
  <c r="G738" i="11"/>
  <c r="F738" i="11"/>
  <c r="M737" i="11"/>
  <c r="L737" i="11"/>
  <c r="K737" i="11"/>
  <c r="J737" i="11"/>
  <c r="I737" i="11"/>
  <c r="H737" i="11"/>
  <c r="G737" i="11"/>
  <c r="F737" i="11"/>
  <c r="M736" i="11"/>
  <c r="L736" i="11"/>
  <c r="K736" i="11"/>
  <c r="J736" i="11"/>
  <c r="I736" i="11"/>
  <c r="H736" i="11"/>
  <c r="G736" i="11"/>
  <c r="F736" i="11"/>
  <c r="M735" i="11"/>
  <c r="L735" i="11"/>
  <c r="K735" i="11"/>
  <c r="J735" i="11"/>
  <c r="I735" i="11"/>
  <c r="H735" i="11"/>
  <c r="G735" i="11"/>
  <c r="F735" i="11"/>
  <c r="M734" i="11"/>
  <c r="L734" i="11"/>
  <c r="K734" i="11"/>
  <c r="J734" i="11"/>
  <c r="I734" i="11"/>
  <c r="H734" i="11"/>
  <c r="G734" i="11"/>
  <c r="F734" i="11"/>
  <c r="M733" i="11"/>
  <c r="L733" i="11"/>
  <c r="K733" i="11"/>
  <c r="J733" i="11"/>
  <c r="I733" i="11"/>
  <c r="H733" i="11"/>
  <c r="G733" i="11"/>
  <c r="F733" i="11"/>
  <c r="M732" i="11"/>
  <c r="L732" i="11"/>
  <c r="K732" i="11"/>
  <c r="J732" i="11"/>
  <c r="I732" i="11"/>
  <c r="H732" i="11"/>
  <c r="G732" i="11"/>
  <c r="F732" i="11"/>
  <c r="M731" i="11"/>
  <c r="L731" i="11"/>
  <c r="K731" i="11"/>
  <c r="J731" i="11"/>
  <c r="I731" i="11"/>
  <c r="H731" i="11"/>
  <c r="G731" i="11"/>
  <c r="F731" i="11"/>
  <c r="M730" i="11"/>
  <c r="L730" i="11"/>
  <c r="K730" i="11"/>
  <c r="J730" i="11"/>
  <c r="I730" i="11"/>
  <c r="H730" i="11"/>
  <c r="G730" i="11"/>
  <c r="F730" i="11"/>
  <c r="M729" i="11"/>
  <c r="L729" i="11"/>
  <c r="K729" i="11"/>
  <c r="J729" i="11"/>
  <c r="I729" i="11"/>
  <c r="H729" i="11"/>
  <c r="G729" i="11"/>
  <c r="F729" i="11"/>
  <c r="M728" i="11"/>
  <c r="L728" i="11"/>
  <c r="K728" i="11"/>
  <c r="J728" i="11"/>
  <c r="I728" i="11"/>
  <c r="H728" i="11"/>
  <c r="G728" i="11"/>
  <c r="F728" i="11"/>
  <c r="M727" i="11"/>
  <c r="L727" i="11"/>
  <c r="K727" i="11"/>
  <c r="J727" i="11"/>
  <c r="I727" i="11"/>
  <c r="H727" i="11"/>
  <c r="G727" i="11"/>
  <c r="F727" i="11"/>
  <c r="M726" i="11"/>
  <c r="L726" i="11"/>
  <c r="K726" i="11"/>
  <c r="J726" i="11"/>
  <c r="I726" i="11"/>
  <c r="H726" i="11"/>
  <c r="G726" i="11"/>
  <c r="F726" i="11"/>
  <c r="M725" i="11"/>
  <c r="L725" i="11"/>
  <c r="K725" i="11"/>
  <c r="J725" i="11"/>
  <c r="I725" i="11"/>
  <c r="H725" i="11"/>
  <c r="G725" i="11"/>
  <c r="F725" i="11"/>
  <c r="M724" i="11"/>
  <c r="L724" i="11"/>
  <c r="K724" i="11"/>
  <c r="J724" i="11"/>
  <c r="I724" i="11"/>
  <c r="H724" i="11"/>
  <c r="G724" i="11"/>
  <c r="F724" i="11"/>
  <c r="M723" i="11"/>
  <c r="L723" i="11"/>
  <c r="K723" i="11"/>
  <c r="J723" i="11"/>
  <c r="I723" i="11"/>
  <c r="H723" i="11"/>
  <c r="G723" i="11"/>
  <c r="F723" i="11"/>
  <c r="M722" i="11"/>
  <c r="L722" i="11"/>
  <c r="K722" i="11"/>
  <c r="J722" i="11"/>
  <c r="I722" i="11"/>
  <c r="H722" i="11"/>
  <c r="G722" i="11"/>
  <c r="F722" i="11"/>
  <c r="M721" i="11"/>
  <c r="L721" i="11"/>
  <c r="K721" i="11"/>
  <c r="J721" i="11"/>
  <c r="I721" i="11"/>
  <c r="H721" i="11"/>
  <c r="G721" i="11"/>
  <c r="F721" i="11"/>
  <c r="M720" i="11"/>
  <c r="L720" i="11"/>
  <c r="K720" i="11"/>
  <c r="J720" i="11"/>
  <c r="I720" i="11"/>
  <c r="H720" i="11"/>
  <c r="G720" i="11"/>
  <c r="F720" i="11"/>
  <c r="M719" i="11"/>
  <c r="L719" i="11"/>
  <c r="K719" i="11"/>
  <c r="J719" i="11"/>
  <c r="I719" i="11"/>
  <c r="H719" i="11"/>
  <c r="G719" i="11"/>
  <c r="F719" i="11"/>
  <c r="M718" i="11"/>
  <c r="L718" i="11"/>
  <c r="K718" i="11"/>
  <c r="J718" i="11"/>
  <c r="I718" i="11"/>
  <c r="H718" i="11"/>
  <c r="G718" i="11"/>
  <c r="F718" i="11"/>
  <c r="M717" i="11"/>
  <c r="L717" i="11"/>
  <c r="K717" i="11"/>
  <c r="J717" i="11"/>
  <c r="I717" i="11"/>
  <c r="H717" i="11"/>
  <c r="G717" i="11"/>
  <c r="F717" i="11"/>
  <c r="M716" i="11"/>
  <c r="L716" i="11"/>
  <c r="K716" i="11"/>
  <c r="J716" i="11"/>
  <c r="I716" i="11"/>
  <c r="H716" i="11"/>
  <c r="G716" i="11"/>
  <c r="F716" i="11"/>
  <c r="M715" i="11"/>
  <c r="L715" i="11"/>
  <c r="K715" i="11"/>
  <c r="J715" i="11"/>
  <c r="I715" i="11"/>
  <c r="H715" i="11"/>
  <c r="G715" i="11"/>
  <c r="F715" i="11"/>
  <c r="M714" i="11"/>
  <c r="L714" i="11"/>
  <c r="K714" i="11"/>
  <c r="J714" i="11"/>
  <c r="I714" i="11"/>
  <c r="H714" i="11"/>
  <c r="G714" i="11"/>
  <c r="F714" i="11"/>
  <c r="M713" i="11"/>
  <c r="L713" i="11"/>
  <c r="K713" i="11"/>
  <c r="J713" i="11"/>
  <c r="I713" i="11"/>
  <c r="H713" i="11"/>
  <c r="G713" i="11"/>
  <c r="F713" i="11"/>
  <c r="M712" i="11"/>
  <c r="L712" i="11"/>
  <c r="K712" i="11"/>
  <c r="J712" i="11"/>
  <c r="I712" i="11"/>
  <c r="H712" i="11"/>
  <c r="G712" i="11"/>
  <c r="F712" i="11"/>
  <c r="M711" i="11"/>
  <c r="L711" i="11"/>
  <c r="K711" i="11"/>
  <c r="J711" i="11"/>
  <c r="I711" i="11"/>
  <c r="H711" i="11"/>
  <c r="G711" i="11"/>
  <c r="F711" i="11"/>
  <c r="M710" i="11"/>
  <c r="L710" i="11"/>
  <c r="K710" i="11"/>
  <c r="J710" i="11"/>
  <c r="I710" i="11"/>
  <c r="H710" i="11"/>
  <c r="G710" i="11"/>
  <c r="F710" i="11"/>
  <c r="M709" i="11"/>
  <c r="L709" i="11"/>
  <c r="K709" i="11"/>
  <c r="J709" i="11"/>
  <c r="I709" i="11"/>
  <c r="H709" i="11"/>
  <c r="G709" i="11"/>
  <c r="F709" i="11"/>
  <c r="M708" i="11"/>
  <c r="L708" i="11"/>
  <c r="K708" i="11"/>
  <c r="J708" i="11"/>
  <c r="I708" i="11"/>
  <c r="H708" i="11"/>
  <c r="G708" i="11"/>
  <c r="F708" i="11"/>
  <c r="M707" i="11"/>
  <c r="L707" i="11"/>
  <c r="K707" i="11"/>
  <c r="J707" i="11"/>
  <c r="I707" i="11"/>
  <c r="H707" i="11"/>
  <c r="G707" i="11"/>
  <c r="F707" i="11"/>
  <c r="M706" i="11"/>
  <c r="L706" i="11"/>
  <c r="K706" i="11"/>
  <c r="J706" i="11"/>
  <c r="I706" i="11"/>
  <c r="H706" i="11"/>
  <c r="G706" i="11"/>
  <c r="F706" i="11"/>
  <c r="M705" i="11"/>
  <c r="L705" i="11"/>
  <c r="K705" i="11"/>
  <c r="J705" i="11"/>
  <c r="I705" i="11"/>
  <c r="H705" i="11"/>
  <c r="G705" i="11"/>
  <c r="F705" i="11"/>
  <c r="M704" i="11"/>
  <c r="L704" i="11"/>
  <c r="K704" i="11"/>
  <c r="J704" i="11"/>
  <c r="I704" i="11"/>
  <c r="H704" i="11"/>
  <c r="G704" i="11"/>
  <c r="F704" i="11"/>
  <c r="M703" i="11"/>
  <c r="L703" i="11"/>
  <c r="K703" i="11"/>
  <c r="J703" i="11"/>
  <c r="I703" i="11"/>
  <c r="H703" i="11"/>
  <c r="G703" i="11"/>
  <c r="F703" i="11"/>
  <c r="M702" i="11"/>
  <c r="L702" i="11"/>
  <c r="K702" i="11"/>
  <c r="J702" i="11"/>
  <c r="I702" i="11"/>
  <c r="H702" i="11"/>
  <c r="G702" i="11"/>
  <c r="F702" i="11"/>
  <c r="M701" i="11"/>
  <c r="L701" i="11"/>
  <c r="K701" i="11"/>
  <c r="J701" i="11"/>
  <c r="I701" i="11"/>
  <c r="H701" i="11"/>
  <c r="G701" i="11"/>
  <c r="F701" i="11"/>
  <c r="M700" i="11"/>
  <c r="L700" i="11"/>
  <c r="K700" i="11"/>
  <c r="J700" i="11"/>
  <c r="I700" i="11"/>
  <c r="H700" i="11"/>
  <c r="G700" i="11"/>
  <c r="F700" i="11"/>
  <c r="M699" i="11"/>
  <c r="L699" i="11"/>
  <c r="K699" i="11"/>
  <c r="J699" i="11"/>
  <c r="I699" i="11"/>
  <c r="H699" i="11"/>
  <c r="G699" i="11"/>
  <c r="F699" i="11"/>
  <c r="M698" i="11"/>
  <c r="L698" i="11"/>
  <c r="K698" i="11"/>
  <c r="J698" i="11"/>
  <c r="I698" i="11"/>
  <c r="H698" i="11"/>
  <c r="G698" i="11"/>
  <c r="F698" i="11"/>
  <c r="M697" i="11"/>
  <c r="L697" i="11"/>
  <c r="K697" i="11"/>
  <c r="J697" i="11"/>
  <c r="I697" i="11"/>
  <c r="H697" i="11"/>
  <c r="G697" i="11"/>
  <c r="F697" i="11"/>
  <c r="M696" i="11"/>
  <c r="L696" i="11"/>
  <c r="K696" i="11"/>
  <c r="J696" i="11"/>
  <c r="I696" i="11"/>
  <c r="H696" i="11"/>
  <c r="G696" i="11"/>
  <c r="F696" i="11"/>
  <c r="M695" i="11"/>
  <c r="L695" i="11"/>
  <c r="K695" i="11"/>
  <c r="J695" i="11"/>
  <c r="I695" i="11"/>
  <c r="H695" i="11"/>
  <c r="G695" i="11"/>
  <c r="F695" i="11"/>
  <c r="M694" i="11"/>
  <c r="L694" i="11"/>
  <c r="K694" i="11"/>
  <c r="J694" i="11"/>
  <c r="I694" i="11"/>
  <c r="H694" i="11"/>
  <c r="G694" i="11"/>
  <c r="F694" i="11"/>
  <c r="M693" i="11"/>
  <c r="L693" i="11"/>
  <c r="K693" i="11"/>
  <c r="J693" i="11"/>
  <c r="I693" i="11"/>
  <c r="H693" i="11"/>
  <c r="G693" i="11"/>
  <c r="F693" i="11"/>
  <c r="M692" i="11"/>
  <c r="L692" i="11"/>
  <c r="K692" i="11"/>
  <c r="J692" i="11"/>
  <c r="I692" i="11"/>
  <c r="H692" i="11"/>
  <c r="G692" i="11"/>
  <c r="F692" i="11"/>
  <c r="M691" i="11"/>
  <c r="L691" i="11"/>
  <c r="K691" i="11"/>
  <c r="J691" i="11"/>
  <c r="I691" i="11"/>
  <c r="H691" i="11"/>
  <c r="G691" i="11"/>
  <c r="F691" i="11"/>
  <c r="M690" i="11"/>
  <c r="L690" i="11"/>
  <c r="K690" i="11"/>
  <c r="J690" i="11"/>
  <c r="I690" i="11"/>
  <c r="H690" i="11"/>
  <c r="G690" i="11"/>
  <c r="F690" i="11"/>
  <c r="M689" i="11"/>
  <c r="L689" i="11"/>
  <c r="K689" i="11"/>
  <c r="J689" i="11"/>
  <c r="I689" i="11"/>
  <c r="H689" i="11"/>
  <c r="G689" i="11"/>
  <c r="F689" i="11"/>
  <c r="M688" i="11"/>
  <c r="L688" i="11"/>
  <c r="K688" i="11"/>
  <c r="J688" i="11"/>
  <c r="I688" i="11"/>
  <c r="H688" i="11"/>
  <c r="G688" i="11"/>
  <c r="F688" i="11"/>
  <c r="M687" i="11"/>
  <c r="L687" i="11"/>
  <c r="K687" i="11"/>
  <c r="J687" i="11"/>
  <c r="I687" i="11"/>
  <c r="H687" i="11"/>
  <c r="G687" i="11"/>
  <c r="F687" i="11"/>
  <c r="M686" i="11"/>
  <c r="L686" i="11"/>
  <c r="K686" i="11"/>
  <c r="J686" i="11"/>
  <c r="I686" i="11"/>
  <c r="H686" i="11"/>
  <c r="G686" i="11"/>
  <c r="F686" i="11"/>
  <c r="M685" i="11"/>
  <c r="L685" i="11"/>
  <c r="K685" i="11"/>
  <c r="J685" i="11"/>
  <c r="I685" i="11"/>
  <c r="H685" i="11"/>
  <c r="G685" i="11"/>
  <c r="F685" i="11"/>
  <c r="M684" i="11"/>
  <c r="L684" i="11"/>
  <c r="K684" i="11"/>
  <c r="J684" i="11"/>
  <c r="I684" i="11"/>
  <c r="H684" i="11"/>
  <c r="G684" i="11"/>
  <c r="F684" i="11"/>
  <c r="M683" i="11"/>
  <c r="L683" i="11"/>
  <c r="K683" i="11"/>
  <c r="J683" i="11"/>
  <c r="I683" i="11"/>
  <c r="H683" i="11"/>
  <c r="G683" i="11"/>
  <c r="F683" i="11"/>
  <c r="M682" i="11"/>
  <c r="L682" i="11"/>
  <c r="K682" i="11"/>
  <c r="J682" i="11"/>
  <c r="I682" i="11"/>
  <c r="H682" i="11"/>
  <c r="G682" i="11"/>
  <c r="F682" i="11"/>
  <c r="M681" i="11"/>
  <c r="L681" i="11"/>
  <c r="K681" i="11"/>
  <c r="J681" i="11"/>
  <c r="I681" i="11"/>
  <c r="H681" i="11"/>
  <c r="G681" i="11"/>
  <c r="F681" i="11"/>
  <c r="M680" i="11"/>
  <c r="L680" i="11"/>
  <c r="K680" i="11"/>
  <c r="J680" i="11"/>
  <c r="I680" i="11"/>
  <c r="H680" i="11"/>
  <c r="G680" i="11"/>
  <c r="F680" i="11"/>
  <c r="M679" i="11"/>
  <c r="L679" i="11"/>
  <c r="K679" i="11"/>
  <c r="J679" i="11"/>
  <c r="I679" i="11"/>
  <c r="H679" i="11"/>
  <c r="G679" i="11"/>
  <c r="F679" i="11"/>
  <c r="M678" i="11"/>
  <c r="L678" i="11"/>
  <c r="K678" i="11"/>
  <c r="J678" i="11"/>
  <c r="I678" i="11"/>
  <c r="H678" i="11"/>
  <c r="G678" i="11"/>
  <c r="F678" i="11"/>
  <c r="M677" i="11"/>
  <c r="L677" i="11"/>
  <c r="K677" i="11"/>
  <c r="J677" i="11"/>
  <c r="I677" i="11"/>
  <c r="H677" i="11"/>
  <c r="G677" i="11"/>
  <c r="F677" i="11"/>
  <c r="M676" i="11"/>
  <c r="L676" i="11"/>
  <c r="K676" i="11"/>
  <c r="J676" i="11"/>
  <c r="I676" i="11"/>
  <c r="H676" i="11"/>
  <c r="G676" i="11"/>
  <c r="F676" i="11"/>
  <c r="M675" i="11"/>
  <c r="L675" i="11"/>
  <c r="K675" i="11"/>
  <c r="J675" i="11"/>
  <c r="I675" i="11"/>
  <c r="H675" i="11"/>
  <c r="G675" i="11"/>
  <c r="F675" i="11"/>
  <c r="M674" i="11"/>
  <c r="L674" i="11"/>
  <c r="K674" i="11"/>
  <c r="J674" i="11"/>
  <c r="I674" i="11"/>
  <c r="H674" i="11"/>
  <c r="G674" i="11"/>
  <c r="F674" i="11"/>
  <c r="M673" i="11"/>
  <c r="L673" i="11"/>
  <c r="K673" i="11"/>
  <c r="J673" i="11"/>
  <c r="I673" i="11"/>
  <c r="H673" i="11"/>
  <c r="G673" i="11"/>
  <c r="F673" i="11"/>
  <c r="M672" i="11"/>
  <c r="L672" i="11"/>
  <c r="K672" i="11"/>
  <c r="J672" i="11"/>
  <c r="I672" i="11"/>
  <c r="H672" i="11"/>
  <c r="G672" i="11"/>
  <c r="F672" i="11"/>
  <c r="M671" i="11"/>
  <c r="L671" i="11"/>
  <c r="K671" i="11"/>
  <c r="J671" i="11"/>
  <c r="I671" i="11"/>
  <c r="H671" i="11"/>
  <c r="G671" i="11"/>
  <c r="F671" i="11"/>
  <c r="M670" i="11"/>
  <c r="L670" i="11"/>
  <c r="K670" i="11"/>
  <c r="J670" i="11"/>
  <c r="I670" i="11"/>
  <c r="H670" i="11"/>
  <c r="G670" i="11"/>
  <c r="F670" i="11"/>
  <c r="M669" i="11"/>
  <c r="L669" i="11"/>
  <c r="K669" i="11"/>
  <c r="J669" i="11"/>
  <c r="I669" i="11"/>
  <c r="H669" i="11"/>
  <c r="G669" i="11"/>
  <c r="F669" i="11"/>
  <c r="M668" i="11"/>
  <c r="L668" i="11"/>
  <c r="K668" i="11"/>
  <c r="J668" i="11"/>
  <c r="I668" i="11"/>
  <c r="H668" i="11"/>
  <c r="G668" i="11"/>
  <c r="F668" i="11"/>
  <c r="M667" i="11"/>
  <c r="L667" i="11"/>
  <c r="K667" i="11"/>
  <c r="J667" i="11"/>
  <c r="I667" i="11"/>
  <c r="H667" i="11"/>
  <c r="G667" i="11"/>
  <c r="F667" i="11"/>
  <c r="M666" i="11"/>
  <c r="L666" i="11"/>
  <c r="K666" i="11"/>
  <c r="J666" i="11"/>
  <c r="I666" i="11"/>
  <c r="H666" i="11"/>
  <c r="G666" i="11"/>
  <c r="F666" i="11"/>
  <c r="M665" i="11"/>
  <c r="L665" i="11"/>
  <c r="K665" i="11"/>
  <c r="J665" i="11"/>
  <c r="I665" i="11"/>
  <c r="H665" i="11"/>
  <c r="G665" i="11"/>
  <c r="F665" i="11"/>
  <c r="M664" i="11"/>
  <c r="L664" i="11"/>
  <c r="K664" i="11"/>
  <c r="J664" i="11"/>
  <c r="I664" i="11"/>
  <c r="H664" i="11"/>
  <c r="G664" i="11"/>
  <c r="F664" i="11"/>
  <c r="M663" i="11"/>
  <c r="L663" i="11"/>
  <c r="K663" i="11"/>
  <c r="J663" i="11"/>
  <c r="I663" i="11"/>
  <c r="H663" i="11"/>
  <c r="G663" i="11"/>
  <c r="F663" i="11"/>
  <c r="M662" i="11"/>
  <c r="L662" i="11"/>
  <c r="K662" i="11"/>
  <c r="J662" i="11"/>
  <c r="I662" i="11"/>
  <c r="H662" i="11"/>
  <c r="G662" i="11"/>
  <c r="F662" i="11"/>
  <c r="M661" i="11"/>
  <c r="L661" i="11"/>
  <c r="K661" i="11"/>
  <c r="J661" i="11"/>
  <c r="I661" i="11"/>
  <c r="H661" i="11"/>
  <c r="G661" i="11"/>
  <c r="F661" i="11"/>
  <c r="M660" i="11"/>
  <c r="L660" i="11"/>
  <c r="K660" i="11"/>
  <c r="J660" i="11"/>
  <c r="I660" i="11"/>
  <c r="H660" i="11"/>
  <c r="G660" i="11"/>
  <c r="F660" i="11"/>
  <c r="M659" i="11"/>
  <c r="L659" i="11"/>
  <c r="K659" i="11"/>
  <c r="J659" i="11"/>
  <c r="I659" i="11"/>
  <c r="H659" i="11"/>
  <c r="G659" i="11"/>
  <c r="F659" i="11"/>
  <c r="M658" i="11"/>
  <c r="L658" i="11"/>
  <c r="K658" i="11"/>
  <c r="J658" i="11"/>
  <c r="I658" i="11"/>
  <c r="H658" i="11"/>
  <c r="G658" i="11"/>
  <c r="F658" i="11"/>
  <c r="M657" i="11"/>
  <c r="L657" i="11"/>
  <c r="K657" i="11"/>
  <c r="J657" i="11"/>
  <c r="I657" i="11"/>
  <c r="H657" i="11"/>
  <c r="G657" i="11"/>
  <c r="F657" i="11"/>
  <c r="M656" i="11"/>
  <c r="L656" i="11"/>
  <c r="K656" i="11"/>
  <c r="J656" i="11"/>
  <c r="I656" i="11"/>
  <c r="H656" i="11"/>
  <c r="G656" i="11"/>
  <c r="F656" i="11"/>
  <c r="M655" i="11"/>
  <c r="L655" i="11"/>
  <c r="K655" i="11"/>
  <c r="J655" i="11"/>
  <c r="I655" i="11"/>
  <c r="H655" i="11"/>
  <c r="G655" i="11"/>
  <c r="F655" i="11"/>
  <c r="M654" i="11"/>
  <c r="L654" i="11"/>
  <c r="K654" i="11"/>
  <c r="J654" i="11"/>
  <c r="I654" i="11"/>
  <c r="H654" i="11"/>
  <c r="G654" i="11"/>
  <c r="F654" i="11"/>
  <c r="M653" i="11"/>
  <c r="L653" i="11"/>
  <c r="K653" i="11"/>
  <c r="J653" i="11"/>
  <c r="I653" i="11"/>
  <c r="H653" i="11"/>
  <c r="G653" i="11"/>
  <c r="F653" i="11"/>
  <c r="M652" i="11"/>
  <c r="L652" i="11"/>
  <c r="K652" i="11"/>
  <c r="J652" i="11"/>
  <c r="I652" i="11"/>
  <c r="H652" i="11"/>
  <c r="G652" i="11"/>
  <c r="F652" i="11"/>
  <c r="M651" i="11"/>
  <c r="L651" i="11"/>
  <c r="K651" i="11"/>
  <c r="J651" i="11"/>
  <c r="I651" i="11"/>
  <c r="H651" i="11"/>
  <c r="G651" i="11"/>
  <c r="F651" i="11"/>
  <c r="M650" i="11"/>
  <c r="L650" i="11"/>
  <c r="K650" i="11"/>
  <c r="J650" i="11"/>
  <c r="I650" i="11"/>
  <c r="H650" i="11"/>
  <c r="G650" i="11"/>
  <c r="F650" i="11"/>
  <c r="M649" i="11"/>
  <c r="L649" i="11"/>
  <c r="K649" i="11"/>
  <c r="J649" i="11"/>
  <c r="I649" i="11"/>
  <c r="H649" i="11"/>
  <c r="G649" i="11"/>
  <c r="F649" i="11"/>
  <c r="M648" i="11"/>
  <c r="L648" i="11"/>
  <c r="K648" i="11"/>
  <c r="J648" i="11"/>
  <c r="I648" i="11"/>
  <c r="H648" i="11"/>
  <c r="G648" i="11"/>
  <c r="F648" i="11"/>
  <c r="M647" i="11"/>
  <c r="L647" i="11"/>
  <c r="K647" i="11"/>
  <c r="J647" i="11"/>
  <c r="I647" i="11"/>
  <c r="H647" i="11"/>
  <c r="G647" i="11"/>
  <c r="F647" i="11"/>
  <c r="M646" i="11"/>
  <c r="L646" i="11"/>
  <c r="K646" i="11"/>
  <c r="J646" i="11"/>
  <c r="I646" i="11"/>
  <c r="H646" i="11"/>
  <c r="G646" i="11"/>
  <c r="F646" i="11"/>
  <c r="M645" i="11"/>
  <c r="L645" i="11"/>
  <c r="K645" i="11"/>
  <c r="J645" i="11"/>
  <c r="I645" i="11"/>
  <c r="H645" i="11"/>
  <c r="G645" i="11"/>
  <c r="F645" i="11"/>
  <c r="M644" i="11"/>
  <c r="L644" i="11"/>
  <c r="K644" i="11"/>
  <c r="J644" i="11"/>
  <c r="I644" i="11"/>
  <c r="H644" i="11"/>
  <c r="G644" i="11"/>
  <c r="F644" i="11"/>
  <c r="M643" i="11"/>
  <c r="L643" i="11"/>
  <c r="K643" i="11"/>
  <c r="J643" i="11"/>
  <c r="I643" i="11"/>
  <c r="H643" i="11"/>
  <c r="G643" i="11"/>
  <c r="F643" i="11"/>
  <c r="M642" i="11"/>
  <c r="L642" i="11"/>
  <c r="K642" i="11"/>
  <c r="J642" i="11"/>
  <c r="I642" i="11"/>
  <c r="H642" i="11"/>
  <c r="G642" i="11"/>
  <c r="F642" i="11"/>
  <c r="M641" i="11"/>
  <c r="L641" i="11"/>
  <c r="K641" i="11"/>
  <c r="J641" i="11"/>
  <c r="I641" i="11"/>
  <c r="H641" i="11"/>
  <c r="G641" i="11"/>
  <c r="F641" i="11"/>
  <c r="M640" i="11"/>
  <c r="L640" i="11"/>
  <c r="K640" i="11"/>
  <c r="J640" i="11"/>
  <c r="I640" i="11"/>
  <c r="H640" i="11"/>
  <c r="G640" i="11"/>
  <c r="F640" i="11"/>
  <c r="M639" i="11"/>
  <c r="L639" i="11"/>
  <c r="K639" i="11"/>
  <c r="J639" i="11"/>
  <c r="I639" i="11"/>
  <c r="H639" i="11"/>
  <c r="G639" i="11"/>
  <c r="F639" i="11"/>
  <c r="M638" i="11"/>
  <c r="L638" i="11"/>
  <c r="K638" i="11"/>
  <c r="J638" i="11"/>
  <c r="I638" i="11"/>
  <c r="H638" i="11"/>
  <c r="G638" i="11"/>
  <c r="F638" i="11"/>
  <c r="M637" i="11"/>
  <c r="L637" i="11"/>
  <c r="K637" i="11"/>
  <c r="J637" i="11"/>
  <c r="I637" i="11"/>
  <c r="H637" i="11"/>
  <c r="G637" i="11"/>
  <c r="F637" i="11"/>
  <c r="M636" i="11"/>
  <c r="L636" i="11"/>
  <c r="K636" i="11"/>
  <c r="J636" i="11"/>
  <c r="I636" i="11"/>
  <c r="H636" i="11"/>
  <c r="G636" i="11"/>
  <c r="F636" i="11"/>
  <c r="M635" i="11"/>
  <c r="L635" i="11"/>
  <c r="K635" i="11"/>
  <c r="J635" i="11"/>
  <c r="I635" i="11"/>
  <c r="H635" i="11"/>
  <c r="G635" i="11"/>
  <c r="F635" i="11"/>
  <c r="M634" i="11"/>
  <c r="L634" i="11"/>
  <c r="K634" i="11"/>
  <c r="J634" i="11"/>
  <c r="I634" i="11"/>
  <c r="H634" i="11"/>
  <c r="G634" i="11"/>
  <c r="F634" i="11"/>
  <c r="M633" i="11"/>
  <c r="L633" i="11"/>
  <c r="K633" i="11"/>
  <c r="J633" i="11"/>
  <c r="I633" i="11"/>
  <c r="H633" i="11"/>
  <c r="G633" i="11"/>
  <c r="F633" i="11"/>
  <c r="M632" i="11"/>
  <c r="L632" i="11"/>
  <c r="K632" i="11"/>
  <c r="J632" i="11"/>
  <c r="I632" i="11"/>
  <c r="H632" i="11"/>
  <c r="G632" i="11"/>
  <c r="F632" i="11"/>
  <c r="M631" i="11"/>
  <c r="L631" i="11"/>
  <c r="K631" i="11"/>
  <c r="J631" i="11"/>
  <c r="I631" i="11"/>
  <c r="H631" i="11"/>
  <c r="G631" i="11"/>
  <c r="F631" i="11"/>
  <c r="M630" i="11"/>
  <c r="L630" i="11"/>
  <c r="K630" i="11"/>
  <c r="J630" i="11"/>
  <c r="I630" i="11"/>
  <c r="H630" i="11"/>
  <c r="G630" i="11"/>
  <c r="F630" i="11"/>
  <c r="M629" i="11"/>
  <c r="L629" i="11"/>
  <c r="K629" i="11"/>
  <c r="J629" i="11"/>
  <c r="I629" i="11"/>
  <c r="H629" i="11"/>
  <c r="G629" i="11"/>
  <c r="F629" i="11"/>
  <c r="M628" i="11"/>
  <c r="L628" i="11"/>
  <c r="K628" i="11"/>
  <c r="J628" i="11"/>
  <c r="I628" i="11"/>
  <c r="H628" i="11"/>
  <c r="G628" i="11"/>
  <c r="F628" i="11"/>
  <c r="M627" i="11"/>
  <c r="L627" i="11"/>
  <c r="K627" i="11"/>
  <c r="J627" i="11"/>
  <c r="I627" i="11"/>
  <c r="H627" i="11"/>
  <c r="G627" i="11"/>
  <c r="F627" i="11"/>
  <c r="M626" i="11"/>
  <c r="L626" i="11"/>
  <c r="K626" i="11"/>
  <c r="J626" i="11"/>
  <c r="I626" i="11"/>
  <c r="H626" i="11"/>
  <c r="G626" i="11"/>
  <c r="F626" i="11"/>
  <c r="M625" i="11"/>
  <c r="L625" i="11"/>
  <c r="K625" i="11"/>
  <c r="J625" i="11"/>
  <c r="I625" i="11"/>
  <c r="H625" i="11"/>
  <c r="G625" i="11"/>
  <c r="F625" i="11"/>
  <c r="M624" i="11"/>
  <c r="L624" i="11"/>
  <c r="K624" i="11"/>
  <c r="J624" i="11"/>
  <c r="I624" i="11"/>
  <c r="H624" i="11"/>
  <c r="G624" i="11"/>
  <c r="F624" i="11"/>
  <c r="M623" i="11"/>
  <c r="L623" i="11"/>
  <c r="K623" i="11"/>
  <c r="J623" i="11"/>
  <c r="I623" i="11"/>
  <c r="H623" i="11"/>
  <c r="G623" i="11"/>
  <c r="F623" i="11"/>
  <c r="M622" i="11"/>
  <c r="L622" i="11"/>
  <c r="K622" i="11"/>
  <c r="J622" i="11"/>
  <c r="I622" i="11"/>
  <c r="H622" i="11"/>
  <c r="G622" i="11"/>
  <c r="F622" i="11"/>
  <c r="M621" i="11"/>
  <c r="L621" i="11"/>
  <c r="K621" i="11"/>
  <c r="J621" i="11"/>
  <c r="I621" i="11"/>
  <c r="H621" i="11"/>
  <c r="G621" i="11"/>
  <c r="F621" i="11"/>
  <c r="M620" i="11"/>
  <c r="L620" i="11"/>
  <c r="K620" i="11"/>
  <c r="J620" i="11"/>
  <c r="I620" i="11"/>
  <c r="H620" i="11"/>
  <c r="G620" i="11"/>
  <c r="F620" i="11"/>
  <c r="M619" i="11"/>
  <c r="L619" i="11"/>
  <c r="K619" i="11"/>
  <c r="J619" i="11"/>
  <c r="I619" i="11"/>
  <c r="H619" i="11"/>
  <c r="G619" i="11"/>
  <c r="F619" i="11"/>
  <c r="M618" i="11"/>
  <c r="L618" i="11"/>
  <c r="K618" i="11"/>
  <c r="J618" i="11"/>
  <c r="I618" i="11"/>
  <c r="H618" i="11"/>
  <c r="G618" i="11"/>
  <c r="F618" i="11"/>
  <c r="M617" i="11"/>
  <c r="L617" i="11"/>
  <c r="K617" i="11"/>
  <c r="J617" i="11"/>
  <c r="I617" i="11"/>
  <c r="H617" i="11"/>
  <c r="G617" i="11"/>
  <c r="F617" i="11"/>
  <c r="M616" i="11"/>
  <c r="L616" i="11"/>
  <c r="K616" i="11"/>
  <c r="J616" i="11"/>
  <c r="I616" i="11"/>
  <c r="H616" i="11"/>
  <c r="G616" i="11"/>
  <c r="F616" i="11"/>
  <c r="M615" i="11"/>
  <c r="L615" i="11"/>
  <c r="K615" i="11"/>
  <c r="J615" i="11"/>
  <c r="I615" i="11"/>
  <c r="H615" i="11"/>
  <c r="G615" i="11"/>
  <c r="F615" i="11"/>
  <c r="M614" i="11"/>
  <c r="L614" i="11"/>
  <c r="K614" i="11"/>
  <c r="J614" i="11"/>
  <c r="I614" i="11"/>
  <c r="H614" i="11"/>
  <c r="G614" i="11"/>
  <c r="F614" i="11"/>
  <c r="M613" i="11"/>
  <c r="L613" i="11"/>
  <c r="K613" i="11"/>
  <c r="J613" i="11"/>
  <c r="I613" i="11"/>
  <c r="H613" i="11"/>
  <c r="G613" i="11"/>
  <c r="F613" i="11"/>
  <c r="M612" i="11"/>
  <c r="L612" i="11"/>
  <c r="K612" i="11"/>
  <c r="J612" i="11"/>
  <c r="I612" i="11"/>
  <c r="H612" i="11"/>
  <c r="G612" i="11"/>
  <c r="F612" i="11"/>
  <c r="M611" i="11"/>
  <c r="L611" i="11"/>
  <c r="K611" i="11"/>
  <c r="J611" i="11"/>
  <c r="I611" i="11"/>
  <c r="H611" i="11"/>
  <c r="G611" i="11"/>
  <c r="F611" i="11"/>
  <c r="M610" i="11"/>
  <c r="L610" i="11"/>
  <c r="K610" i="11"/>
  <c r="J610" i="11"/>
  <c r="I610" i="11"/>
  <c r="H610" i="11"/>
  <c r="G610" i="11"/>
  <c r="F610" i="11"/>
  <c r="M609" i="11"/>
  <c r="L609" i="11"/>
  <c r="K609" i="11"/>
  <c r="J609" i="11"/>
  <c r="I609" i="11"/>
  <c r="H609" i="11"/>
  <c r="G609" i="11"/>
  <c r="F609" i="11"/>
  <c r="M608" i="11"/>
  <c r="L608" i="11"/>
  <c r="K608" i="11"/>
  <c r="J608" i="11"/>
  <c r="I608" i="11"/>
  <c r="H608" i="11"/>
  <c r="G608" i="11"/>
  <c r="F608" i="11"/>
  <c r="M607" i="11"/>
  <c r="L607" i="11"/>
  <c r="K607" i="11"/>
  <c r="J607" i="11"/>
  <c r="I607" i="11"/>
  <c r="H607" i="11"/>
  <c r="G607" i="11"/>
  <c r="F607" i="11"/>
  <c r="M606" i="11"/>
  <c r="L606" i="11"/>
  <c r="K606" i="11"/>
  <c r="J606" i="11"/>
  <c r="I606" i="11"/>
  <c r="H606" i="11"/>
  <c r="G606" i="11"/>
  <c r="F606" i="11"/>
  <c r="M605" i="11"/>
  <c r="L605" i="11"/>
  <c r="K605" i="11"/>
  <c r="J605" i="11"/>
  <c r="I605" i="11"/>
  <c r="H605" i="11"/>
  <c r="G605" i="11"/>
  <c r="F605" i="11"/>
  <c r="M604" i="11"/>
  <c r="L604" i="11"/>
  <c r="K604" i="11"/>
  <c r="J604" i="11"/>
  <c r="I604" i="11"/>
  <c r="H604" i="11"/>
  <c r="G604" i="11"/>
  <c r="F604" i="11"/>
  <c r="M603" i="11"/>
  <c r="L603" i="11"/>
  <c r="K603" i="11"/>
  <c r="J603" i="11"/>
  <c r="I603" i="11"/>
  <c r="H603" i="11"/>
  <c r="G603" i="11"/>
  <c r="F603" i="11"/>
  <c r="M602" i="11"/>
  <c r="L602" i="11"/>
  <c r="K602" i="11"/>
  <c r="J602" i="11"/>
  <c r="I602" i="11"/>
  <c r="H602" i="11"/>
  <c r="G602" i="11"/>
  <c r="F602" i="11"/>
  <c r="M601" i="11"/>
  <c r="L601" i="11"/>
  <c r="K601" i="11"/>
  <c r="J601" i="11"/>
  <c r="I601" i="11"/>
  <c r="H601" i="11"/>
  <c r="G601" i="11"/>
  <c r="F601" i="11"/>
  <c r="M600" i="11"/>
  <c r="L600" i="11"/>
  <c r="K600" i="11"/>
  <c r="J600" i="11"/>
  <c r="I600" i="11"/>
  <c r="H600" i="11"/>
  <c r="G600" i="11"/>
  <c r="F600" i="11"/>
  <c r="M599" i="11"/>
  <c r="L599" i="11"/>
  <c r="K599" i="11"/>
  <c r="J599" i="11"/>
  <c r="I599" i="11"/>
  <c r="H599" i="11"/>
  <c r="G599" i="11"/>
  <c r="F599" i="11"/>
  <c r="M598" i="11"/>
  <c r="L598" i="11"/>
  <c r="K598" i="11"/>
  <c r="J598" i="11"/>
  <c r="I598" i="11"/>
  <c r="H598" i="11"/>
  <c r="G598" i="11"/>
  <c r="F598" i="11"/>
  <c r="M597" i="11"/>
  <c r="L597" i="11"/>
  <c r="K597" i="11"/>
  <c r="J597" i="11"/>
  <c r="I597" i="11"/>
  <c r="H597" i="11"/>
  <c r="G597" i="11"/>
  <c r="F597" i="11"/>
  <c r="M596" i="11"/>
  <c r="L596" i="11"/>
  <c r="K596" i="11"/>
  <c r="J596" i="11"/>
  <c r="I596" i="11"/>
  <c r="H596" i="11"/>
  <c r="G596" i="11"/>
  <c r="F596" i="11"/>
  <c r="M595" i="11"/>
  <c r="L595" i="11"/>
  <c r="K595" i="11"/>
  <c r="J595" i="11"/>
  <c r="I595" i="11"/>
  <c r="H595" i="11"/>
  <c r="G595" i="11"/>
  <c r="F595" i="11"/>
  <c r="M594" i="11"/>
  <c r="L594" i="11"/>
  <c r="K594" i="11"/>
  <c r="J594" i="11"/>
  <c r="I594" i="11"/>
  <c r="H594" i="11"/>
  <c r="G594" i="11"/>
  <c r="F594" i="11"/>
  <c r="M593" i="11"/>
  <c r="L593" i="11"/>
  <c r="K593" i="11"/>
  <c r="J593" i="11"/>
  <c r="I593" i="11"/>
  <c r="H593" i="11"/>
  <c r="G593" i="11"/>
  <c r="F593" i="11"/>
  <c r="M592" i="11"/>
  <c r="L592" i="11"/>
  <c r="K592" i="11"/>
  <c r="J592" i="11"/>
  <c r="I592" i="11"/>
  <c r="H592" i="11"/>
  <c r="G592" i="11"/>
  <c r="F592" i="11"/>
  <c r="M591" i="11"/>
  <c r="L591" i="11"/>
  <c r="K591" i="11"/>
  <c r="J591" i="11"/>
  <c r="I591" i="11"/>
  <c r="H591" i="11"/>
  <c r="G591" i="11"/>
  <c r="F591" i="11"/>
  <c r="M590" i="11"/>
  <c r="L590" i="11"/>
  <c r="K590" i="11"/>
  <c r="J590" i="11"/>
  <c r="I590" i="11"/>
  <c r="H590" i="11"/>
  <c r="G590" i="11"/>
  <c r="F590" i="11"/>
  <c r="M589" i="11"/>
  <c r="L589" i="11"/>
  <c r="K589" i="11"/>
  <c r="J589" i="11"/>
  <c r="I589" i="11"/>
  <c r="H589" i="11"/>
  <c r="G589" i="11"/>
  <c r="F589" i="11"/>
  <c r="M588" i="11"/>
  <c r="L588" i="11"/>
  <c r="K588" i="11"/>
  <c r="J588" i="11"/>
  <c r="I588" i="11"/>
  <c r="H588" i="11"/>
  <c r="G588" i="11"/>
  <c r="F588" i="11"/>
  <c r="M587" i="11"/>
  <c r="L587" i="11"/>
  <c r="K587" i="11"/>
  <c r="J587" i="11"/>
  <c r="I587" i="11"/>
  <c r="H587" i="11"/>
  <c r="G587" i="11"/>
  <c r="F587" i="11"/>
  <c r="M586" i="11"/>
  <c r="L586" i="11"/>
  <c r="K586" i="11"/>
  <c r="J586" i="11"/>
  <c r="I586" i="11"/>
  <c r="H586" i="11"/>
  <c r="G586" i="11"/>
  <c r="F586" i="11"/>
  <c r="M585" i="11"/>
  <c r="L585" i="11"/>
  <c r="K585" i="11"/>
  <c r="J585" i="11"/>
  <c r="I585" i="11"/>
  <c r="H585" i="11"/>
  <c r="G585" i="11"/>
  <c r="F585" i="11"/>
  <c r="M584" i="11"/>
  <c r="L584" i="11"/>
  <c r="K584" i="11"/>
  <c r="J584" i="11"/>
  <c r="I584" i="11"/>
  <c r="H584" i="11"/>
  <c r="G584" i="11"/>
  <c r="F584" i="11"/>
  <c r="M583" i="11"/>
  <c r="L583" i="11"/>
  <c r="K583" i="11"/>
  <c r="J583" i="11"/>
  <c r="I583" i="11"/>
  <c r="H583" i="11"/>
  <c r="G583" i="11"/>
  <c r="F583" i="11"/>
  <c r="M582" i="11"/>
  <c r="L582" i="11"/>
  <c r="K582" i="11"/>
  <c r="J582" i="11"/>
  <c r="I582" i="11"/>
  <c r="H582" i="11"/>
  <c r="G582" i="11"/>
  <c r="F582" i="11"/>
  <c r="M581" i="11"/>
  <c r="L581" i="11"/>
  <c r="K581" i="11"/>
  <c r="J581" i="11"/>
  <c r="I581" i="11"/>
  <c r="H581" i="11"/>
  <c r="G581" i="11"/>
  <c r="F581" i="11"/>
  <c r="M580" i="11"/>
  <c r="L580" i="11"/>
  <c r="K580" i="11"/>
  <c r="J580" i="11"/>
  <c r="I580" i="11"/>
  <c r="H580" i="11"/>
  <c r="G580" i="11"/>
  <c r="F580" i="11"/>
  <c r="M579" i="11"/>
  <c r="L579" i="11"/>
  <c r="K579" i="11"/>
  <c r="J579" i="11"/>
  <c r="I579" i="11"/>
  <c r="H579" i="11"/>
  <c r="G579" i="11"/>
  <c r="F579" i="11"/>
  <c r="M578" i="11"/>
  <c r="L578" i="11"/>
  <c r="K578" i="11"/>
  <c r="J578" i="11"/>
  <c r="I578" i="11"/>
  <c r="H578" i="11"/>
  <c r="G578" i="11"/>
  <c r="F578" i="11"/>
  <c r="M577" i="11"/>
  <c r="L577" i="11"/>
  <c r="K577" i="11"/>
  <c r="J577" i="11"/>
  <c r="I577" i="11"/>
  <c r="H577" i="11"/>
  <c r="G577" i="11"/>
  <c r="F577" i="11"/>
  <c r="M576" i="11"/>
  <c r="L576" i="11"/>
  <c r="K576" i="11"/>
  <c r="J576" i="11"/>
  <c r="I576" i="11"/>
  <c r="H576" i="11"/>
  <c r="G576" i="11"/>
  <c r="F576" i="11"/>
  <c r="M575" i="11"/>
  <c r="L575" i="11"/>
  <c r="K575" i="11"/>
  <c r="J575" i="11"/>
  <c r="I575" i="11"/>
  <c r="H575" i="11"/>
  <c r="G575" i="11"/>
  <c r="F575" i="11"/>
  <c r="M574" i="11"/>
  <c r="L574" i="11"/>
  <c r="K574" i="11"/>
  <c r="J574" i="11"/>
  <c r="I574" i="11"/>
  <c r="H574" i="11"/>
  <c r="G574" i="11"/>
  <c r="F574" i="11"/>
  <c r="M573" i="11"/>
  <c r="L573" i="11"/>
  <c r="K573" i="11"/>
  <c r="J573" i="11"/>
  <c r="I573" i="11"/>
  <c r="H573" i="11"/>
  <c r="G573" i="11"/>
  <c r="F573" i="11"/>
  <c r="M572" i="11"/>
  <c r="L572" i="11"/>
  <c r="K572" i="11"/>
  <c r="J572" i="11"/>
  <c r="I572" i="11"/>
  <c r="H572" i="11"/>
  <c r="G572" i="11"/>
  <c r="F572" i="11"/>
  <c r="M571" i="11"/>
  <c r="L571" i="11"/>
  <c r="K571" i="11"/>
  <c r="J571" i="11"/>
  <c r="I571" i="11"/>
  <c r="H571" i="11"/>
  <c r="G571" i="11"/>
  <c r="F571" i="11"/>
  <c r="M570" i="11"/>
  <c r="L570" i="11"/>
  <c r="K570" i="11"/>
  <c r="J570" i="11"/>
  <c r="I570" i="11"/>
  <c r="H570" i="11"/>
  <c r="G570" i="11"/>
  <c r="F570" i="11"/>
  <c r="M569" i="11"/>
  <c r="L569" i="11"/>
  <c r="K569" i="11"/>
  <c r="J569" i="11"/>
  <c r="I569" i="11"/>
  <c r="H569" i="11"/>
  <c r="G569" i="11"/>
  <c r="F569" i="11"/>
  <c r="M568" i="11"/>
  <c r="L568" i="11"/>
  <c r="K568" i="11"/>
  <c r="J568" i="11"/>
  <c r="I568" i="11"/>
  <c r="H568" i="11"/>
  <c r="G568" i="11"/>
  <c r="F568" i="11"/>
  <c r="M567" i="11"/>
  <c r="L567" i="11"/>
  <c r="K567" i="11"/>
  <c r="J567" i="11"/>
  <c r="I567" i="11"/>
  <c r="H567" i="11"/>
  <c r="G567" i="11"/>
  <c r="F567" i="11"/>
  <c r="M566" i="11"/>
  <c r="L566" i="11"/>
  <c r="K566" i="11"/>
  <c r="J566" i="11"/>
  <c r="I566" i="11"/>
  <c r="H566" i="11"/>
  <c r="G566" i="11"/>
  <c r="F566" i="11"/>
  <c r="M565" i="11"/>
  <c r="L565" i="11"/>
  <c r="K565" i="11"/>
  <c r="J565" i="11"/>
  <c r="I565" i="11"/>
  <c r="H565" i="11"/>
  <c r="G565" i="11"/>
  <c r="F565" i="11"/>
  <c r="M564" i="11"/>
  <c r="L564" i="11"/>
  <c r="K564" i="11"/>
  <c r="J564" i="11"/>
  <c r="I564" i="11"/>
  <c r="H564" i="11"/>
  <c r="G564" i="11"/>
  <c r="F564" i="11"/>
  <c r="M563" i="11"/>
  <c r="L563" i="11"/>
  <c r="K563" i="11"/>
  <c r="J563" i="11"/>
  <c r="I563" i="11"/>
  <c r="H563" i="11"/>
  <c r="G563" i="11"/>
  <c r="F563" i="11"/>
  <c r="M562" i="11"/>
  <c r="L562" i="11"/>
  <c r="K562" i="11"/>
  <c r="J562" i="11"/>
  <c r="I562" i="11"/>
  <c r="H562" i="11"/>
  <c r="G562" i="11"/>
  <c r="F562" i="11"/>
  <c r="M561" i="11"/>
  <c r="L561" i="11"/>
  <c r="K561" i="11"/>
  <c r="J561" i="11"/>
  <c r="I561" i="11"/>
  <c r="H561" i="11"/>
  <c r="G561" i="11"/>
  <c r="F561" i="11"/>
  <c r="M560" i="11"/>
  <c r="L560" i="11"/>
  <c r="K560" i="11"/>
  <c r="J560" i="11"/>
  <c r="I560" i="11"/>
  <c r="H560" i="11"/>
  <c r="G560" i="11"/>
  <c r="F560" i="11"/>
  <c r="M559" i="11"/>
  <c r="L559" i="11"/>
  <c r="K559" i="11"/>
  <c r="J559" i="11"/>
  <c r="I559" i="11"/>
  <c r="H559" i="11"/>
  <c r="G559" i="11"/>
  <c r="F559" i="11"/>
  <c r="M558" i="11"/>
  <c r="L558" i="11"/>
  <c r="K558" i="11"/>
  <c r="J558" i="11"/>
  <c r="I558" i="11"/>
  <c r="H558" i="11"/>
  <c r="G558" i="11"/>
  <c r="F558" i="11"/>
  <c r="M557" i="11"/>
  <c r="L557" i="11"/>
  <c r="K557" i="11"/>
  <c r="J557" i="11"/>
  <c r="I557" i="11"/>
  <c r="H557" i="11"/>
  <c r="G557" i="11"/>
  <c r="F557" i="11"/>
  <c r="M556" i="11"/>
  <c r="L556" i="11"/>
  <c r="K556" i="11"/>
  <c r="J556" i="11"/>
  <c r="I556" i="11"/>
  <c r="H556" i="11"/>
  <c r="G556" i="11"/>
  <c r="F556" i="11"/>
  <c r="M555" i="11"/>
  <c r="L555" i="11"/>
  <c r="K555" i="11"/>
  <c r="J555" i="11"/>
  <c r="I555" i="11"/>
  <c r="H555" i="11"/>
  <c r="G555" i="11"/>
  <c r="F555" i="11"/>
  <c r="M554" i="11"/>
  <c r="L554" i="11"/>
  <c r="K554" i="11"/>
  <c r="J554" i="11"/>
  <c r="I554" i="11"/>
  <c r="H554" i="11"/>
  <c r="G554" i="11"/>
  <c r="F554" i="11"/>
  <c r="M553" i="11"/>
  <c r="L553" i="11"/>
  <c r="K553" i="11"/>
  <c r="J553" i="11"/>
  <c r="I553" i="11"/>
  <c r="H553" i="11"/>
  <c r="G553" i="11"/>
  <c r="F553" i="11"/>
  <c r="M552" i="11"/>
  <c r="L552" i="11"/>
  <c r="K552" i="11"/>
  <c r="J552" i="11"/>
  <c r="I552" i="11"/>
  <c r="H552" i="11"/>
  <c r="G552" i="11"/>
  <c r="F552" i="11"/>
  <c r="M551" i="11"/>
  <c r="L551" i="11"/>
  <c r="K551" i="11"/>
  <c r="J551" i="11"/>
  <c r="I551" i="11"/>
  <c r="H551" i="11"/>
  <c r="G551" i="11"/>
  <c r="F551" i="11"/>
  <c r="M550" i="11"/>
  <c r="L550" i="11"/>
  <c r="K550" i="11"/>
  <c r="J550" i="11"/>
  <c r="I550" i="11"/>
  <c r="H550" i="11"/>
  <c r="G550" i="11"/>
  <c r="F550" i="11"/>
  <c r="M549" i="11"/>
  <c r="L549" i="11"/>
  <c r="K549" i="11"/>
  <c r="J549" i="11"/>
  <c r="I549" i="11"/>
  <c r="H549" i="11"/>
  <c r="G549" i="11"/>
  <c r="F549" i="11"/>
  <c r="M548" i="11"/>
  <c r="L548" i="11"/>
  <c r="K548" i="11"/>
  <c r="J548" i="11"/>
  <c r="I548" i="11"/>
  <c r="H548" i="11"/>
  <c r="G548" i="11"/>
  <c r="F548" i="11"/>
  <c r="M547" i="11"/>
  <c r="L547" i="11"/>
  <c r="K547" i="11"/>
  <c r="J547" i="11"/>
  <c r="I547" i="11"/>
  <c r="H547" i="11"/>
  <c r="G547" i="11"/>
  <c r="F547" i="11"/>
  <c r="M546" i="11"/>
  <c r="L546" i="11"/>
  <c r="K546" i="11"/>
  <c r="J546" i="11"/>
  <c r="I546" i="11"/>
  <c r="H546" i="11"/>
  <c r="G546" i="11"/>
  <c r="F546" i="11"/>
  <c r="M545" i="11"/>
  <c r="L545" i="11"/>
  <c r="K545" i="11"/>
  <c r="J545" i="11"/>
  <c r="I545" i="11"/>
  <c r="H545" i="11"/>
  <c r="G545" i="11"/>
  <c r="F545" i="11"/>
  <c r="M544" i="11"/>
  <c r="L544" i="11"/>
  <c r="K544" i="11"/>
  <c r="J544" i="11"/>
  <c r="I544" i="11"/>
  <c r="H544" i="11"/>
  <c r="G544" i="11"/>
  <c r="F544" i="11"/>
  <c r="M543" i="11"/>
  <c r="L543" i="11"/>
  <c r="K543" i="11"/>
  <c r="J543" i="11"/>
  <c r="I543" i="11"/>
  <c r="H543" i="11"/>
  <c r="G543" i="11"/>
  <c r="F543" i="11"/>
  <c r="M542" i="11"/>
  <c r="L542" i="11"/>
  <c r="K542" i="11"/>
  <c r="J542" i="11"/>
  <c r="I542" i="11"/>
  <c r="H542" i="11"/>
  <c r="G542" i="11"/>
  <c r="F542" i="11"/>
  <c r="M541" i="11"/>
  <c r="L541" i="11"/>
  <c r="K541" i="11"/>
  <c r="J541" i="11"/>
  <c r="I541" i="11"/>
  <c r="H541" i="11"/>
  <c r="G541" i="11"/>
  <c r="F541" i="11"/>
  <c r="M540" i="11"/>
  <c r="L540" i="11"/>
  <c r="K540" i="11"/>
  <c r="J540" i="11"/>
  <c r="I540" i="11"/>
  <c r="H540" i="11"/>
  <c r="G540" i="11"/>
  <c r="F540" i="11"/>
  <c r="M539" i="11"/>
  <c r="L539" i="11"/>
  <c r="K539" i="11"/>
  <c r="J539" i="11"/>
  <c r="I539" i="11"/>
  <c r="H539" i="11"/>
  <c r="G539" i="11"/>
  <c r="F539" i="11"/>
  <c r="M538" i="11"/>
  <c r="L538" i="11"/>
  <c r="K538" i="11"/>
  <c r="J538" i="11"/>
  <c r="I538" i="11"/>
  <c r="H538" i="11"/>
  <c r="G538" i="11"/>
  <c r="F538" i="11"/>
  <c r="M537" i="11"/>
  <c r="L537" i="11"/>
  <c r="K537" i="11"/>
  <c r="J537" i="11"/>
  <c r="I537" i="11"/>
  <c r="H537" i="11"/>
  <c r="G537" i="11"/>
  <c r="F537" i="11"/>
  <c r="M536" i="11"/>
  <c r="L536" i="11"/>
  <c r="K536" i="11"/>
  <c r="J536" i="11"/>
  <c r="I536" i="11"/>
  <c r="H536" i="11"/>
  <c r="G536" i="11"/>
  <c r="F536" i="11"/>
  <c r="M535" i="11"/>
  <c r="L535" i="11"/>
  <c r="K535" i="11"/>
  <c r="J535" i="11"/>
  <c r="I535" i="11"/>
  <c r="H535" i="11"/>
  <c r="G535" i="11"/>
  <c r="F535" i="11"/>
  <c r="M534" i="11"/>
  <c r="L534" i="11"/>
  <c r="K534" i="11"/>
  <c r="J534" i="11"/>
  <c r="I534" i="11"/>
  <c r="H534" i="11"/>
  <c r="G534" i="11"/>
  <c r="F534" i="11"/>
  <c r="M533" i="11"/>
  <c r="L533" i="11"/>
  <c r="K533" i="11"/>
  <c r="J533" i="11"/>
  <c r="I533" i="11"/>
  <c r="H533" i="11"/>
  <c r="G533" i="11"/>
  <c r="F533" i="11"/>
  <c r="M532" i="11"/>
  <c r="L532" i="11"/>
  <c r="K532" i="11"/>
  <c r="J532" i="11"/>
  <c r="I532" i="11"/>
  <c r="H532" i="11"/>
  <c r="G532" i="11"/>
  <c r="F532" i="11"/>
  <c r="M531" i="11"/>
  <c r="L531" i="11"/>
  <c r="K531" i="11"/>
  <c r="J531" i="11"/>
  <c r="I531" i="11"/>
  <c r="H531" i="11"/>
  <c r="G531" i="11"/>
  <c r="F531" i="11"/>
  <c r="M530" i="11"/>
  <c r="L530" i="11"/>
  <c r="K530" i="11"/>
  <c r="J530" i="11"/>
  <c r="I530" i="11"/>
  <c r="H530" i="11"/>
  <c r="G530" i="11"/>
  <c r="F530" i="11"/>
  <c r="M529" i="11"/>
  <c r="L529" i="11"/>
  <c r="K529" i="11"/>
  <c r="J529" i="11"/>
  <c r="I529" i="11"/>
  <c r="H529" i="11"/>
  <c r="G529" i="11"/>
  <c r="F529" i="11"/>
  <c r="M528" i="11"/>
  <c r="L528" i="11"/>
  <c r="K528" i="11"/>
  <c r="J528" i="11"/>
  <c r="I528" i="11"/>
  <c r="H528" i="11"/>
  <c r="G528" i="11"/>
  <c r="F528" i="11"/>
  <c r="M527" i="11"/>
  <c r="L527" i="11"/>
  <c r="K527" i="11"/>
  <c r="J527" i="11"/>
  <c r="I527" i="11"/>
  <c r="H527" i="11"/>
  <c r="G527" i="11"/>
  <c r="F527" i="11"/>
  <c r="M526" i="11"/>
  <c r="L526" i="11"/>
  <c r="K526" i="11"/>
  <c r="J526" i="11"/>
  <c r="I526" i="11"/>
  <c r="H526" i="11"/>
  <c r="G526" i="11"/>
  <c r="F526" i="11"/>
  <c r="M525" i="11"/>
  <c r="L525" i="11"/>
  <c r="K525" i="11"/>
  <c r="J525" i="11"/>
  <c r="I525" i="11"/>
  <c r="H525" i="11"/>
  <c r="G525" i="11"/>
  <c r="F525" i="11"/>
  <c r="M524" i="11"/>
  <c r="L524" i="11"/>
  <c r="K524" i="11"/>
  <c r="J524" i="11"/>
  <c r="I524" i="11"/>
  <c r="H524" i="11"/>
  <c r="G524" i="11"/>
  <c r="F524" i="11"/>
  <c r="M523" i="11"/>
  <c r="L523" i="11"/>
  <c r="K523" i="11"/>
  <c r="J523" i="11"/>
  <c r="I523" i="11"/>
  <c r="H523" i="11"/>
  <c r="G523" i="11"/>
  <c r="F523" i="11"/>
  <c r="M522" i="11"/>
  <c r="L522" i="11"/>
  <c r="K522" i="11"/>
  <c r="J522" i="11"/>
  <c r="I522" i="11"/>
  <c r="H522" i="11"/>
  <c r="G522" i="11"/>
  <c r="F522" i="11"/>
  <c r="M521" i="11"/>
  <c r="L521" i="11"/>
  <c r="K521" i="11"/>
  <c r="J521" i="11"/>
  <c r="I521" i="11"/>
  <c r="H521" i="11"/>
  <c r="G521" i="11"/>
  <c r="F521" i="11"/>
  <c r="M520" i="11"/>
  <c r="L520" i="11"/>
  <c r="K520" i="11"/>
  <c r="J520" i="11"/>
  <c r="I520" i="11"/>
  <c r="H520" i="11"/>
  <c r="G520" i="11"/>
  <c r="F520" i="11"/>
  <c r="M519" i="11"/>
  <c r="L519" i="11"/>
  <c r="K519" i="11"/>
  <c r="J519" i="11"/>
  <c r="I519" i="11"/>
  <c r="H519" i="11"/>
  <c r="G519" i="11"/>
  <c r="F519" i="11"/>
  <c r="M518" i="11"/>
  <c r="L518" i="11"/>
  <c r="K518" i="11"/>
  <c r="J518" i="11"/>
  <c r="I518" i="11"/>
  <c r="H518" i="11"/>
  <c r="G518" i="11"/>
  <c r="F518" i="11"/>
  <c r="M517" i="11"/>
  <c r="L517" i="11"/>
  <c r="K517" i="11"/>
  <c r="J517" i="11"/>
  <c r="I517" i="11"/>
  <c r="H517" i="11"/>
  <c r="G517" i="11"/>
  <c r="F517" i="11"/>
  <c r="M516" i="11"/>
  <c r="L516" i="11"/>
  <c r="K516" i="11"/>
  <c r="J516" i="11"/>
  <c r="I516" i="11"/>
  <c r="H516" i="11"/>
  <c r="G516" i="11"/>
  <c r="F516" i="11"/>
  <c r="M515" i="11"/>
  <c r="L515" i="11"/>
  <c r="K515" i="11"/>
  <c r="J515" i="11"/>
  <c r="I515" i="11"/>
  <c r="H515" i="11"/>
  <c r="G515" i="11"/>
  <c r="F515" i="11"/>
  <c r="M514" i="11"/>
  <c r="L514" i="11"/>
  <c r="K514" i="11"/>
  <c r="J514" i="11"/>
  <c r="I514" i="11"/>
  <c r="H514" i="11"/>
  <c r="G514" i="11"/>
  <c r="F514" i="11"/>
  <c r="M513" i="11"/>
  <c r="L513" i="11"/>
  <c r="K513" i="11"/>
  <c r="J513" i="11"/>
  <c r="I513" i="11"/>
  <c r="H513" i="11"/>
  <c r="G513" i="11"/>
  <c r="F513" i="11"/>
  <c r="M512" i="11"/>
  <c r="L512" i="11"/>
  <c r="K512" i="11"/>
  <c r="J512" i="11"/>
  <c r="I512" i="11"/>
  <c r="H512" i="11"/>
  <c r="G512" i="11"/>
  <c r="F512" i="11"/>
  <c r="M511" i="11"/>
  <c r="L511" i="11"/>
  <c r="K511" i="11"/>
  <c r="J511" i="11"/>
  <c r="I511" i="11"/>
  <c r="H511" i="11"/>
  <c r="G511" i="11"/>
  <c r="F511" i="11"/>
  <c r="M510" i="11"/>
  <c r="L510" i="11"/>
  <c r="K510" i="11"/>
  <c r="J510" i="11"/>
  <c r="I510" i="11"/>
  <c r="H510" i="11"/>
  <c r="G510" i="11"/>
  <c r="F510" i="11"/>
  <c r="M509" i="11"/>
  <c r="L509" i="11"/>
  <c r="K509" i="11"/>
  <c r="J509" i="11"/>
  <c r="I509" i="11"/>
  <c r="H509" i="11"/>
  <c r="G509" i="11"/>
  <c r="F509" i="11"/>
  <c r="M508" i="11"/>
  <c r="L508" i="11"/>
  <c r="K508" i="11"/>
  <c r="J508" i="11"/>
  <c r="I508" i="11"/>
  <c r="H508" i="11"/>
  <c r="G508" i="11"/>
  <c r="F508" i="11"/>
  <c r="M507" i="11"/>
  <c r="L507" i="11"/>
  <c r="K507" i="11"/>
  <c r="J507" i="11"/>
  <c r="I507" i="11"/>
  <c r="H507" i="11"/>
  <c r="G507" i="11"/>
  <c r="F507" i="11"/>
  <c r="M506" i="11"/>
  <c r="L506" i="11"/>
  <c r="K506" i="11"/>
  <c r="J506" i="11"/>
  <c r="I506" i="11"/>
  <c r="H506" i="11"/>
  <c r="G506" i="11"/>
  <c r="F506" i="11"/>
  <c r="M505" i="11"/>
  <c r="L505" i="11"/>
  <c r="K505" i="11"/>
  <c r="J505" i="11"/>
  <c r="I505" i="11"/>
  <c r="H505" i="11"/>
  <c r="G505" i="11"/>
  <c r="F505" i="11"/>
  <c r="M504" i="11"/>
  <c r="L504" i="11"/>
  <c r="K504" i="11"/>
  <c r="J504" i="11"/>
  <c r="I504" i="11"/>
  <c r="H504" i="11"/>
  <c r="G504" i="11"/>
  <c r="F504" i="11"/>
  <c r="M503" i="11"/>
  <c r="L503" i="11"/>
  <c r="K503" i="11"/>
  <c r="J503" i="11"/>
  <c r="I503" i="11"/>
  <c r="H503" i="11"/>
  <c r="G503" i="11"/>
  <c r="F503" i="11"/>
  <c r="M502" i="11"/>
  <c r="L502" i="11"/>
  <c r="K502" i="11"/>
  <c r="J502" i="11"/>
  <c r="I502" i="11"/>
  <c r="H502" i="11"/>
  <c r="G502" i="11"/>
  <c r="F502" i="11"/>
  <c r="M501" i="11"/>
  <c r="L501" i="11"/>
  <c r="K501" i="11"/>
  <c r="J501" i="11"/>
  <c r="I501" i="11"/>
  <c r="H501" i="11"/>
  <c r="G501" i="11"/>
  <c r="F501" i="11"/>
  <c r="M500" i="11"/>
  <c r="L500" i="11"/>
  <c r="K500" i="11"/>
  <c r="J500" i="11"/>
  <c r="I500" i="11"/>
  <c r="H500" i="11"/>
  <c r="G500" i="11"/>
  <c r="F500" i="11"/>
  <c r="M499" i="11"/>
  <c r="L499" i="11"/>
  <c r="K499" i="11"/>
  <c r="J499" i="11"/>
  <c r="I499" i="11"/>
  <c r="H499" i="11"/>
  <c r="G499" i="11"/>
  <c r="F499" i="11"/>
  <c r="M498" i="11"/>
  <c r="L498" i="11"/>
  <c r="K498" i="11"/>
  <c r="J498" i="11"/>
  <c r="I498" i="11"/>
  <c r="H498" i="11"/>
  <c r="G498" i="11"/>
  <c r="F498" i="11"/>
  <c r="M497" i="11"/>
  <c r="L497" i="11"/>
  <c r="K497" i="11"/>
  <c r="J497" i="11"/>
  <c r="I497" i="11"/>
  <c r="H497" i="11"/>
  <c r="G497" i="11"/>
  <c r="F497" i="11"/>
  <c r="M496" i="11"/>
  <c r="L496" i="11"/>
  <c r="K496" i="11"/>
  <c r="J496" i="11"/>
  <c r="I496" i="11"/>
  <c r="H496" i="11"/>
  <c r="G496" i="11"/>
  <c r="F496" i="11"/>
  <c r="M495" i="11"/>
  <c r="L495" i="11"/>
  <c r="K495" i="11"/>
  <c r="J495" i="11"/>
  <c r="I495" i="11"/>
  <c r="H495" i="11"/>
  <c r="G495" i="11"/>
  <c r="F495" i="11"/>
  <c r="M494" i="11"/>
  <c r="L494" i="11"/>
  <c r="K494" i="11"/>
  <c r="J494" i="11"/>
  <c r="I494" i="11"/>
  <c r="H494" i="11"/>
  <c r="G494" i="11"/>
  <c r="F494" i="11"/>
  <c r="M493" i="11"/>
  <c r="L493" i="11"/>
  <c r="K493" i="11"/>
  <c r="J493" i="11"/>
  <c r="I493" i="11"/>
  <c r="H493" i="11"/>
  <c r="G493" i="11"/>
  <c r="F493" i="11"/>
  <c r="M492" i="11"/>
  <c r="L492" i="11"/>
  <c r="K492" i="11"/>
  <c r="J492" i="11"/>
  <c r="I492" i="11"/>
  <c r="H492" i="11"/>
  <c r="G492" i="11"/>
  <c r="F492" i="11"/>
  <c r="M491" i="11"/>
  <c r="L491" i="11"/>
  <c r="K491" i="11"/>
  <c r="J491" i="11"/>
  <c r="I491" i="11"/>
  <c r="H491" i="11"/>
  <c r="G491" i="11"/>
  <c r="F491" i="11"/>
  <c r="M490" i="11"/>
  <c r="L490" i="11"/>
  <c r="K490" i="11"/>
  <c r="J490" i="11"/>
  <c r="I490" i="11"/>
  <c r="H490" i="11"/>
  <c r="G490" i="11"/>
  <c r="F490" i="11"/>
  <c r="M489" i="11"/>
  <c r="L489" i="11"/>
  <c r="K489" i="11"/>
  <c r="J489" i="11"/>
  <c r="I489" i="11"/>
  <c r="H489" i="11"/>
  <c r="G489" i="11"/>
  <c r="F489" i="11"/>
  <c r="M488" i="11"/>
  <c r="L488" i="11"/>
  <c r="K488" i="11"/>
  <c r="J488" i="11"/>
  <c r="I488" i="11"/>
  <c r="H488" i="11"/>
  <c r="G488" i="11"/>
  <c r="F488" i="11"/>
  <c r="M487" i="11"/>
  <c r="L487" i="11"/>
  <c r="K487" i="11"/>
  <c r="J487" i="11"/>
  <c r="I487" i="11"/>
  <c r="H487" i="11"/>
  <c r="G487" i="11"/>
  <c r="F487" i="11"/>
  <c r="M486" i="11"/>
  <c r="L486" i="11"/>
  <c r="K486" i="11"/>
  <c r="J486" i="11"/>
  <c r="I486" i="11"/>
  <c r="H486" i="11"/>
  <c r="G486" i="11"/>
  <c r="F486" i="11"/>
  <c r="M485" i="11"/>
  <c r="L485" i="11"/>
  <c r="K485" i="11"/>
  <c r="J485" i="11"/>
  <c r="I485" i="11"/>
  <c r="H485" i="11"/>
  <c r="G485" i="11"/>
  <c r="F485" i="11"/>
  <c r="M484" i="11"/>
  <c r="L484" i="11"/>
  <c r="K484" i="11"/>
  <c r="J484" i="11"/>
  <c r="I484" i="11"/>
  <c r="H484" i="11"/>
  <c r="G484" i="11"/>
  <c r="F484" i="11"/>
  <c r="M483" i="11"/>
  <c r="L483" i="11"/>
  <c r="K483" i="11"/>
  <c r="J483" i="11"/>
  <c r="I483" i="11"/>
  <c r="H483" i="11"/>
  <c r="G483" i="11"/>
  <c r="F483" i="11"/>
  <c r="M482" i="11"/>
  <c r="L482" i="11"/>
  <c r="K482" i="11"/>
  <c r="J482" i="11"/>
  <c r="I482" i="11"/>
  <c r="H482" i="11"/>
  <c r="G482" i="11"/>
  <c r="F482" i="11"/>
  <c r="M481" i="11"/>
  <c r="L481" i="11"/>
  <c r="K481" i="11"/>
  <c r="J481" i="11"/>
  <c r="I481" i="11"/>
  <c r="H481" i="11"/>
  <c r="G481" i="11"/>
  <c r="F481" i="11"/>
  <c r="M480" i="11"/>
  <c r="L480" i="11"/>
  <c r="K480" i="11"/>
  <c r="J480" i="11"/>
  <c r="I480" i="11"/>
  <c r="H480" i="11"/>
  <c r="G480" i="11"/>
  <c r="F480" i="11"/>
  <c r="M479" i="11"/>
  <c r="L479" i="11"/>
  <c r="K479" i="11"/>
  <c r="J479" i="11"/>
  <c r="I479" i="11"/>
  <c r="H479" i="11"/>
  <c r="G479" i="11"/>
  <c r="F479" i="11"/>
  <c r="M478" i="11"/>
  <c r="L478" i="11"/>
  <c r="K478" i="11"/>
  <c r="J478" i="11"/>
  <c r="I478" i="11"/>
  <c r="H478" i="11"/>
  <c r="G478" i="11"/>
  <c r="F478" i="11"/>
  <c r="M477" i="11"/>
  <c r="L477" i="11"/>
  <c r="K477" i="11"/>
  <c r="J477" i="11"/>
  <c r="I477" i="11"/>
  <c r="H477" i="11"/>
  <c r="G477" i="11"/>
  <c r="F477" i="11"/>
  <c r="M476" i="11"/>
  <c r="L476" i="11"/>
  <c r="K476" i="11"/>
  <c r="J476" i="11"/>
  <c r="I476" i="11"/>
  <c r="H476" i="11"/>
  <c r="G476" i="11"/>
  <c r="F476" i="11"/>
  <c r="M475" i="11"/>
  <c r="L475" i="11"/>
  <c r="K475" i="11"/>
  <c r="J475" i="11"/>
  <c r="I475" i="11"/>
  <c r="H475" i="11"/>
  <c r="G475" i="11"/>
  <c r="F475" i="11"/>
  <c r="M474" i="11"/>
  <c r="L474" i="11"/>
  <c r="K474" i="11"/>
  <c r="J474" i="11"/>
  <c r="I474" i="11"/>
  <c r="H474" i="11"/>
  <c r="G474" i="11"/>
  <c r="F474" i="11"/>
  <c r="M473" i="11"/>
  <c r="L473" i="11"/>
  <c r="K473" i="11"/>
  <c r="J473" i="11"/>
  <c r="I473" i="11"/>
  <c r="H473" i="11"/>
  <c r="G473" i="11"/>
  <c r="F473" i="11"/>
  <c r="M472" i="11"/>
  <c r="L472" i="11"/>
  <c r="K472" i="11"/>
  <c r="J472" i="11"/>
  <c r="I472" i="11"/>
  <c r="H472" i="11"/>
  <c r="G472" i="11"/>
  <c r="F472" i="11"/>
  <c r="M471" i="11"/>
  <c r="L471" i="11"/>
  <c r="K471" i="11"/>
  <c r="J471" i="11"/>
  <c r="I471" i="11"/>
  <c r="H471" i="11"/>
  <c r="G471" i="11"/>
  <c r="F471" i="11"/>
  <c r="M470" i="11"/>
  <c r="L470" i="11"/>
  <c r="K470" i="11"/>
  <c r="J470" i="11"/>
  <c r="I470" i="11"/>
  <c r="H470" i="11"/>
  <c r="G470" i="11"/>
  <c r="F470" i="11"/>
  <c r="M469" i="11"/>
  <c r="L469" i="11"/>
  <c r="K469" i="11"/>
  <c r="J469" i="11"/>
  <c r="I469" i="11"/>
  <c r="H469" i="11"/>
  <c r="G469" i="11"/>
  <c r="F469" i="11"/>
  <c r="M468" i="11"/>
  <c r="L468" i="11"/>
  <c r="K468" i="11"/>
  <c r="J468" i="11"/>
  <c r="I468" i="11"/>
  <c r="H468" i="11"/>
  <c r="G468" i="11"/>
  <c r="F468" i="11"/>
  <c r="M467" i="11"/>
  <c r="L467" i="11"/>
  <c r="K467" i="11"/>
  <c r="J467" i="11"/>
  <c r="I467" i="11"/>
  <c r="H467" i="11"/>
  <c r="G467" i="11"/>
  <c r="F467" i="11"/>
  <c r="M466" i="11"/>
  <c r="L466" i="11"/>
  <c r="K466" i="11"/>
  <c r="J466" i="11"/>
  <c r="I466" i="11"/>
  <c r="H466" i="11"/>
  <c r="G466" i="11"/>
  <c r="F466" i="11"/>
  <c r="M465" i="11"/>
  <c r="L465" i="11"/>
  <c r="K465" i="11"/>
  <c r="J465" i="11"/>
  <c r="I465" i="11"/>
  <c r="H465" i="11"/>
  <c r="G465" i="11"/>
  <c r="F465" i="11"/>
  <c r="M464" i="11"/>
  <c r="L464" i="11"/>
  <c r="K464" i="11"/>
  <c r="J464" i="11"/>
  <c r="I464" i="11"/>
  <c r="H464" i="11"/>
  <c r="G464" i="11"/>
  <c r="F464" i="11"/>
  <c r="M463" i="11"/>
  <c r="L463" i="11"/>
  <c r="K463" i="11"/>
  <c r="J463" i="11"/>
  <c r="I463" i="11"/>
  <c r="H463" i="11"/>
  <c r="G463" i="11"/>
  <c r="F463" i="11"/>
  <c r="M462" i="11"/>
  <c r="L462" i="11"/>
  <c r="K462" i="11"/>
  <c r="J462" i="11"/>
  <c r="I462" i="11"/>
  <c r="H462" i="11"/>
  <c r="G462" i="11"/>
  <c r="F462" i="11"/>
  <c r="M461" i="11"/>
  <c r="L461" i="11"/>
  <c r="K461" i="11"/>
  <c r="J461" i="11"/>
  <c r="I461" i="11"/>
  <c r="H461" i="11"/>
  <c r="G461" i="11"/>
  <c r="F461" i="11"/>
  <c r="M460" i="11"/>
  <c r="L460" i="11"/>
  <c r="K460" i="11"/>
  <c r="J460" i="11"/>
  <c r="I460" i="11"/>
  <c r="H460" i="11"/>
  <c r="G460" i="11"/>
  <c r="F460" i="11"/>
  <c r="M459" i="11"/>
  <c r="L459" i="11"/>
  <c r="K459" i="11"/>
  <c r="J459" i="11"/>
  <c r="I459" i="11"/>
  <c r="H459" i="11"/>
  <c r="G459" i="11"/>
  <c r="F459" i="11"/>
  <c r="M458" i="11"/>
  <c r="L458" i="11"/>
  <c r="K458" i="11"/>
  <c r="J458" i="11"/>
  <c r="I458" i="11"/>
  <c r="H458" i="11"/>
  <c r="G458" i="11"/>
  <c r="F458" i="11"/>
  <c r="M457" i="11"/>
  <c r="L457" i="11"/>
  <c r="K457" i="11"/>
  <c r="J457" i="11"/>
  <c r="I457" i="11"/>
  <c r="H457" i="11"/>
  <c r="G457" i="11"/>
  <c r="F457" i="11"/>
  <c r="M456" i="11"/>
  <c r="L456" i="11"/>
  <c r="K456" i="11"/>
  <c r="J456" i="11"/>
  <c r="I456" i="11"/>
  <c r="H456" i="11"/>
  <c r="G456" i="11"/>
  <c r="F456" i="11"/>
  <c r="M455" i="11"/>
  <c r="L455" i="11"/>
  <c r="K455" i="11"/>
  <c r="J455" i="11"/>
  <c r="I455" i="11"/>
  <c r="H455" i="11"/>
  <c r="G455" i="11"/>
  <c r="F455" i="11"/>
  <c r="M454" i="11"/>
  <c r="L454" i="11"/>
  <c r="K454" i="11"/>
  <c r="J454" i="11"/>
  <c r="I454" i="11"/>
  <c r="H454" i="11"/>
  <c r="G454" i="11"/>
  <c r="F454" i="11"/>
  <c r="M453" i="11"/>
  <c r="L453" i="11"/>
  <c r="K453" i="11"/>
  <c r="J453" i="11"/>
  <c r="I453" i="11"/>
  <c r="H453" i="11"/>
  <c r="G453" i="11"/>
  <c r="F453" i="11"/>
  <c r="M452" i="11"/>
  <c r="L452" i="11"/>
  <c r="K452" i="11"/>
  <c r="J452" i="11"/>
  <c r="I452" i="11"/>
  <c r="H452" i="11"/>
  <c r="G452" i="11"/>
  <c r="F452" i="11"/>
  <c r="M451" i="11"/>
  <c r="L451" i="11"/>
  <c r="K451" i="11"/>
  <c r="J451" i="11"/>
  <c r="I451" i="11"/>
  <c r="H451" i="11"/>
  <c r="G451" i="11"/>
  <c r="F451" i="11"/>
  <c r="M450" i="11"/>
  <c r="L450" i="11"/>
  <c r="K450" i="11"/>
  <c r="J450" i="11"/>
  <c r="I450" i="11"/>
  <c r="H450" i="11"/>
  <c r="G450" i="11"/>
  <c r="F450" i="11"/>
  <c r="M449" i="11"/>
  <c r="L449" i="11"/>
  <c r="K449" i="11"/>
  <c r="J449" i="11"/>
  <c r="I449" i="11"/>
  <c r="H449" i="11"/>
  <c r="G449" i="11"/>
  <c r="F449" i="11"/>
  <c r="M448" i="11"/>
  <c r="L448" i="11"/>
  <c r="K448" i="11"/>
  <c r="J448" i="11"/>
  <c r="I448" i="11"/>
  <c r="H448" i="11"/>
  <c r="G448" i="11"/>
  <c r="F448" i="11"/>
  <c r="M447" i="11"/>
  <c r="L447" i="11"/>
  <c r="K447" i="11"/>
  <c r="J447" i="11"/>
  <c r="I447" i="11"/>
  <c r="H447" i="11"/>
  <c r="G447" i="11"/>
  <c r="F447" i="11"/>
  <c r="M446" i="11"/>
  <c r="L446" i="11"/>
  <c r="K446" i="11"/>
  <c r="J446" i="11"/>
  <c r="I446" i="11"/>
  <c r="H446" i="11"/>
  <c r="G446" i="11"/>
  <c r="F446" i="11"/>
  <c r="M445" i="11"/>
  <c r="L445" i="11"/>
  <c r="K445" i="11"/>
  <c r="J445" i="11"/>
  <c r="I445" i="11"/>
  <c r="H445" i="11"/>
  <c r="G445" i="11"/>
  <c r="F445" i="11"/>
  <c r="M444" i="11"/>
  <c r="L444" i="11"/>
  <c r="K444" i="11"/>
  <c r="J444" i="11"/>
  <c r="I444" i="11"/>
  <c r="H444" i="11"/>
  <c r="G444" i="11"/>
  <c r="F444" i="11"/>
  <c r="M443" i="11"/>
  <c r="L443" i="11"/>
  <c r="K443" i="11"/>
  <c r="J443" i="11"/>
  <c r="I443" i="11"/>
  <c r="H443" i="11"/>
  <c r="G443" i="11"/>
  <c r="F443" i="11"/>
  <c r="M442" i="11"/>
  <c r="L442" i="11"/>
  <c r="K442" i="11"/>
  <c r="J442" i="11"/>
  <c r="I442" i="11"/>
  <c r="H442" i="11"/>
  <c r="G442" i="11"/>
  <c r="F442" i="11"/>
  <c r="M441" i="11"/>
  <c r="L441" i="11"/>
  <c r="K441" i="11"/>
  <c r="J441" i="11"/>
  <c r="I441" i="11"/>
  <c r="H441" i="11"/>
  <c r="G441" i="11"/>
  <c r="F441" i="11"/>
  <c r="M440" i="11"/>
  <c r="L440" i="11"/>
  <c r="K440" i="11"/>
  <c r="J440" i="11"/>
  <c r="I440" i="11"/>
  <c r="H440" i="11"/>
  <c r="G440" i="11"/>
  <c r="F440" i="11"/>
  <c r="M439" i="11"/>
  <c r="L439" i="11"/>
  <c r="K439" i="11"/>
  <c r="J439" i="11"/>
  <c r="I439" i="11"/>
  <c r="H439" i="11"/>
  <c r="G439" i="11"/>
  <c r="F439" i="11"/>
  <c r="M438" i="11"/>
  <c r="L438" i="11"/>
  <c r="K438" i="11"/>
  <c r="J438" i="11"/>
  <c r="I438" i="11"/>
  <c r="H438" i="11"/>
  <c r="G438" i="11"/>
  <c r="F438" i="11"/>
  <c r="M437" i="11"/>
  <c r="L437" i="11"/>
  <c r="K437" i="11"/>
  <c r="J437" i="11"/>
  <c r="I437" i="11"/>
  <c r="H437" i="11"/>
  <c r="G437" i="11"/>
  <c r="F437" i="11"/>
  <c r="M436" i="11"/>
  <c r="L436" i="11"/>
  <c r="K436" i="11"/>
  <c r="J436" i="11"/>
  <c r="I436" i="11"/>
  <c r="H436" i="11"/>
  <c r="G436" i="11"/>
  <c r="F436" i="11"/>
  <c r="M435" i="11"/>
  <c r="L435" i="11"/>
  <c r="K435" i="11"/>
  <c r="J435" i="11"/>
  <c r="I435" i="11"/>
  <c r="H435" i="11"/>
  <c r="G435" i="11"/>
  <c r="F435" i="11"/>
  <c r="M434" i="11"/>
  <c r="L434" i="11"/>
  <c r="K434" i="11"/>
  <c r="J434" i="11"/>
  <c r="I434" i="11"/>
  <c r="H434" i="11"/>
  <c r="G434" i="11"/>
  <c r="F434" i="11"/>
  <c r="M433" i="11"/>
  <c r="L433" i="11"/>
  <c r="K433" i="11"/>
  <c r="J433" i="11"/>
  <c r="I433" i="11"/>
  <c r="H433" i="11"/>
  <c r="G433" i="11"/>
  <c r="F433" i="11"/>
  <c r="M432" i="11"/>
  <c r="L432" i="11"/>
  <c r="K432" i="11"/>
  <c r="J432" i="11"/>
  <c r="I432" i="11"/>
  <c r="H432" i="11"/>
  <c r="G432" i="11"/>
  <c r="F432" i="11"/>
  <c r="M431" i="11"/>
  <c r="L431" i="11"/>
  <c r="K431" i="11"/>
  <c r="J431" i="11"/>
  <c r="I431" i="11"/>
  <c r="H431" i="11"/>
  <c r="G431" i="11"/>
  <c r="F431" i="11"/>
  <c r="M430" i="11"/>
  <c r="L430" i="11"/>
  <c r="K430" i="11"/>
  <c r="J430" i="11"/>
  <c r="I430" i="11"/>
  <c r="H430" i="11"/>
  <c r="G430" i="11"/>
  <c r="F430" i="11"/>
  <c r="M429" i="11"/>
  <c r="L429" i="11"/>
  <c r="K429" i="11"/>
  <c r="J429" i="11"/>
  <c r="I429" i="11"/>
  <c r="H429" i="11"/>
  <c r="G429" i="11"/>
  <c r="F429" i="11"/>
  <c r="M428" i="11"/>
  <c r="L428" i="11"/>
  <c r="K428" i="11"/>
  <c r="J428" i="11"/>
  <c r="I428" i="11"/>
  <c r="H428" i="11"/>
  <c r="G428" i="11"/>
  <c r="F428" i="11"/>
  <c r="M427" i="11"/>
  <c r="L427" i="11"/>
  <c r="K427" i="11"/>
  <c r="J427" i="11"/>
  <c r="I427" i="11"/>
  <c r="H427" i="11"/>
  <c r="G427" i="11"/>
  <c r="F427" i="11"/>
  <c r="M426" i="11"/>
  <c r="L426" i="11"/>
  <c r="K426" i="11"/>
  <c r="J426" i="11"/>
  <c r="I426" i="11"/>
  <c r="H426" i="11"/>
  <c r="G426" i="11"/>
  <c r="F426" i="11"/>
  <c r="M425" i="11"/>
  <c r="L425" i="11"/>
  <c r="K425" i="11"/>
  <c r="J425" i="11"/>
  <c r="I425" i="11"/>
  <c r="H425" i="11"/>
  <c r="G425" i="11"/>
  <c r="F425" i="11"/>
  <c r="M424" i="11"/>
  <c r="L424" i="11"/>
  <c r="K424" i="11"/>
  <c r="J424" i="11"/>
  <c r="I424" i="11"/>
  <c r="H424" i="11"/>
  <c r="G424" i="11"/>
  <c r="F424" i="11"/>
  <c r="M423" i="11"/>
  <c r="L423" i="11"/>
  <c r="K423" i="11"/>
  <c r="J423" i="11"/>
  <c r="I423" i="11"/>
  <c r="H423" i="11"/>
  <c r="G423" i="11"/>
  <c r="F423" i="11"/>
  <c r="M422" i="11"/>
  <c r="L422" i="11"/>
  <c r="K422" i="11"/>
  <c r="J422" i="11"/>
  <c r="I422" i="11"/>
  <c r="H422" i="11"/>
  <c r="G422" i="11"/>
  <c r="F422" i="11"/>
  <c r="M421" i="11"/>
  <c r="L421" i="11"/>
  <c r="K421" i="11"/>
  <c r="J421" i="11"/>
  <c r="I421" i="11"/>
  <c r="H421" i="11"/>
  <c r="G421" i="11"/>
  <c r="F421" i="11"/>
  <c r="M420" i="11"/>
  <c r="L420" i="11"/>
  <c r="K420" i="11"/>
  <c r="J420" i="11"/>
  <c r="I420" i="11"/>
  <c r="H420" i="11"/>
  <c r="G420" i="11"/>
  <c r="F420" i="11"/>
  <c r="M419" i="11"/>
  <c r="L419" i="11"/>
  <c r="K419" i="11"/>
  <c r="J419" i="11"/>
  <c r="I419" i="11"/>
  <c r="H419" i="11"/>
  <c r="G419" i="11"/>
  <c r="F419" i="11"/>
  <c r="M418" i="11"/>
  <c r="L418" i="11"/>
  <c r="K418" i="11"/>
  <c r="J418" i="11"/>
  <c r="I418" i="11"/>
  <c r="H418" i="11"/>
  <c r="G418" i="11"/>
  <c r="F418" i="11"/>
  <c r="M417" i="11"/>
  <c r="L417" i="11"/>
  <c r="K417" i="11"/>
  <c r="J417" i="11"/>
  <c r="I417" i="11"/>
  <c r="H417" i="11"/>
  <c r="G417" i="11"/>
  <c r="F417" i="11"/>
  <c r="M416" i="11"/>
  <c r="L416" i="11"/>
  <c r="K416" i="11"/>
  <c r="J416" i="11"/>
  <c r="I416" i="11"/>
  <c r="H416" i="11"/>
  <c r="G416" i="11"/>
  <c r="F416" i="11"/>
  <c r="M415" i="11"/>
  <c r="L415" i="11"/>
  <c r="K415" i="11"/>
  <c r="J415" i="11"/>
  <c r="I415" i="11"/>
  <c r="H415" i="11"/>
  <c r="G415" i="11"/>
  <c r="F415" i="11"/>
  <c r="M414" i="11"/>
  <c r="L414" i="11"/>
  <c r="K414" i="11"/>
  <c r="J414" i="11"/>
  <c r="I414" i="11"/>
  <c r="H414" i="11"/>
  <c r="G414" i="11"/>
  <c r="F414" i="11"/>
  <c r="M413" i="11"/>
  <c r="L413" i="11"/>
  <c r="K413" i="11"/>
  <c r="J413" i="11"/>
  <c r="I413" i="11"/>
  <c r="H413" i="11"/>
  <c r="G413" i="11"/>
  <c r="F413" i="11"/>
  <c r="M412" i="11"/>
  <c r="L412" i="11"/>
  <c r="K412" i="11"/>
  <c r="J412" i="11"/>
  <c r="I412" i="11"/>
  <c r="H412" i="11"/>
  <c r="G412" i="11"/>
  <c r="F412" i="11"/>
  <c r="M411" i="11"/>
  <c r="L411" i="11"/>
  <c r="K411" i="11"/>
  <c r="J411" i="11"/>
  <c r="I411" i="11"/>
  <c r="H411" i="11"/>
  <c r="G411" i="11"/>
  <c r="F411" i="11"/>
  <c r="M410" i="11"/>
  <c r="L410" i="11"/>
  <c r="K410" i="11"/>
  <c r="J410" i="11"/>
  <c r="I410" i="11"/>
  <c r="H410" i="11"/>
  <c r="G410" i="11"/>
  <c r="F410" i="11"/>
  <c r="M409" i="11"/>
  <c r="L409" i="11"/>
  <c r="K409" i="11"/>
  <c r="J409" i="11"/>
  <c r="I409" i="11"/>
  <c r="H409" i="11"/>
  <c r="G409" i="11"/>
  <c r="F409" i="11"/>
  <c r="M408" i="11"/>
  <c r="L408" i="11"/>
  <c r="K408" i="11"/>
  <c r="J408" i="11"/>
  <c r="I408" i="11"/>
  <c r="H408" i="11"/>
  <c r="G408" i="11"/>
  <c r="F408" i="11"/>
  <c r="M407" i="11"/>
  <c r="L407" i="11"/>
  <c r="K407" i="11"/>
  <c r="J407" i="11"/>
  <c r="I407" i="11"/>
  <c r="H407" i="11"/>
  <c r="G407" i="11"/>
  <c r="F407" i="11"/>
  <c r="M406" i="11"/>
  <c r="L406" i="11"/>
  <c r="K406" i="11"/>
  <c r="J406" i="11"/>
  <c r="I406" i="11"/>
  <c r="H406" i="11"/>
  <c r="G406" i="11"/>
  <c r="F406" i="11"/>
  <c r="M405" i="11"/>
  <c r="L405" i="11"/>
  <c r="K405" i="11"/>
  <c r="J405" i="11"/>
  <c r="I405" i="11"/>
  <c r="H405" i="11"/>
  <c r="G405" i="11"/>
  <c r="F405" i="11"/>
  <c r="M404" i="11"/>
  <c r="L404" i="11"/>
  <c r="K404" i="11"/>
  <c r="J404" i="11"/>
  <c r="I404" i="11"/>
  <c r="H404" i="11"/>
  <c r="G404" i="11"/>
  <c r="F404" i="11"/>
  <c r="M403" i="11"/>
  <c r="L403" i="11"/>
  <c r="K403" i="11"/>
  <c r="J403" i="11"/>
  <c r="I403" i="11"/>
  <c r="H403" i="11"/>
  <c r="G403" i="11"/>
  <c r="F403" i="11"/>
  <c r="M402" i="11"/>
  <c r="L402" i="11"/>
  <c r="K402" i="11"/>
  <c r="J402" i="11"/>
  <c r="I402" i="11"/>
  <c r="H402" i="11"/>
  <c r="G402" i="11"/>
  <c r="F402" i="11"/>
  <c r="M401" i="11"/>
  <c r="L401" i="11"/>
  <c r="K401" i="11"/>
  <c r="J401" i="11"/>
  <c r="I401" i="11"/>
  <c r="H401" i="11"/>
  <c r="G401" i="11"/>
  <c r="F401" i="11"/>
  <c r="M400" i="11"/>
  <c r="L400" i="11"/>
  <c r="K400" i="11"/>
  <c r="J400" i="11"/>
  <c r="I400" i="11"/>
  <c r="H400" i="11"/>
  <c r="G400" i="11"/>
  <c r="F400" i="11"/>
  <c r="M399" i="11"/>
  <c r="L399" i="11"/>
  <c r="K399" i="11"/>
  <c r="J399" i="11"/>
  <c r="I399" i="11"/>
  <c r="H399" i="11"/>
  <c r="G399" i="11"/>
  <c r="F399" i="11"/>
  <c r="M398" i="11"/>
  <c r="L398" i="11"/>
  <c r="K398" i="11"/>
  <c r="J398" i="11"/>
  <c r="I398" i="11"/>
  <c r="H398" i="11"/>
  <c r="G398" i="11"/>
  <c r="F398" i="11"/>
  <c r="M397" i="11"/>
  <c r="L397" i="11"/>
  <c r="K397" i="11"/>
  <c r="J397" i="11"/>
  <c r="I397" i="11"/>
  <c r="H397" i="11"/>
  <c r="G397" i="11"/>
  <c r="F397" i="11"/>
  <c r="M396" i="11"/>
  <c r="L396" i="11"/>
  <c r="K396" i="11"/>
  <c r="J396" i="11"/>
  <c r="I396" i="11"/>
  <c r="H396" i="11"/>
  <c r="G396" i="11"/>
  <c r="F396" i="11"/>
  <c r="M395" i="11"/>
  <c r="L395" i="11"/>
  <c r="K395" i="11"/>
  <c r="J395" i="11"/>
  <c r="I395" i="11"/>
  <c r="H395" i="11"/>
  <c r="G395" i="11"/>
  <c r="F395" i="11"/>
  <c r="M394" i="11"/>
  <c r="L394" i="11"/>
  <c r="K394" i="11"/>
  <c r="J394" i="11"/>
  <c r="I394" i="11"/>
  <c r="H394" i="11"/>
  <c r="G394" i="11"/>
  <c r="F394" i="11"/>
  <c r="M393" i="11"/>
  <c r="L393" i="11"/>
  <c r="K393" i="11"/>
  <c r="J393" i="11"/>
  <c r="I393" i="11"/>
  <c r="H393" i="11"/>
  <c r="G393" i="11"/>
  <c r="F393" i="11"/>
  <c r="M392" i="11"/>
  <c r="L392" i="11"/>
  <c r="K392" i="11"/>
  <c r="J392" i="11"/>
  <c r="I392" i="11"/>
  <c r="H392" i="11"/>
  <c r="G392" i="11"/>
  <c r="F392" i="11"/>
  <c r="M391" i="11"/>
  <c r="L391" i="11"/>
  <c r="K391" i="11"/>
  <c r="J391" i="11"/>
  <c r="I391" i="11"/>
  <c r="H391" i="11"/>
  <c r="G391" i="11"/>
  <c r="F391" i="11"/>
  <c r="M390" i="11"/>
  <c r="L390" i="11"/>
  <c r="K390" i="11"/>
  <c r="J390" i="11"/>
  <c r="I390" i="11"/>
  <c r="H390" i="11"/>
  <c r="G390" i="11"/>
  <c r="F390" i="11"/>
  <c r="M389" i="11"/>
  <c r="L389" i="11"/>
  <c r="K389" i="11"/>
  <c r="J389" i="11"/>
  <c r="I389" i="11"/>
  <c r="H389" i="11"/>
  <c r="G389" i="11"/>
  <c r="F389" i="11"/>
  <c r="M388" i="11"/>
  <c r="L388" i="11"/>
  <c r="K388" i="11"/>
  <c r="J388" i="11"/>
  <c r="I388" i="11"/>
  <c r="H388" i="11"/>
  <c r="G388" i="11"/>
  <c r="F388" i="11"/>
  <c r="M387" i="11"/>
  <c r="L387" i="11"/>
  <c r="K387" i="11"/>
  <c r="J387" i="11"/>
  <c r="I387" i="11"/>
  <c r="H387" i="11"/>
  <c r="G387" i="11"/>
  <c r="F387" i="11"/>
  <c r="M386" i="11"/>
  <c r="L386" i="11"/>
  <c r="K386" i="11"/>
  <c r="J386" i="11"/>
  <c r="I386" i="11"/>
  <c r="H386" i="11"/>
  <c r="G386" i="11"/>
  <c r="F386" i="11"/>
  <c r="M385" i="11"/>
  <c r="L385" i="11"/>
  <c r="K385" i="11"/>
  <c r="J385" i="11"/>
  <c r="I385" i="11"/>
  <c r="H385" i="11"/>
  <c r="G385" i="11"/>
  <c r="F385" i="11"/>
  <c r="M384" i="11"/>
  <c r="L384" i="11"/>
  <c r="K384" i="11"/>
  <c r="J384" i="11"/>
  <c r="I384" i="11"/>
  <c r="H384" i="11"/>
  <c r="G384" i="11"/>
  <c r="F384" i="11"/>
  <c r="M383" i="11"/>
  <c r="L383" i="11"/>
  <c r="K383" i="11"/>
  <c r="J383" i="11"/>
  <c r="I383" i="11"/>
  <c r="H383" i="11"/>
  <c r="G383" i="11"/>
  <c r="F383" i="11"/>
  <c r="M382" i="11"/>
  <c r="L382" i="11"/>
  <c r="K382" i="11"/>
  <c r="J382" i="11"/>
  <c r="I382" i="11"/>
  <c r="H382" i="11"/>
  <c r="G382" i="11"/>
  <c r="F382" i="11"/>
  <c r="M381" i="11"/>
  <c r="L381" i="11"/>
  <c r="K381" i="11"/>
  <c r="J381" i="11"/>
  <c r="I381" i="11"/>
  <c r="H381" i="11"/>
  <c r="G381" i="11"/>
  <c r="F381" i="11"/>
  <c r="M380" i="11"/>
  <c r="L380" i="11"/>
  <c r="K380" i="11"/>
  <c r="J380" i="11"/>
  <c r="I380" i="11"/>
  <c r="H380" i="11"/>
  <c r="G380" i="11"/>
  <c r="F380" i="11"/>
  <c r="M379" i="11"/>
  <c r="L379" i="11"/>
  <c r="K379" i="11"/>
  <c r="J379" i="11"/>
  <c r="I379" i="11"/>
  <c r="H379" i="11"/>
  <c r="G379" i="11"/>
  <c r="F379" i="11"/>
  <c r="M378" i="11"/>
  <c r="L378" i="11"/>
  <c r="K378" i="11"/>
  <c r="J378" i="11"/>
  <c r="I378" i="11"/>
  <c r="H378" i="11"/>
  <c r="G378" i="11"/>
  <c r="F378" i="11"/>
  <c r="M377" i="11"/>
  <c r="L377" i="11"/>
  <c r="K377" i="11"/>
  <c r="J377" i="11"/>
  <c r="I377" i="11"/>
  <c r="H377" i="11"/>
  <c r="G377" i="11"/>
  <c r="F377" i="11"/>
  <c r="M376" i="11"/>
  <c r="L376" i="11"/>
  <c r="K376" i="11"/>
  <c r="J376" i="11"/>
  <c r="I376" i="11"/>
  <c r="H376" i="11"/>
  <c r="G376" i="11"/>
  <c r="F376" i="11"/>
  <c r="M375" i="11"/>
  <c r="L375" i="11"/>
  <c r="K375" i="11"/>
  <c r="J375" i="11"/>
  <c r="I375" i="11"/>
  <c r="H375" i="11"/>
  <c r="G375" i="11"/>
  <c r="F375" i="11"/>
  <c r="M374" i="11"/>
  <c r="L374" i="11"/>
  <c r="K374" i="11"/>
  <c r="J374" i="11"/>
  <c r="I374" i="11"/>
  <c r="H374" i="11"/>
  <c r="G374" i="11"/>
  <c r="F374" i="11"/>
  <c r="M373" i="11"/>
  <c r="L373" i="11"/>
  <c r="K373" i="11"/>
  <c r="J373" i="11"/>
  <c r="I373" i="11"/>
  <c r="H373" i="11"/>
  <c r="G373" i="11"/>
  <c r="F373" i="11"/>
  <c r="M372" i="11"/>
  <c r="L372" i="11"/>
  <c r="K372" i="11"/>
  <c r="J372" i="11"/>
  <c r="I372" i="11"/>
  <c r="H372" i="11"/>
  <c r="G372" i="11"/>
  <c r="F372" i="11"/>
  <c r="M371" i="11"/>
  <c r="L371" i="11"/>
  <c r="K371" i="11"/>
  <c r="J371" i="11"/>
  <c r="I371" i="11"/>
  <c r="H371" i="11"/>
  <c r="G371" i="11"/>
  <c r="F371" i="11"/>
  <c r="M370" i="11"/>
  <c r="L370" i="11"/>
  <c r="K370" i="11"/>
  <c r="J370" i="11"/>
  <c r="I370" i="11"/>
  <c r="H370" i="11"/>
  <c r="G370" i="11"/>
  <c r="F370" i="11"/>
  <c r="M369" i="11"/>
  <c r="L369" i="11"/>
  <c r="K369" i="11"/>
  <c r="J369" i="11"/>
  <c r="I369" i="11"/>
  <c r="H369" i="11"/>
  <c r="G369" i="11"/>
  <c r="F369" i="11"/>
  <c r="M368" i="11"/>
  <c r="L368" i="11"/>
  <c r="K368" i="11"/>
  <c r="J368" i="11"/>
  <c r="I368" i="11"/>
  <c r="H368" i="11"/>
  <c r="G368" i="11"/>
  <c r="F368" i="11"/>
  <c r="M367" i="11"/>
  <c r="L367" i="11"/>
  <c r="K367" i="11"/>
  <c r="J367" i="11"/>
  <c r="I367" i="11"/>
  <c r="H367" i="11"/>
  <c r="G367" i="11"/>
  <c r="F367" i="11"/>
  <c r="M366" i="11"/>
  <c r="L366" i="11"/>
  <c r="K366" i="11"/>
  <c r="J366" i="11"/>
  <c r="I366" i="11"/>
  <c r="H366" i="11"/>
  <c r="G366" i="11"/>
  <c r="F366" i="11"/>
  <c r="M365" i="11"/>
  <c r="L365" i="11"/>
  <c r="K365" i="11"/>
  <c r="J365" i="11"/>
  <c r="I365" i="11"/>
  <c r="H365" i="11"/>
  <c r="G365" i="11"/>
  <c r="F365" i="11"/>
  <c r="M364" i="11"/>
  <c r="L364" i="11"/>
  <c r="K364" i="11"/>
  <c r="J364" i="11"/>
  <c r="I364" i="11"/>
  <c r="H364" i="11"/>
  <c r="G364" i="11"/>
  <c r="F364" i="11"/>
  <c r="M363" i="11"/>
  <c r="L363" i="11"/>
  <c r="K363" i="11"/>
  <c r="J363" i="11"/>
  <c r="I363" i="11"/>
  <c r="H363" i="11"/>
  <c r="G363" i="11"/>
  <c r="F363" i="11"/>
  <c r="M362" i="11"/>
  <c r="L362" i="11"/>
  <c r="K362" i="11"/>
  <c r="J362" i="11"/>
  <c r="I362" i="11"/>
  <c r="H362" i="11"/>
  <c r="G362" i="11"/>
  <c r="F362" i="11"/>
  <c r="M361" i="11"/>
  <c r="L361" i="11"/>
  <c r="K361" i="11"/>
  <c r="J361" i="11"/>
  <c r="I361" i="11"/>
  <c r="H361" i="11"/>
  <c r="G361" i="11"/>
  <c r="F361" i="11"/>
  <c r="M360" i="11"/>
  <c r="L360" i="11"/>
  <c r="K360" i="11"/>
  <c r="J360" i="11"/>
  <c r="I360" i="11"/>
  <c r="H360" i="11"/>
  <c r="G360" i="11"/>
  <c r="F360" i="11"/>
  <c r="M359" i="11"/>
  <c r="L359" i="11"/>
  <c r="K359" i="11"/>
  <c r="J359" i="11"/>
  <c r="I359" i="11"/>
  <c r="H359" i="11"/>
  <c r="G359" i="11"/>
  <c r="F359" i="11"/>
  <c r="M358" i="11"/>
  <c r="L358" i="11"/>
  <c r="K358" i="11"/>
  <c r="J358" i="11"/>
  <c r="I358" i="11"/>
  <c r="H358" i="11"/>
  <c r="G358" i="11"/>
  <c r="F358" i="11"/>
  <c r="M357" i="11"/>
  <c r="L357" i="11"/>
  <c r="K357" i="11"/>
  <c r="J357" i="11"/>
  <c r="I357" i="11"/>
  <c r="H357" i="11"/>
  <c r="G357" i="11"/>
  <c r="F357" i="11"/>
  <c r="M356" i="11"/>
  <c r="L356" i="11"/>
  <c r="K356" i="11"/>
  <c r="J356" i="11"/>
  <c r="I356" i="11"/>
  <c r="H356" i="11"/>
  <c r="G356" i="11"/>
  <c r="F356" i="11"/>
  <c r="M355" i="11"/>
  <c r="L355" i="11"/>
  <c r="K355" i="11"/>
  <c r="J355" i="11"/>
  <c r="I355" i="11"/>
  <c r="H355" i="11"/>
  <c r="G355" i="11"/>
  <c r="F355" i="11"/>
  <c r="M354" i="11"/>
  <c r="L354" i="11"/>
  <c r="K354" i="11"/>
  <c r="J354" i="11"/>
  <c r="I354" i="11"/>
  <c r="H354" i="11"/>
  <c r="G354" i="11"/>
  <c r="F354" i="11"/>
  <c r="M353" i="11"/>
  <c r="L353" i="11"/>
  <c r="K353" i="11"/>
  <c r="J353" i="11"/>
  <c r="I353" i="11"/>
  <c r="H353" i="11"/>
  <c r="G353" i="11"/>
  <c r="F353" i="11"/>
  <c r="M352" i="11"/>
  <c r="L352" i="11"/>
  <c r="K352" i="11"/>
  <c r="J352" i="11"/>
  <c r="I352" i="11"/>
  <c r="H352" i="11"/>
  <c r="G352" i="11"/>
  <c r="F352" i="11"/>
  <c r="M351" i="11"/>
  <c r="L351" i="11"/>
  <c r="K351" i="11"/>
  <c r="J351" i="11"/>
  <c r="I351" i="11"/>
  <c r="H351" i="11"/>
  <c r="G351" i="11"/>
  <c r="F351" i="11"/>
  <c r="M350" i="11"/>
  <c r="L350" i="11"/>
  <c r="K350" i="11"/>
  <c r="J350" i="11"/>
  <c r="I350" i="11"/>
  <c r="H350" i="11"/>
  <c r="G350" i="11"/>
  <c r="F350" i="11"/>
  <c r="M349" i="11"/>
  <c r="L349" i="11"/>
  <c r="K349" i="11"/>
  <c r="J349" i="11"/>
  <c r="I349" i="11"/>
  <c r="H349" i="11"/>
  <c r="G349" i="11"/>
  <c r="F349" i="11"/>
  <c r="M348" i="11"/>
  <c r="L348" i="11"/>
  <c r="K348" i="11"/>
  <c r="J348" i="11"/>
  <c r="I348" i="11"/>
  <c r="H348" i="11"/>
  <c r="G348" i="11"/>
  <c r="F348" i="11"/>
  <c r="M347" i="11"/>
  <c r="L347" i="11"/>
  <c r="K347" i="11"/>
  <c r="J347" i="11"/>
  <c r="I347" i="11"/>
  <c r="H347" i="11"/>
  <c r="G347" i="11"/>
  <c r="F347" i="11"/>
  <c r="M346" i="11"/>
  <c r="L346" i="11"/>
  <c r="K346" i="11"/>
  <c r="J346" i="11"/>
  <c r="I346" i="11"/>
  <c r="H346" i="11"/>
  <c r="G346" i="11"/>
  <c r="F346" i="11"/>
  <c r="M345" i="11"/>
  <c r="L345" i="11"/>
  <c r="K345" i="11"/>
  <c r="J345" i="11"/>
  <c r="I345" i="11"/>
  <c r="H345" i="11"/>
  <c r="G345" i="11"/>
  <c r="F345" i="11"/>
  <c r="M344" i="11"/>
  <c r="L344" i="11"/>
  <c r="K344" i="11"/>
  <c r="J344" i="11"/>
  <c r="I344" i="11"/>
  <c r="H344" i="11"/>
  <c r="G344" i="11"/>
  <c r="F344" i="11"/>
  <c r="M343" i="11"/>
  <c r="L343" i="11"/>
  <c r="K343" i="11"/>
  <c r="J343" i="11"/>
  <c r="I343" i="11"/>
  <c r="H343" i="11"/>
  <c r="G343" i="11"/>
  <c r="F343" i="11"/>
  <c r="M342" i="11"/>
  <c r="L342" i="11"/>
  <c r="K342" i="11"/>
  <c r="J342" i="11"/>
  <c r="I342" i="11"/>
  <c r="H342" i="11"/>
  <c r="G342" i="11"/>
  <c r="F342" i="11"/>
  <c r="M341" i="11"/>
  <c r="L341" i="11"/>
  <c r="K341" i="11"/>
  <c r="J341" i="11"/>
  <c r="I341" i="11"/>
  <c r="H341" i="11"/>
  <c r="G341" i="11"/>
  <c r="F341" i="11"/>
  <c r="M340" i="11"/>
  <c r="L340" i="11"/>
  <c r="K340" i="11"/>
  <c r="J340" i="11"/>
  <c r="I340" i="11"/>
  <c r="H340" i="11"/>
  <c r="G340" i="11"/>
  <c r="F340" i="11"/>
  <c r="M339" i="11"/>
  <c r="L339" i="11"/>
  <c r="K339" i="11"/>
  <c r="J339" i="11"/>
  <c r="I339" i="11"/>
  <c r="H339" i="11"/>
  <c r="G339" i="11"/>
  <c r="F339" i="11"/>
  <c r="M338" i="11"/>
  <c r="L338" i="11"/>
  <c r="K338" i="11"/>
  <c r="J338" i="11"/>
  <c r="I338" i="11"/>
  <c r="H338" i="11"/>
  <c r="G338" i="11"/>
  <c r="F338" i="11"/>
  <c r="M337" i="11"/>
  <c r="L337" i="11"/>
  <c r="K337" i="11"/>
  <c r="J337" i="11"/>
  <c r="I337" i="11"/>
  <c r="H337" i="11"/>
  <c r="G337" i="11"/>
  <c r="F337" i="11"/>
  <c r="M336" i="11"/>
  <c r="L336" i="11"/>
  <c r="K336" i="11"/>
  <c r="J336" i="11"/>
  <c r="I336" i="11"/>
  <c r="H336" i="11"/>
  <c r="G336" i="11"/>
  <c r="F336" i="11"/>
  <c r="M335" i="11"/>
  <c r="L335" i="11"/>
  <c r="K335" i="11"/>
  <c r="J335" i="11"/>
  <c r="I335" i="11"/>
  <c r="H335" i="11"/>
  <c r="G335" i="11"/>
  <c r="F335" i="11"/>
  <c r="M334" i="11"/>
  <c r="L334" i="11"/>
  <c r="K334" i="11"/>
  <c r="J334" i="11"/>
  <c r="I334" i="11"/>
  <c r="H334" i="11"/>
  <c r="G334" i="11"/>
  <c r="F334" i="11"/>
  <c r="M333" i="11"/>
  <c r="L333" i="11"/>
  <c r="K333" i="11"/>
  <c r="J333" i="11"/>
  <c r="I333" i="11"/>
  <c r="H333" i="11"/>
  <c r="G333" i="11"/>
  <c r="F333" i="11"/>
  <c r="M332" i="11"/>
  <c r="L332" i="11"/>
  <c r="K332" i="11"/>
  <c r="J332" i="11"/>
  <c r="I332" i="11"/>
  <c r="H332" i="11"/>
  <c r="G332" i="11"/>
  <c r="F332" i="11"/>
  <c r="M331" i="11"/>
  <c r="L331" i="11"/>
  <c r="K331" i="11"/>
  <c r="J331" i="11"/>
  <c r="I331" i="11"/>
  <c r="H331" i="11"/>
  <c r="G331" i="11"/>
  <c r="F331" i="11"/>
  <c r="M330" i="11"/>
  <c r="L330" i="11"/>
  <c r="K330" i="11"/>
  <c r="J330" i="11"/>
  <c r="I330" i="11"/>
  <c r="H330" i="11"/>
  <c r="G330" i="11"/>
  <c r="F330" i="11"/>
  <c r="M329" i="11"/>
  <c r="L329" i="11"/>
  <c r="K329" i="11"/>
  <c r="J329" i="11"/>
  <c r="I329" i="11"/>
  <c r="H329" i="11"/>
  <c r="G329" i="11"/>
  <c r="F329" i="11"/>
  <c r="M328" i="11"/>
  <c r="L328" i="11"/>
  <c r="K328" i="11"/>
  <c r="J328" i="11"/>
  <c r="I328" i="11"/>
  <c r="H328" i="11"/>
  <c r="G328" i="11"/>
  <c r="F328" i="11"/>
  <c r="M327" i="11"/>
  <c r="L327" i="11"/>
  <c r="K327" i="11"/>
  <c r="J327" i="11"/>
  <c r="I327" i="11"/>
  <c r="H327" i="11"/>
  <c r="G327" i="11"/>
  <c r="F327" i="11"/>
  <c r="M326" i="11"/>
  <c r="L326" i="11"/>
  <c r="K326" i="11"/>
  <c r="J326" i="11"/>
  <c r="I326" i="11"/>
  <c r="H326" i="11"/>
  <c r="G326" i="11"/>
  <c r="F326" i="11"/>
  <c r="M325" i="11"/>
  <c r="L325" i="11"/>
  <c r="K325" i="11"/>
  <c r="J325" i="11"/>
  <c r="I325" i="11"/>
  <c r="H325" i="11"/>
  <c r="G325" i="11"/>
  <c r="F325" i="11"/>
  <c r="M324" i="11"/>
  <c r="L324" i="11"/>
  <c r="K324" i="11"/>
  <c r="J324" i="11"/>
  <c r="I324" i="11"/>
  <c r="H324" i="11"/>
  <c r="G324" i="11"/>
  <c r="F324" i="11"/>
  <c r="M323" i="11"/>
  <c r="L323" i="11"/>
  <c r="K323" i="11"/>
  <c r="J323" i="11"/>
  <c r="I323" i="11"/>
  <c r="H323" i="11"/>
  <c r="G323" i="11"/>
  <c r="F323" i="11"/>
  <c r="M322" i="11"/>
  <c r="L322" i="11"/>
  <c r="K322" i="11"/>
  <c r="J322" i="11"/>
  <c r="I322" i="11"/>
  <c r="H322" i="11"/>
  <c r="G322" i="11"/>
  <c r="F322" i="11"/>
  <c r="M321" i="11"/>
  <c r="L321" i="11"/>
  <c r="K321" i="11"/>
  <c r="J321" i="11"/>
  <c r="I321" i="11"/>
  <c r="H321" i="11"/>
  <c r="G321" i="11"/>
  <c r="F321" i="11"/>
  <c r="M320" i="11"/>
  <c r="L320" i="11"/>
  <c r="K320" i="11"/>
  <c r="J320" i="11"/>
  <c r="I320" i="11"/>
  <c r="H320" i="11"/>
  <c r="G320" i="11"/>
  <c r="F320" i="11"/>
  <c r="M319" i="11"/>
  <c r="L319" i="11"/>
  <c r="K319" i="11"/>
  <c r="J319" i="11"/>
  <c r="I319" i="11"/>
  <c r="H319" i="11"/>
  <c r="G319" i="11"/>
  <c r="F319" i="11"/>
  <c r="M318" i="11"/>
  <c r="L318" i="11"/>
  <c r="K318" i="11"/>
  <c r="J318" i="11"/>
  <c r="I318" i="11"/>
  <c r="H318" i="11"/>
  <c r="G318" i="11"/>
  <c r="F318" i="11"/>
  <c r="M317" i="11"/>
  <c r="L317" i="11"/>
  <c r="K317" i="11"/>
  <c r="J317" i="11"/>
  <c r="I317" i="11"/>
  <c r="H317" i="11"/>
  <c r="G317" i="11"/>
  <c r="F317" i="11"/>
  <c r="M316" i="11"/>
  <c r="L316" i="11"/>
  <c r="K316" i="11"/>
  <c r="J316" i="11"/>
  <c r="I316" i="11"/>
  <c r="H316" i="11"/>
  <c r="G316" i="11"/>
  <c r="F316" i="11"/>
  <c r="M315" i="11"/>
  <c r="L315" i="11"/>
  <c r="K315" i="11"/>
  <c r="J315" i="11"/>
  <c r="I315" i="11"/>
  <c r="H315" i="11"/>
  <c r="G315" i="11"/>
  <c r="F315" i="11"/>
  <c r="M314" i="11"/>
  <c r="L314" i="11"/>
  <c r="K314" i="11"/>
  <c r="J314" i="11"/>
  <c r="I314" i="11"/>
  <c r="H314" i="11"/>
  <c r="G314" i="11"/>
  <c r="F314" i="11"/>
  <c r="M313" i="11"/>
  <c r="L313" i="11"/>
  <c r="K313" i="11"/>
  <c r="J313" i="11"/>
  <c r="I313" i="11"/>
  <c r="H313" i="11"/>
  <c r="G313" i="11"/>
  <c r="F313" i="11"/>
  <c r="M312" i="11"/>
  <c r="L312" i="11"/>
  <c r="K312" i="11"/>
  <c r="J312" i="11"/>
  <c r="I312" i="11"/>
  <c r="H312" i="11"/>
  <c r="G312" i="11"/>
  <c r="F312" i="11"/>
  <c r="M311" i="11"/>
  <c r="L311" i="11"/>
  <c r="K311" i="11"/>
  <c r="J311" i="11"/>
  <c r="I311" i="11"/>
  <c r="H311" i="11"/>
  <c r="G311" i="11"/>
  <c r="F311" i="11"/>
  <c r="M310" i="11"/>
  <c r="L310" i="11"/>
  <c r="K310" i="11"/>
  <c r="J310" i="11"/>
  <c r="I310" i="11"/>
  <c r="H310" i="11"/>
  <c r="G310" i="11"/>
  <c r="F310" i="11"/>
  <c r="M309" i="11"/>
  <c r="L309" i="11"/>
  <c r="K309" i="11"/>
  <c r="J309" i="11"/>
  <c r="I309" i="11"/>
  <c r="H309" i="11"/>
  <c r="G309" i="11"/>
  <c r="F309" i="11"/>
  <c r="M308" i="11"/>
  <c r="L308" i="11"/>
  <c r="K308" i="11"/>
  <c r="J308" i="11"/>
  <c r="I308" i="11"/>
  <c r="H308" i="11"/>
  <c r="G308" i="11"/>
  <c r="F308" i="11"/>
  <c r="M307" i="11"/>
  <c r="L307" i="11"/>
  <c r="K307" i="11"/>
  <c r="J307" i="11"/>
  <c r="I307" i="11"/>
  <c r="H307" i="11"/>
  <c r="G307" i="11"/>
  <c r="F307" i="11"/>
  <c r="M306" i="11"/>
  <c r="L306" i="11"/>
  <c r="K306" i="11"/>
  <c r="J306" i="11"/>
  <c r="I306" i="11"/>
  <c r="H306" i="11"/>
  <c r="G306" i="11"/>
  <c r="F306" i="11"/>
  <c r="M305" i="11"/>
  <c r="L305" i="11"/>
  <c r="K305" i="11"/>
  <c r="J305" i="11"/>
  <c r="I305" i="11"/>
  <c r="H305" i="11"/>
  <c r="G305" i="11"/>
  <c r="F305" i="11"/>
  <c r="M304" i="11"/>
  <c r="L304" i="11"/>
  <c r="K304" i="11"/>
  <c r="J304" i="11"/>
  <c r="I304" i="11"/>
  <c r="H304" i="11"/>
  <c r="G304" i="11"/>
  <c r="F304" i="11"/>
  <c r="M303" i="11"/>
  <c r="L303" i="11"/>
  <c r="K303" i="11"/>
  <c r="J303" i="11"/>
  <c r="I303" i="11"/>
  <c r="H303" i="11"/>
  <c r="G303" i="11"/>
  <c r="F303" i="11"/>
  <c r="M302" i="11"/>
  <c r="L302" i="11"/>
  <c r="K302" i="11"/>
  <c r="J302" i="11"/>
  <c r="I302" i="11"/>
  <c r="H302" i="11"/>
  <c r="G302" i="11"/>
  <c r="F302" i="11"/>
  <c r="M301" i="11"/>
  <c r="L301" i="11"/>
  <c r="K301" i="11"/>
  <c r="J301" i="11"/>
  <c r="I301" i="11"/>
  <c r="H301" i="11"/>
  <c r="G301" i="11"/>
  <c r="F301" i="11"/>
  <c r="M300" i="11"/>
  <c r="L300" i="11"/>
  <c r="K300" i="11"/>
  <c r="J300" i="11"/>
  <c r="I300" i="11"/>
  <c r="H300" i="11"/>
  <c r="G300" i="11"/>
  <c r="F300" i="11"/>
  <c r="M299" i="11"/>
  <c r="L299" i="11"/>
  <c r="K299" i="11"/>
  <c r="J299" i="11"/>
  <c r="I299" i="11"/>
  <c r="H299" i="11"/>
  <c r="G299" i="11"/>
  <c r="F299" i="11"/>
  <c r="M298" i="11"/>
  <c r="L298" i="11"/>
  <c r="K298" i="11"/>
  <c r="J298" i="11"/>
  <c r="I298" i="11"/>
  <c r="H298" i="11"/>
  <c r="G298" i="11"/>
  <c r="F298" i="11"/>
  <c r="M297" i="11"/>
  <c r="L297" i="11"/>
  <c r="K297" i="11"/>
  <c r="J297" i="11"/>
  <c r="I297" i="11"/>
  <c r="H297" i="11"/>
  <c r="G297" i="11"/>
  <c r="F297" i="11"/>
  <c r="M296" i="11"/>
  <c r="L296" i="11"/>
  <c r="K296" i="11"/>
  <c r="J296" i="11"/>
  <c r="I296" i="11"/>
  <c r="H296" i="11"/>
  <c r="G296" i="11"/>
  <c r="F296" i="11"/>
  <c r="M295" i="11"/>
  <c r="L295" i="11"/>
  <c r="K295" i="11"/>
  <c r="J295" i="11"/>
  <c r="I295" i="11"/>
  <c r="H295" i="11"/>
  <c r="G295" i="11"/>
  <c r="F295" i="11"/>
  <c r="M294" i="11"/>
  <c r="L294" i="11"/>
  <c r="K294" i="11"/>
  <c r="J294" i="11"/>
  <c r="I294" i="11"/>
  <c r="H294" i="11"/>
  <c r="G294" i="11"/>
  <c r="F294" i="11"/>
  <c r="M293" i="11"/>
  <c r="L293" i="11"/>
  <c r="K293" i="11"/>
  <c r="J293" i="11"/>
  <c r="I293" i="11"/>
  <c r="H293" i="11"/>
  <c r="G293" i="11"/>
  <c r="F293" i="11"/>
  <c r="M292" i="11"/>
  <c r="L292" i="11"/>
  <c r="K292" i="11"/>
  <c r="J292" i="11"/>
  <c r="I292" i="11"/>
  <c r="H292" i="11"/>
  <c r="G292" i="11"/>
  <c r="F292" i="11"/>
  <c r="M291" i="11"/>
  <c r="L291" i="11"/>
  <c r="K291" i="11"/>
  <c r="J291" i="11"/>
  <c r="I291" i="11"/>
  <c r="H291" i="11"/>
  <c r="G291" i="11"/>
  <c r="F291" i="11"/>
  <c r="M290" i="11"/>
  <c r="L290" i="11"/>
  <c r="K290" i="11"/>
  <c r="J290" i="11"/>
  <c r="I290" i="11"/>
  <c r="H290" i="11"/>
  <c r="G290" i="11"/>
  <c r="F290" i="11"/>
  <c r="M289" i="11"/>
  <c r="L289" i="11"/>
  <c r="K289" i="11"/>
  <c r="J289" i="11"/>
  <c r="I289" i="11"/>
  <c r="H289" i="11"/>
  <c r="G289" i="11"/>
  <c r="F289" i="11"/>
  <c r="M288" i="11"/>
  <c r="L288" i="11"/>
  <c r="K288" i="11"/>
  <c r="J288" i="11"/>
  <c r="I288" i="11"/>
  <c r="H288" i="11"/>
  <c r="G288" i="11"/>
  <c r="F288" i="11"/>
  <c r="M287" i="11"/>
  <c r="L287" i="11"/>
  <c r="K287" i="11"/>
  <c r="J287" i="11"/>
  <c r="I287" i="11"/>
  <c r="H287" i="11"/>
  <c r="G287" i="11"/>
  <c r="F287" i="11"/>
  <c r="M286" i="11"/>
  <c r="L286" i="11"/>
  <c r="K286" i="11"/>
  <c r="J286" i="11"/>
  <c r="I286" i="11"/>
  <c r="H286" i="11"/>
  <c r="G286" i="11"/>
  <c r="F286" i="11"/>
  <c r="M285" i="11"/>
  <c r="L285" i="11"/>
  <c r="K285" i="11"/>
  <c r="J285" i="11"/>
  <c r="I285" i="11"/>
  <c r="H285" i="11"/>
  <c r="G285" i="11"/>
  <c r="F285" i="11"/>
  <c r="M284" i="11"/>
  <c r="L284" i="11"/>
  <c r="K284" i="11"/>
  <c r="J284" i="11"/>
  <c r="I284" i="11"/>
  <c r="H284" i="11"/>
  <c r="G284" i="11"/>
  <c r="F284" i="11"/>
  <c r="M283" i="11"/>
  <c r="L283" i="11"/>
  <c r="K283" i="11"/>
  <c r="J283" i="11"/>
  <c r="I283" i="11"/>
  <c r="H283" i="11"/>
  <c r="G283" i="11"/>
  <c r="F283" i="11"/>
  <c r="M282" i="11"/>
  <c r="L282" i="11"/>
  <c r="K282" i="11"/>
  <c r="J282" i="11"/>
  <c r="I282" i="11"/>
  <c r="H282" i="11"/>
  <c r="G282" i="11"/>
  <c r="F282" i="11"/>
  <c r="M281" i="11"/>
  <c r="L281" i="11"/>
  <c r="K281" i="11"/>
  <c r="J281" i="11"/>
  <c r="I281" i="11"/>
  <c r="H281" i="11"/>
  <c r="G281" i="11"/>
  <c r="F281" i="11"/>
  <c r="M280" i="11"/>
  <c r="L280" i="11"/>
  <c r="K280" i="11"/>
  <c r="J280" i="11"/>
  <c r="I280" i="11"/>
  <c r="H280" i="11"/>
  <c r="G280" i="11"/>
  <c r="F280" i="11"/>
  <c r="M279" i="11"/>
  <c r="L279" i="11"/>
  <c r="K279" i="11"/>
  <c r="J279" i="11"/>
  <c r="I279" i="11"/>
  <c r="H279" i="11"/>
  <c r="G279" i="11"/>
  <c r="F279" i="11"/>
  <c r="M278" i="11"/>
  <c r="L278" i="11"/>
  <c r="K278" i="11"/>
  <c r="J278" i="11"/>
  <c r="I278" i="11"/>
  <c r="H278" i="11"/>
  <c r="G278" i="11"/>
  <c r="F278" i="11"/>
  <c r="M277" i="11"/>
  <c r="L277" i="11"/>
  <c r="K277" i="11"/>
  <c r="J277" i="11"/>
  <c r="I277" i="11"/>
  <c r="H277" i="11"/>
  <c r="G277" i="11"/>
  <c r="F277" i="11"/>
  <c r="M276" i="11"/>
  <c r="L276" i="11"/>
  <c r="K276" i="11"/>
  <c r="J276" i="11"/>
  <c r="I276" i="11"/>
  <c r="H276" i="11"/>
  <c r="G276" i="11"/>
  <c r="F276" i="11"/>
  <c r="M275" i="11"/>
  <c r="L275" i="11"/>
  <c r="K275" i="11"/>
  <c r="J275" i="11"/>
  <c r="I275" i="11"/>
  <c r="H275" i="11"/>
  <c r="G275" i="11"/>
  <c r="F275" i="11"/>
  <c r="M274" i="11"/>
  <c r="L274" i="11"/>
  <c r="K274" i="11"/>
  <c r="J274" i="11"/>
  <c r="I274" i="11"/>
  <c r="H274" i="11"/>
  <c r="G274" i="11"/>
  <c r="F274" i="11"/>
  <c r="M273" i="11"/>
  <c r="L273" i="11"/>
  <c r="K273" i="11"/>
  <c r="J273" i="11"/>
  <c r="I273" i="11"/>
  <c r="H273" i="11"/>
  <c r="G273" i="11"/>
  <c r="F273" i="11"/>
  <c r="M272" i="11"/>
  <c r="L272" i="11"/>
  <c r="K272" i="11"/>
  <c r="J272" i="11"/>
  <c r="I272" i="11"/>
  <c r="H272" i="11"/>
  <c r="G272" i="11"/>
  <c r="F272" i="11"/>
  <c r="M271" i="11"/>
  <c r="L271" i="11"/>
  <c r="K271" i="11"/>
  <c r="J271" i="11"/>
  <c r="I271" i="11"/>
  <c r="H271" i="11"/>
  <c r="G271" i="11"/>
  <c r="F271" i="11"/>
  <c r="M270" i="11"/>
  <c r="L270" i="11"/>
  <c r="K270" i="11"/>
  <c r="J270" i="11"/>
  <c r="I270" i="11"/>
  <c r="H270" i="11"/>
  <c r="G270" i="11"/>
  <c r="F270" i="11"/>
  <c r="M269" i="11"/>
  <c r="L269" i="11"/>
  <c r="K269" i="11"/>
  <c r="J269" i="11"/>
  <c r="I269" i="11"/>
  <c r="H269" i="11"/>
  <c r="G269" i="11"/>
  <c r="F269" i="11"/>
  <c r="M268" i="11"/>
  <c r="L268" i="11"/>
  <c r="K268" i="11"/>
  <c r="J268" i="11"/>
  <c r="I268" i="11"/>
  <c r="H268" i="11"/>
  <c r="G268" i="11"/>
  <c r="F268" i="11"/>
  <c r="M267" i="11"/>
  <c r="L267" i="11"/>
  <c r="K267" i="11"/>
  <c r="J267" i="11"/>
  <c r="I267" i="11"/>
  <c r="H267" i="11"/>
  <c r="G267" i="11"/>
  <c r="F267" i="11"/>
  <c r="M266" i="11"/>
  <c r="L266" i="11"/>
  <c r="K266" i="11"/>
  <c r="J266" i="11"/>
  <c r="I266" i="11"/>
  <c r="H266" i="11"/>
  <c r="G266" i="11"/>
  <c r="F266" i="11"/>
  <c r="M265" i="11"/>
  <c r="L265" i="11"/>
  <c r="K265" i="11"/>
  <c r="J265" i="11"/>
  <c r="I265" i="11"/>
  <c r="H265" i="11"/>
  <c r="G265" i="11"/>
  <c r="F265" i="11"/>
  <c r="M264" i="11"/>
  <c r="L264" i="11"/>
  <c r="K264" i="11"/>
  <c r="J264" i="11"/>
  <c r="I264" i="11"/>
  <c r="H264" i="11"/>
  <c r="G264" i="11"/>
  <c r="F264" i="11"/>
  <c r="M263" i="11"/>
  <c r="L263" i="11"/>
  <c r="K263" i="11"/>
  <c r="J263" i="11"/>
  <c r="I263" i="11"/>
  <c r="H263" i="11"/>
  <c r="G263" i="11"/>
  <c r="F263" i="11"/>
  <c r="M262" i="11"/>
  <c r="L262" i="11"/>
  <c r="K262" i="11"/>
  <c r="J262" i="11"/>
  <c r="I262" i="11"/>
  <c r="H262" i="11"/>
  <c r="G262" i="11"/>
  <c r="F262" i="11"/>
  <c r="M261" i="11"/>
  <c r="L261" i="11"/>
  <c r="K261" i="11"/>
  <c r="J261" i="11"/>
  <c r="I261" i="11"/>
  <c r="H261" i="11"/>
  <c r="G261" i="11"/>
  <c r="F261" i="11"/>
  <c r="M260" i="11"/>
  <c r="L260" i="11"/>
  <c r="K260" i="11"/>
  <c r="J260" i="11"/>
  <c r="I260" i="11"/>
  <c r="H260" i="11"/>
  <c r="G260" i="11"/>
  <c r="F260" i="11"/>
  <c r="M259" i="11"/>
  <c r="L259" i="11"/>
  <c r="K259" i="11"/>
  <c r="J259" i="11"/>
  <c r="I259" i="11"/>
  <c r="H259" i="11"/>
  <c r="G259" i="11"/>
  <c r="F259" i="11"/>
  <c r="M258" i="11"/>
  <c r="L258" i="11"/>
  <c r="K258" i="11"/>
  <c r="J258" i="11"/>
  <c r="I258" i="11"/>
  <c r="H258" i="11"/>
  <c r="G258" i="11"/>
  <c r="F258" i="11"/>
  <c r="M257" i="11"/>
  <c r="L257" i="11"/>
  <c r="K257" i="11"/>
  <c r="J257" i="11"/>
  <c r="I257" i="11"/>
  <c r="H257" i="11"/>
  <c r="G257" i="11"/>
  <c r="F257" i="11"/>
  <c r="M256" i="11"/>
  <c r="L256" i="11"/>
  <c r="K256" i="11"/>
  <c r="J256" i="11"/>
  <c r="I256" i="11"/>
  <c r="H256" i="11"/>
  <c r="G256" i="11"/>
  <c r="F256" i="11"/>
  <c r="M255" i="11"/>
  <c r="L255" i="11"/>
  <c r="K255" i="11"/>
  <c r="J255" i="11"/>
  <c r="I255" i="11"/>
  <c r="H255" i="11"/>
  <c r="G255" i="11"/>
  <c r="F255" i="11"/>
  <c r="M254" i="11"/>
  <c r="L254" i="11"/>
  <c r="K254" i="11"/>
  <c r="J254" i="11"/>
  <c r="I254" i="11"/>
  <c r="H254" i="11"/>
  <c r="G254" i="11"/>
  <c r="F254" i="11"/>
  <c r="M253" i="11"/>
  <c r="L253" i="11"/>
  <c r="K253" i="11"/>
  <c r="J253" i="11"/>
  <c r="I253" i="11"/>
  <c r="H253" i="11"/>
  <c r="G253" i="11"/>
  <c r="F253" i="11"/>
  <c r="M252" i="11"/>
  <c r="L252" i="11"/>
  <c r="K252" i="11"/>
  <c r="J252" i="11"/>
  <c r="I252" i="11"/>
  <c r="H252" i="11"/>
  <c r="G252" i="11"/>
  <c r="F252" i="11"/>
  <c r="M251" i="11"/>
  <c r="L251" i="11"/>
  <c r="K251" i="11"/>
  <c r="J251" i="11"/>
  <c r="I251" i="11"/>
  <c r="H251" i="11"/>
  <c r="G251" i="11"/>
  <c r="F251" i="11"/>
  <c r="M250" i="11"/>
  <c r="L250" i="11"/>
  <c r="K250" i="11"/>
  <c r="J250" i="11"/>
  <c r="I250" i="11"/>
  <c r="H250" i="11"/>
  <c r="G250" i="11"/>
  <c r="F250" i="11"/>
  <c r="M249" i="11"/>
  <c r="L249" i="11"/>
  <c r="K249" i="11"/>
  <c r="J249" i="11"/>
  <c r="I249" i="11"/>
  <c r="H249" i="11"/>
  <c r="G249" i="11"/>
  <c r="F249" i="11"/>
  <c r="M248" i="11"/>
  <c r="L248" i="11"/>
  <c r="K248" i="11"/>
  <c r="J248" i="11"/>
  <c r="I248" i="11"/>
  <c r="H248" i="11"/>
  <c r="G248" i="11"/>
  <c r="F248" i="11"/>
  <c r="M247" i="11"/>
  <c r="L247" i="11"/>
  <c r="K247" i="11"/>
  <c r="J247" i="11"/>
  <c r="I247" i="11"/>
  <c r="H247" i="11"/>
  <c r="G247" i="11"/>
  <c r="F247" i="11"/>
  <c r="M246" i="11"/>
  <c r="L246" i="11"/>
  <c r="K246" i="11"/>
  <c r="J246" i="11"/>
  <c r="I246" i="11"/>
  <c r="H246" i="11"/>
  <c r="G246" i="11"/>
  <c r="F246" i="11"/>
  <c r="M245" i="11"/>
  <c r="L245" i="11"/>
  <c r="K245" i="11"/>
  <c r="J245" i="11"/>
  <c r="I245" i="11"/>
  <c r="H245" i="11"/>
  <c r="G245" i="11"/>
  <c r="F245" i="11"/>
  <c r="M244" i="11"/>
  <c r="L244" i="11"/>
  <c r="K244" i="11"/>
  <c r="J244" i="11"/>
  <c r="I244" i="11"/>
  <c r="H244" i="11"/>
  <c r="G244" i="11"/>
  <c r="F244" i="11"/>
  <c r="M243" i="11"/>
  <c r="L243" i="11"/>
  <c r="K243" i="11"/>
  <c r="J243" i="11"/>
  <c r="I243" i="11"/>
  <c r="H243" i="11"/>
  <c r="G243" i="11"/>
  <c r="F243" i="11"/>
  <c r="M242" i="11"/>
  <c r="L242" i="11"/>
  <c r="K242" i="11"/>
  <c r="J242" i="11"/>
  <c r="I242" i="11"/>
  <c r="H242" i="11"/>
  <c r="G242" i="11"/>
  <c r="F242" i="11"/>
  <c r="M241" i="11"/>
  <c r="L241" i="11"/>
  <c r="K241" i="11"/>
  <c r="J241" i="11"/>
  <c r="I241" i="11"/>
  <c r="H241" i="11"/>
  <c r="G241" i="11"/>
  <c r="F241" i="11"/>
  <c r="M240" i="11"/>
  <c r="L240" i="11"/>
  <c r="K240" i="11"/>
  <c r="J240" i="11"/>
  <c r="I240" i="11"/>
  <c r="H240" i="11"/>
  <c r="G240" i="11"/>
  <c r="F240" i="11"/>
  <c r="M239" i="11"/>
  <c r="L239" i="11"/>
  <c r="K239" i="11"/>
  <c r="J239" i="11"/>
  <c r="I239" i="11"/>
  <c r="H239" i="11"/>
  <c r="G239" i="11"/>
  <c r="F239" i="11"/>
  <c r="M238" i="11"/>
  <c r="L238" i="11"/>
  <c r="K238" i="11"/>
  <c r="J238" i="11"/>
  <c r="I238" i="11"/>
  <c r="H238" i="11"/>
  <c r="G238" i="11"/>
  <c r="F238" i="11"/>
  <c r="M237" i="11"/>
  <c r="L237" i="11"/>
  <c r="K237" i="11"/>
  <c r="J237" i="11"/>
  <c r="I237" i="11"/>
  <c r="H237" i="11"/>
  <c r="G237" i="11"/>
  <c r="F237" i="11"/>
  <c r="M236" i="11"/>
  <c r="L236" i="11"/>
  <c r="K236" i="11"/>
  <c r="J236" i="11"/>
  <c r="I236" i="11"/>
  <c r="H236" i="11"/>
  <c r="G236" i="11"/>
  <c r="F236" i="11"/>
  <c r="M235" i="11"/>
  <c r="L235" i="11"/>
  <c r="K235" i="11"/>
  <c r="J235" i="11"/>
  <c r="I235" i="11"/>
  <c r="H235" i="11"/>
  <c r="G235" i="11"/>
  <c r="F235" i="11"/>
  <c r="M234" i="11"/>
  <c r="L234" i="11"/>
  <c r="K234" i="11"/>
  <c r="J234" i="11"/>
  <c r="I234" i="11"/>
  <c r="H234" i="11"/>
  <c r="G234" i="11"/>
  <c r="F234" i="11"/>
  <c r="M233" i="11"/>
  <c r="L233" i="11"/>
  <c r="K233" i="11"/>
  <c r="J233" i="11"/>
  <c r="I233" i="11"/>
  <c r="H233" i="11"/>
  <c r="G233" i="11"/>
  <c r="F233" i="11"/>
  <c r="M232" i="11"/>
  <c r="L232" i="11"/>
  <c r="K232" i="11"/>
  <c r="J232" i="11"/>
  <c r="I232" i="11"/>
  <c r="H232" i="11"/>
  <c r="G232" i="11"/>
  <c r="F232" i="11"/>
  <c r="M231" i="11"/>
  <c r="L231" i="11"/>
  <c r="K231" i="11"/>
  <c r="J231" i="11"/>
  <c r="I231" i="11"/>
  <c r="H231" i="11"/>
  <c r="G231" i="11"/>
  <c r="F231" i="11"/>
  <c r="M230" i="11"/>
  <c r="L230" i="11"/>
  <c r="K230" i="11"/>
  <c r="J230" i="11"/>
  <c r="I230" i="11"/>
  <c r="H230" i="11"/>
  <c r="G230" i="11"/>
  <c r="F230" i="11"/>
  <c r="M229" i="11"/>
  <c r="L229" i="11"/>
  <c r="K229" i="11"/>
  <c r="J229" i="11"/>
  <c r="I229" i="11"/>
  <c r="H229" i="11"/>
  <c r="G229" i="11"/>
  <c r="F229" i="11"/>
  <c r="M228" i="11"/>
  <c r="L228" i="11"/>
  <c r="K228" i="11"/>
  <c r="J228" i="11"/>
  <c r="I228" i="11"/>
  <c r="H228" i="11"/>
  <c r="G228" i="11"/>
  <c r="F228" i="11"/>
  <c r="M227" i="11"/>
  <c r="L227" i="11"/>
  <c r="K227" i="11"/>
  <c r="J227" i="11"/>
  <c r="I227" i="11"/>
  <c r="H227" i="11"/>
  <c r="G227" i="11"/>
  <c r="F227" i="11"/>
  <c r="M226" i="11"/>
  <c r="L226" i="11"/>
  <c r="K226" i="11"/>
  <c r="J226" i="11"/>
  <c r="I226" i="11"/>
  <c r="H226" i="11"/>
  <c r="G226" i="11"/>
  <c r="F226" i="11"/>
  <c r="M225" i="11"/>
  <c r="L225" i="11"/>
  <c r="K225" i="11"/>
  <c r="J225" i="11"/>
  <c r="I225" i="11"/>
  <c r="H225" i="11"/>
  <c r="G225" i="11"/>
  <c r="F225" i="11"/>
  <c r="M224" i="11"/>
  <c r="L224" i="11"/>
  <c r="K224" i="11"/>
  <c r="J224" i="11"/>
  <c r="I224" i="11"/>
  <c r="H224" i="11"/>
  <c r="G224" i="11"/>
  <c r="F224" i="11"/>
  <c r="M223" i="11"/>
  <c r="L223" i="11"/>
  <c r="K223" i="11"/>
  <c r="J223" i="11"/>
  <c r="I223" i="11"/>
  <c r="H223" i="11"/>
  <c r="G223" i="11"/>
  <c r="F223" i="11"/>
  <c r="M222" i="11"/>
  <c r="L222" i="11"/>
  <c r="K222" i="11"/>
  <c r="J222" i="11"/>
  <c r="I222" i="11"/>
  <c r="H222" i="11"/>
  <c r="G222" i="11"/>
  <c r="F222" i="11"/>
  <c r="M221" i="11"/>
  <c r="L221" i="11"/>
  <c r="K221" i="11"/>
  <c r="J221" i="11"/>
  <c r="I221" i="11"/>
  <c r="H221" i="11"/>
  <c r="G221" i="11"/>
  <c r="F221" i="11"/>
  <c r="M220" i="11"/>
  <c r="L220" i="11"/>
  <c r="K220" i="11"/>
  <c r="J220" i="11"/>
  <c r="I220" i="11"/>
  <c r="H220" i="11"/>
  <c r="G220" i="11"/>
  <c r="F220" i="11"/>
  <c r="M219" i="11"/>
  <c r="L219" i="11"/>
  <c r="K219" i="11"/>
  <c r="J219" i="11"/>
  <c r="I219" i="11"/>
  <c r="H219" i="11"/>
  <c r="G219" i="11"/>
  <c r="F219" i="11"/>
  <c r="M218" i="11"/>
  <c r="L218" i="11"/>
  <c r="K218" i="11"/>
  <c r="J218" i="11"/>
  <c r="I218" i="11"/>
  <c r="H218" i="11"/>
  <c r="G218" i="11"/>
  <c r="F218" i="11"/>
  <c r="M217" i="11"/>
  <c r="L217" i="11"/>
  <c r="K217" i="11"/>
  <c r="J217" i="11"/>
  <c r="I217" i="11"/>
  <c r="H217" i="11"/>
  <c r="G217" i="11"/>
  <c r="F217" i="11"/>
  <c r="M216" i="11"/>
  <c r="L216" i="11"/>
  <c r="K216" i="11"/>
  <c r="J216" i="11"/>
  <c r="I216" i="11"/>
  <c r="H216" i="11"/>
  <c r="G216" i="11"/>
  <c r="F216" i="11"/>
  <c r="M215" i="11"/>
  <c r="L215" i="11"/>
  <c r="K215" i="11"/>
  <c r="J215" i="11"/>
  <c r="I215" i="11"/>
  <c r="H215" i="11"/>
  <c r="G215" i="11"/>
  <c r="F215" i="11"/>
  <c r="M214" i="11"/>
  <c r="L214" i="11"/>
  <c r="K214" i="11"/>
  <c r="J214" i="11"/>
  <c r="I214" i="11"/>
  <c r="H214" i="11"/>
  <c r="G214" i="11"/>
  <c r="F214" i="11"/>
  <c r="M213" i="11"/>
  <c r="L213" i="11"/>
  <c r="K213" i="11"/>
  <c r="J213" i="11"/>
  <c r="I213" i="11"/>
  <c r="H213" i="11"/>
  <c r="G213" i="11"/>
  <c r="F213" i="11"/>
  <c r="M212" i="11"/>
  <c r="L212" i="11"/>
  <c r="K212" i="11"/>
  <c r="J212" i="11"/>
  <c r="I212" i="11"/>
  <c r="H212" i="11"/>
  <c r="G212" i="11"/>
  <c r="F212" i="11"/>
  <c r="M211" i="11"/>
  <c r="L211" i="11"/>
  <c r="K211" i="11"/>
  <c r="J211" i="11"/>
  <c r="I211" i="11"/>
  <c r="H211" i="11"/>
  <c r="G211" i="11"/>
  <c r="F211" i="11"/>
  <c r="M210" i="11"/>
  <c r="L210" i="11"/>
  <c r="K210" i="11"/>
  <c r="J210" i="11"/>
  <c r="I210" i="11"/>
  <c r="H210" i="11"/>
  <c r="G210" i="11"/>
  <c r="F210" i="11"/>
  <c r="M209" i="11"/>
  <c r="L209" i="11"/>
  <c r="K209" i="11"/>
  <c r="J209" i="11"/>
  <c r="I209" i="11"/>
  <c r="H209" i="11"/>
  <c r="G209" i="11"/>
  <c r="F209" i="11"/>
  <c r="M208" i="11"/>
  <c r="L208" i="11"/>
  <c r="K208" i="11"/>
  <c r="J208" i="11"/>
  <c r="I208" i="11"/>
  <c r="H208" i="11"/>
  <c r="G208" i="11"/>
  <c r="F208" i="11"/>
  <c r="M207" i="11"/>
  <c r="L207" i="11"/>
  <c r="K207" i="11"/>
  <c r="J207" i="11"/>
  <c r="I207" i="11"/>
  <c r="H207" i="11"/>
  <c r="G207" i="11"/>
  <c r="F207" i="11"/>
  <c r="M206" i="11"/>
  <c r="L206" i="11"/>
  <c r="K206" i="11"/>
  <c r="J206" i="11"/>
  <c r="I206" i="11"/>
  <c r="H206" i="11"/>
  <c r="G206" i="11"/>
  <c r="F206" i="11"/>
  <c r="M205" i="11"/>
  <c r="L205" i="11"/>
  <c r="K205" i="11"/>
  <c r="J205" i="11"/>
  <c r="I205" i="11"/>
  <c r="H205" i="11"/>
  <c r="G205" i="11"/>
  <c r="F205" i="11"/>
  <c r="M204" i="11"/>
  <c r="L204" i="11"/>
  <c r="K204" i="11"/>
  <c r="J204" i="11"/>
  <c r="I204" i="11"/>
  <c r="H204" i="11"/>
  <c r="G204" i="11"/>
  <c r="F204" i="11"/>
  <c r="M203" i="11"/>
  <c r="L203" i="11"/>
  <c r="K203" i="11"/>
  <c r="J203" i="11"/>
  <c r="I203" i="11"/>
  <c r="H203" i="11"/>
  <c r="G203" i="11"/>
  <c r="F203" i="11"/>
  <c r="M202" i="11"/>
  <c r="L202" i="11"/>
  <c r="K202" i="11"/>
  <c r="J202" i="11"/>
  <c r="I202" i="11"/>
  <c r="H202" i="11"/>
  <c r="G202" i="11"/>
  <c r="F202" i="11"/>
  <c r="M201" i="11"/>
  <c r="L201" i="11"/>
  <c r="K201" i="11"/>
  <c r="J201" i="11"/>
  <c r="I201" i="11"/>
  <c r="H201" i="11"/>
  <c r="G201" i="11"/>
  <c r="F201" i="11"/>
  <c r="M200" i="11"/>
  <c r="L200" i="11"/>
  <c r="K200" i="11"/>
  <c r="J200" i="11"/>
  <c r="I200" i="11"/>
  <c r="H200" i="11"/>
  <c r="G200" i="11"/>
  <c r="F200" i="11"/>
  <c r="M199" i="11"/>
  <c r="L199" i="11"/>
  <c r="K199" i="11"/>
  <c r="J199" i="11"/>
  <c r="I199" i="11"/>
  <c r="H199" i="11"/>
  <c r="G199" i="11"/>
  <c r="F199" i="11"/>
  <c r="M198" i="11"/>
  <c r="L198" i="11"/>
  <c r="K198" i="11"/>
  <c r="J198" i="11"/>
  <c r="I198" i="11"/>
  <c r="H198" i="11"/>
  <c r="G198" i="11"/>
  <c r="F198" i="11"/>
  <c r="M197" i="11"/>
  <c r="L197" i="11"/>
  <c r="K197" i="11"/>
  <c r="J197" i="11"/>
  <c r="I197" i="11"/>
  <c r="H197" i="11"/>
  <c r="G197" i="11"/>
  <c r="F197" i="11"/>
  <c r="M196" i="11"/>
  <c r="L196" i="11"/>
  <c r="K196" i="11"/>
  <c r="J196" i="11"/>
  <c r="I196" i="11"/>
  <c r="H196" i="11"/>
  <c r="G196" i="11"/>
  <c r="F196" i="11"/>
  <c r="M195" i="11"/>
  <c r="L195" i="11"/>
  <c r="K195" i="11"/>
  <c r="J195" i="11"/>
  <c r="I195" i="11"/>
  <c r="H195" i="11"/>
  <c r="G195" i="11"/>
  <c r="F195" i="11"/>
  <c r="M194" i="11"/>
  <c r="L194" i="11"/>
  <c r="K194" i="11"/>
  <c r="J194" i="11"/>
  <c r="I194" i="11"/>
  <c r="H194" i="11"/>
  <c r="G194" i="11"/>
  <c r="F194" i="11"/>
  <c r="M193" i="11"/>
  <c r="L193" i="11"/>
  <c r="K193" i="11"/>
  <c r="J193" i="11"/>
  <c r="I193" i="11"/>
  <c r="H193" i="11"/>
  <c r="G193" i="11"/>
  <c r="F193" i="11"/>
  <c r="M192" i="11"/>
  <c r="L192" i="11"/>
  <c r="K192" i="11"/>
  <c r="J192" i="11"/>
  <c r="I192" i="11"/>
  <c r="H192" i="11"/>
  <c r="G192" i="11"/>
  <c r="F192" i="11"/>
  <c r="M191" i="11"/>
  <c r="L191" i="11"/>
  <c r="K191" i="11"/>
  <c r="J191" i="11"/>
  <c r="I191" i="11"/>
  <c r="H191" i="11"/>
  <c r="G191" i="11"/>
  <c r="F191" i="11"/>
  <c r="M190" i="11"/>
  <c r="L190" i="11"/>
  <c r="K190" i="11"/>
  <c r="J190" i="11"/>
  <c r="I190" i="11"/>
  <c r="H190" i="11"/>
  <c r="G190" i="11"/>
  <c r="F190" i="11"/>
  <c r="M189" i="11"/>
  <c r="L189" i="11"/>
  <c r="K189" i="11"/>
  <c r="J189" i="11"/>
  <c r="I189" i="11"/>
  <c r="H189" i="11"/>
  <c r="G189" i="11"/>
  <c r="F189" i="11"/>
  <c r="M188" i="11"/>
  <c r="L188" i="11"/>
  <c r="K188" i="11"/>
  <c r="J188" i="11"/>
  <c r="I188" i="11"/>
  <c r="H188" i="11"/>
  <c r="G188" i="11"/>
  <c r="F188" i="11"/>
  <c r="M187" i="11"/>
  <c r="L187" i="11"/>
  <c r="K187" i="11"/>
  <c r="J187" i="11"/>
  <c r="I187" i="11"/>
  <c r="H187" i="11"/>
  <c r="G187" i="11"/>
  <c r="F187" i="11"/>
  <c r="M186" i="11"/>
  <c r="L186" i="11"/>
  <c r="K186" i="11"/>
  <c r="J186" i="11"/>
  <c r="I186" i="11"/>
  <c r="H186" i="11"/>
  <c r="G186" i="11"/>
  <c r="F186" i="11"/>
  <c r="M185" i="11"/>
  <c r="L185" i="11"/>
  <c r="K185" i="11"/>
  <c r="J185" i="11"/>
  <c r="I185" i="11"/>
  <c r="H185" i="11"/>
  <c r="G185" i="11"/>
  <c r="F185" i="11"/>
  <c r="M184" i="11"/>
  <c r="L184" i="11"/>
  <c r="K184" i="11"/>
  <c r="J184" i="11"/>
  <c r="I184" i="11"/>
  <c r="H184" i="11"/>
  <c r="G184" i="11"/>
  <c r="F184" i="11"/>
  <c r="M183" i="11"/>
  <c r="L183" i="11"/>
  <c r="K183" i="11"/>
  <c r="J183" i="11"/>
  <c r="I183" i="11"/>
  <c r="H183" i="11"/>
  <c r="G183" i="11"/>
  <c r="F183" i="11"/>
  <c r="M182" i="11"/>
  <c r="L182" i="11"/>
  <c r="K182" i="11"/>
  <c r="J182" i="11"/>
  <c r="I182" i="11"/>
  <c r="H182" i="11"/>
  <c r="G182" i="11"/>
  <c r="F182" i="11"/>
  <c r="M181" i="11"/>
  <c r="L181" i="11"/>
  <c r="K181" i="11"/>
  <c r="J181" i="11"/>
  <c r="I181" i="11"/>
  <c r="H181" i="11"/>
  <c r="G181" i="11"/>
  <c r="F181" i="11"/>
  <c r="M180" i="11"/>
  <c r="L180" i="11"/>
  <c r="K180" i="11"/>
  <c r="J180" i="11"/>
  <c r="I180" i="11"/>
  <c r="H180" i="11"/>
  <c r="G180" i="11"/>
  <c r="F180" i="11"/>
  <c r="M179" i="11"/>
  <c r="L179" i="11"/>
  <c r="K179" i="11"/>
  <c r="J179" i="11"/>
  <c r="I179" i="11"/>
  <c r="H179" i="11"/>
  <c r="G179" i="11"/>
  <c r="F179" i="11"/>
  <c r="M178" i="11"/>
  <c r="L178" i="11"/>
  <c r="K178" i="11"/>
  <c r="J178" i="11"/>
  <c r="I178" i="11"/>
  <c r="H178" i="11"/>
  <c r="G178" i="11"/>
  <c r="F178" i="11"/>
  <c r="M177" i="11"/>
  <c r="L177" i="11"/>
  <c r="K177" i="11"/>
  <c r="J177" i="11"/>
  <c r="I177" i="11"/>
  <c r="H177" i="11"/>
  <c r="G177" i="11"/>
  <c r="F177" i="11"/>
  <c r="M176" i="11"/>
  <c r="L176" i="11"/>
  <c r="K176" i="11"/>
  <c r="J176" i="11"/>
  <c r="I176" i="11"/>
  <c r="H176" i="11"/>
  <c r="G176" i="11"/>
  <c r="F176" i="11"/>
  <c r="M175" i="11"/>
  <c r="L175" i="11"/>
  <c r="K175" i="11"/>
  <c r="J175" i="11"/>
  <c r="I175" i="11"/>
  <c r="H175" i="11"/>
  <c r="G175" i="11"/>
  <c r="F175" i="11"/>
  <c r="M174" i="11"/>
  <c r="L174" i="11"/>
  <c r="K174" i="11"/>
  <c r="J174" i="11"/>
  <c r="I174" i="11"/>
  <c r="H174" i="11"/>
  <c r="G174" i="11"/>
  <c r="F174" i="11"/>
  <c r="M173" i="11"/>
  <c r="L173" i="11"/>
  <c r="K173" i="11"/>
  <c r="J173" i="11"/>
  <c r="I173" i="11"/>
  <c r="H173" i="11"/>
  <c r="G173" i="11"/>
  <c r="F173" i="11"/>
  <c r="M172" i="11"/>
  <c r="L172" i="11"/>
  <c r="K172" i="11"/>
  <c r="J172" i="11"/>
  <c r="I172" i="11"/>
  <c r="H172" i="11"/>
  <c r="G172" i="11"/>
  <c r="F172" i="11"/>
  <c r="M171" i="11"/>
  <c r="L171" i="11"/>
  <c r="K171" i="11"/>
  <c r="J171" i="11"/>
  <c r="I171" i="11"/>
  <c r="H171" i="11"/>
  <c r="G171" i="11"/>
  <c r="F171" i="11"/>
  <c r="M170" i="11"/>
  <c r="L170" i="11"/>
  <c r="K170" i="11"/>
  <c r="J170" i="11"/>
  <c r="I170" i="11"/>
  <c r="H170" i="11"/>
  <c r="G170" i="11"/>
  <c r="F170" i="11"/>
  <c r="M169" i="11"/>
  <c r="L169" i="11"/>
  <c r="K169" i="11"/>
  <c r="J169" i="11"/>
  <c r="I169" i="11"/>
  <c r="H169" i="11"/>
  <c r="G169" i="11"/>
  <c r="F169" i="11"/>
  <c r="M168" i="11"/>
  <c r="L168" i="11"/>
  <c r="K168" i="11"/>
  <c r="J168" i="11"/>
  <c r="I168" i="11"/>
  <c r="H168" i="11"/>
  <c r="G168" i="11"/>
  <c r="F168" i="11"/>
  <c r="M167" i="11"/>
  <c r="L167" i="11"/>
  <c r="K167" i="11"/>
  <c r="J167" i="11"/>
  <c r="I167" i="11"/>
  <c r="H167" i="11"/>
  <c r="G167" i="11"/>
  <c r="F167" i="11"/>
  <c r="M166" i="11"/>
  <c r="L166" i="11"/>
  <c r="K166" i="11"/>
  <c r="J166" i="11"/>
  <c r="I166" i="11"/>
  <c r="H166" i="11"/>
  <c r="G166" i="11"/>
  <c r="F166" i="11"/>
  <c r="M165" i="11"/>
  <c r="L165" i="11"/>
  <c r="K165" i="11"/>
  <c r="J165" i="11"/>
  <c r="I165" i="11"/>
  <c r="H165" i="11"/>
  <c r="G165" i="11"/>
  <c r="F165" i="11"/>
  <c r="M164" i="11"/>
  <c r="L164" i="11"/>
  <c r="K164" i="11"/>
  <c r="J164" i="11"/>
  <c r="I164" i="11"/>
  <c r="H164" i="11"/>
  <c r="G164" i="11"/>
  <c r="F164" i="11"/>
  <c r="M163" i="11"/>
  <c r="L163" i="11"/>
  <c r="K163" i="11"/>
  <c r="J163" i="11"/>
  <c r="I163" i="11"/>
  <c r="H163" i="11"/>
  <c r="G163" i="11"/>
  <c r="F163" i="11"/>
  <c r="M162" i="11"/>
  <c r="L162" i="11"/>
  <c r="K162" i="11"/>
  <c r="J162" i="11"/>
  <c r="I162" i="11"/>
  <c r="H162" i="11"/>
  <c r="G162" i="11"/>
  <c r="F162" i="11"/>
  <c r="M161" i="11"/>
  <c r="L161" i="11"/>
  <c r="K161" i="11"/>
  <c r="J161" i="11"/>
  <c r="I161" i="11"/>
  <c r="H161" i="11"/>
  <c r="G161" i="11"/>
  <c r="F161" i="11"/>
  <c r="M160" i="11"/>
  <c r="L160" i="11"/>
  <c r="K160" i="11"/>
  <c r="J160" i="11"/>
  <c r="I160" i="11"/>
  <c r="H160" i="11"/>
  <c r="G160" i="11"/>
  <c r="F160" i="11"/>
  <c r="M159" i="11"/>
  <c r="L159" i="11"/>
  <c r="K159" i="11"/>
  <c r="J159" i="11"/>
  <c r="I159" i="11"/>
  <c r="H159" i="11"/>
  <c r="G159" i="11"/>
  <c r="F159" i="11"/>
  <c r="M158" i="11"/>
  <c r="L158" i="11"/>
  <c r="K158" i="11"/>
  <c r="J158" i="11"/>
  <c r="I158" i="11"/>
  <c r="H158" i="11"/>
  <c r="G158" i="11"/>
  <c r="F158" i="11"/>
  <c r="M157" i="11"/>
  <c r="L157" i="11"/>
  <c r="K157" i="11"/>
  <c r="J157" i="11"/>
  <c r="I157" i="11"/>
  <c r="H157" i="11"/>
  <c r="G157" i="11"/>
  <c r="F157" i="11"/>
  <c r="M156" i="11"/>
  <c r="L156" i="11"/>
  <c r="K156" i="11"/>
  <c r="J156" i="11"/>
  <c r="I156" i="11"/>
  <c r="H156" i="11"/>
  <c r="G156" i="11"/>
  <c r="F156" i="11"/>
  <c r="M155" i="11"/>
  <c r="L155" i="11"/>
  <c r="K155" i="11"/>
  <c r="J155" i="11"/>
  <c r="I155" i="11"/>
  <c r="H155" i="11"/>
  <c r="G155" i="11"/>
  <c r="F155" i="11"/>
  <c r="M154" i="11"/>
  <c r="L154" i="11"/>
  <c r="K154" i="11"/>
  <c r="J154" i="11"/>
  <c r="I154" i="11"/>
  <c r="H154" i="11"/>
  <c r="G154" i="11"/>
  <c r="F154" i="11"/>
  <c r="M153" i="11"/>
  <c r="L153" i="11"/>
  <c r="K153" i="11"/>
  <c r="J153" i="11"/>
  <c r="I153" i="11"/>
  <c r="H153" i="11"/>
  <c r="G153" i="11"/>
  <c r="F153" i="11"/>
  <c r="M152" i="11"/>
  <c r="L152" i="11"/>
  <c r="K152" i="11"/>
  <c r="J152" i="11"/>
  <c r="I152" i="11"/>
  <c r="H152" i="11"/>
  <c r="G152" i="11"/>
  <c r="F152" i="11"/>
  <c r="M151" i="11"/>
  <c r="L151" i="11"/>
  <c r="K151" i="11"/>
  <c r="J151" i="11"/>
  <c r="I151" i="11"/>
  <c r="H151" i="11"/>
  <c r="G151" i="11"/>
  <c r="F151" i="11"/>
  <c r="M150" i="11"/>
  <c r="L150" i="11"/>
  <c r="K150" i="11"/>
  <c r="J150" i="11"/>
  <c r="I150" i="11"/>
  <c r="H150" i="11"/>
  <c r="G150" i="11"/>
  <c r="F150" i="11"/>
  <c r="M149" i="11"/>
  <c r="L149" i="11"/>
  <c r="K149" i="11"/>
  <c r="J149" i="11"/>
  <c r="I149" i="11"/>
  <c r="H149" i="11"/>
  <c r="G149" i="11"/>
  <c r="F149" i="11"/>
  <c r="M148" i="11"/>
  <c r="L148" i="11"/>
  <c r="K148" i="11"/>
  <c r="J148" i="11"/>
  <c r="I148" i="11"/>
  <c r="H148" i="11"/>
  <c r="G148" i="11"/>
  <c r="F148" i="11"/>
  <c r="M147" i="11"/>
  <c r="L147" i="11"/>
  <c r="K147" i="11"/>
  <c r="J147" i="11"/>
  <c r="I147" i="11"/>
  <c r="H147" i="11"/>
  <c r="G147" i="11"/>
  <c r="F147" i="11"/>
  <c r="M146" i="11"/>
  <c r="L146" i="11"/>
  <c r="K146" i="11"/>
  <c r="J146" i="11"/>
  <c r="I146" i="11"/>
  <c r="H146" i="11"/>
  <c r="G146" i="11"/>
  <c r="F146" i="11"/>
  <c r="M145" i="11"/>
  <c r="L145" i="11"/>
  <c r="K145" i="11"/>
  <c r="J145" i="11"/>
  <c r="I145" i="11"/>
  <c r="H145" i="11"/>
  <c r="G145" i="11"/>
  <c r="F145" i="11"/>
  <c r="M144" i="11"/>
  <c r="L144" i="11"/>
  <c r="K144" i="11"/>
  <c r="J144" i="11"/>
  <c r="I144" i="11"/>
  <c r="H144" i="11"/>
  <c r="G144" i="11"/>
  <c r="F144" i="11"/>
  <c r="M143" i="11"/>
  <c r="L143" i="11"/>
  <c r="K143" i="11"/>
  <c r="J143" i="11"/>
  <c r="I143" i="11"/>
  <c r="H143" i="11"/>
  <c r="G143" i="11"/>
  <c r="F143" i="11"/>
  <c r="M142" i="11"/>
  <c r="L142" i="11"/>
  <c r="K142" i="11"/>
  <c r="J142" i="11"/>
  <c r="I142" i="11"/>
  <c r="H142" i="11"/>
  <c r="G142" i="11"/>
  <c r="F142" i="11"/>
  <c r="M141" i="11"/>
  <c r="L141" i="11"/>
  <c r="K141" i="11"/>
  <c r="J141" i="11"/>
  <c r="I141" i="11"/>
  <c r="H141" i="11"/>
  <c r="G141" i="11"/>
  <c r="F141" i="11"/>
  <c r="M140" i="11"/>
  <c r="L140" i="11"/>
  <c r="K140" i="11"/>
  <c r="J140" i="11"/>
  <c r="I140" i="11"/>
  <c r="H140" i="11"/>
  <c r="G140" i="11"/>
  <c r="F140" i="11"/>
  <c r="M139" i="11"/>
  <c r="L139" i="11"/>
  <c r="K139" i="11"/>
  <c r="J139" i="11"/>
  <c r="I139" i="11"/>
  <c r="H139" i="11"/>
  <c r="G139" i="11"/>
  <c r="F139" i="11"/>
  <c r="M138" i="11"/>
  <c r="L138" i="11"/>
  <c r="K138" i="11"/>
  <c r="J138" i="11"/>
  <c r="I138" i="11"/>
  <c r="H138" i="11"/>
  <c r="G138" i="11"/>
  <c r="F138" i="11"/>
  <c r="M137" i="11"/>
  <c r="L137" i="11"/>
  <c r="K137" i="11"/>
  <c r="J137" i="11"/>
  <c r="I137" i="11"/>
  <c r="H137" i="11"/>
  <c r="G137" i="11"/>
  <c r="F137" i="11"/>
  <c r="M136" i="11"/>
  <c r="L136" i="11"/>
  <c r="K136" i="11"/>
  <c r="J136" i="11"/>
  <c r="I136" i="11"/>
  <c r="H136" i="11"/>
  <c r="G136" i="11"/>
  <c r="F136" i="11"/>
  <c r="M135" i="11"/>
  <c r="L135" i="11"/>
  <c r="K135" i="11"/>
  <c r="J135" i="11"/>
  <c r="I135" i="11"/>
  <c r="H135" i="11"/>
  <c r="G135" i="11"/>
  <c r="F135" i="11"/>
  <c r="M134" i="11"/>
  <c r="L134" i="11"/>
  <c r="K134" i="11"/>
  <c r="J134" i="11"/>
  <c r="I134" i="11"/>
  <c r="H134" i="11"/>
  <c r="G134" i="11"/>
  <c r="F134" i="11"/>
  <c r="M133" i="11"/>
  <c r="L133" i="11"/>
  <c r="K133" i="11"/>
  <c r="J133" i="11"/>
  <c r="I133" i="11"/>
  <c r="H133" i="11"/>
  <c r="G133" i="11"/>
  <c r="F133" i="11"/>
  <c r="M132" i="11"/>
  <c r="L132" i="11"/>
  <c r="K132" i="11"/>
  <c r="J132" i="11"/>
  <c r="I132" i="11"/>
  <c r="H132" i="11"/>
  <c r="G132" i="11"/>
  <c r="F132" i="11"/>
  <c r="M131" i="11"/>
  <c r="L131" i="11"/>
  <c r="K131" i="11"/>
  <c r="J131" i="11"/>
  <c r="I131" i="11"/>
  <c r="H131" i="11"/>
  <c r="G131" i="11"/>
  <c r="F131" i="11"/>
  <c r="M130" i="11"/>
  <c r="L130" i="11"/>
  <c r="K130" i="11"/>
  <c r="J130" i="11"/>
  <c r="I130" i="11"/>
  <c r="H130" i="11"/>
  <c r="G130" i="11"/>
  <c r="F130" i="11"/>
  <c r="M129" i="11"/>
  <c r="L129" i="11"/>
  <c r="K129" i="11"/>
  <c r="J129" i="11"/>
  <c r="I129" i="11"/>
  <c r="H129" i="11"/>
  <c r="G129" i="11"/>
  <c r="F129" i="11"/>
  <c r="M128" i="11"/>
  <c r="L128" i="11"/>
  <c r="K128" i="11"/>
  <c r="J128" i="11"/>
  <c r="I128" i="11"/>
  <c r="H128" i="11"/>
  <c r="G128" i="11"/>
  <c r="F128" i="11"/>
  <c r="M127" i="11"/>
  <c r="L127" i="11"/>
  <c r="K127" i="11"/>
  <c r="J127" i="11"/>
  <c r="I127" i="11"/>
  <c r="H127" i="11"/>
  <c r="G127" i="11"/>
  <c r="F127" i="11"/>
  <c r="M126" i="11"/>
  <c r="L126" i="11"/>
  <c r="K126" i="11"/>
  <c r="J126" i="11"/>
  <c r="I126" i="11"/>
  <c r="H126" i="11"/>
  <c r="G126" i="11"/>
  <c r="F126" i="11"/>
  <c r="M125" i="11"/>
  <c r="L125" i="11"/>
  <c r="K125" i="11"/>
  <c r="J125" i="11"/>
  <c r="I125" i="11"/>
  <c r="H125" i="11"/>
  <c r="G125" i="11"/>
  <c r="F125" i="11"/>
  <c r="M124" i="11"/>
  <c r="L124" i="11"/>
  <c r="K124" i="11"/>
  <c r="J124" i="11"/>
  <c r="I124" i="11"/>
  <c r="H124" i="11"/>
  <c r="G124" i="11"/>
  <c r="F124" i="11"/>
  <c r="M123" i="11"/>
  <c r="L123" i="11"/>
  <c r="K123" i="11"/>
  <c r="J123" i="11"/>
  <c r="I123" i="11"/>
  <c r="H123" i="11"/>
  <c r="G123" i="11"/>
  <c r="F123" i="11"/>
  <c r="M122" i="11"/>
  <c r="L122" i="11"/>
  <c r="K122" i="11"/>
  <c r="J122" i="11"/>
  <c r="I122" i="11"/>
  <c r="H122" i="11"/>
  <c r="G122" i="11"/>
  <c r="F122" i="11"/>
  <c r="M121" i="11"/>
  <c r="L121" i="11"/>
  <c r="K121" i="11"/>
  <c r="J121" i="11"/>
  <c r="I121" i="11"/>
  <c r="H121" i="11"/>
  <c r="G121" i="11"/>
  <c r="F121" i="11"/>
  <c r="M120" i="11"/>
  <c r="L120" i="11"/>
  <c r="K120" i="11"/>
  <c r="J120" i="11"/>
  <c r="I120" i="11"/>
  <c r="H120" i="11"/>
  <c r="G120" i="11"/>
  <c r="F120" i="11"/>
  <c r="M119" i="11"/>
  <c r="L119" i="11"/>
  <c r="K119" i="11"/>
  <c r="J119" i="11"/>
  <c r="I119" i="11"/>
  <c r="H119" i="11"/>
  <c r="G119" i="11"/>
  <c r="F119" i="11"/>
  <c r="M118" i="11"/>
  <c r="L118" i="11"/>
  <c r="K118" i="11"/>
  <c r="J118" i="11"/>
  <c r="I118" i="11"/>
  <c r="H118" i="11"/>
  <c r="G118" i="11"/>
  <c r="F118" i="11"/>
  <c r="M117" i="11"/>
  <c r="L117" i="11"/>
  <c r="K117" i="11"/>
  <c r="J117" i="11"/>
  <c r="I117" i="11"/>
  <c r="H117" i="11"/>
  <c r="G117" i="11"/>
  <c r="F117" i="11"/>
  <c r="M116" i="11"/>
  <c r="L116" i="11"/>
  <c r="K116" i="11"/>
  <c r="J116" i="11"/>
  <c r="I116" i="11"/>
  <c r="H116" i="11"/>
  <c r="G116" i="11"/>
  <c r="F116" i="11"/>
  <c r="M115" i="11"/>
  <c r="L115" i="11"/>
  <c r="K115" i="11"/>
  <c r="J115" i="11"/>
  <c r="I115" i="11"/>
  <c r="H115" i="11"/>
  <c r="G115" i="11"/>
  <c r="F115" i="11"/>
  <c r="M114" i="11"/>
  <c r="L114" i="11"/>
  <c r="K114" i="11"/>
  <c r="J114" i="11"/>
  <c r="I114" i="11"/>
  <c r="H114" i="11"/>
  <c r="G114" i="11"/>
  <c r="F114" i="11"/>
  <c r="M113" i="11"/>
  <c r="L113" i="11"/>
  <c r="K113" i="11"/>
  <c r="J113" i="11"/>
  <c r="I113" i="11"/>
  <c r="H113" i="11"/>
  <c r="G113" i="11"/>
  <c r="F113" i="11"/>
  <c r="M112" i="11"/>
  <c r="L112" i="11"/>
  <c r="K112" i="11"/>
  <c r="J112" i="11"/>
  <c r="I112" i="11"/>
  <c r="H112" i="11"/>
  <c r="G112" i="11"/>
  <c r="F112" i="11"/>
  <c r="M111" i="11"/>
  <c r="L111" i="11"/>
  <c r="K111" i="11"/>
  <c r="J111" i="11"/>
  <c r="I111" i="11"/>
  <c r="H111" i="11"/>
  <c r="G111" i="11"/>
  <c r="F111" i="11"/>
  <c r="M110" i="11"/>
  <c r="L110" i="11"/>
  <c r="K110" i="11"/>
  <c r="J110" i="11"/>
  <c r="I110" i="11"/>
  <c r="H110" i="11"/>
  <c r="G110" i="11"/>
  <c r="F110" i="11"/>
  <c r="M109" i="11"/>
  <c r="L109" i="11"/>
  <c r="K109" i="11"/>
  <c r="J109" i="11"/>
  <c r="I109" i="11"/>
  <c r="H109" i="11"/>
  <c r="G109" i="11"/>
  <c r="F109" i="11"/>
  <c r="M108" i="11"/>
  <c r="L108" i="11"/>
  <c r="K108" i="11"/>
  <c r="J108" i="11"/>
  <c r="I108" i="11"/>
  <c r="H108" i="11"/>
  <c r="G108" i="11"/>
  <c r="F108" i="11"/>
  <c r="M107" i="11"/>
  <c r="L107" i="11"/>
  <c r="K107" i="11"/>
  <c r="J107" i="11"/>
  <c r="I107" i="11"/>
  <c r="H107" i="11"/>
  <c r="G107" i="11"/>
  <c r="F107" i="11"/>
  <c r="M106" i="11"/>
  <c r="L106" i="11"/>
  <c r="K106" i="11"/>
  <c r="J106" i="11"/>
  <c r="I106" i="11"/>
  <c r="H106" i="11"/>
  <c r="G106" i="11"/>
  <c r="F106" i="11"/>
  <c r="M105" i="11"/>
  <c r="L105" i="11"/>
  <c r="K105" i="11"/>
  <c r="J105" i="11"/>
  <c r="I105" i="11"/>
  <c r="H105" i="11"/>
  <c r="G105" i="11"/>
  <c r="F105" i="11"/>
  <c r="M104" i="11"/>
  <c r="L104" i="11"/>
  <c r="K104" i="11"/>
  <c r="J104" i="11"/>
  <c r="I104" i="11"/>
  <c r="H104" i="11"/>
  <c r="G104" i="11"/>
  <c r="F104" i="11"/>
  <c r="M103" i="11"/>
  <c r="L103" i="11"/>
  <c r="K103" i="11"/>
  <c r="J103" i="11"/>
  <c r="I103" i="11"/>
  <c r="H103" i="11"/>
  <c r="G103" i="11"/>
  <c r="F103" i="11"/>
  <c r="M102" i="11"/>
  <c r="L102" i="11"/>
  <c r="K102" i="11"/>
  <c r="J102" i="11"/>
  <c r="I102" i="11"/>
  <c r="H102" i="11"/>
  <c r="G102" i="11"/>
  <c r="F102" i="11"/>
  <c r="M101" i="11"/>
  <c r="L101" i="11"/>
  <c r="K101" i="11"/>
  <c r="J101" i="11"/>
  <c r="I101" i="11"/>
  <c r="H101" i="11"/>
  <c r="G101" i="11"/>
  <c r="F101" i="11"/>
  <c r="M100" i="11"/>
  <c r="L100" i="11"/>
  <c r="K100" i="11"/>
  <c r="J100" i="11"/>
  <c r="I100" i="11"/>
  <c r="H100" i="11"/>
  <c r="G100" i="11"/>
  <c r="F100" i="11"/>
  <c r="M99" i="11"/>
  <c r="L99" i="11"/>
  <c r="K99" i="11"/>
  <c r="J99" i="11"/>
  <c r="I99" i="11"/>
  <c r="H99" i="11"/>
  <c r="G99" i="11"/>
  <c r="F99" i="11"/>
  <c r="M98" i="11"/>
  <c r="L98" i="11"/>
  <c r="K98" i="11"/>
  <c r="J98" i="11"/>
  <c r="I98" i="11"/>
  <c r="H98" i="11"/>
  <c r="G98" i="11"/>
  <c r="F98" i="11"/>
  <c r="M97" i="11"/>
  <c r="L97" i="11"/>
  <c r="K97" i="11"/>
  <c r="J97" i="11"/>
  <c r="I97" i="11"/>
  <c r="H97" i="11"/>
  <c r="G97" i="11"/>
  <c r="F97" i="11"/>
  <c r="M96" i="11"/>
  <c r="L96" i="11"/>
  <c r="K96" i="11"/>
  <c r="J96" i="11"/>
  <c r="I96" i="11"/>
  <c r="H96" i="11"/>
  <c r="G96" i="11"/>
  <c r="F96" i="11"/>
  <c r="M95" i="11"/>
  <c r="L95" i="11"/>
  <c r="K95" i="11"/>
  <c r="J95" i="11"/>
  <c r="I95" i="11"/>
  <c r="H95" i="11"/>
  <c r="G95" i="11"/>
  <c r="F95" i="11"/>
  <c r="M94" i="11"/>
  <c r="L94" i="11"/>
  <c r="K94" i="11"/>
  <c r="J94" i="11"/>
  <c r="I94" i="11"/>
  <c r="H94" i="11"/>
  <c r="G94" i="11"/>
  <c r="F94" i="11"/>
  <c r="M93" i="11"/>
  <c r="L93" i="11"/>
  <c r="K93" i="11"/>
  <c r="J93" i="11"/>
  <c r="I93" i="11"/>
  <c r="H93" i="11"/>
  <c r="G93" i="11"/>
  <c r="F93" i="11"/>
  <c r="M92" i="11"/>
  <c r="L92" i="11"/>
  <c r="K92" i="11"/>
  <c r="J92" i="11"/>
  <c r="I92" i="11"/>
  <c r="H92" i="11"/>
  <c r="G92" i="11"/>
  <c r="F92" i="11"/>
  <c r="M91" i="11"/>
  <c r="L91" i="11"/>
  <c r="K91" i="11"/>
  <c r="J91" i="11"/>
  <c r="I91" i="11"/>
  <c r="H91" i="11"/>
  <c r="G91" i="11"/>
  <c r="F91" i="11"/>
  <c r="M90" i="11"/>
  <c r="L90" i="11"/>
  <c r="K90" i="11"/>
  <c r="J90" i="11"/>
  <c r="I90" i="11"/>
  <c r="H90" i="11"/>
  <c r="G90" i="11"/>
  <c r="F90" i="11"/>
  <c r="M89" i="11"/>
  <c r="L89" i="11"/>
  <c r="K89" i="11"/>
  <c r="J89" i="11"/>
  <c r="I89" i="11"/>
  <c r="H89" i="11"/>
  <c r="G89" i="11"/>
  <c r="F89" i="11"/>
  <c r="M88" i="11"/>
  <c r="L88" i="11"/>
  <c r="K88" i="11"/>
  <c r="J88" i="11"/>
  <c r="I88" i="11"/>
  <c r="H88" i="11"/>
  <c r="G88" i="11"/>
  <c r="F88" i="11"/>
  <c r="M87" i="11"/>
  <c r="L87" i="11"/>
  <c r="K87" i="11"/>
  <c r="J87" i="11"/>
  <c r="I87" i="11"/>
  <c r="H87" i="11"/>
  <c r="G87" i="11"/>
  <c r="F87" i="11"/>
  <c r="M86" i="11"/>
  <c r="L86" i="11"/>
  <c r="K86" i="11"/>
  <c r="J86" i="11"/>
  <c r="I86" i="11"/>
  <c r="H86" i="11"/>
  <c r="G86" i="11"/>
  <c r="F86" i="11"/>
  <c r="M85" i="11"/>
  <c r="L85" i="11"/>
  <c r="K85" i="11"/>
  <c r="J85" i="11"/>
  <c r="I85" i="11"/>
  <c r="H85" i="11"/>
  <c r="G85" i="11"/>
  <c r="F85" i="11"/>
  <c r="M84" i="11"/>
  <c r="L84" i="11"/>
  <c r="K84" i="11"/>
  <c r="J84" i="11"/>
  <c r="I84" i="11"/>
  <c r="H84" i="11"/>
  <c r="G84" i="11"/>
  <c r="F84" i="11"/>
  <c r="M83" i="11"/>
  <c r="L83" i="11"/>
  <c r="K83" i="11"/>
  <c r="J83" i="11"/>
  <c r="I83" i="11"/>
  <c r="H83" i="11"/>
  <c r="G83" i="11"/>
  <c r="F83" i="11"/>
  <c r="M82" i="11"/>
  <c r="L82" i="11"/>
  <c r="K82" i="11"/>
  <c r="J82" i="11"/>
  <c r="I82" i="11"/>
  <c r="H82" i="11"/>
  <c r="G82" i="11"/>
  <c r="F82" i="11"/>
  <c r="M81" i="11"/>
  <c r="L81" i="11"/>
  <c r="K81" i="11"/>
  <c r="J81" i="11"/>
  <c r="I81" i="11"/>
  <c r="H81" i="11"/>
  <c r="G81" i="11"/>
  <c r="F81" i="11"/>
  <c r="M80" i="11"/>
  <c r="L80" i="11"/>
  <c r="K80" i="11"/>
  <c r="J80" i="11"/>
  <c r="I80" i="11"/>
  <c r="H80" i="11"/>
  <c r="G80" i="11"/>
  <c r="F80" i="11"/>
  <c r="M79" i="11"/>
  <c r="L79" i="11"/>
  <c r="K79" i="11"/>
  <c r="J79" i="11"/>
  <c r="I79" i="11"/>
  <c r="H79" i="11"/>
  <c r="G79" i="11"/>
  <c r="F79" i="11"/>
  <c r="M78" i="11"/>
  <c r="L78" i="11"/>
  <c r="K78" i="11"/>
  <c r="J78" i="11"/>
  <c r="I78" i="11"/>
  <c r="H78" i="11"/>
  <c r="G78" i="11"/>
  <c r="F78" i="11"/>
  <c r="M77" i="11"/>
  <c r="L77" i="11"/>
  <c r="K77" i="11"/>
  <c r="J77" i="11"/>
  <c r="I77" i="11"/>
  <c r="H77" i="11"/>
  <c r="G77" i="11"/>
  <c r="F77" i="11"/>
  <c r="M76" i="11"/>
  <c r="L76" i="11"/>
  <c r="K76" i="11"/>
  <c r="J76" i="11"/>
  <c r="I76" i="11"/>
  <c r="H76" i="11"/>
  <c r="G76" i="11"/>
  <c r="F76" i="11"/>
  <c r="M75" i="11"/>
  <c r="L75" i="11"/>
  <c r="K75" i="11"/>
  <c r="J75" i="11"/>
  <c r="I75" i="11"/>
  <c r="H75" i="11"/>
  <c r="G75" i="11"/>
  <c r="F75" i="11"/>
  <c r="M74" i="11"/>
  <c r="L74" i="11"/>
  <c r="K74" i="11"/>
  <c r="J74" i="11"/>
  <c r="I74" i="11"/>
  <c r="H74" i="11"/>
  <c r="G74" i="11"/>
  <c r="F74" i="11"/>
  <c r="M73" i="11"/>
  <c r="L73" i="11"/>
  <c r="K73" i="11"/>
  <c r="J73" i="11"/>
  <c r="I73" i="11"/>
  <c r="H73" i="11"/>
  <c r="G73" i="11"/>
  <c r="F73" i="11"/>
  <c r="M72" i="11"/>
  <c r="L72" i="11"/>
  <c r="K72" i="11"/>
  <c r="J72" i="11"/>
  <c r="I72" i="11"/>
  <c r="H72" i="11"/>
  <c r="G72" i="11"/>
  <c r="F72" i="11"/>
  <c r="M71" i="11"/>
  <c r="L71" i="11"/>
  <c r="K71" i="11"/>
  <c r="J71" i="11"/>
  <c r="I71" i="11"/>
  <c r="H71" i="11"/>
  <c r="G71" i="11"/>
  <c r="F71" i="11"/>
  <c r="M70" i="11"/>
  <c r="L70" i="11"/>
  <c r="K70" i="11"/>
  <c r="J70" i="11"/>
  <c r="I70" i="11"/>
  <c r="H70" i="11"/>
  <c r="G70" i="11"/>
  <c r="F70" i="11"/>
  <c r="M69" i="11"/>
  <c r="L69" i="11"/>
  <c r="K69" i="11"/>
  <c r="J69" i="11"/>
  <c r="I69" i="11"/>
  <c r="H69" i="11"/>
  <c r="G69" i="11"/>
  <c r="F69" i="11"/>
  <c r="M68" i="11"/>
  <c r="L68" i="11"/>
  <c r="K68" i="11"/>
  <c r="J68" i="11"/>
  <c r="I68" i="11"/>
  <c r="H68" i="11"/>
  <c r="G68" i="11"/>
  <c r="F68" i="11"/>
  <c r="M67" i="11"/>
  <c r="L67" i="11"/>
  <c r="K67" i="11"/>
  <c r="J67" i="11"/>
  <c r="I67" i="11"/>
  <c r="H67" i="11"/>
  <c r="G67" i="11"/>
  <c r="F67" i="11"/>
  <c r="M66" i="11"/>
  <c r="L66" i="11"/>
  <c r="K66" i="11"/>
  <c r="J66" i="11"/>
  <c r="I66" i="11"/>
  <c r="H66" i="11"/>
  <c r="G66" i="11"/>
  <c r="F66" i="11"/>
  <c r="M65" i="11"/>
  <c r="L65" i="11"/>
  <c r="K65" i="11"/>
  <c r="J65" i="11"/>
  <c r="I65" i="11"/>
  <c r="H65" i="11"/>
  <c r="G65" i="11"/>
  <c r="F65" i="11"/>
  <c r="M64" i="11"/>
  <c r="L64" i="11"/>
  <c r="K64" i="11"/>
  <c r="J64" i="11"/>
  <c r="I64" i="11"/>
  <c r="H64" i="11"/>
  <c r="G64" i="11"/>
  <c r="F64" i="11"/>
  <c r="M63" i="11"/>
  <c r="L63" i="11"/>
  <c r="K63" i="11"/>
  <c r="J63" i="11"/>
  <c r="I63" i="11"/>
  <c r="H63" i="11"/>
  <c r="G63" i="11"/>
  <c r="F63" i="11"/>
  <c r="M62" i="11"/>
  <c r="L62" i="11"/>
  <c r="K62" i="11"/>
  <c r="J62" i="11"/>
  <c r="I62" i="11"/>
  <c r="H62" i="11"/>
  <c r="G62" i="11"/>
  <c r="F62" i="11"/>
  <c r="M61" i="11"/>
  <c r="L61" i="11"/>
  <c r="K61" i="11"/>
  <c r="J61" i="11"/>
  <c r="I61" i="11"/>
  <c r="H61" i="11"/>
  <c r="G61" i="11"/>
  <c r="F61" i="11"/>
  <c r="M60" i="11"/>
  <c r="L60" i="11"/>
  <c r="K60" i="11"/>
  <c r="J60" i="11"/>
  <c r="I60" i="11"/>
  <c r="H60" i="11"/>
  <c r="G60" i="11"/>
  <c r="F60" i="11"/>
  <c r="M59" i="11"/>
  <c r="L59" i="11"/>
  <c r="K59" i="11"/>
  <c r="J59" i="11"/>
  <c r="I59" i="11"/>
  <c r="H59" i="11"/>
  <c r="G59" i="11"/>
  <c r="F59" i="11"/>
  <c r="M58" i="11"/>
  <c r="L58" i="11"/>
  <c r="K58" i="11"/>
  <c r="J58" i="11"/>
  <c r="I58" i="11"/>
  <c r="H58" i="11"/>
  <c r="G58" i="11"/>
  <c r="F58" i="11"/>
  <c r="M57" i="11"/>
  <c r="L57" i="11"/>
  <c r="K57" i="11"/>
  <c r="J57" i="11"/>
  <c r="I57" i="11"/>
  <c r="H57" i="11"/>
  <c r="G57" i="11"/>
  <c r="F57" i="11"/>
  <c r="M56" i="11"/>
  <c r="L56" i="11"/>
  <c r="K56" i="11"/>
  <c r="J56" i="11"/>
  <c r="I56" i="11"/>
  <c r="H56" i="11"/>
  <c r="G56" i="11"/>
  <c r="F56" i="11"/>
  <c r="M55" i="11"/>
  <c r="L55" i="11"/>
  <c r="K55" i="11"/>
  <c r="J55" i="11"/>
  <c r="I55" i="11"/>
  <c r="H55" i="11"/>
  <c r="G55" i="11"/>
  <c r="F55" i="11"/>
  <c r="M54" i="11"/>
  <c r="L54" i="11"/>
  <c r="K54" i="11"/>
  <c r="J54" i="11"/>
  <c r="I54" i="11"/>
  <c r="H54" i="11"/>
  <c r="G54" i="11"/>
  <c r="F54" i="11"/>
  <c r="M53" i="11"/>
  <c r="L53" i="11"/>
  <c r="K53" i="11"/>
  <c r="J53" i="11"/>
  <c r="I53" i="11"/>
  <c r="H53" i="11"/>
  <c r="G53" i="11"/>
  <c r="F53" i="11"/>
  <c r="M52" i="11"/>
  <c r="L52" i="11"/>
  <c r="K52" i="11"/>
  <c r="J52" i="11"/>
  <c r="I52" i="11"/>
  <c r="H52" i="11"/>
  <c r="G52" i="11"/>
  <c r="F52" i="11"/>
  <c r="M51" i="11"/>
  <c r="L51" i="11"/>
  <c r="K51" i="11"/>
  <c r="J51" i="11"/>
  <c r="I51" i="11"/>
  <c r="H51" i="11"/>
  <c r="G51" i="11"/>
  <c r="F51" i="11"/>
  <c r="M50" i="11"/>
  <c r="L50" i="11"/>
  <c r="K50" i="11"/>
  <c r="J50" i="11"/>
  <c r="I50" i="11"/>
  <c r="H50" i="11"/>
  <c r="G50" i="11"/>
  <c r="F50" i="11"/>
  <c r="M49" i="11"/>
  <c r="L49" i="11"/>
  <c r="K49" i="11"/>
  <c r="J49" i="11"/>
  <c r="I49" i="11"/>
  <c r="H49" i="11"/>
  <c r="G49" i="11"/>
  <c r="F49" i="11"/>
  <c r="M48" i="11"/>
  <c r="L48" i="11"/>
  <c r="K48" i="11"/>
  <c r="J48" i="11"/>
  <c r="I48" i="11"/>
  <c r="H48" i="11"/>
  <c r="G48" i="11"/>
  <c r="F48" i="11"/>
  <c r="M47" i="11"/>
  <c r="L47" i="11"/>
  <c r="K47" i="11"/>
  <c r="J47" i="11"/>
  <c r="I47" i="11"/>
  <c r="H47" i="11"/>
  <c r="G47" i="11"/>
  <c r="F47" i="11"/>
  <c r="M46" i="11"/>
  <c r="L46" i="11"/>
  <c r="K46" i="11"/>
  <c r="J46" i="11"/>
  <c r="I46" i="11"/>
  <c r="H46" i="11"/>
  <c r="G46" i="11"/>
  <c r="F46" i="11"/>
  <c r="M45" i="11"/>
  <c r="L45" i="11"/>
  <c r="K45" i="11"/>
  <c r="J45" i="11"/>
  <c r="I45" i="11"/>
  <c r="H45" i="11"/>
  <c r="G45" i="11"/>
  <c r="F45" i="11"/>
  <c r="M44" i="11"/>
  <c r="L44" i="11"/>
  <c r="K44" i="11"/>
  <c r="J44" i="11"/>
  <c r="I44" i="11"/>
  <c r="H44" i="11"/>
  <c r="G44" i="11"/>
  <c r="F44" i="11"/>
  <c r="M43" i="11"/>
  <c r="L43" i="11"/>
  <c r="K43" i="11"/>
  <c r="J43" i="11"/>
  <c r="I43" i="11"/>
  <c r="H43" i="11"/>
  <c r="G43" i="11"/>
  <c r="F43" i="11"/>
  <c r="M42" i="11"/>
  <c r="L42" i="11"/>
  <c r="K42" i="11"/>
  <c r="J42" i="11"/>
  <c r="I42" i="11"/>
  <c r="H42" i="11"/>
  <c r="G42" i="11"/>
  <c r="F42" i="11"/>
  <c r="M41" i="11"/>
  <c r="L41" i="11"/>
  <c r="K41" i="11"/>
  <c r="J41" i="11"/>
  <c r="I41" i="11"/>
  <c r="H41" i="11"/>
  <c r="G41" i="11"/>
  <c r="F41" i="11"/>
  <c r="M40" i="11"/>
  <c r="L40" i="11"/>
  <c r="K40" i="11"/>
  <c r="J40" i="11"/>
  <c r="I40" i="11"/>
  <c r="H40" i="11"/>
  <c r="G40" i="11"/>
  <c r="F40" i="11"/>
  <c r="M39" i="11"/>
  <c r="L39" i="11"/>
  <c r="K39" i="11"/>
  <c r="J39" i="11"/>
  <c r="I39" i="11"/>
  <c r="H39" i="11"/>
  <c r="G39" i="11"/>
  <c r="F39" i="11"/>
  <c r="M38" i="11"/>
  <c r="L38" i="11"/>
  <c r="K38" i="11"/>
  <c r="J38" i="11"/>
  <c r="I38" i="11"/>
  <c r="H38" i="11"/>
  <c r="G38" i="11"/>
  <c r="F38" i="11"/>
  <c r="M37" i="11"/>
  <c r="L37" i="11"/>
  <c r="K37" i="11"/>
  <c r="J37" i="11"/>
  <c r="I37" i="11"/>
  <c r="H37" i="11"/>
  <c r="G37" i="11"/>
  <c r="F37" i="11"/>
  <c r="M36" i="11"/>
  <c r="L36" i="11"/>
  <c r="K36" i="11"/>
  <c r="J36" i="11"/>
  <c r="I36" i="11"/>
  <c r="H36" i="11"/>
  <c r="G36" i="11"/>
  <c r="F36" i="11"/>
  <c r="M35" i="11"/>
  <c r="L35" i="11"/>
  <c r="K35" i="11"/>
  <c r="J35" i="11"/>
  <c r="I35" i="11"/>
  <c r="H35" i="11"/>
  <c r="G35" i="11"/>
  <c r="F35" i="11"/>
  <c r="M34" i="11"/>
  <c r="L34" i="11"/>
  <c r="K34" i="11"/>
  <c r="J34" i="11"/>
  <c r="I34" i="11"/>
  <c r="H34" i="11"/>
  <c r="G34" i="11"/>
  <c r="F34" i="11"/>
  <c r="M33" i="11"/>
  <c r="L33" i="11"/>
  <c r="K33" i="11"/>
  <c r="J33" i="11"/>
  <c r="I33" i="11"/>
  <c r="H33" i="11"/>
  <c r="G33" i="11"/>
  <c r="F33" i="11"/>
  <c r="M32" i="11"/>
  <c r="L32" i="11"/>
  <c r="K32" i="11"/>
  <c r="J32" i="11"/>
  <c r="I32" i="11"/>
  <c r="H32" i="11"/>
  <c r="G32" i="11"/>
  <c r="F32" i="11"/>
  <c r="M31" i="11"/>
  <c r="L31" i="11"/>
  <c r="K31" i="11"/>
  <c r="J31" i="11"/>
  <c r="I31" i="11"/>
  <c r="H31" i="11"/>
  <c r="G31" i="11"/>
  <c r="F31" i="11"/>
  <c r="M30" i="11"/>
  <c r="L30" i="11"/>
  <c r="K30" i="11"/>
  <c r="J30" i="11"/>
  <c r="I30" i="11"/>
  <c r="H30" i="11"/>
  <c r="G30" i="11"/>
  <c r="F30" i="11"/>
  <c r="M29" i="11"/>
  <c r="L29" i="11"/>
  <c r="K29" i="11"/>
  <c r="J29" i="11"/>
  <c r="I29" i="11"/>
  <c r="H29" i="11"/>
  <c r="G29" i="11"/>
  <c r="F29" i="11"/>
  <c r="M28" i="11"/>
  <c r="L28" i="11"/>
  <c r="K28" i="11"/>
  <c r="J28" i="11"/>
  <c r="I28" i="11"/>
  <c r="H28" i="11"/>
  <c r="G28" i="11"/>
  <c r="F28" i="11"/>
  <c r="M27" i="11"/>
  <c r="L27" i="11"/>
  <c r="K27" i="11"/>
  <c r="J27" i="11"/>
  <c r="I27" i="11"/>
  <c r="H27" i="11"/>
  <c r="G27" i="11"/>
  <c r="F27" i="11"/>
  <c r="M26" i="11"/>
  <c r="L26" i="11"/>
  <c r="K26" i="11"/>
  <c r="J26" i="11"/>
  <c r="I26" i="11"/>
  <c r="H26" i="11"/>
  <c r="G26" i="11"/>
  <c r="F26" i="11"/>
  <c r="M25" i="11"/>
  <c r="L25" i="11"/>
  <c r="K25" i="11"/>
  <c r="J25" i="11"/>
  <c r="I25" i="11"/>
  <c r="H25" i="11"/>
  <c r="G25" i="11"/>
  <c r="F25" i="11"/>
  <c r="M24" i="11"/>
  <c r="L24" i="11"/>
  <c r="K24" i="11"/>
  <c r="J24" i="11"/>
  <c r="I24" i="11"/>
  <c r="H24" i="11"/>
  <c r="G24" i="11"/>
  <c r="F24" i="11"/>
  <c r="M23" i="11"/>
  <c r="L23" i="11"/>
  <c r="K23" i="11"/>
  <c r="J23" i="11"/>
  <c r="I23" i="11"/>
  <c r="H23" i="11"/>
  <c r="G23" i="11"/>
  <c r="F23" i="11"/>
  <c r="M22" i="11"/>
  <c r="L22" i="11"/>
  <c r="K22" i="11"/>
  <c r="J22" i="11"/>
  <c r="I22" i="11"/>
  <c r="H22" i="11"/>
  <c r="G22" i="11"/>
  <c r="F22" i="11"/>
  <c r="M21" i="11"/>
  <c r="L21" i="11"/>
  <c r="K21" i="11"/>
  <c r="J21" i="11"/>
  <c r="I21" i="11"/>
  <c r="H21" i="11"/>
  <c r="G21" i="11"/>
  <c r="F21" i="11"/>
  <c r="M20" i="11"/>
  <c r="L20" i="11"/>
  <c r="K20" i="11"/>
  <c r="J20" i="11"/>
  <c r="I20" i="11"/>
  <c r="H20" i="11"/>
  <c r="G20" i="11"/>
  <c r="F20" i="11"/>
  <c r="M19" i="11"/>
  <c r="L19" i="11"/>
  <c r="K19" i="11"/>
  <c r="J19" i="11"/>
  <c r="I19" i="11"/>
  <c r="H19" i="11"/>
  <c r="G19" i="11"/>
  <c r="F19" i="11"/>
  <c r="M18" i="11"/>
  <c r="L18" i="11"/>
  <c r="K18" i="11"/>
  <c r="J18" i="11"/>
  <c r="I18" i="11"/>
  <c r="H18" i="11"/>
  <c r="G18" i="11"/>
  <c r="F18" i="11"/>
  <c r="M17" i="11"/>
  <c r="L17" i="11"/>
  <c r="K17" i="11"/>
  <c r="J17" i="11"/>
  <c r="I17" i="11"/>
  <c r="H17" i="11"/>
  <c r="G17" i="11"/>
  <c r="F17" i="11"/>
  <c r="M16" i="11"/>
  <c r="L16" i="11"/>
  <c r="K16" i="11"/>
  <c r="J16" i="11"/>
  <c r="I16" i="11"/>
  <c r="H16" i="11"/>
  <c r="G16" i="11"/>
  <c r="F16" i="11"/>
  <c r="M15" i="11"/>
  <c r="L15" i="11"/>
  <c r="K15" i="11"/>
  <c r="J15" i="11"/>
  <c r="I15" i="11"/>
  <c r="H15" i="11"/>
  <c r="G15" i="11"/>
  <c r="F15" i="11"/>
  <c r="M14" i="11"/>
  <c r="L14" i="11"/>
  <c r="K14" i="11"/>
  <c r="J14" i="11"/>
  <c r="I14" i="11"/>
  <c r="H14" i="11"/>
  <c r="G14" i="11"/>
  <c r="F14" i="11"/>
  <c r="M13" i="11"/>
  <c r="L13" i="11"/>
  <c r="K13" i="11"/>
  <c r="J13" i="11"/>
  <c r="I13" i="11"/>
  <c r="H13" i="11"/>
  <c r="G13" i="11"/>
  <c r="F13" i="11"/>
  <c r="M12" i="11"/>
  <c r="L12" i="11"/>
  <c r="K12" i="11"/>
  <c r="J12" i="11"/>
  <c r="I12" i="11"/>
  <c r="H12" i="11"/>
  <c r="G12" i="11"/>
  <c r="F12" i="11"/>
  <c r="M11" i="11"/>
  <c r="L11" i="11"/>
  <c r="K11" i="11"/>
  <c r="J11" i="11"/>
  <c r="I11" i="11"/>
  <c r="H11" i="11"/>
  <c r="G11" i="11"/>
  <c r="F11" i="11"/>
  <c r="M10" i="11"/>
  <c r="L10" i="11"/>
  <c r="K10" i="11"/>
  <c r="J10" i="11"/>
  <c r="I10" i="11"/>
  <c r="H10" i="11"/>
  <c r="G10" i="11"/>
  <c r="F10" i="11"/>
  <c r="M9" i="11"/>
  <c r="L9" i="11"/>
  <c r="K9" i="11"/>
  <c r="J9" i="11"/>
  <c r="I9" i="11"/>
  <c r="H9" i="11"/>
  <c r="G9" i="11"/>
  <c r="F9" i="11"/>
  <c r="M8" i="11"/>
  <c r="L8" i="11"/>
  <c r="K8" i="11"/>
  <c r="J8" i="11"/>
  <c r="I8" i="11"/>
  <c r="H8" i="11"/>
  <c r="G8" i="11"/>
  <c r="F8" i="11"/>
  <c r="M7" i="11"/>
  <c r="L7" i="11"/>
  <c r="K7" i="11"/>
  <c r="J7" i="11"/>
  <c r="I7" i="11"/>
  <c r="H7" i="11"/>
  <c r="G7" i="11"/>
  <c r="F7" i="11"/>
  <c r="M6" i="11"/>
  <c r="L6" i="11"/>
  <c r="K6" i="11"/>
  <c r="J6" i="11"/>
  <c r="I6" i="11"/>
  <c r="H6" i="11"/>
  <c r="G6" i="11"/>
  <c r="F6" i="11"/>
  <c r="M5" i="11"/>
  <c r="L5" i="11"/>
  <c r="K5" i="11"/>
  <c r="J5" i="11"/>
  <c r="I5" i="11"/>
  <c r="H5" i="11"/>
  <c r="G5" i="11"/>
  <c r="F5" i="11"/>
  <c r="M4" i="11"/>
  <c r="L4" i="11"/>
  <c r="K4" i="11"/>
  <c r="J4" i="11"/>
  <c r="I4" i="11"/>
  <c r="H4" i="11"/>
  <c r="G4" i="11"/>
  <c r="F4" i="11"/>
  <c r="M3" i="11"/>
  <c r="L3" i="11"/>
  <c r="K3" i="11"/>
  <c r="J3" i="11"/>
  <c r="I3" i="11"/>
  <c r="H3" i="11"/>
  <c r="G3" i="11"/>
  <c r="F3" i="11"/>
  <c r="M2" i="11"/>
  <c r="L2" i="11"/>
  <c r="K2" i="11"/>
  <c r="J2" i="11"/>
  <c r="I2" i="11"/>
  <c r="H2" i="11"/>
  <c r="G2" i="11"/>
  <c r="F2" i="11"/>
  <c r="F35" i="1"/>
  <c r="H34" i="1"/>
  <c r="E34" i="1"/>
  <c r="D34" i="1"/>
  <c r="C34" i="1"/>
  <c r="B34" i="1"/>
  <c r="H33" i="1"/>
  <c r="E33" i="1"/>
  <c r="D33" i="1"/>
  <c r="C33" i="1"/>
  <c r="B33" i="1"/>
  <c r="H32" i="1"/>
  <c r="E32" i="1"/>
  <c r="D32" i="1"/>
  <c r="C32" i="1"/>
  <c r="B32" i="1"/>
  <c r="H31" i="1"/>
  <c r="E31" i="1"/>
  <c r="D31" i="1"/>
  <c r="C31" i="1"/>
  <c r="B31" i="1"/>
  <c r="H30" i="1"/>
  <c r="E30" i="1"/>
  <c r="D30" i="1"/>
  <c r="C30" i="1"/>
  <c r="B30" i="1"/>
  <c r="H29" i="1"/>
  <c r="E29" i="1"/>
  <c r="D29" i="1"/>
  <c r="C29" i="1"/>
  <c r="B29" i="1"/>
  <c r="H28" i="1"/>
  <c r="E28" i="1"/>
  <c r="D28" i="1"/>
  <c r="C28" i="1"/>
  <c r="B28" i="1"/>
  <c r="H27" i="1"/>
  <c r="E27" i="1"/>
  <c r="D27" i="1"/>
  <c r="C27" i="1"/>
  <c r="B27" i="1"/>
  <c r="H26" i="1"/>
  <c r="E26" i="1"/>
  <c r="D26" i="1"/>
  <c r="C26" i="1"/>
  <c r="B26" i="1"/>
  <c r="H25" i="1"/>
  <c r="E25" i="1"/>
  <c r="D25" i="1"/>
  <c r="C25" i="1"/>
  <c r="B25" i="1"/>
  <c r="H24" i="1"/>
  <c r="E24" i="1"/>
  <c r="D24" i="1"/>
  <c r="C24" i="1"/>
  <c r="B24" i="1"/>
  <c r="H23" i="1"/>
  <c r="E23" i="1"/>
  <c r="D23" i="1"/>
  <c r="C23" i="1"/>
  <c r="B23" i="1"/>
  <c r="H22" i="1"/>
  <c r="E22" i="1"/>
  <c r="D22" i="1"/>
  <c r="C22" i="1"/>
  <c r="B22" i="1"/>
  <c r="H21" i="1"/>
  <c r="E21" i="1"/>
  <c r="D21" i="1"/>
  <c r="C21" i="1"/>
  <c r="B21" i="1"/>
  <c r="H20" i="1"/>
  <c r="E20" i="1"/>
  <c r="D20" i="1"/>
  <c r="C20" i="1"/>
  <c r="B20" i="1"/>
  <c r="H19" i="1"/>
  <c r="E19" i="1"/>
  <c r="D19" i="1"/>
  <c r="C19" i="1"/>
  <c r="B19" i="1"/>
  <c r="H18" i="1"/>
  <c r="E18" i="1"/>
  <c r="D18" i="1"/>
  <c r="C18" i="1"/>
  <c r="B18" i="1"/>
  <c r="H17" i="1"/>
  <c r="E17" i="1"/>
  <c r="D17" i="1"/>
  <c r="C17" i="1"/>
  <c r="B17" i="1"/>
  <c r="H16" i="1"/>
  <c r="E16" i="1"/>
  <c r="D16" i="1"/>
  <c r="C16" i="1"/>
  <c r="B16" i="1"/>
  <c r="H15" i="1"/>
  <c r="E15" i="1"/>
  <c r="D15" i="1"/>
  <c r="C15" i="1"/>
  <c r="B15" i="1"/>
  <c r="H14" i="1"/>
  <c r="H35" i="1" s="1"/>
  <c r="E14" i="1"/>
  <c r="D14" i="1"/>
  <c r="C14" i="1"/>
  <c r="B14" i="1"/>
  <c r="H13" i="1"/>
  <c r="E13" i="1"/>
  <c r="D13" i="1"/>
  <c r="C13" i="1"/>
  <c r="B13" i="1"/>
  <c r="B9" i="1"/>
  <c r="B5" i="1"/>
  <c r="J3" i="1" a="1"/>
  <c r="J3" i="1"/>
  <c r="H35" i="2"/>
  <c r="G35" i="2"/>
  <c r="F35" i="2"/>
  <c r="E35" i="2"/>
  <c r="D35" i="2"/>
  <c r="C34" i="2"/>
  <c r="A34" i="2"/>
  <c r="C33" i="2"/>
  <c r="A33" i="2"/>
  <c r="C32" i="2"/>
  <c r="A32" i="2"/>
  <c r="C31" i="2"/>
  <c r="A31" i="2"/>
  <c r="C30" i="2"/>
  <c r="A30" i="2"/>
  <c r="C29" i="2"/>
  <c r="A29" i="2"/>
  <c r="C28" i="2"/>
  <c r="A28" i="2"/>
  <c r="C27" i="2"/>
  <c r="A27" i="2"/>
  <c r="C26" i="2"/>
  <c r="A26" i="2"/>
  <c r="C25" i="2"/>
  <c r="A25" i="2"/>
  <c r="C24" i="2"/>
  <c r="A24" i="2"/>
  <c r="C23" i="2"/>
  <c r="A23" i="2"/>
  <c r="C22" i="2"/>
  <c r="A22" i="2"/>
  <c r="C21" i="2"/>
  <c r="A21" i="2"/>
  <c r="C20" i="2"/>
  <c r="A20" i="2"/>
  <c r="C19" i="2"/>
  <c r="A19" i="2"/>
  <c r="C18" i="2"/>
  <c r="A18" i="2"/>
  <c r="C17" i="2"/>
  <c r="A17" i="2"/>
  <c r="C16" i="2"/>
  <c r="A16" i="2"/>
  <c r="C15" i="2"/>
  <c r="A15" i="2"/>
  <c r="C14" i="2"/>
  <c r="F9" i="2"/>
  <c r="B9" i="2"/>
  <c r="F7" i="2"/>
  <c r="F5" i="2"/>
  <c r="B5" i="2"/>
</calcChain>
</file>

<file path=xl/sharedStrings.xml><?xml version="1.0" encoding="utf-8"?>
<sst xmlns="http://schemas.openxmlformats.org/spreadsheetml/2006/main" count="11821" uniqueCount="2869">
  <si>
    <t>Supplier Invoice</t>
  </si>
  <si>
    <t>Fuzhou Enxin International Business Co.,Ltd
ADD: Builing 2, Jinniu Mountain Internet Industrial Park, No.528 Xihong Road, 
Gulou District, Fuzhou 35002, China
Contact:Sammie  TEL: +86 13599449150</t>
  </si>
  <si>
    <t>HS Code</t>
  </si>
  <si>
    <t>Country</t>
  </si>
  <si>
    <t>Commercial Invoice</t>
  </si>
  <si>
    <t>US</t>
  </si>
  <si>
    <t>hs_code_us</t>
  </si>
  <si>
    <t>INVOICE NO:</t>
  </si>
  <si>
    <t>PO-55UKWK1 ,PO-55UKWK2</t>
  </si>
  <si>
    <t>DATE:</t>
  </si>
  <si>
    <t>Jun. 30th 2026</t>
  </si>
  <si>
    <t>UK</t>
  </si>
  <si>
    <t>hs_code_uk</t>
  </si>
  <si>
    <t>CONSIGNEE:</t>
  </si>
  <si>
    <t>Payment Term:</t>
  </si>
  <si>
    <t>TT</t>
  </si>
  <si>
    <t>EU</t>
  </si>
  <si>
    <t>hs_code_eu</t>
  </si>
  <si>
    <t>Delivery Country:</t>
  </si>
  <si>
    <t>AU</t>
  </si>
  <si>
    <t>hs_code_au</t>
  </si>
  <si>
    <t>Delivery Term:</t>
  </si>
  <si>
    <t>FOB</t>
  </si>
  <si>
    <t>Spain - DISTRIBUCIONES XKI SL</t>
  </si>
  <si>
    <t>Country of Origin:</t>
  </si>
  <si>
    <t>China</t>
  </si>
  <si>
    <t>Thailand - Make My Day</t>
  </si>
  <si>
    <t>NOTIFY PARTY:</t>
  </si>
  <si>
    <t>Port of Loading:</t>
  </si>
  <si>
    <t>Xiamen Gaoqi International Airport, China</t>
  </si>
  <si>
    <t>Switzerland - Trendform AG</t>
  </si>
  <si>
    <t>Port of Discharge:</t>
  </si>
  <si>
    <t>Greece - A-Play</t>
  </si>
  <si>
    <t>SKU</t>
  </si>
  <si>
    <t>CERTIFICATION</t>
  </si>
  <si>
    <t>Recycled Content</t>
  </si>
  <si>
    <t>DESCRIPTION OF GOODS &amp; FIBRE COMPOSITION</t>
  </si>
  <si>
    <t>Q'TY 
 (PCS)</t>
  </si>
  <si>
    <t>Unit Price 
 FOB (USD/PCS)</t>
  </si>
  <si>
    <t>AMOUNT
 (USD)</t>
  </si>
  <si>
    <t>Estibol</t>
  </si>
  <si>
    <t>Direct to Client</t>
  </si>
  <si>
    <t>BAGDRY-XS-WYWH</t>
  </si>
  <si>
    <t>Australia - Until</t>
  </si>
  <si>
    <t>BAGDRY-XS-NAVY</t>
  </si>
  <si>
    <t>Made in china</t>
  </si>
  <si>
    <t>Total:</t>
  </si>
  <si>
    <t>PS：Please pay the 50% before 17th,Dec,Total 15221.37USD
  Please pay the 51% before 16th,May, Total 15525.8 USD</t>
  </si>
  <si>
    <t>Signature：</t>
  </si>
  <si>
    <t>Seal:</t>
  </si>
  <si>
    <t>Supplier Details</t>
  </si>
  <si>
    <t>Packing List</t>
  </si>
  <si>
    <t>SIZE(cm*cm)</t>
  </si>
  <si>
    <t>Q'TY 
 (CTN)</t>
  </si>
  <si>
    <t>GW(kg)</t>
  </si>
  <si>
    <t>Order
 Quantity</t>
  </si>
  <si>
    <t>short
 shipment</t>
  </si>
  <si>
    <t>58*38*32</t>
  </si>
  <si>
    <t>Small Dry Bag 80% polyester, 20% polyurethane (PU)</t>
  </si>
  <si>
    <t>Product Name</t>
  </si>
  <si>
    <t>import_invoice_title</t>
  </si>
  <si>
    <t>hs_code_6_digits</t>
  </si>
  <si>
    <t>hs_code_ca</t>
  </si>
  <si>
    <t>hs_code_eu_sanction</t>
  </si>
  <si>
    <t>hs_code_dubai</t>
  </si>
  <si>
    <t>BAG-BEACH</t>
  </si>
  <si>
    <t>Beach Bag</t>
  </si>
  <si>
    <t>Beach Bag made from 100% polyester</t>
  </si>
  <si>
    <t>4202.92.9100</t>
  </si>
  <si>
    <t>4202.22.00</t>
  </si>
  <si>
    <t>BAG-COOL</t>
  </si>
  <si>
    <t>Cooling Bag</t>
  </si>
  <si>
    <t>Insulated Food or Beverage Bag Outer: 80% polyester, 20% PEVA</t>
  </si>
  <si>
    <t>BAG-DRY-MD</t>
  </si>
  <si>
    <t>Dry Bag</t>
  </si>
  <si>
    <t>Medium Dry Bag 80% TPU, 20% polyester</t>
  </si>
  <si>
    <t>BAG-DRY-SM</t>
  </si>
  <si>
    <t>BAG-FOLD</t>
  </si>
  <si>
    <t>Foldable Bag</t>
  </si>
  <si>
    <t>Shopping Bag 100% recycled polyester</t>
  </si>
  <si>
    <t>4202.92.91.00</t>
  </si>
  <si>
    <t>4202.92.90.00</t>
  </si>
  <si>
    <t>4202 9298 90</t>
  </si>
  <si>
    <t>4202.92.90</t>
  </si>
  <si>
    <t>BAG-TOILETRY</t>
  </si>
  <si>
    <t>Cosmetic Bag</t>
  </si>
  <si>
    <t>Toiletry Bag made of 100% polyester</t>
  </si>
  <si>
    <t>BALLAST-PILLOW</t>
  </si>
  <si>
    <t>Ballast x Dock &amp; Bay Pillow</t>
  </si>
  <si>
    <t>Pillow 100% recycled polyester (no cotton)</t>
  </si>
  <si>
    <t>9404.90.2090</t>
  </si>
  <si>
    <t>3926.90.7500</t>
  </si>
  <si>
    <t>6306.40.00</t>
  </si>
  <si>
    <t>BOTTL</t>
  </si>
  <si>
    <t>Bottles</t>
  </si>
  <si>
    <t>Bottle</t>
  </si>
  <si>
    <t>7310.29.00</t>
  </si>
  <si>
    <t>7310.21.10</t>
  </si>
  <si>
    <t>COOL</t>
  </si>
  <si>
    <t>Cooling Towels</t>
  </si>
  <si>
    <t>Fitness Towel - Toilet Linen 100% recycled polyester includes cotton on the packing pouch drawstring</t>
  </si>
  <si>
    <t>6302.93.2000</t>
  </si>
  <si>
    <t>6302.29.00</t>
  </si>
  <si>
    <t>DOGTWL</t>
  </si>
  <si>
    <t>Towels - Dog</t>
  </si>
  <si>
    <t>Pet Towel - Toilet Linen 100% recycled 220 GSM/83% polyester/17% polyamide includes cotton on the packing pouch drawstring</t>
  </si>
  <si>
    <t>6302.93.00.00</t>
  </si>
  <si>
    <t>6302.39.00</t>
  </si>
  <si>
    <t>EYEMASK</t>
  </si>
  <si>
    <t>Eye Mask</t>
  </si>
  <si>
    <t>Sleeping Eye Cover 30% DuPont Sorona and 70% polyester. The eye cover fabric is 100% polyester (no cotton)</t>
  </si>
  <si>
    <t>6307.90.9891</t>
  </si>
  <si>
    <t>GIFT-BOX-BEAUTY</t>
  </si>
  <si>
    <t>Gift Box - Hair Wrap &amp; Makeup Remover</t>
  </si>
  <si>
    <t>Makeup Wipe (100% recycled polyester), Hair Towel (100% recycled 200 GSM/83% polyester/17% polyamide) (no cotton)</t>
  </si>
  <si>
    <t>6504.00.90.15</t>
  </si>
  <si>
    <t>6505.00.40.00</t>
  </si>
  <si>
    <t>6505.00.90.90</t>
  </si>
  <si>
    <t>6505.00.90</t>
  </si>
  <si>
    <t>GIFT-BOX-BEAUTY-WAFFLE</t>
  </si>
  <si>
    <t>Makeup Remover (100% recycled polyester), Hairwrap (100% recycled 200 GSM/83% polyester/17% polyamide) (no cotton)</t>
  </si>
  <si>
    <t>GIFT-BOX-HAIR</t>
  </si>
  <si>
    <t>Gift Box</t>
  </si>
  <si>
    <t>GIFT-BOX-HOME</t>
  </si>
  <si>
    <t>Gift Box - Hair Wrap, Eye Mask, Toiletry Bag and Makeup Removers</t>
  </si>
  <si>
    <t>Makeup Wipe (100% recycled polyester), Hair Towel (100% recycled 200 GSM/83% polyester/17% polyamide) Toiletry Bag RPET canvas (no cotton)</t>
  </si>
  <si>
    <t>HAIRW-premium</t>
  </si>
  <si>
    <t>Hair Wraps - Waffle</t>
  </si>
  <si>
    <t>Head Towel 100% recycled 340 GSM/83% polyester/17% polyamide (no cotton)</t>
  </si>
  <si>
    <t>HAIRW-standard</t>
  </si>
  <si>
    <t>Hair Wraps - Suede</t>
  </si>
  <si>
    <t>Head Towel 100% recycled 200 GSM/83% polyester/17% polyamide (no cotton)</t>
  </si>
  <si>
    <t>MAKUP</t>
  </si>
  <si>
    <t>Makeup Removers</t>
  </si>
  <si>
    <t>Makeup Wipe 100% recycled polyester (no cotton)</t>
  </si>
  <si>
    <t>9616.20.00.00</t>
  </si>
  <si>
    <t>9616.20.00</t>
  </si>
  <si>
    <t>PICNIC</t>
  </si>
  <si>
    <t>Picnic Blanket</t>
  </si>
  <si>
    <t>Travelling Rug 100% recycled. BOTTOM: 100% polyester. TOP: 220 GSM/83% polyester/17% polyamide includes cotton on the packing pouch drawstring</t>
  </si>
  <si>
    <t>6301.40.0020</t>
  </si>
  <si>
    <t>6301.40.00</t>
  </si>
  <si>
    <t>PONCHA</t>
  </si>
  <si>
    <t>Poncho - Adults</t>
  </si>
  <si>
    <t>Beach Robe or Cloak 100% recycled 220 GSM/83% polyester/17% polyamide includes cotton on the packing pouch drawstring</t>
  </si>
  <si>
    <t>6101.90.90.30</t>
  </si>
  <si>
    <t>6211 4390 00</t>
  </si>
  <si>
    <t>6112.39.00</t>
  </si>
  <si>
    <t>PONCHK</t>
  </si>
  <si>
    <t>Poncho - Kids</t>
  </si>
  <si>
    <t>ROBE</t>
  </si>
  <si>
    <t>Bath Robe</t>
  </si>
  <si>
    <t>Bathrobe 100% recycled 220 GSM/83% polyester/17% polyamide includes cotton on the packing pouch drawstring</t>
  </si>
  <si>
    <t>6208.92.0010</t>
  </si>
  <si>
    <t>6208.92.00.00</t>
  </si>
  <si>
    <t>6208.11.00</t>
  </si>
  <si>
    <t>SHORTS</t>
  </si>
  <si>
    <t>Swim Shorts</t>
  </si>
  <si>
    <t>6112.31.00.10</t>
  </si>
  <si>
    <t>TEATWL</t>
  </si>
  <si>
    <t>Tea Towel</t>
  </si>
  <si>
    <t>Kitchen Linen 100% recycled 300 GSM/83% polyester/17% polyamide (no cotton)</t>
  </si>
  <si>
    <t>6302.53.00.20</t>
  </si>
  <si>
    <t>6302.53.00</t>
  </si>
  <si>
    <t>TOWLB</t>
  </si>
  <si>
    <t>Towels - Beach</t>
  </si>
  <si>
    <t>Beach Towel - Toilet Linen 100% recycled 220 GSM/83% polyester/17% polyamide includes cotton on the packing pouch drawstring</t>
  </si>
  <si>
    <t>TOWLB-KIDS</t>
  </si>
  <si>
    <t>Kids - Towels - Beach</t>
  </si>
  <si>
    <t>TOWLF</t>
  </si>
  <si>
    <t>Towels - Fitness</t>
  </si>
  <si>
    <t>Fitness Towels - Toilet Linen 100% recycled 220 GSM/83% polyester/17% polyamide (no cotton)</t>
  </si>
  <si>
    <t>TOWLH</t>
  </si>
  <si>
    <t>Towels - Home</t>
  </si>
  <si>
    <t>Bath Towel - Toilet Linen 100% recycled 340 GSM/83% polyester/17% polyamide (no cotton)</t>
  </si>
  <si>
    <t>BUNDLE-BABIATOR-TOWLB</t>
  </si>
  <si>
    <t>Babiators Bundle</t>
  </si>
  <si>
    <t>BUNDLE-BATH</t>
  </si>
  <si>
    <t>Bath Towels and Beauty Box</t>
  </si>
  <si>
    <t>BUNDLE-BEACH</t>
  </si>
  <si>
    <t>Beach Bundle - Beach Towel (2), Picnic Blanket, Dry Bag and Foldable Bag</t>
  </si>
  <si>
    <t>BUNDLE-BEACH-KIT-PICNIC-LG</t>
  </si>
  <si>
    <t>Picnic, Towel x 2 + Bag Bundle</t>
  </si>
  <si>
    <t>BUNDLE-BEACH-KIT-TOWLB-X2</t>
  </si>
  <si>
    <t>Towel XXL, Towel x 2 + Bag Bundle</t>
  </si>
  <si>
    <t>BUNDLE-BEAUTY</t>
  </si>
  <si>
    <t>Beauty Box, Toiletry Bag and Eye Mask</t>
  </si>
  <si>
    <t>BUNDLE-COLLAB</t>
  </si>
  <si>
    <t>D&amp;B x Somewhere Co - Beach Towel + Packing Cubes</t>
  </si>
  <si>
    <t>BUNDLE-FAMILY</t>
  </si>
  <si>
    <t>The Family Bundle - Beach Towels (2), Beach Pillows (2), Kids Beach Towels (2), Beach Bag, Picnic Blanket</t>
  </si>
  <si>
    <t>BUNDLE-FAMILY-PICNIC-XL</t>
  </si>
  <si>
    <t>Picnic XL, Towel x 4 + Bag Bundle</t>
  </si>
  <si>
    <t>BUNDLE-FITNESS</t>
  </si>
  <si>
    <t>The Fitness Bundle - Cooling Towel &amp; Essential Towel</t>
  </si>
  <si>
    <t>BUNDLE-HOODT</t>
  </si>
  <si>
    <t>Baby Towel Bundle</t>
  </si>
  <si>
    <t>BUNDLE-JETSET</t>
  </si>
  <si>
    <t>The Jet Setter Bundle - Beach Towel, Beach Bag &amp; Beach Pillow</t>
  </si>
  <si>
    <t>BUNDLE-MAKUP-HAIRW</t>
  </si>
  <si>
    <t>Makeup + Hair Wrap Bundle</t>
  </si>
  <si>
    <t>BUNDLE-PAIRS</t>
  </si>
  <si>
    <t>The Perfect Pairs Bundle - Beach Towel &amp; Hair Wrap</t>
  </si>
  <si>
    <t>BUNDLE-PICNIC</t>
  </si>
  <si>
    <t>The Picnic Bundle - Beach Towel, Tote Bag &amp; Picnic Blanket</t>
  </si>
  <si>
    <t>BUNDLE-PICNIC-TOWLB</t>
  </si>
  <si>
    <t>Picnic Blanket Bundle</t>
  </si>
  <si>
    <t>BUNDLE-PONCHK-TOWLB</t>
  </si>
  <si>
    <t>Kids Poncho + Beach Towel</t>
  </si>
  <si>
    <t>BUNDLE-ROBE-TOWLH-HAIRW</t>
  </si>
  <si>
    <t>Robe + Towel + Hair Wrap Bundle</t>
  </si>
  <si>
    <t>BUNDLE-SURFER</t>
  </si>
  <si>
    <t>The Surfer Bundle - Dry Bag, Beach Towel, Poncho &amp; Tote Bag</t>
  </si>
  <si>
    <t>BUNDLE-TOWLB-BAGF</t>
  </si>
  <si>
    <t>Towel + Bag Bundle</t>
  </si>
  <si>
    <t>BUNDLE-TOWLB-HAIRW-DESIGN</t>
  </si>
  <si>
    <t>Beach Towel + Hair Wrap Bundle</t>
  </si>
  <si>
    <t>BUNDLE-TOWLB-HAIRW-STRIPE</t>
  </si>
  <si>
    <t>BUNDLE-TOWLH-HAIRW</t>
  </si>
  <si>
    <t>Bath Towel + Hair Wrap Bundle</t>
  </si>
  <si>
    <t>BUNDLE-TOWLH-HAIRW-MAKUP</t>
  </si>
  <si>
    <t>Bath Towel + Hair Wrap + Makeup Bundle</t>
  </si>
  <si>
    <t>BUNDLE-TRAVEL</t>
  </si>
  <si>
    <t>Bath Towels, Hair Wrap, Toiletry Bag and Eye Mask</t>
  </si>
  <si>
    <t>BUNDLE-TRAVEL4</t>
  </si>
  <si>
    <t>Towel, Hair Wrap, Bag, Makeup Bundle</t>
  </si>
  <si>
    <t>BUNDLE-WATER</t>
  </si>
  <si>
    <t>The Water Sports Bundle - Beach Towels (4) &amp; Ponchos (4)</t>
  </si>
  <si>
    <t>BIODEGRADABLE BA</t>
  </si>
  <si>
    <t>BROCHURES / CATALOGUES</t>
  </si>
  <si>
    <t>Trade advertising material</t>
  </si>
  <si>
    <t>4911.10.0020</t>
  </si>
  <si>
    <t>GIFT-CARD</t>
  </si>
  <si>
    <t>LEAFLETS</t>
  </si>
  <si>
    <t>4901.10.0020</t>
  </si>
  <si>
    <t>4901.10.00.00</t>
  </si>
  <si>
    <t>POLYBAGS</t>
  </si>
  <si>
    <t>Packing Bag paper material</t>
  </si>
  <si>
    <t>6305.33.0010</t>
  </si>
  <si>
    <t>6305.33.90</t>
  </si>
  <si>
    <t>POS</t>
  </si>
  <si>
    <t>Point of Sale</t>
  </si>
  <si>
    <t>Paperboard 100% recycled cardboard</t>
  </si>
  <si>
    <t>4819.10.0040</t>
  </si>
  <si>
    <t>4819.10.00</t>
  </si>
  <si>
    <t>Premium POS</t>
  </si>
  <si>
    <t>Premium Point of Sale</t>
  </si>
  <si>
    <t>Display Stand metals and mixed materials</t>
  </si>
  <si>
    <t>9403.20.00.50</t>
  </si>
  <si>
    <t>9403.20.00</t>
  </si>
  <si>
    <t>Product Boxes</t>
  </si>
  <si>
    <t>Box</t>
  </si>
  <si>
    <t>Ribbon</t>
  </si>
  <si>
    <t>biodegradable Ribbon</t>
  </si>
  <si>
    <t>Gift Wrapping Ribbon paper material</t>
  </si>
  <si>
    <t>3920.20.0055</t>
  </si>
  <si>
    <t>5806.39.90</t>
  </si>
  <si>
    <t>SHIPPING BAGS</t>
  </si>
  <si>
    <t>Shipping Bags - Paper</t>
  </si>
  <si>
    <t>4819.40.0020</t>
  </si>
  <si>
    <t>WHOLESALE_COMPONENTS</t>
  </si>
  <si>
    <t>Wholesale Components</t>
  </si>
  <si>
    <t>BABIATORS</t>
  </si>
  <si>
    <t>Babiators Collab</t>
  </si>
  <si>
    <t>HEADW</t>
  </si>
  <si>
    <t>Spa Head Wrap</t>
  </si>
  <si>
    <t>HOODT</t>
  </si>
  <si>
    <t>Baby Hooded Towels</t>
  </si>
  <si>
    <t>HOODT-HD-MITT</t>
  </si>
  <si>
    <t>Baby Wash Mitt Bath</t>
  </si>
  <si>
    <t>product_select</t>
  </si>
  <si>
    <t>GRS_material_product</t>
  </si>
  <si>
    <t>product_select_name</t>
  </si>
  <si>
    <t>product_category</t>
  </si>
  <si>
    <t>AMZ-BAGF</t>
  </si>
  <si>
    <t>GRS Certified*** 100%  Post Consumer Recycled Polyester (RM0189)</t>
  </si>
  <si>
    <t>Bag - Foldable</t>
  </si>
  <si>
    <t>AMZ-DOGTWL</t>
  </si>
  <si>
    <t>GRS Certified* 83%  Post Consumer Recycled Polyester (RM0189) 17% Pre Consumer Recycled  Polyamide (RM1084)</t>
  </si>
  <si>
    <t>Towel - Dog</t>
  </si>
  <si>
    <t>AMZ-PICNIC</t>
  </si>
  <si>
    <t>GRS Certified** Upper:  83%  Post Consumer Recycled Polyester (RM0189) 17% Pre Consumer Recycled Polyamide (RM1084) Reverse: 100% Post Consumer Recycled Polyester (RM0189)</t>
  </si>
  <si>
    <t>AMZ-ROBE</t>
  </si>
  <si>
    <t>BAGBCH-MD-NAVY</t>
  </si>
  <si>
    <t>Bag - Beach</t>
  </si>
  <si>
    <t>BAGBCH-MD-PSTPIER</t>
  </si>
  <si>
    <t>BAGBCH-MD-RSPROAD</t>
  </si>
  <si>
    <t>BAGCOOL-MD-APPLTRT</t>
  </si>
  <si>
    <t>Bag - Cooling</t>
  </si>
  <si>
    <t>BAGCOOL-MD-COLCLUB</t>
  </si>
  <si>
    <t>BAGCOOL-MD-NAVY</t>
  </si>
  <si>
    <t>BAGDRY-MD-IBZAGLW</t>
  </si>
  <si>
    <t>Bag - Dry</t>
  </si>
  <si>
    <t>BAGDRY-MD-MIAMI</t>
  </si>
  <si>
    <t>BAGDRY-MD-NAVY</t>
  </si>
  <si>
    <t>BAGDRY-MD-WAVYBBY</t>
  </si>
  <si>
    <t>BAGDRY-XS-HOTTROP</t>
  </si>
  <si>
    <t>BAGDRY-XS-MIAMI</t>
  </si>
  <si>
    <t>BAGDRY-XS-WAVYBBY</t>
  </si>
  <si>
    <t>BAGF-CAB-MD-LTPNK</t>
  </si>
  <si>
    <t>BAGF-CAB-MD-NAVY</t>
  </si>
  <si>
    <t>BAGF-DES-MD-IBZAGLW</t>
  </si>
  <si>
    <t>BAGF-DES-MD-SPRCLUB</t>
  </si>
  <si>
    <t>BAGF-DES-MD-WAVYBBY</t>
  </si>
  <si>
    <t>BAGF-DES-MD-WTRSUG</t>
  </si>
  <si>
    <t>BAGF-DES-MD-WYWH</t>
  </si>
  <si>
    <t>BAGF-SUM-MD-COLAGN</t>
  </si>
  <si>
    <t>BAGF-SUM-MD-CSTCANDY</t>
  </si>
  <si>
    <t>BAGF-SUM-MD-MIAMI</t>
  </si>
  <si>
    <t>BAGF-SUM-MD-UNICN</t>
  </si>
  <si>
    <t>BAGTOI-MD-BOHMDRM</t>
  </si>
  <si>
    <t>Bag - Toiletry</t>
  </si>
  <si>
    <t>BAGTOI-MD-CACTMNTN</t>
  </si>
  <si>
    <t>BAGTOI-MD-CHRYBMB</t>
  </si>
  <si>
    <t>BAGTOI-MD-PEPPNCH</t>
  </si>
  <si>
    <t>BAGTOI-MD-SEASOIR</t>
  </si>
  <si>
    <t>BALLAST-CAB-NAVY</t>
  </si>
  <si>
    <t>Beach Pillow</t>
  </si>
  <si>
    <t>BALLAST-DES-GRECSH</t>
  </si>
  <si>
    <t>BALLAST-SUM-CSTCANDY</t>
  </si>
  <si>
    <t>BALLAST-SUM-MIAMI</t>
  </si>
  <si>
    <t>BUNDLE-BAGF-TOWLB-CAB-LTPNK</t>
  </si>
  <si>
    <t>Bundle Mixed</t>
  </si>
  <si>
    <t>BUNDLE-BAGF-TOWLB-CAB-NAVY</t>
  </si>
  <si>
    <t>BUNDLE-BAGF-TOWLB-SUM-UNICN</t>
  </si>
  <si>
    <t>BUNDLE-BATH-TIGPALM</t>
  </si>
  <si>
    <t>BUNDLE-BEACH-OCNWAVS</t>
  </si>
  <si>
    <t>BUNDLE-BEAUTY-CHRYBMB</t>
  </si>
  <si>
    <t>BUNDLE-FITNESS-LG-MRNMTHN</t>
  </si>
  <si>
    <t>BUNDLE-FITNESS-LG-MTNMOVE</t>
  </si>
  <si>
    <t>BUNDLE-JETSET-LG-COSMO</t>
  </si>
  <si>
    <t>BUNDLE-PAIRS-LG-MIAMI</t>
  </si>
  <si>
    <t>BUNDLE-PICNIC-CAB-NAVY-TOWLB-CAB-A-LG</t>
  </si>
  <si>
    <t>BUNDLE-PICNIC-CAB-NAVY-TOWLB-CAB-A-XL</t>
  </si>
  <si>
    <t>BUNDLE-PICNIC-CAB-NAVY-TOWLB-CAB-B-LG</t>
  </si>
  <si>
    <t>BUNDLE-PICNIC-CAB-NAVY-TOWLB-CAB-B-XL</t>
  </si>
  <si>
    <t>BUNDLE-PICNIC-LG-SWTTTH</t>
  </si>
  <si>
    <t>BUNDLE-TOWLB-CAB-NAVY-X2-SETA</t>
  </si>
  <si>
    <t>BUNDLE-TOWLB-SUM-UNICN-X2-SETA</t>
  </si>
  <si>
    <t>BUNDLE-TRAVEL-CHRYBMB</t>
  </si>
  <si>
    <t>COOL-CAB-LTPNK-R</t>
  </si>
  <si>
    <t>Cooling</t>
  </si>
  <si>
    <t>COOL-CAB-NAVY-R</t>
  </si>
  <si>
    <t>COOL-DES-MIDNMOV</t>
  </si>
  <si>
    <t>COOL-DES-SUNSRUN</t>
  </si>
  <si>
    <t>CUSTOM-LOGO-EASY</t>
  </si>
  <si>
    <t>CUSTOM-LOGO-MEDIUM</t>
  </si>
  <si>
    <t>DB-OT-TOWLB-CAB-LG-LTBLU</t>
  </si>
  <si>
    <t>Towel - Beach</t>
  </si>
  <si>
    <t>DB-RICK-TOWLB-CAB-LG-BLUE</t>
  </si>
  <si>
    <t>DB-WL-BAGBCH</t>
  </si>
  <si>
    <t>DB-WL-BAGCOOL</t>
  </si>
  <si>
    <t>DB-WL-BAGDRY-MD</t>
  </si>
  <si>
    <t>DB-WL-BAGDRY-XS</t>
  </si>
  <si>
    <t>DB-WL-BAGF</t>
  </si>
  <si>
    <t>DB-WL-BAGTOI</t>
  </si>
  <si>
    <t>DB-WL-COOL</t>
  </si>
  <si>
    <t>DB-WL-DOGTWL-LG</t>
  </si>
  <si>
    <t>DB-WL-DOGTWL-MD</t>
  </si>
  <si>
    <t>DB-WL-HAIRW-HOM</t>
  </si>
  <si>
    <t>Hair Wrap</t>
  </si>
  <si>
    <t>DB-WL-HAIRW-SUE</t>
  </si>
  <si>
    <t>DB-WL-HEADW</t>
  </si>
  <si>
    <t>DB-WL-MAKUP</t>
  </si>
  <si>
    <t>Makeup Remover</t>
  </si>
  <si>
    <t>DB-WL-PICNIC-LG</t>
  </si>
  <si>
    <t>DB-WL-PICNIC-XL</t>
  </si>
  <si>
    <t>DB-WL-PONCHA-LG</t>
  </si>
  <si>
    <t>DB-WL-PONCHA-MD</t>
  </si>
  <si>
    <t>DB-WL-PONCHK-MD</t>
  </si>
  <si>
    <t>DB-WL-PONCHK-SM</t>
  </si>
  <si>
    <t>DB-WL-ROBE</t>
  </si>
  <si>
    <t>DB-WL-TEATWL</t>
  </si>
  <si>
    <t>DB-WL-TOWLB-LG</t>
  </si>
  <si>
    <t>DB-WL-TOWLB-MD</t>
  </si>
  <si>
    <t>DB-WL-TOWLB-XL</t>
  </si>
  <si>
    <t>DB-WL-TOWLH-LG</t>
  </si>
  <si>
    <t>Towel - Home</t>
  </si>
  <si>
    <t>DB-WL-TOWLH-SM</t>
  </si>
  <si>
    <t>DB-WL-TOWLH-XL</t>
  </si>
  <si>
    <t>DILLARDS-STAND-POSTER</t>
  </si>
  <si>
    <t>DILLARDS-STAND-SINGLE</t>
  </si>
  <si>
    <t>DILLARDS-STAND-TIER1</t>
  </si>
  <si>
    <t>DILLARDS-STAND-TIER2</t>
  </si>
  <si>
    <t>DILLARDS-STAND-TIER3</t>
  </si>
  <si>
    <t>DILLARDS-STAND-TIER4</t>
  </si>
  <si>
    <t>DOGTWL-DES-LG-CHKMTT</t>
  </si>
  <si>
    <t>DOGTWL-DES-LG-DNBCLUB</t>
  </si>
  <si>
    <t>DOGTWL-DES-LG-DOGDIN</t>
  </si>
  <si>
    <t>DOGTWL-DES-LG-GOLONG</t>
  </si>
  <si>
    <t>DOGTWL-DES-LG-PNKPAWS</t>
  </si>
  <si>
    <t>DOGTWL-DES-LG-UNDWLK</t>
  </si>
  <si>
    <t>DOGTWL-DES-MD-CHKMTT</t>
  </si>
  <si>
    <t>DOGTWL-DES-MD-DNBCLUB</t>
  </si>
  <si>
    <t>DOGTWL-DES-MD-DOGDIN</t>
  </si>
  <si>
    <t>DOGTWL-DES-MD-GOLONG</t>
  </si>
  <si>
    <t>DOGTWL-DES-MD-PNKPAWS</t>
  </si>
  <si>
    <t>DOGTWL-DES-MD-UNDWLK</t>
  </si>
  <si>
    <t>EYEMASK-DES-BOHMDRM</t>
  </si>
  <si>
    <t>EYEMASK-DES-CACTMNTN</t>
  </si>
  <si>
    <t>EYEMASK-DES-CHKOUT</t>
  </si>
  <si>
    <t>EYEMASK-DES-CHRYBMB</t>
  </si>
  <si>
    <t>EYEMASK-DES-NOTTDY</t>
  </si>
  <si>
    <t>EYEMASK-DES-OOO</t>
  </si>
  <si>
    <t>EYEMASK-DES-SEASOIR</t>
  </si>
  <si>
    <t>EYEMASK-DES-WTRSPRZ</t>
  </si>
  <si>
    <t>GIFT-BOX-BEAUTY-BOHMDRM</t>
  </si>
  <si>
    <t>GIFT-BOX-BEAUTY-CHRYBMB</t>
  </si>
  <si>
    <t>GIFT-BOX-BEAUTY-SEASOIR</t>
  </si>
  <si>
    <t>GIFT-BOX-BEAUTY-TIGPALM</t>
  </si>
  <si>
    <t>GIFT-BOX-BEAUTY-WTRSPRZ</t>
  </si>
  <si>
    <t>GIFT-BOX-HAIR-FRUU</t>
  </si>
  <si>
    <t>GIFT-BOX-HOME-BOHMDRM</t>
  </si>
  <si>
    <t>GIFT-BOX-HOME-BOHMDRM-SET</t>
  </si>
  <si>
    <t>GIFT-BOX-HOME-CACTMNTN</t>
  </si>
  <si>
    <t>GIFT-BOX-HOME-CACTMNTN-SET</t>
  </si>
  <si>
    <t>GIFT-BOX-HOME-CHRYBMB</t>
  </si>
  <si>
    <t>GIFT-BOX-HOME-CHRYBMB-SET</t>
  </si>
  <si>
    <t>GIFT-BOX-HOME-SEASOIR</t>
  </si>
  <si>
    <t>GIFT-BOX-HOME-SEASOIR-SET</t>
  </si>
  <si>
    <t>GIFTWRAP-BOX</t>
  </si>
  <si>
    <t>Gift Wrap</t>
  </si>
  <si>
    <t>GIFTWRAP-BOX-LG</t>
  </si>
  <si>
    <t>GIFTWRAP-BOX-LG-MELLOW</t>
  </si>
  <si>
    <t>GIFTWRAP-BOX-MD</t>
  </si>
  <si>
    <t>GIFTWRAP-BOX-MD-RSPROAD</t>
  </si>
  <si>
    <t>GIFTWRAP-BOX-SM</t>
  </si>
  <si>
    <t>GIFTWRAP-BOX-SM-BLUSKY</t>
  </si>
  <si>
    <t>GIFTWRAP-CARD</t>
  </si>
  <si>
    <t>GIFTWRAP-RIBBON</t>
  </si>
  <si>
    <t>HAIRW-CAB-LTBLU-NB</t>
  </si>
  <si>
    <t>HAIRW-CAB-LTPNK-NB</t>
  </si>
  <si>
    <t>HAIRW-CAB-LTPPL-NB</t>
  </si>
  <si>
    <t>HAIRW-CAB-NAVY-NB</t>
  </si>
  <si>
    <t>HAIRW-SUE-BBGWLK</t>
  </si>
  <si>
    <t>HAIRW-SUE-BLUSHBY</t>
  </si>
  <si>
    <t>HAIRW-SUE-CACTMNTN</t>
  </si>
  <si>
    <t>HAIRW-SUE-HBRLINE</t>
  </si>
  <si>
    <t>HAIRW-SUE-HOTTROP</t>
  </si>
  <si>
    <t>HAIRW-SUE-IBZAGLW</t>
  </si>
  <si>
    <t>HAIRW-SUE-JNGLBLM</t>
  </si>
  <si>
    <t>HAIRW-SUE-MIAMI</t>
  </si>
  <si>
    <t>HAIRW-SUE-OCETRES</t>
  </si>
  <si>
    <t>HAIRW-SUE-PALMPCH</t>
  </si>
  <si>
    <t>HAIRW-SUE-PNKPARA</t>
  </si>
  <si>
    <t>HAIRW-SUE-PSTPIER</t>
  </si>
  <si>
    <t>HAIRW-SUE-SQZDAY</t>
  </si>
  <si>
    <t>HAIRW-SUE-SUNDAZE</t>
  </si>
  <si>
    <t>HAIRW-SUE-SURFCHK</t>
  </si>
  <si>
    <t>HAIRW-SUE-WYWH</t>
  </si>
  <si>
    <t>HAIRW-SUM-UNICN-NB</t>
  </si>
  <si>
    <t>HAIRW-WAF-BOHMDRM</t>
  </si>
  <si>
    <t>HAIRW-WAF-CHRYBMB</t>
  </si>
  <si>
    <t>HAIRW-WAF-SEASOIR</t>
  </si>
  <si>
    <t>HAIRW-WAF-TIGPALM</t>
  </si>
  <si>
    <t>HAIRW-WAF-WTRSPRZ</t>
  </si>
  <si>
    <t>PERSONALISE_1_3_S</t>
  </si>
  <si>
    <t>PERSONALISE_4_12_S</t>
  </si>
  <si>
    <t>PICNIC-CAB-LG-NAVY</t>
  </si>
  <si>
    <t>PICNIC-CAB-XL-NAVY</t>
  </si>
  <si>
    <t>PICNIC-DES-LG-APPLTRT</t>
  </si>
  <si>
    <t>PICNIC-DES-LG-BRGTSIDE</t>
  </si>
  <si>
    <t>PICNIC-DES-LG-CANDSTR</t>
  </si>
  <si>
    <t>PICNIC-DES-LG-GRCSHR</t>
  </si>
  <si>
    <t>PICNIC-DES-LG-SORBET</t>
  </si>
  <si>
    <t>PICNIC-DES-LG-SPRCLUB</t>
  </si>
  <si>
    <t>PICNIC-DES-LG-STRIPLIFE</t>
  </si>
  <si>
    <t>PICNIC-DES-XL-APPLTRT</t>
  </si>
  <si>
    <t>PICNIC-DES-XL-BRGTSIDE</t>
  </si>
  <si>
    <t>PICNIC-DES-XL-CANDSTR</t>
  </si>
  <si>
    <t>PICNIC-DES-XL-GRCSHR</t>
  </si>
  <si>
    <t>PICNIC-DES-XL-SORBET</t>
  </si>
  <si>
    <t>PICNIC-DES-XL-SPRCLUB</t>
  </si>
  <si>
    <t>PICNIC-DES-XL-STRIPLIFE</t>
  </si>
  <si>
    <t>PICNIC-SUM-LG-UNICN</t>
  </si>
  <si>
    <t>PICNIC-SUM-XL-UNICN</t>
  </si>
  <si>
    <t>PONCHA-CAB-LG-BLUE-NS</t>
  </si>
  <si>
    <t>PONCHA-CAB-LG-LTPNK-NS</t>
  </si>
  <si>
    <t>PONCHA-CAB-LG-NAVY-NS</t>
  </si>
  <si>
    <t>PONCHA-CAB-MD-BLUE-NS</t>
  </si>
  <si>
    <t>PONCHA-CAB-MD-LTPNK-NS</t>
  </si>
  <si>
    <t>PONCHA-CAB-MD-LTPNK-NSPONCHA-CAB-XL-LTPNK</t>
  </si>
  <si>
    <t>PONCHA-CAB-MD-NAVY-NS</t>
  </si>
  <si>
    <t>PONCHA-CAB-MD-NAVY-NSPONCHA-CAB-XL-NAVY</t>
  </si>
  <si>
    <t>PONCHA-CAB-XL-LTPNK</t>
  </si>
  <si>
    <t>PONCHA-CAB-XL-NAVY</t>
  </si>
  <si>
    <t>PONCHA-CLA-LG-NAVY-NS</t>
  </si>
  <si>
    <t>PONCHA-CLA-MD-NAVY-NS</t>
  </si>
  <si>
    <t>PONCHA-DES-LG-IBZAGLW</t>
  </si>
  <si>
    <t>PONCHA-DES-LG-WAVYBBY</t>
  </si>
  <si>
    <t>PONCHA-DES-LG-WTRSUG</t>
  </si>
  <si>
    <t>PONCHA-DES-MD-IBZAGLW</t>
  </si>
  <si>
    <t>PONCHA-DES-MD-WAVYBBY</t>
  </si>
  <si>
    <t>PONCHA-DES-MD-WTRSUG</t>
  </si>
  <si>
    <t>PONCHA-SUM-LG-CSTCANDY</t>
  </si>
  <si>
    <t>PONCHA-SUM-LG-LAZRIV</t>
  </si>
  <si>
    <t>PONCHA-SUM-LG-UNICN-NS</t>
  </si>
  <si>
    <t>PONCHA-SUM-MD-CSTCANDY</t>
  </si>
  <si>
    <t>PONCHA-SUM-MD-LAZRIV</t>
  </si>
  <si>
    <t>PONCHA-SUM-MD-UNICN-NS</t>
  </si>
  <si>
    <t>PONCHA-SUM-MD-UNICN-NSPONCHA-SUM-XL-UNICN</t>
  </si>
  <si>
    <t>PONCHA-SUM-XL-UNICN</t>
  </si>
  <si>
    <t>PONCHK-CAB-MD-BLUE-NS</t>
  </si>
  <si>
    <t>PONCHK-CAB-MD-LTPNK-NS</t>
  </si>
  <si>
    <t>PONCHK-CAB-MD-NAVY-NS</t>
  </si>
  <si>
    <t>PONCHK-CAB-SM-BLUE-NS</t>
  </si>
  <si>
    <t>PONCHK-CAB-SM-LTPNK-NS</t>
  </si>
  <si>
    <t>PONCHK-CAB-SM-NAVY-NS</t>
  </si>
  <si>
    <t>PONCHK-KID-MD-CHECKOUT</t>
  </si>
  <si>
    <t>PONCHK-KID-MD-GVCLUB</t>
  </si>
  <si>
    <t>PONCHK-KID-MD-INTOWILD</t>
  </si>
  <si>
    <t>PONCHK-KID-MD-JELLY</t>
  </si>
  <si>
    <t>PONCHK-KID-MD-SKATER</t>
  </si>
  <si>
    <t>PONCHK-KID-SM-CHECKOUT</t>
  </si>
  <si>
    <t>PONCHK-KID-SM-GVCLUB</t>
  </si>
  <si>
    <t>PONCHK-KID-SM-INTOWILD</t>
  </si>
  <si>
    <t>PONCHK-KID-SM-JELLY</t>
  </si>
  <si>
    <t>PONCHK-KID-SM-SKATER</t>
  </si>
  <si>
    <t>PONCHK-SUM-MD-CSTCANDY</t>
  </si>
  <si>
    <t>PONCHK-SUM-MD-UNICN-NS</t>
  </si>
  <si>
    <t>PONCHK-SUM-SM-CSTCANDY</t>
  </si>
  <si>
    <t>PONCHK-SUM-SM-UNICN-NS</t>
  </si>
  <si>
    <t>POS-DIS-LG-FULL-TOWLB-EN-24</t>
  </si>
  <si>
    <t>Wholesale</t>
  </si>
  <si>
    <t>POS-DIS-LG-FULL-TOWLB-STOCKED-SS26</t>
  </si>
  <si>
    <t>POS-DIS-SM-DOGTWL-EN-24</t>
  </si>
  <si>
    <t>POS-DIS-SM-DOGTWL-STOCKED-AW25</t>
  </si>
  <si>
    <t>POS-DIS-SM-FULL-BAGF-EN-24</t>
  </si>
  <si>
    <t>POS-DIS-SM-FULL-BAGF-STOCKED-SS26</t>
  </si>
  <si>
    <t>POS-DIS-SM-FULL-COOL-EN-24</t>
  </si>
  <si>
    <t>POS-DIS-SM-FULL-HAIRW-EN-24</t>
  </si>
  <si>
    <t>POS-DIS-SM-FULL-HAIRW-STOCKED-AW25</t>
  </si>
  <si>
    <t>POS-DIS-SM-FULL-MAKUP-EN-24</t>
  </si>
  <si>
    <t>POS-DIS-SM-FULL-PICNIC-EN-24</t>
  </si>
  <si>
    <t>POS-DIS-SM-FULL-PICNIC-STOCKED-SS26</t>
  </si>
  <si>
    <t>POS-DIS-SM-FULL-PONCHA-EN-24</t>
  </si>
  <si>
    <t>POS-DIS-SM-FULL-PONCHA-STOCKED-SS26</t>
  </si>
  <si>
    <t>POS-DIS-SM-FULL-PONCHK-EN-24</t>
  </si>
  <si>
    <t>POS-DIS-SM-FULL-PONCHK-STOCKED-SS26</t>
  </si>
  <si>
    <t>POS-DIS-SM-FULL-TOWLB-EN-24</t>
  </si>
  <si>
    <t>POS-DIS-SM-FULL-TOWLB-KID-EN-24</t>
  </si>
  <si>
    <t>POS-DIS-SM-FULL-TOWLB-KID-STOCKED-SS26</t>
  </si>
  <si>
    <t>POS-DIS-SM-FULL-TOWLB-STOCKED-SS26</t>
  </si>
  <si>
    <t>POS-DIS-SM-UNO-SS26</t>
  </si>
  <si>
    <t>POS-STOCK-REFILL-LG-TOWLB-SS26</t>
  </si>
  <si>
    <t>POS-STOCK-REFILL-SM-BAGF-SS26</t>
  </si>
  <si>
    <t>POS-STOCK-REFILL-SM-DOGTWL-AW25</t>
  </si>
  <si>
    <t>POS-STOCK-REFILL-SM-HAIRW-AW25</t>
  </si>
  <si>
    <t>POS-STOCK-REFILL-SM-PICNIC-SS26</t>
  </si>
  <si>
    <t>POS-STOCK-REFILL-SM-PONCHA-SS26</t>
  </si>
  <si>
    <t>POS-STOCK-REFILL-SM-PONCHK-SS26</t>
  </si>
  <si>
    <t>POS-STOCK-REFILL-SM-TEATWL-AW25</t>
  </si>
  <si>
    <t>POS-STOCK-REFILL-SM-TEATWL-AW25-2</t>
  </si>
  <si>
    <t>POS-STOCK-REFILL-SM-TOWLB-KID-SS26</t>
  </si>
  <si>
    <t>POS-STOCK-REFILL-SM-TOWLB-SS26</t>
  </si>
  <si>
    <t>POS-STOCK-REFILL-SM-TOWLH-AW25</t>
  </si>
  <si>
    <t>POSTCARD-OLIVERS-1</t>
  </si>
  <si>
    <t>PP-TEATWL-MD-3SET-SPRKSHNE</t>
  </si>
  <si>
    <t>PP-TOWLB-DES-XL-4SETA</t>
  </si>
  <si>
    <t>PREORDER-001</t>
  </si>
  <si>
    <t>PREORDER-002</t>
  </si>
  <si>
    <t>PREORDER-003</t>
  </si>
  <si>
    <t>PREORDER-004</t>
  </si>
  <si>
    <t>PREORDER-005</t>
  </si>
  <si>
    <t>PREORDER-006</t>
  </si>
  <si>
    <t>PREORDER-007</t>
  </si>
  <si>
    <t>PREORDER-008</t>
  </si>
  <si>
    <t>PREORDER-009</t>
  </si>
  <si>
    <t>PREORDER-010</t>
  </si>
  <si>
    <t>PREORDER-011</t>
  </si>
  <si>
    <t>PREORDER-012</t>
  </si>
  <si>
    <t>PREORDER-013</t>
  </si>
  <si>
    <t>PREORDER-014</t>
  </si>
  <si>
    <t>PREORDER-015</t>
  </si>
  <si>
    <t>PREORDER-016</t>
  </si>
  <si>
    <t>PREORDER-018</t>
  </si>
  <si>
    <t>PREORDER-019</t>
  </si>
  <si>
    <t>PREORDER-020</t>
  </si>
  <si>
    <t>PREORDER-021</t>
  </si>
  <si>
    <t>PREORDER-022</t>
  </si>
  <si>
    <t>PREORDER-023</t>
  </si>
  <si>
    <t>PREORDER-024</t>
  </si>
  <si>
    <t>SHIPBAG-LAR</t>
  </si>
  <si>
    <t>SHIPBAG-MED</t>
  </si>
  <si>
    <t>SHIPBAG-XLG</t>
  </si>
  <si>
    <t>TEATWL-MD-3SET-ARTDIN</t>
  </si>
  <si>
    <t>TEATWL-MD-3SET-FINDIN</t>
  </si>
  <si>
    <t>TEATWL-MD-3SET-KITCREW</t>
  </si>
  <si>
    <t>TEATWL-MD-3SET-KTCHDISC</t>
  </si>
  <si>
    <t>TEATWL-MD-3SET-STRAWFZ</t>
  </si>
  <si>
    <t>TEATWL-MD-3SET-TART</t>
  </si>
  <si>
    <t>TEATWL-MD-5SET-CULDEL</t>
  </si>
  <si>
    <t>TEATWL-MD-5SET-HOST</t>
  </si>
  <si>
    <t>TEATWL-MD-5SET-LOVBIT</t>
  </si>
  <si>
    <t>TEATWL-MD-5SET-ONTHEM</t>
  </si>
  <si>
    <t>TEATWL-MD-5SET-PICKY</t>
  </si>
  <si>
    <t>TEATWL-MD-6SET-AFTPTY</t>
  </si>
  <si>
    <t>TEATWL-MD-6SET-FRTCTL</t>
  </si>
  <si>
    <t>TEATWL-MD-6SET-GRAZSET</t>
  </si>
  <si>
    <t>TEATWL-MD-6SET-SPGHTNI</t>
  </si>
  <si>
    <t>TEATWL-MD-APPLTRT</t>
  </si>
  <si>
    <t>TEATWL-MD-BAKEME</t>
  </si>
  <si>
    <t>TEATWL-MD-BIGDILL</t>
  </si>
  <si>
    <t>TEATWL-MD-CHECKPLS</t>
  </si>
  <si>
    <t>TEATWL-MD-CTCHDAY</t>
  </si>
  <si>
    <t>TEATWL-MD-DINPRTY</t>
  </si>
  <si>
    <t>TEATWL-MD-GLDHOUR</t>
  </si>
  <si>
    <t>TEATWL-MD-GRTFROM</t>
  </si>
  <si>
    <t>TEATWL-MD-HEADCHEF</t>
  </si>
  <si>
    <t>TEATWL-MD-KTCHDISC</t>
  </si>
  <si>
    <t>TEATWL-MD-MTCHCRSH</t>
  </si>
  <si>
    <t>TEATWL-MD-PEAPOD</t>
  </si>
  <si>
    <t>TEATWL-MD-RGRTTI</t>
  </si>
  <si>
    <t>TEATWL-MD-ROOTING</t>
  </si>
  <si>
    <t>TEATWL-MD-SHRIMP</t>
  </si>
  <si>
    <t>TEATWL-MD-SOUSCHEF</t>
  </si>
  <si>
    <t>TEATWL-MD-SQCLEAN</t>
  </si>
  <si>
    <t>TEATWL-MD-STRAWFZ</t>
  </si>
  <si>
    <t>TEATWL-MD-STRWPOP</t>
  </si>
  <si>
    <t>TEATWL-MD-TRPPNCH</t>
  </si>
  <si>
    <t>TEATWL-MD-WINEDINE</t>
  </si>
  <si>
    <t>TEATWL-MD-XTRSAUC</t>
  </si>
  <si>
    <t>TOWLB-CAB-LG-4SET-BLUE</t>
  </si>
  <si>
    <t>TOWLB-CAB-LG-4SET-ORANGE</t>
  </si>
  <si>
    <t>TOWLB-CAB-LG-4SET-PINK</t>
  </si>
  <si>
    <t>TOWLB-CAB-LG-4SETA-R</t>
  </si>
  <si>
    <t>TOWLB-CAB-LG-4SETE-R</t>
  </si>
  <si>
    <t>TOWLB-CAB-LG-4SETF-R</t>
  </si>
  <si>
    <t>TOWLB-CAB-LG-4SETG</t>
  </si>
  <si>
    <t>TOWLB-CAB-LG-4SETH</t>
  </si>
  <si>
    <t>TOWLB-CAB-LG-4SETK</t>
  </si>
  <si>
    <t>TOWLB-CAB-LG-4SETL</t>
  </si>
  <si>
    <t>TOWLB-CAB-LG-4SETM</t>
  </si>
  <si>
    <t>TOWLB-CAB-LG-4SETN</t>
  </si>
  <si>
    <t>TOWLB-CAB-LG-4SETO</t>
  </si>
  <si>
    <t>TOWLB-CAB-LG-6SET-BLUE</t>
  </si>
  <si>
    <t>TOWLB-CAB-LG-6SET-PINK</t>
  </si>
  <si>
    <t>TOWLB-CAB-LG-6SET-R</t>
  </si>
  <si>
    <t>TOWLB-CAB-LG-6SETI</t>
  </si>
  <si>
    <t>TOWLB-CAB-LG-6SETJ</t>
  </si>
  <si>
    <t>TOWLB-CAB-LG-6SETK</t>
  </si>
  <si>
    <t>TOWLB-CAB-LG-6SETL</t>
  </si>
  <si>
    <t>TOWLB-CAB-LG-6SETM</t>
  </si>
  <si>
    <t>TOWLB-CAB-LG-AMALG-R</t>
  </si>
  <si>
    <t>TOWLB-CAB-LG-BLUE-R</t>
  </si>
  <si>
    <t>TOWLB-CAB-LG-BLUE-SS24</t>
  </si>
  <si>
    <t>TOWLB-CAB-LG-GREEN-R</t>
  </si>
  <si>
    <t>TOWLB-CAB-LG-LTBGE-R</t>
  </si>
  <si>
    <t>TOWLB-CAB-LG-LTBLU-R</t>
  </si>
  <si>
    <t>TOWLB-CAB-LG-LTPNK-R</t>
  </si>
  <si>
    <t>TOWLB-CAB-LG-LTPNK-SS24</t>
  </si>
  <si>
    <t>TOWLB-CAB-LG-LTPPL-R</t>
  </si>
  <si>
    <t>TOWLB-CAB-LG-NAVY-R</t>
  </si>
  <si>
    <t>TOWLB-CAB-LG-NAVY-SS24</t>
  </si>
  <si>
    <t>TOWLB-CAB-LG-ORANG-R</t>
  </si>
  <si>
    <t>TOWLB-CAB-LG-PALP-R</t>
  </si>
  <si>
    <t>TOWLB-CAB-LG-PINK-R</t>
  </si>
  <si>
    <t>TOWLB-CAB-LG-RIO-R</t>
  </si>
  <si>
    <t>TOWLB-CAB-LG-TEAL-R</t>
  </si>
  <si>
    <t>TOWLB-CAB-LG-TURQ-R</t>
  </si>
  <si>
    <t>TOWLB-CAB-LG-YELL-R</t>
  </si>
  <si>
    <t>TOWLB-CAB-MD-LTBLU</t>
  </si>
  <si>
    <t>TOWLB-CAB-MD-LTPNK</t>
  </si>
  <si>
    <t>TOWLB-CAB-MD-LTPNK-SS24</t>
  </si>
  <si>
    <t>TOWLB-CAB-MD-NAVY</t>
  </si>
  <si>
    <t>TOWLB-CAB-MD-NAVY-SS24</t>
  </si>
  <si>
    <t>TOWLB-CAB-XL-4SET-BLUE</t>
  </si>
  <si>
    <t>TOWLB-CAB-XL-4SET-ORANGE</t>
  </si>
  <si>
    <t>TOWLB-CAB-XL-4SET-PINK</t>
  </si>
  <si>
    <t>TOWLB-CAB-XL-4SETA-R</t>
  </si>
  <si>
    <t>TOWLB-CAB-XL-4SETE-R</t>
  </si>
  <si>
    <t>TOWLB-CAB-XL-4SETF-R</t>
  </si>
  <si>
    <t>TOWLB-CAB-XL-4SETG</t>
  </si>
  <si>
    <t>TOWLB-CAB-XL-4SETH</t>
  </si>
  <si>
    <t>TOWLB-CAB-XL-4SETK</t>
  </si>
  <si>
    <t>TOWLB-CAB-XL-4SETL</t>
  </si>
  <si>
    <t>TOWLB-CAB-XL-4SETM</t>
  </si>
  <si>
    <t>TOWLB-CAB-XL-4SETN</t>
  </si>
  <si>
    <t>TOWLB-CAB-XL-4SETO</t>
  </si>
  <si>
    <t>TOWLB-CAB-XL-6SET-BLUE</t>
  </si>
  <si>
    <t>TOWLB-CAB-XL-6SET-PINK</t>
  </si>
  <si>
    <t>TOWLB-CAB-XL-6SET-R</t>
  </si>
  <si>
    <t>TOWLB-CAB-XL-6SETI</t>
  </si>
  <si>
    <t>TOWLB-CAB-XL-6SETJ</t>
  </si>
  <si>
    <t>TOWLB-CAB-XL-6SETK</t>
  </si>
  <si>
    <t>TOWLB-CAB-XL-6SETL</t>
  </si>
  <si>
    <t>TOWLB-CAB-XL-6SETM</t>
  </si>
  <si>
    <t>TOWLB-CAB-XL-AMALG-R</t>
  </si>
  <si>
    <t>TOWLB-CAB-XL-BLUE-R</t>
  </si>
  <si>
    <t>TOWLB-CAB-XL-BLUE-SS24</t>
  </si>
  <si>
    <t>TOWLB-CAB-XL-GREEN-R</t>
  </si>
  <si>
    <t>TOWLB-CAB-XL-LTBGE-R</t>
  </si>
  <si>
    <t>TOWLB-CAB-XL-LTBLU-R</t>
  </si>
  <si>
    <t>TOWLB-CAB-XL-LTPNK-R</t>
  </si>
  <si>
    <t>TOWLB-CAB-XL-LTPNK-SS24</t>
  </si>
  <si>
    <t>TOWLB-CAB-XL-LTPPL-R</t>
  </si>
  <si>
    <t>TOWLB-CAB-XL-NAVY-R</t>
  </si>
  <si>
    <t>TOWLB-CAB-XL-NAVY-SS24</t>
  </si>
  <si>
    <t>TOWLB-CAB-XL-ORANG-R</t>
  </si>
  <si>
    <t>TOWLB-CAB-XL-PALP-R</t>
  </si>
  <si>
    <t>TOWLB-CAB-XL-PINK-R</t>
  </si>
  <si>
    <t>TOWLB-CAB-XL-RIO-R</t>
  </si>
  <si>
    <t>TOWLB-CAB-XL-TEAL-R</t>
  </si>
  <si>
    <t>TOWLB-CAB-XL-TURQ-R</t>
  </si>
  <si>
    <t>TOWLB-CAB-XL-YELL-R</t>
  </si>
  <si>
    <t>TOWLB-COLLAB-LG-SOCCER</t>
  </si>
  <si>
    <t>TOWLB-COLLAB-LG-UNO</t>
  </si>
  <si>
    <t>TOWLB-COLLAB-XL-SOCCER</t>
  </si>
  <si>
    <t>TOWLB-COLLAB-XL-UNO</t>
  </si>
  <si>
    <t>TOWLB-DES-LG-4SET-CLBHSE</t>
  </si>
  <si>
    <t>TOWLB-DES-LG-4SET-ENDSUMR</t>
  </si>
  <si>
    <t>TOWLB-DES-LG-4SET-MEDMOMT</t>
  </si>
  <si>
    <t>TOWLB-DES-LG-4SET-POSPARA</t>
  </si>
  <si>
    <t>TOWLB-DES-LG-4SET-SUNTROP</t>
  </si>
  <si>
    <t>TOWLB-DES-LG-6SET-PALPARA</t>
  </si>
  <si>
    <t>TOWLB-DES-LG-BLUSKY</t>
  </si>
  <si>
    <t>TOWLB-DES-LG-GRECSHR</t>
  </si>
  <si>
    <t>TOWLB-DES-LG-HOTTROP</t>
  </si>
  <si>
    <t>TOWLB-DES-LG-IBZAGLW</t>
  </si>
  <si>
    <t>TOWLB-DES-LG-KARMA</t>
  </si>
  <si>
    <t>TOWLB-DES-LG-MELLOW</t>
  </si>
  <si>
    <t>TOWLB-DES-LG-OCETRES</t>
  </si>
  <si>
    <t>TOWLB-DES-LG-PNKPARA</t>
  </si>
  <si>
    <t>TOWLB-DES-LG-PSTPIER</t>
  </si>
  <si>
    <t>TOWLB-DES-LG-RSPROAD</t>
  </si>
  <si>
    <t>TOWLB-DES-LG-SWTESC</t>
  </si>
  <si>
    <t>TOWLB-DES-LG-TANTIDE</t>
  </si>
  <si>
    <t>TOWLB-DES-LG-WTRSUG</t>
  </si>
  <si>
    <t>TOWLB-DES-LG-WYWH</t>
  </si>
  <si>
    <t>TOWLB-DES-XL-4SET-CLBHSE</t>
  </si>
  <si>
    <t>TOWLB-DES-XL-4SET-ENDSUMR</t>
  </si>
  <si>
    <t>TOWLB-DES-XL-4SET-MEDMOMT</t>
  </si>
  <si>
    <t>TOWLB-DES-XL-4SET-POSPARA</t>
  </si>
  <si>
    <t>TOWLB-DES-XL-4SET-SUNTROP</t>
  </si>
  <si>
    <t>TOWLB-DES-XL-6SET-PALPARA</t>
  </si>
  <si>
    <t>TOWLB-DES-XL-BLUSKY</t>
  </si>
  <si>
    <t>TOWLB-DES-XL-GRECSHR</t>
  </si>
  <si>
    <t>TOWLB-DES-XL-HOTTROP</t>
  </si>
  <si>
    <t>TOWLB-DES-XL-IBZAGLW</t>
  </si>
  <si>
    <t>TOWLB-DES-XL-KARMA</t>
  </si>
  <si>
    <t>TOWLB-DES-XL-MELLOW</t>
  </si>
  <si>
    <t>TOWLB-DES-XL-OCETRES</t>
  </si>
  <si>
    <t>TOWLB-DES-XL-PNKPARA</t>
  </si>
  <si>
    <t>TOWLB-DES-XL-PSTPIER</t>
  </si>
  <si>
    <t>TOWLB-DES-XL-RSPROAD</t>
  </si>
  <si>
    <t>TOWLB-DES-XL-SWTESC</t>
  </si>
  <si>
    <t>TOWLB-DES-XL-TANTIDE</t>
  </si>
  <si>
    <t>TOWLB-DES-XL-WTRSUG</t>
  </si>
  <si>
    <t>TOWLB-DES-XL-WYWH</t>
  </si>
  <si>
    <t>TOWLB-DOB-LG-CALM</t>
  </si>
  <si>
    <t>TOWLB-DOB-XL-CALM</t>
  </si>
  <si>
    <t>TOWLB-KID-LG-4SETD</t>
  </si>
  <si>
    <t>Kids Towel - Beach</t>
  </si>
  <si>
    <t>TOWLB-KID-LG-4SETH</t>
  </si>
  <si>
    <t>TOWLB-KID-LG-CHECKOUT</t>
  </si>
  <si>
    <t>TOWLB-KID-LG-GVCLUB</t>
  </si>
  <si>
    <t>TOWLB-KID-LG-INTOWILD</t>
  </si>
  <si>
    <t>TOWLB-KID-LG-JELLY</t>
  </si>
  <si>
    <t>TOWLB-KID-LG-SKATER</t>
  </si>
  <si>
    <t>TOWLB-KID-MD-4SETH</t>
  </si>
  <si>
    <t>TOWLB-KID-MD-CHECKOUT</t>
  </si>
  <si>
    <t>TOWLB-KID-MD-GVCLUB</t>
  </si>
  <si>
    <t>TOWLB-KID-MD-INTOWILD</t>
  </si>
  <si>
    <t>TOWLB-KID-MD-JELLY</t>
  </si>
  <si>
    <t>TOWLB-KID-MD-SKATER</t>
  </si>
  <si>
    <t>TOWLB-SUM-LG-COLAGN</t>
  </si>
  <si>
    <t>TOWLB-SUM-LG-CSTCANDY</t>
  </si>
  <si>
    <t>TOWLB-SUM-LG-MIAMI</t>
  </si>
  <si>
    <t>TOWLB-SUM-LG-OCEAN</t>
  </si>
  <si>
    <t>TOWLB-SUM-LG-RAINB-R</t>
  </si>
  <si>
    <t>TOWLB-SUM-LG-TUTFRU</t>
  </si>
  <si>
    <t>TOWLB-SUM-LG-UNICN-R</t>
  </si>
  <si>
    <t>TOWLB-SUM-MD-UNICN</t>
  </si>
  <si>
    <t>TOWLB-SUM-XL-COLAGN</t>
  </si>
  <si>
    <t>TOWLB-SUM-XL-CSTCANDY</t>
  </si>
  <si>
    <t>TOWLB-SUM-XL-MIAMI</t>
  </si>
  <si>
    <t>TOWLB-SUM-XL-OCEAN</t>
  </si>
  <si>
    <t>TOWLB-SUM-XL-RAINB-R</t>
  </si>
  <si>
    <t>TOWLB-SUM-XL-TUTFRU</t>
  </si>
  <si>
    <t>TOWLB-SUM-XL-UNICN-R</t>
  </si>
  <si>
    <t>TOWLF-ESS-LG-4SET-R</t>
  </si>
  <si>
    <t>TOWLF-ESS-LG-6SET</t>
  </si>
  <si>
    <t>TOWLF-ESS-LG-BLUE-R</t>
  </si>
  <si>
    <t>TOWLF-ESS-LG-DKBLU</t>
  </si>
  <si>
    <t>TOWLF-ESS-LG-GREEN-R</t>
  </si>
  <si>
    <t>TOWLF-ESS-LG-GREY-R</t>
  </si>
  <si>
    <t>TOWLF-ESS-LG-LTPPL</t>
  </si>
  <si>
    <t>TOWLF-ESS-LG-PINK-R</t>
  </si>
  <si>
    <t>TOWLF-ESS-XL-4SET-R</t>
  </si>
  <si>
    <t>TOWLF-ESS-XL-6SET</t>
  </si>
  <si>
    <t>TOWLF-ESS-XL-BLUE-R</t>
  </si>
  <si>
    <t>TOWLF-ESS-XL-DKBLU</t>
  </si>
  <si>
    <t>TOWLF-ESS-XL-GREEN-R</t>
  </si>
  <si>
    <t>TOWLF-ESS-XL-GREY-R</t>
  </si>
  <si>
    <t>TOWLF-ESS-XL-LTPPL</t>
  </si>
  <si>
    <t>TOWLF-ESS-XL-PINK-R</t>
  </si>
  <si>
    <t>TOWLH-CLB-3SET-CHRYBMB</t>
  </si>
  <si>
    <t>TOWLH-CLB-3SET-PEPPNCH</t>
  </si>
  <si>
    <t>TOWLH-CLB-6SET-CHRYBMB</t>
  </si>
  <si>
    <t>TOWLH-CLB-6SET-PNCHPAIR</t>
  </si>
  <si>
    <t>TOWLH-CLB-LG-4SET-PNCHPAIR</t>
  </si>
  <si>
    <t>TOWLH-CLB-LG-CHRYBMB</t>
  </si>
  <si>
    <t>TOWLH-CLB-LG-MIDNFIZ</t>
  </si>
  <si>
    <t>TOWLH-CLB-LG-PEPPNCH</t>
  </si>
  <si>
    <t>TOWLH-CLB-LG-WTRSPRZ</t>
  </si>
  <si>
    <t>TOWLH-CLB-SM-CHRYBMB</t>
  </si>
  <si>
    <t>TOWLH-CLB-SM-MIDNFIZ</t>
  </si>
  <si>
    <t>TOWLH-CLB-SM-PEPPNCH</t>
  </si>
  <si>
    <t>TOWLH-CLB-SM-WTRSPRZ</t>
  </si>
  <si>
    <t>TOWLH-CLB-XL-4SET-PNCHPAIR</t>
  </si>
  <si>
    <t>TOWLH-CLB-XL-CHRYBMB</t>
  </si>
  <si>
    <t>TOWLH-CLB-XL-MIDNFIZ</t>
  </si>
  <si>
    <t>TOWLH-CLB-XL-PEPPNCH</t>
  </si>
  <si>
    <t>TOWLH-CLB-XL-WTRSPRZ</t>
  </si>
  <si>
    <t>TOWLH-DES-3SET-TIGPALM</t>
  </si>
  <si>
    <t>TOWLH-DES-6SET-TIGPALM</t>
  </si>
  <si>
    <t>TOWLH-DES-LG-BOHMDRM</t>
  </si>
  <si>
    <t>TOWLH-DES-LG-TIGPALM</t>
  </si>
  <si>
    <t>TOWLH-DES-SM-BOHMDRM</t>
  </si>
  <si>
    <t>TOWLH-DES-SM-TIGPALM</t>
  </si>
  <si>
    <t>TOWLH-DES-XL-BOHMDRM</t>
  </si>
  <si>
    <t>TOWLH-DES-XL-TIGPALM</t>
  </si>
  <si>
    <t>US-MAKUP-HOM-6PAK-FBA</t>
  </si>
  <si>
    <t>US-MAKUP-HOM-9PAK-FBA</t>
  </si>
  <si>
    <t>WHITE_LABEL_PRODUCT</t>
  </si>
  <si>
    <t>WHOLESALE-BROCHURE-CA</t>
  </si>
  <si>
    <t>WHOLESALE-BROCHURE-EU</t>
  </si>
  <si>
    <t>WHOLESALE-POSDISPLAY-LAR-BOTTLE</t>
  </si>
  <si>
    <t>WHOLESALE-SAMPLE-BOX</t>
  </si>
  <si>
    <t>ACTIVE-SML-ORANGE</t>
  </si>
  <si>
    <t>ACTIVE-XLG-GREY</t>
  </si>
  <si>
    <t>BAGBCH-MD-OLIVE</t>
  </si>
  <si>
    <t>BAGF-DES-MD-BANARAM</t>
  </si>
  <si>
    <t>BAGF-DES-MD-CHECKMT</t>
  </si>
  <si>
    <t>BAGF-DES-MD-GROOVCH</t>
  </si>
  <si>
    <t>BAGF-DES-MD-STRIPLIFE</t>
  </si>
  <si>
    <t>BAGF-MD-MARINDRM</t>
  </si>
  <si>
    <t>BOTTL-CAB-LTBLU</t>
  </si>
  <si>
    <t>Water Bottle</t>
  </si>
  <si>
    <t>BOTTL-CAB-LTGRE</t>
  </si>
  <si>
    <t>BOTTL-CAB-NAVY</t>
  </si>
  <si>
    <t>BUNDLE-FITNESS-LG-CABCLIMB</t>
  </si>
  <si>
    <t>BUNDLE-HAIRW-TOWLB-SUM-RAINB</t>
  </si>
  <si>
    <t>BUNDLE-PAIRS-LG-LTPNK</t>
  </si>
  <si>
    <t>BUNDLE-PAIRS-LG-NAVY</t>
  </si>
  <si>
    <t>BUNDLE-PICNIC-LG-LTPNK</t>
  </si>
  <si>
    <t>BUNDLE-PICNIC-LG-NAVY</t>
  </si>
  <si>
    <t>BUNDLE-PICNIC-LG-UNICN</t>
  </si>
  <si>
    <t>BUNDLE-ROBE-HAIRW-CLA-NAVY</t>
  </si>
  <si>
    <t>BUNDLE-SURFER-LG-LTPNK</t>
  </si>
  <si>
    <t>BUNDLE-SURFER-LG-NAVY</t>
  </si>
  <si>
    <t>BUNDLE-WATER-LG-SPLASH</t>
  </si>
  <si>
    <t>CABANA-LAR-BLUE</t>
  </si>
  <si>
    <t>CABANA-LAR-LIGHT-RED</t>
  </si>
  <si>
    <t>CABANA-LAR-PINK</t>
  </si>
  <si>
    <t>CABANA-XLG-BLUE</t>
  </si>
  <si>
    <t>CABANA-XLG-BLUENAVY</t>
  </si>
  <si>
    <t>CABANA-XLG-LIGHT-GREY</t>
  </si>
  <si>
    <t>CABANA-XLG-PINK</t>
  </si>
  <si>
    <t>CLASSIC-LAR-PURPLE</t>
  </si>
  <si>
    <t>CLASSIC-SML-BLUE</t>
  </si>
  <si>
    <t>COOL-CAB-BLUE-R</t>
  </si>
  <si>
    <t>COOL-CAB-LTPCH-R</t>
  </si>
  <si>
    <t>COOL-FST-GRY-R</t>
  </si>
  <si>
    <t>DOBIT-LAR-WHALE</t>
  </si>
  <si>
    <t>DOGTWL-CAB-LG-CORAL</t>
  </si>
  <si>
    <t>DOGTWL-CAB-LG-RAINB</t>
  </si>
  <si>
    <t>DOGTWL-CAB-MD-CORAL</t>
  </si>
  <si>
    <t>DOGTWL-CAB-MD-RAINB</t>
  </si>
  <si>
    <t>DOGTWL-DES-MD-FACES</t>
  </si>
  <si>
    <t>DOGTWL-LG-4SET-BLUES</t>
  </si>
  <si>
    <t>DOGTWL-LG-4SET-BRKPLD</t>
  </si>
  <si>
    <t>DOGTWL-LG-4SET-PAWFECT</t>
  </si>
  <si>
    <t>DOGTWL-LG-BARKBLU</t>
  </si>
  <si>
    <t>DOGTWL-LG-K9CAMO</t>
  </si>
  <si>
    <t>DOGTWL-LG-PAWPPL</t>
  </si>
  <si>
    <t>DOGTWL-LG-PUPLAID</t>
  </si>
  <si>
    <t>DOGTWL-LG-RHUBARK</t>
  </si>
  <si>
    <t>DOGTWL-LG-SUNSPL</t>
  </si>
  <si>
    <t>DOGTWL-LG-WALK</t>
  </si>
  <si>
    <t>DOGTWL-LG-WHERWOOF</t>
  </si>
  <si>
    <t>DOGTWL-LG-WOOFWILD</t>
  </si>
  <si>
    <t>DOGTWL-MD-4SET-FRSWLK</t>
  </si>
  <si>
    <t>DOGTWL-MD-4SET-MISMTCH</t>
  </si>
  <si>
    <t>DOGTWL-MD-BARKBLU</t>
  </si>
  <si>
    <t>DOGTWL-MD-K9CAMO</t>
  </si>
  <si>
    <t>DOGTWL-MD-PAWPPL</t>
  </si>
  <si>
    <t>DOGTWL-MD-PUPLAID</t>
  </si>
  <si>
    <t>DOGTWL-MD-RHUBARK</t>
  </si>
  <si>
    <t>DOGTWL-MD-SUNSPL</t>
  </si>
  <si>
    <t>DOGTWL-MD-WALK</t>
  </si>
  <si>
    <t>DOGTWL-MD-WHERWOOF</t>
  </si>
  <si>
    <t>DOGTWL-MD-WOOFWILD</t>
  </si>
  <si>
    <t>EYEMASK-DES-FLIGHTS</t>
  </si>
  <si>
    <t>FESTIVAL-LAR-TOMATINA</t>
  </si>
  <si>
    <t>HAIRW-CAB-4SET-PINK</t>
  </si>
  <si>
    <t>HAIRW-CBH-NAVY-NB</t>
  </si>
  <si>
    <t>HAIRW-CLA-4SETD</t>
  </si>
  <si>
    <t>HAIRW-HID-BLACK</t>
  </si>
  <si>
    <t>HAIRW-HID-GREEN</t>
  </si>
  <si>
    <t>HAIRW-HID-PINK</t>
  </si>
  <si>
    <t>HAIRW-SUE-GPCH</t>
  </si>
  <si>
    <t>HAIRW-SUM-RAINB</t>
  </si>
  <si>
    <t>HAIRW-WAF-DRMCTCH</t>
  </si>
  <si>
    <t>HOODT-ANI-SM-FROG</t>
  </si>
  <si>
    <t>Kids Towel - Home</t>
  </si>
  <si>
    <t>HOODT-ANI-SM-PIG</t>
  </si>
  <si>
    <t>HOODT-CLA-SM-LTPNK</t>
  </si>
  <si>
    <t>HOODT-CLA-SM-NAVY</t>
  </si>
  <si>
    <t>MAKUP-CLA-NAVY</t>
  </si>
  <si>
    <t>MAKUP-HOM-3PAK-FBA</t>
  </si>
  <si>
    <t>MAKUP-HOM-6PAK-FBA</t>
  </si>
  <si>
    <t>MAKUP-STD-LTPNK</t>
  </si>
  <si>
    <t>MAKUP-STD-NAVY</t>
  </si>
  <si>
    <t>PICNIC-DES-LG-BANARAM</t>
  </si>
  <si>
    <t>PICNIC-DES-LG-MARGMAD</t>
  </si>
  <si>
    <t>PICNIC-DES-LG-TERATROP</t>
  </si>
  <si>
    <t>PICNIC-DES-XL-BANARAM</t>
  </si>
  <si>
    <t>PICNIC-DES-XL-MARGMAD</t>
  </si>
  <si>
    <t>PICNIC-DES-XL-TERATROP</t>
  </si>
  <si>
    <t>PICNIC-GIN-LG-BLUE</t>
  </si>
  <si>
    <t>PICNIC-SGW-LG-GETWAV</t>
  </si>
  <si>
    <t>PICNIC-SGW-XL-GETWAV</t>
  </si>
  <si>
    <t>PICNIC-SUM-LG-SANDSEA</t>
  </si>
  <si>
    <t>PICNIC-SUM-XL-SANDSEA</t>
  </si>
  <si>
    <t>PONCHA-CLA-MD-BLACK</t>
  </si>
  <si>
    <t>PONCHA-CLA-SM-BLACK</t>
  </si>
  <si>
    <t>PONCHA-CLA-SM-NAVY</t>
  </si>
  <si>
    <t>PONCHA-DES-LG-CHECKMT</t>
  </si>
  <si>
    <t>PONCHA-DES-LG-FRUTLPS</t>
  </si>
  <si>
    <t>PONCHA-DES-LG-GROOVCH</t>
  </si>
  <si>
    <t>PONCHA-DES-LG-PALMBCH</t>
  </si>
  <si>
    <t>PONCHA-DES-MD-CHECKMT</t>
  </si>
  <si>
    <t>PONCHA-DES-MD-FRUTLPS</t>
  </si>
  <si>
    <t>PONCHA-DES-MD-GROOVCH</t>
  </si>
  <si>
    <t>PONCHA-DES-MD-PALMBCH</t>
  </si>
  <si>
    <t>PONCHA-FST-SM-GRY-R</t>
  </si>
  <si>
    <t>PONCHA-MAR-LG-BLUE</t>
  </si>
  <si>
    <t>PONCHA-MAR-LG-PINK</t>
  </si>
  <si>
    <t>PONCHA-MAR-MD-BLUE</t>
  </si>
  <si>
    <t>PONCHA-MAR-MD-PINK</t>
  </si>
  <si>
    <t>PONCHA-SUM-LG-PCHSUN</t>
  </si>
  <si>
    <t>PONCHK-CAB-MD-LTPNK</t>
  </si>
  <si>
    <t>PONCHK-CAB-XS-LTPNK</t>
  </si>
  <si>
    <t>PONCHK-CAB-XS-NAVY</t>
  </si>
  <si>
    <t>PONCHK-KID-MD-BUBDRM</t>
  </si>
  <si>
    <t>PONCHK-KID-MD-CAMOCUBE</t>
  </si>
  <si>
    <t>PONCHK-KID-MD-KARMCHAM</t>
  </si>
  <si>
    <t>PONCHK-KID-MD-TURTROP</t>
  </si>
  <si>
    <t>PONCHK-KID-SM-BUBDRM</t>
  </si>
  <si>
    <t>PONCHK-KID-SM-CAMO-NS</t>
  </si>
  <si>
    <t>PONCHK-KID-SM-CAMOCUBE</t>
  </si>
  <si>
    <t>PONCHK-KID-SM-CROC</t>
  </si>
  <si>
    <t>PONCHK-KID-SM-DOODMOOD</t>
  </si>
  <si>
    <t>PONCHK-KID-SM-FIVEDAY</t>
  </si>
  <si>
    <t>PONCHK-KID-SM-FLAM</t>
  </si>
  <si>
    <t>PONCHK-KID-SM-KARMCHAM</t>
  </si>
  <si>
    <t>PONCHK-KID-SM-POWER-NS</t>
  </si>
  <si>
    <t>PONCHK-KID-SM-TURTROP</t>
  </si>
  <si>
    <t>PONCHK-KID-XS-LEOP</t>
  </si>
  <si>
    <t>PONCHK-KID-XS-POWER</t>
  </si>
  <si>
    <t>PONCHK-SUM-MD-UNICN</t>
  </si>
  <si>
    <t>PONCHOADULT-LAR-GREY</t>
  </si>
  <si>
    <t>PONCHOKIDS-MED-GREEN</t>
  </si>
  <si>
    <t>PONCHOKIDS-MED-PINK</t>
  </si>
  <si>
    <t>PONCHOKIDS-MED-YELLOW</t>
  </si>
  <si>
    <t>PONCHOKIDS-SML-GREEN</t>
  </si>
  <si>
    <t>POS-DIS-LG-FULL-TOWLB-STOCKED-SS25</t>
  </si>
  <si>
    <t>POS-DIS-LG-FULL-TOWLB-STOCKED-SS25-US</t>
  </si>
  <si>
    <t>POS-DIS-PREM-1SIDE-24</t>
  </si>
  <si>
    <t>POS-DIS-PREM-1SIDE-STOCKED-SS25</t>
  </si>
  <si>
    <t>POS-DIS-PREM-2SIDE-KIT</t>
  </si>
  <si>
    <t>POS-DIS-PREM-2SIDE-STOCKED-SS25</t>
  </si>
  <si>
    <t>POS-DIS-PREM-3X-PRONGS</t>
  </si>
  <si>
    <t>POS-DIS-PREM-WIRE-BASKET</t>
  </si>
  <si>
    <t>POS-DIS-SM-DOGTWL-STOCKED-AW24</t>
  </si>
  <si>
    <t>POS-DIS-SM-FULL-BAGF-STOCKED-SS25</t>
  </si>
  <si>
    <t>POS-DIS-SM-FULL-COOL-STOCKED-SS25</t>
  </si>
  <si>
    <t>POS-DIS-SM-FULL-HAIRW-STOCKED-AW24</t>
  </si>
  <si>
    <t>POS-DIS-SM-FULL-MAKUP-STOCKED-EN-24</t>
  </si>
  <si>
    <t>POS-DIS-SM-FULL-PICNIC-STOCKED-SS25</t>
  </si>
  <si>
    <t>POS-DIS-SM-FULL-PONCHA-STOCKED-SS25</t>
  </si>
  <si>
    <t>POS-DIS-SM-FULL-PONCHK-STOCKED-SS25</t>
  </si>
  <si>
    <t>POS-DIS-SM-FULL-TOWLB-KID-STOCKED-SS25</t>
  </si>
  <si>
    <t>POS-DIS-SM-FULL-TOWLB-STOCKED-SS25</t>
  </si>
  <si>
    <t>POS-DIS-SM-FULL-TOWLB-STOCKED-SS25-US</t>
  </si>
  <si>
    <t>POS-DIS-SM-HEAD-BAGF-EN-24</t>
  </si>
  <si>
    <t>POS-DIS-SM-HEAD-COOL-EN-24</t>
  </si>
  <si>
    <t>POS-DIS-SM-HEAD-PICNIC-EN-24</t>
  </si>
  <si>
    <t>POS-DIS-SM-HEAD-PONCHA-EN-24</t>
  </si>
  <si>
    <t>POS-DIS-SM-HEAD-PONCHK-EN-24</t>
  </si>
  <si>
    <t>POS-DIS-SM-HEAD-TOWLB-KID-EN-24</t>
  </si>
  <si>
    <t>POS-DIS-SM-HEAD-TOWLB-KID-EN24</t>
  </si>
  <si>
    <t>POS-STOCK-REFILL-LG-TOWLB</t>
  </si>
  <si>
    <t>POS-STOCK-REFILL-LG-TOWLB-SS25</t>
  </si>
  <si>
    <t>POS-STOCK-REFILL-LG-TOWLB-SS25-US</t>
  </si>
  <si>
    <t>POS-STOCK-REFILL-PREM-1SIDE</t>
  </si>
  <si>
    <t>POS-STOCK-REFILL-PREM-1SIDE-SS25</t>
  </si>
  <si>
    <t>POS-STOCK-REFILL-PREM-2SIDE</t>
  </si>
  <si>
    <t>POS-STOCK-REFILL-PREM-2SIDE-SS25</t>
  </si>
  <si>
    <t>POS-STOCK-REFILL-SM-BAGF</t>
  </si>
  <si>
    <t>POS-STOCK-REFILL-SM-BAGF-SS25</t>
  </si>
  <si>
    <t>POS-STOCK-REFILL-SM-COOL</t>
  </si>
  <si>
    <t>POS-STOCK-REFILL-SM-COOL-SS25</t>
  </si>
  <si>
    <t>POS-STOCK-REFILL-SM-DOGTWL</t>
  </si>
  <si>
    <t>POS-STOCK-REFILL-SM-DOGTWL-AW24</t>
  </si>
  <si>
    <t>POS-STOCK-REFILL-SM-HAIRW</t>
  </si>
  <si>
    <t>POS-STOCK-REFILL-SM-HAIRW-AW24</t>
  </si>
  <si>
    <t>POS-STOCK-REFILL-SM-MAKUP</t>
  </si>
  <si>
    <t>POS-STOCK-REFILL-SM-PICNIC</t>
  </si>
  <si>
    <t>POS-STOCK-REFILL-SM-PICNIC-SS25</t>
  </si>
  <si>
    <t>POS-STOCK-REFILL-SM-PONCHA</t>
  </si>
  <si>
    <t>POS-STOCK-REFILL-SM-PONCHA-SS25</t>
  </si>
  <si>
    <t>POS-STOCK-REFILL-SM-PONCHK</t>
  </si>
  <si>
    <t>POS-STOCK-REFILL-SM-PONCHK-SS25</t>
  </si>
  <si>
    <t>POS-STOCK-REFILL-SM-TEATWL</t>
  </si>
  <si>
    <t>POS-STOCK-REFILL-SM-TEATWL-AW24</t>
  </si>
  <si>
    <t>POS-STOCK-REFILL-SM-TOWLB</t>
  </si>
  <si>
    <t>POS-STOCK-REFILL-SM-TOWLB-KID</t>
  </si>
  <si>
    <t>POS-STOCK-REFILL-SM-TOWLB-KID-SS25</t>
  </si>
  <si>
    <t>POS-STOCK-REFILL-SM-TOWLB-SS25</t>
  </si>
  <si>
    <t>POS-STOCK-REFILL-SM-TOWLB-SS25-US</t>
  </si>
  <si>
    <t>PP-TEATWL-MD-3SET-STRAWFZ</t>
  </si>
  <si>
    <t>PP-TEATWL-MD-3SET-TART</t>
  </si>
  <si>
    <t>PP-TEATWL-MD-5SET-CULDEL</t>
  </si>
  <si>
    <t>PP-TEATWL-MD-5SET-HOST</t>
  </si>
  <si>
    <t>PP-TEATWL-MD-5SET-PICKY</t>
  </si>
  <si>
    <t>PP-TEATWL-MD-6SET-AFTPTY</t>
  </si>
  <si>
    <t>PP-TEATWL-MD-6SET-FRTCTL</t>
  </si>
  <si>
    <t>PP-TOWLB-CAB-LG-4SET-BLUE</t>
  </si>
  <si>
    <t>PP-TOWLB-CAB-LG-4SET-PINK</t>
  </si>
  <si>
    <t>PP-TOWLB-CAB-LG-4SETE-R</t>
  </si>
  <si>
    <t>PP-TOWLB-CAB-LG-4SETH</t>
  </si>
  <si>
    <t>PP-TOWLB-CAB-LG-6SET-BLUE</t>
  </si>
  <si>
    <t>PP-TOWLB-CAB-LG-6SETM</t>
  </si>
  <si>
    <t>PP-TOWLB-CAB-XL-4SET-PINK</t>
  </si>
  <si>
    <t>PP-TOWLB-CAB-XL-6SETI</t>
  </si>
  <si>
    <t>PP-TOWLB-CAB-XL-6SETM</t>
  </si>
  <si>
    <t>PP-TOWLB-DES-LG-4SETA</t>
  </si>
  <si>
    <t>PP-TOWLB-DES-LG-6SETA</t>
  </si>
  <si>
    <t>PP-TOWLB-DES-XL-4SETE</t>
  </si>
  <si>
    <t>PP-TOWLB-DES-XL-6SETA</t>
  </si>
  <si>
    <t>PP-TOWLB-SUM-LG-6SETA</t>
  </si>
  <si>
    <t>PP-TOWLB-SUM-XL-6SETA</t>
  </si>
  <si>
    <t>ROBE-CLA-MD-NAVY</t>
  </si>
  <si>
    <t>ROUND-MAZE-GREEN</t>
  </si>
  <si>
    <t>ROUND-MAZE-YELLOW</t>
  </si>
  <si>
    <t>ROUND-STRIPE-RAINBOW</t>
  </si>
  <si>
    <t>SHORTS-BOT-LG-PALM</t>
  </si>
  <si>
    <t>Shorts</t>
  </si>
  <si>
    <t>SHORTS-BOT-SM-PALM</t>
  </si>
  <si>
    <t>SHORTS-BOT-XL-PALM</t>
  </si>
  <si>
    <t>SHORTS-CAB-LG-RED</t>
  </si>
  <si>
    <t>SHORTS-CAB-SM-RED</t>
  </si>
  <si>
    <t>SHORTS-PIN-SM-BLACK</t>
  </si>
  <si>
    <t>SHORTSSTRIPE-MED-RAINBOW</t>
  </si>
  <si>
    <t>SHORTSSTRIPE-MED-RED</t>
  </si>
  <si>
    <t>SHORTSSTRIPE-SML-BLUE</t>
  </si>
  <si>
    <t>SHORTSSTRIPE-SML-RAINBOW</t>
  </si>
  <si>
    <t>SHORTSSTRIPE-SML-RED</t>
  </si>
  <si>
    <t>SHORTSSTRIPE-SML-YELLOW</t>
  </si>
  <si>
    <t>SHORTSSTRIPE-XLG-BLUE</t>
  </si>
  <si>
    <t>SPAREPOUCH-LAR</t>
  </si>
  <si>
    <t>SPAREPOUCH-XLG</t>
  </si>
  <si>
    <t>SUMMER-LAR-RAINBOW</t>
  </si>
  <si>
    <t>SUMMER-XLG-BLUERED</t>
  </si>
  <si>
    <t>SWAY-XLG-ARCTIC</t>
  </si>
  <si>
    <t>TEATWL-MD-2SET-FRUITY</t>
  </si>
  <si>
    <t>TEATWL-MD-3SET-SALSA</t>
  </si>
  <si>
    <t>TEATWL-MD-CCOOL</t>
  </si>
  <si>
    <t>TEATWL-MD-FEELVINE</t>
  </si>
  <si>
    <t>TEATWL-MD-KISSCOOK</t>
  </si>
  <si>
    <t>TEATWL-MD-MEDMAR</t>
  </si>
  <si>
    <t>TEATWL-MD-PNKGRAP</t>
  </si>
  <si>
    <t>TEATWL-MD-SAUCY</t>
  </si>
  <si>
    <t>TEATWL-MD-VRYPEEL</t>
  </si>
  <si>
    <t>TOWLB-BOT-XL-PALM</t>
  </si>
  <si>
    <t>TOWLB-DES-LG-4SET-HAVANA</t>
  </si>
  <si>
    <t>TOWLB-DES-LG-4SET-PRTYPNK</t>
  </si>
  <si>
    <t>TOWLB-DES-LG-ALOHGLW</t>
  </si>
  <si>
    <t>TOWLB-DES-LG-BLUSPRIT</t>
  </si>
  <si>
    <t>TOWLB-DES-LG-CHECKMT</t>
  </si>
  <si>
    <t>TOWLB-DES-LG-FRUTLPS</t>
  </si>
  <si>
    <t>TOWLB-DES-LG-GROOVCH</t>
  </si>
  <si>
    <t>TOWLB-DES-LG-GTTLINES</t>
  </si>
  <si>
    <t>TOWLB-DES-LG-LEMWAV</t>
  </si>
  <si>
    <t>TOWLB-DES-LG-MARINDRM</t>
  </si>
  <si>
    <t>TOWLB-DES-LG-PPVIBES</t>
  </si>
  <si>
    <t>TOWLB-DES-LG-SEAFOAM</t>
  </si>
  <si>
    <t>TOWLB-DES-LG-SUGPALM</t>
  </si>
  <si>
    <t>TOWLB-DES-LG-SUNSPL</t>
  </si>
  <si>
    <t>TOWLB-DES-LG-TROPTRT</t>
  </si>
  <si>
    <t>TOWLB-DES-LG-VITSEA</t>
  </si>
  <si>
    <t>TOWLB-DES-XL-4SET-HAVANA</t>
  </si>
  <si>
    <t>TOWLB-DES-XL-4SET-PRTYPNK</t>
  </si>
  <si>
    <t>TOWLB-DES-XL-4SET-SUNBLVD</t>
  </si>
  <si>
    <t>TOWLB-DES-XL-6SET-TROPICAN</t>
  </si>
  <si>
    <t>TOWLB-DES-XL-ALOHGLW</t>
  </si>
  <si>
    <t>TOWLB-DES-XL-BLUSPRIT</t>
  </si>
  <si>
    <t>TOWLB-DES-XL-CHECKMT</t>
  </si>
  <si>
    <t>TOWLB-DES-XL-FRUTLPS</t>
  </si>
  <si>
    <t>TOWLB-DES-XL-GROOVCH</t>
  </si>
  <si>
    <t>TOWLB-DES-XL-GTTLINES</t>
  </si>
  <si>
    <t>TOWLB-DES-XL-LEMWAV</t>
  </si>
  <si>
    <t>TOWLB-DES-XL-LIFELEM</t>
  </si>
  <si>
    <t>TOWLB-DES-XL-PPVIBES</t>
  </si>
  <si>
    <t>TOWLB-DES-XL-SUGPALM</t>
  </si>
  <si>
    <t>TOWLB-DES-XL-SUNSPL</t>
  </si>
  <si>
    <t>TOWLB-DES-XL-TROPTRT</t>
  </si>
  <si>
    <t>TOWLB-DES-XL-VITSEA</t>
  </si>
  <si>
    <t>TOWLB-DOB-LG-WILDTHG</t>
  </si>
  <si>
    <t>TOWLB-DOB-XL-STONEWALL</t>
  </si>
  <si>
    <t>TOWLB-DOB-XL-WILDTHG</t>
  </si>
  <si>
    <t>TOWLB-JUN-XL-MONKY-R</t>
  </si>
  <si>
    <t>TOWLB-KID-LG-4SET-CALMCRZY</t>
  </si>
  <si>
    <t>TOWLB-KID-LG-4SET-CHAOS</t>
  </si>
  <si>
    <t>TOWLB-KID-LG-4SET-COOLKID</t>
  </si>
  <si>
    <t>TOWLB-KID-LG-4SET-MTCHMD</t>
  </si>
  <si>
    <t>TOWLB-KID-LG-4SET-TECHCLR</t>
  </si>
  <si>
    <t>TOWLB-KID-LG-6SET-EXPYOU</t>
  </si>
  <si>
    <t>TOWLB-KID-LG-6SET-JOYDISC</t>
  </si>
  <si>
    <t>TOWLB-KID-LG-BIKE</t>
  </si>
  <si>
    <t>TOWLB-KID-LG-BOAT</t>
  </si>
  <si>
    <t>TOWLB-KID-LG-BUILDBCH</t>
  </si>
  <si>
    <t>TOWLB-KID-LG-CAMO</t>
  </si>
  <si>
    <t>TOWLB-KID-LG-DOODMOOD</t>
  </si>
  <si>
    <t>TOWLB-KID-LG-FIVEDAY</t>
  </si>
  <si>
    <t>TOWLB-KID-LG-FLAM</t>
  </si>
  <si>
    <t>TOWLB-KID-LG-KARMCHAM</t>
  </si>
  <si>
    <t>TOWLB-KID-LG-POWPOS</t>
  </si>
  <si>
    <t>TOWLB-KID-LG-RAINB</t>
  </si>
  <si>
    <t>TOWLB-KID-LG-SANDSTRT</t>
  </si>
  <si>
    <t>TOWLB-KID-LG-TURTROP</t>
  </si>
  <si>
    <t>TOWLB-KID-MD-4SET-CALMCRZY</t>
  </si>
  <si>
    <t>TOWLB-KID-MD-4SET-CHAOS</t>
  </si>
  <si>
    <t>TOWLB-KID-MD-4SET-COOLKID</t>
  </si>
  <si>
    <t>TOWLB-KID-MD-4SET-MTCHMD</t>
  </si>
  <si>
    <t>TOWLB-KID-MD-4SET-TECHCLR</t>
  </si>
  <si>
    <t>TOWLB-KID-MD-6SET-EXPYOU</t>
  </si>
  <si>
    <t>TOWLB-KID-MD-6SET-JOYDISC</t>
  </si>
  <si>
    <t>TOWLB-KID-MD-6SET-SPLASH</t>
  </si>
  <si>
    <t>TOWLB-KID-MD-BIKE</t>
  </si>
  <si>
    <t>TOWLB-KID-MD-BUILDBCH</t>
  </si>
  <si>
    <t>TOWLB-KID-MD-CAMO</t>
  </si>
  <si>
    <t>TOWLB-KID-MD-CROC</t>
  </si>
  <si>
    <t>TOWLB-KID-MD-FLAM</t>
  </si>
  <si>
    <t>TOWLB-KID-MD-KARMCHAM</t>
  </si>
  <si>
    <t>TOWLB-KID-MD-POWPOS</t>
  </si>
  <si>
    <t>TOWLB-KID-MD-RAINB</t>
  </si>
  <si>
    <t>TOWLB-KID-MD-SANDSTRT</t>
  </si>
  <si>
    <t>TOWLB-KID-MD-SUNS</t>
  </si>
  <si>
    <t>TOWLB-KID-MD-TURTROP</t>
  </si>
  <si>
    <t>TOWLB-RND-GREY-R</t>
  </si>
  <si>
    <t>TOWLB-SUM-LG-6SET-RAINSHRS</t>
  </si>
  <si>
    <t>TOWLB-SUM-LG-SANDSEA</t>
  </si>
  <si>
    <t>TOWLB-SUM-X2-UNICN</t>
  </si>
  <si>
    <t>TOWLB-SUM-XL-6SET-RAINSHRS</t>
  </si>
  <si>
    <t>TOWLB-SUM-XL-DSKDWN</t>
  </si>
  <si>
    <t>TOWLB-SUM-XL-PCHSUN</t>
  </si>
  <si>
    <t>TOWLB-SUM-XL-SANDSEA</t>
  </si>
  <si>
    <t>TOWLH-CBH-LG-4SET</t>
  </si>
  <si>
    <t>TOWLH-CBH-XL-4SET</t>
  </si>
  <si>
    <t>TOWLH-GEO-LG-PARAD</t>
  </si>
  <si>
    <t>TOWLH-GEO-LG-PINK</t>
  </si>
  <si>
    <t>TOWLH-GEO-LG-SAGE</t>
  </si>
  <si>
    <t>TOWLH-GEO-SM-NAVY</t>
  </si>
  <si>
    <t>TOWLH-GEO-SM-PARAD</t>
  </si>
  <si>
    <t>TOWLH-GEO-SM-PINK</t>
  </si>
  <si>
    <t>TOWLH-GEO-SM-SAGE</t>
  </si>
  <si>
    <t>TOWLH-GEO-XL-4SET</t>
  </si>
  <si>
    <t>TOWLH-GEO-XL-NAVY</t>
  </si>
  <si>
    <t>TOWLH-GEO-XL-PARAD</t>
  </si>
  <si>
    <t>TOWLH-GEO-XL-PINK</t>
  </si>
  <si>
    <t>TOWLH-GEO-XL-SAGE</t>
  </si>
  <si>
    <t>TOWLH-HID-LG-PINK</t>
  </si>
  <si>
    <t>TOWLH-HID-SM-BLUE</t>
  </si>
  <si>
    <t>TOWLH-HID-SM-GREEN</t>
  </si>
  <si>
    <t>TOWLH-HID-SM-PINK</t>
  </si>
  <si>
    <t>TOWLH-HID-XL-PINK</t>
  </si>
  <si>
    <t>TOWLH-HOM-SM-LTPNK</t>
  </si>
  <si>
    <t>TOWLH-RET-LG-CONG</t>
  </si>
  <si>
    <t>TOWLH-RET-LG-MONT</t>
  </si>
  <si>
    <t>TOWLH-RET-LG-SINH</t>
  </si>
  <si>
    <t>TOWLH-RET-SM-CONG</t>
  </si>
  <si>
    <t>TOWLH-RET-SM-MONT</t>
  </si>
  <si>
    <t>TOWLH-RET-SM-SANT</t>
  </si>
  <si>
    <t>TOWLH-RET-SM-SAPO</t>
  </si>
  <si>
    <t>TOWLH-RET-SM-SINH</t>
  </si>
  <si>
    <t>TOWLH-RET-XL-SINH</t>
  </si>
  <si>
    <t>WASH-BAG-MED</t>
  </si>
  <si>
    <t>WHOLESALE-WATERBOTTLE-DNB</t>
  </si>
  <si>
    <t>WS-POS-EASEL-BAG-2023</t>
  </si>
  <si>
    <t>WS-POS-EASEL-BAG-FR-2023</t>
  </si>
  <si>
    <t>WS-POS-EASEL-COOL-2023</t>
  </si>
  <si>
    <t>WS-POS-EASEL-COOL-FR-2023</t>
  </si>
  <si>
    <t>WS-POS-EASEL-DOGTWL-2023</t>
  </si>
  <si>
    <t>WS-POS-EASEL-DOGTWL-FR-2023</t>
  </si>
  <si>
    <t>WS-POS-EASEL-HAIRW-2023</t>
  </si>
  <si>
    <t>WS-POS-EASEL-HAIRW-FR-2023</t>
  </si>
  <si>
    <t>WS-POS-EASEL-HOODT-2023</t>
  </si>
  <si>
    <t>WS-POS-EASEL-PICNIC-2023</t>
  </si>
  <si>
    <t>WS-POS-EASEL-PICNIC-FR-2023</t>
  </si>
  <si>
    <t>WS-POS-EASEL-PONCHA-2023</t>
  </si>
  <si>
    <t>WS-POS-EASEL-PONCHA-FR-2023</t>
  </si>
  <si>
    <t>WS-POS-EASEL-PONCHK-2023</t>
  </si>
  <si>
    <t>WS-POS-EASEL-TOWLB-2023</t>
  </si>
  <si>
    <t>WS-POS-EASEL-TOWLB-FR-2023</t>
  </si>
  <si>
    <t>WS-POS-EASEL-TOWLH-2023</t>
  </si>
  <si>
    <t>BAGTOI-MD-NAVY</t>
  </si>
  <si>
    <t>BAGTOI-MD-PINK</t>
  </si>
  <si>
    <t>COOL-CAB-LTGRY-R</t>
  </si>
  <si>
    <t>HAIRW-CAB-LTGRY-R</t>
  </si>
  <si>
    <t>HAIRW-CAB-LTPINK-R</t>
  </si>
  <si>
    <t>HAIRW-CBH-PINK-NB</t>
  </si>
  <si>
    <t>HAIRW-CLA-NAVY</t>
  </si>
  <si>
    <t>HAIRW-CLA-NAVY-NB</t>
  </si>
  <si>
    <t>HAIRW-CLA-WHITE</t>
  </si>
  <si>
    <t>PONCHA-CAB-LG-BLUE-R</t>
  </si>
  <si>
    <t>PONCHA-CAB-LG-LTPNK</t>
  </si>
  <si>
    <t>PONCHA-CAB-LG-NAVY</t>
  </si>
  <si>
    <t>PONCHA-CAB-MD-BLUE-R</t>
  </si>
  <si>
    <t>PONCHA-CAB-MD-LTPNK</t>
  </si>
  <si>
    <t>PONCHA-CAB-MD-NAVY</t>
  </si>
  <si>
    <t>PONCHA-CAB-SM-BLUE-R</t>
  </si>
  <si>
    <t>PONCHA-CAB-SM-LTPNK</t>
  </si>
  <si>
    <t>PONCHA-CAB-SM-NAVY</t>
  </si>
  <si>
    <t>PONCHA-CLA-LG-NAVY</t>
  </si>
  <si>
    <t>PONCHA-CLA-MD-NAVY</t>
  </si>
  <si>
    <t>PONCHA-SUM-LG-UNICN</t>
  </si>
  <si>
    <t>PONCHA-SUM-MD-UNICN</t>
  </si>
  <si>
    <t>PONCHA-SUM-SM-UNICN</t>
  </si>
  <si>
    <t>PONCHK-SUM-XS-UNICN</t>
  </si>
  <si>
    <t>PP-TOWLB-CAB-LG-4SETA-R</t>
  </si>
  <si>
    <t>PP-TOWLB-CAB-LG-4SETF-R</t>
  </si>
  <si>
    <t>PP-TOWLB-CAB-LG-4SETG</t>
  </si>
  <si>
    <t>PP-TOWLB-CAB-LG-4SETK</t>
  </si>
  <si>
    <t>PP-TOWLB-CAB-LG-4SETL</t>
  </si>
  <si>
    <t>PP-TOWLB-CAB-LG-4SETM</t>
  </si>
  <si>
    <t>PP-TOWLB-CAB-LG-4SETN</t>
  </si>
  <si>
    <t>PP-TOWLB-CAB-LG-4SETO</t>
  </si>
  <si>
    <t>PP-TOWLB-CAB-LG-6SET-PINK</t>
  </si>
  <si>
    <t>PP-TOWLB-CAB-LG-6SET-R</t>
  </si>
  <si>
    <t>PP-TOWLB-CAB-LG-6SETI</t>
  </si>
  <si>
    <t>PP-TOWLB-CAB-LG-6SETJ</t>
  </si>
  <si>
    <t>PP-TOWLB-CAB-LG-6SETK</t>
  </si>
  <si>
    <t>PP-TOWLB-CAB-LG-6SETL</t>
  </si>
  <si>
    <t>PP-TOWLB-CAB-XL-4SET-BLUE</t>
  </si>
  <si>
    <t>PP-TOWLB-CAB-XL-4SET-ORANGE</t>
  </si>
  <si>
    <t>PP-TOWLB-CAB-XL-4SETA-R</t>
  </si>
  <si>
    <t>PP-TOWLB-CAB-XL-4SETE-R</t>
  </si>
  <si>
    <t>PP-TOWLB-CAB-XL-4SETF-R</t>
  </si>
  <si>
    <t>PP-TOWLB-CAB-XL-4SETG</t>
  </si>
  <si>
    <t>PP-TOWLB-CAB-XL-4SETH</t>
  </si>
  <si>
    <t>PP-TOWLB-CAB-XL-4SETK</t>
  </si>
  <si>
    <t>PP-TOWLB-CAB-XL-4SETL</t>
  </si>
  <si>
    <t>PP-TOWLB-CAB-XL-4SETM</t>
  </si>
  <si>
    <t>PP-TOWLB-CAB-XL-4SETN</t>
  </si>
  <si>
    <t>PP-TOWLB-CAB-XL-4SETO</t>
  </si>
  <si>
    <t>PP-TOWLB-CAB-XL-6SET-BLUE</t>
  </si>
  <si>
    <t>PP-TOWLB-CAB-XL-6SET-PINK</t>
  </si>
  <si>
    <t>PP-TOWLB-CAB-XL-6SET-R</t>
  </si>
  <si>
    <t>PP-TOWLB-CAB-XL-6SETJ</t>
  </si>
  <si>
    <t>PP-TOWLB-CAB-XL-6SETK</t>
  </si>
  <si>
    <t>PP-TOWLB-CAB-XL-6SETL</t>
  </si>
  <si>
    <t>TEATWL-MD-2SETC</t>
  </si>
  <si>
    <t>TEATWL-MD-3SET-BERRYGD</t>
  </si>
  <si>
    <t>TEATWL-MD-3SET-HOTSTF</t>
  </si>
  <si>
    <t>TEATWL-MD-3SET-MOJMNT</t>
  </si>
  <si>
    <t>TEATWL-MD-3SET-PNKLEM</t>
  </si>
  <si>
    <t>TEATWL-MD-3SET-SPILTEA</t>
  </si>
  <si>
    <t>TEATWL-MD-3SET-WASHDRY</t>
  </si>
  <si>
    <t>TEATWL-MD-4SETB</t>
  </si>
  <si>
    <t>TEATWL-MD-BERRYGD</t>
  </si>
  <si>
    <t>TEATWL-MD-HOTSTF</t>
  </si>
  <si>
    <t>TEATWL-MD-MOJMNT</t>
  </si>
  <si>
    <t>TEATWL-MD-PNKLEM</t>
  </si>
  <si>
    <t>TEATWL-MD-SPILTEA</t>
  </si>
  <si>
    <t>TEATWL-MD-WASHDRY</t>
  </si>
  <si>
    <t>TOWLB-CAB-LG-BLACK-R</t>
  </si>
  <si>
    <t>TOWLB-CAB-LG-KHAKI-R</t>
  </si>
  <si>
    <t>TOWLB-CAB-LG-LTGRY-R</t>
  </si>
  <si>
    <t>TOWLB-CAB-LG-RED-R</t>
  </si>
  <si>
    <t>TOWLB-CAB-X2-LTPNK</t>
  </si>
  <si>
    <t>TOWLB-CAB-X2-NAVY</t>
  </si>
  <si>
    <t>TOWLB-CAB-XL-BLACK-R</t>
  </si>
  <si>
    <t>TOWLB-CAB-XL-KHAKI-R</t>
  </si>
  <si>
    <t>TOWLB-CAB-XL-LTGRY-R</t>
  </si>
  <si>
    <t>TOWLB-CAB-XL-RED-R</t>
  </si>
  <si>
    <t>TOWLF-ESS-SM-BLUE-R</t>
  </si>
  <si>
    <t>TOWLH-CBH-LG-CREAM</t>
  </si>
  <si>
    <t>TOWLH-CBH-LG-FOAM</t>
  </si>
  <si>
    <t>TOWLH-CBH-LG-NAVY</t>
  </si>
  <si>
    <t>TOWLH-CBH-LG-PINK</t>
  </si>
  <si>
    <t>TOWLH-CBH-SM-CREAM</t>
  </si>
  <si>
    <t>TOWLH-CBH-SM-FOAM</t>
  </si>
  <si>
    <t>TOWLH-CBH-SM-NAVY</t>
  </si>
  <si>
    <t>TOWLH-CBH-SM-PINK</t>
  </si>
  <si>
    <t>TOWLH-CBH-XL-CREAM</t>
  </si>
  <si>
    <t>TOWLH-CBH-XL-FOAM</t>
  </si>
  <si>
    <t>TOWLH-CBH-XL-NAVY</t>
  </si>
  <si>
    <t>TOWLH-CBH-XL-PINK</t>
  </si>
  <si>
    <t>TOWLH-CLA-LG-NAVY</t>
  </si>
  <si>
    <t>TOWLH-CLA-LG-WHITE</t>
  </si>
  <si>
    <t>TOWLH-CLA-SM-NAVY</t>
  </si>
  <si>
    <t>TOWLH-CLA-SM-WHITE</t>
  </si>
  <si>
    <t>TOWLH-CLA-XL-NAVY</t>
  </si>
  <si>
    <t>TOWLH-CLA-XL-WHITE</t>
  </si>
  <si>
    <t>ACTIVE-LAR-BLUE</t>
  </si>
  <si>
    <t>ACTIVE-LAR-GREEN</t>
  </si>
  <si>
    <t>ACTIVE-LAR-GREY</t>
  </si>
  <si>
    <t>ACTIVE-LAR-ORANGE</t>
  </si>
  <si>
    <t>ACTIVE-LAR-PINK</t>
  </si>
  <si>
    <t>ACTIVE-LAR-RED</t>
  </si>
  <si>
    <t>ACTIVE-SML-4SET</t>
  </si>
  <si>
    <t>ACTIVE-SML-5SET</t>
  </si>
  <si>
    <t>ACTIVE-SML-BLUE</t>
  </si>
  <si>
    <t>ACTIVE-SML-GREEN</t>
  </si>
  <si>
    <t>ACTIVE-SML-GREY</t>
  </si>
  <si>
    <t>ACTIVE-SML-PINK</t>
  </si>
  <si>
    <t>ACTIVE-SML-RED</t>
  </si>
  <si>
    <t>ACTIVE-XLG-4SET</t>
  </si>
  <si>
    <t>ACTIVE-XLG-5SET</t>
  </si>
  <si>
    <t>ACTIVE-XLG-BLUE</t>
  </si>
  <si>
    <t>ACTIVE-XLG-GREEN</t>
  </si>
  <si>
    <t>ACTIVE-XLG-ORANGE</t>
  </si>
  <si>
    <t>ACTIVE-XLG-PINK</t>
  </si>
  <si>
    <t>ACTIVE-XLG-RED</t>
  </si>
  <si>
    <t>BABIATOR-MD-LTPCH</t>
  </si>
  <si>
    <t>Sunglasses</t>
  </si>
  <si>
    <t>BABIATOR-MD-LTPNK</t>
  </si>
  <si>
    <t>BABIATOR-MD-NAVY</t>
  </si>
  <si>
    <t>BABIATOR-MD-SQUIG</t>
  </si>
  <si>
    <t>BABIATOR-SM-LTPCH</t>
  </si>
  <si>
    <t>BABIATOR-SM-LTPNK</t>
  </si>
  <si>
    <t>BABIATOR-SM-NAVY</t>
  </si>
  <si>
    <t>BABIATOR-SM-SQUIG</t>
  </si>
  <si>
    <t>BAGF-KID-MD-SQUIG</t>
  </si>
  <si>
    <t>BAGF-MD-4PAK-GETWAV</t>
  </si>
  <si>
    <t>BAGF-MD-4PAK-LTPNK</t>
  </si>
  <si>
    <t>BAGF-MD-4PAK-NAVY</t>
  </si>
  <si>
    <t>BAGF-MD-4PAK-UNICN</t>
  </si>
  <si>
    <t>BAGF-MD-4SETA</t>
  </si>
  <si>
    <t>BAGF-MD-5SETA</t>
  </si>
  <si>
    <t>BAGF-MD-TERATROP</t>
  </si>
  <si>
    <t>BAGF-SGW-MD-GETWAV</t>
  </si>
  <si>
    <t>BOTTL-CAB-LTPNK</t>
  </si>
  <si>
    <t>BOTTL-CAB-XLSET-LTBLU</t>
  </si>
  <si>
    <t>BOTTL-CAB-XLSET-LTGRE</t>
  </si>
  <si>
    <t>BOTTL-CAB-XLSET-LTPNK</t>
  </si>
  <si>
    <t>BOTTL-CAB-XLSET-NAVY</t>
  </si>
  <si>
    <t>BOTTL-SUM-UNICN</t>
  </si>
  <si>
    <t>BOTTL-SUM-XLSET-UNICN</t>
  </si>
  <si>
    <t>BUNDLE-ATHL-BLUE1</t>
  </si>
  <si>
    <t>BUNDLE-ATHL-GREY1</t>
  </si>
  <si>
    <t>BUNDLE-ATHL-PINK1</t>
  </si>
  <si>
    <t>BUNDLE-BABIATOR-MD-LTPCH-TOWLB-SUM-MD-UNICN</t>
  </si>
  <si>
    <t>BUNDLE-BABIATOR-MD-LTPNK-TOWLB-CAB-MD-LTPNK</t>
  </si>
  <si>
    <t>BUNDLE-BABIATOR-MD-NAVY-TOWLB-CAB-MD-NAVY</t>
  </si>
  <si>
    <t>BUNDLE-BABIATOR-MD-SQUIG-TOWLB-KID-MD-SQUIG</t>
  </si>
  <si>
    <t>BUNDLE-BABIATOR-SM-LTPCH-TOWLB-SUM-MD-UNICN</t>
  </si>
  <si>
    <t>BUNDLE-BABIATOR-SM-LTPNK-TOWLB-CAB-MD-LTPNK</t>
  </si>
  <si>
    <t>BUNDLE-BABIATOR-SM-NAVY-TOWLB-CAB-MD-NAVY</t>
  </si>
  <si>
    <t>BUNDLE-BABIATOR-SM-SQUIG-TOWLB-KID-MD-SQUIG</t>
  </si>
  <si>
    <t>BUNDLE-BAGF-TOWLB-DES-LIFELEM</t>
  </si>
  <si>
    <t>BUNDLE-BAGF-TOWLB-DES-MARINDRM</t>
  </si>
  <si>
    <t>BUNDLE-BAGF-TOWLB-DES-TERATROP</t>
  </si>
  <si>
    <t>BUNDLE-BAGF-TOWLB-KID-SQUIG</t>
  </si>
  <si>
    <t>BUNDLE-BAGF-TOWLB-SGW-GETWAV</t>
  </si>
  <si>
    <t>BUNDLE-BEACH-KIT-PICNIC-CAB-LG-LTBGE-SETA</t>
  </si>
  <si>
    <t>BUNDLE-BEACH-KIT-PICNIC-CAB-LG-LTBGE-SETB</t>
  </si>
  <si>
    <t>BUNDLE-BEACH-KIT-PICNIC-CAB-LG-LTBGE-SETC</t>
  </si>
  <si>
    <t>BUNDLE-BEACH-KIT-PICNIC-CAB-LG-LTBGE-SETD</t>
  </si>
  <si>
    <t>BUNDLE-BEACH-KIT-PICNIC-CAB-LG-NAVY-SETA</t>
  </si>
  <si>
    <t>BUNDLE-BEACH-KIT-PICNIC-CAB-LG-NAVY-SETB</t>
  </si>
  <si>
    <t>BUNDLE-BEACH-KIT-PICNIC-CAB-LG-NAVY-SETC</t>
  </si>
  <si>
    <t>BUNDLE-BEACH-KIT-PICNIC-CAB-LG-NAVY-SETD</t>
  </si>
  <si>
    <t>BUNDLE-BEACH-KIT-PICNIC-CAB-LG-NAVY-SETE</t>
  </si>
  <si>
    <t>BUNDLE-BEACH-KIT-PICNIC-CAB-LG-NAVY-SETF</t>
  </si>
  <si>
    <t>BUNDLE-BEACH-KIT-PICNIC-CAB-LG-NAVY-SETG</t>
  </si>
  <si>
    <t>BUNDLE-BEACH-KIT-PICNIC-CAB-LG-NAVY-SETH</t>
  </si>
  <si>
    <t>BUNDLE-BEACH-KIT-PICNIC-CAB-XL-LTBGE-SETA</t>
  </si>
  <si>
    <t>BUNDLE-BEACH-KIT-PICNIC-CAB-XL-LTBGE-SETB</t>
  </si>
  <si>
    <t>BUNDLE-BEACH-KIT-PICNIC-CAB-XL-LTBGE-SETC</t>
  </si>
  <si>
    <t>BUNDLE-BEACH-KIT-PICNIC-CAB-XL-LTBGE-SETD</t>
  </si>
  <si>
    <t>BUNDLE-BEACH-KIT-PICNIC-CAB-XL-NAVY-SETA</t>
  </si>
  <si>
    <t>BUNDLE-BEACH-KIT-PICNIC-CAB-XL-NAVY-SETB</t>
  </si>
  <si>
    <t>BUNDLE-BEACH-KIT-PICNIC-CAB-XL-NAVY-SETC</t>
  </si>
  <si>
    <t>BUNDLE-BEACH-KIT-PICNIC-CAB-XL-NAVY-SETD</t>
  </si>
  <si>
    <t>BUNDLE-BEACH-KIT-PICNIC-CAB-XL-NAVY-SETE</t>
  </si>
  <si>
    <t>BUNDLE-BEACH-KIT-PICNIC-CAB-XL-NAVY-SETF</t>
  </si>
  <si>
    <t>BUNDLE-BEACH-KIT-PICNIC-CAB-XL-NAVY-SETG</t>
  </si>
  <si>
    <t>BUNDLE-BEACH-KIT-PICNIC-CAB-XL-NAVY-SETH</t>
  </si>
  <si>
    <t>BUNDLE-BEACH-KIT-PICNIC-GIN-LG-BLUE-SETA</t>
  </si>
  <si>
    <t>BUNDLE-BEACH-KIT-PICNIC-GIN-LG-BLUE-SETB</t>
  </si>
  <si>
    <t>BUNDLE-BEACH-KIT-PICNIC-GIN-LG-BLUE-SETC</t>
  </si>
  <si>
    <t>BUNDLE-BEACH-KIT-PICNIC-GIN-LG-BLUE-SETD</t>
  </si>
  <si>
    <t>BUNDLE-BEACH-KIT-PICNIC-GIN-LG-BLUE-SETE</t>
  </si>
  <si>
    <t>BUNDLE-BEACH-KIT-PICNIC-GIN-LG-PINK-SETA</t>
  </si>
  <si>
    <t>BUNDLE-BEACH-KIT-PICNIC-GIN-LG-PINK-SETB</t>
  </si>
  <si>
    <t>BUNDLE-BEACH-KIT-PICNIC-GIN-LG-PINK-SETC</t>
  </si>
  <si>
    <t>BUNDLE-BEACH-KIT-PICNIC-GIN-LG-PINK-SETD</t>
  </si>
  <si>
    <t>BUNDLE-BEACH-KIT-PICNIC-GIN-LG-PINK-SETE</t>
  </si>
  <si>
    <t>BUNDLE-BEACH-KIT-PICNIC-GIN-LG-PINK-SETF</t>
  </si>
  <si>
    <t>BUNDLE-BEACH-KIT-PICNIC-GIN-XL-BLUE-SETA</t>
  </si>
  <si>
    <t>BUNDLE-BEACH-KIT-PICNIC-GIN-XL-BLUE-SETB</t>
  </si>
  <si>
    <t>BUNDLE-BEACH-KIT-PICNIC-GIN-XL-BLUE-SETC</t>
  </si>
  <si>
    <t>BUNDLE-BEACH-KIT-PICNIC-GIN-XL-BLUE-SETD</t>
  </si>
  <si>
    <t>BUNDLE-BEACH-KIT-PICNIC-GIN-XL-BLUE-SETE</t>
  </si>
  <si>
    <t>BUNDLE-BEACH-KIT-PICNIC-GIN-XL-PINK-SETA</t>
  </si>
  <si>
    <t>BUNDLE-BEACH-KIT-PICNIC-GIN-XL-PINK-SETB</t>
  </si>
  <si>
    <t>BUNDLE-BEACH-KIT-PICNIC-GIN-XL-PINK-SETC</t>
  </si>
  <si>
    <t>BUNDLE-BEACH-KIT-PICNIC-GIN-XL-PINK-SETD</t>
  </si>
  <si>
    <t>BUNDLE-BEACH-KIT-PICNIC-GIN-XL-PINK-SETE</t>
  </si>
  <si>
    <t>BUNDLE-BEACH-KIT-PICNIC-GIN-XL-PINK-SETF</t>
  </si>
  <si>
    <t>BUNDLE-BEACH-KIT-PICNIC-SGW-LG-GETWAV-SETA</t>
  </si>
  <si>
    <t>BUNDLE-BEACH-KIT-PICNIC-SGW-LG-GETWAV-SETB</t>
  </si>
  <si>
    <t>BUNDLE-BEACH-KIT-PICNIC-SGW-LG-GETWAV-SETC</t>
  </si>
  <si>
    <t>BUNDLE-BEACH-KIT-PICNIC-SGW-LG-GETWAV-SETD</t>
  </si>
  <si>
    <t>BUNDLE-BEACH-KIT-PICNIC-SGW-XL-GETWAV-SETA</t>
  </si>
  <si>
    <t>BUNDLE-BEACH-KIT-PICNIC-SGW-XL-GETWAV-SETB</t>
  </si>
  <si>
    <t>BUNDLE-BEACH-KIT-PICNIC-SGW-XL-GETWAV-SETC</t>
  </si>
  <si>
    <t>BUNDLE-BEACH-KIT-PICNIC-SGW-XL-GETWAV-SETD</t>
  </si>
  <si>
    <t>BUNDLE-BEACH-KIT-TOWLB-CAB-X2-LTPNK-LG-SETA</t>
  </si>
  <si>
    <t>BUNDLE-BEACH-KIT-TOWLB-CAB-X2-LTPNK-LG-SETB</t>
  </si>
  <si>
    <t>BUNDLE-BEACH-KIT-TOWLB-CAB-X2-LTPNK-LG-SETC</t>
  </si>
  <si>
    <t>BUNDLE-BEACH-KIT-TOWLB-CAB-X2-LTPNK-LG-SETD</t>
  </si>
  <si>
    <t>BUNDLE-BEACH-KIT-TOWLB-CAB-X2-LTPNK-LG-SETE</t>
  </si>
  <si>
    <t>BUNDLE-BEACH-KIT-TOWLB-CAB-X2-LTPNK-XL-SETA</t>
  </si>
  <si>
    <t>BUNDLE-BEACH-KIT-TOWLB-CAB-X2-LTPNK-XL-SETB</t>
  </si>
  <si>
    <t>BUNDLE-BEACH-KIT-TOWLB-CAB-X2-LTPNK-XL-SETC</t>
  </si>
  <si>
    <t>BUNDLE-BEACH-KIT-TOWLB-CAB-X2-LTPNK-XL-SETD</t>
  </si>
  <si>
    <t>BUNDLE-BEACH-KIT-TOWLB-CAB-X2-LTPNK-XL-SETE</t>
  </si>
  <si>
    <t>BUNDLE-BEACH-KIT-TOWLB-CAB-X2-NAVY-LG-SETA</t>
  </si>
  <si>
    <t>BUNDLE-BEACH-KIT-TOWLB-CAB-X2-NAVY-LG-SETB</t>
  </si>
  <si>
    <t>BUNDLE-BEACH-KIT-TOWLB-CAB-X2-NAVY-LG-SETC</t>
  </si>
  <si>
    <t>BUNDLE-BEACH-KIT-TOWLB-CAB-X2-NAVY-LG-SETD</t>
  </si>
  <si>
    <t>BUNDLE-BEACH-KIT-TOWLB-CAB-X2-NAVY-LG-SETE</t>
  </si>
  <si>
    <t>BUNDLE-BEACH-KIT-TOWLB-CAB-X2-NAVY-LG-SETF</t>
  </si>
  <si>
    <t>BUNDLE-BEACH-KIT-TOWLB-CAB-X2-NAVY-LG-SETG</t>
  </si>
  <si>
    <t>BUNDLE-BEACH-KIT-TOWLB-CAB-X2-NAVY-XL-SETA</t>
  </si>
  <si>
    <t>BUNDLE-BEACH-KIT-TOWLB-CAB-X2-NAVY-XL-SETB</t>
  </si>
  <si>
    <t>BUNDLE-BEACH-KIT-TOWLB-CAB-X2-NAVY-XL-SETC</t>
  </si>
  <si>
    <t>BUNDLE-BEACH-KIT-TOWLB-CAB-X2-NAVY-XL-SETD</t>
  </si>
  <si>
    <t>BUNDLE-BEACH-KIT-TOWLB-CAB-X2-NAVY-XL-SETE</t>
  </si>
  <si>
    <t>BUNDLE-BEACH-KIT-TOWLB-CAB-X2-NAVY-XL-SETF</t>
  </si>
  <si>
    <t>BUNDLE-BEACH-KIT-TOWLB-CAB-X2-NAVY-XL-SETG</t>
  </si>
  <si>
    <t>BUNDLE-BEACH-KIT-TOWLB-SUM-X2-UNICN-LG-SETA</t>
  </si>
  <si>
    <t>BUNDLE-BEACH-KIT-TOWLB-SUM-X2-UNICN-LG-SETB</t>
  </si>
  <si>
    <t>BUNDLE-BEACH-KIT-TOWLB-SUM-X2-UNICN-LG-SETC</t>
  </si>
  <si>
    <t>BUNDLE-BEACH-KIT-TOWLB-SUM-X2-UNICN-LG-SETD</t>
  </si>
  <si>
    <t>BUNDLE-BEACH-KIT-TOWLB-SUM-X2-UNICN-LG-SETE</t>
  </si>
  <si>
    <t>BUNDLE-BEACH-KIT-TOWLB-SUM-X2-UNICN-XL-SETA</t>
  </si>
  <si>
    <t>BUNDLE-BEACH-KIT-TOWLB-SUM-X2-UNICN-XL-SETB</t>
  </si>
  <si>
    <t>BUNDLE-BEACH-KIT-TOWLB-SUM-X2-UNICN-XL-SETC</t>
  </si>
  <si>
    <t>BUNDLE-BEACH-KIT-TOWLB-SUM-X2-UNICN-XL-SETD</t>
  </si>
  <si>
    <t>BUNDLE-BEACH-KIT-TOWLB-SUM-X2-UNICN-XL-SETE</t>
  </si>
  <si>
    <t>BUNDLE-BEACH-SETA</t>
  </si>
  <si>
    <t>BUNDLE-BEACH-SETB</t>
  </si>
  <si>
    <t>BUNDLE-BEACH-SETC</t>
  </si>
  <si>
    <t>BUNDLE-BEAUTY-GIFT-MAKUP-HAIRW-CLA-LTBLU</t>
  </si>
  <si>
    <t>BUNDLE-BEAUTY-GIFT-MAKUP-HAIRW-CLA-LTGRN</t>
  </si>
  <si>
    <t>BUNDLE-BEAUTY-GIFT-MAKUP-HAIRW-CLA-LTPNK</t>
  </si>
  <si>
    <t>BUNDLE-CAMP-BLUE1</t>
  </si>
  <si>
    <t>BUNDLE-CAMP-GREEN1</t>
  </si>
  <si>
    <t>BUNDLE-CAMP-SETA</t>
  </si>
  <si>
    <t>BUNDLE-COLLAB-CUBES-TOWLB-LG-LTPPL</t>
  </si>
  <si>
    <t>BUNDLE-FAMILY-LG-BLUEBRIGH</t>
  </si>
  <si>
    <t>BUNDLE-FAMILY-LG-CLCHAOS</t>
  </si>
  <si>
    <t>BUNDLE-FAMILY-TOWLB-CAB-LG-SETA</t>
  </si>
  <si>
    <t>BUNDLE-FAMILY-TOWLB-CAB-LG-SETB</t>
  </si>
  <si>
    <t>BUNDLE-FAMILY-TOWLB-CAB-XL-SETA</t>
  </si>
  <si>
    <t>BUNDLE-FAMILY-TOWLB-CAB-XL-SETB</t>
  </si>
  <si>
    <t>BUNDLE-FAMILY-TOWLB-SUM-LG-UNICN</t>
  </si>
  <si>
    <t>BUNDLE-FAMILY-TOWLB-SUM-XL-UNICN</t>
  </si>
  <si>
    <t>BUNDLE-FITNESS-LG-PKPERF</t>
  </si>
  <si>
    <t>BUNDLE-HAIRW-MAKUP-CAB-LTPNK</t>
  </si>
  <si>
    <t>BUNDLE-HAIRW-MAKUP-HOM-LTBLU</t>
  </si>
  <si>
    <t>BUNDLE-HAIRW-MAKUP-HOM-LTGRN</t>
  </si>
  <si>
    <t>BUNDLE-HAIRW-MAKUP-HOM-LTPNK</t>
  </si>
  <si>
    <t>BUNDLE-HAIRW-MAKUP-HOM-NAVY</t>
  </si>
  <si>
    <t>BUNDLE-HAIRW-MAKUP-HOM-TERRA</t>
  </si>
  <si>
    <t>BUNDLE-HAIRW-TOWLB-ANI-COW</t>
  </si>
  <si>
    <t>BUNDLE-HAIRW-TOWLB-ANI-DALMA</t>
  </si>
  <si>
    <t>BUNDLE-HAIRW-TOWLB-ANI-LEOPD</t>
  </si>
  <si>
    <t>BUNDLE-HAIRW-TOWLB-ANI-SNAKE</t>
  </si>
  <si>
    <t>BUNDLE-HAIRW-TOWLB-ANI-TIGER</t>
  </si>
  <si>
    <t>BUNDLE-HAIRW-TOWLB-BOT-BANA</t>
  </si>
  <si>
    <t>BUNDLE-HAIRW-TOWLB-BOT-HIBI</t>
  </si>
  <si>
    <t>BUNDLE-HAIRW-TOWLB-BOT-ORCH</t>
  </si>
  <si>
    <t>BUNDLE-HAIRW-TOWLB-BOT-PALM</t>
  </si>
  <si>
    <t>BUNDLE-HAIRW-TOWLB-BOT-PARA</t>
  </si>
  <si>
    <t>BUNDLE-HAIRW-TOWLB-CAB-LTBGE</t>
  </si>
  <si>
    <t>BUNDLE-HAIRW-TOWLB-CAB-LTBLU</t>
  </si>
  <si>
    <t>BUNDLE-HAIRW-TOWLB-CAB-LTGRE</t>
  </si>
  <si>
    <t>BUNDLE-HAIRW-TOWLB-CAB-LTGRY</t>
  </si>
  <si>
    <t>BUNDLE-HAIRW-TOWLB-CAB-LTPCH</t>
  </si>
  <si>
    <t>BUNDLE-HAIRW-TOWLB-CAB-LTPNK</t>
  </si>
  <si>
    <t>BUNDLE-HAIRW-TOWLB-CAB-LTPPL</t>
  </si>
  <si>
    <t>BUNDLE-HAIRW-TOWLB-CAB-NAVY</t>
  </si>
  <si>
    <t>BUNDLE-HAIRW-TOWLB-FLO-BLOOM</t>
  </si>
  <si>
    <t>BUNDLE-HAIRW-TOWLB-FLO-DAISY</t>
  </si>
  <si>
    <t>BUNDLE-HAIRW-TOWLB-FLO-PALM</t>
  </si>
  <si>
    <t>BUNDLE-HAIRW-TOWLB-FLO-SUNFL</t>
  </si>
  <si>
    <t>BUNDLE-HAIRW-TOWLB-SUM-UNICN</t>
  </si>
  <si>
    <t>BUNDLE-HAIRW-TOWLH-HID-BLACK</t>
  </si>
  <si>
    <t>BUNDLE-HAIRW-TOWLH-HID-BLUE</t>
  </si>
  <si>
    <t>BUNDLE-HAIRW-TOWLH-HID-GREEN</t>
  </si>
  <si>
    <t>BUNDLE-HAIRW-TOWLH-HID-PINK</t>
  </si>
  <si>
    <t>BUNDLE-HAIRW-TOWLH-HOM-LTBLU</t>
  </si>
  <si>
    <t>BUNDLE-HAIRW-TOWLH-HOM-LTGRN</t>
  </si>
  <si>
    <t>BUNDLE-HAIRW-TOWLH-HOM-LTPNK</t>
  </si>
  <si>
    <t>BUNDLE-HAIRW-TOWLH-HOM-NAVY</t>
  </si>
  <si>
    <t>BUNDLE-HAIRW-TOWLH-HOM-TERRA</t>
  </si>
  <si>
    <t>BUNDLE-HAIRW-TOWLH-HOM-WHITE</t>
  </si>
  <si>
    <t>BUNDLE-HAIRW-TOWLH-RET-CONG</t>
  </si>
  <si>
    <t>BUNDLE-HAIRW-TOWLH-RET-MONT</t>
  </si>
  <si>
    <t>BUNDLE-HAIRW-TOWLH-RET-SANT</t>
  </si>
  <si>
    <t>BUNDLE-HAIRW-TOWLH-RET-SAPO</t>
  </si>
  <si>
    <t>BUNDLE-HAIRW-TOWLH-RET-SINH</t>
  </si>
  <si>
    <t>BUNDLE-JETSET-LG-FREQFLY</t>
  </si>
  <si>
    <t>BUNDLE-MAKUP-HOM-LTBLU-TOWLB-CAB-XL-LTBLU</t>
  </si>
  <si>
    <t>BUNDLE-MAKUP-HOM-LTGRN-TOWLB-CAB-XL-LTGRE</t>
  </si>
  <si>
    <t>BUNDLE-MAKUP-HOM-LTPNK-TOWLB-CAB-XL-LTPNK</t>
  </si>
  <si>
    <t>BUNDLE-MAKUP-HOM-NAVY-TOWLB-CAB-XL-NAVY</t>
  </si>
  <si>
    <t>BUNDLE-MAKUP-HOM-TERRA-TOWLB-CAB-XL-ORANGE</t>
  </si>
  <si>
    <t>BUNDLE-PAIRS-LG-CHKMATE</t>
  </si>
  <si>
    <t>BUNDLE-PICNIC-BOT-PALM-TOWLB-BOT-A-LG</t>
  </si>
  <si>
    <t>BUNDLE-PICNIC-BOT-PALM-TOWLB-BOT-B-XL</t>
  </si>
  <si>
    <t>BUNDLE-PICNIC-BOT-PALM-TOWLB-CAB-C-LG</t>
  </si>
  <si>
    <t>BUNDLE-PICNIC-BOT-PALM-TOWLB-CAB-C-XL</t>
  </si>
  <si>
    <t>BUNDLE-PICNIC-CAB-LTBGE-TOWLB-CAB-A-LG</t>
  </si>
  <si>
    <t>BUNDLE-PICNIC-CAB-LTBGE-TOWLB-CAB-A-XL</t>
  </si>
  <si>
    <t>BUNDLE-PICNIC-CAB-LTBGE-TOWLB-CAB-B-LG</t>
  </si>
  <si>
    <t>BUNDLE-PICNIC-CAB-LTBGE-TOWLB-CAB-B-XL</t>
  </si>
  <si>
    <t>BUNDLE-PICNIC-FAMILY-LGXL-GETWAV-SETA</t>
  </si>
  <si>
    <t>BUNDLE-PICNIC-FAMILY-LGXL-GETWAV-SETB</t>
  </si>
  <si>
    <t>BUNDLE-PICNIC-FAMILY-LGXL-GETWAV-SETC</t>
  </si>
  <si>
    <t>BUNDLE-PICNIC-FAMILY-LGXL-GETWAV-SETD</t>
  </si>
  <si>
    <t>BUNDLE-PICNIC-FAMILY-LGXL-GIN-PINK-SETA</t>
  </si>
  <si>
    <t>BUNDLE-PICNIC-FAMILY-LGXL-GIN-PINK-SETB</t>
  </si>
  <si>
    <t>BUNDLE-PICNIC-FAMILY-LGXL-GIN-PINK-SETC</t>
  </si>
  <si>
    <t>BUNDLE-PICNIC-FAMILY-LGXL-GIN-PINK-SETD</t>
  </si>
  <si>
    <t>BUNDLE-PICNIC-FAMILY-LGXL-GIN-PINK-SETE</t>
  </si>
  <si>
    <t>BUNDLE-PICNIC-FAMILY-LGXL-NAVY-SETA</t>
  </si>
  <si>
    <t>BUNDLE-PICNIC-FAMILY-LGXL-NAVY-SETB</t>
  </si>
  <si>
    <t>BUNDLE-PICNIC-FAMILY-LGXL-NAVY-SETC</t>
  </si>
  <si>
    <t>BUNDLE-PICNIC-FAMILY-LGXL-NAVY-SETD</t>
  </si>
  <si>
    <t>BUNDLE-PICNIC-FAMILY-LGXL-NAVY-SETE</t>
  </si>
  <si>
    <t>BUNDLE-PICNIC-FAMILY-LGXL-NAVY-SETF</t>
  </si>
  <si>
    <t>BUNDLE-PICNIC-FAMILY-LGXL-NAVY-SETG</t>
  </si>
  <si>
    <t>BUNDLE-PICNIC-FAMILY-MDLG-GETWAV-SETA</t>
  </si>
  <si>
    <t>BUNDLE-PICNIC-FAMILY-MDLG-GETWAV-SETB</t>
  </si>
  <si>
    <t>BUNDLE-PICNIC-FAMILY-MDLG-GETWAV-SETC</t>
  </si>
  <si>
    <t>BUNDLE-PICNIC-FAMILY-MDLG-GETWAV-SETD</t>
  </si>
  <si>
    <t>BUNDLE-PICNIC-FAMILY-MDLG-GIN-PINK-SETB</t>
  </si>
  <si>
    <t>BUNDLE-PICNIC-FAMILY-MDLG-GIN-PINK-SETC</t>
  </si>
  <si>
    <t>BUNDLE-PICNIC-FAMILY-MDLG-GIN-PINK-SETD</t>
  </si>
  <si>
    <t>BUNDLE-PICNIC-FAMILY-MDLG-GIN-PINK-SETE</t>
  </si>
  <si>
    <t>BUNDLE-PICNIC-FAMILY-MDLG-NAVY-SETA</t>
  </si>
  <si>
    <t>BUNDLE-PICNIC-FAMILY-MDLG-NAVY-SETB</t>
  </si>
  <si>
    <t>BUNDLE-PICNIC-FAMILY-MDLG-NAVY-SETC</t>
  </si>
  <si>
    <t>BUNDLE-PICNIC-FAMILY-MDLG-NAVY-SETD</t>
  </si>
  <si>
    <t>BUNDLE-PICNIC-FAMILY-MDLG-NAVY-SETE</t>
  </si>
  <si>
    <t>BUNDLE-PICNIC-FAMILY-MDLG-NAVY-SETF</t>
  </si>
  <si>
    <t>BUNDLE-PICNIC-FAMILY-MDLG-NAVY-SETG</t>
  </si>
  <si>
    <t>BUNDLE-PICNIC-GIN-BLUE-TOWLB-CAB-A-LG</t>
  </si>
  <si>
    <t>BUNDLE-PICNIC-GIN-BLUE-TOWLB-CAB-A-XL</t>
  </si>
  <si>
    <t>BUNDLE-PICNIC-GIN-BLUE-TOWLB-CAB-B-LG</t>
  </si>
  <si>
    <t>BUNDLE-PICNIC-GIN-BLUE-TOWLB-CAB-B-XL</t>
  </si>
  <si>
    <t>BUNDLE-PICNIC-GIN-PINK-TOWLB-CAB-A-LG</t>
  </si>
  <si>
    <t>BUNDLE-PICNIC-GIN-PINK-TOWLB-CAB-A-XL</t>
  </si>
  <si>
    <t>BUNDLE-PICNIC-GIN-PINK-TOWLB-CAB-B-LG</t>
  </si>
  <si>
    <t>BUNDLE-PICNIC-GIN-PINK-TOWLB-CAB-B-XL</t>
  </si>
  <si>
    <t>BUNDLE-PICNIC-LG-FORECAST</t>
  </si>
  <si>
    <t>BUNDLE-PICNIC-LG-STRHYPE</t>
  </si>
  <si>
    <t>BUNDLE-PICNIC-SGW-TOWLB-SGW-A-LG</t>
  </si>
  <si>
    <t>BUNDLE-PICNIC-SGW-TOWLB-SGW-A-XL</t>
  </si>
  <si>
    <t>BUNDLE-PICNIC-SGW-TOWLB-SUM-B-LG</t>
  </si>
  <si>
    <t>BUNDLE-PICNIC-SGW-TOWLB-SUM-B-XL</t>
  </si>
  <si>
    <t>BUNDLE-ROBE-HAIRW-CLA-WHITE</t>
  </si>
  <si>
    <t>BUNDLE-ROBE-HAIRW-RET-MONT</t>
  </si>
  <si>
    <t>BUNDLE-ROBE-HAIRW-RET-SINH</t>
  </si>
  <si>
    <t>BUNDLE-ROBE-HAIRW-TOWLH-LG-CLA-NAVY</t>
  </si>
  <si>
    <t>BUNDLE-ROBE-HAIRW-TOWLH-LG-CLA-WHITE</t>
  </si>
  <si>
    <t>BUNDLE-ROBE-HAIRW-TOWLH-LG-RET-MONT</t>
  </si>
  <si>
    <t>BUNDLE-ROBE-HAIRW-TOWLH-LG-RET-SINH</t>
  </si>
  <si>
    <t>BUNDLE-SELF-LTBLU1</t>
  </si>
  <si>
    <t>BUNDLE-SELF-NAVY1</t>
  </si>
  <si>
    <t>BUNDLE-SELF-TERRA1</t>
  </si>
  <si>
    <t>BUNDLE-STRP-SETA</t>
  </si>
  <si>
    <t>BUNDLE-STRP-SETB</t>
  </si>
  <si>
    <t>BUNDLE-STRP-SETC</t>
  </si>
  <si>
    <t>BUNDLE-STRP-SETD</t>
  </si>
  <si>
    <t>BUNDLE-SWIM-SETA</t>
  </si>
  <si>
    <t>BUNDLE-SWIM-SETB</t>
  </si>
  <si>
    <t>BUNDLE-SWIM-SETC</t>
  </si>
  <si>
    <t>BUNDLE-TOWLB-CAB-LTPNK-X2-SETA</t>
  </si>
  <si>
    <t>BUNDLE-TOWLB-CAB-LTPNK-X2-SETB</t>
  </si>
  <si>
    <t>BUNDLE-TOWLB-CAB-LTPNK-X2-SETC</t>
  </si>
  <si>
    <t>BUNDLE-TOWLB-CAB-LTPNK-X2-SETD</t>
  </si>
  <si>
    <t>BUNDLE-TOWLB-CAB-LTPNK-X2-SETE</t>
  </si>
  <si>
    <t>BUNDLE-TOWLB-CAB-NAVY-X2-SETB</t>
  </si>
  <si>
    <t>BUNDLE-TOWLB-CAB-NAVY-X2-SETC</t>
  </si>
  <si>
    <t>BUNDLE-TOWLB-CAB-NAVY-X2-SETD</t>
  </si>
  <si>
    <t>BUNDLE-TOWLB-CAB-NAVY-X2-SETE</t>
  </si>
  <si>
    <t>BUNDLE-TOWLB-CAB-NAVY-X2-SETF</t>
  </si>
  <si>
    <t>BUNDLE-TOWLB-CAB-NAVY-X2-SETG</t>
  </si>
  <si>
    <t>BUNDLE-TOWLB-SUM-UNICN-X2-SETB</t>
  </si>
  <si>
    <t>BUNDLE-TOWLB-SUM-UNICN-X2-SETC</t>
  </si>
  <si>
    <t>BUNDLE-TOWLB-SUM-UNICN-X2-SETD</t>
  </si>
  <si>
    <t>BUNDLE-TOWLB-SUM-UNICN-X2-SETE</t>
  </si>
  <si>
    <t>BUNDLE-TOWLH-MAKUP-HAIRW-HOM-LTBLU</t>
  </si>
  <si>
    <t>BUNDLE-TOWLH-MAKUP-HAIRW-HOM-LTGRN</t>
  </si>
  <si>
    <t>BUNDLE-TOWLH-MAKUP-HAIRW-HOM-LTPNK</t>
  </si>
  <si>
    <t>BUNDLE-TOWLH-MAKUP-HAIRW-HOM-NAVY</t>
  </si>
  <si>
    <t>BUNDLE-TOWLH-MAKUP-HAIRW-HOM-TERRA</t>
  </si>
  <si>
    <t>BUNDLE-TRAVEL4-CAB-LG-BLACK-SETA</t>
  </si>
  <si>
    <t>BUNDLE-TRAVEL4-CAB-LG-BLUE-SETA</t>
  </si>
  <si>
    <t>BUNDLE-TRAVEL4-CAB-LG-BLUE-SETB</t>
  </si>
  <si>
    <t>BUNDLE-TRAVEL4-CAB-LG-BLUE-SETC</t>
  </si>
  <si>
    <t>BUNDLE-TRAVEL4-CAB-LG-GREEN-SETA</t>
  </si>
  <si>
    <t>BUNDLE-TRAVEL4-CAB-LG-LTBGE-SETA</t>
  </si>
  <si>
    <t>BUNDLE-TRAVEL4-CAB-LG-LTBGE-SETB</t>
  </si>
  <si>
    <t>BUNDLE-TRAVEL4-CAB-LG-LTBLU-SETA</t>
  </si>
  <si>
    <t>BUNDLE-TRAVEL4-CAB-LG-LTBLU-SETB</t>
  </si>
  <si>
    <t>BUNDLE-TRAVEL4-CAB-LG-LTGRY-SETA</t>
  </si>
  <si>
    <t>BUNDLE-TRAVEL4-CAB-LG-LTGRY-SETB</t>
  </si>
  <si>
    <t>BUNDLE-TRAVEL4-CAB-LG-LTPNK-SETA</t>
  </si>
  <si>
    <t>BUNDLE-TRAVEL4-CAB-LG-LTPNK-SETB</t>
  </si>
  <si>
    <t>BUNDLE-TRAVEL4-CAB-LG-LTPNK-SETC</t>
  </si>
  <si>
    <t>BUNDLE-TRAVEL4-CAB-LG-LTPPL-SETA</t>
  </si>
  <si>
    <t>BUNDLE-TRAVEL4-CAB-LG-LTPPL-SETB</t>
  </si>
  <si>
    <t>BUNDLE-TRAVEL4-CAB-LG-NAVY-SETA</t>
  </si>
  <si>
    <t>BUNDLE-TRAVEL4-CAB-LG-NAVY-SETB</t>
  </si>
  <si>
    <t>BUNDLE-TRAVEL4-CAB-LG-NAVY-SETC</t>
  </si>
  <si>
    <t>BUNDLE-TRAVEL4-CAB-LG-NAVY-SETD</t>
  </si>
  <si>
    <t>BUNDLE-TRAVEL4-CAB-LG-ORANG-SETA</t>
  </si>
  <si>
    <t>BUNDLE-TRAVEL4-CAB-LG-PINK-SETA</t>
  </si>
  <si>
    <t>BUNDLE-TRAVEL4-CAB-LG-PINK-SETB</t>
  </si>
  <si>
    <t>BUNDLE-TRAVEL4-CAB-LG-RED-SETA</t>
  </si>
  <si>
    <t>BUNDLE-TRAVEL4-CAB-LG-RED-SETB</t>
  </si>
  <si>
    <t>BUNDLE-TRAVEL4-CAB-LG-YELLOW-SETA</t>
  </si>
  <si>
    <t>BUNDLE-TRAVEL4-CAB-LG-YELLOW-SETB</t>
  </si>
  <si>
    <t>BUNDLE-TRAVEL4-CAB-XL-BLACK-SETA</t>
  </si>
  <si>
    <t>BUNDLE-TRAVEL4-CAB-XL-BLUE-SETA</t>
  </si>
  <si>
    <t>BUNDLE-TRAVEL4-CAB-XL-BLUE-SETB</t>
  </si>
  <si>
    <t>BUNDLE-TRAVEL4-CAB-XL-BLUE-SETC</t>
  </si>
  <si>
    <t>BUNDLE-TRAVEL4-CAB-XL-GREEN-SETA</t>
  </si>
  <si>
    <t>BUNDLE-TRAVEL4-CAB-XL-LTBGE-SETA</t>
  </si>
  <si>
    <t>BUNDLE-TRAVEL4-CAB-XL-LTBGE-SETB</t>
  </si>
  <si>
    <t>BUNDLE-TRAVEL4-CAB-XL-LTBLU-SETA</t>
  </si>
  <si>
    <t>BUNDLE-TRAVEL4-CAB-XL-LTBLU-SETB</t>
  </si>
  <si>
    <t>BUNDLE-TRAVEL4-CAB-XL-LTGRY-SETA</t>
  </si>
  <si>
    <t>BUNDLE-TRAVEL4-CAB-XL-LTGRY-SETB</t>
  </si>
  <si>
    <t>BUNDLE-TRAVEL4-CAB-XL-LTPNK-SETA</t>
  </si>
  <si>
    <t>BUNDLE-TRAVEL4-CAB-XL-LTPNK-SETB</t>
  </si>
  <si>
    <t>BUNDLE-TRAVEL4-CAB-XL-LTPNK-SETC</t>
  </si>
  <si>
    <t>BUNDLE-TRAVEL4-CAB-XL-LTPPL-SETA</t>
  </si>
  <si>
    <t>BUNDLE-TRAVEL4-CAB-XL-LTPPL-SETB</t>
  </si>
  <si>
    <t>BUNDLE-TRAVEL4-CAB-XL-NAVY-SETA</t>
  </si>
  <si>
    <t>BUNDLE-TRAVEL4-CAB-XL-NAVY-SETB</t>
  </si>
  <si>
    <t>BUNDLE-TRAVEL4-CAB-XL-NAVY-SETC</t>
  </si>
  <si>
    <t>BUNDLE-TRAVEL4-CAB-XL-NAVY-SETD</t>
  </si>
  <si>
    <t>BUNDLE-TRAVEL4-CAB-XL-ORANG-SETA</t>
  </si>
  <si>
    <t>BUNDLE-TRAVEL4-CAB-XL-PINK-SETA</t>
  </si>
  <si>
    <t>BUNDLE-TRAVEL4-CAB-XL-PINK-SETB</t>
  </si>
  <si>
    <t>BUNDLE-TRAVEL4-CAB-XL-RED-SETA</t>
  </si>
  <si>
    <t>BUNDLE-TRAVEL4-CAB-XL-RED-SETB</t>
  </si>
  <si>
    <t>BUNDLE-TRAVEL4-CAB-XL-YELLOW-SETA</t>
  </si>
  <si>
    <t>BUNDLE-TRAVEL4-CAB-XL-YELLOW-SETB</t>
  </si>
  <si>
    <t>BUNDLE-TRAVEL4-SUM-LG-DSKDWN-SETA</t>
  </si>
  <si>
    <t>BUNDLE-TRAVEL4-SUM-LG-ENDRVR-SETA</t>
  </si>
  <si>
    <t>BUNDLE-TRAVEL4-SUM-LG-PCHSUN-SETA</t>
  </si>
  <si>
    <t>BUNDLE-TRAVEL4-SUM-LG-RAINB-SETA</t>
  </si>
  <si>
    <t>BUNDLE-TRAVEL4-SUM-LG-RAINB-SETB</t>
  </si>
  <si>
    <t>BUNDLE-TRAVEL4-SUM-LG-SANDSEA-SETA</t>
  </si>
  <si>
    <t>BUNDLE-TRAVEL4-SUM-LG-SANDSEA-SETB</t>
  </si>
  <si>
    <t>BUNDLE-TRAVEL4-SUM-LG-UNICN-SETA</t>
  </si>
  <si>
    <t>BUNDLE-TRAVEL4-SUM-LG-UNICN-SETB</t>
  </si>
  <si>
    <t>BUNDLE-TRAVEL4-SUM-XL-DSKDWN-SETA</t>
  </si>
  <si>
    <t>BUNDLE-TRAVEL4-SUM-XL-ENDRVR-SETA</t>
  </si>
  <si>
    <t>BUNDLE-TRAVEL4-SUM-XL-PCHSUN-SETA</t>
  </si>
  <si>
    <t>BUNDLE-TRAVEL4-SUM-XL-RAINB-SETA</t>
  </si>
  <si>
    <t>BUNDLE-TRAVEL4-SUM-XL-RAINB-SETB</t>
  </si>
  <si>
    <t>BUNDLE-TRAVEL4-SUM-XL-SANDSEA-SETA</t>
  </si>
  <si>
    <t>BUNDLE-TRAVEL4-SUM-XL-SANDSEA-SETB</t>
  </si>
  <si>
    <t>BUNDLE-TRAVEL4-SUM-XL-UNICN-SETA</t>
  </si>
  <si>
    <t>BUNDLE-TRAVEL4-SUM-XL-UNICN-SETB</t>
  </si>
  <si>
    <t>BUNDLE-VACY-SETA</t>
  </si>
  <si>
    <t>BUNDLE-VACY-SETB</t>
  </si>
  <si>
    <t>BUNDLE-VACY-SETC</t>
  </si>
  <si>
    <t>BUNDLE-WATER-LG-CANOE</t>
  </si>
  <si>
    <t>BUNDLE-WATER-LG-CHKWAVE</t>
  </si>
  <si>
    <t>BUNDLE-WATER-LG-ONBOARD</t>
  </si>
  <si>
    <t>CABANA-LAR-4SETA</t>
  </si>
  <si>
    <t>CABANA-LAR-4SETB</t>
  </si>
  <si>
    <t>CABANA-LAR-4SETC</t>
  </si>
  <si>
    <t>CABANA-LAR-6SET</t>
  </si>
  <si>
    <t>CABANA-LAR-BLACK</t>
  </si>
  <si>
    <t>CABANA-LAR-BLUENAVY</t>
  </si>
  <si>
    <t>CABANA-LAR-GREEN</t>
  </si>
  <si>
    <t>CABANA-LAR-LIGHT-4SET</t>
  </si>
  <si>
    <t>CABANA-LAR-LIGHT-BEIGE</t>
  </si>
  <si>
    <t>CABANA-LAR-LIGHT-BLUE</t>
  </si>
  <si>
    <t>CABANA-LAR-LIGHT-GREEN</t>
  </si>
  <si>
    <t>CABANA-LAR-LIGHT-GREY</t>
  </si>
  <si>
    <t>CABANA-LAR-ORANGE</t>
  </si>
  <si>
    <t>CABANA-LAR-PURPLE</t>
  </si>
  <si>
    <t>CABANA-LAR-RED</t>
  </si>
  <si>
    <t>CABANA-LAR-YELLOW</t>
  </si>
  <si>
    <t>CABANA-SML-BLUE</t>
  </si>
  <si>
    <t>CABANA-SML-GREEN</t>
  </si>
  <si>
    <t>CABANA-SML-LIGHT-GREY</t>
  </si>
  <si>
    <t>CABANA-SML-PINK</t>
  </si>
  <si>
    <t>CABANA-XLG-4SETA</t>
  </si>
  <si>
    <t>CABANA-XLG-4SETB</t>
  </si>
  <si>
    <t>CABANA-XLG-4SETC</t>
  </si>
  <si>
    <t>CABANA-XLG-6SET</t>
  </si>
  <si>
    <t>CABANA-XLG-BLACK</t>
  </si>
  <si>
    <t>CABANA-XLG-GREEN</t>
  </si>
  <si>
    <t>CABANA-XLG-LIGHT-4SET</t>
  </si>
  <si>
    <t>CABANA-XLG-LIGHT-BEIGE</t>
  </si>
  <si>
    <t>CABANA-XLG-LIGHT-BLUE</t>
  </si>
  <si>
    <t>CABANA-XLG-LIGHT-GREEN</t>
  </si>
  <si>
    <t>CABANA-XLG-LIGHT-RED</t>
  </si>
  <si>
    <t>CABANA-XLG-ORANGE</t>
  </si>
  <si>
    <t>CABANA-XLG-PURPLE</t>
  </si>
  <si>
    <t>CABANA-XLG-RED</t>
  </si>
  <si>
    <t>CABANA-XLG-YELLOW</t>
  </si>
  <si>
    <t>CLASSIC-LAR-6SET</t>
  </si>
  <si>
    <t>CLASSIC-LAR-BLUE</t>
  </si>
  <si>
    <t>CLASSIC-LAR-GREEN</t>
  </si>
  <si>
    <t>CLASSIC-LAR-ORANGE</t>
  </si>
  <si>
    <t>CLASSIC-LAR-PINK</t>
  </si>
  <si>
    <t>CLASSIC-LAR-RED</t>
  </si>
  <si>
    <t>CLASSIC-SML-6SET</t>
  </si>
  <si>
    <t>CLASSIC-SML-GREEN</t>
  </si>
  <si>
    <t>CLASSIC-SML-ORANGE</t>
  </si>
  <si>
    <t>CLASSIC-SML-PINK</t>
  </si>
  <si>
    <t>CLASSIC-SML-PURPLE</t>
  </si>
  <si>
    <t>CLASSIC-SML-RED</t>
  </si>
  <si>
    <t>CLASSIC-XLG-6SET</t>
  </si>
  <si>
    <t>CLASSIC-XLG-BLUE</t>
  </si>
  <si>
    <t>CLASSIC-XLG-GREEN</t>
  </si>
  <si>
    <t>CLASSIC-XLG-ORANGE</t>
  </si>
  <si>
    <t>CLASSIC-XLG-PINK</t>
  </si>
  <si>
    <t>CLASSIC-XLG-PURPLE</t>
  </si>
  <si>
    <t>CLASSIC-XLG-RED</t>
  </si>
  <si>
    <t>COOL-CAB-2PAK-BLACK-R</t>
  </si>
  <si>
    <t>COOL-CAB-2PAK-BLUE-R</t>
  </si>
  <si>
    <t>COOL-CAB-2PAK-GREEN-R</t>
  </si>
  <si>
    <t>COOL-CAB-2PAK-LTGRY-R</t>
  </si>
  <si>
    <t>COOL-CAB-2PAK-PINK-R</t>
  </si>
  <si>
    <t>COOL-CAB-2PAK-PURPL-R</t>
  </si>
  <si>
    <t>COOL-CAB-2PAK-RED-R</t>
  </si>
  <si>
    <t>COOL-CAB-2SETA</t>
  </si>
  <si>
    <t>COOL-CAB-2SETB</t>
  </si>
  <si>
    <t>COOL-CAB-2SETC</t>
  </si>
  <si>
    <t>COOL-CAB-4SET</t>
  </si>
  <si>
    <t>COOL-CAB-4SETA-R</t>
  </si>
  <si>
    <t>COOL-CAB-4SETB-R</t>
  </si>
  <si>
    <t>COOL-CAB-BLACK-R</t>
  </si>
  <si>
    <t>COOL-CAB-GREEN-R</t>
  </si>
  <si>
    <t>COOL-CAB-LTBLU-R</t>
  </si>
  <si>
    <t>COOL-CAB-LTPPL-R</t>
  </si>
  <si>
    <t>COOL-CAB-PINK-R</t>
  </si>
  <si>
    <t>COOL-CAB-PURPL-R</t>
  </si>
  <si>
    <t>COOL-CAB-RED-R</t>
  </si>
  <si>
    <t>COOL-FST-2PAK-BLU-R</t>
  </si>
  <si>
    <t>COOL-FST-2PAK-BRT-R</t>
  </si>
  <si>
    <t>COOL-FST-2PAK-GRN-R</t>
  </si>
  <si>
    <t>COOL-FST-2PAK-GRY-R</t>
  </si>
  <si>
    <t>COOL-FST-2PAK-PNK-R</t>
  </si>
  <si>
    <t>COOL-FST-5SET-R</t>
  </si>
  <si>
    <t>COOL-FST-BLU-R</t>
  </si>
  <si>
    <t>COOL-FST-BRT-R</t>
  </si>
  <si>
    <t>COOL-FST-GRN-R</t>
  </si>
  <si>
    <t>COOL-FST-PNK-R</t>
  </si>
  <si>
    <t>COOL-MAR-4SET</t>
  </si>
  <si>
    <t>COOL-MAR-BLACK</t>
  </si>
  <si>
    <t>COOL-MAR-BLUE</t>
  </si>
  <si>
    <t>COOL-MAR-NAVY</t>
  </si>
  <si>
    <t>COOL-MAR-PINK</t>
  </si>
  <si>
    <t>COOLING-STRIPE-4SETA</t>
  </si>
  <si>
    <t>COOLING-STRIPE-4SETB</t>
  </si>
  <si>
    <t>COOLING-STRIPE-7SET</t>
  </si>
  <si>
    <t>COOLING-STRIPE-BLACK</t>
  </si>
  <si>
    <t>COOLING-STRIPE-BLUE</t>
  </si>
  <si>
    <t>COOLING-STRIPE-GREEN</t>
  </si>
  <si>
    <t>COOLING-STRIPE-LIGHT-GREY</t>
  </si>
  <si>
    <t>COOLING-STRIPE-PINK</t>
  </si>
  <si>
    <t>COOLING-STRIPE-PURPLE</t>
  </si>
  <si>
    <t>COOLING-STRIPE-RED</t>
  </si>
  <si>
    <t>COOLING-STRIPE-YELLOW</t>
  </si>
  <si>
    <t>COOLINGSET-2-STRIPE-BLACK</t>
  </si>
  <si>
    <t>COOLINGSET-2-STRIPE-PURPLE</t>
  </si>
  <si>
    <t>COOLINGSET-2-STRIPE-RED</t>
  </si>
  <si>
    <t>COOLINGSET-2-STRIPE-YELLOW</t>
  </si>
  <si>
    <t>DB-WL-TOWLB-X2</t>
  </si>
  <si>
    <t>DE-SUMMER-LAR-BLUERED</t>
  </si>
  <si>
    <t>DE-SUMMER-LAR-GREENORANGE</t>
  </si>
  <si>
    <t>DOBIT-LAR-TREE</t>
  </si>
  <si>
    <t>DOBIT-XLG-TREE</t>
  </si>
  <si>
    <t>DOBIT-XLG-WHALE</t>
  </si>
  <si>
    <t>DOGTWL-DES-LG-BONES</t>
  </si>
  <si>
    <t>DOGTWL-DES-LG-FACES</t>
  </si>
  <si>
    <t>DOGTWL-DES-LG-PAWS</t>
  </si>
  <si>
    <t>DOGTWL-DES-MD-BONES</t>
  </si>
  <si>
    <t>DOGTWL-DES-MD-PAWS</t>
  </si>
  <si>
    <t>DOGTWL-LG-4SET-DOGDIS</t>
  </si>
  <si>
    <t>DOGTWL-LG-4SET-FRSWLK</t>
  </si>
  <si>
    <t>DOGTWL-LG-4SET-FULLPCK</t>
  </si>
  <si>
    <t>DOGTWL-LG-4SET-MISMTCH</t>
  </si>
  <si>
    <t>DOGTWL-LG-5SET</t>
  </si>
  <si>
    <t>DOGTWL-MD-4SET-BLUES</t>
  </si>
  <si>
    <t>DOGTWL-MD-4SET-BRKPLD</t>
  </si>
  <si>
    <t>DOGTWL-MD-4SET-DOGDIS</t>
  </si>
  <si>
    <t>DOGTWL-MD-4SET-FULLPCK</t>
  </si>
  <si>
    <t>DOGTWL-MD-4SET-PAWFECT</t>
  </si>
  <si>
    <t>DOGTWL-MD-5SET</t>
  </si>
  <si>
    <t>FESTIVAL-LAR-4SET</t>
  </si>
  <si>
    <t>FESTIVAL-LAR-CARNIVAL</t>
  </si>
  <si>
    <t>FESTIVAL-LAR-SOLSTICE</t>
  </si>
  <si>
    <t>FESTIVAL-LAR-SONGKRAN</t>
  </si>
  <si>
    <t>FESTIVAL-XLG-4SET</t>
  </si>
  <si>
    <t>FESTIVAL-XLG-CARNIVAL</t>
  </si>
  <si>
    <t>FESTIVAL-XLG-SOLSTICE</t>
  </si>
  <si>
    <t>FESTIVAL-XLG-SONGKRAN</t>
  </si>
  <si>
    <t>FESTIVAL-XLG-TOMATINA</t>
  </si>
  <si>
    <t>FM-FB-RW1</t>
  </si>
  <si>
    <t>FM-SBAV2</t>
  </si>
  <si>
    <t>FM-SBHK2</t>
  </si>
  <si>
    <t>FM-SBSC2</t>
  </si>
  <si>
    <t>FOAMIE-FACEB-MAKUP-PINK</t>
  </si>
  <si>
    <t>FOAMIE-GIFT-BOX-PINK</t>
  </si>
  <si>
    <t>FOAMIE-SOAP-HAIRW-BLUE</t>
  </si>
  <si>
    <t>FOAMIE-SOAP-HAIRW-GREEN</t>
  </si>
  <si>
    <t>FOAMIE-SOAP-HAIRW-PINK</t>
  </si>
  <si>
    <t>FORECAST-BAGF</t>
  </si>
  <si>
    <t>FORECAST-DOGTWL</t>
  </si>
  <si>
    <t>FORECAST-HAIRW</t>
  </si>
  <si>
    <t>FORECAST-HEADW</t>
  </si>
  <si>
    <t>FORECAST-MAKUP</t>
  </si>
  <si>
    <t>FORECAST-PICNIC</t>
  </si>
  <si>
    <t>FORECAST-PONCHA</t>
  </si>
  <si>
    <t>FORECAST-PONCHK</t>
  </si>
  <si>
    <t>FORECAST-ROBE</t>
  </si>
  <si>
    <t>FORECAST-TEATWL</t>
  </si>
  <si>
    <t>FORECAST-TOWLB</t>
  </si>
  <si>
    <t>FORECAST-TOWLB-KIDS</t>
  </si>
  <si>
    <t>FORECAST-TOWLH</t>
  </si>
  <si>
    <t>FRUITY-LAR-3SET</t>
  </si>
  <si>
    <t>FRUITY-LAR-COCO</t>
  </si>
  <si>
    <t>FRUITY-LAR-MELON</t>
  </si>
  <si>
    <t>FRUITY-LAR-PINE</t>
  </si>
  <si>
    <t>FRUITY-XLG-3SET</t>
  </si>
  <si>
    <t>FRUITY-XLG-COCO</t>
  </si>
  <si>
    <t>FRUITY-XLG-MELON</t>
  </si>
  <si>
    <t>FRUITY-XLG-PINE</t>
  </si>
  <si>
    <t>GIFT-BOX-BEAUTY-CAB-LTPNK</t>
  </si>
  <si>
    <t>GIFT-BOX-BEAUTY-LTBLU</t>
  </si>
  <si>
    <t>GIFT-BOX-BEAUTY-LTGRN</t>
  </si>
  <si>
    <t>GIFT-BOX-BEAUTY-LTPNK</t>
  </si>
  <si>
    <t>GIFT-BOX-BEAUTY-SERENE</t>
  </si>
  <si>
    <t>GIFT-BOX-BEAUTY-SUM-UNICN</t>
  </si>
  <si>
    <t>HAIRW-4SET-BARBIE</t>
  </si>
  <si>
    <t>HAIRW-4SET-CHIC</t>
  </si>
  <si>
    <t>HAIRW-4SET-PAMPER</t>
  </si>
  <si>
    <t>HAIRW-4SET-PCHSTAR</t>
  </si>
  <si>
    <t>HAIRW-4SET-SUNSET</t>
  </si>
  <si>
    <t>HAIRW-ANI-2PAK-COW</t>
  </si>
  <si>
    <t>HAIRW-ANI-2PAK-DALMA</t>
  </si>
  <si>
    <t>HAIRW-ANI-2PAK-LEOPD</t>
  </si>
  <si>
    <t>HAIRW-ANI-2PAK-SNAKE</t>
  </si>
  <si>
    <t>HAIRW-ANI-2PAK-TIGER</t>
  </si>
  <si>
    <t>HAIRW-ANI-5SET</t>
  </si>
  <si>
    <t>HAIRW-ANI-COW</t>
  </si>
  <si>
    <t>HAIRW-ANI-DALMA</t>
  </si>
  <si>
    <t>HAIRW-ANI-LEOPD</t>
  </si>
  <si>
    <t>HAIRW-ANI-SNAKE</t>
  </si>
  <si>
    <t>HAIRW-ANI-TIGER</t>
  </si>
  <si>
    <t>HAIRW-BOT-2PAK-BANA-R</t>
  </si>
  <si>
    <t>HAIRW-BOT-2PAK-HIBI-R</t>
  </si>
  <si>
    <t>HAIRW-BOT-2PAK-ORCH-R</t>
  </si>
  <si>
    <t>HAIRW-BOT-2PAK-PALM-R</t>
  </si>
  <si>
    <t>HAIRW-BOT-2PAK-PARA-R</t>
  </si>
  <si>
    <t>HAIRW-BOT-3SETA</t>
  </si>
  <si>
    <t>HAIRW-BOT-5SET-R</t>
  </si>
  <si>
    <t>HAIRW-BOT-BANA-R</t>
  </si>
  <si>
    <t>HAIRW-BOT-HIBI-R</t>
  </si>
  <si>
    <t>HAIRW-BOT-ORCH-R</t>
  </si>
  <si>
    <t>HAIRW-BOT-PALM-R</t>
  </si>
  <si>
    <t>HAIRW-BOT-PARA-R</t>
  </si>
  <si>
    <t>HAIRW-CAB-2PAK-LTBGE-R</t>
  </si>
  <si>
    <t>HAIRW-CAB-2PAK-LTBLU-R</t>
  </si>
  <si>
    <t>HAIRW-CAB-2PAK-LTGRE-R</t>
  </si>
  <si>
    <t>HAIRW-CAB-2PAK-LTGRY-R</t>
  </si>
  <si>
    <t>HAIRW-CAB-2PAK-LTPCH-R</t>
  </si>
  <si>
    <t>HAIRW-CAB-2PAK-LTPINK-R</t>
  </si>
  <si>
    <t>HAIRW-CAB-2PAK-LTPNK-R</t>
  </si>
  <si>
    <t>HAIRW-CAB-2PAK-LTPPL-R</t>
  </si>
  <si>
    <t>HAIRW-CAB-3SETA</t>
  </si>
  <si>
    <t>HAIRW-CAB-4SET-NAVY</t>
  </si>
  <si>
    <t>HAIRW-CAB-4SETA-R</t>
  </si>
  <si>
    <t>HAIRW-CAB-4SETB-R</t>
  </si>
  <si>
    <t>HAIRW-CAB-4SETC-R</t>
  </si>
  <si>
    <t>HAIRW-CAB-4SETD</t>
  </si>
  <si>
    <t>HAIRW-CAB-4SETE</t>
  </si>
  <si>
    <t>HAIRW-CAB-4SETF</t>
  </si>
  <si>
    <t>HAIRW-CAB-4SETG</t>
  </si>
  <si>
    <t>HAIRW-CAB-4SETH</t>
  </si>
  <si>
    <t>HAIRW-CAB-CLA-2PAK-BEIGE</t>
  </si>
  <si>
    <t>HAIRW-CAB-CLA-2PAK-GREY</t>
  </si>
  <si>
    <t>HAIRW-CAB-CLA-2PAK-PINK</t>
  </si>
  <si>
    <t>HAIRW-CAB-LTBGE-R</t>
  </si>
  <si>
    <t>HAIRW-CAB-LTBLU-R</t>
  </si>
  <si>
    <t>HAIRW-CAB-LTGRE-R</t>
  </si>
  <si>
    <t>HAIRW-CAB-LTGRY-NB</t>
  </si>
  <si>
    <t>HAIRW-CAB-LTPCH-R</t>
  </si>
  <si>
    <t>HAIRW-CAB-LTPNK-R</t>
  </si>
  <si>
    <t>HAIRW-CAB-LTPPL-R</t>
  </si>
  <si>
    <t>HAIRW-CAB-NAVY</t>
  </si>
  <si>
    <t>HAIRW-CAB-PURPL-R</t>
  </si>
  <si>
    <t>HAIRW-CBH-4SET</t>
  </si>
  <si>
    <t>HAIRW-CBH-NAVY</t>
  </si>
  <si>
    <t>HAIRW-CBH-PINK</t>
  </si>
  <si>
    <t>HAIRW-CLA-2PAK-BLACK-R</t>
  </si>
  <si>
    <t>HAIRW-CLA-2PAK-DKBLU-R</t>
  </si>
  <si>
    <t>HAIRW-CLA-2PAK-DKGRN-R</t>
  </si>
  <si>
    <t>HAIRW-CLA-2PAK-DKRED-R</t>
  </si>
  <si>
    <t>HAIRW-CLA-2PAK-LTBGE-R</t>
  </si>
  <si>
    <t>HAIRW-CLA-2PAK-LTBLU-R</t>
  </si>
  <si>
    <t>HAIRW-CLA-2PAK-LTGRE-R</t>
  </si>
  <si>
    <t>HAIRW-CLA-2PAK-LTGRY-R</t>
  </si>
  <si>
    <t>HAIRW-CLA-2PAK-LTPNK-R</t>
  </si>
  <si>
    <t>HAIRW-CLA-3SETA</t>
  </si>
  <si>
    <t>HAIRW-CLA-4SETA-R</t>
  </si>
  <si>
    <t>HAIRW-CLA-4SETB-R</t>
  </si>
  <si>
    <t>HAIRW-CLA-4SETC-R</t>
  </si>
  <si>
    <t>HAIRW-CLA-4SETE</t>
  </si>
  <si>
    <t>HAIRW-CLA-4SETF</t>
  </si>
  <si>
    <t>HAIRW-CLA-BLACK-R</t>
  </si>
  <si>
    <t>HAIRW-CLA-DKBLU-R</t>
  </si>
  <si>
    <t>HAIRW-CLA-DKGRN-R</t>
  </si>
  <si>
    <t>HAIRW-CLA-DKRED-R</t>
  </si>
  <si>
    <t>HAIRW-CLA-LTBGE-R</t>
  </si>
  <si>
    <t>HAIRW-CLA-LTBLU-R</t>
  </si>
  <si>
    <t>HAIRW-CLA-LTGRE-R</t>
  </si>
  <si>
    <t>HAIRW-CLA-LTGRY-R</t>
  </si>
  <si>
    <t>HAIRW-CLA-LTPNK-R</t>
  </si>
  <si>
    <t>HAIRW-CLA-LTPPL-R</t>
  </si>
  <si>
    <t>HAIRW-CLA-WHITE-NB</t>
  </si>
  <si>
    <t>HAIRW-FLO-4SET</t>
  </si>
  <si>
    <t>HAIRW-FLO-BLOOM</t>
  </si>
  <si>
    <t>HAIRW-FLO-DAISY</t>
  </si>
  <si>
    <t>HAIRW-FLO-PALM</t>
  </si>
  <si>
    <t>HAIRW-FLO-SUNFL</t>
  </si>
  <si>
    <t>HAIRW-GEO-4SET</t>
  </si>
  <si>
    <t>HAIRW-GEO-PARAD</t>
  </si>
  <si>
    <t>HAIRW-GEO-PINK</t>
  </si>
  <si>
    <t>HAIRW-HID-4SET</t>
  </si>
  <si>
    <t>HAIRW-HID-BLUE</t>
  </si>
  <si>
    <t>HAIRW-HOM-2PAK-LTBLU</t>
  </si>
  <si>
    <t>HAIRW-HOM-2PAK-LTGRN</t>
  </si>
  <si>
    <t>HAIRW-HOM-2PAK-LTPNK</t>
  </si>
  <si>
    <t>HAIRW-HOM-2PAK-NAVY</t>
  </si>
  <si>
    <t>HAIRW-HOM-2PAK-TERRA</t>
  </si>
  <si>
    <t>HAIRW-HOM-2PAK-WHITE</t>
  </si>
  <si>
    <t>HAIRW-HOM-3SETA</t>
  </si>
  <si>
    <t>HAIRW-HOM-4SETA</t>
  </si>
  <si>
    <t>HAIRW-HOM-4SETB</t>
  </si>
  <si>
    <t>HAIRW-HOM-4SETC</t>
  </si>
  <si>
    <t>HAIRW-HOM-4SETD</t>
  </si>
  <si>
    <t>HAIRW-HOM-GREY</t>
  </si>
  <si>
    <t>HAIRW-HOM-LTBLU</t>
  </si>
  <si>
    <t>HAIRW-HOM-LTGRN</t>
  </si>
  <si>
    <t>HAIRW-HOM-LTPNK</t>
  </si>
  <si>
    <t>HAIRW-HOM-NAVY</t>
  </si>
  <si>
    <t>HAIRW-HOM-TERRA</t>
  </si>
  <si>
    <t>HAIRW-HOM-WHITE</t>
  </si>
  <si>
    <t>HAIRW-RET-2PAK-CONG</t>
  </si>
  <si>
    <t>HAIRW-RET-2PAK-MONT</t>
  </si>
  <si>
    <t>HAIRW-RET-2PAK-SANT</t>
  </si>
  <si>
    <t>HAIRW-RET-2PAK-SAPO</t>
  </si>
  <si>
    <t>HAIRW-RET-2PAK-SINH</t>
  </si>
  <si>
    <t>HAIRW-RET-5SET</t>
  </si>
  <si>
    <t>HAIRW-RET-CONG</t>
  </si>
  <si>
    <t>HAIRW-RET-MONT</t>
  </si>
  <si>
    <t>HAIRW-RET-SANT</t>
  </si>
  <si>
    <t>HAIRW-RET-SAPO</t>
  </si>
  <si>
    <t>HAIRW-RET-SINH</t>
  </si>
  <si>
    <t>HAIRW-SUE-CHKMATE</t>
  </si>
  <si>
    <t>HAIRW-SUE-MIDMONO</t>
  </si>
  <si>
    <t>HAIRW-SUE-RAINFLOOR</t>
  </si>
  <si>
    <t>HAIRW-SUE-SEAFOAM</t>
  </si>
  <si>
    <t>HAIRW-SUM-RAINB-NB</t>
  </si>
  <si>
    <t>HAIRW-SUM-UNICN</t>
  </si>
  <si>
    <t>HAIRW-WAF-SERENE</t>
  </si>
  <si>
    <t>HAIRWRAP-2SET-CAB-BLUE</t>
  </si>
  <si>
    <t>HAIRWRAP-2SET-CAB-GREEN</t>
  </si>
  <si>
    <t>HAIRWRAP-2SET-CAB-LIT-BEIGE</t>
  </si>
  <si>
    <t>HAIRWRAP-2SET-CAB-LIT-BLUE</t>
  </si>
  <si>
    <t>HAIRWRAP-2SET-CAB-LIT-GREEN</t>
  </si>
  <si>
    <t>HAIRWRAP-2SET-CAB-LIT-GREY</t>
  </si>
  <si>
    <t>HAIRWRAP-2SET-CAB-LIT-PINK</t>
  </si>
  <si>
    <t>HAIRWRAP-2SET-CAB-PURPLE</t>
  </si>
  <si>
    <t>HAIRWRAP-2SET-CAB-RED</t>
  </si>
  <si>
    <t>HAIRWRAP-2SET-CAB-YELLOW</t>
  </si>
  <si>
    <t>HAIRWRAP-CLA-2SET-LBEIGE</t>
  </si>
  <si>
    <t>HAIRWRAP-CLA-2SET-LBLUE</t>
  </si>
  <si>
    <t>HAIRWRAP-CLA-2SET-LGREEN</t>
  </si>
  <si>
    <t>HAIRWRAP-CLA-2SET-LPINK</t>
  </si>
  <si>
    <t>HAIRWRAP-CLA-4SET</t>
  </si>
  <si>
    <t>HAIRWRAP-CLA-LBEIGE</t>
  </si>
  <si>
    <t>HAIRWRAP-CLA-LBLUE</t>
  </si>
  <si>
    <t>HAIRWRAP-CLA-LGREEN</t>
  </si>
  <si>
    <t>HAIRWRAP-CLA-LPINK</t>
  </si>
  <si>
    <t>HAIRWRAP-STRIPE-4SET</t>
  </si>
  <si>
    <t>HAIRWRAP-STRIPE-BLUE</t>
  </si>
  <si>
    <t>HAIRWRAP-STRIPE-GREEN</t>
  </si>
  <si>
    <t>HAIRWRAP-STRIPE-LIGHT-4SET</t>
  </si>
  <si>
    <t>HAIRWRAP-STRIPE-LIGHT-BLUE</t>
  </si>
  <si>
    <t>HAIRWRAP-STRIPE-LIGHT-GREEN</t>
  </si>
  <si>
    <t>HAIRWRAP-STRIPE-LIGHT-GREY</t>
  </si>
  <si>
    <t>HAIRWRAP-STRIPE-LIGHT-PINK</t>
  </si>
  <si>
    <t>HAIRWRAP-STRIPE-LIT-BEIGE</t>
  </si>
  <si>
    <t>HAIRWRAP-STRIPE-LIT-PURPLE</t>
  </si>
  <si>
    <t>HAIRWRAP-STRIPE-RED</t>
  </si>
  <si>
    <t>HAIRWRAP-STRIPE-YELLOW</t>
  </si>
  <si>
    <t>HANGER-5PAK</t>
  </si>
  <si>
    <t>HEADW-CBH-NAVY</t>
  </si>
  <si>
    <t>HEADW-CLA-NAVY</t>
  </si>
  <si>
    <t>HEADW-CLA-WHITE</t>
  </si>
  <si>
    <t>HEADW-GEO-PINK</t>
  </si>
  <si>
    <t>HOODT-ANI-HD-4SET</t>
  </si>
  <si>
    <t>HOODT-ANI-HD-FROG</t>
  </si>
  <si>
    <t>HOODT-ANI-HD-GIRAF</t>
  </si>
  <si>
    <t>HOODT-ANI-HD-KOALA</t>
  </si>
  <si>
    <t>HOODT-ANI-HD-PIG</t>
  </si>
  <si>
    <t>HOODT-ANI-PK-FROG</t>
  </si>
  <si>
    <t>HOODT-ANI-PK-GIRAF</t>
  </si>
  <si>
    <t>HOODT-ANI-PK-KOALA</t>
  </si>
  <si>
    <t>HOODT-ANI-PK-PIG</t>
  </si>
  <si>
    <t>HOODT-ANI-SM-GIRAF</t>
  </si>
  <si>
    <t>HOODT-ANI-SM-KOALA</t>
  </si>
  <si>
    <t>HOODT-CLA-PK-LTBLU</t>
  </si>
  <si>
    <t>HOODT-CLA-PK-LTPNK</t>
  </si>
  <si>
    <t>HOODT-CLA-PK-NAVY</t>
  </si>
  <si>
    <t>HOODT-CLA-PK-WHITE</t>
  </si>
  <si>
    <t>HOODT-CLA-SM-LTBLU</t>
  </si>
  <si>
    <t>HOODT-CLA-SM-WHITE</t>
  </si>
  <si>
    <t>MAKUP-3SET-GLOW</t>
  </si>
  <si>
    <t>MAKUP-3SET-MIND</t>
  </si>
  <si>
    <t>MAKUP-4SET-FLAW</t>
  </si>
  <si>
    <t>MAKUP-4SET-NAVY</t>
  </si>
  <si>
    <t>MAKUP-4SET-PINK</t>
  </si>
  <si>
    <t>MAKUP-CBH-3MIX</t>
  </si>
  <si>
    <t>MAKUP-CLA-NAVY-NB</t>
  </si>
  <si>
    <t>MAKUP-GEO-3MIX</t>
  </si>
  <si>
    <t>MAKUP-HOM-3PAK-LTBLU</t>
  </si>
  <si>
    <t>MAKUP-HOM-3PAK-LTGRN</t>
  </si>
  <si>
    <t>MAKUP-HOM-3PAK-LTPNK</t>
  </si>
  <si>
    <t>MAKUP-HOM-3PAK-NAVY</t>
  </si>
  <si>
    <t>MAKUP-HOM-3PAK-TERRA</t>
  </si>
  <si>
    <t>MAKUP-HOM-3SET-LTBLU</t>
  </si>
  <si>
    <t>MAKUP-HOM-3SET-LTGRN</t>
  </si>
  <si>
    <t>MAKUP-HOM-3SET-LTPNK</t>
  </si>
  <si>
    <t>MAKUP-HOM-3SET-NAVY</t>
  </si>
  <si>
    <t>MAKUP-HOM-3SET-TERRA</t>
  </si>
  <si>
    <t>MAKUP-HOM-3SETA</t>
  </si>
  <si>
    <t>MAKUP-HOM-3SETB</t>
  </si>
  <si>
    <t>MAKUP-HOM-3SETC</t>
  </si>
  <si>
    <t>MAKUP-HOM-3SETD</t>
  </si>
  <si>
    <t>MAKUP-HOM-5SET</t>
  </si>
  <si>
    <t>MAKUP-HOM-9PAK-FBA</t>
  </si>
  <si>
    <t>MAKUP-RET-MONT</t>
  </si>
  <si>
    <t>MAKUP-STD-LTPNK-NB</t>
  </si>
  <si>
    <t>MAKUP-STD-NAVY-NB</t>
  </si>
  <si>
    <t>MASK-CLA-LAR-BLACK</t>
  </si>
  <si>
    <t>MASK-CLA-LAR-BLUE</t>
  </si>
  <si>
    <t>MASK-CLA-LAR-GREEN</t>
  </si>
  <si>
    <t>MASK-CLA-LAR-LTBEIGE</t>
  </si>
  <si>
    <t>MASK-CLA-LAR-LTBLUE</t>
  </si>
  <si>
    <t>MASK-CLA-LAR-LTGREEN</t>
  </si>
  <si>
    <t>MASK-CLA-LAR-LTPINK</t>
  </si>
  <si>
    <t>MASK-CLA-LAR-ORANGE</t>
  </si>
  <si>
    <t>MASK-CLA-LAR-PINK</t>
  </si>
  <si>
    <t>MASK-CLA-LAR-PURPLE</t>
  </si>
  <si>
    <t>MASK-CLA-LAR-RED</t>
  </si>
  <si>
    <t>MASK-CLA-LAR-WHITE</t>
  </si>
  <si>
    <t>MASK-CLA-MED-BLACK</t>
  </si>
  <si>
    <t>MASK-CLA-MED-BLUE</t>
  </si>
  <si>
    <t>MASK-CLA-MED-GREEN</t>
  </si>
  <si>
    <t>MASK-CLA-MED-LTBEIGE</t>
  </si>
  <si>
    <t>MASK-CLA-MED-LTBLUE</t>
  </si>
  <si>
    <t>MASK-CLA-MED-LTGREEN</t>
  </si>
  <si>
    <t>MASK-CLA-MED-LTPINK</t>
  </si>
  <si>
    <t>MASK-CLA-MED-ORANGE</t>
  </si>
  <si>
    <t>MASK-CLA-MED-PINK</t>
  </si>
  <si>
    <t>MASK-CLA-MED-PURPLE</t>
  </si>
  <si>
    <t>MASK-CLA-MED-RED</t>
  </si>
  <si>
    <t>MASK-CLA-MED-WHITE</t>
  </si>
  <si>
    <t>MASK-ECO-LAR-BLUE</t>
  </si>
  <si>
    <t>MASK-ECO-LAR-GREEN</t>
  </si>
  <si>
    <t>MASK-ECO-LAR-GREY</t>
  </si>
  <si>
    <t>MASK-ECO-LAR-ORANGE</t>
  </si>
  <si>
    <t>MASK-ECO-LAR-RED</t>
  </si>
  <si>
    <t>PICNIC-BOT-LG-PALM</t>
  </si>
  <si>
    <t>PICNIC-BOT-XL-PALM</t>
  </si>
  <si>
    <t>PICNIC-CAB-LG-LTBGE</t>
  </si>
  <si>
    <t>PICNIC-CAB-XL-LTBGE</t>
  </si>
  <si>
    <t>PICNIC-GIN-LG-PINK</t>
  </si>
  <si>
    <t>PICNIC-GIN-XL-BLUE</t>
  </si>
  <si>
    <t>PICNIC-GIN-XL-PINK</t>
  </si>
  <si>
    <t>PONCHA-CAB-LG-GREEN-R</t>
  </si>
  <si>
    <t>PONCHA-CAB-LG-GREY-R</t>
  </si>
  <si>
    <t>PONCHA-CAB-LG-PINK-R</t>
  </si>
  <si>
    <t>PONCHA-CAB-LG-RED-R</t>
  </si>
  <si>
    <t>PONCHA-CAB-LG-YELL-R</t>
  </si>
  <si>
    <t>PONCHA-CAB-MD-GREEN-R</t>
  </si>
  <si>
    <t>PONCHA-CAB-MD-GREY-R</t>
  </si>
  <si>
    <t>PONCHA-CAB-MD-PINK-R</t>
  </si>
  <si>
    <t>PONCHA-CAB-MD-RED-R</t>
  </si>
  <si>
    <t>PONCHA-CAB-MD-YELL-R</t>
  </si>
  <si>
    <t>PONCHA-CAB-SM-GREEN-R</t>
  </si>
  <si>
    <t>PONCHA-CAB-SM-GREY-R</t>
  </si>
  <si>
    <t>PONCHA-CAB-SM-PINK-R</t>
  </si>
  <si>
    <t>PONCHA-CAB-SM-RED-R</t>
  </si>
  <si>
    <t>PONCHA-CAB-SM-YELL-R</t>
  </si>
  <si>
    <t>PONCHA-CLA-LG-BLACK</t>
  </si>
  <si>
    <t>PONCHA-CLA-LG-DKGRN</t>
  </si>
  <si>
    <t>PONCHA-CLA-MD-DKGRN</t>
  </si>
  <si>
    <t>PONCHA-CLA-SM-DKGRN</t>
  </si>
  <si>
    <t>PONCHA-DES-LG-TERATROP</t>
  </si>
  <si>
    <t>PONCHA-DES-MD-TERATROP</t>
  </si>
  <si>
    <t>PONCHA-FST-LG-BRT-R</t>
  </si>
  <si>
    <t>PONCHA-FST-LG-GRN-R</t>
  </si>
  <si>
    <t>PONCHA-FST-LG-GRY-R</t>
  </si>
  <si>
    <t>PONCHA-FST-LG-NVY-R</t>
  </si>
  <si>
    <t>PONCHA-FST-LG-PNK-R</t>
  </si>
  <si>
    <t>PONCHA-FST-MD-BRT-R</t>
  </si>
  <si>
    <t>PONCHA-FST-MD-GRN-R</t>
  </si>
  <si>
    <t>PONCHA-FST-MD-GRY-R</t>
  </si>
  <si>
    <t>PONCHA-FST-MD-NVY-R</t>
  </si>
  <si>
    <t>PONCHA-FST-MD-PNK-R</t>
  </si>
  <si>
    <t>PONCHA-FST-SM-BRT-R</t>
  </si>
  <si>
    <t>PONCHA-FST-SM-GRN-R</t>
  </si>
  <si>
    <t>PONCHA-FST-SM-NVY-R</t>
  </si>
  <si>
    <t>PONCHA-FST-SM-PNK-R</t>
  </si>
  <si>
    <t>PONCHA-MAR-SM-BLUE</t>
  </si>
  <si>
    <t>PONCHA-MAR-SM-PINK</t>
  </si>
  <si>
    <t>PONCHA-SGW-LG-GETWAV</t>
  </si>
  <si>
    <t>PONCHA-SGW-LG-RISSUN</t>
  </si>
  <si>
    <t>PONCHA-SGW-MD-GETWAV</t>
  </si>
  <si>
    <t>PONCHA-SGW-MD-RISSUN</t>
  </si>
  <si>
    <t>PONCHA-SGW-SM-GETWAV</t>
  </si>
  <si>
    <t>PONCHA-SGW-SM-RISSUN</t>
  </si>
  <si>
    <t>PONCHA-SUM-MD-PCHSUN</t>
  </si>
  <si>
    <t>PONCHK-CAB-MD-BLUE-R</t>
  </si>
  <si>
    <t>PONCHK-CAB-MD-GREEN-R</t>
  </si>
  <si>
    <t>PONCHK-CAB-MD-GREY-R</t>
  </si>
  <si>
    <t>PONCHK-CAB-MD-NAVY</t>
  </si>
  <si>
    <t>PONCHK-CAB-MD-PINK-R</t>
  </si>
  <si>
    <t>PONCHK-CAB-MD-RED-R</t>
  </si>
  <si>
    <t>PONCHK-CAB-MD-YELL-R</t>
  </si>
  <si>
    <t>PONCHK-CAB-SM-BLUE-R</t>
  </si>
  <si>
    <t>PONCHK-CAB-SM-GREEN-R</t>
  </si>
  <si>
    <t>PONCHK-CAB-SM-GREY-R</t>
  </si>
  <si>
    <t>PONCHK-CAB-SM-LTPNK</t>
  </si>
  <si>
    <t>PONCHK-CAB-SM-NAVY</t>
  </si>
  <si>
    <t>PONCHK-CAB-SM-PINK-R</t>
  </si>
  <si>
    <t>PONCHK-CAB-SM-RED-R</t>
  </si>
  <si>
    <t>PONCHK-CAB-SM-YELL-R</t>
  </si>
  <si>
    <t>PONCHK-CAB-XS-BLUE-R</t>
  </si>
  <si>
    <t>PONCHK-CAB-XS-GREEN-R</t>
  </si>
  <si>
    <t>PONCHK-CAB-XS-GREY-R</t>
  </si>
  <si>
    <t>PONCHK-CAB-XS-PINK-R</t>
  </si>
  <si>
    <t>PONCHK-CAB-XS-RED-R</t>
  </si>
  <si>
    <t>PONCHK-CAB-XS-YELL-R</t>
  </si>
  <si>
    <t>PONCHK-JUN-MD-FLAMG-R</t>
  </si>
  <si>
    <t>PONCHK-JUN-MD-MONKY-R</t>
  </si>
  <si>
    <t>PONCHK-JUN-MD-TIGER-R</t>
  </si>
  <si>
    <t>PONCHK-JUN-MD-TOUCN-R</t>
  </si>
  <si>
    <t>PONCHK-JUN-SM-FLAMG-R</t>
  </si>
  <si>
    <t>PONCHK-JUN-SM-MONKY-R</t>
  </si>
  <si>
    <t>PONCHK-JUN-SM-TIGER-R</t>
  </si>
  <si>
    <t>PONCHK-JUN-SM-TOUCN-R</t>
  </si>
  <si>
    <t>PONCHK-JUN-XS-FLAMG-R</t>
  </si>
  <si>
    <t>PONCHK-JUN-XS-MONKY-R</t>
  </si>
  <si>
    <t>PONCHK-JUN-XS-TIGER-R</t>
  </si>
  <si>
    <t>PONCHK-JUN-XS-TOUCN-R</t>
  </si>
  <si>
    <t>PONCHK-KID-MD-CAMO</t>
  </si>
  <si>
    <t>PONCHK-KID-MD-CAMO-NS</t>
  </si>
  <si>
    <t>PONCHK-KID-MD-CROC</t>
  </si>
  <si>
    <t>PONCHK-KID-MD-DOODMOOD</t>
  </si>
  <si>
    <t>PONCHK-KID-MD-FIVEDAY</t>
  </si>
  <si>
    <t>PONCHK-KID-MD-FLAM</t>
  </si>
  <si>
    <t>PONCHK-KID-MD-LEOP</t>
  </si>
  <si>
    <t>PONCHK-KID-MD-POWER</t>
  </si>
  <si>
    <t>PONCHK-KID-MD-POWER-NS</t>
  </si>
  <si>
    <t>PONCHK-KID-MD-RAINB</t>
  </si>
  <si>
    <t>PONCHK-KID-MD-SQUIG</t>
  </si>
  <si>
    <t>PONCHK-KID-SM-CAMO</t>
  </si>
  <si>
    <t>PONCHK-KID-SM-LEOP</t>
  </si>
  <si>
    <t>PONCHK-KID-SM-POWER</t>
  </si>
  <si>
    <t>PONCHK-KID-SM-RAINB</t>
  </si>
  <si>
    <t>PONCHK-KID-SM-SQUIG</t>
  </si>
  <si>
    <t>PONCHK-KID-XS-CAMO</t>
  </si>
  <si>
    <t>PONCHK-KID-XS-RAINB</t>
  </si>
  <si>
    <t>PONCHK-KID-XS-SQUIG</t>
  </si>
  <si>
    <t>PONCHK-SUM-SM-UNICN</t>
  </si>
  <si>
    <t>PONCHO-SML-PURPLE-HEART-02</t>
  </si>
  <si>
    <t>PONCHOADULT-LAR-BLUE</t>
  </si>
  <si>
    <t>PONCHOADULT-LAR-GREEN</t>
  </si>
  <si>
    <t>PONCHOADULT-LAR-PINK</t>
  </si>
  <si>
    <t>PONCHOADULT-LAR-RED</t>
  </si>
  <si>
    <t>PONCHOADULT-LAR-YELLOW</t>
  </si>
  <si>
    <t>PONCHOADULT-MED-BLUE</t>
  </si>
  <si>
    <t>PONCHOADULT-MED-GREEN</t>
  </si>
  <si>
    <t>PONCHOADULT-MED-GREY</t>
  </si>
  <si>
    <t>PONCHOADULT-MED-PINK</t>
  </si>
  <si>
    <t>PONCHOADULT-MED-RED</t>
  </si>
  <si>
    <t>PONCHOADULT-MED-YELLOW</t>
  </si>
  <si>
    <t>PONCHOADULT-SML-BLUE</t>
  </si>
  <si>
    <t>PONCHOADULT-SML-GREEN</t>
  </si>
  <si>
    <t>PONCHOADULT-SML-GREY</t>
  </si>
  <si>
    <t>PONCHOADULT-SML-PINK</t>
  </si>
  <si>
    <t>PONCHOADULT-SML-RED</t>
  </si>
  <si>
    <t>PONCHOADULT-SML-YELLOW</t>
  </si>
  <si>
    <t>PONCHOKIDS-MED-BLUE</t>
  </si>
  <si>
    <t>PONCHOKIDS-MED-GREY</t>
  </si>
  <si>
    <t>PONCHOKIDS-MED-RED</t>
  </si>
  <si>
    <t>PONCHOKIDS-SML-BLUE</t>
  </si>
  <si>
    <t>PONCHOKIDS-SML-GREY</t>
  </si>
  <si>
    <t>PONCHOKIDS-SML-PINK</t>
  </si>
  <si>
    <t>PONCHOKIDS-SML-PURPLE</t>
  </si>
  <si>
    <t>PONCHOKIDS-SML-RED</t>
  </si>
  <si>
    <t>PONCHOKIDS-SML-YELLOW</t>
  </si>
  <si>
    <t>PONCHOKIDS-XSM-BLUE</t>
  </si>
  <si>
    <t>PONCHOKIDS-XSM-GREEN</t>
  </si>
  <si>
    <t>PONCHOKIDS-XSM-GREY</t>
  </si>
  <si>
    <t>PONCHOKIDS-XSM-PINK</t>
  </si>
  <si>
    <t>PONCHOKIDS-XSM-RED</t>
  </si>
  <si>
    <t>PONCHOKIDS-XSM-YELLOW</t>
  </si>
  <si>
    <t>POS-DIS-LG-FULL-TOWLB-STOCKED-EN-24</t>
  </si>
  <si>
    <t>POS-DIS-PREM-1SIDE-STOCKED-24</t>
  </si>
  <si>
    <t>POS-DIS-PREM-2SIDE-24</t>
  </si>
  <si>
    <t>POS-DIS-PREM-2SIDE-STOCKED-24</t>
  </si>
  <si>
    <t>POS-DIS-PREM-EXRS</t>
  </si>
  <si>
    <t>POS-DIS-PREM-PEG-BOARD</t>
  </si>
  <si>
    <t>POS-DIS-PREM-WOOD-BASKET</t>
  </si>
  <si>
    <t>POS-DIS-SM-DOGTWL-STOCKED-EN-24</t>
  </si>
  <si>
    <t>POS-DIS-SM-FULL-BAGF-STOCKED-EN-24﻿</t>
  </si>
  <si>
    <t>POS-DIS-SM-FULL-COOL-STOCKED-EN-24</t>
  </si>
  <si>
    <t>POS-DIS-SM-FULL-HAIRW-STOCKED-EN-24</t>
  </si>
  <si>
    <t>POS-DIS-SM-FULL-PICNIC-STOCKED-EN-24</t>
  </si>
  <si>
    <t>POS-DIS-SM-FULL-PONCHA-STOCKED-EN-24</t>
  </si>
  <si>
    <t>POS-DIS-SM-FULL-PONCHK-STOCKED-EN-24</t>
  </si>
  <si>
    <t>POS-DIS-SM-FULL-TOWLB-KID-STOCKED-EN-24</t>
  </si>
  <si>
    <t>POS-DIS-SM-FULL-TOWLB-STOCKED-EN-24</t>
  </si>
  <si>
    <t>POS-DISPLAY-LG-FR-22</t>
  </si>
  <si>
    <t>POS-DISPLAY-LG-R</t>
  </si>
  <si>
    <t>POS-DISPLAY-SM-FR-22</t>
  </si>
  <si>
    <t>POS-DISPLAY-SM-R</t>
  </si>
  <si>
    <t>PP-TEATWL-MD-3SET-FINDIN</t>
  </si>
  <si>
    <t>PP-TEATWL-MD-3SET-KTCHDISC</t>
  </si>
  <si>
    <t>PP-TOWLB-CAB-LG-4SET-ORANGE</t>
  </si>
  <si>
    <t>PP-TOWLB-DES-LG-4SETE</t>
  </si>
  <si>
    <t>PREORDER-017</t>
  </si>
  <si>
    <t>PREORDER-059</t>
  </si>
  <si>
    <t>PREORDER-063</t>
  </si>
  <si>
    <t>PREORDER-076</t>
  </si>
  <si>
    <t>PREORDER-091</t>
  </si>
  <si>
    <t>PREORDER-092</t>
  </si>
  <si>
    <t>PREORDER-093</t>
  </si>
  <si>
    <t>PREORDER-094</t>
  </si>
  <si>
    <t>PREORDER-098</t>
  </si>
  <si>
    <t>PREORDER-101</t>
  </si>
  <si>
    <t>PREORDER-105</t>
  </si>
  <si>
    <t>PREORDER-116</t>
  </si>
  <si>
    <t>PREORDER-118</t>
  </si>
  <si>
    <t>PREORDER-127</t>
  </si>
  <si>
    <t>PREORDER-136</t>
  </si>
  <si>
    <t>ROBE-CBH-MD-NAVY</t>
  </si>
  <si>
    <t>ROBE-CLA-MD-WHITE</t>
  </si>
  <si>
    <t>ROBE-GEO-MD-PINK</t>
  </si>
  <si>
    <t>ROBE-RET-MD-MONT</t>
  </si>
  <si>
    <t>ROBE-RET-MD-SINH</t>
  </si>
  <si>
    <t>ROUND-CROSS-ORANGE</t>
  </si>
  <si>
    <t>ROUND-CROSS-RED</t>
  </si>
  <si>
    <t>ROUND-MAZE-PINK</t>
  </si>
  <si>
    <t>ROUND-STRIPE-BLUE</t>
  </si>
  <si>
    <t>ROUND-STRIPE-GREEN</t>
  </si>
  <si>
    <t>ROUND-STRIPE-GREY</t>
  </si>
  <si>
    <t>ROUND-STRIPE-PINK</t>
  </si>
  <si>
    <t>ROUND-STRIPE-RED</t>
  </si>
  <si>
    <t>S18-ACTIVE-SML-GREY</t>
  </si>
  <si>
    <t>S18-CLASSIC-SML-ORANGE</t>
  </si>
  <si>
    <t>SAMPLE-SET1</t>
  </si>
  <si>
    <t>SAMPLE-SET2</t>
  </si>
  <si>
    <t>SAMPLE-SET3</t>
  </si>
  <si>
    <t>SANDBAG-LTPNK</t>
  </si>
  <si>
    <t>SHIPPING</t>
  </si>
  <si>
    <t>SHORTS-BOT-LG-BANA</t>
  </si>
  <si>
    <t>SHORTS-BOT-LG-PARA</t>
  </si>
  <si>
    <t>SHORTS-BOT-MD-BANA</t>
  </si>
  <si>
    <t>SHORTS-BOT-MD-PALM</t>
  </si>
  <si>
    <t>SHORTS-BOT-MD-PARA</t>
  </si>
  <si>
    <t>SHORTS-BOT-SM-BANA</t>
  </si>
  <si>
    <t>SHORTS-BOT-SM-PARA</t>
  </si>
  <si>
    <t>SHORTS-BOT-XL-BANA</t>
  </si>
  <si>
    <t>SHORTS-BOT-XL-PARA</t>
  </si>
  <si>
    <t>SHORTS-CAB-LG-BLUE</t>
  </si>
  <si>
    <t>SHORTS-CAB-LG-RAIN</t>
  </si>
  <si>
    <t>SHORTS-CAB-MD-BLUE</t>
  </si>
  <si>
    <t>SHORTS-CAB-MD-RAIN</t>
  </si>
  <si>
    <t>SHORTS-CAB-MD-RED</t>
  </si>
  <si>
    <t>SHORTS-CAB-SM-BLUE</t>
  </si>
  <si>
    <t>SHORTS-CAB-SM-RAIN</t>
  </si>
  <si>
    <t>SHORTS-CAB-XL-BLUE</t>
  </si>
  <si>
    <t>SHORTS-CAB-XL-RAIN</t>
  </si>
  <si>
    <t>SHORTS-CAB-XL-RED</t>
  </si>
  <si>
    <t>SHORTS-PIN-LG-BLACK</t>
  </si>
  <si>
    <t>SHORTS-PIN-LG-BRIT</t>
  </si>
  <si>
    <t>SHORTS-PIN-LG-KHAKI</t>
  </si>
  <si>
    <t>SHORTS-PIN-LG-LTBLU</t>
  </si>
  <si>
    <t>SHORTS-PIN-LG-NAVY</t>
  </si>
  <si>
    <t>SHORTS-PIN-LG-ORNG</t>
  </si>
  <si>
    <t>SHORTS-PIN-MD-BLACK</t>
  </si>
  <si>
    <t>SHORTS-PIN-MD-BRIT</t>
  </si>
  <si>
    <t>SHORTS-PIN-MD-KHAKI</t>
  </si>
  <si>
    <t>SHORTS-PIN-MD-LTBLU</t>
  </si>
  <si>
    <t>SHORTS-PIN-MD-NAVY</t>
  </si>
  <si>
    <t>SHORTS-PIN-MD-ORNG</t>
  </si>
  <si>
    <t>SHORTS-PIN-SM-BRIT</t>
  </si>
  <si>
    <t>SHORTS-PIN-SM-KHAKI</t>
  </si>
  <si>
    <t>SHORTS-PIN-SM-LTBLU</t>
  </si>
  <si>
    <t>SHORTS-PIN-SM-NAVY</t>
  </si>
  <si>
    <t>SHORTS-PIN-SM-ORNG</t>
  </si>
  <si>
    <t>SHORTS-PIN-XL-BLACK</t>
  </si>
  <si>
    <t>SHORTS-PIN-XL-BRIT</t>
  </si>
  <si>
    <t>SHORTS-PIN-XL-KHAKI</t>
  </si>
  <si>
    <t>SHORTS-PIN-XL-LTBLU</t>
  </si>
  <si>
    <t>SHORTS-PIN-XL-NAVY</t>
  </si>
  <si>
    <t>SHORTS-PIN-XL-ORNG</t>
  </si>
  <si>
    <t>SHORTSSTRIPE-LAR-BLUE</t>
  </si>
  <si>
    <t>SHORTSSTRIPE-LAR-BLUENAVY</t>
  </si>
  <si>
    <t>SHORTSSTRIPE-LAR-GREEN</t>
  </si>
  <si>
    <t>SHORTSSTRIPE-LAR-ORANGE</t>
  </si>
  <si>
    <t>SHORTSSTRIPE-LAR-PINK</t>
  </si>
  <si>
    <t>SHORTSSTRIPE-LAR-RAINBOW</t>
  </si>
  <si>
    <t>SHORTSSTRIPE-LAR-RED</t>
  </si>
  <si>
    <t>SHORTSSTRIPE-LAR-YELLOW</t>
  </si>
  <si>
    <t>SHORTSSTRIPE-MED-BLUE</t>
  </si>
  <si>
    <t>SHORTSSTRIPE-MED-BLUENAVY</t>
  </si>
  <si>
    <t>SHORTSSTRIPE-MED-GREEN</t>
  </si>
  <si>
    <t>SHORTSSTRIPE-MED-ORANGE</t>
  </si>
  <si>
    <t>SHORTSSTRIPE-MED-PINK</t>
  </si>
  <si>
    <t>SHORTSSTRIPE-MED-YELLOW</t>
  </si>
  <si>
    <t>SHORTSSTRIPE-SML-BLUENAVY</t>
  </si>
  <si>
    <t>SHORTSSTRIPE-SML-GREEN</t>
  </si>
  <si>
    <t>SHORTSSTRIPE-SML-ORANGE</t>
  </si>
  <si>
    <t>SHORTSSTRIPE-SML-PINK</t>
  </si>
  <si>
    <t>SHORTSSTRIPE-XLG-BLUENAVY</t>
  </si>
  <si>
    <t>SHORTSSTRIPE-XLG-GREEN</t>
  </si>
  <si>
    <t>SHORTSSTRIPE-XLG-ORANGE</t>
  </si>
  <si>
    <t>SHORTSSTRIPE-XLG-PINK</t>
  </si>
  <si>
    <t>SHORTSSTRIPE-XLG-RAINBOW</t>
  </si>
  <si>
    <t>SHORTSSTRIPE-XLG-RED</t>
  </si>
  <si>
    <t>SHORTSSTRIPE-XLG-YELLOW</t>
  </si>
  <si>
    <t>SUMMER-LAR-4SETA</t>
  </si>
  <si>
    <t>SUMMER-LAR-5SET</t>
  </si>
  <si>
    <t>SUMMER-LAR-BLUERED</t>
  </si>
  <si>
    <t>SUMMER-LAR-BLUEYELLOW</t>
  </si>
  <si>
    <t>SUMMER-LAR-GREENORANGE</t>
  </si>
  <si>
    <t>SUMMER-LAR-GREENYELLOW</t>
  </si>
  <si>
    <t>SUMMER-LAR-LIGHT-BLUEGREEN</t>
  </si>
  <si>
    <t>SUMMER-LAR-LIGHT-RAINBOW</t>
  </si>
  <si>
    <t>SUMMER-LAR-LT-GREENPURPLE</t>
  </si>
  <si>
    <t>SUMMER-LAR-LT-PINKORANGE</t>
  </si>
  <si>
    <t>SUMMER-LAR-PINKPURPLE</t>
  </si>
  <si>
    <t>SUMMER-XLG-4SETB</t>
  </si>
  <si>
    <t>SUMMER-XLG-5SET</t>
  </si>
  <si>
    <t>SUMMER-XLG-BLUEYELLOW</t>
  </si>
  <si>
    <t>SUMMER-XLG-GREENORANGE</t>
  </si>
  <si>
    <t>SUMMER-XLG-GREENYELLOW</t>
  </si>
  <si>
    <t>SUMMER-XLG-LIGHT-BLUEGREEN</t>
  </si>
  <si>
    <t>SUMMER-XLG-LIGHT-RAINBOW</t>
  </si>
  <si>
    <t>SUMMER-XLG-LT-GREENPURPLE</t>
  </si>
  <si>
    <t>SUMMER-XLG-LT-PINKORANGE</t>
  </si>
  <si>
    <t>SUMMER-XLG-PINKPURPLE</t>
  </si>
  <si>
    <t>SUMMER-XLG-RAINBOW</t>
  </si>
  <si>
    <t>SWAY-LAR-4SET</t>
  </si>
  <si>
    <t>SWAY-LAR-ARCTIC</t>
  </si>
  <si>
    <t>SWAY-LAR-ATLANTIC</t>
  </si>
  <si>
    <t>SWAY-LAR-INDIAN</t>
  </si>
  <si>
    <t>SWAY-LAR-PACIFIC</t>
  </si>
  <si>
    <t>SWAY-XLG-4SET</t>
  </si>
  <si>
    <t>SWAY-XLG-ATLANTIC</t>
  </si>
  <si>
    <t>SWAY-XLG-INDIAN</t>
  </si>
  <si>
    <t>SWAY-XLG-PACIFIC</t>
  </si>
  <si>
    <t>TANGT-HAIRW-BLACK</t>
  </si>
  <si>
    <t>TANGT-HAIRW-LTGRN</t>
  </si>
  <si>
    <t>TANGT-HAIRW-LTPNK</t>
  </si>
  <si>
    <t>TANGT-HAIRW-LTPPL</t>
  </si>
  <si>
    <t>TEATWL-MD-2SET-CHEFKISS</t>
  </si>
  <si>
    <t>TEATWL-MD-2SET-COOLMAR</t>
  </si>
  <si>
    <t>TEATWL-MD-2SETA</t>
  </si>
  <si>
    <t>TEATWL-MD-2SETB</t>
  </si>
  <si>
    <t>TEATWL-MD-3SET-BLISS</t>
  </si>
  <si>
    <t>TEATWL-MD-3SET-BLUJAM</t>
  </si>
  <si>
    <t>TEATWL-MD-3SET-HOTSAUC</t>
  </si>
  <si>
    <t>TEATWL-MD-3SET-MANIA</t>
  </si>
  <si>
    <t>TEATWL-MD-3SET-PATCHP</t>
  </si>
  <si>
    <t>TEATWL-MD-3SET-SPICPEEL</t>
  </si>
  <si>
    <t>TEATWL-MD-3SET-SPRPEEL</t>
  </si>
  <si>
    <t>TEATWL-MD-3SET-TRIOTOM</t>
  </si>
  <si>
    <t>TEATWL-MD-3SET-ZEST</t>
  </si>
  <si>
    <t>TEATWL-MD-3SET-ZESTCHK</t>
  </si>
  <si>
    <t>TEATWL-MD-3SETA</t>
  </si>
  <si>
    <t>TEATWL-MD-3SETB</t>
  </si>
  <si>
    <t>TEATWL-MD-3SETC</t>
  </si>
  <si>
    <t>TEATWL-MD-4SETA</t>
  </si>
  <si>
    <t>TEATWL-MD-5SET-DNRPTY</t>
  </si>
  <si>
    <t>TEATWL-MD-5SETA</t>
  </si>
  <si>
    <t>TEATWL-MD-BLISS</t>
  </si>
  <si>
    <t>TEATWL-MD-BLUJAM</t>
  </si>
  <si>
    <t>TEATWL-MD-FRTSLD</t>
  </si>
  <si>
    <t>TEATWL-MD-PATCHP</t>
  </si>
  <si>
    <t>TEATWL-MD-ZEST</t>
  </si>
  <si>
    <t>TOWLB-ANI-LG-5SET</t>
  </si>
  <si>
    <t>TOWLB-ANI-LG-COW</t>
  </si>
  <si>
    <t>TOWLB-ANI-LG-DALMA</t>
  </si>
  <si>
    <t>TOWLB-ANI-LG-LEOPD</t>
  </si>
  <si>
    <t>TOWLB-ANI-LG-SNAKE</t>
  </si>
  <si>
    <t>TOWLB-ANI-LG-TIGER</t>
  </si>
  <si>
    <t>TOWLB-ANI-XL-5SET</t>
  </si>
  <si>
    <t>TOWLB-ANI-XL-COW</t>
  </si>
  <si>
    <t>TOWLB-ANI-XL-DALMA</t>
  </si>
  <si>
    <t>TOWLB-ANI-XL-LEOPD</t>
  </si>
  <si>
    <t>TOWLB-ANI-XL-SNAKE</t>
  </si>
  <si>
    <t>TOWLB-ANI-XL-TIGER</t>
  </si>
  <si>
    <t>TOWLB-BOH-LG-3SET-R</t>
  </si>
  <si>
    <t>TOWLB-BOH-LG-FRESP-R</t>
  </si>
  <si>
    <t>TOWLB-BOH-LG-LOSTN-R</t>
  </si>
  <si>
    <t>TOWLB-BOH-LG-RECKX-R</t>
  </si>
  <si>
    <t>TOWLB-BOH-XL-3SET-R</t>
  </si>
  <si>
    <t>TOWLB-BOH-XL-FRESP-R</t>
  </si>
  <si>
    <t>TOWLB-BOH-XL-LOSTN-R</t>
  </si>
  <si>
    <t>TOWLB-BOH-XL-RECKX-R</t>
  </si>
  <si>
    <t>TOWLB-BOT-LG-5SET</t>
  </si>
  <si>
    <t>TOWLB-BOT-LG-BANA</t>
  </si>
  <si>
    <t>TOWLB-BOT-LG-HIBI</t>
  </si>
  <si>
    <t>TOWLB-BOT-LG-ORCH</t>
  </si>
  <si>
    <t>TOWLB-BOT-LG-PALM</t>
  </si>
  <si>
    <t>TOWLB-BOT-LG-PARA</t>
  </si>
  <si>
    <t>TOWLB-BOT-XL-5SET</t>
  </si>
  <si>
    <t>TOWLB-BOT-XL-BANA</t>
  </si>
  <si>
    <t>TOWLB-BOT-XL-HIBI</t>
  </si>
  <si>
    <t>TOWLB-BOT-XL-ORCH</t>
  </si>
  <si>
    <t>TOWLB-BOT-XL-PARA</t>
  </si>
  <si>
    <t>TOWLB-BTBOX-LG-BOAT</t>
  </si>
  <si>
    <t>TOWLB-BTBOX-LG-CAMERA</t>
  </si>
  <si>
    <t>TOWLB-BTBOX-LG-CROC</t>
  </si>
  <si>
    <t>TOWLB-BTBOX-LG-FISH</t>
  </si>
  <si>
    <t>TOWLB-BTBOX-LG-STRAWBERRY</t>
  </si>
  <si>
    <t>TOWLB-BTBOX-LG-TURTLE</t>
  </si>
  <si>
    <t>TOWLB-CAB-LG-4SETB-R</t>
  </si>
  <si>
    <t>TOWLB-CAB-LG-4SETC-R</t>
  </si>
  <si>
    <t>TOWLB-CAB-LG-4SETD-R</t>
  </si>
  <si>
    <t>TOWLB-CAB-LG-10SET-BDAY</t>
  </si>
  <si>
    <t>TOWLB-CAB-LG-LTGRE-R</t>
  </si>
  <si>
    <t>TOWLB-CAB-LG-LTPCH-R</t>
  </si>
  <si>
    <t>TOWLB-CAB-LG-LTRED-R</t>
  </si>
  <si>
    <t>TOWLB-CAB-LG-PURPL-R</t>
  </si>
  <si>
    <t>TOWLB-CAB-MD-LTGRY</t>
  </si>
  <si>
    <t>TOWLB-CAB-XL-4SETB-R</t>
  </si>
  <si>
    <t>TOWLB-CAB-XL-4SETC-R</t>
  </si>
  <si>
    <t>TOWLB-CAB-XL-4SETD-R</t>
  </si>
  <si>
    <t>TOWLB-CAB-XL-LTGRE-R</t>
  </si>
  <si>
    <t>TOWLB-CAB-XL-LTPCH-R</t>
  </si>
  <si>
    <t>TOWLB-CAB-XL-LTRED-R</t>
  </si>
  <si>
    <t>TOWLB-CAB-XL-PURPL-R</t>
  </si>
  <si>
    <t>TOWLB-CEL-LG-5SET</t>
  </si>
  <si>
    <t>TOWLB-CEL-LG-CONF</t>
  </si>
  <si>
    <t>TOWLB-CEL-LG-CUPS</t>
  </si>
  <si>
    <t>TOWLB-CEL-LG-DISB</t>
  </si>
  <si>
    <t>TOWLB-CEL-LG-HUND</t>
  </si>
  <si>
    <t>TOWLB-CEL-LG-JIGJ</t>
  </si>
  <si>
    <t>TOWLB-CEL-XL-5SET</t>
  </si>
  <si>
    <t>TOWLB-CEL-XL-CONF</t>
  </si>
  <si>
    <t>TOWLB-CEL-XL-CUPS</t>
  </si>
  <si>
    <t>TOWLB-CEL-XL-DISB</t>
  </si>
  <si>
    <t>TOWLB-CEL-XL-HUND</t>
  </si>
  <si>
    <t>TOWLB-CEL-XL-JIGJ</t>
  </si>
  <si>
    <t>TOWLB-DES-LG-4SET-CHCKSEA</t>
  </si>
  <si>
    <t>TOWLB-DES-LG-4SET-SUNBLVD</t>
  </si>
  <si>
    <t>TOWLB-DES-LG-4SET-TANGGRN</t>
  </si>
  <si>
    <t>TOWLB-DES-LG-6SET-PRTYPREP</t>
  </si>
  <si>
    <t>TOWLB-DES-LG-6SET-SUMSUGA</t>
  </si>
  <si>
    <t>TOWLB-DES-LG-6SET-TROPICAN</t>
  </si>
  <si>
    <t>TOWLB-DES-LG-6SET-WILDVIBE</t>
  </si>
  <si>
    <t>TOWLB-DES-LG-BLUE-4SET</t>
  </si>
  <si>
    <t>TOWLB-DES-LG-BLUE-6SET</t>
  </si>
  <si>
    <t>TOWLB-DES-LG-LIFELEM</t>
  </si>
  <si>
    <t>TOWLB-DES-LG-PALMBCH</t>
  </si>
  <si>
    <t>TOWLB-DES-LG-TERATROP</t>
  </si>
  <si>
    <t>TOWLB-DES-XL-4SET-CHCKSEA</t>
  </si>
  <si>
    <t>TOWLB-DES-XL-4SET-TANGGRN</t>
  </si>
  <si>
    <t>TOWLB-DES-XL-6SET-PRTYPREP</t>
  </si>
  <si>
    <t>TOWLB-DES-XL-6SET-SUMSUGA</t>
  </si>
  <si>
    <t>TOWLB-DES-XL-6SET-WILDVIBE</t>
  </si>
  <si>
    <t>TOWLB-DES-XL-BLUE-4SET</t>
  </si>
  <si>
    <t>TOWLB-DES-XL-BLUE-6SET</t>
  </si>
  <si>
    <t>TOWLB-DES-XL-MARINDRM</t>
  </si>
  <si>
    <t>TOWLB-DES-XL-PALMBCH</t>
  </si>
  <si>
    <t>TOWLB-DES-XL-SEAFOAM</t>
  </si>
  <si>
    <t>TOWLB-DES-XL-TERATROP</t>
  </si>
  <si>
    <t>TOWLB-DOB-LG-CARNIV</t>
  </si>
  <si>
    <t>TOWLB-DOB-LG-DISCOV</t>
  </si>
  <si>
    <t>TOWLB-DOB-LG-LEOPD</t>
  </si>
  <si>
    <t>TOWLB-DOB-LG-PANDA</t>
  </si>
  <si>
    <t>TOWLB-DOB-LG-RFA</t>
  </si>
  <si>
    <t>TOWLB-DOB-LG-SMILE</t>
  </si>
  <si>
    <t>TOWLB-DOB-LG-STONEWALL</t>
  </si>
  <si>
    <t>TOWLB-DOB-MD-SMILE</t>
  </si>
  <si>
    <t>TOWLB-DOB-XL-CARNIV</t>
  </si>
  <si>
    <t>TOWLB-DOB-XL-DISCOV</t>
  </si>
  <si>
    <t>TOWLB-DOB-XL-LEOPD</t>
  </si>
  <si>
    <t>TOWLB-DOB-XL-PANDA</t>
  </si>
  <si>
    <t>TOWLB-DOB-XL-RFA</t>
  </si>
  <si>
    <t>TOWLB-DOB-XL-SMILE</t>
  </si>
  <si>
    <t>TOWLB-FLO-LG-4SET</t>
  </si>
  <si>
    <t>TOWLB-FLO-LG-BLOOM</t>
  </si>
  <si>
    <t>TOWLB-FLO-LG-DAISY</t>
  </si>
  <si>
    <t>TOWLB-FLO-LG-PALM</t>
  </si>
  <si>
    <t>TOWLB-FLO-LG-SUNFL</t>
  </si>
  <si>
    <t>TOWLB-FLO-XL-4SET</t>
  </si>
  <si>
    <t>TOWLB-FLO-XL-BLOOM</t>
  </si>
  <si>
    <t>TOWLB-FLO-XL-DAISY</t>
  </si>
  <si>
    <t>TOWLB-FLO-XL-PALM</t>
  </si>
  <si>
    <t>TOWLB-FLO-XL-SUNFL</t>
  </si>
  <si>
    <t>TOWLB-JUN-LG-5SET-R</t>
  </si>
  <si>
    <t>TOWLB-JUN-LG-ELEPH-R</t>
  </si>
  <si>
    <t>TOWLB-JUN-LG-FLAMG-R</t>
  </si>
  <si>
    <t>TOWLB-JUN-LG-MONKY-R</t>
  </si>
  <si>
    <t>TOWLB-JUN-LG-TIGER-R</t>
  </si>
  <si>
    <t>TOWLB-JUN-LG-TOUCN-R</t>
  </si>
  <si>
    <t>TOWLB-JUN-XL-5SET-R</t>
  </si>
  <si>
    <t>TOWLB-JUN-XL-ELEPH-R</t>
  </si>
  <si>
    <t>TOWLB-JUN-XL-FLAMG-R</t>
  </si>
  <si>
    <t>TOWLB-JUN-XL-TIGER-R</t>
  </si>
  <si>
    <t>TOWLB-JUN-XL-TOUCN-R</t>
  </si>
  <si>
    <t>TOWLB-KID-LG-4SET</t>
  </si>
  <si>
    <t>TOWLB-KID-LG-4SETA</t>
  </si>
  <si>
    <t>TOWLB-KID-LG-4SETB</t>
  </si>
  <si>
    <t>TOWLB-KID-LG-4SETC</t>
  </si>
  <si>
    <t>TOWLB-KID-LG-4SETE</t>
  </si>
  <si>
    <t>TOWLB-KID-LG-4SETF</t>
  </si>
  <si>
    <t>TOWLB-KID-LG-4SETG</t>
  </si>
  <si>
    <t>TOWLB-KID-LG-4SETI</t>
  </si>
  <si>
    <t>TOWLB-KID-LG-4SETJ</t>
  </si>
  <si>
    <t>TOWLB-KID-LG-4SETK</t>
  </si>
  <si>
    <t>TOWLB-KID-LG-6SET-SPLASH</t>
  </si>
  <si>
    <t>TOWLB-KID-LG-BEACH</t>
  </si>
  <si>
    <t>TOWLB-KID-LG-CROC</t>
  </si>
  <si>
    <t>TOWLB-KID-LG-CROC-FBA</t>
  </si>
  <si>
    <t>TOWLB-KID-LG-FLAM-FBA</t>
  </si>
  <si>
    <t>TOWLB-KID-LG-LEOP</t>
  </si>
  <si>
    <t>TOWLB-KID-LG-PEACH</t>
  </si>
  <si>
    <t>TOWLB-KID-LG-POWER</t>
  </si>
  <si>
    <t>TOWLB-KID-LG-REEF</t>
  </si>
  <si>
    <t>TOWLB-KID-LG-SQUIG</t>
  </si>
  <si>
    <t>TOWLB-KID-LG-SUNS</t>
  </si>
  <si>
    <t>TOWLB-KID-LG-TUTTI</t>
  </si>
  <si>
    <t>TOWLB-KID-MD-4SETA</t>
  </si>
  <si>
    <t>TOWLB-KID-MD-4SETB</t>
  </si>
  <si>
    <t>TOWLB-KID-MD-4SETC</t>
  </si>
  <si>
    <t>TOWLB-KID-MD-4SETD</t>
  </si>
  <si>
    <t>TOWLB-KID-MD-4SETE</t>
  </si>
  <si>
    <t>TOWLB-KID-MD-4SETF</t>
  </si>
  <si>
    <t>TOWLB-KID-MD-4SETG</t>
  </si>
  <si>
    <t>TOWLB-KID-MD-4SETI</t>
  </si>
  <si>
    <t>TOWLB-KID-MD-4SETJ</t>
  </si>
  <si>
    <t>TOWLB-KID-MD-4SETK</t>
  </si>
  <si>
    <t>TOWLB-KID-MD-BEACH</t>
  </si>
  <si>
    <t>TOWLB-KID-MD-BOAT</t>
  </si>
  <si>
    <t>TOWLB-KID-MD-DOODMOOD</t>
  </si>
  <si>
    <t>TOWLB-KID-MD-FIVEDAY</t>
  </si>
  <si>
    <t>TOWLB-KID-MD-LEOP</t>
  </si>
  <si>
    <t>TOWLB-KID-MD-PEACH</t>
  </si>
  <si>
    <t>TOWLB-KID-MD-POWER</t>
  </si>
  <si>
    <t>TOWLB-KID-MD-REEF</t>
  </si>
  <si>
    <t>TOWLB-KID-MD-SQUIG</t>
  </si>
  <si>
    <t>TOWLB-KID-MD-TUTTI</t>
  </si>
  <si>
    <t>TOWLB-MBL-LG-3SET</t>
  </si>
  <si>
    <t>TOWLB-MBL-LG-LIFE</t>
  </si>
  <si>
    <t>TOWLB-MBL-LG-MUSE</t>
  </si>
  <si>
    <t>TOWLB-MBL-LG-NOTH</t>
  </si>
  <si>
    <t>TOWLB-MBL-XL-3SET</t>
  </si>
  <si>
    <t>TOWLB-MBL-XL-LIFE</t>
  </si>
  <si>
    <t>TOWLB-MBL-XL-MUSE</t>
  </si>
  <si>
    <t>TOWLB-MBL-XL-NOTH</t>
  </si>
  <si>
    <t>TOWLB-RND-4SET</t>
  </si>
  <si>
    <t>TOWLB-RND-BLUE-R</t>
  </si>
  <si>
    <t>TOWLB-RND-GREEN-R</t>
  </si>
  <si>
    <t>TOWLB-RND-LTPNK</t>
  </si>
  <si>
    <t>TOWLB-RND-NAVY</t>
  </si>
  <si>
    <t>TOWLB-RND-PINK-R</t>
  </si>
  <si>
    <t>TOWLB-RND-RAINB-R</t>
  </si>
  <si>
    <t>TOWLB-RND-RED-R</t>
  </si>
  <si>
    <t>TOWLB-RND-UNICN</t>
  </si>
  <si>
    <t>TOWLB-SGW-LG-4SET</t>
  </si>
  <si>
    <t>TOWLB-SGW-LG-CHEVR</t>
  </si>
  <si>
    <t>TOWLB-SGW-LG-GETWAV</t>
  </si>
  <si>
    <t>TOWLB-SGW-LG-GROOVY</t>
  </si>
  <si>
    <t>TOWLB-SGW-LG-RISSUN</t>
  </si>
  <si>
    <t>TOWLB-SGW-XL-4SET</t>
  </si>
  <si>
    <t>TOWLB-SGW-XL-CHEVR</t>
  </si>
  <si>
    <t>TOWLB-SGW-XL-GETWAV</t>
  </si>
  <si>
    <t>TOWLB-SGW-XL-GROOVY</t>
  </si>
  <si>
    <t>TOWLB-SGW-XL-RISSUN</t>
  </si>
  <si>
    <t>TOWLB-SUM-LG-4SET</t>
  </si>
  <si>
    <t>TOWLB-SUM-LG-4SETA-R</t>
  </si>
  <si>
    <t>TOWLB-SUM-LG-4SETB-R</t>
  </si>
  <si>
    <t>TOWLB-SUM-LG-5SET</t>
  </si>
  <si>
    <t>TOWLB-SUM-LG-6SET</t>
  </si>
  <si>
    <t>TOWLB-SUM-LG-DSKDWN</t>
  </si>
  <si>
    <t>TOWLB-SUM-LG-ENDLS-R</t>
  </si>
  <si>
    <t>TOWLB-SUM-LG-ENDRVR</t>
  </si>
  <si>
    <t>TOWLB-SUM-LG-LAVDR-R</t>
  </si>
  <si>
    <t>TOWLB-SUM-LG-PCHSUN</t>
  </si>
  <si>
    <t>TOWLB-SUM-LG-PEACH-R</t>
  </si>
  <si>
    <t>TOWLB-SUM-LG-POOL-R</t>
  </si>
  <si>
    <t>TOWLB-SUM-LG-SUNST-R</t>
  </si>
  <si>
    <t>TOWLB-SUM-XL-4SET</t>
  </si>
  <si>
    <t>TOWLB-SUM-XL-4SETA-R</t>
  </si>
  <si>
    <t>TOWLB-SUM-XL-4SETB-R</t>
  </si>
  <si>
    <t>TOWLB-SUM-XL-5SET</t>
  </si>
  <si>
    <t>TOWLB-SUM-XL-6SET</t>
  </si>
  <si>
    <t>TOWLB-SUM-XL-ENDLS-R</t>
  </si>
  <si>
    <t>TOWLB-SUM-XL-ENDRVR</t>
  </si>
  <si>
    <t>TOWLB-SUM-XL-LAVDR-R</t>
  </si>
  <si>
    <t>TOWLB-SUM-XL-PEACH-R</t>
  </si>
  <si>
    <t>TOWLB-SUM-XL-POOL-R</t>
  </si>
  <si>
    <t>TOWLB-SUM-XL-SUNST-R</t>
  </si>
  <si>
    <t>TOWLB-TED-LG-3SET</t>
  </si>
  <si>
    <t>TOWLB-TED-LG-BLUE</t>
  </si>
  <si>
    <t>TOWLB-TED-LG-GREEN</t>
  </si>
  <si>
    <t>TOWLB-TED-LG-PINK</t>
  </si>
  <si>
    <t>TOWLB-TED-XL-3SET</t>
  </si>
  <si>
    <t>TOWLB-TED-XL-BLUE</t>
  </si>
  <si>
    <t>TOWLB-TED-XL-GREEN</t>
  </si>
  <si>
    <t>TOWLB-TED-XL-PINK</t>
  </si>
  <si>
    <t>TOWLB-TYD-LG-4SET</t>
  </si>
  <si>
    <t>TOWLB-TYD-LG-BLUE</t>
  </si>
  <si>
    <t>TOWLB-TYD-LG-GREEN</t>
  </si>
  <si>
    <t>TOWLB-TYD-LG-NAVY</t>
  </si>
  <si>
    <t>TOWLB-TYD-LG-PINK</t>
  </si>
  <si>
    <t>TOWLB-TYD-XL-4SET</t>
  </si>
  <si>
    <t>TOWLB-TYD-XL-BLUE</t>
  </si>
  <si>
    <t>TOWLB-TYD-XL-GREEN</t>
  </si>
  <si>
    <t>TOWLB-TYD-XL-NAVY</t>
  </si>
  <si>
    <t>TOWLB-TYD-XL-PINK</t>
  </si>
  <si>
    <t>TOWLF-CLA-LG-5SET-R</t>
  </si>
  <si>
    <t>TOWLF-CLA-LG-BLUE-R</t>
  </si>
  <si>
    <t>TOWLF-CLA-LG-GREEN-R</t>
  </si>
  <si>
    <t>TOWLF-CLA-LG-PINK-R</t>
  </si>
  <si>
    <t>TOWLF-CLA-LG-PURPL-R</t>
  </si>
  <si>
    <t>TOWLF-CLA-LG-RED-R</t>
  </si>
  <si>
    <t>TOWLF-CLA-SM-5SET-R</t>
  </si>
  <si>
    <t>TOWLF-CLA-SM-BLUE-R</t>
  </si>
  <si>
    <t>TOWLF-CLA-SM-GREEN-R</t>
  </si>
  <si>
    <t>TOWLF-CLA-SM-PINK-R</t>
  </si>
  <si>
    <t>TOWLF-CLA-SM-PURPL-R</t>
  </si>
  <si>
    <t>TOWLF-CLA-SM-RED-R</t>
  </si>
  <si>
    <t>TOWLF-CLA-XL-5SET-R</t>
  </si>
  <si>
    <t>TOWLF-CLA-XL-BLUE-R</t>
  </si>
  <si>
    <t>TOWLF-CLA-XL-GREEN-R</t>
  </si>
  <si>
    <t>TOWLF-CLA-XL-PINK-R</t>
  </si>
  <si>
    <t>TOWLF-CLA-XL-PURPL-R</t>
  </si>
  <si>
    <t>TOWLF-CLA-XL-RED-R</t>
  </si>
  <si>
    <t>TOWLF-ESS-SM-4SET-R</t>
  </si>
  <si>
    <t>TOWLF-ESS-SM-6SET</t>
  </si>
  <si>
    <t>TOWLF-ESS-SM-DKBLU</t>
  </si>
  <si>
    <t>TOWLF-ESS-SM-GREEN-R</t>
  </si>
  <si>
    <t>TOWLF-ESS-SM-GREY-R</t>
  </si>
  <si>
    <t>TOWLF-ESS-SM-LTPPL</t>
  </si>
  <si>
    <t>TOWLF-ESS-SM-PINK-R</t>
  </si>
  <si>
    <t>TOWLH-CBH-3SET-CREAM</t>
  </si>
  <si>
    <t>TOWLH-CBH-3SET-FOAM</t>
  </si>
  <si>
    <t>TOWLH-CBH-3SET-NAVY</t>
  </si>
  <si>
    <t>TOWLH-CBH-3SET-PINK</t>
  </si>
  <si>
    <t>TOWLH-CBH-6SET-CREAM</t>
  </si>
  <si>
    <t>TOWLH-CBH-6SET-FOAM</t>
  </si>
  <si>
    <t>TOWLH-CBH-6SET-NAVY</t>
  </si>
  <si>
    <t>TOWLH-CBH-6SET-PINK</t>
  </si>
  <si>
    <t>TOWLH-CBH-6SET-SHWPWR</t>
  </si>
  <si>
    <t>TOWLH-CBH-SM-4SET</t>
  </si>
  <si>
    <t>TOWLH-CLA-3SET-NAVY</t>
  </si>
  <si>
    <t>TOWLH-CLA-3SET-WHITE</t>
  </si>
  <si>
    <t>TOWLH-GEO-3SET-NAVY</t>
  </si>
  <si>
    <t>TOWLH-GEO-3SET-PARAD</t>
  </si>
  <si>
    <t>TOWLH-GEO-3SET-PINK</t>
  </si>
  <si>
    <t>TOWLH-GEO-3SET-SAGE</t>
  </si>
  <si>
    <t>TOWLH-GEO-LG-4SET</t>
  </si>
  <si>
    <t>TOWLH-GEO-LG-NAVY</t>
  </si>
  <si>
    <t>TOWLH-GEO-SM-4SET</t>
  </si>
  <si>
    <t>TOWLH-HID-3SET-BLACK</t>
  </si>
  <si>
    <t>TOWLH-HID-3SET-BLUE</t>
  </si>
  <si>
    <t>TOWLH-HID-3SET-GREEN</t>
  </si>
  <si>
    <t>TOWLH-HID-3SET-PINK</t>
  </si>
  <si>
    <t>TOWLH-HID-LG-4SET</t>
  </si>
  <si>
    <t>TOWLH-HID-LG-BLACK</t>
  </si>
  <si>
    <t>TOWLH-HID-LG-BLUE</t>
  </si>
  <si>
    <t>TOWLH-HID-LG-GREEN</t>
  </si>
  <si>
    <t>TOWLH-HID-SM-4SET</t>
  </si>
  <si>
    <t>TOWLH-HID-SM-BLACK</t>
  </si>
  <si>
    <t>TOWLH-HID-XL-4SET</t>
  </si>
  <si>
    <t>TOWLH-HID-XL-BLACK</t>
  </si>
  <si>
    <t>TOWLH-HID-XL-BLUE</t>
  </si>
  <si>
    <t>TOWLH-HID-XL-GREEN</t>
  </si>
  <si>
    <t>TOWLH-HOM-3SET-LTBLU</t>
  </si>
  <si>
    <t>TOWLH-HOM-3SET-LTGRN</t>
  </si>
  <si>
    <t>TOWLH-HOM-3SET-LTPNK</t>
  </si>
  <si>
    <t>TOWLH-HOM-3SET-NAVY</t>
  </si>
  <si>
    <t>TOWLH-HOM-3SET-TERRA</t>
  </si>
  <si>
    <t>TOWLH-HOM-3SET-WHITE</t>
  </si>
  <si>
    <t>TOWLH-HOM-LG-4SETA</t>
  </si>
  <si>
    <t>TOWLH-HOM-LG-4SETB</t>
  </si>
  <si>
    <t>TOWLH-HOM-LG-LTBLU</t>
  </si>
  <si>
    <t>TOWLH-HOM-LG-LTBLU-R</t>
  </si>
  <si>
    <t>TOWLH-HOM-LG-LTGRN</t>
  </si>
  <si>
    <t>TOWLH-HOM-LG-LTGRN-R</t>
  </si>
  <si>
    <t>TOWLH-HOM-LG-LTPNK</t>
  </si>
  <si>
    <t>TOWLH-HOM-LG-LTPNK-R</t>
  </si>
  <si>
    <t>TOWLH-HOM-LG-NAVY</t>
  </si>
  <si>
    <t>TOWLH-HOM-LG-NAVY-R</t>
  </si>
  <si>
    <t>TOWLH-HOM-LG-TERRA</t>
  </si>
  <si>
    <t>TOWLH-HOM-LG-TERRA-R</t>
  </si>
  <si>
    <t>TOWLH-HOM-LG-WHITE</t>
  </si>
  <si>
    <t>TOWLH-HOM-LG-WHITE-R</t>
  </si>
  <si>
    <t>TOWLH-HOM-SM-LTBLU</t>
  </si>
  <si>
    <t>TOWLH-HOM-SM-LTGRN</t>
  </si>
  <si>
    <t>TOWLH-HOM-SM-NAVY</t>
  </si>
  <si>
    <t>TOWLH-HOM-SM-TERRA</t>
  </si>
  <si>
    <t>TOWLH-HOM-SM-WHITE</t>
  </si>
  <si>
    <t>TOWLH-HOM-XL-4SETA</t>
  </si>
  <si>
    <t>TOWLH-HOM-XL-4SETB</t>
  </si>
  <si>
    <t>TOWLH-HOM-XL-LTBLU</t>
  </si>
  <si>
    <t>TOWLH-HOM-XL-LTBLU-R</t>
  </si>
  <si>
    <t>TOWLH-HOM-XL-LTGRN</t>
  </si>
  <si>
    <t>TOWLH-HOM-XL-LTGRN-R</t>
  </si>
  <si>
    <t>TOWLH-HOM-XL-LTPNK</t>
  </si>
  <si>
    <t>TOWLH-HOM-XL-LTPNK-R</t>
  </si>
  <si>
    <t>TOWLH-HOM-XL-NAVY</t>
  </si>
  <si>
    <t>TOWLH-HOM-XL-NAVY-R</t>
  </si>
  <si>
    <t>TOWLH-HOM-XL-TERRA</t>
  </si>
  <si>
    <t>TOWLH-HOM-XL-TERRA-R</t>
  </si>
  <si>
    <t>TOWLH-HOM-XL-WHITE</t>
  </si>
  <si>
    <t>TOWLH-HOM-XL-WHITE-R</t>
  </si>
  <si>
    <t>TOWLH-NAT-LG-DPBLU-C</t>
  </si>
  <si>
    <t>TOWLH-NAT-LG-HONEY-C</t>
  </si>
  <si>
    <t>TOWLH-NAT-LG-POWBLU-C</t>
  </si>
  <si>
    <t>TOWLH-NAT-LG-SNWHIT-C</t>
  </si>
  <si>
    <t>TOWLH-NAT-LG-WAVNAV-C</t>
  </si>
  <si>
    <t>TOWLH-RET-3SET-CONG</t>
  </si>
  <si>
    <t>TOWLH-RET-3SET-MONT</t>
  </si>
  <si>
    <t>TOWLH-RET-3SET-SANT</t>
  </si>
  <si>
    <t>TOWLH-RET-3SET-SAPO</t>
  </si>
  <si>
    <t>TOWLH-RET-3SET-SINH</t>
  </si>
  <si>
    <t>TOWLH-RET-LG-5SET</t>
  </si>
  <si>
    <t>TOWLH-RET-LG-SANT</t>
  </si>
  <si>
    <t>TOWLH-RET-LG-SAPO</t>
  </si>
  <si>
    <t>TOWLH-RET-SM-5SET</t>
  </si>
  <si>
    <t>TOWLH-RET-XL-5SET</t>
  </si>
  <si>
    <t>TOWLH-RET-XL-CONG</t>
  </si>
  <si>
    <t>TOWLH-RET-XL-MONT</t>
  </si>
  <si>
    <t>TOWLH-RET-XL-SANT</t>
  </si>
  <si>
    <t>TOWLH-RET-XL-SAPO</t>
  </si>
  <si>
    <t>UK-SHORTSSTRIPE-MED-PINK</t>
  </si>
  <si>
    <t>WHOLESALE-BROCHURE-DNB</t>
  </si>
  <si>
    <t>WHOLESALE-BROCHURE-FR</t>
  </si>
  <si>
    <t>WHOLESALE-BROCHURE-UK</t>
  </si>
  <si>
    <t>WHOLESALE-BROCHURE-US</t>
  </si>
  <si>
    <t>WHOLESALE-POS-LAR-BOTTLE</t>
  </si>
  <si>
    <t>WHOLESALE-POSDISPLAY-LAR</t>
  </si>
  <si>
    <t>WHOLESALE-POSDISPLAY-SML</t>
  </si>
  <si>
    <t>WHOLESALE-PRICELIST-DNB</t>
  </si>
  <si>
    <t>WS-POS-EASEL-HOODT-FR-2023</t>
  </si>
  <si>
    <t>WS-POS-EASEL-MAKUP-2023</t>
  </si>
  <si>
    <t>WS-POS-EASEL-MAKUP-FR-2023</t>
  </si>
  <si>
    <t>WS-POS-EASEL-MAKUP-STD-2023</t>
  </si>
  <si>
    <t>WS-POS-EASEL-ROBE-2023</t>
  </si>
  <si>
    <t>WS-POS-EASEL-ROBE-FR-2023</t>
  </si>
  <si>
    <t>WS-POS-EASEL-TOWLB-KID-2023</t>
  </si>
  <si>
    <t>WS-POS-EASEL-TOWLH-FR-2023</t>
  </si>
  <si>
    <t>WS-SAMPLEBOX-SETA</t>
  </si>
  <si>
    <t>CROSSDOCK-1</t>
  </si>
  <si>
    <t>CROSSDOCK-2</t>
  </si>
  <si>
    <t>CROSSDOCK-3</t>
  </si>
  <si>
    <t>CROSSDOCK-4</t>
  </si>
  <si>
    <t>CROSSDOCK-5</t>
  </si>
  <si>
    <t>CROSSDOCK-6</t>
  </si>
  <si>
    <t>CROSSDOCK-7</t>
  </si>
  <si>
    <t>CROSSDOCK-8</t>
  </si>
  <si>
    <t>CROSSDOCK-9</t>
  </si>
  <si>
    <t>CROSSDOCK-10</t>
  </si>
  <si>
    <t>CROSSDOCK-11</t>
  </si>
  <si>
    <t>CROSSDOCK-12</t>
  </si>
  <si>
    <t>CROSSDOCK-13</t>
  </si>
  <si>
    <t>CROSSDOCK-14</t>
  </si>
  <si>
    <t>CROSSDOCK-15</t>
  </si>
  <si>
    <t>CROSSDOCK-16</t>
  </si>
  <si>
    <t>CROSSDOCK-17</t>
  </si>
  <si>
    <t>CROSSDOCK-18</t>
  </si>
  <si>
    <t>CROSSDOCK-19</t>
  </si>
  <si>
    <t>CROSSDOCK-20</t>
  </si>
  <si>
    <t>CUSTOM-LOGO</t>
  </si>
  <si>
    <t>CUSTOM-ORDER</t>
  </si>
  <si>
    <t>GIFT-10</t>
  </si>
  <si>
    <t>Gift Card</t>
  </si>
  <si>
    <t>GIFT-10-BABY</t>
  </si>
  <si>
    <t>GIFT-10-BIRTHDAY</t>
  </si>
  <si>
    <t>GIFT-10-CHRISTMAS</t>
  </si>
  <si>
    <t>GIFT-10-DOG</t>
  </si>
  <si>
    <t>GIFT-10-HONEYMOON</t>
  </si>
  <si>
    <t>GIFT-10-KIDS</t>
  </si>
  <si>
    <t>GIFT-10-STANDARD</t>
  </si>
  <si>
    <t>GIFT-10-STUDENT</t>
  </si>
  <si>
    <t>GIFT-10-TRAVEL</t>
  </si>
  <si>
    <t>GIFT-20</t>
  </si>
  <si>
    <t>GIFT-30</t>
  </si>
  <si>
    <t>GIFT-50</t>
  </si>
  <si>
    <t>GIFT-80</t>
  </si>
  <si>
    <t>GIFT-100</t>
  </si>
  <si>
    <t>GIFT-150</t>
  </si>
  <si>
    <t>MANUAL-ENTRY</t>
  </si>
  <si>
    <t>PERSONALISE_1_3</t>
  </si>
  <si>
    <t>PERSONALISE_4_12</t>
  </si>
  <si>
    <t>POS-SM-TOWLB-24</t>
  </si>
  <si>
    <t>PP01BS-C</t>
  </si>
  <si>
    <t>SHIP-ON-ACCOUNT-FEDEX</t>
  </si>
  <si>
    <t>SHIP-ON-ACCOUNT-UPS</t>
  </si>
  <si>
    <t>threshold-first</t>
  </si>
  <si>
    <t>threshold-second</t>
  </si>
  <si>
    <t>TOWLB-DES-LG-SERENE</t>
  </si>
  <si>
    <t>TOWLB-DES-XL-SERENE</t>
  </si>
  <si>
    <t>TRADESHOW-1</t>
  </si>
  <si>
    <t>TRADESHOW-2</t>
  </si>
  <si>
    <t>Dubai</t>
  </si>
  <si>
    <t>Goldstar</t>
  </si>
  <si>
    <t>Consignee</t>
  </si>
  <si>
    <t>Dock &amp; Bay LTD
3rd Floor 86-90 Paul Street, 
London, England, EC2A 4NE
Attn: Ben Muller
ben@dockandbay.com
+61 404 637 403
Tax number: GB212507156</t>
  </si>
  <si>
    <t>Dock &amp; Bay Ltd Corp
8 Hutchins Way
Westford, MA
018862942
Attn: Ben Muller
ben@dockandbay.com
+61 404 637 403
Tax number: 98126 2923 (EIN)</t>
  </si>
  <si>
    <t xml:space="preserve">Dock &amp; Bay LTD
3rd Floor 86-90 Paul Street, 
London, England, EC2A 4NE
Attn: Ben Muller
ben@dockandbay.com
+61 404 637 403
UK VAT: GB212507156
FR VAT: FR09842854630
FR EORI: FRGB842854630
</t>
  </si>
  <si>
    <t>Dock &amp; Bay PTY LTD
PO Box 8006
Tumbi Umbi
2261 NSW
Australia
Attn: Ben Muller
ben@dockandbay.com
+61 404 637 403
Tax number: 13608596229 (ABN)</t>
  </si>
  <si>
    <t xml:space="preserve">UNTIL PTY LTD(UTL) ESTORE LOGISTICS
 4A MURRAY JONES DRIVE
 DELIVERT TO DOCK 6 BANKSTOWN AIRPORT NSW 2200
 AUSTRALIA		
		</t>
  </si>
  <si>
    <t>Make My Day
Attention: Make My Day co.,ltd
Attention: Make My Day co.,ltd
260 SOI PIBULSONGKRAM 21,
SOUNYAI, MUANG NONTHABURI,
NONTHABURI
TAX ID 0105557171354</t>
  </si>
  <si>
    <t>Trendform AG
Allmendstrasse 32
Fehraltorf
CH-8320
SWITZERLAND</t>
  </si>
  <si>
    <t xml:space="preserve">SP NTOVAS AND CO 
Flora Kapartmatzi 
A-Play AMFIPOLEOS 11 VOTANIKOS 
ATHENS 11855 Greece </t>
  </si>
  <si>
    <t>DISTRIBUCIONES XKI,S.L.
 AVENIDA LA PASTORA 12
 LOC IZQUIERDO
 48920 PORTUGALETE BIZKAIA
 SPAIN</t>
  </si>
  <si>
    <t xml:space="preserve">
Solly Clark
Soho &amp; Co FZE-LLC
Business Centre, Sharjah Publishing City Free Zone
Dubai 
United Arab Emirates
+971525724447</t>
  </si>
  <si>
    <t>ESTIBOL S.A.S
Natalia Gonzalez
Carrera 12
No  piso 2
bogota
Bogotá, D.C.
89-30
Colombia
Ph: 860508382</t>
  </si>
  <si>
    <t>Notfiying Party:</t>
  </si>
  <si>
    <t>ILG c/o Dock &amp; Bay
Unit 2 Space Gatwick
Faraday Road
Crawley
RH10 9BJ Ph: 07960 100 293
Attn: Aaron Hale 
aaronh@ilguk.com</t>
  </si>
  <si>
    <t>Geneva10 Fulfillment 
1501 E. Wisconsin Street, 
Dock Doors K, L, M, 
Delavan, WI 53115 Attention: Matt Barta
ph. (262) 2292637
 +1 2629034347</t>
  </si>
  <si>
    <t>IFulfilment, Harderhook 19, 46395 Bocholt, Germany 
Ph: 01425 200 200
Harriet Cubitt harriet.cubitt@ifglobal.com
UK office on 01425200200</t>
  </si>
  <si>
    <t>DOK/Coghlans
4-8 Ferndell Street
South Granville, NSW, 2142, Australia
receiving@coghlan.com.au
D: +61 2 9828 0111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</si>
</sst>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/mmm/yy"/>
  </numFmts>
  <fonts count="21">
    <font>
      <sz val="10"/>
      <color rgb="FF000000"/>
      <name val="Arial"/>
      <charset val="134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8"/>
      <color rgb="FF000000"/>
      <name val="Arial"/>
      <family val="2"/>
    </font>
    <font>
      <sz val="8"/>
      <color rgb="FF000000"/>
      <name val="&quot;Aptos Narrow&quot;"/>
      <charset val="134"/>
    </font>
    <font>
      <sz val="12"/>
      <color rgb="FF000000"/>
      <name val="&quot;Aptos Narrow&quot;"/>
      <charset val="134"/>
    </font>
    <font>
      <b/>
      <sz val="18"/>
      <color theme="1"/>
      <name val="Arial"/>
      <family val="2"/>
    </font>
    <font>
      <sz val="10"/>
      <name val="Arial"/>
      <family val="2"/>
    </font>
    <font>
      <b/>
      <sz val="16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b/>
      <sz val="11"/>
      <color theme="1"/>
      <name val="Arial"/>
      <family val="2"/>
    </font>
    <font>
      <b/>
      <sz val="10"/>
      <color rgb="FF000000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9"/>
      <color rgb="FF000000"/>
      <name val="Arial"/>
      <family val="2"/>
    </font>
    <font>
      <b/>
      <sz val="9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theme="4" tint="0.79995117038483843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6" fillId="3" borderId="0" xfId="0" applyFont="1" applyFill="1"/>
    <xf numFmtId="0" fontId="7" fillId="0" borderId="0" xfId="0" applyFont="1"/>
    <xf numFmtId="0" fontId="4" fillId="0" borderId="0" xfId="0" applyFont="1"/>
    <xf numFmtId="0" fontId="0" fillId="0" borderId="0" xfId="0" applyAlignment="1">
      <alignment vertical="center"/>
    </xf>
    <xf numFmtId="0" fontId="11" fillId="0" borderId="4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1" fillId="0" borderId="4" xfId="0" applyFont="1" applyBorder="1" applyAlignment="1">
      <alignment horizontal="left" vertical="center"/>
    </xf>
    <xf numFmtId="0" fontId="11" fillId="0" borderId="1" xfId="0" applyFont="1" applyBorder="1" applyAlignment="1">
      <alignment horizontal="left"/>
    </xf>
    <xf numFmtId="0" fontId="14" fillId="0" borderId="4" xfId="0" applyFont="1" applyBorder="1" applyAlignment="1">
      <alignment wrapText="1"/>
    </xf>
    <xf numFmtId="0" fontId="4" fillId="0" borderId="4" xfId="0" applyFont="1" applyBorder="1"/>
    <xf numFmtId="0" fontId="13" fillId="0" borderId="4" xfId="0" applyFont="1" applyBorder="1" applyAlignment="1">
      <alignment horizontal="left"/>
    </xf>
    <xf numFmtId="0" fontId="14" fillId="0" borderId="4" xfId="0" applyFont="1" applyBorder="1" applyAlignment="1">
      <alignment horizontal="center"/>
    </xf>
    <xf numFmtId="0" fontId="14" fillId="0" borderId="4" xfId="0" applyFont="1" applyBorder="1"/>
    <xf numFmtId="0" fontId="16" fillId="0" borderId="4" xfId="0" applyFont="1" applyBorder="1" applyAlignment="1">
      <alignment horizontal="right"/>
    </xf>
    <xf numFmtId="0" fontId="3" fillId="0" borderId="4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13" fillId="0" borderId="0" xfId="0" applyFont="1"/>
    <xf numFmtId="0" fontId="11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7" fillId="0" borderId="0" xfId="0" applyFont="1"/>
    <xf numFmtId="0" fontId="13" fillId="0" borderId="0" xfId="0" applyFont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4" fillId="5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5" borderId="0" xfId="0" applyFont="1" applyFill="1"/>
    <xf numFmtId="0" fontId="7" fillId="5" borderId="0" xfId="0" applyFont="1" applyFill="1"/>
    <xf numFmtId="0" fontId="11" fillId="0" borderId="11" xfId="0" applyFont="1" applyBorder="1" applyAlignment="1">
      <alignment horizontal="left" vertical="center"/>
    </xf>
    <xf numFmtId="9" fontId="14" fillId="0" borderId="4" xfId="0" applyNumberFormat="1" applyFont="1" applyBorder="1" applyAlignment="1">
      <alignment horizontal="center"/>
    </xf>
    <xf numFmtId="0" fontId="14" fillId="0" borderId="4" xfId="0" applyFont="1" applyBorder="1" applyAlignment="1">
      <alignment horizontal="left"/>
    </xf>
    <xf numFmtId="0" fontId="13" fillId="0" borderId="4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10" fillId="0" borderId="1" xfId="0" applyFont="1" applyBorder="1" applyAlignment="1">
      <alignment horizontal="center"/>
    </xf>
    <xf numFmtId="0" fontId="9" fillId="0" borderId="2" xfId="0" applyFont="1" applyBorder="1"/>
    <xf numFmtId="0" fontId="9" fillId="0" borderId="3" xfId="0" applyFont="1" applyBorder="1"/>
    <xf numFmtId="0" fontId="3" fillId="0" borderId="2" xfId="0" applyFont="1" applyBorder="1" applyAlignment="1">
      <alignment horizontal="left" wrapText="1"/>
    </xf>
    <xf numFmtId="168" fontId="12" fillId="0" borderId="1" xfId="0" applyNumberFormat="1" applyFont="1" applyBorder="1" applyAlignment="1">
      <alignment horizontal="center" wrapText="1"/>
    </xf>
    <xf numFmtId="0" fontId="13" fillId="0" borderId="6" xfId="0" applyFont="1" applyBorder="1" applyAlignment="1">
      <alignment horizontal="center" vertical="center"/>
    </xf>
    <xf numFmtId="0" fontId="9" fillId="0" borderId="7" xfId="0" applyFont="1" applyBorder="1"/>
    <xf numFmtId="0" fontId="9" fillId="0" borderId="8" xfId="0" applyFont="1" applyBorder="1"/>
    <xf numFmtId="0" fontId="13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0" fillId="0" borderId="0" xfId="0"/>
    <xf numFmtId="0" fontId="11" fillId="0" borderId="5" xfId="0" applyFont="1" applyBorder="1" applyAlignment="1">
      <alignment horizontal="left" vertical="center"/>
    </xf>
    <xf numFmtId="0" fontId="9" fillId="0" borderId="9" xfId="0" applyFont="1" applyBorder="1"/>
    <xf numFmtId="0" fontId="9" fillId="0" borderId="11" xfId="0" applyFont="1" applyBorder="1"/>
    <xf numFmtId="0" fontId="11" fillId="4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9" fillId="0" borderId="12" xfId="0" applyFont="1" applyBorder="1"/>
    <xf numFmtId="0" fontId="9" fillId="0" borderId="13" xfId="0" applyFont="1" applyBorder="1"/>
    <xf numFmtId="0" fontId="9" fillId="0" borderId="14" xfId="0" applyFont="1" applyBorder="1"/>
    <xf numFmtId="0" fontId="13" fillId="0" borderId="6" xfId="0" applyFont="1" applyBorder="1" applyAlignment="1">
      <alignment horizontal="left" vertical="center" wrapText="1"/>
    </xf>
    <xf numFmtId="0" fontId="9" fillId="0" borderId="7" xfId="0" applyFont="1" applyBorder="1" applyAlignment="1">
      <alignment wrapText="1"/>
    </xf>
    <xf numFmtId="0" fontId="9" fillId="0" borderId="10" xfId="0" applyFont="1" applyBorder="1" applyAlignment="1">
      <alignment wrapText="1"/>
    </xf>
    <xf numFmtId="0" fontId="0" fillId="0" borderId="0" xfId="0" applyAlignment="1">
      <alignment wrapText="1"/>
    </xf>
    <xf numFmtId="0" fontId="9" fillId="0" borderId="12" xfId="0" applyFont="1" applyBorder="1" applyAlignment="1">
      <alignment wrapText="1"/>
    </xf>
    <xf numFmtId="0" fontId="9" fillId="0" borderId="13" xfId="0" applyFont="1" applyBorder="1" applyAlignment="1">
      <alignment wrapText="1"/>
    </xf>
    <xf numFmtId="0" fontId="4" fillId="6" borderId="1" xfId="0" applyFont="1" applyFill="1" applyBorder="1" applyAlignment="1">
      <alignment horizontal="center" vertical="center"/>
    </xf>
    <xf numFmtId="0" fontId="9" fillId="6" borderId="2" xfId="0" applyFont="1" applyFill="1" applyBorder="1"/>
    <xf numFmtId="0" fontId="9" fillId="6" borderId="3" xfId="0" applyFont="1" applyFill="1" applyBorder="1"/>
    <xf numFmtId="0" fontId="13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11" fillId="5" borderId="5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dministrator/Desktop/Lynn/Sammie/&#26465;&#32441;&#21253;Dock&amp;Bay/&#20986;&#36135;/P55%203&#22269;&#20986;&#36135;/&#32473;Ben%20&#28165;&#20851;/XR%20Supplier%20Invoice%20v1%202026.xlsx" TargetMode="External"/><Relationship Id="rId1" Type="http://schemas.openxmlformats.org/officeDocument/2006/relationships/externalLinkPath" Target="/Users/Administrator/Desktop/Lynn/Sammie/&#26465;&#32441;&#21253;Dock&amp;Bay/&#20986;&#36135;/P55%203&#22269;&#20986;&#36135;/&#32473;Ben%20&#28165;&#20851;/XR%20Supplier%20Invoice%20v1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voice"/>
      <sheetName val="Packing List"/>
      <sheetName val="HS Codes"/>
      <sheetName val="SKU_LOOKUP"/>
      <sheetName val="Country"/>
    </sheetNames>
    <sheetDataSet>
      <sheetData sheetId="0"/>
      <sheetData sheetId="1"/>
      <sheetData sheetId="2"/>
      <sheetData sheetId="3">
        <row r="1">
          <cell r="A1" t="str">
            <v>SKU</v>
          </cell>
          <cell r="B1" t="str">
            <v>sku_barcode</v>
          </cell>
          <cell r="C1" t="str">
            <v>Status</v>
          </cell>
          <cell r="D1" t="str">
            <v>core_products</v>
          </cell>
          <cell r="E1" t="str">
            <v>carton_qty</v>
          </cell>
          <cell r="F1" t="str">
            <v>release_window</v>
          </cell>
          <cell r="G1" t="str">
            <v>supplier_final</v>
          </cell>
          <cell r="H1" t="str">
            <v>product_select</v>
          </cell>
          <cell r="I1" t="str">
            <v>GRS_material_product</v>
          </cell>
          <cell r="M1" t="str">
            <v>hs_code_us</v>
          </cell>
          <cell r="N1" t="str">
            <v>hs_code_uk</v>
          </cell>
          <cell r="O1" t="str">
            <v>hs_code_ca</v>
          </cell>
          <cell r="P1" t="str">
            <v>hs_code_eu</v>
          </cell>
          <cell r="Q1" t="str">
            <v>hs_code_eu_sanction</v>
          </cell>
          <cell r="R1" t="str">
            <v>hs_code_au</v>
          </cell>
          <cell r="S1" t="str">
            <v>hs_code_dubai</v>
          </cell>
        </row>
        <row r="2">
          <cell r="A2" t="str">
            <v>BAGBCH-MD-NAVY</v>
          </cell>
          <cell r="B2" t="str">
            <v>5.061E+12</v>
          </cell>
          <cell r="C2" t="str">
            <v>ACTIVE</v>
          </cell>
          <cell r="D2" t="str">
            <v>Core</v>
          </cell>
          <cell r="E2">
            <v>20</v>
          </cell>
          <cell r="F2" t="str">
            <v>SS24</v>
          </cell>
          <cell r="G2" t="str">
            <v>Weireken</v>
          </cell>
          <cell r="H2" t="str">
            <v>BAG-BEACH</v>
          </cell>
          <cell r="M2" t="str">
            <v>4202.92.9100</v>
          </cell>
          <cell r="N2">
            <v>4202220000</v>
          </cell>
          <cell r="O2">
            <v>0</v>
          </cell>
          <cell r="P2">
            <v>42022290</v>
          </cell>
          <cell r="Q2">
            <v>0</v>
          </cell>
          <cell r="R2" t="str">
            <v>4202.22.00</v>
          </cell>
          <cell r="S2">
            <v>42029100</v>
          </cell>
        </row>
        <row r="3">
          <cell r="A3" t="str">
            <v>BAGBCH-MD-PSTPIER</v>
          </cell>
          <cell r="B3" t="str">
            <v>5.061E+12</v>
          </cell>
          <cell r="C3" t="str">
            <v>ACTIVE</v>
          </cell>
          <cell r="D3" t="str">
            <v>Seasonal</v>
          </cell>
          <cell r="E3">
            <v>20</v>
          </cell>
          <cell r="F3" t="str">
            <v>SS26</v>
          </cell>
          <cell r="G3" t="str">
            <v>Weireken</v>
          </cell>
          <cell r="H3" t="str">
            <v>BAG-BEACH</v>
          </cell>
          <cell r="M3" t="str">
            <v>4202.92.9100</v>
          </cell>
          <cell r="N3">
            <v>4202220000</v>
          </cell>
          <cell r="O3">
            <v>0</v>
          </cell>
          <cell r="P3">
            <v>42022290</v>
          </cell>
          <cell r="Q3">
            <v>0</v>
          </cell>
          <cell r="R3" t="str">
            <v>4202.22.00</v>
          </cell>
          <cell r="S3">
            <v>42029100</v>
          </cell>
        </row>
        <row r="4">
          <cell r="A4" t="str">
            <v>BAGBCH-MD-RSPROAD</v>
          </cell>
          <cell r="B4" t="str">
            <v>5.061E+12</v>
          </cell>
          <cell r="C4" t="str">
            <v>ACTIVE</v>
          </cell>
          <cell r="D4" t="str">
            <v>Seasonal</v>
          </cell>
          <cell r="E4">
            <v>20</v>
          </cell>
          <cell r="F4" t="str">
            <v>SS26</v>
          </cell>
          <cell r="G4" t="str">
            <v>Weireken</v>
          </cell>
          <cell r="H4" t="str">
            <v>BAG-BEACH</v>
          </cell>
          <cell r="M4" t="str">
            <v>4202.92.9100</v>
          </cell>
          <cell r="N4">
            <v>4202220000</v>
          </cell>
          <cell r="O4">
            <v>0</v>
          </cell>
          <cell r="P4">
            <v>42022290</v>
          </cell>
          <cell r="Q4">
            <v>0</v>
          </cell>
          <cell r="R4" t="str">
            <v>4202.22.00</v>
          </cell>
          <cell r="S4">
            <v>42029100</v>
          </cell>
        </row>
        <row r="5">
          <cell r="A5" t="str">
            <v>BAGCOOL-MD-APPLTRT</v>
          </cell>
          <cell r="B5" t="str">
            <v>5.061E+12</v>
          </cell>
          <cell r="C5" t="str">
            <v>ACTIVE</v>
          </cell>
          <cell r="D5" t="str">
            <v>Seasonal</v>
          </cell>
          <cell r="E5">
            <v>20</v>
          </cell>
          <cell r="F5" t="str">
            <v>SS26</v>
          </cell>
          <cell r="G5" t="str">
            <v>Weireken</v>
          </cell>
          <cell r="H5" t="str">
            <v>BAG-COOL</v>
          </cell>
          <cell r="M5" t="str">
            <v>4202.92.9100</v>
          </cell>
          <cell r="N5">
            <v>4202220000</v>
          </cell>
          <cell r="O5">
            <v>0</v>
          </cell>
          <cell r="P5">
            <v>42022290</v>
          </cell>
          <cell r="Q5">
            <v>0</v>
          </cell>
          <cell r="R5" t="str">
            <v>4202.22.00</v>
          </cell>
          <cell r="S5">
            <v>0</v>
          </cell>
        </row>
        <row r="6">
          <cell r="A6" t="str">
            <v>BAGCOOL-MD-COLCLUB</v>
          </cell>
          <cell r="B6" t="str">
            <v>5.061E+12</v>
          </cell>
          <cell r="C6" t="str">
            <v>ACTIVE</v>
          </cell>
          <cell r="D6" t="str">
            <v>Seasonal</v>
          </cell>
          <cell r="E6">
            <v>20</v>
          </cell>
          <cell r="F6" t="str">
            <v>SS26</v>
          </cell>
          <cell r="G6" t="str">
            <v>Weireken</v>
          </cell>
          <cell r="H6" t="str">
            <v>BAG-COOL</v>
          </cell>
          <cell r="M6" t="str">
            <v>4202.92.9100</v>
          </cell>
          <cell r="N6">
            <v>4202220000</v>
          </cell>
          <cell r="O6">
            <v>0</v>
          </cell>
          <cell r="P6">
            <v>42022290</v>
          </cell>
          <cell r="Q6">
            <v>0</v>
          </cell>
          <cell r="R6" t="str">
            <v>4202.22.00</v>
          </cell>
          <cell r="S6">
            <v>0</v>
          </cell>
        </row>
        <row r="7">
          <cell r="A7" t="str">
            <v>BAGCOOL-MD-NAVY</v>
          </cell>
          <cell r="B7" t="str">
            <v>5.061E+12</v>
          </cell>
          <cell r="C7" t="str">
            <v>ACTIVE</v>
          </cell>
          <cell r="D7" t="str">
            <v>Core</v>
          </cell>
          <cell r="E7">
            <v>20</v>
          </cell>
          <cell r="F7" t="str">
            <v>SS25</v>
          </cell>
          <cell r="G7" t="str">
            <v>Weireken</v>
          </cell>
          <cell r="H7" t="str">
            <v>BAG-COOL</v>
          </cell>
          <cell r="M7" t="str">
            <v>4202.92.9100</v>
          </cell>
          <cell r="N7">
            <v>4202220000</v>
          </cell>
          <cell r="O7">
            <v>0</v>
          </cell>
          <cell r="P7">
            <v>42022290</v>
          </cell>
          <cell r="Q7">
            <v>0</v>
          </cell>
          <cell r="R7" t="str">
            <v>4202.22.00</v>
          </cell>
          <cell r="S7">
            <v>0</v>
          </cell>
        </row>
        <row r="8">
          <cell r="A8" t="str">
            <v>BAGDRY-MD-IBZAGLW</v>
          </cell>
          <cell r="B8" t="str">
            <v>5.061E+12</v>
          </cell>
          <cell r="C8" t="str">
            <v>ACTIVE</v>
          </cell>
          <cell r="D8" t="str">
            <v>Seasonal</v>
          </cell>
          <cell r="E8">
            <v>30</v>
          </cell>
          <cell r="F8" t="str">
            <v>SS26</v>
          </cell>
          <cell r="G8" t="str">
            <v>Weireken</v>
          </cell>
          <cell r="H8" t="str">
            <v>BAG-DRY-MD</v>
          </cell>
          <cell r="M8" t="str">
            <v>4202.92.9100</v>
          </cell>
          <cell r="N8">
            <v>4202220000</v>
          </cell>
          <cell r="O8">
            <v>0</v>
          </cell>
          <cell r="P8">
            <v>42022290</v>
          </cell>
          <cell r="Q8">
            <v>0</v>
          </cell>
          <cell r="R8" t="str">
            <v>4202.22.00</v>
          </cell>
          <cell r="S8">
            <v>0</v>
          </cell>
        </row>
        <row r="9">
          <cell r="A9" t="str">
            <v>BAGDRY-MD-MIAMI</v>
          </cell>
          <cell r="B9" t="str">
            <v>5.061E+12</v>
          </cell>
          <cell r="C9" t="str">
            <v>ACTIVE</v>
          </cell>
          <cell r="D9" t="str">
            <v>Seasonal</v>
          </cell>
          <cell r="E9">
            <v>30</v>
          </cell>
          <cell r="F9" t="str">
            <v>SS26</v>
          </cell>
          <cell r="G9" t="str">
            <v>Weireken</v>
          </cell>
          <cell r="H9" t="str">
            <v>BAG-DRY-MD</v>
          </cell>
          <cell r="M9" t="str">
            <v>4202.92.9100</v>
          </cell>
          <cell r="N9">
            <v>4202220000</v>
          </cell>
          <cell r="O9">
            <v>0</v>
          </cell>
          <cell r="P9">
            <v>42022290</v>
          </cell>
          <cell r="Q9">
            <v>0</v>
          </cell>
          <cell r="R9" t="str">
            <v>4202.22.00</v>
          </cell>
          <cell r="S9">
            <v>0</v>
          </cell>
        </row>
        <row r="10">
          <cell r="A10" t="str">
            <v>BAGDRY-MD-NAVY</v>
          </cell>
          <cell r="B10" t="str">
            <v>5.061E+12</v>
          </cell>
          <cell r="C10" t="str">
            <v>ACTIVE</v>
          </cell>
          <cell r="D10" t="str">
            <v>Core</v>
          </cell>
          <cell r="E10">
            <v>30</v>
          </cell>
          <cell r="F10" t="str">
            <v>SS25</v>
          </cell>
          <cell r="G10" t="str">
            <v>Weireken</v>
          </cell>
          <cell r="H10" t="str">
            <v>BAG-DRY-MD</v>
          </cell>
          <cell r="M10" t="str">
            <v>4202.92.9100</v>
          </cell>
          <cell r="N10">
            <v>4202220000</v>
          </cell>
          <cell r="O10">
            <v>0</v>
          </cell>
          <cell r="P10">
            <v>42022290</v>
          </cell>
          <cell r="Q10">
            <v>0</v>
          </cell>
          <cell r="R10" t="str">
            <v>4202.22.00</v>
          </cell>
          <cell r="S10">
            <v>0</v>
          </cell>
        </row>
        <row r="11">
          <cell r="A11" t="str">
            <v>BAGDRY-MD-WAVYBBY</v>
          </cell>
          <cell r="B11" t="str">
            <v>5.061E+12</v>
          </cell>
          <cell r="C11" t="str">
            <v>ACTIVE</v>
          </cell>
          <cell r="D11" t="str">
            <v>Seasonal</v>
          </cell>
          <cell r="E11">
            <v>30</v>
          </cell>
          <cell r="F11" t="str">
            <v>SS26</v>
          </cell>
          <cell r="G11" t="str">
            <v>Weireken</v>
          </cell>
          <cell r="H11" t="str">
            <v>BAG-DRY-MD</v>
          </cell>
          <cell r="M11" t="str">
            <v>4202.92.9100</v>
          </cell>
          <cell r="N11">
            <v>4202220000</v>
          </cell>
          <cell r="O11">
            <v>0</v>
          </cell>
          <cell r="P11">
            <v>42022290</v>
          </cell>
          <cell r="Q11">
            <v>0</v>
          </cell>
          <cell r="R11" t="str">
            <v>4202.22.00</v>
          </cell>
          <cell r="S11">
            <v>0</v>
          </cell>
        </row>
        <row r="12">
          <cell r="A12" t="str">
            <v>BAGDRY-XS-HOTTROP</v>
          </cell>
          <cell r="B12" t="str">
            <v>5.061E+12</v>
          </cell>
          <cell r="C12" t="str">
            <v>ACTIVE</v>
          </cell>
          <cell r="D12" t="str">
            <v>Seasonal</v>
          </cell>
          <cell r="E12">
            <v>100</v>
          </cell>
          <cell r="F12" t="str">
            <v>SS26</v>
          </cell>
          <cell r="G12" t="str">
            <v>Weireken</v>
          </cell>
          <cell r="H12" t="str">
            <v>BAG-DRY-SM</v>
          </cell>
          <cell r="M12" t="str">
            <v>4202.92.9100</v>
          </cell>
          <cell r="N12">
            <v>4202220000</v>
          </cell>
          <cell r="O12">
            <v>0</v>
          </cell>
          <cell r="P12">
            <v>42022290</v>
          </cell>
          <cell r="Q12">
            <v>0</v>
          </cell>
          <cell r="R12" t="str">
            <v>4202.22.00</v>
          </cell>
          <cell r="S12">
            <v>0</v>
          </cell>
        </row>
        <row r="13">
          <cell r="A13" t="str">
            <v>BAGDRY-XS-MIAMI</v>
          </cell>
          <cell r="B13" t="str">
            <v>5.061E+12</v>
          </cell>
          <cell r="C13" t="str">
            <v>ACTIVE</v>
          </cell>
          <cell r="D13" t="str">
            <v>Seasonal</v>
          </cell>
          <cell r="E13">
            <v>100</v>
          </cell>
          <cell r="F13" t="str">
            <v>SS26</v>
          </cell>
          <cell r="G13" t="str">
            <v>Weireken</v>
          </cell>
          <cell r="H13" t="str">
            <v>BAG-DRY-SM</v>
          </cell>
          <cell r="M13" t="str">
            <v>4202.92.9100</v>
          </cell>
          <cell r="N13">
            <v>4202220000</v>
          </cell>
          <cell r="O13">
            <v>0</v>
          </cell>
          <cell r="P13">
            <v>42022290</v>
          </cell>
          <cell r="Q13">
            <v>0</v>
          </cell>
          <cell r="R13" t="str">
            <v>4202.22.00</v>
          </cell>
          <cell r="S13">
            <v>0</v>
          </cell>
        </row>
        <row r="14">
          <cell r="A14" t="str">
            <v>BAGDRY-XS-NAVY</v>
          </cell>
          <cell r="B14" t="str">
            <v>5.061E+12</v>
          </cell>
          <cell r="C14" t="str">
            <v>ACTIVE</v>
          </cell>
          <cell r="D14" t="str">
            <v>Core</v>
          </cell>
          <cell r="E14">
            <v>100</v>
          </cell>
          <cell r="F14" t="str">
            <v>SS25</v>
          </cell>
          <cell r="G14" t="str">
            <v>Weireken</v>
          </cell>
          <cell r="H14" t="str">
            <v>BAG-DRY-SM</v>
          </cell>
          <cell r="M14" t="str">
            <v>4202.92.9100</v>
          </cell>
          <cell r="N14">
            <v>4202220000</v>
          </cell>
          <cell r="O14">
            <v>0</v>
          </cell>
          <cell r="P14">
            <v>42022290</v>
          </cell>
          <cell r="Q14">
            <v>0</v>
          </cell>
          <cell r="R14" t="str">
            <v>4202.22.00</v>
          </cell>
          <cell r="S14">
            <v>0</v>
          </cell>
        </row>
        <row r="15">
          <cell r="A15" t="str">
            <v>BAGDRY-XS-WAVYBBY</v>
          </cell>
          <cell r="B15" t="str">
            <v>5.061E+12</v>
          </cell>
          <cell r="C15" t="str">
            <v>ACTIVE</v>
          </cell>
          <cell r="D15" t="str">
            <v>Seasonal</v>
          </cell>
          <cell r="E15">
            <v>100</v>
          </cell>
          <cell r="F15" t="str">
            <v>SS26</v>
          </cell>
          <cell r="G15" t="str">
            <v>Weireken</v>
          </cell>
          <cell r="H15" t="str">
            <v>BAG-DRY-SM</v>
          </cell>
          <cell r="M15" t="str">
            <v>4202.92.9100</v>
          </cell>
          <cell r="N15">
            <v>4202220000</v>
          </cell>
          <cell r="O15">
            <v>0</v>
          </cell>
          <cell r="P15">
            <v>42022290</v>
          </cell>
          <cell r="Q15">
            <v>0</v>
          </cell>
          <cell r="R15" t="str">
            <v>4202.22.00</v>
          </cell>
          <cell r="S15">
            <v>0</v>
          </cell>
        </row>
        <row r="16">
          <cell r="A16" t="str">
            <v>BAGDRY-XS-WYWH</v>
          </cell>
          <cell r="B16" t="str">
            <v>5.061E+12</v>
          </cell>
          <cell r="C16" t="str">
            <v>ACTIVE</v>
          </cell>
          <cell r="D16" t="str">
            <v>Seasonal</v>
          </cell>
          <cell r="E16">
            <v>100</v>
          </cell>
          <cell r="F16" t="str">
            <v>SS26</v>
          </cell>
          <cell r="G16" t="str">
            <v>Weireken</v>
          </cell>
          <cell r="H16" t="str">
            <v>BAG-DRY-SM</v>
          </cell>
          <cell r="M16" t="str">
            <v>4202.92.9100</v>
          </cell>
          <cell r="N16">
            <v>4202220000</v>
          </cell>
          <cell r="O16">
            <v>0</v>
          </cell>
          <cell r="P16">
            <v>42022290</v>
          </cell>
          <cell r="Q16">
            <v>0</v>
          </cell>
          <cell r="R16" t="str">
            <v>4202.22.00</v>
          </cell>
          <cell r="S16">
            <v>0</v>
          </cell>
        </row>
        <row r="17">
          <cell r="A17" t="str">
            <v>BAGF-CAB-MD-LTPNK</v>
          </cell>
          <cell r="B17" t="str">
            <v>5.0607E+12</v>
          </cell>
          <cell r="C17" t="str">
            <v>ACTIVE</v>
          </cell>
          <cell r="D17" t="str">
            <v>Core</v>
          </cell>
          <cell r="E17">
            <v>100</v>
          </cell>
          <cell r="F17" t="str">
            <v>AW22</v>
          </cell>
          <cell r="G17" t="str">
            <v>Jinma (Merry)</v>
          </cell>
          <cell r="H17" t="str">
            <v>BAG-FOLD</v>
          </cell>
          <cell r="I17" t="str">
            <v>GRS Certified*** 100% Post Consumer Recycled Polyester (RM0189)</v>
          </cell>
          <cell r="M17" t="str">
            <v>4202.92.91.00</v>
          </cell>
          <cell r="N17">
            <v>4202921900</v>
          </cell>
          <cell r="O17" t="str">
            <v>4202.92.90.00</v>
          </cell>
          <cell r="P17" t="str">
            <v>4202 9298 90</v>
          </cell>
          <cell r="Q17">
            <v>0</v>
          </cell>
          <cell r="R17" t="str">
            <v>4202.92.90</v>
          </cell>
          <cell r="S17">
            <v>42029100</v>
          </cell>
        </row>
        <row r="18">
          <cell r="A18" t="str">
            <v>BAGF-CAB-MD-NAVY</v>
          </cell>
          <cell r="B18" t="str">
            <v>5.0607E+12</v>
          </cell>
          <cell r="C18" t="str">
            <v>ACTIVE</v>
          </cell>
          <cell r="D18" t="str">
            <v>Core</v>
          </cell>
          <cell r="E18">
            <v>100</v>
          </cell>
          <cell r="F18" t="str">
            <v>AW22</v>
          </cell>
          <cell r="G18" t="str">
            <v>Jinma (Merry)</v>
          </cell>
          <cell r="H18" t="str">
            <v>BAG-FOLD</v>
          </cell>
          <cell r="I18" t="str">
            <v>GRS Certified*** 100% Post Consumer Recycled Polyester (RM0189)</v>
          </cell>
          <cell r="M18" t="str">
            <v>4202.92.91.00</v>
          </cell>
          <cell r="N18">
            <v>4202921900</v>
          </cell>
          <cell r="O18" t="str">
            <v>4202.92.90.00</v>
          </cell>
          <cell r="P18" t="str">
            <v>4202 9298 90</v>
          </cell>
          <cell r="Q18">
            <v>0</v>
          </cell>
          <cell r="R18" t="str">
            <v>4202.92.90</v>
          </cell>
          <cell r="S18">
            <v>42029100</v>
          </cell>
        </row>
        <row r="19">
          <cell r="A19" t="str">
            <v>BAGF-DES-MD-IBZAGLW</v>
          </cell>
          <cell r="B19" t="str">
            <v>5.061E+12</v>
          </cell>
          <cell r="C19" t="str">
            <v>ACTIVE</v>
          </cell>
          <cell r="D19" t="str">
            <v>Seasonal</v>
          </cell>
          <cell r="E19">
            <v>100</v>
          </cell>
          <cell r="F19" t="str">
            <v>SS26</v>
          </cell>
          <cell r="G19" t="str">
            <v>Jinma (Merry)</v>
          </cell>
          <cell r="H19" t="str">
            <v>BAG-FOLD</v>
          </cell>
          <cell r="I19" t="str">
            <v>GRS Certified*** 100% Post Consumer Recycled Polyester (RM0189)</v>
          </cell>
          <cell r="M19" t="str">
            <v>4202.92.91.00</v>
          </cell>
          <cell r="N19">
            <v>4202921900</v>
          </cell>
          <cell r="O19" t="str">
            <v>4202.92.90.00</v>
          </cell>
          <cell r="P19" t="str">
            <v>4202 9298 90</v>
          </cell>
          <cell r="Q19">
            <v>0</v>
          </cell>
          <cell r="R19" t="str">
            <v>4202.92.90</v>
          </cell>
          <cell r="S19">
            <v>42029100</v>
          </cell>
        </row>
        <row r="20">
          <cell r="A20" t="str">
            <v>BAGF-DES-MD-SPRCLUB</v>
          </cell>
          <cell r="B20" t="str">
            <v>5.061E+12</v>
          </cell>
          <cell r="C20" t="str">
            <v>ACTIVE</v>
          </cell>
          <cell r="D20" t="str">
            <v>Seasonal</v>
          </cell>
          <cell r="E20">
            <v>100</v>
          </cell>
          <cell r="F20" t="str">
            <v>SS26</v>
          </cell>
          <cell r="G20" t="str">
            <v>Jinma (Merry)</v>
          </cell>
          <cell r="H20" t="str">
            <v>BAG-FOLD</v>
          </cell>
          <cell r="I20" t="str">
            <v>GRS Certified*** 100% Post Consumer Recycled Polyester (RM0189)</v>
          </cell>
          <cell r="M20" t="str">
            <v>4202.92.91.00</v>
          </cell>
          <cell r="N20">
            <v>4202921900</v>
          </cell>
          <cell r="O20" t="str">
            <v>4202.92.90.00</v>
          </cell>
          <cell r="P20" t="str">
            <v>4202 9298 90</v>
          </cell>
          <cell r="Q20">
            <v>0</v>
          </cell>
          <cell r="R20" t="str">
            <v>4202.92.90</v>
          </cell>
          <cell r="S20">
            <v>42029100</v>
          </cell>
        </row>
        <row r="21">
          <cell r="A21" t="str">
            <v>BAGF-DES-MD-WAVYBBY</v>
          </cell>
          <cell r="B21" t="str">
            <v>5.061E+12</v>
          </cell>
          <cell r="C21" t="str">
            <v>ACTIVE</v>
          </cell>
          <cell r="D21" t="str">
            <v>Seasonal</v>
          </cell>
          <cell r="E21">
            <v>100</v>
          </cell>
          <cell r="F21" t="str">
            <v>SS26</v>
          </cell>
          <cell r="G21" t="str">
            <v>Jinma (Merry)</v>
          </cell>
          <cell r="H21" t="str">
            <v>BAG-FOLD</v>
          </cell>
          <cell r="I21" t="str">
            <v>GRS Certified*** 100% Post Consumer Recycled Polyester (RM0189)</v>
          </cell>
          <cell r="M21" t="str">
            <v>4202.92.91.00</v>
          </cell>
          <cell r="N21">
            <v>4202921900</v>
          </cell>
          <cell r="O21" t="str">
            <v>4202.92.90.00</v>
          </cell>
          <cell r="P21" t="str">
            <v>4202 9298 90</v>
          </cell>
          <cell r="Q21">
            <v>0</v>
          </cell>
          <cell r="R21" t="str">
            <v>4202.92.90</v>
          </cell>
          <cell r="S21">
            <v>42029100</v>
          </cell>
        </row>
        <row r="22">
          <cell r="A22" t="str">
            <v>BAGF-DES-MD-WTRSUG</v>
          </cell>
          <cell r="B22" t="str">
            <v>5.061E+12</v>
          </cell>
          <cell r="C22" t="str">
            <v>ACTIVE</v>
          </cell>
          <cell r="D22" t="str">
            <v>Seasonal</v>
          </cell>
          <cell r="E22">
            <v>100</v>
          </cell>
          <cell r="F22" t="str">
            <v>SS26</v>
          </cell>
          <cell r="G22" t="str">
            <v>Jinma (Merry)</v>
          </cell>
          <cell r="H22" t="str">
            <v>BAG-FOLD</v>
          </cell>
          <cell r="I22" t="str">
            <v>GRS Certified*** 100% Post Consumer Recycled Polyester (RM0189)</v>
          </cell>
          <cell r="M22" t="str">
            <v>4202.92.91.00</v>
          </cell>
          <cell r="N22">
            <v>4202921900</v>
          </cell>
          <cell r="O22" t="str">
            <v>4202.92.90.00</v>
          </cell>
          <cell r="P22" t="str">
            <v>4202 9298 90</v>
          </cell>
          <cell r="Q22">
            <v>0</v>
          </cell>
          <cell r="R22" t="str">
            <v>4202.92.90</v>
          </cell>
          <cell r="S22">
            <v>42029100</v>
          </cell>
        </row>
        <row r="23">
          <cell r="A23" t="str">
            <v>BAGF-DES-MD-WYWH</v>
          </cell>
          <cell r="B23" t="str">
            <v>5.061E+12</v>
          </cell>
          <cell r="C23" t="str">
            <v>ACTIVE</v>
          </cell>
          <cell r="D23" t="str">
            <v>Seasonal</v>
          </cell>
          <cell r="E23">
            <v>100</v>
          </cell>
          <cell r="F23" t="str">
            <v>SS26</v>
          </cell>
          <cell r="G23" t="str">
            <v>Jinma (Merry)</v>
          </cell>
          <cell r="H23" t="str">
            <v>BAG-FOLD</v>
          </cell>
          <cell r="I23" t="str">
            <v>GRS Certified*** 100% Post Consumer Recycled Polyester (RM0189)</v>
          </cell>
          <cell r="M23" t="str">
            <v>4202.92.91.00</v>
          </cell>
          <cell r="N23">
            <v>4202921900</v>
          </cell>
          <cell r="O23" t="str">
            <v>4202.92.90.00</v>
          </cell>
          <cell r="P23" t="str">
            <v>4202 9298 90</v>
          </cell>
          <cell r="Q23">
            <v>0</v>
          </cell>
          <cell r="R23" t="str">
            <v>4202.92.90</v>
          </cell>
          <cell r="S23">
            <v>42029100</v>
          </cell>
        </row>
        <row r="24">
          <cell r="A24" t="str">
            <v>BAGF-SUM-MD-COLAGN</v>
          </cell>
          <cell r="B24" t="str">
            <v>5.061E+12</v>
          </cell>
          <cell r="C24" t="str">
            <v>ACTIVE</v>
          </cell>
          <cell r="D24" t="str">
            <v>Seasonal</v>
          </cell>
          <cell r="E24">
            <v>100</v>
          </cell>
          <cell r="F24" t="str">
            <v>SS26</v>
          </cell>
          <cell r="G24" t="str">
            <v>Jinma (Merry)</v>
          </cell>
          <cell r="H24" t="str">
            <v>BAG-FOLD</v>
          </cell>
          <cell r="I24" t="str">
            <v>GRS Certified*** 100% Post Consumer Recycled Polyester (RM0189)</v>
          </cell>
          <cell r="M24" t="str">
            <v>4202.92.91.00</v>
          </cell>
          <cell r="N24">
            <v>4202921900</v>
          </cell>
          <cell r="O24" t="str">
            <v>4202.92.90.00</v>
          </cell>
          <cell r="P24" t="str">
            <v>4202 9298 90</v>
          </cell>
          <cell r="Q24">
            <v>0</v>
          </cell>
          <cell r="R24" t="str">
            <v>4202.92.90</v>
          </cell>
          <cell r="S24">
            <v>42029100</v>
          </cell>
        </row>
        <row r="25">
          <cell r="A25" t="str">
            <v>BAGF-SUM-MD-CSTCANDY</v>
          </cell>
          <cell r="B25" t="str">
            <v>5.061E+12</v>
          </cell>
          <cell r="C25" t="str">
            <v>ACTIVE</v>
          </cell>
          <cell r="D25" t="str">
            <v>Seasonal</v>
          </cell>
          <cell r="E25">
            <v>100</v>
          </cell>
          <cell r="F25" t="str">
            <v>SS25</v>
          </cell>
          <cell r="G25" t="str">
            <v>Jinma (Merry)</v>
          </cell>
          <cell r="H25" t="str">
            <v>BAG-FOLD</v>
          </cell>
          <cell r="I25" t="str">
            <v>GRS Certified*** 100% Post Consumer Recycled Polyester (RM0189)</v>
          </cell>
          <cell r="M25" t="str">
            <v>4202.92.91.00</v>
          </cell>
          <cell r="N25">
            <v>4202921900</v>
          </cell>
          <cell r="O25" t="str">
            <v>4202.92.90.00</v>
          </cell>
          <cell r="P25" t="str">
            <v>4202 9298 90</v>
          </cell>
          <cell r="Q25">
            <v>0</v>
          </cell>
          <cell r="R25" t="str">
            <v>4202.92.90</v>
          </cell>
          <cell r="S25">
            <v>42029100</v>
          </cell>
        </row>
        <row r="26">
          <cell r="A26" t="str">
            <v>BAGF-SUM-MD-MIAMI</v>
          </cell>
          <cell r="B26" t="str">
            <v>5.061E+12</v>
          </cell>
          <cell r="C26" t="str">
            <v>ACTIVE</v>
          </cell>
          <cell r="D26" t="str">
            <v>Seasonal</v>
          </cell>
          <cell r="E26">
            <v>100</v>
          </cell>
          <cell r="F26" t="str">
            <v>SS26</v>
          </cell>
          <cell r="G26" t="str">
            <v>Jinma (Merry)</v>
          </cell>
          <cell r="H26" t="str">
            <v>BAG-FOLD</v>
          </cell>
          <cell r="I26" t="str">
            <v>GRS Certified*** 100% Post Consumer Recycled Polyester (RM0189)</v>
          </cell>
          <cell r="M26" t="str">
            <v>4202.92.91.00</v>
          </cell>
          <cell r="N26">
            <v>4202921900</v>
          </cell>
          <cell r="O26" t="str">
            <v>4202.92.90.00</v>
          </cell>
          <cell r="P26" t="str">
            <v>4202 9298 90</v>
          </cell>
          <cell r="Q26">
            <v>0</v>
          </cell>
          <cell r="R26" t="str">
            <v>4202.92.90</v>
          </cell>
          <cell r="S26">
            <v>42029100</v>
          </cell>
        </row>
        <row r="27">
          <cell r="A27" t="str">
            <v>BAGF-SUM-MD-UNICN</v>
          </cell>
          <cell r="B27" t="str">
            <v>5.0607E+12</v>
          </cell>
          <cell r="C27" t="str">
            <v>ACTIVE</v>
          </cell>
          <cell r="D27" t="str">
            <v>Core</v>
          </cell>
          <cell r="E27">
            <v>100</v>
          </cell>
          <cell r="F27" t="str">
            <v>AW22</v>
          </cell>
          <cell r="G27" t="str">
            <v>Jinma (Merry)</v>
          </cell>
          <cell r="H27" t="str">
            <v>BAG-FOLD</v>
          </cell>
          <cell r="I27" t="str">
            <v>GRS Certified*** 100% Post Consumer Recycled Polyester (RM0189)</v>
          </cell>
          <cell r="M27" t="str">
            <v>4202.92.91.00</v>
          </cell>
          <cell r="N27">
            <v>4202921900</v>
          </cell>
          <cell r="O27" t="str">
            <v>4202.92.90.00</v>
          </cell>
          <cell r="P27" t="str">
            <v>4202 9298 90</v>
          </cell>
          <cell r="Q27">
            <v>0</v>
          </cell>
          <cell r="R27" t="str">
            <v>4202.92.90</v>
          </cell>
          <cell r="S27">
            <v>42029100</v>
          </cell>
        </row>
        <row r="28">
          <cell r="A28" t="str">
            <v>BAGTOI-MD-BOHMDRM</v>
          </cell>
          <cell r="B28" t="str">
            <v>5.061E+12</v>
          </cell>
          <cell r="C28" t="str">
            <v>ACTIVE</v>
          </cell>
          <cell r="D28" t="str">
            <v>Seasonal</v>
          </cell>
          <cell r="E28">
            <v>40</v>
          </cell>
          <cell r="F28" t="str">
            <v>AW26</v>
          </cell>
          <cell r="G28" t="str">
            <v>Weireken</v>
          </cell>
          <cell r="H28" t="str">
            <v>BAG-TOILETRY</v>
          </cell>
          <cell r="M28">
            <v>4202929100</v>
          </cell>
          <cell r="N28">
            <v>4202220000</v>
          </cell>
          <cell r="O28">
            <v>0</v>
          </cell>
          <cell r="P28">
            <v>4202929100</v>
          </cell>
          <cell r="Q28">
            <v>0</v>
          </cell>
          <cell r="R28">
            <v>0</v>
          </cell>
          <cell r="S28">
            <v>0</v>
          </cell>
        </row>
        <row r="29">
          <cell r="A29" t="str">
            <v>BAGTOI-MD-CHRYBMB</v>
          </cell>
          <cell r="B29" t="str">
            <v>5.061E+12</v>
          </cell>
          <cell r="C29" t="str">
            <v>ACTIVE</v>
          </cell>
          <cell r="D29" t="str">
            <v>Seasonal</v>
          </cell>
          <cell r="E29">
            <v>40</v>
          </cell>
          <cell r="F29" t="str">
            <v>AW25</v>
          </cell>
          <cell r="G29" t="str">
            <v>Weireken</v>
          </cell>
          <cell r="H29" t="str">
            <v>BAG-TOILETRY</v>
          </cell>
          <cell r="M29">
            <v>4202929100</v>
          </cell>
          <cell r="N29">
            <v>4202220000</v>
          </cell>
          <cell r="O29">
            <v>0</v>
          </cell>
          <cell r="P29">
            <v>4202929100</v>
          </cell>
          <cell r="Q29">
            <v>0</v>
          </cell>
          <cell r="R29">
            <v>0</v>
          </cell>
          <cell r="S29">
            <v>0</v>
          </cell>
        </row>
        <row r="30">
          <cell r="A30" t="str">
            <v>BAGTOI-MD-PEPPNCH</v>
          </cell>
          <cell r="B30" t="str">
            <v>5.061E+12</v>
          </cell>
          <cell r="C30" t="str">
            <v>ACTIVE</v>
          </cell>
          <cell r="D30" t="str">
            <v>Seasonal</v>
          </cell>
          <cell r="E30">
            <v>40</v>
          </cell>
          <cell r="F30" t="str">
            <v>AW25</v>
          </cell>
          <cell r="G30" t="str">
            <v>Weireken</v>
          </cell>
          <cell r="H30" t="str">
            <v>BAG-TOILETRY</v>
          </cell>
          <cell r="M30">
            <v>4202929100</v>
          </cell>
          <cell r="N30">
            <v>4202220000</v>
          </cell>
          <cell r="O30">
            <v>0</v>
          </cell>
          <cell r="P30">
            <v>4202929100</v>
          </cell>
          <cell r="Q30">
            <v>0</v>
          </cell>
          <cell r="R30">
            <v>0</v>
          </cell>
          <cell r="S30">
            <v>0</v>
          </cell>
        </row>
        <row r="31">
          <cell r="A31" t="str">
            <v>BAGTOI-MD-SEASOIR</v>
          </cell>
          <cell r="B31" t="str">
            <v>5.061E+12</v>
          </cell>
          <cell r="C31" t="str">
            <v>ACTIVE</v>
          </cell>
          <cell r="D31" t="str">
            <v>Seasonal</v>
          </cell>
          <cell r="E31">
            <v>40</v>
          </cell>
          <cell r="F31" t="str">
            <v>AW26</v>
          </cell>
          <cell r="G31" t="str">
            <v>Weireken</v>
          </cell>
          <cell r="H31" t="str">
            <v>BAG-TOILETRY</v>
          </cell>
          <cell r="M31">
            <v>4202929100</v>
          </cell>
          <cell r="N31">
            <v>4202220000</v>
          </cell>
          <cell r="O31">
            <v>0</v>
          </cell>
          <cell r="P31">
            <v>4202929100</v>
          </cell>
          <cell r="Q31">
            <v>0</v>
          </cell>
          <cell r="R31">
            <v>0</v>
          </cell>
          <cell r="S31">
            <v>0</v>
          </cell>
        </row>
        <row r="32">
          <cell r="A32" t="str">
            <v>BALLAST-CAB-NAVY</v>
          </cell>
          <cell r="B32" t="str">
            <v>5.061E+12</v>
          </cell>
          <cell r="C32" t="str">
            <v>ACTIVE</v>
          </cell>
          <cell r="D32" t="str">
            <v>Core</v>
          </cell>
          <cell r="E32">
            <v>60</v>
          </cell>
          <cell r="F32" t="str">
            <v>SS25</v>
          </cell>
          <cell r="G32" t="str">
            <v>Ballast</v>
          </cell>
          <cell r="H32" t="str">
            <v>BALLAST-PILLOW</v>
          </cell>
          <cell r="M32" t="str">
            <v>9404.90.2090</v>
          </cell>
          <cell r="N32">
            <v>63079098990</v>
          </cell>
          <cell r="O32" t="str">
            <v>3926.90.7500</v>
          </cell>
          <cell r="P32" t="str">
            <v>3926.90.7500</v>
          </cell>
          <cell r="Q32">
            <v>0</v>
          </cell>
          <cell r="R32" t="str">
            <v>6306.40.00</v>
          </cell>
          <cell r="S32">
            <v>0</v>
          </cell>
        </row>
        <row r="33">
          <cell r="A33" t="str">
            <v>BALLAST-DES-GRECSH</v>
          </cell>
          <cell r="B33" t="str">
            <v>5.061E+12</v>
          </cell>
          <cell r="C33" t="str">
            <v>ACTIVE</v>
          </cell>
          <cell r="D33" t="str">
            <v>Seasonal</v>
          </cell>
          <cell r="E33">
            <v>60</v>
          </cell>
          <cell r="F33" t="str">
            <v>SS26</v>
          </cell>
          <cell r="G33" t="str">
            <v>Ballast</v>
          </cell>
          <cell r="H33" t="str">
            <v>BALLAST-PILLOW</v>
          </cell>
          <cell r="M33" t="str">
            <v>9404.90.2090</v>
          </cell>
          <cell r="N33">
            <v>63079098990</v>
          </cell>
          <cell r="O33" t="str">
            <v>3926.90.7500</v>
          </cell>
          <cell r="P33" t="str">
            <v>3926.90.7500</v>
          </cell>
          <cell r="Q33">
            <v>0</v>
          </cell>
          <cell r="R33" t="str">
            <v>6306.40.00</v>
          </cell>
          <cell r="S33">
            <v>0</v>
          </cell>
        </row>
        <row r="34">
          <cell r="A34" t="str">
            <v>BALLAST-SUM-CSTCANDY</v>
          </cell>
          <cell r="B34" t="str">
            <v>5.061E+12</v>
          </cell>
          <cell r="C34" t="str">
            <v>ACTIVE</v>
          </cell>
          <cell r="D34" t="str">
            <v>Seasonal</v>
          </cell>
          <cell r="E34">
            <v>60</v>
          </cell>
          <cell r="F34" t="str">
            <v>SS26</v>
          </cell>
          <cell r="G34" t="str">
            <v>Ballast</v>
          </cell>
          <cell r="H34" t="str">
            <v>BALLAST-PILLOW</v>
          </cell>
          <cell r="M34" t="str">
            <v>9404.90.2090</v>
          </cell>
          <cell r="N34">
            <v>63079098990</v>
          </cell>
          <cell r="O34" t="str">
            <v>3926.90.7500</v>
          </cell>
          <cell r="P34" t="str">
            <v>3926.90.7500</v>
          </cell>
          <cell r="Q34">
            <v>0</v>
          </cell>
          <cell r="R34" t="str">
            <v>6306.40.00</v>
          </cell>
          <cell r="S34">
            <v>0</v>
          </cell>
        </row>
        <row r="35">
          <cell r="A35" t="str">
            <v>BALLAST-SUM-MIAMI</v>
          </cell>
          <cell r="B35" t="str">
            <v>5.061E+12</v>
          </cell>
          <cell r="C35" t="str">
            <v>ACTIVE</v>
          </cell>
          <cell r="D35" t="str">
            <v>Seasonal</v>
          </cell>
          <cell r="E35">
            <v>60</v>
          </cell>
          <cell r="F35" t="str">
            <v>SS25</v>
          </cell>
          <cell r="G35" t="str">
            <v>Ballast</v>
          </cell>
          <cell r="H35" t="str">
            <v>BALLAST-PILLOW</v>
          </cell>
          <cell r="M35" t="str">
            <v>9404.90.2090</v>
          </cell>
          <cell r="N35">
            <v>63079098990</v>
          </cell>
          <cell r="O35" t="str">
            <v>3926.90.7500</v>
          </cell>
          <cell r="P35" t="str">
            <v>3926.90.7500</v>
          </cell>
          <cell r="Q35">
            <v>0</v>
          </cell>
          <cell r="R35" t="str">
            <v>6306.40.00</v>
          </cell>
          <cell r="S35">
            <v>0</v>
          </cell>
        </row>
        <row r="36">
          <cell r="A36" t="str">
            <v>COOL-CAB-LTGRY-R</v>
          </cell>
          <cell r="B36" t="str">
            <v>5.0607E+12</v>
          </cell>
          <cell r="C36" t="str">
            <v>ACTIVE</v>
          </cell>
          <cell r="D36" t="str">
            <v>Core</v>
          </cell>
          <cell r="E36">
            <v>100</v>
          </cell>
          <cell r="F36" t="str">
            <v>before AW20</v>
          </cell>
          <cell r="G36" t="str">
            <v>Bright Eagle (Rebecca)</v>
          </cell>
          <cell r="H36" t="str">
            <v>COOL</v>
          </cell>
          <cell r="M36" t="str">
            <v>6302.93.2000</v>
          </cell>
          <cell r="N36">
            <v>6302939000</v>
          </cell>
          <cell r="O36">
            <v>6302939000</v>
          </cell>
          <cell r="P36">
            <v>6302939000</v>
          </cell>
          <cell r="Q36">
            <v>0</v>
          </cell>
          <cell r="R36" t="str">
            <v>6302.29.00</v>
          </cell>
          <cell r="S36">
            <v>0</v>
          </cell>
        </row>
        <row r="37">
          <cell r="A37" t="str">
            <v>COOL-CAB-LTPNK-R</v>
          </cell>
          <cell r="B37" t="str">
            <v>5.0607E+12</v>
          </cell>
          <cell r="C37" t="str">
            <v>ACTIVE</v>
          </cell>
          <cell r="D37" t="str">
            <v>Core</v>
          </cell>
          <cell r="E37">
            <v>100</v>
          </cell>
          <cell r="F37" t="str">
            <v>SS23</v>
          </cell>
          <cell r="G37" t="str">
            <v>Bright Eagle (Rebecca)</v>
          </cell>
          <cell r="H37" t="str">
            <v>COOL</v>
          </cell>
          <cell r="M37" t="str">
            <v>6302.93.2000</v>
          </cell>
          <cell r="N37">
            <v>6302939000</v>
          </cell>
          <cell r="O37">
            <v>6302939000</v>
          </cell>
          <cell r="P37">
            <v>6302939000</v>
          </cell>
          <cell r="Q37">
            <v>0</v>
          </cell>
          <cell r="R37" t="str">
            <v>6302.29.00</v>
          </cell>
          <cell r="S37">
            <v>0</v>
          </cell>
        </row>
        <row r="38">
          <cell r="A38" t="str">
            <v>COOL-CAB-NAVY-R</v>
          </cell>
          <cell r="B38" t="str">
            <v>5.0607E+12</v>
          </cell>
          <cell r="C38" t="str">
            <v>ACTIVE</v>
          </cell>
          <cell r="D38" t="str">
            <v>Core</v>
          </cell>
          <cell r="E38">
            <v>100</v>
          </cell>
          <cell r="F38" t="str">
            <v>SS22</v>
          </cell>
          <cell r="G38" t="str">
            <v>Bright Eagle (Rebecca)</v>
          </cell>
          <cell r="H38" t="str">
            <v>COOL</v>
          </cell>
          <cell r="M38" t="str">
            <v>6302.93.2000</v>
          </cell>
          <cell r="N38">
            <v>6302939000</v>
          </cell>
          <cell r="O38">
            <v>6302939000</v>
          </cell>
          <cell r="P38">
            <v>6302939000</v>
          </cell>
          <cell r="Q38">
            <v>0</v>
          </cell>
          <cell r="R38" t="str">
            <v>6302.29.00</v>
          </cell>
          <cell r="S38">
            <v>0</v>
          </cell>
        </row>
        <row r="39">
          <cell r="A39" t="str">
            <v>COOL-DES-MIDNMOV</v>
          </cell>
          <cell r="B39" t="str">
            <v>5.061E+12</v>
          </cell>
          <cell r="C39" t="str">
            <v>ACTIVE</v>
          </cell>
          <cell r="D39" t="str">
            <v>Seasonal</v>
          </cell>
          <cell r="E39">
            <v>100</v>
          </cell>
          <cell r="F39" t="str">
            <v>SS25</v>
          </cell>
          <cell r="G39" t="str">
            <v>Bright Eagle (Rebecca)</v>
          </cell>
          <cell r="H39" t="str">
            <v>COOL</v>
          </cell>
          <cell r="M39" t="str">
            <v>6302.93.2000</v>
          </cell>
          <cell r="N39">
            <v>6302939000</v>
          </cell>
          <cell r="O39">
            <v>6302939000</v>
          </cell>
          <cell r="P39">
            <v>6302939000</v>
          </cell>
          <cell r="Q39">
            <v>0</v>
          </cell>
          <cell r="R39" t="str">
            <v>6302.29.00</v>
          </cell>
          <cell r="S39">
            <v>0</v>
          </cell>
        </row>
        <row r="40">
          <cell r="A40" t="str">
            <v>COOL-DES-SUNSRUN</v>
          </cell>
          <cell r="B40" t="str">
            <v>5.061E+12</v>
          </cell>
          <cell r="C40" t="str">
            <v>ACTIVE</v>
          </cell>
          <cell r="D40" t="str">
            <v>Seasonal</v>
          </cell>
          <cell r="E40">
            <v>100</v>
          </cell>
          <cell r="F40" t="str">
            <v>SS25</v>
          </cell>
          <cell r="G40" t="str">
            <v>Bright Eagle (Rebecca)</v>
          </cell>
          <cell r="H40" t="str">
            <v>COOL</v>
          </cell>
          <cell r="M40" t="str">
            <v>6302.93.2000</v>
          </cell>
          <cell r="N40">
            <v>6302939000</v>
          </cell>
          <cell r="O40">
            <v>6302939000</v>
          </cell>
          <cell r="P40">
            <v>6302939000</v>
          </cell>
          <cell r="Q40">
            <v>0</v>
          </cell>
          <cell r="R40" t="str">
            <v>6302.29.00</v>
          </cell>
          <cell r="S40">
            <v>0</v>
          </cell>
        </row>
        <row r="41">
          <cell r="A41" t="str">
            <v>DB-OT-TOWLB-CAB-LG-LTBLU</v>
          </cell>
          <cell r="B41" t="str">
            <v>8.0101E+10</v>
          </cell>
          <cell r="C41" t="str">
            <v>ACTIVE</v>
          </cell>
          <cell r="E41">
            <v>40</v>
          </cell>
          <cell r="G41" t="str">
            <v>XR Textile</v>
          </cell>
          <cell r="H41" t="str">
            <v>TOWLB</v>
          </cell>
          <cell r="I41" t="str">
            <v>GRS Certified* 83% Post Consumer Recycled Polyester (RM0189) 17% Pre Consumer Recycled Polyamide (RM1084)</v>
          </cell>
          <cell r="M41" t="str">
            <v>6302.93.2000</v>
          </cell>
          <cell r="N41">
            <v>6302600090</v>
          </cell>
          <cell r="O41" t="str">
            <v>6302.93.00.00</v>
          </cell>
          <cell r="P41">
            <v>63029390</v>
          </cell>
          <cell r="Q41">
            <v>0</v>
          </cell>
          <cell r="R41" t="str">
            <v>6302.39.00</v>
          </cell>
          <cell r="S41">
            <v>63029120</v>
          </cell>
        </row>
        <row r="42">
          <cell r="A42" t="str">
            <v>DB-RICK-TOWLB-CAB-LG-BLUE</v>
          </cell>
          <cell r="B42" t="str">
            <v>7.815E+11</v>
          </cell>
          <cell r="C42" t="str">
            <v>ACTIVE</v>
          </cell>
          <cell r="E42">
            <v>40</v>
          </cell>
          <cell r="G42" t="str">
            <v>XR Textile</v>
          </cell>
          <cell r="H42" t="str">
            <v>TOWLB</v>
          </cell>
          <cell r="I42" t="str">
            <v>GRS Certified* 83% Post Consumer Recycled Polyester (RM0189) 17% Pre Consumer Recycled Polyamide (RM1084)</v>
          </cell>
          <cell r="M42" t="str">
            <v>6302.93.2000</v>
          </cell>
          <cell r="N42">
            <v>6302600090</v>
          </cell>
          <cell r="O42" t="str">
            <v>6302.93.00.00</v>
          </cell>
          <cell r="P42">
            <v>63029390</v>
          </cell>
          <cell r="Q42">
            <v>0</v>
          </cell>
          <cell r="R42" t="str">
            <v>6302.39.00</v>
          </cell>
          <cell r="S42">
            <v>63029120</v>
          </cell>
        </row>
        <row r="43">
          <cell r="A43" t="str">
            <v>DB-WL-BAGBCH</v>
          </cell>
          <cell r="B43" t="str">
            <v>8.0101E+10</v>
          </cell>
          <cell r="C43" t="str">
            <v>ACTIVE</v>
          </cell>
          <cell r="E43">
            <v>20</v>
          </cell>
          <cell r="G43" t="str">
            <v>Weireken</v>
          </cell>
          <cell r="H43" t="str">
            <v>BAG-BEACH</v>
          </cell>
          <cell r="M43" t="str">
            <v>4202.92.9100</v>
          </cell>
          <cell r="N43">
            <v>4202220000</v>
          </cell>
          <cell r="O43">
            <v>0</v>
          </cell>
          <cell r="P43">
            <v>42022290</v>
          </cell>
          <cell r="Q43">
            <v>0</v>
          </cell>
          <cell r="R43" t="str">
            <v>4202.22.00</v>
          </cell>
          <cell r="S43">
            <v>42029100</v>
          </cell>
        </row>
        <row r="44">
          <cell r="A44" t="str">
            <v>DB-WL-BAGCOOL</v>
          </cell>
          <cell r="B44" t="str">
            <v>8.0101E+10</v>
          </cell>
          <cell r="C44" t="str">
            <v>ACTIVE</v>
          </cell>
          <cell r="E44">
            <v>20</v>
          </cell>
          <cell r="G44" t="str">
            <v>Weireken</v>
          </cell>
          <cell r="H44" t="str">
            <v>BAG-COOL</v>
          </cell>
          <cell r="M44" t="str">
            <v>4202.92.9100</v>
          </cell>
          <cell r="N44">
            <v>4202220000</v>
          </cell>
          <cell r="O44">
            <v>0</v>
          </cell>
          <cell r="P44">
            <v>42022290</v>
          </cell>
          <cell r="Q44">
            <v>0</v>
          </cell>
          <cell r="R44" t="str">
            <v>4202.22.00</v>
          </cell>
          <cell r="S44">
            <v>0</v>
          </cell>
        </row>
        <row r="45">
          <cell r="A45" t="str">
            <v>DB-WL-BAGDRY-MD</v>
          </cell>
          <cell r="B45" t="str">
            <v>8.0101E+10</v>
          </cell>
          <cell r="C45" t="str">
            <v>ACTIVE</v>
          </cell>
          <cell r="E45">
            <v>30</v>
          </cell>
          <cell r="G45" t="str">
            <v>Weireken</v>
          </cell>
          <cell r="H45" t="str">
            <v>BAG-DRY-MD</v>
          </cell>
          <cell r="M45" t="str">
            <v>4202.92.9100</v>
          </cell>
          <cell r="N45">
            <v>4202220000</v>
          </cell>
          <cell r="O45">
            <v>0</v>
          </cell>
          <cell r="P45">
            <v>42022290</v>
          </cell>
          <cell r="Q45">
            <v>0</v>
          </cell>
          <cell r="R45" t="str">
            <v>4202.22.00</v>
          </cell>
          <cell r="S45">
            <v>0</v>
          </cell>
        </row>
        <row r="46">
          <cell r="A46" t="str">
            <v>DB-WL-BAGDRY-XS</v>
          </cell>
          <cell r="B46" t="str">
            <v>8.0101E+10</v>
          </cell>
          <cell r="C46" t="str">
            <v>ACTIVE</v>
          </cell>
          <cell r="E46">
            <v>100</v>
          </cell>
          <cell r="G46" t="str">
            <v>Weireken</v>
          </cell>
          <cell r="H46" t="str">
            <v>BAG-DRY-SM</v>
          </cell>
          <cell r="M46" t="str">
            <v>4202.92.9100</v>
          </cell>
          <cell r="N46">
            <v>4202220000</v>
          </cell>
          <cell r="O46">
            <v>0</v>
          </cell>
          <cell r="P46">
            <v>42022290</v>
          </cell>
          <cell r="Q46">
            <v>0</v>
          </cell>
          <cell r="R46" t="str">
            <v>4202.22.00</v>
          </cell>
          <cell r="S46">
            <v>0</v>
          </cell>
        </row>
        <row r="47">
          <cell r="A47" t="str">
            <v>DB-WL-BAGF</v>
          </cell>
          <cell r="B47" t="str">
            <v>6.5097E+11</v>
          </cell>
          <cell r="C47" t="str">
            <v>ACTIVE</v>
          </cell>
          <cell r="E47">
            <v>100</v>
          </cell>
          <cell r="G47" t="str">
            <v>Jinma (Merry)</v>
          </cell>
          <cell r="H47" t="str">
            <v>BAG-FOLD</v>
          </cell>
          <cell r="I47" t="str">
            <v>GRS Certified*** 100% Post Consumer Recycled Polyester (RM0189)</v>
          </cell>
          <cell r="M47" t="str">
            <v>4202.92.91.00</v>
          </cell>
          <cell r="N47">
            <v>4202921900</v>
          </cell>
          <cell r="O47" t="str">
            <v>4202.92.90.00</v>
          </cell>
          <cell r="P47" t="str">
            <v>4202 9298 90</v>
          </cell>
          <cell r="Q47">
            <v>0</v>
          </cell>
          <cell r="R47" t="str">
            <v>4202.92.90</v>
          </cell>
          <cell r="S47">
            <v>42029100</v>
          </cell>
        </row>
        <row r="48">
          <cell r="A48" t="str">
            <v>DB-WL-BAGTOI</v>
          </cell>
          <cell r="B48" t="str">
            <v>8.0101E+10</v>
          </cell>
          <cell r="C48" t="str">
            <v>ACTIVE</v>
          </cell>
          <cell r="E48">
            <v>40</v>
          </cell>
          <cell r="G48" t="str">
            <v>Weireken</v>
          </cell>
          <cell r="H48" t="str">
            <v>BAG-TOILETRY</v>
          </cell>
          <cell r="M48">
            <v>4202929100</v>
          </cell>
          <cell r="N48">
            <v>4202220000</v>
          </cell>
          <cell r="O48">
            <v>0</v>
          </cell>
          <cell r="P48">
            <v>4202929100</v>
          </cell>
          <cell r="Q48">
            <v>0</v>
          </cell>
          <cell r="R48">
            <v>0</v>
          </cell>
          <cell r="S48">
            <v>0</v>
          </cell>
        </row>
        <row r="49">
          <cell r="A49" t="str">
            <v>DB-WL-COOL</v>
          </cell>
          <cell r="B49" t="str">
            <v>6.5097E+11</v>
          </cell>
          <cell r="C49" t="str">
            <v>ACTIVE</v>
          </cell>
          <cell r="E49">
            <v>100</v>
          </cell>
          <cell r="G49" t="str">
            <v>Bright Eagle (Rebecca)</v>
          </cell>
          <cell r="H49" t="str">
            <v>COOL</v>
          </cell>
          <cell r="M49" t="str">
            <v>6302.93.2000</v>
          </cell>
          <cell r="N49">
            <v>6302939000</v>
          </cell>
          <cell r="O49">
            <v>6302939000</v>
          </cell>
          <cell r="P49">
            <v>6302939000</v>
          </cell>
          <cell r="Q49">
            <v>0</v>
          </cell>
          <cell r="R49" t="str">
            <v>6302.29.00</v>
          </cell>
          <cell r="S49">
            <v>0</v>
          </cell>
        </row>
        <row r="50">
          <cell r="A50" t="str">
            <v>DB-WL-DOGTWL-LG</v>
          </cell>
          <cell r="B50" t="str">
            <v>8.0101E+10</v>
          </cell>
          <cell r="C50" t="str">
            <v>ACTIVE</v>
          </cell>
          <cell r="E50">
            <v>30</v>
          </cell>
          <cell r="G50" t="str">
            <v>XR Textile</v>
          </cell>
          <cell r="H50" t="str">
            <v>DOGTWL</v>
          </cell>
          <cell r="I50" t="str">
            <v>GRS Certified* 83% Post Consumer Recycled Polyester (RM0189) 17% Pre Consumer Recycled Polyamide (RM1084)</v>
          </cell>
          <cell r="M50" t="str">
            <v>6302.93.2000</v>
          </cell>
          <cell r="N50">
            <v>6302600090</v>
          </cell>
          <cell r="O50" t="str">
            <v>6302.93.00.00</v>
          </cell>
          <cell r="P50">
            <v>6302939000</v>
          </cell>
          <cell r="Q50">
            <v>0</v>
          </cell>
          <cell r="R50" t="str">
            <v>6302.39.00</v>
          </cell>
          <cell r="S50">
            <v>6507</v>
          </cell>
        </row>
        <row r="51">
          <cell r="A51" t="str">
            <v>DB-WL-DOGTWL-MD</v>
          </cell>
          <cell r="B51" t="str">
            <v>6.5097E+11</v>
          </cell>
          <cell r="C51" t="str">
            <v>ACTIVE</v>
          </cell>
          <cell r="E51">
            <v>40</v>
          </cell>
          <cell r="G51" t="str">
            <v>XR Textile</v>
          </cell>
          <cell r="H51" t="str">
            <v>DOGTWL</v>
          </cell>
          <cell r="I51" t="str">
            <v>GRS Certified* 83% Post Consumer Recycled Polyester (RM0189) 17% Pre Consumer Recycled Polyamide (RM1084)</v>
          </cell>
          <cell r="M51" t="str">
            <v>6302.93.2000</v>
          </cell>
          <cell r="N51">
            <v>6302600090</v>
          </cell>
          <cell r="O51" t="str">
            <v>6302.93.00.00</v>
          </cell>
          <cell r="P51">
            <v>6302939000</v>
          </cell>
          <cell r="Q51">
            <v>0</v>
          </cell>
          <cell r="R51" t="str">
            <v>6302.39.00</v>
          </cell>
          <cell r="S51">
            <v>6507</v>
          </cell>
        </row>
        <row r="52">
          <cell r="A52" t="str">
            <v>DB-WL-HAIRW-HOM</v>
          </cell>
          <cell r="B52" t="str">
            <v>6.5097E+11</v>
          </cell>
          <cell r="C52" t="str">
            <v>ACTIVE</v>
          </cell>
          <cell r="E52">
            <v>60</v>
          </cell>
          <cell r="G52" t="str">
            <v>XR Textile</v>
          </cell>
          <cell r="H52" t="str">
            <v>HAIRW-premium</v>
          </cell>
          <cell r="I52" t="str">
            <v>GRS Certified* 83% Post Consumer Recycled Polyester (RM0189) 17% Pre Consumer Recycled Polyamide (RM1084)</v>
          </cell>
          <cell r="M52" t="str">
            <v>6504.00.90.15</v>
          </cell>
          <cell r="N52">
            <v>6505009090</v>
          </cell>
          <cell r="O52" t="str">
            <v>6505.00.40.00</v>
          </cell>
          <cell r="P52" t="str">
            <v>6505.00.90.90</v>
          </cell>
          <cell r="Q52">
            <v>0</v>
          </cell>
          <cell r="R52" t="str">
            <v>6505.00.90</v>
          </cell>
          <cell r="S52">
            <v>6507</v>
          </cell>
        </row>
        <row r="53">
          <cell r="A53" t="str">
            <v>DB-WL-HAIRW-SUE</v>
          </cell>
          <cell r="B53" t="str">
            <v>6.3739E+11</v>
          </cell>
          <cell r="C53" t="str">
            <v>ACTIVE</v>
          </cell>
          <cell r="E53">
            <v>60</v>
          </cell>
          <cell r="G53" t="str">
            <v>XR Textile</v>
          </cell>
          <cell r="H53" t="str">
            <v>HAIRW-standard</v>
          </cell>
          <cell r="I53" t="str">
            <v>GRS Certified* 83% Post Consumer Recycled Polyester (RM0189) 17% Pre Consumer Recycled Polyamide (RM1084)</v>
          </cell>
          <cell r="M53" t="str">
            <v>6504.00.90.15</v>
          </cell>
          <cell r="N53">
            <v>6505009090</v>
          </cell>
          <cell r="O53" t="str">
            <v>6505.00.40.00</v>
          </cell>
          <cell r="P53" t="str">
            <v>6505.00.90.90</v>
          </cell>
          <cell r="Q53">
            <v>0</v>
          </cell>
          <cell r="R53" t="str">
            <v>6505.00.90</v>
          </cell>
          <cell r="S53">
            <v>0</v>
          </cell>
        </row>
        <row r="54">
          <cell r="A54" t="str">
            <v>DB-WL-HEADW</v>
          </cell>
          <cell r="B54" t="str">
            <v>6.3739E+11</v>
          </cell>
          <cell r="C54" t="str">
            <v>ACTIVE</v>
          </cell>
          <cell r="E54">
            <v>50</v>
          </cell>
          <cell r="G54" t="str">
            <v>XR Textile</v>
          </cell>
          <cell r="H54" t="str">
            <v>HEADW</v>
          </cell>
          <cell r="M54" t="str">
            <v>6504.00.90.15</v>
          </cell>
          <cell r="N54">
            <v>6505009090</v>
          </cell>
          <cell r="O54" t="str">
            <v>6505.00.40.00</v>
          </cell>
          <cell r="P54">
            <v>6217100090</v>
          </cell>
          <cell r="Q54">
            <v>0</v>
          </cell>
          <cell r="R54" t="str">
            <v>6505.00.90</v>
          </cell>
          <cell r="S54">
            <v>6507</v>
          </cell>
        </row>
        <row r="55">
          <cell r="A55" t="str">
            <v>DB-WL-MAKUP</v>
          </cell>
          <cell r="B55" t="str">
            <v>8.0101E+10</v>
          </cell>
          <cell r="C55" t="str">
            <v>ACTIVE</v>
          </cell>
          <cell r="E55">
            <v>100</v>
          </cell>
          <cell r="G55" t="str">
            <v>Bright Eagle (Rebecca)</v>
          </cell>
          <cell r="H55" t="str">
            <v>MAKUP</v>
          </cell>
          <cell r="M55" t="str">
            <v>9616.20.00.00</v>
          </cell>
          <cell r="N55">
            <v>9616200000</v>
          </cell>
          <cell r="O55" t="str">
            <v>9616.20.00.00</v>
          </cell>
          <cell r="P55">
            <v>9616200000</v>
          </cell>
          <cell r="Q55">
            <v>0</v>
          </cell>
          <cell r="R55" t="str">
            <v>9616.20.00</v>
          </cell>
          <cell r="S55">
            <v>0</v>
          </cell>
        </row>
        <row r="56">
          <cell r="A56" t="str">
            <v>DB-WL-PICNIC-LG</v>
          </cell>
          <cell r="B56" t="str">
            <v>6.5097E+11</v>
          </cell>
          <cell r="C56" t="str">
            <v>ACTIVE</v>
          </cell>
          <cell r="E56">
            <v>16</v>
          </cell>
          <cell r="G56" t="str">
            <v>XR Textile</v>
          </cell>
          <cell r="H56" t="str">
            <v>PICNIC</v>
          </cell>
          <cell r="I56" t="str">
            <v>GRS Certified** Upper: 83% Post Consumer Recycled Polyester (RM0189) 17% Pre Consumer Recycled Polyamide (RM1084) Reverse: 100% Post Consumer Recycled Polyester (RM0189)</v>
          </cell>
          <cell r="M56" t="str">
            <v>6301.40.0020</v>
          </cell>
          <cell r="N56">
            <v>6301409099</v>
          </cell>
          <cell r="O56" t="str">
            <v>6301.40.0020</v>
          </cell>
          <cell r="P56">
            <v>6301409099</v>
          </cell>
          <cell r="Q56">
            <v>0</v>
          </cell>
          <cell r="R56" t="str">
            <v>6301.40.00</v>
          </cell>
          <cell r="S56">
            <v>6301</v>
          </cell>
        </row>
        <row r="57">
          <cell r="A57" t="str">
            <v>DB-WL-PICNIC-XL</v>
          </cell>
          <cell r="B57" t="str">
            <v>8.0101E+10</v>
          </cell>
          <cell r="C57" t="str">
            <v>ACTIVE</v>
          </cell>
          <cell r="E57">
            <v>12</v>
          </cell>
          <cell r="G57" t="str">
            <v>XR Textile</v>
          </cell>
          <cell r="H57" t="str">
            <v>PICNIC</v>
          </cell>
          <cell r="I57" t="str">
            <v>GRS Certified** Upper: 83% Post Consumer Recycled Polyester (RM0189) 17% Pre Consumer Recycled Polyamide (RM1084) Reverse: 100% Post Consumer Recycled Polyester (RM0189)</v>
          </cell>
          <cell r="M57" t="str">
            <v>6301.40.0020</v>
          </cell>
          <cell r="N57">
            <v>6301409099</v>
          </cell>
          <cell r="O57" t="str">
            <v>6301.40.0020</v>
          </cell>
          <cell r="P57">
            <v>6301409099</v>
          </cell>
          <cell r="Q57">
            <v>0</v>
          </cell>
          <cell r="R57" t="str">
            <v>6301.40.00</v>
          </cell>
          <cell r="S57">
            <v>6301</v>
          </cell>
        </row>
        <row r="58">
          <cell r="A58" t="str">
            <v>DB-WL-PONCHA-LG</v>
          </cell>
          <cell r="B58" t="str">
            <v>8.0101E+10</v>
          </cell>
          <cell r="C58" t="str">
            <v>ACTIVE</v>
          </cell>
          <cell r="E58">
            <v>20</v>
          </cell>
          <cell r="G58" t="str">
            <v>XR Textile</v>
          </cell>
          <cell r="H58" t="str">
            <v>PONCHA</v>
          </cell>
          <cell r="I58" t="str">
            <v>GRS Certified* 83% Post Consumer Recycled Polyester (RM0189) 17% Pre Consumer Recycled Polyamide (RM1084)</v>
          </cell>
          <cell r="M58" t="str">
            <v>6101.90.90.30</v>
          </cell>
          <cell r="N58">
            <v>6101309000</v>
          </cell>
          <cell r="O58">
            <v>6112399000</v>
          </cell>
          <cell r="P58" t="str">
            <v>6211 4390 00</v>
          </cell>
          <cell r="Q58">
            <v>6117109000</v>
          </cell>
          <cell r="R58" t="str">
            <v>6112.39.00</v>
          </cell>
          <cell r="S58">
            <v>6202</v>
          </cell>
        </row>
        <row r="59">
          <cell r="A59" t="str">
            <v>DB-WL-PONCHA-MD</v>
          </cell>
          <cell r="B59" t="str">
            <v>8.0101E+10</v>
          </cell>
          <cell r="C59" t="str">
            <v>ACTIVE</v>
          </cell>
          <cell r="E59">
            <v>20</v>
          </cell>
          <cell r="G59" t="str">
            <v>XR Textile</v>
          </cell>
          <cell r="H59" t="str">
            <v>PONCHA</v>
          </cell>
          <cell r="I59" t="str">
            <v>GRS Certified* 83% Post Consumer Recycled Polyester (RM0189) 17% Pre Consumer Recycled Polyamide (RM1084)</v>
          </cell>
          <cell r="M59" t="str">
            <v>6101.90.90.30</v>
          </cell>
          <cell r="N59">
            <v>6101309000</v>
          </cell>
          <cell r="O59">
            <v>6112399000</v>
          </cell>
          <cell r="P59" t="str">
            <v>6211 4390 00</v>
          </cell>
          <cell r="Q59">
            <v>6117109000</v>
          </cell>
          <cell r="R59" t="str">
            <v>6112.39.00</v>
          </cell>
          <cell r="S59">
            <v>6202</v>
          </cell>
        </row>
        <row r="60">
          <cell r="A60" t="str">
            <v>DB-WL-PONCHK-MD</v>
          </cell>
          <cell r="B60" t="str">
            <v>6.5097E+11</v>
          </cell>
          <cell r="C60" t="str">
            <v>ACTIVE</v>
          </cell>
          <cell r="E60">
            <v>30</v>
          </cell>
          <cell r="G60" t="str">
            <v>XR Textile</v>
          </cell>
          <cell r="H60" t="str">
            <v>PONCHK</v>
          </cell>
          <cell r="I60" t="str">
            <v>GRS Certified* 83% Post Consumer Recycled Polyester (RM0189) 17% Pre Consumer Recycled Polyamide (RM1084)</v>
          </cell>
          <cell r="M60" t="str">
            <v>6101.90.90.30</v>
          </cell>
          <cell r="N60">
            <v>6101309000</v>
          </cell>
          <cell r="O60">
            <v>6112399000</v>
          </cell>
          <cell r="P60" t="str">
            <v>6211 4390 00</v>
          </cell>
          <cell r="Q60">
            <v>6117109000</v>
          </cell>
          <cell r="R60" t="str">
            <v>6112.39.00</v>
          </cell>
          <cell r="S60">
            <v>6202</v>
          </cell>
        </row>
        <row r="61">
          <cell r="A61" t="str">
            <v>DB-WL-PONCHK-SM</v>
          </cell>
          <cell r="B61" t="str">
            <v>6.5097E+11</v>
          </cell>
          <cell r="C61" t="str">
            <v>ACTIVE</v>
          </cell>
          <cell r="E61">
            <v>30</v>
          </cell>
          <cell r="G61" t="str">
            <v>XR Textile</v>
          </cell>
          <cell r="H61" t="str">
            <v>PONCHK</v>
          </cell>
          <cell r="I61" t="str">
            <v>GRS Certified* 83% Post Consumer Recycled Polyester (RM0189) 17% Pre Consumer Recycled Polyamide (RM1084)</v>
          </cell>
          <cell r="M61" t="str">
            <v>6101.90.90.30</v>
          </cell>
          <cell r="N61">
            <v>6101309000</v>
          </cell>
          <cell r="O61">
            <v>6112399000</v>
          </cell>
          <cell r="P61" t="str">
            <v>6211 4390 00</v>
          </cell>
          <cell r="Q61">
            <v>6117109000</v>
          </cell>
          <cell r="R61" t="str">
            <v>6112.39.00</v>
          </cell>
          <cell r="S61">
            <v>6202</v>
          </cell>
        </row>
        <row r="62">
          <cell r="A62" t="str">
            <v>DB-WL-ROBE</v>
          </cell>
          <cell r="B62" t="str">
            <v>6.5097E+11</v>
          </cell>
          <cell r="C62" t="str">
            <v>ACTIVE</v>
          </cell>
          <cell r="E62">
            <v>10</v>
          </cell>
          <cell r="G62" t="str">
            <v>XR Textile</v>
          </cell>
          <cell r="H62" t="str">
            <v>ROBE</v>
          </cell>
          <cell r="M62" t="str">
            <v>6208.92.0010</v>
          </cell>
          <cell r="N62">
            <v>6208110000</v>
          </cell>
          <cell r="O62" t="str">
            <v>6208.92.00.00</v>
          </cell>
          <cell r="P62">
            <v>6208990099</v>
          </cell>
          <cell r="Q62">
            <v>0</v>
          </cell>
          <cell r="R62" t="str">
            <v>6208.11.00</v>
          </cell>
          <cell r="S62">
            <v>62089200</v>
          </cell>
        </row>
        <row r="63">
          <cell r="A63" t="str">
            <v>DB-WL-TEATWL</v>
          </cell>
          <cell r="B63" t="str">
            <v>8.0101E+10</v>
          </cell>
          <cell r="C63" t="str">
            <v>ACTIVE</v>
          </cell>
          <cell r="E63">
            <v>50</v>
          </cell>
          <cell r="G63" t="str">
            <v>XR Textile</v>
          </cell>
          <cell r="H63" t="str">
            <v>TEATWL</v>
          </cell>
          <cell r="I63" t="str">
            <v>GRS Certified* 83% Post Consumer Recycled Polyester (RM0189) 17% Pre Consumer Recycled Polyamide (RM1084)</v>
          </cell>
          <cell r="M63" t="str">
            <v>6302.53.00.20</v>
          </cell>
          <cell r="N63">
            <v>6302531000</v>
          </cell>
          <cell r="O63">
            <v>6302531000</v>
          </cell>
          <cell r="P63">
            <v>63029310</v>
          </cell>
          <cell r="Q63">
            <v>0</v>
          </cell>
          <cell r="R63" t="str">
            <v>6302.53.00</v>
          </cell>
          <cell r="S63">
            <v>0</v>
          </cell>
        </row>
        <row r="64">
          <cell r="A64" t="str">
            <v>DB-WL-TOWLB-LG</v>
          </cell>
          <cell r="B64" t="str">
            <v>6.5097E+11</v>
          </cell>
          <cell r="C64" t="str">
            <v>ACTIVE</v>
          </cell>
          <cell r="E64">
            <v>40</v>
          </cell>
          <cell r="G64" t="str">
            <v>XR Textile</v>
          </cell>
          <cell r="H64" t="str">
            <v>TOWLB</v>
          </cell>
          <cell r="I64" t="str">
            <v>GRS Certified* 83% Post Consumer Recycled Polyester (RM0189) 17% Pre Consumer Recycled Polyamide (RM1084)</v>
          </cell>
          <cell r="M64" t="str">
            <v>6302.93.2000</v>
          </cell>
          <cell r="N64">
            <v>6302600090</v>
          </cell>
          <cell r="O64" t="str">
            <v>6302.93.00.00</v>
          </cell>
          <cell r="P64">
            <v>63029390</v>
          </cell>
          <cell r="Q64">
            <v>0</v>
          </cell>
          <cell r="R64" t="str">
            <v>6302.39.00</v>
          </cell>
          <cell r="S64">
            <v>63029120</v>
          </cell>
        </row>
        <row r="65">
          <cell r="A65" t="str">
            <v>DB-WL-TOWLB-MD</v>
          </cell>
          <cell r="B65" t="str">
            <v>6.3739E+11</v>
          </cell>
          <cell r="C65" t="str">
            <v>ACTIVE</v>
          </cell>
          <cell r="E65">
            <v>50</v>
          </cell>
          <cell r="G65" t="str">
            <v>XR Textile</v>
          </cell>
          <cell r="H65" t="str">
            <v>TOWLB</v>
          </cell>
          <cell r="I65" t="str">
            <v>GRS Certified* 83% Post Consumer Recycled Polyester (RM0189) 17% Pre Consumer Recycled Polyamide (RM1084)</v>
          </cell>
          <cell r="M65" t="str">
            <v>6302.93.2000</v>
          </cell>
          <cell r="N65">
            <v>6302600090</v>
          </cell>
          <cell r="O65" t="str">
            <v>6302.93.00.00</v>
          </cell>
          <cell r="P65">
            <v>63029390</v>
          </cell>
          <cell r="Q65">
            <v>0</v>
          </cell>
          <cell r="R65" t="str">
            <v>6302.39.00</v>
          </cell>
          <cell r="S65">
            <v>63029120</v>
          </cell>
        </row>
        <row r="66">
          <cell r="A66" t="str">
            <v>DB-WL-TOWLB-XL</v>
          </cell>
          <cell r="B66" t="str">
            <v>6.3739E+11</v>
          </cell>
          <cell r="C66" t="str">
            <v>ACTIVE</v>
          </cell>
          <cell r="E66">
            <v>30</v>
          </cell>
          <cell r="G66" t="str">
            <v>XR Textile</v>
          </cell>
          <cell r="H66" t="str">
            <v>TOWLB</v>
          </cell>
          <cell r="I66" t="str">
            <v>GRS Certified* 83% Post Consumer Recycled Polyester (RM0189) 17% Pre Consumer Recycled Polyamide (RM1084)</v>
          </cell>
          <cell r="M66" t="str">
            <v>6302.93.2000</v>
          </cell>
          <cell r="N66">
            <v>6302600090</v>
          </cell>
          <cell r="O66" t="str">
            <v>6302.93.00.00</v>
          </cell>
          <cell r="P66">
            <v>63029390</v>
          </cell>
          <cell r="Q66">
            <v>0</v>
          </cell>
          <cell r="R66" t="str">
            <v>6302.39.00</v>
          </cell>
          <cell r="S66">
            <v>63029120</v>
          </cell>
        </row>
        <row r="67">
          <cell r="A67" t="str">
            <v>DB-WL-TOWLH-LG</v>
          </cell>
          <cell r="B67" t="str">
            <v>6.5097E+11</v>
          </cell>
          <cell r="C67" t="str">
            <v>ACTIVE</v>
          </cell>
          <cell r="E67">
            <v>20</v>
          </cell>
          <cell r="G67" t="str">
            <v>XR Textile</v>
          </cell>
          <cell r="H67" t="str">
            <v>TOWLH</v>
          </cell>
          <cell r="I67" t="str">
            <v>GRS Certified* 83% Post Consumer Recycled Polyester (RM0189) 17% Pre Consumer Recycled Polyamide (RM1084)</v>
          </cell>
          <cell r="M67" t="str">
            <v>6302.93.2000</v>
          </cell>
          <cell r="N67">
            <v>6302600090</v>
          </cell>
          <cell r="O67" t="str">
            <v>6302.93.00.00</v>
          </cell>
          <cell r="P67">
            <v>6302939000</v>
          </cell>
          <cell r="Q67">
            <v>0</v>
          </cell>
          <cell r="R67" t="str">
            <v>6302.39.00</v>
          </cell>
          <cell r="S67">
            <v>63029120</v>
          </cell>
        </row>
        <row r="68">
          <cell r="A68" t="str">
            <v>DB-WL-TOWLH-SM</v>
          </cell>
          <cell r="B68" t="str">
            <v>6.5097E+11</v>
          </cell>
          <cell r="C68" t="str">
            <v>ACTIVE</v>
          </cell>
          <cell r="E68">
            <v>50</v>
          </cell>
          <cell r="G68" t="str">
            <v>XR Textile</v>
          </cell>
          <cell r="H68" t="str">
            <v>TOWLH</v>
          </cell>
          <cell r="I68" t="str">
            <v>GRS Certified* 83% Post Consumer Recycled Polyester (RM0189) 17% Pre Consumer Recycled Polyamide (RM1084)</v>
          </cell>
          <cell r="M68" t="str">
            <v>6302.93.2000</v>
          </cell>
          <cell r="N68">
            <v>6302600090</v>
          </cell>
          <cell r="O68" t="str">
            <v>6302.93.00.00</v>
          </cell>
          <cell r="P68">
            <v>6302939000</v>
          </cell>
          <cell r="Q68">
            <v>0</v>
          </cell>
          <cell r="R68" t="str">
            <v>6302.39.00</v>
          </cell>
          <cell r="S68">
            <v>63029120</v>
          </cell>
        </row>
        <row r="69">
          <cell r="A69" t="str">
            <v>DB-WL-TOWLH-XL</v>
          </cell>
          <cell r="B69" t="str">
            <v>6.5097E+11</v>
          </cell>
          <cell r="C69" t="str">
            <v>ACTIVE</v>
          </cell>
          <cell r="E69">
            <v>20</v>
          </cell>
          <cell r="G69" t="str">
            <v>XR Textile</v>
          </cell>
          <cell r="H69" t="str">
            <v>TOWLH</v>
          </cell>
          <cell r="I69" t="str">
            <v>GRS Certified* 83% Post Consumer Recycled Polyester (RM0189) 17% Pre Consumer Recycled Polyamide (RM1084)</v>
          </cell>
          <cell r="M69" t="str">
            <v>6302.93.2000</v>
          </cell>
          <cell r="N69">
            <v>6302600090</v>
          </cell>
          <cell r="O69" t="str">
            <v>6302.93.00.00</v>
          </cell>
          <cell r="P69">
            <v>6302939000</v>
          </cell>
          <cell r="Q69">
            <v>0</v>
          </cell>
          <cell r="R69" t="str">
            <v>6302.39.00</v>
          </cell>
          <cell r="S69">
            <v>63029120</v>
          </cell>
        </row>
        <row r="70">
          <cell r="A70" t="str">
            <v>DOGTWL-DES-LG-CHKMTT</v>
          </cell>
          <cell r="B70" t="str">
            <v>5.061E+12</v>
          </cell>
          <cell r="C70" t="str">
            <v>ACTIVE</v>
          </cell>
          <cell r="D70" t="str">
            <v>Seasonal</v>
          </cell>
          <cell r="E70">
            <v>30</v>
          </cell>
          <cell r="F70" t="str">
            <v>AW25</v>
          </cell>
          <cell r="G70" t="str">
            <v>XR Textile</v>
          </cell>
          <cell r="H70" t="str">
            <v>DOGTWL</v>
          </cell>
          <cell r="I70" t="str">
            <v>GRS Certified* 83% Post Consumer Recycled Polyester (RM0189) 17% Pre Consumer Recycled Polyamide (RM1084)</v>
          </cell>
          <cell r="M70" t="str">
            <v>6302.93.2000</v>
          </cell>
          <cell r="N70">
            <v>6302600090</v>
          </cell>
          <cell r="O70" t="str">
            <v>6302.93.00.00</v>
          </cell>
          <cell r="P70">
            <v>6302939000</v>
          </cell>
          <cell r="Q70">
            <v>0</v>
          </cell>
          <cell r="R70" t="str">
            <v>6302.39.00</v>
          </cell>
          <cell r="S70">
            <v>6507</v>
          </cell>
        </row>
        <row r="71">
          <cell r="A71" t="str">
            <v>DOGTWL-DES-LG-DNBCLUB</v>
          </cell>
          <cell r="B71" t="str">
            <v>5.061E+12</v>
          </cell>
          <cell r="C71" t="str">
            <v>ACTIVE</v>
          </cell>
          <cell r="D71" t="str">
            <v>Seasonal</v>
          </cell>
          <cell r="E71">
            <v>30</v>
          </cell>
          <cell r="F71" t="str">
            <v>AW25</v>
          </cell>
          <cell r="G71" t="str">
            <v>XR Textile</v>
          </cell>
          <cell r="H71" t="str">
            <v>DOGTWL</v>
          </cell>
          <cell r="I71" t="str">
            <v>GRS Certified* 83% Post Consumer Recycled Polyester (RM0189) 17% Pre Consumer Recycled Polyamide (RM1084)</v>
          </cell>
          <cell r="M71" t="str">
            <v>6302.93.2000</v>
          </cell>
          <cell r="N71">
            <v>6302600090</v>
          </cell>
          <cell r="O71" t="str">
            <v>6302.93.00.00</v>
          </cell>
          <cell r="P71">
            <v>6302939000</v>
          </cell>
          <cell r="Q71">
            <v>0</v>
          </cell>
          <cell r="R71" t="str">
            <v>6302.39.00</v>
          </cell>
          <cell r="S71">
            <v>6507</v>
          </cell>
        </row>
        <row r="72">
          <cell r="A72" t="str">
            <v>DOGTWL-DES-LG-DOGDIN</v>
          </cell>
          <cell r="B72" t="str">
            <v>5.061E+12</v>
          </cell>
          <cell r="C72" t="str">
            <v>ACTIVE</v>
          </cell>
          <cell r="D72" t="str">
            <v>Seasonal</v>
          </cell>
          <cell r="E72">
            <v>30</v>
          </cell>
          <cell r="F72" t="str">
            <v>AW25</v>
          </cell>
          <cell r="G72" t="str">
            <v>XR Textile</v>
          </cell>
          <cell r="H72" t="str">
            <v>DOGTWL</v>
          </cell>
          <cell r="I72" t="str">
            <v>GRS Certified* 83% Post Consumer Recycled Polyester (RM0189) 17% Pre Consumer Recycled Polyamide (RM1084)</v>
          </cell>
          <cell r="M72" t="str">
            <v>6302.93.2000</v>
          </cell>
          <cell r="N72">
            <v>6302600090</v>
          </cell>
          <cell r="O72" t="str">
            <v>6302.93.00.00</v>
          </cell>
          <cell r="P72">
            <v>6302939000</v>
          </cell>
          <cell r="Q72">
            <v>0</v>
          </cell>
          <cell r="R72" t="str">
            <v>6302.39.00</v>
          </cell>
          <cell r="S72">
            <v>6507</v>
          </cell>
        </row>
        <row r="73">
          <cell r="A73" t="str">
            <v>DOGTWL-DES-LG-GOLONG</v>
          </cell>
          <cell r="B73" t="str">
            <v>5.061E+12</v>
          </cell>
          <cell r="C73" t="str">
            <v>ACTIVE</v>
          </cell>
          <cell r="D73" t="str">
            <v>Seasonal</v>
          </cell>
          <cell r="E73">
            <v>30</v>
          </cell>
          <cell r="F73" t="str">
            <v>AW25</v>
          </cell>
          <cell r="G73" t="str">
            <v>XR Textile</v>
          </cell>
          <cell r="H73" t="str">
            <v>DOGTWL</v>
          </cell>
          <cell r="I73" t="str">
            <v>GRS Certified* 83% Post Consumer Recycled Polyester (RM0189) 17% Pre Consumer Recycled Polyamide (RM1084)</v>
          </cell>
          <cell r="M73" t="str">
            <v>6302.93.2000</v>
          </cell>
          <cell r="N73">
            <v>6302600090</v>
          </cell>
          <cell r="O73" t="str">
            <v>6302.93.00.00</v>
          </cell>
          <cell r="P73">
            <v>6302939000</v>
          </cell>
          <cell r="Q73">
            <v>0</v>
          </cell>
          <cell r="R73" t="str">
            <v>6302.39.00</v>
          </cell>
          <cell r="S73">
            <v>6507</v>
          </cell>
        </row>
        <row r="74">
          <cell r="A74" t="str">
            <v>DOGTWL-DES-LG-PNKPAWS</v>
          </cell>
          <cell r="B74" t="str">
            <v>5.061E+12</v>
          </cell>
          <cell r="C74" t="str">
            <v>ACTIVE</v>
          </cell>
          <cell r="D74" t="str">
            <v>Seasonal</v>
          </cell>
          <cell r="E74">
            <v>30</v>
          </cell>
          <cell r="F74" t="str">
            <v>AW25</v>
          </cell>
          <cell r="G74" t="str">
            <v>XR Textile</v>
          </cell>
          <cell r="H74" t="str">
            <v>DOGTWL</v>
          </cell>
          <cell r="I74" t="str">
            <v>GRS Certified* 83% Post Consumer Recycled Polyester (RM0189) 17% Pre Consumer Recycled Polyamide (RM1084)</v>
          </cell>
          <cell r="M74" t="str">
            <v>6302.93.2000</v>
          </cell>
          <cell r="N74">
            <v>6302600090</v>
          </cell>
          <cell r="O74" t="str">
            <v>6302.93.00.00</v>
          </cell>
          <cell r="P74">
            <v>6302939000</v>
          </cell>
          <cell r="Q74">
            <v>0</v>
          </cell>
          <cell r="R74" t="str">
            <v>6302.39.00</v>
          </cell>
          <cell r="S74">
            <v>6507</v>
          </cell>
        </row>
        <row r="75">
          <cell r="A75" t="str">
            <v>DOGTWL-DES-LG-UNDWLK</v>
          </cell>
          <cell r="B75" t="str">
            <v>5.061E+12</v>
          </cell>
          <cell r="C75" t="str">
            <v>ACTIVE</v>
          </cell>
          <cell r="D75" t="str">
            <v>Seasonal</v>
          </cell>
          <cell r="E75">
            <v>30</v>
          </cell>
          <cell r="F75" t="str">
            <v>AW25</v>
          </cell>
          <cell r="G75" t="str">
            <v>XR Textile</v>
          </cell>
          <cell r="H75" t="str">
            <v>DOGTWL</v>
          </cell>
          <cell r="I75" t="str">
            <v>GRS Certified* 83% Post Consumer Recycled Polyester (RM0189) 17% Pre Consumer Recycled Polyamide (RM1084)</v>
          </cell>
          <cell r="M75" t="str">
            <v>6302.93.2000</v>
          </cell>
          <cell r="N75">
            <v>6302600090</v>
          </cell>
          <cell r="O75" t="str">
            <v>6302.93.00.00</v>
          </cell>
          <cell r="P75">
            <v>6302939000</v>
          </cell>
          <cell r="Q75">
            <v>0</v>
          </cell>
          <cell r="R75" t="str">
            <v>6302.39.00</v>
          </cell>
          <cell r="S75">
            <v>6507</v>
          </cell>
        </row>
        <row r="76">
          <cell r="A76" t="str">
            <v>DOGTWL-DES-MD-CHKMTT</v>
          </cell>
          <cell r="B76" t="str">
            <v>5.061E+12</v>
          </cell>
          <cell r="C76" t="str">
            <v>ACTIVE</v>
          </cell>
          <cell r="D76" t="str">
            <v>Seasonal</v>
          </cell>
          <cell r="E76">
            <v>40</v>
          </cell>
          <cell r="F76" t="str">
            <v>AW25</v>
          </cell>
          <cell r="G76" t="str">
            <v>XR Textile</v>
          </cell>
          <cell r="H76" t="str">
            <v>DOGTWL</v>
          </cell>
          <cell r="I76" t="str">
            <v>GRS Certified* 83% Post Consumer Recycled Polyester (RM0189) 17% Pre Consumer Recycled Polyamide (RM1084)</v>
          </cell>
          <cell r="M76" t="str">
            <v>6302.93.2000</v>
          </cell>
          <cell r="N76">
            <v>6302600090</v>
          </cell>
          <cell r="O76" t="str">
            <v>6302.93.00.00</v>
          </cell>
          <cell r="P76">
            <v>6302939000</v>
          </cell>
          <cell r="Q76">
            <v>0</v>
          </cell>
          <cell r="R76" t="str">
            <v>6302.39.00</v>
          </cell>
          <cell r="S76">
            <v>6507</v>
          </cell>
        </row>
        <row r="77">
          <cell r="A77" t="str">
            <v>DOGTWL-DES-MD-DNBCLUB</v>
          </cell>
          <cell r="B77" t="str">
            <v>5.061E+12</v>
          </cell>
          <cell r="C77" t="str">
            <v>ACTIVE</v>
          </cell>
          <cell r="D77" t="str">
            <v>Seasonal</v>
          </cell>
          <cell r="E77">
            <v>40</v>
          </cell>
          <cell r="F77" t="str">
            <v>AW25</v>
          </cell>
          <cell r="G77" t="str">
            <v>XR Textile</v>
          </cell>
          <cell r="H77" t="str">
            <v>DOGTWL</v>
          </cell>
          <cell r="I77" t="str">
            <v>GRS Certified* 83% Post Consumer Recycled Polyester (RM0189) 17% Pre Consumer Recycled Polyamide (RM1084)</v>
          </cell>
          <cell r="M77" t="str">
            <v>6302.93.2000</v>
          </cell>
          <cell r="N77">
            <v>6302600090</v>
          </cell>
          <cell r="O77" t="str">
            <v>6302.93.00.00</v>
          </cell>
          <cell r="P77">
            <v>6302939000</v>
          </cell>
          <cell r="Q77">
            <v>0</v>
          </cell>
          <cell r="R77" t="str">
            <v>6302.39.00</v>
          </cell>
          <cell r="S77">
            <v>6507</v>
          </cell>
        </row>
        <row r="78">
          <cell r="A78" t="str">
            <v>DOGTWL-DES-MD-DOGDIN</v>
          </cell>
          <cell r="B78" t="str">
            <v>5.061E+12</v>
          </cell>
          <cell r="C78" t="str">
            <v>ACTIVE</v>
          </cell>
          <cell r="D78" t="str">
            <v>Seasonal</v>
          </cell>
          <cell r="E78">
            <v>40</v>
          </cell>
          <cell r="F78" t="str">
            <v>AW25</v>
          </cell>
          <cell r="G78" t="str">
            <v>XR Textile</v>
          </cell>
          <cell r="H78" t="str">
            <v>DOGTWL</v>
          </cell>
          <cell r="I78" t="str">
            <v>GRS Certified* 83% Post Consumer Recycled Polyester (RM0189) 17% Pre Consumer Recycled Polyamide (RM1084)</v>
          </cell>
          <cell r="M78" t="str">
            <v>6302.93.2000</v>
          </cell>
          <cell r="N78">
            <v>6302600090</v>
          </cell>
          <cell r="O78" t="str">
            <v>6302.93.00.00</v>
          </cell>
          <cell r="P78">
            <v>6302939000</v>
          </cell>
          <cell r="Q78">
            <v>0</v>
          </cell>
          <cell r="R78" t="str">
            <v>6302.39.00</v>
          </cell>
          <cell r="S78">
            <v>6507</v>
          </cell>
        </row>
        <row r="79">
          <cell r="A79" t="str">
            <v>DOGTWL-DES-MD-GOLONG</v>
          </cell>
          <cell r="B79" t="str">
            <v>5.061E+12</v>
          </cell>
          <cell r="C79" t="str">
            <v>ACTIVE</v>
          </cell>
          <cell r="D79" t="str">
            <v>Seasonal</v>
          </cell>
          <cell r="E79">
            <v>40</v>
          </cell>
          <cell r="F79" t="str">
            <v>AW25</v>
          </cell>
          <cell r="G79" t="str">
            <v>XR Textile</v>
          </cell>
          <cell r="H79" t="str">
            <v>DOGTWL</v>
          </cell>
          <cell r="I79" t="str">
            <v>GRS Certified* 83% Post Consumer Recycled Polyester (RM0189) 17% Pre Consumer Recycled Polyamide (RM1084)</v>
          </cell>
          <cell r="M79" t="str">
            <v>6302.93.2000</v>
          </cell>
          <cell r="N79">
            <v>6302600090</v>
          </cell>
          <cell r="O79" t="str">
            <v>6302.93.00.00</v>
          </cell>
          <cell r="P79">
            <v>6302939000</v>
          </cell>
          <cell r="Q79">
            <v>0</v>
          </cell>
          <cell r="R79" t="str">
            <v>6302.39.00</v>
          </cell>
          <cell r="S79">
            <v>6507</v>
          </cell>
        </row>
        <row r="80">
          <cell r="A80" t="str">
            <v>DOGTWL-DES-MD-PNKPAWS</v>
          </cell>
          <cell r="B80" t="str">
            <v>5.061E+12</v>
          </cell>
          <cell r="C80" t="str">
            <v>ACTIVE</v>
          </cell>
          <cell r="D80" t="str">
            <v>Seasonal</v>
          </cell>
          <cell r="E80">
            <v>40</v>
          </cell>
          <cell r="F80" t="str">
            <v>AW25</v>
          </cell>
          <cell r="G80" t="str">
            <v>XR Textile</v>
          </cell>
          <cell r="H80" t="str">
            <v>DOGTWL</v>
          </cell>
          <cell r="I80" t="str">
            <v>GRS Certified* 83% Post Consumer Recycled Polyester (RM0189) 17% Pre Consumer Recycled Polyamide (RM1084)</v>
          </cell>
          <cell r="M80" t="str">
            <v>6302.93.2000</v>
          </cell>
          <cell r="N80">
            <v>6302600090</v>
          </cell>
          <cell r="O80" t="str">
            <v>6302.93.00.00</v>
          </cell>
          <cell r="P80">
            <v>6302939000</v>
          </cell>
          <cell r="Q80">
            <v>0</v>
          </cell>
          <cell r="R80" t="str">
            <v>6302.39.00</v>
          </cell>
          <cell r="S80">
            <v>6507</v>
          </cell>
        </row>
        <row r="81">
          <cell r="A81" t="str">
            <v>DOGTWL-DES-MD-UNDWLK</v>
          </cell>
          <cell r="B81" t="str">
            <v>5.061E+12</v>
          </cell>
          <cell r="C81" t="str">
            <v>ACTIVE</v>
          </cell>
          <cell r="D81" t="str">
            <v>Seasonal</v>
          </cell>
          <cell r="E81">
            <v>40</v>
          </cell>
          <cell r="F81" t="str">
            <v>AW25</v>
          </cell>
          <cell r="G81" t="str">
            <v>XR Textile</v>
          </cell>
          <cell r="H81" t="str">
            <v>DOGTWL</v>
          </cell>
          <cell r="I81" t="str">
            <v>GRS Certified* 83% Post Consumer Recycled Polyester (RM0189) 17% Pre Consumer Recycled Polyamide (RM1084)</v>
          </cell>
          <cell r="M81" t="str">
            <v>6302.93.2000</v>
          </cell>
          <cell r="N81">
            <v>6302600090</v>
          </cell>
          <cell r="O81" t="str">
            <v>6302.93.00.00</v>
          </cell>
          <cell r="P81">
            <v>6302939000</v>
          </cell>
          <cell r="Q81">
            <v>0</v>
          </cell>
          <cell r="R81" t="str">
            <v>6302.39.00</v>
          </cell>
          <cell r="S81">
            <v>6507</v>
          </cell>
        </row>
        <row r="82">
          <cell r="A82" t="str">
            <v>EYEMASK-DES-BOHMDRM</v>
          </cell>
          <cell r="B82" t="str">
            <v>5.061E+12</v>
          </cell>
          <cell r="C82" t="str">
            <v>ACTIVE</v>
          </cell>
          <cell r="D82" t="str">
            <v>Seasonal</v>
          </cell>
          <cell r="E82">
            <v>60</v>
          </cell>
          <cell r="F82" t="str">
            <v>AW26</v>
          </cell>
          <cell r="G82" t="str">
            <v>XR Textile</v>
          </cell>
          <cell r="H82" t="str">
            <v>EYEMASK</v>
          </cell>
          <cell r="I82" t="str">
            <v>GRS Certified*** 100% Post Consumer Recycled Polyester (RM0189)</v>
          </cell>
          <cell r="M82" t="str">
            <v>6307.90.9891</v>
          </cell>
          <cell r="N82">
            <v>6307909891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</row>
        <row r="83">
          <cell r="A83" t="str">
            <v>EYEMASK-DES-CHKOUT</v>
          </cell>
          <cell r="B83" t="str">
            <v>5.061E+12</v>
          </cell>
          <cell r="C83" t="str">
            <v>ACTIVE</v>
          </cell>
          <cell r="D83" t="str">
            <v>Seasonal</v>
          </cell>
          <cell r="E83">
            <v>60</v>
          </cell>
          <cell r="F83" t="str">
            <v>AW25</v>
          </cell>
          <cell r="G83" t="str">
            <v>XR Textile</v>
          </cell>
          <cell r="H83" t="str">
            <v>EYEMASK</v>
          </cell>
          <cell r="I83" t="str">
            <v>GRS Certified*** 100% Post Consumer Recycled Polyester (RM0189)</v>
          </cell>
          <cell r="M83" t="str">
            <v>6307.90.9891</v>
          </cell>
          <cell r="N83">
            <v>6307909891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</row>
        <row r="84">
          <cell r="A84" t="str">
            <v>EYEMASK-DES-CHRYBMB</v>
          </cell>
          <cell r="B84" t="str">
            <v>5.061E+12</v>
          </cell>
          <cell r="C84" t="str">
            <v>ACTIVE</v>
          </cell>
          <cell r="D84" t="str">
            <v>Seasonal</v>
          </cell>
          <cell r="E84">
            <v>60</v>
          </cell>
          <cell r="F84" t="str">
            <v>AW25</v>
          </cell>
          <cell r="G84" t="str">
            <v>XR Textile</v>
          </cell>
          <cell r="H84" t="str">
            <v>EYEMASK</v>
          </cell>
          <cell r="I84" t="str">
            <v>GRS Certified*** 100% Post Consumer Recycled Polyester (RM0189)</v>
          </cell>
          <cell r="M84" t="str">
            <v>6307.90.9891</v>
          </cell>
          <cell r="N84">
            <v>6307909891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</row>
        <row r="85">
          <cell r="A85" t="str">
            <v>EYEMASK-DES-FLIGHTS</v>
          </cell>
          <cell r="B85" t="str">
            <v>5.061E+12</v>
          </cell>
          <cell r="C85" t="str">
            <v>ACTIVE</v>
          </cell>
          <cell r="D85" t="str">
            <v>Seasonal</v>
          </cell>
          <cell r="E85">
            <v>60</v>
          </cell>
          <cell r="F85" t="str">
            <v>AW25</v>
          </cell>
          <cell r="G85" t="str">
            <v>XR Textile</v>
          </cell>
          <cell r="H85" t="str">
            <v>EYEMASK</v>
          </cell>
          <cell r="I85" t="str">
            <v>GRS Certified*** 100% Post Consumer Recycled Polyester (RM0189)</v>
          </cell>
          <cell r="M85" t="str">
            <v>6307.90.9891</v>
          </cell>
          <cell r="N85">
            <v>6307909891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A86" t="str">
            <v>EYEMASK-DES-NOTTDY</v>
          </cell>
          <cell r="B86" t="str">
            <v>5.061E+12</v>
          </cell>
          <cell r="C86" t="str">
            <v>ACTIVE</v>
          </cell>
          <cell r="D86" t="str">
            <v>Seasonal</v>
          </cell>
          <cell r="E86">
            <v>60</v>
          </cell>
          <cell r="F86" t="str">
            <v>AW25</v>
          </cell>
          <cell r="G86" t="str">
            <v>XR Textile</v>
          </cell>
          <cell r="H86" t="str">
            <v>EYEMASK</v>
          </cell>
          <cell r="I86" t="str">
            <v>GRS Certified*** 100% Post Consumer Recycled Polyester (RM0189)</v>
          </cell>
          <cell r="M86" t="str">
            <v>6307.90.9891</v>
          </cell>
          <cell r="N86">
            <v>6307909891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</row>
        <row r="87">
          <cell r="A87" t="str">
            <v>EYEMASK-DES-OOO</v>
          </cell>
          <cell r="B87" t="str">
            <v>5.061E+12</v>
          </cell>
          <cell r="C87" t="str">
            <v>ACTIVE</v>
          </cell>
          <cell r="D87" t="str">
            <v>Seasonal</v>
          </cell>
          <cell r="E87">
            <v>60</v>
          </cell>
          <cell r="F87" t="str">
            <v>AW25</v>
          </cell>
          <cell r="G87" t="str">
            <v>XR Textile</v>
          </cell>
          <cell r="H87" t="str">
            <v>EYEMASK</v>
          </cell>
          <cell r="I87" t="str">
            <v>GRS Certified*** 100% Post Consumer Recycled Polyester (RM0189)</v>
          </cell>
          <cell r="M87" t="str">
            <v>6307.90.9891</v>
          </cell>
          <cell r="N87">
            <v>6307909891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</row>
        <row r="88">
          <cell r="A88" t="str">
            <v>EYEMASK-DES-SEASOIR</v>
          </cell>
          <cell r="B88" t="str">
            <v>5.061E+12</v>
          </cell>
          <cell r="C88" t="str">
            <v>ACTIVE</v>
          </cell>
          <cell r="D88" t="str">
            <v>Seasonal</v>
          </cell>
          <cell r="E88">
            <v>60</v>
          </cell>
          <cell r="F88" t="str">
            <v>AW26</v>
          </cell>
          <cell r="G88" t="str">
            <v>XR Textile</v>
          </cell>
          <cell r="H88" t="str">
            <v>EYEMASK</v>
          </cell>
          <cell r="I88" t="str">
            <v>GRS Certified*** 100% Post Consumer Recycled Polyester (RM0189)</v>
          </cell>
          <cell r="M88" t="str">
            <v>6307.90.9891</v>
          </cell>
          <cell r="N88">
            <v>6307909891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</row>
        <row r="89">
          <cell r="A89" t="str">
            <v>GIFT-BOX-BEAUTY-BOHMDRM</v>
          </cell>
          <cell r="B89" t="str">
            <v>5.061E+12</v>
          </cell>
          <cell r="C89" t="str">
            <v>ACTIVE</v>
          </cell>
          <cell r="D89" t="str">
            <v>Seasonal</v>
          </cell>
          <cell r="E89">
            <v>40</v>
          </cell>
          <cell r="F89" t="str">
            <v>AW26</v>
          </cell>
          <cell r="G89" t="str">
            <v>XR Textile</v>
          </cell>
          <cell r="H89" t="str">
            <v>GIFT-BOX-BEAUTY</v>
          </cell>
          <cell r="M89" t="str">
            <v>6504.00.90.15</v>
          </cell>
          <cell r="N89">
            <v>6505009090</v>
          </cell>
          <cell r="O89" t="str">
            <v>6505.00.40.00</v>
          </cell>
          <cell r="P89" t="str">
            <v>6505.00.90.90</v>
          </cell>
          <cell r="Q89">
            <v>0</v>
          </cell>
          <cell r="R89" t="str">
            <v>6505.00.90</v>
          </cell>
          <cell r="S89">
            <v>0</v>
          </cell>
        </row>
        <row r="90">
          <cell r="A90" t="str">
            <v>GIFT-BOX-BEAUTY-CHRYBMB</v>
          </cell>
          <cell r="B90" t="str">
            <v>5.061E+12</v>
          </cell>
          <cell r="C90" t="str">
            <v>ACTIVE</v>
          </cell>
          <cell r="D90" t="str">
            <v>Seasonal</v>
          </cell>
          <cell r="E90">
            <v>40</v>
          </cell>
          <cell r="F90" t="str">
            <v>AW25</v>
          </cell>
          <cell r="G90" t="str">
            <v>XR Textile</v>
          </cell>
          <cell r="H90" t="str">
            <v>GIFT-BOX-BEAUTY-WAFFLE</v>
          </cell>
          <cell r="M90" t="str">
            <v>6504.00.90.15</v>
          </cell>
          <cell r="N90">
            <v>6505009090</v>
          </cell>
          <cell r="O90" t="str">
            <v>6505.00.40.00</v>
          </cell>
          <cell r="P90" t="str">
            <v>6505.00.90.90</v>
          </cell>
          <cell r="Q90">
            <v>0</v>
          </cell>
          <cell r="R90" t="str">
            <v>6505.00.90</v>
          </cell>
          <cell r="S90">
            <v>0</v>
          </cell>
        </row>
        <row r="91">
          <cell r="A91" t="str">
            <v>GIFT-BOX-BEAUTY-SEASOIR</v>
          </cell>
          <cell r="B91" t="str">
            <v>5.061E+12</v>
          </cell>
          <cell r="C91" t="str">
            <v>ACTIVE</v>
          </cell>
          <cell r="D91" t="str">
            <v>Seasonal</v>
          </cell>
          <cell r="E91">
            <v>40</v>
          </cell>
          <cell r="F91" t="str">
            <v>AW26</v>
          </cell>
          <cell r="G91" t="str">
            <v>XR Textile</v>
          </cell>
          <cell r="H91" t="str">
            <v>GIFT-BOX-BEAUTY</v>
          </cell>
          <cell r="M91" t="str">
            <v>6504.00.90.15</v>
          </cell>
          <cell r="N91">
            <v>6505009090</v>
          </cell>
          <cell r="O91" t="str">
            <v>6505.00.40.00</v>
          </cell>
          <cell r="P91" t="str">
            <v>6505.00.90.90</v>
          </cell>
          <cell r="Q91">
            <v>0</v>
          </cell>
          <cell r="R91" t="str">
            <v>6505.00.90</v>
          </cell>
          <cell r="S91">
            <v>0</v>
          </cell>
        </row>
        <row r="92">
          <cell r="A92" t="str">
            <v>GIFT-BOX-BEAUTY-TIGPALM</v>
          </cell>
          <cell r="B92" t="str">
            <v>5.061E+12</v>
          </cell>
          <cell r="C92" t="str">
            <v>ACTIVE</v>
          </cell>
          <cell r="D92" t="str">
            <v>Seasonal</v>
          </cell>
          <cell r="E92">
            <v>40</v>
          </cell>
          <cell r="F92" t="str">
            <v>AW25</v>
          </cell>
          <cell r="G92" t="str">
            <v>XR Textile</v>
          </cell>
          <cell r="H92" t="str">
            <v>GIFT-BOX-BEAUTY-WAFFLE</v>
          </cell>
          <cell r="M92" t="str">
            <v>6504.00.90.15</v>
          </cell>
          <cell r="N92">
            <v>6505009090</v>
          </cell>
          <cell r="O92" t="str">
            <v>6505.00.40.00</v>
          </cell>
          <cell r="P92" t="str">
            <v>6505.00.90.90</v>
          </cell>
          <cell r="Q92">
            <v>0</v>
          </cell>
          <cell r="R92" t="str">
            <v>6505.00.90</v>
          </cell>
          <cell r="S92">
            <v>0</v>
          </cell>
        </row>
        <row r="93">
          <cell r="A93" t="str">
            <v>GIFT-BOX-BEAUTY-WTRSPRZ</v>
          </cell>
          <cell r="B93" t="str">
            <v>5.061E+12</v>
          </cell>
          <cell r="C93" t="str">
            <v>ACTIVE</v>
          </cell>
          <cell r="D93" t="str">
            <v>Seasonal</v>
          </cell>
          <cell r="E93">
            <v>40</v>
          </cell>
          <cell r="F93" t="str">
            <v>AW26</v>
          </cell>
          <cell r="G93" t="str">
            <v>XR Textile</v>
          </cell>
          <cell r="H93" t="str">
            <v>GIFT-BOX-BEAUTY</v>
          </cell>
          <cell r="M93" t="str">
            <v>6504.00.90.15</v>
          </cell>
          <cell r="N93">
            <v>6505009090</v>
          </cell>
          <cell r="O93" t="str">
            <v>6505.00.40.00</v>
          </cell>
          <cell r="P93" t="str">
            <v>6505.00.90.90</v>
          </cell>
          <cell r="Q93">
            <v>0</v>
          </cell>
          <cell r="R93" t="str">
            <v>6505.00.90</v>
          </cell>
          <cell r="S93">
            <v>0</v>
          </cell>
        </row>
        <row r="94">
          <cell r="A94" t="str">
            <v>GIFT-BOX-HAIR-FRUU</v>
          </cell>
          <cell r="B94" t="str">
            <v>5.061E+12</v>
          </cell>
          <cell r="C94" t="str">
            <v>ACTIVE</v>
          </cell>
          <cell r="D94" t="str">
            <v>Seasonal</v>
          </cell>
          <cell r="E94">
            <v>40</v>
          </cell>
          <cell r="F94" t="str">
            <v>AW25</v>
          </cell>
          <cell r="G94" t="str">
            <v>XR Textile</v>
          </cell>
          <cell r="H94" t="str">
            <v>GIFT-BOX-BEAUTY</v>
          </cell>
          <cell r="M94" t="str">
            <v>6504.00.90.15</v>
          </cell>
          <cell r="N94">
            <v>6505009090</v>
          </cell>
          <cell r="O94" t="str">
            <v>6505.00.40.00</v>
          </cell>
          <cell r="P94" t="str">
            <v>6505.00.90.90</v>
          </cell>
          <cell r="Q94">
            <v>0</v>
          </cell>
          <cell r="R94" t="str">
            <v>6505.00.90</v>
          </cell>
          <cell r="S94">
            <v>0</v>
          </cell>
        </row>
        <row r="95">
          <cell r="A95" t="str">
            <v>GIFT-BOX-HOME-BOHMDRM</v>
          </cell>
          <cell r="B95" t="str">
            <v>5.061E+12</v>
          </cell>
          <cell r="C95" t="str">
            <v>ACTIVE</v>
          </cell>
          <cell r="D95" t="str">
            <v>Seasonal</v>
          </cell>
          <cell r="F95" t="str">
            <v>AW26</v>
          </cell>
          <cell r="G95" t="str">
            <v>XR Textile</v>
          </cell>
          <cell r="H95" t="str">
            <v>GIFT-BOX-HOME</v>
          </cell>
          <cell r="M95" t="str">
            <v>6504.00.90.15</v>
          </cell>
          <cell r="N95">
            <v>6505009090</v>
          </cell>
          <cell r="O95" t="str">
            <v>6505.00.40.00</v>
          </cell>
          <cell r="P95" t="str">
            <v>6505.00.90.90</v>
          </cell>
          <cell r="Q95">
            <v>0</v>
          </cell>
          <cell r="R95" t="str">
            <v>6505.00.90</v>
          </cell>
          <cell r="S95">
            <v>0</v>
          </cell>
        </row>
        <row r="96">
          <cell r="A96" t="str">
            <v>GIFT-BOX-HOME-CACTMNTN</v>
          </cell>
          <cell r="B96" t="str">
            <v>5.061E+12</v>
          </cell>
          <cell r="C96" t="str">
            <v>ACTIVE</v>
          </cell>
          <cell r="D96" t="str">
            <v>Seasonal</v>
          </cell>
          <cell r="F96" t="str">
            <v>AW26</v>
          </cell>
          <cell r="G96" t="str">
            <v>XR Textile</v>
          </cell>
          <cell r="H96" t="str">
            <v>GIFT-BOX-HOME</v>
          </cell>
          <cell r="M96" t="str">
            <v>6504.00.90.15</v>
          </cell>
          <cell r="N96">
            <v>6505009090</v>
          </cell>
          <cell r="O96" t="str">
            <v>6505.00.40.00</v>
          </cell>
          <cell r="P96" t="str">
            <v>6505.00.90.90</v>
          </cell>
          <cell r="Q96">
            <v>0</v>
          </cell>
          <cell r="R96" t="str">
            <v>6505.00.90</v>
          </cell>
          <cell r="S96">
            <v>0</v>
          </cell>
        </row>
        <row r="97">
          <cell r="A97" t="str">
            <v>GIFT-BOX-HOME-SEASOIR</v>
          </cell>
          <cell r="B97" t="str">
            <v>5.061E+12</v>
          </cell>
          <cell r="C97" t="str">
            <v>ACTIVE</v>
          </cell>
          <cell r="D97" t="str">
            <v>Seasonal</v>
          </cell>
          <cell r="F97" t="str">
            <v>AW26</v>
          </cell>
          <cell r="G97" t="str">
            <v>XR Textile</v>
          </cell>
          <cell r="H97" t="str">
            <v>GIFT-BOX-HOME</v>
          </cell>
          <cell r="M97" t="str">
            <v>6504.00.90.15</v>
          </cell>
          <cell r="N97">
            <v>6505009090</v>
          </cell>
          <cell r="O97" t="str">
            <v>6505.00.40.00</v>
          </cell>
          <cell r="P97" t="str">
            <v>6505.00.90.90</v>
          </cell>
          <cell r="Q97">
            <v>0</v>
          </cell>
          <cell r="R97" t="str">
            <v>6505.00.90</v>
          </cell>
          <cell r="S97">
            <v>0</v>
          </cell>
        </row>
        <row r="98">
          <cell r="A98" t="str">
            <v>GIFTWRAP-BOX</v>
          </cell>
          <cell r="B98" t="str">
            <v>6.5097E+11</v>
          </cell>
          <cell r="C98" t="str">
            <v>ACTIVE</v>
          </cell>
          <cell r="D98" t="str">
            <v>Non-Core</v>
          </cell>
          <cell r="E98">
            <v>20</v>
          </cell>
          <cell r="F98" t="str">
            <v>before AW20</v>
          </cell>
          <cell r="G98" t="str">
            <v>MQ Print (Sherry)</v>
          </cell>
          <cell r="H98" t="str">
            <v>Product Boxes</v>
          </cell>
          <cell r="M98" t="str">
            <v>4819.10.0040</v>
          </cell>
          <cell r="N98">
            <v>4819100000</v>
          </cell>
          <cell r="O98">
            <v>4819100090</v>
          </cell>
          <cell r="P98">
            <v>48191000</v>
          </cell>
          <cell r="Q98">
            <v>0</v>
          </cell>
          <cell r="R98" t="str">
            <v>4819.10.00</v>
          </cell>
          <cell r="S98">
            <v>0</v>
          </cell>
        </row>
        <row r="99">
          <cell r="A99" t="str">
            <v>GIFTWRAP-BOX-LG</v>
          </cell>
          <cell r="B99" t="str">
            <v>8.0101E+10</v>
          </cell>
          <cell r="C99" t="str">
            <v>ACTIVE</v>
          </cell>
          <cell r="D99" t="str">
            <v>Non-Core</v>
          </cell>
          <cell r="E99">
            <v>22</v>
          </cell>
          <cell r="F99" t="str">
            <v>before AW20</v>
          </cell>
          <cell r="G99" t="str">
            <v>MQ Print (Sherry)</v>
          </cell>
          <cell r="H99" t="str">
            <v>Product Boxes</v>
          </cell>
          <cell r="M99" t="str">
            <v>4819.10.0040</v>
          </cell>
          <cell r="N99">
            <v>4819100000</v>
          </cell>
          <cell r="O99">
            <v>4819100090</v>
          </cell>
          <cell r="P99">
            <v>48191000</v>
          </cell>
          <cell r="Q99">
            <v>0</v>
          </cell>
          <cell r="R99" t="str">
            <v>4819.10.00</v>
          </cell>
          <cell r="S99">
            <v>0</v>
          </cell>
        </row>
        <row r="100">
          <cell r="A100" t="str">
            <v>GIFTWRAP-BOX-LG-MELLOW</v>
          </cell>
          <cell r="B100" t="str">
            <v>5.061E+12</v>
          </cell>
          <cell r="C100" t="str">
            <v>ACTIVE</v>
          </cell>
          <cell r="D100" t="str">
            <v>Seasonal</v>
          </cell>
          <cell r="E100">
            <v>22</v>
          </cell>
          <cell r="F100" t="str">
            <v>AW26</v>
          </cell>
          <cell r="G100" t="str">
            <v>MQ Print (Sherry)</v>
          </cell>
          <cell r="H100" t="str">
            <v>Product Boxes</v>
          </cell>
          <cell r="M100" t="str">
            <v>4819.10.0040</v>
          </cell>
          <cell r="N100">
            <v>4819100000</v>
          </cell>
          <cell r="O100">
            <v>4819100090</v>
          </cell>
          <cell r="P100">
            <v>48191000</v>
          </cell>
          <cell r="Q100">
            <v>0</v>
          </cell>
          <cell r="R100" t="str">
            <v>4819.10.00</v>
          </cell>
          <cell r="S100">
            <v>0</v>
          </cell>
        </row>
        <row r="101">
          <cell r="A101" t="str">
            <v>GIFTWRAP-BOX-MD</v>
          </cell>
          <cell r="B101" t="str">
            <v>6.5097E+11</v>
          </cell>
          <cell r="C101" t="str">
            <v>ACTIVE</v>
          </cell>
          <cell r="D101" t="str">
            <v>Non-Core</v>
          </cell>
          <cell r="E101">
            <v>20</v>
          </cell>
          <cell r="F101" t="str">
            <v>before AW20</v>
          </cell>
          <cell r="G101" t="str">
            <v>MQ Print (Sherry)</v>
          </cell>
          <cell r="H101" t="str">
            <v>Product Boxes</v>
          </cell>
          <cell r="M101" t="str">
            <v>4819.10.0040</v>
          </cell>
          <cell r="N101">
            <v>4819100000</v>
          </cell>
          <cell r="O101">
            <v>4819100090</v>
          </cell>
          <cell r="P101">
            <v>48191000</v>
          </cell>
          <cell r="Q101">
            <v>0</v>
          </cell>
          <cell r="R101" t="str">
            <v>4819.10.00</v>
          </cell>
          <cell r="S101">
            <v>0</v>
          </cell>
        </row>
        <row r="102">
          <cell r="A102" t="str">
            <v>GIFTWRAP-BOX-MD-RSPROAD</v>
          </cell>
          <cell r="B102" t="str">
            <v>5.061E+12</v>
          </cell>
          <cell r="C102" t="str">
            <v>ACTIVE</v>
          </cell>
          <cell r="D102" t="str">
            <v>Seasonal</v>
          </cell>
          <cell r="E102">
            <v>20</v>
          </cell>
          <cell r="F102" t="str">
            <v>AW26</v>
          </cell>
          <cell r="G102" t="str">
            <v>MQ Print (Sherry)</v>
          </cell>
          <cell r="H102" t="str">
            <v>Product Boxes</v>
          </cell>
          <cell r="M102" t="str">
            <v>4819.10.0040</v>
          </cell>
          <cell r="N102">
            <v>4819100000</v>
          </cell>
          <cell r="O102">
            <v>4819100090</v>
          </cell>
          <cell r="P102">
            <v>48191000</v>
          </cell>
          <cell r="Q102">
            <v>0</v>
          </cell>
          <cell r="R102" t="str">
            <v>4819.10.00</v>
          </cell>
          <cell r="S102">
            <v>0</v>
          </cell>
        </row>
        <row r="103">
          <cell r="A103" t="str">
            <v>GIFTWRAP-BOX-SM</v>
          </cell>
          <cell r="B103" t="str">
            <v>8.0101E+10</v>
          </cell>
          <cell r="C103" t="str">
            <v>ACTIVE</v>
          </cell>
          <cell r="D103" t="str">
            <v>Non-Core</v>
          </cell>
          <cell r="E103">
            <v>50</v>
          </cell>
          <cell r="F103" t="str">
            <v>before AW20</v>
          </cell>
          <cell r="G103" t="str">
            <v>MQ Print (Sherry)</v>
          </cell>
          <cell r="H103" t="str">
            <v>Product Boxes</v>
          </cell>
          <cell r="M103" t="str">
            <v>4819.10.0040</v>
          </cell>
          <cell r="N103">
            <v>4819100000</v>
          </cell>
          <cell r="O103">
            <v>4819100090</v>
          </cell>
          <cell r="P103">
            <v>48191000</v>
          </cell>
          <cell r="Q103">
            <v>0</v>
          </cell>
          <cell r="R103" t="str">
            <v>4819.10.00</v>
          </cell>
          <cell r="S103">
            <v>0</v>
          </cell>
        </row>
        <row r="104">
          <cell r="A104" t="str">
            <v>GIFTWRAP-BOX-SM-BLUSKY</v>
          </cell>
          <cell r="B104" t="str">
            <v>5.061E+12</v>
          </cell>
          <cell r="C104" t="str">
            <v>ACTIVE</v>
          </cell>
          <cell r="D104" t="str">
            <v>Seasonal</v>
          </cell>
          <cell r="E104">
            <v>50</v>
          </cell>
          <cell r="F104" t="str">
            <v>AW26</v>
          </cell>
          <cell r="G104" t="str">
            <v>MQ Print (Sherry)</v>
          </cell>
          <cell r="H104" t="str">
            <v>Product Boxes</v>
          </cell>
          <cell r="M104" t="str">
            <v>4819.10.0040</v>
          </cell>
          <cell r="N104">
            <v>4819100000</v>
          </cell>
          <cell r="O104">
            <v>4819100090</v>
          </cell>
          <cell r="P104">
            <v>48191000</v>
          </cell>
          <cell r="Q104">
            <v>0</v>
          </cell>
          <cell r="R104" t="str">
            <v>4819.10.00</v>
          </cell>
          <cell r="S104">
            <v>0</v>
          </cell>
        </row>
        <row r="105">
          <cell r="A105" t="str">
            <v>GIFTWRAP-BOX-SM-MELLOW</v>
          </cell>
          <cell r="B105" t="str">
            <v>5.061E+12</v>
          </cell>
          <cell r="C105" t="str">
            <v>ACTIVE</v>
          </cell>
          <cell r="D105" t="str">
            <v>Seasonal</v>
          </cell>
          <cell r="E105">
            <v>50</v>
          </cell>
          <cell r="F105" t="str">
            <v>AW26</v>
          </cell>
          <cell r="G105" t="str">
            <v>MQ Print (Sherry)</v>
          </cell>
          <cell r="H105" t="str">
            <v>Product Boxes</v>
          </cell>
          <cell r="M105" t="str">
            <v>4819.10.0040</v>
          </cell>
          <cell r="N105">
            <v>4819100000</v>
          </cell>
          <cell r="O105">
            <v>4819100090</v>
          </cell>
          <cell r="P105">
            <v>48191000</v>
          </cell>
          <cell r="Q105">
            <v>0</v>
          </cell>
          <cell r="R105" t="str">
            <v>4819.10.00</v>
          </cell>
          <cell r="S105">
            <v>0</v>
          </cell>
        </row>
        <row r="106">
          <cell r="A106" t="str">
            <v>GIFTWRAP-BOX-SM-RSPROAD</v>
          </cell>
          <cell r="B106" t="str">
            <v>5.061E+12</v>
          </cell>
          <cell r="C106" t="str">
            <v>ACTIVE</v>
          </cell>
          <cell r="D106" t="str">
            <v>Seasonal</v>
          </cell>
          <cell r="E106">
            <v>50</v>
          </cell>
          <cell r="F106" t="str">
            <v>AW26</v>
          </cell>
          <cell r="G106" t="str">
            <v>MQ Print (Sherry)</v>
          </cell>
          <cell r="H106" t="str">
            <v>Product Boxes</v>
          </cell>
          <cell r="M106" t="str">
            <v>4819.10.0040</v>
          </cell>
          <cell r="N106">
            <v>4819100000</v>
          </cell>
          <cell r="O106">
            <v>4819100090</v>
          </cell>
          <cell r="P106">
            <v>48191000</v>
          </cell>
          <cell r="Q106">
            <v>0</v>
          </cell>
          <cell r="R106" t="str">
            <v>4819.10.00</v>
          </cell>
          <cell r="S106">
            <v>0</v>
          </cell>
        </row>
        <row r="107">
          <cell r="A107" t="str">
            <v>GIFTWRAP-CARD</v>
          </cell>
          <cell r="B107" t="str">
            <v>6.5097E+11</v>
          </cell>
          <cell r="C107" t="str">
            <v>ACTIVE</v>
          </cell>
          <cell r="D107" t="str">
            <v>Non-Core</v>
          </cell>
          <cell r="E107">
            <v>3000</v>
          </cell>
          <cell r="F107" t="str">
            <v>before AW20</v>
          </cell>
          <cell r="G107" t="str">
            <v>MQ Print (Sherry)</v>
          </cell>
          <cell r="H107" t="str">
            <v>Product Boxes</v>
          </cell>
          <cell r="M107" t="str">
            <v>4819.10.0040</v>
          </cell>
          <cell r="N107">
            <v>4819100000</v>
          </cell>
          <cell r="O107">
            <v>4819100090</v>
          </cell>
          <cell r="P107">
            <v>48191000</v>
          </cell>
          <cell r="Q107">
            <v>0</v>
          </cell>
          <cell r="R107" t="str">
            <v>4819.10.00</v>
          </cell>
          <cell r="S107">
            <v>0</v>
          </cell>
        </row>
        <row r="108">
          <cell r="A108" t="str">
            <v>GIFTWRAP-RIBBON</v>
          </cell>
          <cell r="B108" t="str">
            <v>8.0101E+10</v>
          </cell>
          <cell r="C108" t="str">
            <v>ACTIVE</v>
          </cell>
          <cell r="E108">
            <v>3000</v>
          </cell>
          <cell r="G108" t="str">
            <v>MQ Print (Sherry)</v>
          </cell>
          <cell r="H108" t="str">
            <v>Product Boxes</v>
          </cell>
          <cell r="M108" t="str">
            <v>4819.10.0040</v>
          </cell>
          <cell r="N108">
            <v>4819100000</v>
          </cell>
          <cell r="O108">
            <v>4819100090</v>
          </cell>
          <cell r="P108">
            <v>48191000</v>
          </cell>
          <cell r="Q108">
            <v>0</v>
          </cell>
          <cell r="R108" t="str">
            <v>4819.10.00</v>
          </cell>
          <cell r="S108">
            <v>0</v>
          </cell>
        </row>
        <row r="109">
          <cell r="A109" t="str">
            <v>HAIRW-CAB-LTBLU-NB</v>
          </cell>
          <cell r="B109" t="str">
            <v>5.0607E+12</v>
          </cell>
          <cell r="C109" t="str">
            <v>ACTIVE</v>
          </cell>
          <cell r="D109" t="str">
            <v>Core</v>
          </cell>
          <cell r="E109">
            <v>60</v>
          </cell>
          <cell r="F109" t="str">
            <v>AW24</v>
          </cell>
          <cell r="G109" t="str">
            <v>XR Textile</v>
          </cell>
          <cell r="H109" t="str">
            <v>HAIRW-standard</v>
          </cell>
          <cell r="I109" t="str">
            <v>GRS Certified* 83% Post Consumer Recycled Polyester (RM0189) 17% Pre Consumer Recycled Polyamide (RM1084)</v>
          </cell>
          <cell r="M109" t="str">
            <v>6504.00.90.15</v>
          </cell>
          <cell r="N109">
            <v>6505009090</v>
          </cell>
          <cell r="O109" t="str">
            <v>6505.00.40.00</v>
          </cell>
          <cell r="P109" t="str">
            <v>6505.00.90.90</v>
          </cell>
          <cell r="Q109">
            <v>0</v>
          </cell>
          <cell r="R109" t="str">
            <v>6505.00.90</v>
          </cell>
          <cell r="S109">
            <v>0</v>
          </cell>
        </row>
        <row r="110">
          <cell r="A110" t="str">
            <v>HAIRW-CAB-LTPNK-NB</v>
          </cell>
          <cell r="B110" t="str">
            <v>5.0607E+12</v>
          </cell>
          <cell r="C110" t="str">
            <v>ACTIVE</v>
          </cell>
          <cell r="D110" t="str">
            <v>Core</v>
          </cell>
          <cell r="E110">
            <v>60</v>
          </cell>
          <cell r="F110" t="str">
            <v>AW24</v>
          </cell>
          <cell r="G110" t="str">
            <v>XR Textile</v>
          </cell>
          <cell r="H110" t="str">
            <v>HAIRW-standard</v>
          </cell>
          <cell r="I110" t="str">
            <v>GRS Certified* 83% Post Consumer Recycled Polyester (RM0189) 17% Pre Consumer Recycled Polyamide (RM1084)</v>
          </cell>
          <cell r="M110" t="str">
            <v>6504.00.90.15</v>
          </cell>
          <cell r="N110">
            <v>6505009090</v>
          </cell>
          <cell r="O110" t="str">
            <v>6505.00.40.00</v>
          </cell>
          <cell r="P110" t="str">
            <v>6505.00.90.90</v>
          </cell>
          <cell r="Q110">
            <v>0</v>
          </cell>
          <cell r="R110" t="str">
            <v>6505.00.90</v>
          </cell>
          <cell r="S110">
            <v>0</v>
          </cell>
        </row>
        <row r="111">
          <cell r="A111" t="str">
            <v>HAIRW-CAB-LTPPL-NB</v>
          </cell>
          <cell r="B111" t="str">
            <v>5.0607E+12</v>
          </cell>
          <cell r="C111" t="str">
            <v>ACTIVE</v>
          </cell>
          <cell r="D111" t="str">
            <v>Core</v>
          </cell>
          <cell r="E111">
            <v>60</v>
          </cell>
          <cell r="F111" t="str">
            <v>AW24</v>
          </cell>
          <cell r="G111" t="str">
            <v>XR Textile</v>
          </cell>
          <cell r="H111" t="str">
            <v>HAIRW-standard</v>
          </cell>
          <cell r="I111" t="str">
            <v>GRS Certified* 83% Post Consumer Recycled Polyester (RM0189) 17% Pre Consumer Recycled Polyamide (RM1084)</v>
          </cell>
          <cell r="M111" t="str">
            <v>6504.00.90.15</v>
          </cell>
          <cell r="N111">
            <v>6505009090</v>
          </cell>
          <cell r="O111" t="str">
            <v>6505.00.40.00</v>
          </cell>
          <cell r="P111" t="str">
            <v>6505.00.90.90</v>
          </cell>
          <cell r="Q111">
            <v>0</v>
          </cell>
          <cell r="R111" t="str">
            <v>6505.00.90</v>
          </cell>
          <cell r="S111">
            <v>0</v>
          </cell>
        </row>
        <row r="112">
          <cell r="A112" t="str">
            <v>HAIRW-CAB-NAVY-NB</v>
          </cell>
          <cell r="B112" t="str">
            <v>5.0607E+12</v>
          </cell>
          <cell r="C112" t="str">
            <v>ACTIVE</v>
          </cell>
          <cell r="D112" t="str">
            <v>Core</v>
          </cell>
          <cell r="E112">
            <v>60</v>
          </cell>
          <cell r="F112" t="str">
            <v>AW24</v>
          </cell>
          <cell r="G112" t="str">
            <v>XR Textile</v>
          </cell>
          <cell r="H112" t="str">
            <v>HAIRW-standard</v>
          </cell>
          <cell r="I112" t="str">
            <v>GRS Certified* 83% Post Consumer Recycled Polyester (RM0189) 17% Pre Consumer Recycled Polyamide (RM1084)</v>
          </cell>
          <cell r="M112" t="str">
            <v>6504.00.90.15</v>
          </cell>
          <cell r="N112">
            <v>6505009090</v>
          </cell>
          <cell r="O112" t="str">
            <v>6505.00.40.00</v>
          </cell>
          <cell r="P112" t="str">
            <v>6505.00.90.90</v>
          </cell>
          <cell r="Q112">
            <v>0</v>
          </cell>
          <cell r="R112" t="str">
            <v>6505.00.90</v>
          </cell>
          <cell r="S112">
            <v>0</v>
          </cell>
        </row>
        <row r="113">
          <cell r="A113" t="str">
            <v>HAIRW-SUE-BBGWLK</v>
          </cell>
          <cell r="B113" t="str">
            <v>5.061E+12</v>
          </cell>
          <cell r="C113" t="str">
            <v>ACTIVE</v>
          </cell>
          <cell r="D113" t="str">
            <v>Seasonal</v>
          </cell>
          <cell r="E113">
            <v>60</v>
          </cell>
          <cell r="F113" t="str">
            <v>AW25</v>
          </cell>
          <cell r="G113" t="str">
            <v>XR Textile</v>
          </cell>
          <cell r="H113" t="str">
            <v>HAIRW-standard</v>
          </cell>
          <cell r="I113" t="str">
            <v>GRS Certified* 83% Post Consumer Recycled Polyester (RM0189) 17% Pre Consumer Recycled Polyamide (RM1084)</v>
          </cell>
          <cell r="M113" t="str">
            <v>6504.00.90.15</v>
          </cell>
          <cell r="N113">
            <v>6505009090</v>
          </cell>
          <cell r="O113" t="str">
            <v>6505.00.40.00</v>
          </cell>
          <cell r="P113" t="str">
            <v>6505.00.90.90</v>
          </cell>
          <cell r="Q113">
            <v>0</v>
          </cell>
          <cell r="R113" t="str">
            <v>6505.00.90</v>
          </cell>
          <cell r="S113">
            <v>0</v>
          </cell>
        </row>
        <row r="134">
          <cell r="A134" t="str">
            <v>PICNIC-CAB-LG-NAVY</v>
          </cell>
          <cell r="B134" t="str">
            <v>5.0607E+12</v>
          </cell>
          <cell r="C134" t="str">
            <v>ACTIVE</v>
          </cell>
          <cell r="D134" t="str">
            <v>Core</v>
          </cell>
          <cell r="E134">
            <v>16</v>
          </cell>
          <cell r="F134" t="str">
            <v>SS23</v>
          </cell>
          <cell r="G134" t="str">
            <v>XR Textile</v>
          </cell>
          <cell r="H134" t="str">
            <v>PICNIC</v>
          </cell>
          <cell r="I134" t="str">
            <v>GRS Certified** Upper: 83% Post Consumer Recycled Polyester (RM0189) 17% Pre Consumer Recycled Polyamide (RM1084) Reverse: 100% Post Consumer Recycled Polyester (RM0189)</v>
          </cell>
          <cell r="M134" t="str">
            <v>6301.40.0020</v>
          </cell>
          <cell r="N134">
            <v>6301409099</v>
          </cell>
          <cell r="O134" t="str">
            <v>6301.40.0020</v>
          </cell>
          <cell r="P134">
            <v>6301409099</v>
          </cell>
          <cell r="Q134">
            <v>0</v>
          </cell>
          <cell r="R134" t="str">
            <v>6301.40.00</v>
          </cell>
          <cell r="S134">
            <v>6301</v>
          </cell>
        </row>
        <row r="135">
          <cell r="A135" t="str">
            <v>PICNIC-CAB-XL-NAVY</v>
          </cell>
          <cell r="B135" t="str">
            <v>5.0607E+12</v>
          </cell>
          <cell r="C135" t="str">
            <v>ACTIVE</v>
          </cell>
          <cell r="D135" t="str">
            <v>Core</v>
          </cell>
          <cell r="E135">
            <v>12</v>
          </cell>
          <cell r="F135" t="str">
            <v>SS23</v>
          </cell>
          <cell r="G135" t="str">
            <v>XR Textile</v>
          </cell>
          <cell r="H135" t="str">
            <v>PICNIC</v>
          </cell>
          <cell r="I135" t="str">
            <v>GRS Certified** Upper: 83% Post Consumer Recycled Polyester (RM0189) 17% Pre Consumer Recycled Polyamide (RM1084) Reverse: 100% Post Consumer Recycled Polyester (RM0189)</v>
          </cell>
          <cell r="M135" t="str">
            <v>6301.40.0020</v>
          </cell>
          <cell r="N135">
            <v>6301409099</v>
          </cell>
          <cell r="O135" t="str">
            <v>6301.40.0020</v>
          </cell>
          <cell r="P135">
            <v>6301409099</v>
          </cell>
          <cell r="Q135">
            <v>0</v>
          </cell>
          <cell r="R135" t="str">
            <v>6301.40.00</v>
          </cell>
          <cell r="S135">
            <v>6301</v>
          </cell>
        </row>
        <row r="136">
          <cell r="A136" t="str">
            <v>PICNIC-DES-LG-CANDSTR</v>
          </cell>
          <cell r="B136" t="str">
            <v>5.061E+12</v>
          </cell>
          <cell r="C136" t="str">
            <v>ACTIVE</v>
          </cell>
          <cell r="D136" t="str">
            <v>Seasonal</v>
          </cell>
          <cell r="E136">
            <v>16</v>
          </cell>
          <cell r="F136" t="str">
            <v>SS25</v>
          </cell>
          <cell r="G136" t="str">
            <v>XR Textile</v>
          </cell>
          <cell r="H136" t="str">
            <v>PICNIC</v>
          </cell>
          <cell r="I136" t="str">
            <v>GRS Certified** Upper: 83% Post Consumer Recycled Polyester (RM0189) 17% Pre Consumer Recycled Polyamide (RM1084) Reverse: 100% Post Consumer Recycled Polyester (RM0189)</v>
          </cell>
          <cell r="M136" t="str">
            <v>6301.40.0020</v>
          </cell>
          <cell r="N136">
            <v>6301409099</v>
          </cell>
          <cell r="O136" t="str">
            <v>6301.40.0020</v>
          </cell>
          <cell r="P136">
            <v>6301409099</v>
          </cell>
          <cell r="Q136">
            <v>0</v>
          </cell>
          <cell r="R136" t="str">
            <v>6301.40.00</v>
          </cell>
          <cell r="S136">
            <v>6301</v>
          </cell>
        </row>
        <row r="137">
          <cell r="A137" t="str">
            <v>PICNIC-DES-LG-STRIPLIFE</v>
          </cell>
          <cell r="B137" t="str">
            <v>5.061E+12</v>
          </cell>
          <cell r="C137" t="str">
            <v>ACTIVE</v>
          </cell>
          <cell r="D137" t="str">
            <v>Seasonal</v>
          </cell>
          <cell r="E137">
            <v>16</v>
          </cell>
          <cell r="F137" t="str">
            <v>SS25</v>
          </cell>
          <cell r="G137" t="str">
            <v>XR Textile</v>
          </cell>
          <cell r="H137" t="str">
            <v>PICNIC</v>
          </cell>
          <cell r="I137" t="str">
            <v>GRS Certified** Upper: 83% Post Consumer Recycled Polyester (RM0189) 17% Pre Consumer Recycled Polyamide (RM1084) Reverse: 100% Post Consumer Recycled Polyester (RM0189)</v>
          </cell>
          <cell r="M137" t="str">
            <v>6301.40.0020</v>
          </cell>
          <cell r="N137">
            <v>6301409099</v>
          </cell>
          <cell r="O137" t="str">
            <v>6301.40.0020</v>
          </cell>
          <cell r="P137">
            <v>6301409099</v>
          </cell>
          <cell r="Q137">
            <v>0</v>
          </cell>
          <cell r="R137" t="str">
            <v>6301.40.00</v>
          </cell>
          <cell r="S137">
            <v>6301</v>
          </cell>
        </row>
        <row r="138">
          <cell r="A138" t="str">
            <v>PICNIC-DES-XL-CANDSTR</v>
          </cell>
          <cell r="B138" t="str">
            <v>5.061E+12</v>
          </cell>
          <cell r="C138" t="str">
            <v>ACTIVE</v>
          </cell>
          <cell r="D138" t="str">
            <v>Seasonal</v>
          </cell>
          <cell r="E138">
            <v>12</v>
          </cell>
          <cell r="F138" t="str">
            <v>SS25</v>
          </cell>
          <cell r="G138" t="str">
            <v>XR Textile</v>
          </cell>
          <cell r="H138" t="str">
            <v>PICNIC</v>
          </cell>
          <cell r="I138" t="str">
            <v>GRS Certified** Upper: 83% Post Consumer Recycled Polyester (RM0189) 17% Pre Consumer Recycled Polyamide (RM1084) Reverse: 100% Post Consumer Recycled Polyester (RM0189)</v>
          </cell>
          <cell r="M138" t="str">
            <v>6301.40.0020</v>
          </cell>
          <cell r="N138">
            <v>6301409099</v>
          </cell>
          <cell r="O138" t="str">
            <v>6301.40.0020</v>
          </cell>
          <cell r="P138">
            <v>6301409099</v>
          </cell>
          <cell r="Q138">
            <v>0</v>
          </cell>
          <cell r="R138" t="str">
            <v>6301.40.00</v>
          </cell>
          <cell r="S138">
            <v>6301</v>
          </cell>
        </row>
        <row r="139">
          <cell r="A139" t="str">
            <v>PICNIC-DES-XL-STRIPLIFE</v>
          </cell>
          <cell r="B139" t="str">
            <v>5.061E+12</v>
          </cell>
          <cell r="C139" t="str">
            <v>ACTIVE</v>
          </cell>
          <cell r="D139" t="str">
            <v>Seasonal</v>
          </cell>
          <cell r="E139">
            <v>12</v>
          </cell>
          <cell r="F139" t="str">
            <v>SS25</v>
          </cell>
          <cell r="G139" t="str">
            <v>XR Textile</v>
          </cell>
          <cell r="H139" t="str">
            <v>PICNIC</v>
          </cell>
          <cell r="I139" t="str">
            <v>GRS Certified** Upper: 83% Post Consumer Recycled Polyester (RM0189) 17% Pre Consumer Recycled Polyamide (RM1084) Reverse: 100% Post Consumer Recycled Polyester (RM0189)</v>
          </cell>
          <cell r="M139" t="str">
            <v>6301.40.0020</v>
          </cell>
          <cell r="N139">
            <v>6301409099</v>
          </cell>
          <cell r="O139" t="str">
            <v>6301.40.0020</v>
          </cell>
          <cell r="P139">
            <v>6301409099</v>
          </cell>
          <cell r="Q139">
            <v>0</v>
          </cell>
          <cell r="R139" t="str">
            <v>6301.40.00</v>
          </cell>
          <cell r="S139">
            <v>6301</v>
          </cell>
        </row>
        <row r="140">
          <cell r="A140" t="str">
            <v>PICNIC-SUM-LG-UNICN</v>
          </cell>
          <cell r="B140" t="str">
            <v>5.061E+12</v>
          </cell>
          <cell r="C140" t="str">
            <v>ACTIVE</v>
          </cell>
          <cell r="D140" t="str">
            <v>Core</v>
          </cell>
          <cell r="E140">
            <v>16</v>
          </cell>
          <cell r="F140" t="str">
            <v>SS24</v>
          </cell>
          <cell r="G140" t="str">
            <v>XR Textile</v>
          </cell>
          <cell r="H140" t="str">
            <v>PICNIC</v>
          </cell>
          <cell r="I140" t="str">
            <v>GRS Certified** Upper: 83% Post Consumer Recycled Polyester (RM0189) 17% Pre Consumer Recycled Polyamide (RM1084) Reverse: 100% Post Consumer Recycled Polyester (RM0189)</v>
          </cell>
          <cell r="M140" t="str">
            <v>6301.40.0020</v>
          </cell>
          <cell r="N140">
            <v>6301409099</v>
          </cell>
          <cell r="O140" t="str">
            <v>6301.40.0020</v>
          </cell>
          <cell r="P140">
            <v>6301409099</v>
          </cell>
          <cell r="Q140">
            <v>0</v>
          </cell>
          <cell r="R140" t="str">
            <v>6301.40.00</v>
          </cell>
          <cell r="S140">
            <v>6301</v>
          </cell>
        </row>
        <row r="141">
          <cell r="A141" t="str">
            <v>PICNIC-SUM-XL-UNICN</v>
          </cell>
          <cell r="B141" t="str">
            <v>5.061E+12</v>
          </cell>
          <cell r="C141" t="str">
            <v>ACTIVE</v>
          </cell>
          <cell r="D141" t="str">
            <v>Core</v>
          </cell>
          <cell r="E141">
            <v>12</v>
          </cell>
          <cell r="F141" t="str">
            <v>SS24</v>
          </cell>
          <cell r="G141" t="str">
            <v>XR Textile</v>
          </cell>
          <cell r="H141" t="str">
            <v>PICNIC</v>
          </cell>
          <cell r="I141" t="str">
            <v>GRS Certified** Upper: 83% Post Consumer Recycled Polyester (RM0189) 17% Pre Consumer Recycled Polyamide (RM1084) Reverse: 100% Post Consumer Recycled Polyester (RM0189)</v>
          </cell>
          <cell r="M141" t="str">
            <v>6301.40.0020</v>
          </cell>
          <cell r="N141">
            <v>6301409099</v>
          </cell>
          <cell r="O141" t="str">
            <v>6301.40.0020</v>
          </cell>
          <cell r="P141">
            <v>6301409099</v>
          </cell>
          <cell r="Q141">
            <v>0</v>
          </cell>
          <cell r="R141" t="str">
            <v>6301.40.00</v>
          </cell>
          <cell r="S141">
            <v>6301</v>
          </cell>
        </row>
        <row r="142">
          <cell r="A142" t="str">
            <v>PONCHA-CAB-LG-BLUE-NS</v>
          </cell>
          <cell r="B142" t="str">
            <v>5.061E+12</v>
          </cell>
          <cell r="C142" t="str">
            <v>ACTIVE</v>
          </cell>
          <cell r="D142" t="str">
            <v>Core</v>
          </cell>
          <cell r="E142">
            <v>20</v>
          </cell>
          <cell r="F142" t="str">
            <v>SS25</v>
          </cell>
          <cell r="G142" t="str">
            <v>XR Textile</v>
          </cell>
          <cell r="H142" t="str">
            <v>PONCHA</v>
          </cell>
          <cell r="I142" t="str">
            <v>GRS Certified* 83% Post Consumer Recycled Polyester (RM0189) 17% Pre Consumer Recycled Polyamide (RM1084)</v>
          </cell>
          <cell r="M142" t="str">
            <v>6101.90.90.30</v>
          </cell>
          <cell r="N142">
            <v>6101309000</v>
          </cell>
          <cell r="O142">
            <v>6112399000</v>
          </cell>
          <cell r="P142" t="str">
            <v>6211 4390 00</v>
          </cell>
          <cell r="Q142">
            <v>6117109000</v>
          </cell>
          <cell r="R142" t="str">
            <v>6112.39.00</v>
          </cell>
          <cell r="S142">
            <v>6202</v>
          </cell>
        </row>
        <row r="143">
          <cell r="A143" t="str">
            <v>PONCHA-CAB-LG-LTPNK-NS</v>
          </cell>
          <cell r="B143" t="str">
            <v>5.061E+12</v>
          </cell>
          <cell r="C143" t="str">
            <v>ACTIVE</v>
          </cell>
          <cell r="D143" t="str">
            <v>Core</v>
          </cell>
          <cell r="E143">
            <v>20</v>
          </cell>
          <cell r="F143" t="str">
            <v>SS25</v>
          </cell>
          <cell r="G143" t="str">
            <v>XR Textile</v>
          </cell>
          <cell r="H143" t="str">
            <v>PONCHA</v>
          </cell>
          <cell r="I143" t="str">
            <v>GRS Certified* 83% Post Consumer Recycled Polyester (RM0189) 17% Pre Consumer Recycled Polyamide (RM1084)</v>
          </cell>
          <cell r="M143" t="str">
            <v>6101.90.90.30</v>
          </cell>
          <cell r="N143">
            <v>6101309000</v>
          </cell>
          <cell r="O143">
            <v>6112399000</v>
          </cell>
          <cell r="P143" t="str">
            <v>6211 4390 00</v>
          </cell>
          <cell r="Q143">
            <v>6117109000</v>
          </cell>
          <cell r="R143" t="str">
            <v>6112.39.00</v>
          </cell>
          <cell r="S143">
            <v>6202</v>
          </cell>
        </row>
        <row r="144">
          <cell r="A144" t="str">
            <v>PONCHA-CAB-LG-NAVY-NS</v>
          </cell>
          <cell r="B144" t="str">
            <v>5.061E+12</v>
          </cell>
          <cell r="C144" t="str">
            <v>ACTIVE</v>
          </cell>
          <cell r="D144" t="str">
            <v>Core</v>
          </cell>
          <cell r="E144">
            <v>20</v>
          </cell>
          <cell r="F144" t="str">
            <v>SS25</v>
          </cell>
          <cell r="G144" t="str">
            <v>XR Textile</v>
          </cell>
          <cell r="H144" t="str">
            <v>PONCHA</v>
          </cell>
          <cell r="I144" t="str">
            <v>GRS Certified* 83% Post Consumer Recycled Polyester (RM0189) 17% Pre Consumer Recycled Polyamide (RM1084)</v>
          </cell>
          <cell r="M144" t="str">
            <v>6101.90.90.30</v>
          </cell>
          <cell r="N144">
            <v>6101309000</v>
          </cell>
          <cell r="O144">
            <v>6112399000</v>
          </cell>
          <cell r="P144" t="str">
            <v>6211 4390 00</v>
          </cell>
          <cell r="Q144">
            <v>6117109000</v>
          </cell>
          <cell r="R144" t="str">
            <v>6112.39.00</v>
          </cell>
          <cell r="S144">
            <v>6202</v>
          </cell>
        </row>
        <row r="145">
          <cell r="A145" t="str">
            <v>PONCHA-CAB-MD-BLUE-NS</v>
          </cell>
          <cell r="B145" t="str">
            <v>5.061E+12</v>
          </cell>
          <cell r="C145" t="str">
            <v>ACTIVE</v>
          </cell>
          <cell r="D145" t="str">
            <v>Core</v>
          </cell>
          <cell r="E145">
            <v>20</v>
          </cell>
          <cell r="F145" t="str">
            <v>SS25</v>
          </cell>
          <cell r="G145" t="str">
            <v>XR Textile</v>
          </cell>
          <cell r="H145" t="str">
            <v>PONCHA</v>
          </cell>
          <cell r="I145" t="str">
            <v>GRS Certified* 83% Post Consumer Recycled Polyester (RM0189) 17% Pre Consumer Recycled Polyamide (RM1084)</v>
          </cell>
          <cell r="M145" t="str">
            <v>6101.90.90.30</v>
          </cell>
          <cell r="N145">
            <v>6101309000</v>
          </cell>
          <cell r="O145">
            <v>6112399000</v>
          </cell>
          <cell r="P145" t="str">
            <v>6211 4390 00</v>
          </cell>
          <cell r="Q145">
            <v>6117109000</v>
          </cell>
          <cell r="R145" t="str">
            <v>6112.39.00</v>
          </cell>
          <cell r="S145">
            <v>6202</v>
          </cell>
        </row>
        <row r="146">
          <cell r="A146" t="str">
            <v>PONCHA-CAB-MD-LTPNK-NS</v>
          </cell>
          <cell r="B146" t="str">
            <v>5.061E+12</v>
          </cell>
          <cell r="C146" t="str">
            <v>ACTIVE</v>
          </cell>
          <cell r="D146" t="str">
            <v>Core</v>
          </cell>
          <cell r="E146">
            <v>20</v>
          </cell>
          <cell r="F146" t="str">
            <v>SS25</v>
          </cell>
          <cell r="G146" t="str">
            <v>XR Textile</v>
          </cell>
          <cell r="H146" t="str">
            <v>PONCHA</v>
          </cell>
          <cell r="I146" t="str">
            <v>GRS Certified* 83% Post Consumer Recycled Polyester (RM0189) 17% Pre Consumer Recycled Polyamide (RM1084)</v>
          </cell>
          <cell r="M146" t="str">
            <v>6101.90.90.30</v>
          </cell>
          <cell r="N146">
            <v>6101309000</v>
          </cell>
          <cell r="O146">
            <v>6112399000</v>
          </cell>
          <cell r="P146" t="str">
            <v>6211 4390 00</v>
          </cell>
          <cell r="Q146">
            <v>6117109000</v>
          </cell>
          <cell r="R146" t="str">
            <v>6112.39.00</v>
          </cell>
          <cell r="S146">
            <v>6202</v>
          </cell>
        </row>
        <row r="147">
          <cell r="A147" t="str">
            <v>PONCHA-CAB-MD-NAVY-NS</v>
          </cell>
          <cell r="B147" t="str">
            <v>5.061E+12</v>
          </cell>
          <cell r="C147" t="str">
            <v>ACTIVE</v>
          </cell>
          <cell r="D147" t="str">
            <v>Core</v>
          </cell>
          <cell r="E147">
            <v>20</v>
          </cell>
          <cell r="F147" t="str">
            <v>SS25</v>
          </cell>
          <cell r="G147" t="str">
            <v>XR Textile</v>
          </cell>
          <cell r="H147" t="str">
            <v>PONCHA</v>
          </cell>
          <cell r="I147" t="str">
            <v>GRS Certified* 83% Post Consumer Recycled Polyester (RM0189) 17% Pre Consumer Recycled Polyamide (RM1084)</v>
          </cell>
          <cell r="M147" t="str">
            <v>6101.90.90.30</v>
          </cell>
          <cell r="N147">
            <v>6101309000</v>
          </cell>
          <cell r="O147">
            <v>6112399000</v>
          </cell>
          <cell r="P147" t="str">
            <v>6211 4390 00</v>
          </cell>
          <cell r="Q147">
            <v>6117109000</v>
          </cell>
          <cell r="R147" t="str">
            <v>6112.39.00</v>
          </cell>
          <cell r="S147">
            <v>6202</v>
          </cell>
        </row>
        <row r="148">
          <cell r="A148" t="str">
            <v>PONCHA-CAB-XL-LTPNK</v>
          </cell>
          <cell r="B148" t="str">
            <v>5.061E+12</v>
          </cell>
          <cell r="C148" t="str">
            <v>ACTIVE</v>
          </cell>
          <cell r="D148" t="str">
            <v>Core</v>
          </cell>
          <cell r="E148">
            <v>20</v>
          </cell>
          <cell r="F148" t="str">
            <v>SS25</v>
          </cell>
          <cell r="G148" t="str">
            <v>XR Textile</v>
          </cell>
          <cell r="H148" t="str">
            <v>PONCHA</v>
          </cell>
          <cell r="I148" t="str">
            <v>GRS Certified* 83% Post Consumer Recycled Polyester (RM0189) 17% Pre Consumer Recycled Polyamide (RM1084)</v>
          </cell>
          <cell r="M148" t="str">
            <v>6101.90.90.30</v>
          </cell>
          <cell r="N148">
            <v>6101309000</v>
          </cell>
          <cell r="O148">
            <v>6112399000</v>
          </cell>
          <cell r="P148" t="str">
            <v>6211 4390 00</v>
          </cell>
          <cell r="Q148">
            <v>6117109000</v>
          </cell>
          <cell r="R148" t="str">
            <v>6112.39.00</v>
          </cell>
          <cell r="S148">
            <v>6202</v>
          </cell>
        </row>
        <row r="149">
          <cell r="A149" t="str">
            <v>PONCHA-CAB-XL-NAVY</v>
          </cell>
          <cell r="B149" t="str">
            <v>5.061E+12</v>
          </cell>
          <cell r="C149" t="str">
            <v>ACTIVE</v>
          </cell>
          <cell r="D149" t="str">
            <v>Core</v>
          </cell>
          <cell r="E149">
            <v>20</v>
          </cell>
          <cell r="F149" t="str">
            <v>SS25</v>
          </cell>
          <cell r="G149" t="str">
            <v>XR Textile</v>
          </cell>
          <cell r="H149" t="str">
            <v>PONCHA</v>
          </cell>
          <cell r="I149" t="str">
            <v>GRS Certified* 83% Post Consumer Recycled Polyester (RM0189) 17% Pre Consumer Recycled Polyamide (RM1084)</v>
          </cell>
          <cell r="M149" t="str">
            <v>6101.90.90.30</v>
          </cell>
          <cell r="N149">
            <v>6101309000</v>
          </cell>
          <cell r="O149">
            <v>6112399000</v>
          </cell>
          <cell r="P149" t="str">
            <v>6211 4390 00</v>
          </cell>
          <cell r="Q149">
            <v>6117109000</v>
          </cell>
          <cell r="R149" t="str">
            <v>6112.39.00</v>
          </cell>
          <cell r="S149">
            <v>6202</v>
          </cell>
        </row>
        <row r="150">
          <cell r="A150" t="str">
            <v>PONCHA-CLA-LG-NAVY-NS</v>
          </cell>
          <cell r="B150" t="str">
            <v>5.061E+12</v>
          </cell>
          <cell r="C150" t="str">
            <v>ACTIVE</v>
          </cell>
          <cell r="D150" t="str">
            <v>Core</v>
          </cell>
          <cell r="E150">
            <v>20</v>
          </cell>
          <cell r="F150" t="str">
            <v>SS25</v>
          </cell>
          <cell r="G150" t="str">
            <v>XR Textile</v>
          </cell>
          <cell r="H150" t="str">
            <v>PONCHA</v>
          </cell>
          <cell r="I150" t="str">
            <v>GRS Certified* 83% Post Consumer Recycled Polyester (RM0189) 17% Pre Consumer Recycled Polyamide (RM1084)</v>
          </cell>
          <cell r="M150" t="str">
            <v>6101.90.90.30</v>
          </cell>
          <cell r="N150">
            <v>6101309000</v>
          </cell>
          <cell r="O150">
            <v>6112399000</v>
          </cell>
          <cell r="P150" t="str">
            <v>6211 4390 00</v>
          </cell>
          <cell r="Q150">
            <v>6117109000</v>
          </cell>
          <cell r="R150" t="str">
            <v>6112.39.00</v>
          </cell>
          <cell r="S150">
            <v>6202</v>
          </cell>
        </row>
        <row r="151">
          <cell r="A151" t="str">
            <v>PONCHA-CLA-MD-NAVY-NS</v>
          </cell>
          <cell r="B151" t="str">
            <v>5.061E+12</v>
          </cell>
          <cell r="C151" t="str">
            <v>ACTIVE</v>
          </cell>
          <cell r="D151" t="str">
            <v>Core</v>
          </cell>
          <cell r="E151">
            <v>20</v>
          </cell>
          <cell r="F151" t="str">
            <v>SS25</v>
          </cell>
          <cell r="G151" t="str">
            <v>XR Textile</v>
          </cell>
          <cell r="H151" t="str">
            <v>PONCHA</v>
          </cell>
          <cell r="I151" t="str">
            <v>GRS Certified* 83% Post Consumer Recycled Polyester (RM0189) 17% Pre Consumer Recycled Polyamide (RM1084)</v>
          </cell>
          <cell r="M151" t="str">
            <v>6101.90.90.30</v>
          </cell>
          <cell r="N151">
            <v>6101309000</v>
          </cell>
          <cell r="O151">
            <v>6112399000</v>
          </cell>
          <cell r="P151" t="str">
            <v>6211 4390 00</v>
          </cell>
          <cell r="Q151">
            <v>6117109000</v>
          </cell>
          <cell r="R151" t="str">
            <v>6112.39.00</v>
          </cell>
          <cell r="S151">
            <v>6202</v>
          </cell>
        </row>
        <row r="152">
          <cell r="A152" t="str">
            <v>PONCHA-DES-LG-WTRSUG</v>
          </cell>
          <cell r="B152" t="str">
            <v>5.061E+12</v>
          </cell>
          <cell r="C152" t="str">
            <v>ACTIVE</v>
          </cell>
          <cell r="D152" t="str">
            <v>Seasonal</v>
          </cell>
          <cell r="E152">
            <v>20</v>
          </cell>
          <cell r="F152" t="str">
            <v>SS26</v>
          </cell>
          <cell r="G152" t="str">
            <v>XR Textile</v>
          </cell>
          <cell r="H152" t="str">
            <v>PONCHA</v>
          </cell>
          <cell r="I152" t="str">
            <v>GRS Certified* 83% Post Consumer Recycled Polyester (RM0189) 17% Pre Consumer Recycled Polyamide (RM1084)</v>
          </cell>
          <cell r="M152" t="str">
            <v>6101.90.90.30</v>
          </cell>
          <cell r="N152">
            <v>6101309000</v>
          </cell>
          <cell r="O152">
            <v>6112399000</v>
          </cell>
          <cell r="P152" t="str">
            <v>6211 4390 00</v>
          </cell>
          <cell r="Q152">
            <v>6117109000</v>
          </cell>
          <cell r="R152" t="str">
            <v>6112.39.00</v>
          </cell>
          <cell r="S152">
            <v>6202</v>
          </cell>
        </row>
        <row r="153">
          <cell r="A153" t="str">
            <v>PONCHA-DES-MD-WTRSUG</v>
          </cell>
          <cell r="B153" t="str">
            <v>5.061E+12</v>
          </cell>
          <cell r="C153" t="str">
            <v>ACTIVE</v>
          </cell>
          <cell r="D153" t="str">
            <v>Seasonal</v>
          </cell>
          <cell r="E153">
            <v>20</v>
          </cell>
          <cell r="F153" t="str">
            <v>SS26</v>
          </cell>
          <cell r="G153" t="str">
            <v>XR Textile</v>
          </cell>
          <cell r="H153" t="str">
            <v>PONCHA</v>
          </cell>
          <cell r="I153" t="str">
            <v>GRS Certified* 83% Post Consumer Recycled Polyester (RM0189) 17% Pre Consumer Recycled Polyamide (RM1084)</v>
          </cell>
          <cell r="M153" t="str">
            <v>6101.90.90.30</v>
          </cell>
          <cell r="N153">
            <v>6101309000</v>
          </cell>
          <cell r="O153">
            <v>6112399000</v>
          </cell>
          <cell r="P153" t="str">
            <v>6211 4390 00</v>
          </cell>
          <cell r="Q153">
            <v>6117109000</v>
          </cell>
          <cell r="R153" t="str">
            <v>6112.39.00</v>
          </cell>
          <cell r="S153">
            <v>6202</v>
          </cell>
        </row>
        <row r="154">
          <cell r="A154" t="str">
            <v>PONCHA-SUM-LG-CSTCANDY</v>
          </cell>
          <cell r="B154" t="str">
            <v>5.061E+12</v>
          </cell>
          <cell r="C154" t="str">
            <v>ACTIVE</v>
          </cell>
          <cell r="D154" t="str">
            <v>Seasonal</v>
          </cell>
          <cell r="E154">
            <v>20</v>
          </cell>
          <cell r="F154" t="str">
            <v>SS25</v>
          </cell>
          <cell r="G154" t="str">
            <v>XR Textile</v>
          </cell>
          <cell r="H154" t="str">
            <v>PONCHA</v>
          </cell>
          <cell r="I154" t="str">
            <v>GRS Certified* 83% Post Consumer Recycled Polyester (RM0189) 17% Pre Consumer Recycled Polyamide (RM1084)</v>
          </cell>
          <cell r="M154" t="str">
            <v>6101.90.90.30</v>
          </cell>
          <cell r="N154">
            <v>6101309000</v>
          </cell>
          <cell r="O154">
            <v>6112399000</v>
          </cell>
          <cell r="P154" t="str">
            <v>6211 4390 00</v>
          </cell>
          <cell r="Q154">
            <v>6117109000</v>
          </cell>
          <cell r="R154" t="str">
            <v>6112.39.00</v>
          </cell>
          <cell r="S154">
            <v>6202</v>
          </cell>
        </row>
        <row r="155">
          <cell r="A155" t="str">
            <v>PONCHA-SUM-LG-LAZRIV</v>
          </cell>
          <cell r="B155" t="str">
            <v>5.061E+12</v>
          </cell>
          <cell r="C155" t="str">
            <v>ACTIVE</v>
          </cell>
          <cell r="D155" t="str">
            <v>Seasonal</v>
          </cell>
          <cell r="E155">
            <v>20</v>
          </cell>
          <cell r="F155" t="str">
            <v>SS25</v>
          </cell>
          <cell r="G155" t="str">
            <v>XR Textile</v>
          </cell>
          <cell r="H155" t="str">
            <v>PONCHA</v>
          </cell>
          <cell r="I155" t="str">
            <v>GRS Certified* 83% Post Consumer Recycled Polyester (RM0189) 17% Pre Consumer Recycled Polyamide (RM1084)</v>
          </cell>
          <cell r="M155" t="str">
            <v>6101.90.90.30</v>
          </cell>
          <cell r="N155">
            <v>6101309000</v>
          </cell>
          <cell r="O155">
            <v>6112399000</v>
          </cell>
          <cell r="P155" t="str">
            <v>6211 4390 00</v>
          </cell>
          <cell r="Q155">
            <v>6117109000</v>
          </cell>
          <cell r="R155" t="str">
            <v>6112.39.00</v>
          </cell>
          <cell r="S155">
            <v>6202</v>
          </cell>
        </row>
        <row r="156">
          <cell r="A156" t="str">
            <v>PONCHA-SUM-LG-UNICN-NS</v>
          </cell>
          <cell r="B156" t="str">
            <v>5.061E+12</v>
          </cell>
          <cell r="C156" t="str">
            <v>ACTIVE</v>
          </cell>
          <cell r="D156" t="str">
            <v>Core</v>
          </cell>
          <cell r="E156">
            <v>20</v>
          </cell>
          <cell r="F156" t="str">
            <v>SS25</v>
          </cell>
          <cell r="G156" t="str">
            <v>XR Textile</v>
          </cell>
          <cell r="H156" t="str">
            <v>PONCHA</v>
          </cell>
          <cell r="I156" t="str">
            <v>GRS Certified* 83% Post Consumer Recycled Polyester (RM0189) 17% Pre Consumer Recycled Polyamide (RM1084)</v>
          </cell>
          <cell r="M156" t="str">
            <v>6101.90.90.30</v>
          </cell>
          <cell r="N156">
            <v>6101309000</v>
          </cell>
          <cell r="O156">
            <v>6112399000</v>
          </cell>
          <cell r="P156" t="str">
            <v>6211 4390 00</v>
          </cell>
          <cell r="Q156">
            <v>6117109000</v>
          </cell>
          <cell r="R156" t="str">
            <v>6112.39.00</v>
          </cell>
          <cell r="S156">
            <v>6202</v>
          </cell>
        </row>
        <row r="157">
          <cell r="A157" t="str">
            <v>PONCHA-SUM-MD-CSTCANDY</v>
          </cell>
          <cell r="B157" t="str">
            <v>5.061E+12</v>
          </cell>
          <cell r="C157" t="str">
            <v>ACTIVE</v>
          </cell>
          <cell r="D157" t="str">
            <v>Seasonal</v>
          </cell>
          <cell r="E157">
            <v>20</v>
          </cell>
          <cell r="F157" t="str">
            <v>SS25</v>
          </cell>
          <cell r="G157" t="str">
            <v>XR Textile</v>
          </cell>
          <cell r="H157" t="str">
            <v>PONCHA</v>
          </cell>
          <cell r="I157" t="str">
            <v>GRS Certified* 83% Post Consumer Recycled Polyester (RM0189) 17% Pre Consumer Recycled Polyamide (RM1084)</v>
          </cell>
          <cell r="M157" t="str">
            <v>6101.90.90.30</v>
          </cell>
          <cell r="N157">
            <v>6101309000</v>
          </cell>
          <cell r="O157">
            <v>6112399000</v>
          </cell>
          <cell r="P157" t="str">
            <v>6211 4390 00</v>
          </cell>
          <cell r="Q157">
            <v>6117109000</v>
          </cell>
          <cell r="R157" t="str">
            <v>6112.39.00</v>
          </cell>
          <cell r="S157">
            <v>6202</v>
          </cell>
        </row>
        <row r="158">
          <cell r="A158" t="str">
            <v>PONCHA-SUM-MD-LAZRIV</v>
          </cell>
          <cell r="B158" t="str">
            <v>5.061E+12</v>
          </cell>
          <cell r="C158" t="str">
            <v>ACTIVE</v>
          </cell>
          <cell r="D158" t="str">
            <v>Core</v>
          </cell>
          <cell r="E158">
            <v>20</v>
          </cell>
          <cell r="F158" t="str">
            <v>SS25</v>
          </cell>
          <cell r="G158" t="str">
            <v>XR Textile</v>
          </cell>
          <cell r="H158" t="str">
            <v>PONCHA</v>
          </cell>
          <cell r="I158" t="str">
            <v>GRS Certified* 83% Post Consumer Recycled Polyester (RM0189) 17% Pre Consumer Recycled Polyamide (RM1084)</v>
          </cell>
          <cell r="M158" t="str">
            <v>6101.90.90.30</v>
          </cell>
          <cell r="N158">
            <v>6101309000</v>
          </cell>
          <cell r="O158">
            <v>6112399000</v>
          </cell>
          <cell r="P158" t="str">
            <v>6211 4390 00</v>
          </cell>
          <cell r="Q158">
            <v>6117109000</v>
          </cell>
          <cell r="R158" t="str">
            <v>6112.39.00</v>
          </cell>
          <cell r="S158">
            <v>6202</v>
          </cell>
        </row>
        <row r="159">
          <cell r="A159" t="str">
            <v>PONCHA-SUM-MD-UNICN-NS</v>
          </cell>
          <cell r="B159" t="str">
            <v>5.061E+12</v>
          </cell>
          <cell r="C159" t="str">
            <v>ACTIVE</v>
          </cell>
          <cell r="D159" t="str">
            <v>Core</v>
          </cell>
          <cell r="E159">
            <v>20</v>
          </cell>
          <cell r="F159" t="str">
            <v>SS25</v>
          </cell>
          <cell r="G159" t="str">
            <v>XR Textile</v>
          </cell>
          <cell r="H159" t="str">
            <v>PONCHA</v>
          </cell>
          <cell r="I159" t="str">
            <v>GRS Certified* 83% Post Consumer Recycled Polyester (RM0189) 17% Pre Consumer Recycled Polyamide (RM1084)</v>
          </cell>
          <cell r="M159" t="str">
            <v>6101.90.90.30</v>
          </cell>
          <cell r="N159">
            <v>6101309000</v>
          </cell>
          <cell r="O159">
            <v>6112399000</v>
          </cell>
          <cell r="P159" t="str">
            <v>6211 4390 00</v>
          </cell>
          <cell r="Q159">
            <v>6117109000</v>
          </cell>
          <cell r="R159" t="str">
            <v>6112.39.00</v>
          </cell>
          <cell r="S159">
            <v>6202</v>
          </cell>
        </row>
        <row r="160">
          <cell r="A160" t="str">
            <v>PONCHA-SUM-XL-UNICN</v>
          </cell>
          <cell r="B160" t="str">
            <v>5.061E+12</v>
          </cell>
          <cell r="C160" t="str">
            <v>ACTIVE</v>
          </cell>
          <cell r="D160" t="str">
            <v>Core</v>
          </cell>
          <cell r="E160">
            <v>20</v>
          </cell>
          <cell r="F160" t="str">
            <v>SS25</v>
          </cell>
          <cell r="G160" t="str">
            <v>XR Textile</v>
          </cell>
          <cell r="H160" t="str">
            <v>PONCHA</v>
          </cell>
          <cell r="I160" t="str">
            <v>GRS Certified* 83% Post Consumer Recycled Polyester (RM0189) 17% Pre Consumer Recycled Polyamide (RM1084)</v>
          </cell>
          <cell r="M160" t="str">
            <v>6101.90.90.30</v>
          </cell>
          <cell r="N160">
            <v>6101309000</v>
          </cell>
          <cell r="O160">
            <v>6112399000</v>
          </cell>
          <cell r="P160" t="str">
            <v>6211 4390 00</v>
          </cell>
          <cell r="Q160">
            <v>6117109000</v>
          </cell>
          <cell r="R160" t="str">
            <v>6112.39.00</v>
          </cell>
          <cell r="S160">
            <v>6202</v>
          </cell>
        </row>
        <row r="161">
          <cell r="A161" t="str">
            <v>PONCHK-CAB-MD-BLUE-NS</v>
          </cell>
          <cell r="B161" t="str">
            <v>5.061E+12</v>
          </cell>
          <cell r="C161" t="str">
            <v>ACTIVE</v>
          </cell>
          <cell r="D161" t="str">
            <v>Core</v>
          </cell>
          <cell r="E161">
            <v>30</v>
          </cell>
          <cell r="F161" t="str">
            <v>SS24</v>
          </cell>
          <cell r="G161" t="str">
            <v>XR Textile</v>
          </cell>
          <cell r="H161" t="str">
            <v>PONCHK</v>
          </cell>
          <cell r="I161" t="str">
            <v>GRS Certified* 83% Post Consumer Recycled Polyester (RM0189) 17% Pre Consumer Recycled Polyamide (RM1084)</v>
          </cell>
          <cell r="M161" t="str">
            <v>6101.90.90.30</v>
          </cell>
          <cell r="N161">
            <v>6101309000</v>
          </cell>
          <cell r="O161">
            <v>6112399000</v>
          </cell>
          <cell r="P161" t="str">
            <v>6211 4390 00</v>
          </cell>
          <cell r="Q161">
            <v>6117109000</v>
          </cell>
          <cell r="R161" t="str">
            <v>6112.39.00</v>
          </cell>
          <cell r="S161">
            <v>6202</v>
          </cell>
        </row>
        <row r="162">
          <cell r="A162" t="str">
            <v>PONCHK-CAB-MD-LTPNK-NS</v>
          </cell>
          <cell r="B162" t="str">
            <v>5.061E+12</v>
          </cell>
          <cell r="C162" t="str">
            <v>ACTIVE</v>
          </cell>
          <cell r="D162" t="str">
            <v>Core</v>
          </cell>
          <cell r="E162">
            <v>30</v>
          </cell>
          <cell r="F162" t="str">
            <v>SS24</v>
          </cell>
          <cell r="G162" t="str">
            <v>XR Textile</v>
          </cell>
          <cell r="H162" t="str">
            <v>PONCHK</v>
          </cell>
          <cell r="I162" t="str">
            <v>GRS Certified* 83% Post Consumer Recycled Polyester (RM0189) 17% Pre Consumer Recycled Polyamide (RM1084)</v>
          </cell>
          <cell r="M162" t="str">
            <v>6101.90.90.30</v>
          </cell>
          <cell r="N162">
            <v>6101309000</v>
          </cell>
          <cell r="O162">
            <v>6112399000</v>
          </cell>
          <cell r="P162" t="str">
            <v>6211 4390 00</v>
          </cell>
          <cell r="Q162">
            <v>6117109000</v>
          </cell>
          <cell r="R162" t="str">
            <v>6112.39.00</v>
          </cell>
          <cell r="S162">
            <v>6202</v>
          </cell>
        </row>
        <row r="163">
          <cell r="A163" t="str">
            <v>PONCHK-CAB-MD-NAVY-NS</v>
          </cell>
          <cell r="B163" t="str">
            <v>5.061E+12</v>
          </cell>
          <cell r="C163" t="str">
            <v>ACTIVE</v>
          </cell>
          <cell r="D163" t="str">
            <v>Core</v>
          </cell>
          <cell r="E163">
            <v>30</v>
          </cell>
          <cell r="F163" t="str">
            <v>SS24</v>
          </cell>
          <cell r="G163" t="str">
            <v>XR Textile</v>
          </cell>
          <cell r="H163" t="str">
            <v>PONCHK</v>
          </cell>
          <cell r="I163" t="str">
            <v>GRS Certified* 83% Post Consumer Recycled Polyester (RM0189) 17% Pre Consumer Recycled Polyamide (RM1084)</v>
          </cell>
          <cell r="M163" t="str">
            <v>6101.90.90.30</v>
          </cell>
          <cell r="N163">
            <v>6101309000</v>
          </cell>
          <cell r="O163">
            <v>6112399000</v>
          </cell>
          <cell r="P163" t="str">
            <v>6211 4390 00</v>
          </cell>
          <cell r="Q163">
            <v>6117109000</v>
          </cell>
          <cell r="R163" t="str">
            <v>6112.39.00</v>
          </cell>
          <cell r="S163">
            <v>6202</v>
          </cell>
        </row>
        <row r="164">
          <cell r="A164" t="str">
            <v>PONCHK-CAB-SM-BLUE-NS</v>
          </cell>
          <cell r="B164" t="str">
            <v>5.061E+12</v>
          </cell>
          <cell r="C164" t="str">
            <v>ACTIVE</v>
          </cell>
          <cell r="D164" t="str">
            <v>Core</v>
          </cell>
          <cell r="E164">
            <v>30</v>
          </cell>
          <cell r="F164" t="str">
            <v>SS24</v>
          </cell>
          <cell r="G164" t="str">
            <v>XR Textile</v>
          </cell>
          <cell r="H164" t="str">
            <v>PONCHK</v>
          </cell>
          <cell r="I164" t="str">
            <v>GRS Certified* 83% Post Consumer Recycled Polyester (RM0189) 17% Pre Consumer Recycled Polyamide (RM1084)</v>
          </cell>
          <cell r="M164" t="str">
            <v>6101.90.90.30</v>
          </cell>
          <cell r="N164">
            <v>6101309000</v>
          </cell>
          <cell r="O164">
            <v>6112399000</v>
          </cell>
          <cell r="P164" t="str">
            <v>6211 4390 00</v>
          </cell>
          <cell r="Q164">
            <v>6117109000</v>
          </cell>
          <cell r="R164" t="str">
            <v>6112.39.00</v>
          </cell>
          <cell r="S164">
            <v>6202</v>
          </cell>
        </row>
        <row r="165">
          <cell r="A165" t="str">
            <v>PONCHK-CAB-SM-LTPNK-NS</v>
          </cell>
          <cell r="B165" t="str">
            <v>5.061E+12</v>
          </cell>
          <cell r="C165" t="str">
            <v>ACTIVE</v>
          </cell>
          <cell r="D165" t="str">
            <v>Core</v>
          </cell>
          <cell r="E165">
            <v>30</v>
          </cell>
          <cell r="F165" t="str">
            <v>SS24</v>
          </cell>
          <cell r="G165" t="str">
            <v>XR Textile</v>
          </cell>
          <cell r="H165" t="str">
            <v>PONCHK</v>
          </cell>
          <cell r="I165" t="str">
            <v>GRS Certified* 83% Post Consumer Recycled Polyester (RM0189) 17% Pre Consumer Recycled Polyamide (RM1084)</v>
          </cell>
          <cell r="M165" t="str">
            <v>6101.90.90.30</v>
          </cell>
          <cell r="N165">
            <v>6101309000</v>
          </cell>
          <cell r="O165">
            <v>6112399000</v>
          </cell>
          <cell r="P165" t="str">
            <v>6211 4390 00</v>
          </cell>
          <cell r="Q165">
            <v>6117109000</v>
          </cell>
          <cell r="R165" t="str">
            <v>6112.39.00</v>
          </cell>
          <cell r="S165">
            <v>6202</v>
          </cell>
        </row>
        <row r="166">
          <cell r="A166" t="str">
            <v>PONCHK-CAB-SM-NAVY-NS</v>
          </cell>
          <cell r="B166" t="str">
            <v>5.061E+12</v>
          </cell>
          <cell r="C166" t="str">
            <v>ACTIVE</v>
          </cell>
          <cell r="D166" t="str">
            <v>Core</v>
          </cell>
          <cell r="E166">
            <v>30</v>
          </cell>
          <cell r="F166" t="str">
            <v>SS24</v>
          </cell>
          <cell r="G166" t="str">
            <v>XR Textile</v>
          </cell>
          <cell r="H166" t="str">
            <v>PONCHK</v>
          </cell>
          <cell r="I166" t="str">
            <v>GRS Certified* 83% Post Consumer Recycled Polyester (RM0189) 17% Pre Consumer Recycled Polyamide (RM1084)</v>
          </cell>
          <cell r="M166" t="str">
            <v>6101.90.90.30</v>
          </cell>
          <cell r="N166">
            <v>6101309000</v>
          </cell>
          <cell r="O166">
            <v>6112399000</v>
          </cell>
          <cell r="P166" t="str">
            <v>6211 4390 00</v>
          </cell>
          <cell r="Q166">
            <v>6117109000</v>
          </cell>
          <cell r="R166" t="str">
            <v>6112.39.00</v>
          </cell>
          <cell r="S166">
            <v>6202</v>
          </cell>
        </row>
        <row r="167">
          <cell r="A167" t="str">
            <v>PONCHK-KID-MD-CHECKOUT</v>
          </cell>
          <cell r="B167" t="str">
            <v>5.061E+12</v>
          </cell>
          <cell r="C167" t="str">
            <v>ACTIVE</v>
          </cell>
          <cell r="D167" t="str">
            <v>Seasonal</v>
          </cell>
          <cell r="E167">
            <v>30</v>
          </cell>
          <cell r="F167" t="str">
            <v>SS26</v>
          </cell>
          <cell r="G167" t="str">
            <v>XR Textile</v>
          </cell>
          <cell r="H167" t="str">
            <v>PONCHK</v>
          </cell>
          <cell r="I167" t="str">
            <v>GRS Certified* 83% Post Consumer Recycled Polyester (RM0189) 17% Pre Consumer Recycled Polyamide (RM1084)</v>
          </cell>
          <cell r="M167" t="str">
            <v>6101.90.90.30</v>
          </cell>
          <cell r="N167">
            <v>6101309000</v>
          </cell>
          <cell r="O167">
            <v>6112399000</v>
          </cell>
          <cell r="P167" t="str">
            <v>6211 4390 00</v>
          </cell>
          <cell r="Q167">
            <v>6117109000</v>
          </cell>
          <cell r="R167" t="str">
            <v>6112.39.00</v>
          </cell>
          <cell r="S167">
            <v>6202</v>
          </cell>
        </row>
        <row r="168">
          <cell r="A168" t="str">
            <v>PONCHK-KID-MD-INTOWILD</v>
          </cell>
          <cell r="B168" t="str">
            <v>5.061E+12</v>
          </cell>
          <cell r="C168" t="str">
            <v>ACTIVE</v>
          </cell>
          <cell r="D168" t="str">
            <v>Seasonal</v>
          </cell>
          <cell r="E168">
            <v>30</v>
          </cell>
          <cell r="F168" t="str">
            <v>SS26</v>
          </cell>
          <cell r="G168" t="str">
            <v>XR Textile</v>
          </cell>
          <cell r="H168" t="str">
            <v>PONCHK</v>
          </cell>
          <cell r="I168" t="str">
            <v>GRS Certified* 83% Post Consumer Recycled Polyester (RM0189) 17% Pre Consumer Recycled Polyamide (RM1084)</v>
          </cell>
          <cell r="M168" t="str">
            <v>6101.90.90.30</v>
          </cell>
          <cell r="N168">
            <v>6101309000</v>
          </cell>
          <cell r="O168">
            <v>6112399000</v>
          </cell>
          <cell r="P168" t="str">
            <v>6211 4390 00</v>
          </cell>
          <cell r="Q168">
            <v>6117109000</v>
          </cell>
          <cell r="R168" t="str">
            <v>6112.39.00</v>
          </cell>
          <cell r="S168">
            <v>6202</v>
          </cell>
        </row>
        <row r="169">
          <cell r="A169" t="str">
            <v>PONCHK-KID-SM-CHECKOUT</v>
          </cell>
          <cell r="B169" t="str">
            <v>5.061E+12</v>
          </cell>
          <cell r="C169" t="str">
            <v>ACTIVE</v>
          </cell>
          <cell r="D169" t="str">
            <v>Seasonal</v>
          </cell>
          <cell r="E169">
            <v>30</v>
          </cell>
          <cell r="F169" t="str">
            <v>SS26</v>
          </cell>
          <cell r="G169" t="str">
            <v>XR Textile</v>
          </cell>
          <cell r="H169" t="str">
            <v>PONCHK</v>
          </cell>
          <cell r="I169" t="str">
            <v>GRS Certified* 83% Post Consumer Recycled Polyester (RM0189) 17% Pre Consumer Recycled Polyamide (RM1084)</v>
          </cell>
          <cell r="M169" t="str">
            <v>6101.90.90.30</v>
          </cell>
          <cell r="N169">
            <v>6101309000</v>
          </cell>
          <cell r="O169">
            <v>6112399000</v>
          </cell>
          <cell r="P169" t="str">
            <v>6211 4390 00</v>
          </cell>
          <cell r="Q169">
            <v>6117109000</v>
          </cell>
          <cell r="R169" t="str">
            <v>6112.39.00</v>
          </cell>
          <cell r="S169">
            <v>6202</v>
          </cell>
        </row>
        <row r="170">
          <cell r="A170" t="str">
            <v>PONCHK-KID-SM-INTOWILD</v>
          </cell>
          <cell r="B170" t="str">
            <v>5.061E+12</v>
          </cell>
          <cell r="C170" t="str">
            <v>ACTIVE</v>
          </cell>
          <cell r="D170" t="str">
            <v>Seasonal</v>
          </cell>
          <cell r="E170">
            <v>30</v>
          </cell>
          <cell r="F170" t="str">
            <v>SS26</v>
          </cell>
          <cell r="G170" t="str">
            <v>XR Textile</v>
          </cell>
          <cell r="H170" t="str">
            <v>PONCHK</v>
          </cell>
          <cell r="I170" t="str">
            <v>GRS Certified* 83% Post Consumer Recycled Polyester (RM0189) 17% Pre Consumer Recycled Polyamide (RM1084)</v>
          </cell>
          <cell r="M170" t="str">
            <v>6101.90.90.30</v>
          </cell>
          <cell r="N170">
            <v>6101309000</v>
          </cell>
          <cell r="O170">
            <v>6112399000</v>
          </cell>
          <cell r="P170" t="str">
            <v>6211 4390 00</v>
          </cell>
          <cell r="Q170">
            <v>6117109000</v>
          </cell>
          <cell r="R170" t="str">
            <v>6112.39.00</v>
          </cell>
          <cell r="S170">
            <v>6202</v>
          </cell>
        </row>
        <row r="171">
          <cell r="A171" t="str">
            <v>PONCHK-SUM-MD-CSTCANDY</v>
          </cell>
          <cell r="B171" t="str">
            <v>5.061E+12</v>
          </cell>
          <cell r="C171" t="str">
            <v>ACTIVE</v>
          </cell>
          <cell r="D171" t="str">
            <v>Seasonal</v>
          </cell>
          <cell r="E171">
            <v>30</v>
          </cell>
          <cell r="F171" t="str">
            <v>SS25</v>
          </cell>
          <cell r="G171" t="str">
            <v>XR Textile</v>
          </cell>
          <cell r="H171" t="str">
            <v>PONCHK</v>
          </cell>
          <cell r="I171" t="str">
            <v>GRS Certified* 83% Post Consumer Recycled Polyester (RM0189) 17% Pre Consumer Recycled Polyamide (RM1084)</v>
          </cell>
          <cell r="M171" t="str">
            <v>6101.90.90.30</v>
          </cell>
          <cell r="N171">
            <v>6101309000</v>
          </cell>
          <cell r="O171">
            <v>6112399000</v>
          </cell>
          <cell r="P171" t="str">
            <v>6211 4390 00</v>
          </cell>
          <cell r="Q171">
            <v>6117109000</v>
          </cell>
          <cell r="R171" t="str">
            <v>6112.39.00</v>
          </cell>
          <cell r="S171">
            <v>6202</v>
          </cell>
        </row>
        <row r="172">
          <cell r="A172" t="str">
            <v>PONCHK-SUM-SM-CSTCANDY</v>
          </cell>
          <cell r="B172" t="str">
            <v>5.061E+12</v>
          </cell>
          <cell r="C172" t="str">
            <v>ACTIVE</v>
          </cell>
          <cell r="D172" t="str">
            <v>Seasonal</v>
          </cell>
          <cell r="E172">
            <v>30</v>
          </cell>
          <cell r="F172" t="str">
            <v>SS25</v>
          </cell>
          <cell r="G172" t="str">
            <v>XR Textile</v>
          </cell>
          <cell r="H172" t="str">
            <v>PONCHK</v>
          </cell>
          <cell r="I172" t="str">
            <v>GRS Certified* 83% Post Consumer Recycled Polyester (RM0189) 17% Pre Consumer Recycled Polyamide (RM1084)</v>
          </cell>
          <cell r="M172" t="str">
            <v>6101.90.90.30</v>
          </cell>
          <cell r="N172">
            <v>6101309000</v>
          </cell>
          <cell r="O172">
            <v>6112399000</v>
          </cell>
          <cell r="P172" t="str">
            <v>6211 4390 00</v>
          </cell>
          <cell r="Q172">
            <v>6117109000</v>
          </cell>
          <cell r="R172" t="str">
            <v>6112.39.00</v>
          </cell>
          <cell r="S172">
            <v>6202</v>
          </cell>
        </row>
        <row r="173">
          <cell r="A173" t="str">
            <v>PONCHK-SUM-SM-UNICN-NS</v>
          </cell>
          <cell r="B173" t="str">
            <v>5.061E+12</v>
          </cell>
          <cell r="C173" t="str">
            <v>ACTIVE</v>
          </cell>
          <cell r="D173" t="str">
            <v>Core</v>
          </cell>
          <cell r="E173">
            <v>30</v>
          </cell>
          <cell r="F173" t="str">
            <v>SS24</v>
          </cell>
          <cell r="G173" t="str">
            <v>XR Textile</v>
          </cell>
          <cell r="H173" t="str">
            <v>PONCHK</v>
          </cell>
          <cell r="I173" t="str">
            <v>GRS Certified* 83% Post Consumer Recycled Polyester (RM0189) 17% Pre Consumer Recycled Polyamide (RM1084)</v>
          </cell>
          <cell r="M173" t="str">
            <v>6101.90.90.30</v>
          </cell>
          <cell r="N173">
            <v>6101309000</v>
          </cell>
          <cell r="O173">
            <v>6112399000</v>
          </cell>
          <cell r="P173" t="str">
            <v>6211 4390 00</v>
          </cell>
          <cell r="Q173">
            <v>6117109000</v>
          </cell>
          <cell r="R173" t="str">
            <v>6112.39.00</v>
          </cell>
          <cell r="S173">
            <v>6202</v>
          </cell>
        </row>
        <row r="174">
          <cell r="A174" t="str">
            <v>POS-DIS-LG-FULL-TOWLB-EN-24</v>
          </cell>
          <cell r="B174" t="str">
            <v>8.0101E+10</v>
          </cell>
          <cell r="C174" t="str">
            <v>ACTIVE</v>
          </cell>
          <cell r="D174" t="str">
            <v>Non-Core</v>
          </cell>
          <cell r="E174">
            <v>1</v>
          </cell>
          <cell r="F174" t="str">
            <v>SS24</v>
          </cell>
          <cell r="G174" t="str">
            <v>XR Textile</v>
          </cell>
          <cell r="H174" t="str">
            <v>POS</v>
          </cell>
          <cell r="M174" t="str">
            <v>4819.10.0040</v>
          </cell>
          <cell r="N174">
            <v>4819100000</v>
          </cell>
          <cell r="O174">
            <v>4819100000</v>
          </cell>
          <cell r="P174">
            <v>48191000</v>
          </cell>
          <cell r="Q174">
            <v>0</v>
          </cell>
          <cell r="R174" t="str">
            <v>4819.10.00</v>
          </cell>
          <cell r="S174">
            <v>0</v>
          </cell>
        </row>
        <row r="175">
          <cell r="A175" t="str">
            <v>POS-DIS-SM-DOGTWL-EN-24</v>
          </cell>
          <cell r="B175" t="str">
            <v>8.0101E+10</v>
          </cell>
          <cell r="C175" t="str">
            <v>ACTIVE</v>
          </cell>
          <cell r="D175" t="str">
            <v>Non-Core</v>
          </cell>
          <cell r="E175">
            <v>1</v>
          </cell>
          <cell r="F175" t="str">
            <v>SS24</v>
          </cell>
          <cell r="G175" t="str">
            <v>XR Textile</v>
          </cell>
          <cell r="H175" t="str">
            <v>POS</v>
          </cell>
          <cell r="M175" t="str">
            <v>4819.10.0040</v>
          </cell>
          <cell r="N175">
            <v>4819100000</v>
          </cell>
          <cell r="O175">
            <v>4819100000</v>
          </cell>
          <cell r="P175">
            <v>48191000</v>
          </cell>
          <cell r="Q175">
            <v>0</v>
          </cell>
          <cell r="R175" t="str">
            <v>4819.10.00</v>
          </cell>
          <cell r="S175">
            <v>0</v>
          </cell>
        </row>
        <row r="176">
          <cell r="A176" t="str">
            <v>POS-DIS-SM-FULL-BAGF-EN-24</v>
          </cell>
          <cell r="B176" t="str">
            <v>8.0101E+10</v>
          </cell>
          <cell r="C176" t="str">
            <v>ACTIVE</v>
          </cell>
          <cell r="D176" t="str">
            <v>Non-Core</v>
          </cell>
          <cell r="E176">
            <v>1</v>
          </cell>
          <cell r="F176" t="str">
            <v>SS24</v>
          </cell>
          <cell r="G176" t="str">
            <v>XR Textile</v>
          </cell>
          <cell r="H176" t="str">
            <v>POS</v>
          </cell>
          <cell r="M176" t="str">
            <v>4819.10.0040</v>
          </cell>
          <cell r="N176">
            <v>4819100000</v>
          </cell>
          <cell r="O176">
            <v>4819100000</v>
          </cell>
          <cell r="P176">
            <v>48191000</v>
          </cell>
          <cell r="Q176">
            <v>0</v>
          </cell>
          <cell r="R176" t="str">
            <v>4819.10.00</v>
          </cell>
          <cell r="S176">
            <v>0</v>
          </cell>
        </row>
        <row r="177">
          <cell r="A177" t="str">
            <v>POS-DIS-SM-FULL-COOL-EN-24</v>
          </cell>
          <cell r="B177" t="str">
            <v>8.0101E+10</v>
          </cell>
          <cell r="C177" t="str">
            <v>ACTIVE</v>
          </cell>
          <cell r="D177" t="str">
            <v>Non-Core</v>
          </cell>
          <cell r="E177">
            <v>1</v>
          </cell>
          <cell r="F177" t="str">
            <v>SS24</v>
          </cell>
          <cell r="G177" t="str">
            <v>XR Textile</v>
          </cell>
          <cell r="H177" t="str">
            <v>POS</v>
          </cell>
          <cell r="M177" t="str">
            <v>4819.10.0040</v>
          </cell>
          <cell r="N177">
            <v>4819100000</v>
          </cell>
          <cell r="O177">
            <v>4819100000</v>
          </cell>
          <cell r="P177">
            <v>48191000</v>
          </cell>
          <cell r="Q177">
            <v>0</v>
          </cell>
          <cell r="R177" t="str">
            <v>4819.10.00</v>
          </cell>
          <cell r="S177">
            <v>0</v>
          </cell>
        </row>
        <row r="178">
          <cell r="A178" t="str">
            <v>POS-DIS-SM-FULL-HAIRW-EN-24</v>
          </cell>
          <cell r="B178" t="str">
            <v>8.0101E+10</v>
          </cell>
          <cell r="C178" t="str">
            <v>ACTIVE</v>
          </cell>
          <cell r="D178" t="str">
            <v>Non-Core</v>
          </cell>
          <cell r="E178">
            <v>1</v>
          </cell>
          <cell r="F178" t="str">
            <v>SS24</v>
          </cell>
          <cell r="G178" t="str">
            <v>XR Textile</v>
          </cell>
          <cell r="H178" t="str">
            <v>POS</v>
          </cell>
          <cell r="M178" t="str">
            <v>4819.10.0040</v>
          </cell>
          <cell r="N178">
            <v>4819100000</v>
          </cell>
          <cell r="O178">
            <v>4819100000</v>
          </cell>
          <cell r="P178">
            <v>48191000</v>
          </cell>
          <cell r="Q178">
            <v>0</v>
          </cell>
          <cell r="R178" t="str">
            <v>4819.10.00</v>
          </cell>
          <cell r="S178">
            <v>0</v>
          </cell>
        </row>
        <row r="179">
          <cell r="A179" t="str">
            <v>POS-DIS-SM-FULL-MAKUP-EN-24</v>
          </cell>
          <cell r="B179" t="str">
            <v>8.0101E+10</v>
          </cell>
          <cell r="C179" t="str">
            <v>ACTIVE</v>
          </cell>
          <cell r="D179" t="str">
            <v>Non-Core</v>
          </cell>
          <cell r="E179">
            <v>1</v>
          </cell>
          <cell r="F179" t="str">
            <v>SS24</v>
          </cell>
          <cell r="G179" t="str">
            <v>XR Textile</v>
          </cell>
          <cell r="H179" t="str">
            <v>POS</v>
          </cell>
          <cell r="M179" t="str">
            <v>4819.10.0040</v>
          </cell>
          <cell r="N179">
            <v>4819100000</v>
          </cell>
          <cell r="O179">
            <v>4819100000</v>
          </cell>
          <cell r="P179">
            <v>48191000</v>
          </cell>
          <cell r="Q179">
            <v>0</v>
          </cell>
          <cell r="R179" t="str">
            <v>4819.10.00</v>
          </cell>
          <cell r="S179">
            <v>0</v>
          </cell>
        </row>
        <row r="180">
          <cell r="A180" t="str">
            <v>POS-DIS-SM-FULL-PICNIC-EN-24</v>
          </cell>
          <cell r="B180" t="str">
            <v>8.0101E+10</v>
          </cell>
          <cell r="C180" t="str">
            <v>ACTIVE</v>
          </cell>
          <cell r="D180" t="str">
            <v>Non-Core</v>
          </cell>
          <cell r="E180">
            <v>1</v>
          </cell>
          <cell r="F180" t="str">
            <v>SS24</v>
          </cell>
          <cell r="G180" t="str">
            <v>XR Textile</v>
          </cell>
          <cell r="H180" t="str">
            <v>POS</v>
          </cell>
          <cell r="M180" t="str">
            <v>4819.10.0040</v>
          </cell>
          <cell r="N180">
            <v>4819100000</v>
          </cell>
          <cell r="O180">
            <v>4819100000</v>
          </cell>
          <cell r="P180">
            <v>48191000</v>
          </cell>
          <cell r="Q180">
            <v>0</v>
          </cell>
          <cell r="R180" t="str">
            <v>4819.10.00</v>
          </cell>
          <cell r="S180">
            <v>0</v>
          </cell>
        </row>
        <row r="181">
          <cell r="A181" t="str">
            <v>POS-DIS-SM-FULL-PONCHA-EN-24</v>
          </cell>
          <cell r="B181" t="str">
            <v>8.0101E+10</v>
          </cell>
          <cell r="C181" t="str">
            <v>ACTIVE</v>
          </cell>
          <cell r="D181" t="str">
            <v>Non-Core</v>
          </cell>
          <cell r="E181">
            <v>1</v>
          </cell>
          <cell r="F181" t="str">
            <v>SS24</v>
          </cell>
          <cell r="G181" t="str">
            <v>XR Textile</v>
          </cell>
          <cell r="H181" t="str">
            <v>POS</v>
          </cell>
          <cell r="M181" t="str">
            <v>4819.10.0040</v>
          </cell>
          <cell r="N181">
            <v>4819100000</v>
          </cell>
          <cell r="O181">
            <v>4819100000</v>
          </cell>
          <cell r="P181">
            <v>48191000</v>
          </cell>
          <cell r="Q181">
            <v>0</v>
          </cell>
          <cell r="R181" t="str">
            <v>4819.10.00</v>
          </cell>
          <cell r="S181">
            <v>0</v>
          </cell>
        </row>
        <row r="182">
          <cell r="A182" t="str">
            <v>POS-DIS-SM-FULL-PONCHK-EN-24</v>
          </cell>
          <cell r="B182" t="str">
            <v>8.0101E+10</v>
          </cell>
          <cell r="C182" t="str">
            <v>ACTIVE</v>
          </cell>
          <cell r="D182" t="str">
            <v>Non-Core</v>
          </cell>
          <cell r="E182">
            <v>1</v>
          </cell>
          <cell r="F182" t="str">
            <v>SS24</v>
          </cell>
          <cell r="G182" t="str">
            <v>XR Textile</v>
          </cell>
          <cell r="H182" t="str">
            <v>POS</v>
          </cell>
          <cell r="M182" t="str">
            <v>4819.10.0040</v>
          </cell>
          <cell r="N182">
            <v>4819100000</v>
          </cell>
          <cell r="O182">
            <v>4819100000</v>
          </cell>
          <cell r="P182">
            <v>48191000</v>
          </cell>
          <cell r="Q182">
            <v>0</v>
          </cell>
          <cell r="R182" t="str">
            <v>4819.10.00</v>
          </cell>
          <cell r="S182">
            <v>0</v>
          </cell>
        </row>
        <row r="183">
          <cell r="A183" t="str">
            <v>POS-DIS-SM-FULL-TOWLB-EN-24</v>
          </cell>
          <cell r="B183" t="str">
            <v>8.0101E+10</v>
          </cell>
          <cell r="C183" t="str">
            <v>ACTIVE</v>
          </cell>
          <cell r="D183" t="str">
            <v>Non-Core</v>
          </cell>
          <cell r="E183">
            <v>1</v>
          </cell>
          <cell r="F183" t="str">
            <v>SS24</v>
          </cell>
          <cell r="G183" t="str">
            <v>XR Textile</v>
          </cell>
          <cell r="H183" t="str">
            <v>POS</v>
          </cell>
          <cell r="M183" t="str">
            <v>4819.10.0040</v>
          </cell>
          <cell r="N183">
            <v>4819100000</v>
          </cell>
          <cell r="O183">
            <v>4819100000</v>
          </cell>
          <cell r="P183">
            <v>48191000</v>
          </cell>
          <cell r="Q183">
            <v>0</v>
          </cell>
          <cell r="R183" t="str">
            <v>4819.10.00</v>
          </cell>
          <cell r="S183">
            <v>0</v>
          </cell>
        </row>
        <row r="184">
          <cell r="A184" t="str">
            <v>POS-DIS-SM-FULL-TOWLB-KID-EN-24</v>
          </cell>
          <cell r="B184" t="str">
            <v>8.0101E+10</v>
          </cell>
          <cell r="C184" t="str">
            <v>ACTIVE</v>
          </cell>
          <cell r="D184" t="str">
            <v>Non-Core</v>
          </cell>
          <cell r="E184">
            <v>1</v>
          </cell>
          <cell r="F184" t="str">
            <v>SS24</v>
          </cell>
          <cell r="G184" t="str">
            <v>XR Textile</v>
          </cell>
          <cell r="H184" t="str">
            <v>POS</v>
          </cell>
          <cell r="M184" t="str">
            <v>4819.10.0040</v>
          </cell>
          <cell r="N184">
            <v>4819100000</v>
          </cell>
          <cell r="O184">
            <v>4819100000</v>
          </cell>
          <cell r="P184">
            <v>48191000</v>
          </cell>
          <cell r="Q184">
            <v>0</v>
          </cell>
          <cell r="R184" t="str">
            <v>4819.10.00</v>
          </cell>
          <cell r="S184">
            <v>0</v>
          </cell>
        </row>
        <row r="185">
          <cell r="A185" t="str">
            <v>PP-TOWLB-DES-XL-4SETA</v>
          </cell>
          <cell r="B185" t="str">
            <v>5.061E+12</v>
          </cell>
          <cell r="C185" t="str">
            <v>ACTIVE</v>
          </cell>
          <cell r="E185">
            <v>10</v>
          </cell>
          <cell r="G185" t="str">
            <v>XR Textile</v>
          </cell>
          <cell r="H185" t="str">
            <v>TOWLB</v>
          </cell>
          <cell r="I185" t="str">
            <v>GRS Certified* 83% Post Consumer Recycled Polyester (RM0189) 17% Pre Consumer Recycled Polyamide (RM1084)</v>
          </cell>
          <cell r="M185" t="str">
            <v>6302.93.2000</v>
          </cell>
          <cell r="N185">
            <v>6302600090</v>
          </cell>
          <cell r="O185" t="str">
            <v>6302.93.00.00</v>
          </cell>
          <cell r="P185">
            <v>63029390</v>
          </cell>
          <cell r="Q185">
            <v>0</v>
          </cell>
          <cell r="R185" t="str">
            <v>6302.39.00</v>
          </cell>
          <cell r="S185">
            <v>63029120</v>
          </cell>
        </row>
        <row r="186">
          <cell r="A186" t="str">
            <v>SHIPBAG-LAR</v>
          </cell>
          <cell r="B186" t="str">
            <v>6.5097E+11</v>
          </cell>
          <cell r="C186" t="str">
            <v>ACTIVE</v>
          </cell>
          <cell r="D186" t="str">
            <v>Non-Core</v>
          </cell>
          <cell r="E186">
            <v>200</v>
          </cell>
          <cell r="F186" t="str">
            <v>before AW20</v>
          </cell>
          <cell r="G186" t="str">
            <v>MQ Print (Sherry)</v>
          </cell>
          <cell r="H186" t="str">
            <v>SHIPPING BAGS</v>
          </cell>
          <cell r="M186" t="str">
            <v>4819.40.0020</v>
          </cell>
          <cell r="N186">
            <v>4819100000</v>
          </cell>
          <cell r="O186" t="str">
            <v>4819.40.0020</v>
          </cell>
          <cell r="P186">
            <v>4817100000</v>
          </cell>
          <cell r="Q186">
            <v>0</v>
          </cell>
          <cell r="R186" t="str">
            <v>4819.10.00</v>
          </cell>
          <cell r="S186">
            <v>4817</v>
          </cell>
        </row>
        <row r="187">
          <cell r="A187" t="str">
            <v>SHIPBAG-MED</v>
          </cell>
          <cell r="B187" t="str">
            <v>6.5097E+11</v>
          </cell>
          <cell r="C187" t="str">
            <v>ACTIVE</v>
          </cell>
          <cell r="D187" t="str">
            <v>Non-Core</v>
          </cell>
          <cell r="E187">
            <v>400</v>
          </cell>
          <cell r="F187" t="str">
            <v>before AW20</v>
          </cell>
          <cell r="G187" t="str">
            <v>MQ Print (Sherry)</v>
          </cell>
          <cell r="H187" t="str">
            <v>SHIPPING BAGS</v>
          </cell>
          <cell r="M187" t="str">
            <v>4819.40.0020</v>
          </cell>
          <cell r="N187">
            <v>4819100000</v>
          </cell>
          <cell r="O187" t="str">
            <v>4819.40.0020</v>
          </cell>
          <cell r="P187">
            <v>4817100000</v>
          </cell>
          <cell r="Q187">
            <v>0</v>
          </cell>
          <cell r="R187" t="str">
            <v>4819.10.00</v>
          </cell>
          <cell r="S187">
            <v>4817</v>
          </cell>
        </row>
        <row r="188">
          <cell r="A188" t="str">
            <v>SHIPBAG-XLG</v>
          </cell>
          <cell r="B188" t="str">
            <v>6.5097E+11</v>
          </cell>
          <cell r="C188" t="str">
            <v>ACTIVE</v>
          </cell>
          <cell r="D188" t="str">
            <v>Non-Core</v>
          </cell>
          <cell r="E188">
            <v>200</v>
          </cell>
          <cell r="F188" t="str">
            <v>before AW20</v>
          </cell>
          <cell r="G188" t="str">
            <v>MQ Print (Sherry)</v>
          </cell>
          <cell r="H188" t="str">
            <v>SHIPPING BAGS</v>
          </cell>
          <cell r="M188" t="str">
            <v>4819.40.0020</v>
          </cell>
          <cell r="N188">
            <v>4819100000</v>
          </cell>
          <cell r="O188" t="str">
            <v>4819.40.0020</v>
          </cell>
          <cell r="P188">
            <v>4817100000</v>
          </cell>
          <cell r="Q188">
            <v>0</v>
          </cell>
          <cell r="R188" t="str">
            <v>4819.10.00</v>
          </cell>
          <cell r="S188">
            <v>4817</v>
          </cell>
        </row>
        <row r="189">
          <cell r="A189" t="str">
            <v>TEATWL-MD-3SET-SPRKSHNE</v>
          </cell>
          <cell r="B189" t="str">
            <v>5.061E+12</v>
          </cell>
          <cell r="C189" t="str">
            <v>ACTIVE</v>
          </cell>
          <cell r="D189" t="str">
            <v>Seasonal</v>
          </cell>
          <cell r="F189" t="str">
            <v>AW26</v>
          </cell>
          <cell r="G189" t="str">
            <v>XR Textile</v>
          </cell>
          <cell r="H189" t="str">
            <v>TEATWL</v>
          </cell>
          <cell r="I189" t="str">
            <v>GRS Certified* 83% Post Consumer Recycled Polyester (RM0189) 17% Pre Consumer Recycled Polyamide (RM1084)</v>
          </cell>
          <cell r="M189" t="str">
            <v>6302.53.00.20</v>
          </cell>
          <cell r="N189">
            <v>6302531000</v>
          </cell>
          <cell r="O189">
            <v>6302531000</v>
          </cell>
          <cell r="P189">
            <v>63029310</v>
          </cell>
          <cell r="Q189">
            <v>0</v>
          </cell>
          <cell r="R189" t="str">
            <v>6302.53.00</v>
          </cell>
          <cell r="S189">
            <v>0</v>
          </cell>
        </row>
        <row r="190">
          <cell r="A190" t="str">
            <v>TEATWL-MD-APPLTRT</v>
          </cell>
          <cell r="B190" t="str">
            <v>5.061E+12</v>
          </cell>
          <cell r="C190" t="str">
            <v>ACTIVE</v>
          </cell>
          <cell r="D190" t="str">
            <v>Seasonal</v>
          </cell>
          <cell r="E190">
            <v>50</v>
          </cell>
          <cell r="F190" t="str">
            <v>AW25</v>
          </cell>
          <cell r="G190" t="str">
            <v>XR Textile</v>
          </cell>
          <cell r="H190" t="str">
            <v>TEATWL</v>
          </cell>
          <cell r="I190" t="str">
            <v>GRS Certified* 83% Post Consumer Recycled Polyester (RM0189) 17% Pre Consumer Recycled Polyamide (RM1084)</v>
          </cell>
          <cell r="M190" t="str">
            <v>6302.53.00.20</v>
          </cell>
          <cell r="N190">
            <v>6302531000</v>
          </cell>
          <cell r="O190">
            <v>6302531000</v>
          </cell>
          <cell r="P190">
            <v>63029310</v>
          </cell>
          <cell r="Q190">
            <v>0</v>
          </cell>
          <cell r="R190" t="str">
            <v>6302.53.00</v>
          </cell>
          <cell r="S190">
            <v>0</v>
          </cell>
        </row>
        <row r="191">
          <cell r="A191" t="str">
            <v>TEATWL-MD-BAKEME</v>
          </cell>
          <cell r="B191" t="str">
            <v>5.061E+12</v>
          </cell>
          <cell r="C191" t="str">
            <v>ACTIVE</v>
          </cell>
          <cell r="D191" t="str">
            <v>Seasonal</v>
          </cell>
          <cell r="E191">
            <v>50</v>
          </cell>
          <cell r="F191" t="str">
            <v>AW26</v>
          </cell>
          <cell r="G191" t="str">
            <v>XR Textile</v>
          </cell>
          <cell r="H191" t="str">
            <v>TEATWL</v>
          </cell>
          <cell r="I191" t="str">
            <v>GRS Certified* 83% Post Consumer Recycled Polyester (RM0189) 17% Pre Consumer Recycled Polyamide (RM1084)</v>
          </cell>
          <cell r="M191" t="str">
            <v>6302.53.00.20</v>
          </cell>
          <cell r="N191">
            <v>6302531000</v>
          </cell>
          <cell r="O191">
            <v>6302531000</v>
          </cell>
          <cell r="P191">
            <v>63029310</v>
          </cell>
          <cell r="Q191">
            <v>0</v>
          </cell>
          <cell r="R191" t="str">
            <v>6302.53.00</v>
          </cell>
          <cell r="S191">
            <v>0</v>
          </cell>
        </row>
        <row r="192">
          <cell r="A192" t="str">
            <v>TEATWL-MD-BIGDILL</v>
          </cell>
          <cell r="B192" t="str">
            <v>5.061E+12</v>
          </cell>
          <cell r="C192" t="str">
            <v>ACTIVE</v>
          </cell>
          <cell r="D192" t="str">
            <v>Seasonal</v>
          </cell>
          <cell r="E192">
            <v>50</v>
          </cell>
          <cell r="F192" t="str">
            <v>AW26</v>
          </cell>
          <cell r="G192" t="str">
            <v>XR Textile</v>
          </cell>
          <cell r="H192" t="str">
            <v>TEATWL</v>
          </cell>
          <cell r="I192" t="str">
            <v>GRS Certified* 83% Post Consumer Recycled Polyester (RM0189) 17% Pre Consumer Recycled Polyamide (RM1084)</v>
          </cell>
          <cell r="M192" t="str">
            <v>6302.53.00.20</v>
          </cell>
          <cell r="N192">
            <v>6302531000</v>
          </cell>
          <cell r="O192">
            <v>6302531000</v>
          </cell>
          <cell r="P192">
            <v>63029310</v>
          </cell>
          <cell r="Q192">
            <v>0</v>
          </cell>
          <cell r="R192" t="str">
            <v>6302.53.00</v>
          </cell>
          <cell r="S192">
            <v>0</v>
          </cell>
        </row>
        <row r="193">
          <cell r="A193" t="str">
            <v>TEATWL-MD-CTCHDAY</v>
          </cell>
          <cell r="B193" t="str">
            <v>5.061E+12</v>
          </cell>
          <cell r="C193" t="str">
            <v>ACTIVE</v>
          </cell>
          <cell r="D193" t="str">
            <v>Seasonal</v>
          </cell>
          <cell r="E193">
            <v>50</v>
          </cell>
          <cell r="F193" t="str">
            <v>AW25</v>
          </cell>
          <cell r="G193" t="str">
            <v>XR Textile</v>
          </cell>
          <cell r="H193" t="str">
            <v>TEATWL</v>
          </cell>
          <cell r="I193" t="str">
            <v>GRS Certified* 83% Post Consumer Recycled Polyester (RM0189) 17% Pre Consumer Recycled Polyamide (RM1084)</v>
          </cell>
          <cell r="M193" t="str">
            <v>6302.53.00.20</v>
          </cell>
          <cell r="N193">
            <v>6302531000</v>
          </cell>
          <cell r="O193">
            <v>6302531000</v>
          </cell>
          <cell r="P193">
            <v>63029310</v>
          </cell>
          <cell r="Q193">
            <v>0</v>
          </cell>
          <cell r="R193" t="str">
            <v>6302.53.00</v>
          </cell>
          <cell r="S193">
            <v>0</v>
          </cell>
        </row>
        <row r="194">
          <cell r="A194" t="str">
            <v>TEATWL-MD-DINPRTY</v>
          </cell>
          <cell r="B194" t="str">
            <v>5.061E+12</v>
          </cell>
          <cell r="C194" t="str">
            <v>ACTIVE</v>
          </cell>
          <cell r="D194" t="str">
            <v>Seasonal</v>
          </cell>
          <cell r="E194">
            <v>50</v>
          </cell>
          <cell r="F194" t="str">
            <v>AW25</v>
          </cell>
          <cell r="G194" t="str">
            <v>XR Textile</v>
          </cell>
          <cell r="H194" t="str">
            <v>TEATWL</v>
          </cell>
          <cell r="I194" t="str">
            <v>GRS Certified* 83% Post Consumer Recycled Polyester (RM0189) 17% Pre Consumer Recycled Polyamide (RM1084)</v>
          </cell>
          <cell r="M194" t="str">
            <v>6302.53.00.20</v>
          </cell>
          <cell r="N194">
            <v>6302531000</v>
          </cell>
          <cell r="O194">
            <v>6302531000</v>
          </cell>
          <cell r="P194">
            <v>63029310</v>
          </cell>
          <cell r="Q194">
            <v>0</v>
          </cell>
          <cell r="R194" t="str">
            <v>6302.53.00</v>
          </cell>
          <cell r="S194">
            <v>0</v>
          </cell>
        </row>
        <row r="195">
          <cell r="A195" t="str">
            <v>TEATWL-MD-GLDHOUR</v>
          </cell>
          <cell r="B195" t="str">
            <v>5.061E+12</v>
          </cell>
          <cell r="C195" t="str">
            <v>ACTIVE</v>
          </cell>
          <cell r="D195" t="str">
            <v>Seasonal</v>
          </cell>
          <cell r="E195">
            <v>50</v>
          </cell>
          <cell r="F195" t="str">
            <v>AW25</v>
          </cell>
          <cell r="G195" t="str">
            <v>XR Textile</v>
          </cell>
          <cell r="H195" t="str">
            <v>TEATWL</v>
          </cell>
          <cell r="I195" t="str">
            <v>GRS Certified* 83% Post Consumer Recycled Polyester (RM0189) 17% Pre Consumer Recycled Polyamide (RM1084)</v>
          </cell>
          <cell r="M195" t="str">
            <v>6302.53.00.20</v>
          </cell>
          <cell r="N195">
            <v>6302531000</v>
          </cell>
          <cell r="O195">
            <v>6302531000</v>
          </cell>
          <cell r="P195">
            <v>63029310</v>
          </cell>
          <cell r="Q195">
            <v>0</v>
          </cell>
          <cell r="R195" t="str">
            <v>6302.53.00</v>
          </cell>
          <cell r="S195">
            <v>0</v>
          </cell>
        </row>
        <row r="196">
          <cell r="A196" t="str">
            <v>TEATWL-MD-GRTFROM</v>
          </cell>
          <cell r="B196" t="str">
            <v>5.061E+12</v>
          </cell>
          <cell r="C196" t="str">
            <v>ACTIVE</v>
          </cell>
          <cell r="D196" t="str">
            <v>Seasonal</v>
          </cell>
          <cell r="E196">
            <v>50</v>
          </cell>
          <cell r="F196" t="str">
            <v>AW25</v>
          </cell>
          <cell r="G196" t="str">
            <v>XR Textile</v>
          </cell>
          <cell r="H196" t="str">
            <v>TEATWL</v>
          </cell>
          <cell r="I196" t="str">
            <v>GRS Certified* 83% Post Consumer Recycled Polyester (RM0189) 17% Pre Consumer Recycled Polyamide (RM1084)</v>
          </cell>
          <cell r="M196" t="str">
            <v>6302.53.00.20</v>
          </cell>
          <cell r="N196">
            <v>6302531000</v>
          </cell>
          <cell r="O196">
            <v>6302531000</v>
          </cell>
          <cell r="P196">
            <v>63029310</v>
          </cell>
          <cell r="Q196">
            <v>0</v>
          </cell>
          <cell r="R196" t="str">
            <v>6302.53.00</v>
          </cell>
          <cell r="S196">
            <v>0</v>
          </cell>
        </row>
        <row r="197">
          <cell r="A197" t="str">
            <v>TEATWL-MD-KTCHDISC</v>
          </cell>
          <cell r="B197" t="str">
            <v>5.061E+12</v>
          </cell>
          <cell r="C197" t="str">
            <v>ACTIVE</v>
          </cell>
          <cell r="D197" t="str">
            <v>Seasonal</v>
          </cell>
          <cell r="E197">
            <v>50</v>
          </cell>
          <cell r="F197" t="str">
            <v>AW25</v>
          </cell>
          <cell r="G197" t="str">
            <v>XR Textile</v>
          </cell>
          <cell r="H197" t="str">
            <v>TEATWL</v>
          </cell>
          <cell r="I197" t="str">
            <v>GRS Certified* 83% Post Consumer Recycled Polyester (RM0189) 17% Pre Consumer Recycled Polyamide (RM1084)</v>
          </cell>
          <cell r="M197" t="str">
            <v>6302.53.00.20</v>
          </cell>
          <cell r="N197">
            <v>6302531000</v>
          </cell>
          <cell r="O197">
            <v>6302531000</v>
          </cell>
          <cell r="P197">
            <v>63029310</v>
          </cell>
          <cell r="Q197">
            <v>0</v>
          </cell>
          <cell r="R197" t="str">
            <v>6302.53.00</v>
          </cell>
          <cell r="S197">
            <v>0</v>
          </cell>
        </row>
        <row r="198">
          <cell r="A198" t="str">
            <v>TEATWL-MD-MTCHCRSH</v>
          </cell>
          <cell r="B198" t="str">
            <v>5.061E+12</v>
          </cell>
          <cell r="C198" t="str">
            <v>ACTIVE</v>
          </cell>
          <cell r="D198" t="str">
            <v>Seasonal</v>
          </cell>
          <cell r="E198">
            <v>50</v>
          </cell>
          <cell r="F198" t="str">
            <v>AW26</v>
          </cell>
          <cell r="G198" t="str">
            <v>XR Textile</v>
          </cell>
          <cell r="H198" t="str">
            <v>TEATWL</v>
          </cell>
          <cell r="I198" t="str">
            <v>GRS Certified* 83% Post Consumer Recycled Polyester (RM0189) 17% Pre Consumer Recycled Polyamide (RM1084)</v>
          </cell>
          <cell r="M198" t="str">
            <v>6302.53.00.20</v>
          </cell>
          <cell r="N198">
            <v>6302531000</v>
          </cell>
          <cell r="O198">
            <v>6302531000</v>
          </cell>
          <cell r="P198">
            <v>63029310</v>
          </cell>
          <cell r="Q198">
            <v>0</v>
          </cell>
          <cell r="R198" t="str">
            <v>6302.53.00</v>
          </cell>
          <cell r="S198">
            <v>0</v>
          </cell>
        </row>
        <row r="199">
          <cell r="A199" t="str">
            <v>TEATWL-MD-PEAPOD</v>
          </cell>
          <cell r="B199" t="str">
            <v>5.061E+12</v>
          </cell>
          <cell r="C199" t="str">
            <v>ACTIVE</v>
          </cell>
          <cell r="D199" t="str">
            <v>Seasonal</v>
          </cell>
          <cell r="E199">
            <v>50</v>
          </cell>
          <cell r="F199" t="str">
            <v>SS26</v>
          </cell>
          <cell r="G199" t="str">
            <v>XR Textile</v>
          </cell>
          <cell r="H199" t="str">
            <v>TEATWL</v>
          </cell>
          <cell r="I199" t="str">
            <v>GRS Certified* 83% Post Consumer Recycled Polyester (RM0189) 17% Pre Consumer Recycled Polyamide (RM1084)</v>
          </cell>
          <cell r="M199" t="str">
            <v>6302.53.00.20</v>
          </cell>
          <cell r="N199">
            <v>6302531000</v>
          </cell>
          <cell r="O199">
            <v>6302531000</v>
          </cell>
          <cell r="P199">
            <v>63029310</v>
          </cell>
          <cell r="Q199">
            <v>0</v>
          </cell>
          <cell r="R199" t="str">
            <v>6302.53.00</v>
          </cell>
          <cell r="S199">
            <v>0</v>
          </cell>
        </row>
        <row r="200">
          <cell r="A200" t="str">
            <v>TEATWL-MD-ROOTING</v>
          </cell>
          <cell r="B200" t="str">
            <v>5.061E+12</v>
          </cell>
          <cell r="C200" t="str">
            <v>ACTIVE</v>
          </cell>
          <cell r="D200" t="str">
            <v>Seasonal</v>
          </cell>
          <cell r="E200">
            <v>50</v>
          </cell>
          <cell r="F200" t="str">
            <v>AW26</v>
          </cell>
          <cell r="G200" t="str">
            <v>XR Textile</v>
          </cell>
          <cell r="H200" t="str">
            <v>TEATWL</v>
          </cell>
          <cell r="I200" t="str">
            <v>GRS Certified* 83% Post Consumer Recycled Polyester (RM0189) 17% Pre Consumer Recycled Polyamide (RM1084)</v>
          </cell>
          <cell r="M200" t="str">
            <v>6302.53.00.20</v>
          </cell>
          <cell r="N200">
            <v>6302531000</v>
          </cell>
          <cell r="O200">
            <v>6302531000</v>
          </cell>
          <cell r="P200">
            <v>63029310</v>
          </cell>
          <cell r="Q200">
            <v>0</v>
          </cell>
          <cell r="R200" t="str">
            <v>6302.53.00</v>
          </cell>
          <cell r="S200">
            <v>0</v>
          </cell>
        </row>
        <row r="201">
          <cell r="A201" t="str">
            <v>TEATWL-MD-SHRIMP</v>
          </cell>
          <cell r="B201" t="str">
            <v>5.061E+12</v>
          </cell>
          <cell r="C201" t="str">
            <v>ACTIVE</v>
          </cell>
          <cell r="D201" t="str">
            <v>Seasonal</v>
          </cell>
          <cell r="E201">
            <v>50</v>
          </cell>
          <cell r="F201" t="str">
            <v>AW25</v>
          </cell>
          <cell r="G201" t="str">
            <v>XR Textile</v>
          </cell>
          <cell r="H201" t="str">
            <v>TEATWL</v>
          </cell>
          <cell r="I201" t="str">
            <v>GRS Certified* 83% Post Consumer Recycled Polyester (RM0189) 17% Pre Consumer Recycled Polyamide (RM1084)</v>
          </cell>
          <cell r="M201" t="str">
            <v>6302.53.00.20</v>
          </cell>
          <cell r="N201">
            <v>6302531000</v>
          </cell>
          <cell r="O201">
            <v>6302531000</v>
          </cell>
          <cell r="P201">
            <v>63029310</v>
          </cell>
          <cell r="Q201">
            <v>0</v>
          </cell>
          <cell r="R201" t="str">
            <v>6302.53.00</v>
          </cell>
          <cell r="S201">
            <v>0</v>
          </cell>
        </row>
        <row r="202">
          <cell r="A202" t="str">
            <v>TEATWL-MD-SQCLEAN</v>
          </cell>
          <cell r="B202" t="str">
            <v>5.061E+12</v>
          </cell>
          <cell r="C202" t="str">
            <v>ACTIVE</v>
          </cell>
          <cell r="D202" t="str">
            <v>Seasonal</v>
          </cell>
          <cell r="E202">
            <v>50</v>
          </cell>
          <cell r="F202" t="str">
            <v>SS26</v>
          </cell>
          <cell r="G202" t="str">
            <v>XR Textile</v>
          </cell>
          <cell r="H202" t="str">
            <v>TEATWL</v>
          </cell>
          <cell r="I202" t="str">
            <v>GRS Certified* 83% Post Consumer Recycled Polyester (RM0189) 17% Pre Consumer Recycled Polyamide (RM1084)</v>
          </cell>
          <cell r="M202" t="str">
            <v>6302.53.00.20</v>
          </cell>
          <cell r="N202">
            <v>6302531000</v>
          </cell>
          <cell r="O202">
            <v>6302531000</v>
          </cell>
          <cell r="P202">
            <v>63029310</v>
          </cell>
          <cell r="Q202">
            <v>0</v>
          </cell>
          <cell r="R202" t="str">
            <v>6302.53.00</v>
          </cell>
          <cell r="S202">
            <v>0</v>
          </cell>
        </row>
        <row r="203">
          <cell r="A203" t="str">
            <v>TEATWL-MD-STRAWFZ</v>
          </cell>
          <cell r="B203" t="str">
            <v>5.061E+12</v>
          </cell>
          <cell r="C203" t="str">
            <v>ACTIVE</v>
          </cell>
          <cell r="D203" t="str">
            <v>Seasonal</v>
          </cell>
          <cell r="E203">
            <v>50</v>
          </cell>
          <cell r="F203" t="str">
            <v>AW25</v>
          </cell>
          <cell r="G203" t="str">
            <v>XR Textile</v>
          </cell>
          <cell r="H203" t="str">
            <v>TEATWL</v>
          </cell>
          <cell r="I203" t="str">
            <v>GRS Certified* 83% Post Consumer Recycled Polyester (RM0189) 17% Pre Consumer Recycled Polyamide (RM1084)</v>
          </cell>
          <cell r="M203" t="str">
            <v>6302.53.00.20</v>
          </cell>
          <cell r="N203">
            <v>6302531000</v>
          </cell>
          <cell r="O203">
            <v>6302531000</v>
          </cell>
          <cell r="P203">
            <v>63029310</v>
          </cell>
          <cell r="Q203">
            <v>0</v>
          </cell>
          <cell r="R203" t="str">
            <v>6302.53.00</v>
          </cell>
          <cell r="S203">
            <v>0</v>
          </cell>
        </row>
        <row r="204">
          <cell r="A204" t="str">
            <v>TEATWL-MD-STRWPOP</v>
          </cell>
          <cell r="B204" t="str">
            <v>5.061E+12</v>
          </cell>
          <cell r="C204" t="str">
            <v>ACTIVE</v>
          </cell>
          <cell r="D204" t="str">
            <v>Seasonal</v>
          </cell>
          <cell r="E204">
            <v>50</v>
          </cell>
          <cell r="F204" t="str">
            <v>AW26</v>
          </cell>
          <cell r="G204" t="str">
            <v>XR Textile</v>
          </cell>
          <cell r="H204" t="str">
            <v>TEATWL</v>
          </cell>
          <cell r="I204" t="str">
            <v>GRS Certified* 83% Post Consumer Recycled Polyester (RM0189) 17% Pre Consumer Recycled Polyamide (RM1084)</v>
          </cell>
          <cell r="M204" t="str">
            <v>6302.53.00.20</v>
          </cell>
          <cell r="N204">
            <v>6302531000</v>
          </cell>
          <cell r="O204">
            <v>6302531000</v>
          </cell>
          <cell r="P204">
            <v>63029310</v>
          </cell>
          <cell r="Q204">
            <v>0</v>
          </cell>
          <cell r="R204" t="str">
            <v>6302.53.00</v>
          </cell>
          <cell r="S204">
            <v>0</v>
          </cell>
        </row>
        <row r="205">
          <cell r="A205" t="str">
            <v>TEATWL-MD-WINEDINE</v>
          </cell>
          <cell r="B205" t="str">
            <v>5.061E+12</v>
          </cell>
          <cell r="C205" t="str">
            <v>ACTIVE</v>
          </cell>
          <cell r="D205" t="str">
            <v>Seasonal</v>
          </cell>
          <cell r="E205">
            <v>50</v>
          </cell>
          <cell r="F205" t="str">
            <v>SS26</v>
          </cell>
          <cell r="G205" t="str">
            <v>XR Textile</v>
          </cell>
          <cell r="H205" t="str">
            <v>TEATWL</v>
          </cell>
          <cell r="I205" t="str">
            <v>GRS Certified* 83% Post Consumer Recycled Polyester (RM0189) 17% Pre Consumer Recycled Polyamide (RM1084)</v>
          </cell>
          <cell r="M205" t="str">
            <v>6302.53.00.20</v>
          </cell>
          <cell r="N205">
            <v>6302531000</v>
          </cell>
          <cell r="O205">
            <v>6302531000</v>
          </cell>
          <cell r="P205">
            <v>63029310</v>
          </cell>
          <cell r="Q205">
            <v>0</v>
          </cell>
          <cell r="R205" t="str">
            <v>6302.53.00</v>
          </cell>
          <cell r="S205">
            <v>0</v>
          </cell>
        </row>
        <row r="206">
          <cell r="A206" t="str">
            <v>TEATWL-MD-XTRSAUC</v>
          </cell>
          <cell r="B206" t="str">
            <v>5.061E+12</v>
          </cell>
          <cell r="C206" t="str">
            <v>ACTIVE</v>
          </cell>
          <cell r="D206" t="str">
            <v>Seasonal</v>
          </cell>
          <cell r="E206">
            <v>50</v>
          </cell>
          <cell r="F206" t="str">
            <v>AW26</v>
          </cell>
          <cell r="G206" t="str">
            <v>XR Textile</v>
          </cell>
          <cell r="H206" t="str">
            <v>TEATWL</v>
          </cell>
          <cell r="I206" t="str">
            <v>GRS Certified* 83% Post Consumer Recycled Polyester (RM0189) 17% Pre Consumer Recycled Polyamide (RM1084)</v>
          </cell>
          <cell r="M206" t="str">
            <v>6302.53.00.20</v>
          </cell>
          <cell r="N206">
            <v>6302531000</v>
          </cell>
          <cell r="O206">
            <v>6302531000</v>
          </cell>
          <cell r="P206">
            <v>63029310</v>
          </cell>
          <cell r="Q206">
            <v>0</v>
          </cell>
          <cell r="R206" t="str">
            <v>6302.53.00</v>
          </cell>
          <cell r="S206">
            <v>0</v>
          </cell>
        </row>
        <row r="207">
          <cell r="A207" t="str">
            <v>TOWLB-CAB-LG-BLACK-R</v>
          </cell>
          <cell r="B207" t="str">
            <v>5.0607E+12</v>
          </cell>
          <cell r="C207" t="str">
            <v>ACTIVE</v>
          </cell>
          <cell r="D207" t="str">
            <v>Core</v>
          </cell>
          <cell r="E207">
            <v>40</v>
          </cell>
          <cell r="F207" t="str">
            <v>before AW20</v>
          </cell>
          <cell r="G207" t="str">
            <v>XR Textile</v>
          </cell>
          <cell r="H207" t="str">
            <v>TOWLB</v>
          </cell>
          <cell r="I207" t="str">
            <v>GRS Certified* 83% Post Consumer Recycled Polyester (RM0189) 17% Pre Consumer Recycled Polyamide (RM1084)</v>
          </cell>
          <cell r="M207" t="str">
            <v>6302.93.2000</v>
          </cell>
          <cell r="N207">
            <v>6302600090</v>
          </cell>
          <cell r="O207" t="str">
            <v>6302.93.00.00</v>
          </cell>
          <cell r="P207">
            <v>63029390</v>
          </cell>
          <cell r="Q207">
            <v>0</v>
          </cell>
          <cell r="R207" t="str">
            <v>6302.39.00</v>
          </cell>
          <cell r="S207">
            <v>63029120</v>
          </cell>
        </row>
        <row r="208">
          <cell r="A208" t="str">
            <v>TOWLB-CAB-LG-BLUE-R</v>
          </cell>
          <cell r="B208" t="str">
            <v>5.0607E+12</v>
          </cell>
          <cell r="C208" t="str">
            <v>ACTIVE</v>
          </cell>
          <cell r="D208" t="str">
            <v>Core</v>
          </cell>
          <cell r="E208">
            <v>40</v>
          </cell>
          <cell r="F208" t="str">
            <v>before AW20</v>
          </cell>
          <cell r="G208" t="str">
            <v>XR Textile</v>
          </cell>
          <cell r="H208" t="str">
            <v>TOWLB</v>
          </cell>
          <cell r="I208" t="str">
            <v>GRS Certified* 83% Post Consumer Recycled Polyester (RM0189) 17% Pre Consumer Recycled Polyamide (RM1084)</v>
          </cell>
          <cell r="M208" t="str">
            <v>6302.93.2000</v>
          </cell>
          <cell r="N208">
            <v>6302600090</v>
          </cell>
          <cell r="O208" t="str">
            <v>6302.93.00.00</v>
          </cell>
          <cell r="P208">
            <v>63029390</v>
          </cell>
          <cell r="Q208">
            <v>0</v>
          </cell>
          <cell r="R208" t="str">
            <v>6302.39.00</v>
          </cell>
          <cell r="S208">
            <v>63029120</v>
          </cell>
        </row>
        <row r="209">
          <cell r="A209" t="str">
            <v>TOWLB-CAB-LG-BLUE-SS24</v>
          </cell>
          <cell r="B209" t="str">
            <v>5.061E+12</v>
          </cell>
          <cell r="C209" t="str">
            <v>ACTIVE</v>
          </cell>
          <cell r="D209" t="str">
            <v>Core</v>
          </cell>
          <cell r="E209">
            <v>40</v>
          </cell>
          <cell r="G209" t="str">
            <v>XR Textile</v>
          </cell>
          <cell r="H209" t="str">
            <v>TOWLB</v>
          </cell>
          <cell r="I209" t="str">
            <v>GRS Certified* 83% Post Consumer Recycled Polyester (RM0189) 17% Pre Consumer Recycled Polyamide (RM1084)</v>
          </cell>
          <cell r="M209" t="str">
            <v>6302.93.2000</v>
          </cell>
          <cell r="N209">
            <v>6302600090</v>
          </cell>
          <cell r="O209" t="str">
            <v>6302.93.00.00</v>
          </cell>
          <cell r="P209">
            <v>63029390</v>
          </cell>
          <cell r="Q209">
            <v>0</v>
          </cell>
          <cell r="R209" t="str">
            <v>6302.39.00</v>
          </cell>
          <cell r="S209">
            <v>63029120</v>
          </cell>
        </row>
        <row r="210">
          <cell r="A210" t="str">
            <v>TOWLB-CAB-LG-GREEN-R</v>
          </cell>
          <cell r="B210" t="str">
            <v>5.0607E+12</v>
          </cell>
          <cell r="C210" t="str">
            <v>ACTIVE</v>
          </cell>
          <cell r="D210" t="str">
            <v>Core</v>
          </cell>
          <cell r="E210">
            <v>40</v>
          </cell>
          <cell r="F210" t="str">
            <v>before AW20</v>
          </cell>
          <cell r="G210" t="str">
            <v>XR Textile</v>
          </cell>
          <cell r="H210" t="str">
            <v>TOWLB</v>
          </cell>
          <cell r="I210" t="str">
            <v>GRS Certified* 83% Post Consumer Recycled Polyester (RM0189) 17% Pre Consumer Recycled Polyamide (RM1084)</v>
          </cell>
          <cell r="M210" t="str">
            <v>6302.93.2000</v>
          </cell>
          <cell r="N210">
            <v>6302600090</v>
          </cell>
          <cell r="O210" t="str">
            <v>6302.93.00.00</v>
          </cell>
          <cell r="P210">
            <v>63029390</v>
          </cell>
          <cell r="Q210">
            <v>0</v>
          </cell>
          <cell r="R210" t="str">
            <v>6302.39.00</v>
          </cell>
          <cell r="S210">
            <v>63029120</v>
          </cell>
        </row>
        <row r="211">
          <cell r="A211" t="str">
            <v>TOWLB-CAB-LG-KHAKI-R</v>
          </cell>
          <cell r="B211" t="str">
            <v>5.0607E+12</v>
          </cell>
          <cell r="C211" t="str">
            <v>ACTIVE</v>
          </cell>
          <cell r="D211" t="str">
            <v>Core</v>
          </cell>
          <cell r="E211">
            <v>40</v>
          </cell>
          <cell r="F211" t="str">
            <v>before AW20</v>
          </cell>
          <cell r="G211" t="str">
            <v>XR Textile</v>
          </cell>
          <cell r="H211" t="str">
            <v>TOWLB</v>
          </cell>
          <cell r="I211" t="str">
            <v>GRS Certified* 83% Post Consumer Recycled Polyester (RM0189) 17% Pre Consumer Recycled Polyamide (RM1084)</v>
          </cell>
          <cell r="M211" t="str">
            <v>6302.93.2000</v>
          </cell>
          <cell r="N211">
            <v>6302600090</v>
          </cell>
          <cell r="O211" t="str">
            <v>6302.93.00.00</v>
          </cell>
          <cell r="P211">
            <v>63029390</v>
          </cell>
          <cell r="Q211">
            <v>0</v>
          </cell>
          <cell r="R211" t="str">
            <v>6302.39.00</v>
          </cell>
          <cell r="S211">
            <v>63029120</v>
          </cell>
        </row>
        <row r="212">
          <cell r="A212" t="str">
            <v>TOWLB-CAB-LG-LTBGE-R</v>
          </cell>
          <cell r="B212" t="str">
            <v>5.0607E+12</v>
          </cell>
          <cell r="C212" t="str">
            <v>ACTIVE</v>
          </cell>
          <cell r="D212" t="str">
            <v>Core</v>
          </cell>
          <cell r="E212">
            <v>40</v>
          </cell>
          <cell r="F212" t="str">
            <v>before AW20</v>
          </cell>
          <cell r="G212" t="str">
            <v>XR Textile</v>
          </cell>
          <cell r="H212" t="str">
            <v>TOWLB</v>
          </cell>
          <cell r="I212" t="str">
            <v>GRS Certified* 83% Post Consumer Recycled Polyester (RM0189) 17% Pre Consumer Recycled Polyamide (RM1084)</v>
          </cell>
          <cell r="M212" t="str">
            <v>6302.93.2000</v>
          </cell>
          <cell r="N212">
            <v>6302600090</v>
          </cell>
          <cell r="O212" t="str">
            <v>6302.93.00.00</v>
          </cell>
          <cell r="P212">
            <v>63029390</v>
          </cell>
          <cell r="Q212">
            <v>0</v>
          </cell>
          <cell r="R212" t="str">
            <v>6302.39.00</v>
          </cell>
          <cell r="S212">
            <v>63029120</v>
          </cell>
        </row>
        <row r="213">
          <cell r="A213" t="str">
            <v>TOWLB-CAB-LG-LTBLU-R</v>
          </cell>
          <cell r="B213" t="str">
            <v>5.0607E+12</v>
          </cell>
          <cell r="C213" t="str">
            <v>ACTIVE</v>
          </cell>
          <cell r="D213" t="str">
            <v>Core</v>
          </cell>
          <cell r="E213">
            <v>40</v>
          </cell>
          <cell r="F213" t="str">
            <v>before AW20</v>
          </cell>
          <cell r="G213" t="str">
            <v>XR Textile</v>
          </cell>
          <cell r="H213" t="str">
            <v>TOWLB</v>
          </cell>
          <cell r="I213" t="str">
            <v>GRS Certified* 83% Post Consumer Recycled Polyester (RM0189) 17% Pre Consumer Recycled Polyamide (RM1084)</v>
          </cell>
          <cell r="M213" t="str">
            <v>6302.93.2000</v>
          </cell>
          <cell r="N213">
            <v>6302600090</v>
          </cell>
          <cell r="O213" t="str">
            <v>6302.93.00.00</v>
          </cell>
          <cell r="P213">
            <v>63029390</v>
          </cell>
          <cell r="Q213">
            <v>0</v>
          </cell>
          <cell r="R213" t="str">
            <v>6302.39.00</v>
          </cell>
          <cell r="S213">
            <v>63029120</v>
          </cell>
        </row>
        <row r="214">
          <cell r="A214" t="str">
            <v>TOWLB-CAB-LG-LTGRY-R</v>
          </cell>
          <cell r="B214" t="str">
            <v>5.0607E+12</v>
          </cell>
          <cell r="C214" t="str">
            <v>ACTIVE</v>
          </cell>
          <cell r="D214" t="str">
            <v>Core</v>
          </cell>
          <cell r="E214">
            <v>40</v>
          </cell>
          <cell r="F214" t="str">
            <v>before AW20</v>
          </cell>
          <cell r="G214" t="str">
            <v>XR Textile</v>
          </cell>
          <cell r="H214" t="str">
            <v>TOWLB</v>
          </cell>
          <cell r="I214" t="str">
            <v>GRS Certified* 83% Post Consumer Recycled Polyester (RM0189) 17% Pre Consumer Recycled Polyamide (RM1084)</v>
          </cell>
          <cell r="M214" t="str">
            <v>6302.93.2000</v>
          </cell>
          <cell r="N214">
            <v>6302600090</v>
          </cell>
          <cell r="O214" t="str">
            <v>6302.93.00.00</v>
          </cell>
          <cell r="P214">
            <v>63029390</v>
          </cell>
          <cell r="Q214">
            <v>0</v>
          </cell>
          <cell r="R214" t="str">
            <v>6302.39.00</v>
          </cell>
          <cell r="S214">
            <v>63029120</v>
          </cell>
        </row>
        <row r="215">
          <cell r="A215" t="str">
            <v>TOWLB-CAB-LG-LTPNK-R</v>
          </cell>
          <cell r="B215" t="str">
            <v>5.0607E+12</v>
          </cell>
          <cell r="C215" t="str">
            <v>ACTIVE</v>
          </cell>
          <cell r="D215" t="str">
            <v>Core</v>
          </cell>
          <cell r="E215">
            <v>40</v>
          </cell>
          <cell r="F215" t="str">
            <v>before AW20</v>
          </cell>
          <cell r="G215" t="str">
            <v>XR Textile</v>
          </cell>
          <cell r="H215" t="str">
            <v>TOWLB</v>
          </cell>
          <cell r="I215" t="str">
            <v>GRS Certified* 83% Post Consumer Recycled Polyester (RM0189) 17% Pre Consumer Recycled Polyamide (RM1084)</v>
          </cell>
          <cell r="M215" t="str">
            <v>6302.93.2000</v>
          </cell>
          <cell r="N215">
            <v>6302600090</v>
          </cell>
          <cell r="O215" t="str">
            <v>6302.93.00.00</v>
          </cell>
          <cell r="P215">
            <v>63029390</v>
          </cell>
          <cell r="Q215">
            <v>0</v>
          </cell>
          <cell r="R215" t="str">
            <v>6302.39.00</v>
          </cell>
          <cell r="S215">
            <v>63029120</v>
          </cell>
        </row>
        <row r="216">
          <cell r="A216" t="str">
            <v>TOWLB-CAB-LG-LTPNK-SS24</v>
          </cell>
          <cell r="B216" t="str">
            <v>5.061E+12</v>
          </cell>
          <cell r="C216" t="str">
            <v>ACTIVE</v>
          </cell>
          <cell r="D216" t="str">
            <v>Core</v>
          </cell>
          <cell r="E216">
            <v>40</v>
          </cell>
          <cell r="G216" t="str">
            <v>XR Textile</v>
          </cell>
          <cell r="H216" t="str">
            <v>TOWLB</v>
          </cell>
          <cell r="I216" t="str">
            <v>GRS Certified* 83% Post Consumer Recycled Polyester (RM0189) 17% Pre Consumer Recycled Polyamide (RM1084)</v>
          </cell>
          <cell r="M216" t="str">
            <v>6302.93.2000</v>
          </cell>
          <cell r="N216">
            <v>6302600090</v>
          </cell>
          <cell r="O216" t="str">
            <v>6302.93.00.00</v>
          </cell>
          <cell r="P216">
            <v>63029390</v>
          </cell>
          <cell r="Q216">
            <v>0</v>
          </cell>
          <cell r="R216" t="str">
            <v>6302.39.00</v>
          </cell>
          <cell r="S216">
            <v>63029120</v>
          </cell>
        </row>
        <row r="217">
          <cell r="A217" t="str">
            <v>TOWLB-CAB-LG-LTPPL-R</v>
          </cell>
          <cell r="B217" t="str">
            <v>5.0607E+12</v>
          </cell>
          <cell r="C217" t="str">
            <v>ACTIVE</v>
          </cell>
          <cell r="D217" t="str">
            <v>Core</v>
          </cell>
          <cell r="E217">
            <v>40</v>
          </cell>
          <cell r="F217" t="str">
            <v>before AW20</v>
          </cell>
          <cell r="G217" t="str">
            <v>XR Textile</v>
          </cell>
          <cell r="H217" t="str">
            <v>TOWLB</v>
          </cell>
          <cell r="I217" t="str">
            <v>GRS Certified* 83% Post Consumer Recycled Polyester (RM0189) 17% Pre Consumer Recycled Polyamide (RM1084)</v>
          </cell>
          <cell r="M217" t="str">
            <v>6302.93.2000</v>
          </cell>
          <cell r="N217">
            <v>6302600090</v>
          </cell>
          <cell r="O217" t="str">
            <v>6302.93.00.00</v>
          </cell>
          <cell r="P217">
            <v>63029390</v>
          </cell>
          <cell r="Q217">
            <v>0</v>
          </cell>
          <cell r="R217" t="str">
            <v>6302.39.00</v>
          </cell>
          <cell r="S217">
            <v>63029120</v>
          </cell>
        </row>
        <row r="218">
          <cell r="A218" t="str">
            <v>TOWLB-CAB-LG-NAVY-R</v>
          </cell>
          <cell r="B218" t="str">
            <v>5.0607E+12</v>
          </cell>
          <cell r="C218" t="str">
            <v>ACTIVE</v>
          </cell>
          <cell r="D218" t="str">
            <v>Core</v>
          </cell>
          <cell r="E218">
            <v>40</v>
          </cell>
          <cell r="F218" t="str">
            <v>before AW20</v>
          </cell>
          <cell r="G218" t="str">
            <v>XR Textile</v>
          </cell>
          <cell r="H218" t="str">
            <v>TOWLB</v>
          </cell>
          <cell r="I218" t="str">
            <v>GRS Certified* 83% Post Consumer Recycled Polyester (RM0189) 17% Pre Consumer Recycled Polyamide (RM1084)</v>
          </cell>
          <cell r="M218" t="str">
            <v>6302.93.2000</v>
          </cell>
          <cell r="N218">
            <v>6302600090</v>
          </cell>
          <cell r="O218" t="str">
            <v>6302.93.00.00</v>
          </cell>
          <cell r="P218">
            <v>63029390</v>
          </cell>
          <cell r="Q218">
            <v>0</v>
          </cell>
          <cell r="R218" t="str">
            <v>6302.39.00</v>
          </cell>
          <cell r="S218">
            <v>63029120</v>
          </cell>
        </row>
        <row r="219">
          <cell r="A219" t="str">
            <v>TOWLB-CAB-LG-NAVY-SS24</v>
          </cell>
          <cell r="B219" t="str">
            <v>5.061E+12</v>
          </cell>
          <cell r="C219" t="str">
            <v>ACTIVE</v>
          </cell>
          <cell r="D219" t="str">
            <v>Core</v>
          </cell>
          <cell r="E219">
            <v>40</v>
          </cell>
          <cell r="G219" t="str">
            <v>XR Textile</v>
          </cell>
          <cell r="H219" t="str">
            <v>TOWLB</v>
          </cell>
          <cell r="I219" t="str">
            <v>GRS Certified* 83% Post Consumer Recycled Polyester (RM0189) 17% Pre Consumer Recycled Polyamide (RM1084)</v>
          </cell>
          <cell r="M219" t="str">
            <v>6302.93.2000</v>
          </cell>
          <cell r="N219">
            <v>6302600090</v>
          </cell>
          <cell r="O219" t="str">
            <v>6302.93.00.00</v>
          </cell>
          <cell r="P219">
            <v>63029390</v>
          </cell>
          <cell r="Q219">
            <v>0</v>
          </cell>
          <cell r="R219" t="str">
            <v>6302.39.00</v>
          </cell>
          <cell r="S219">
            <v>63029120</v>
          </cell>
        </row>
        <row r="220">
          <cell r="A220" t="str">
            <v>TOWLB-CAB-LG-ORANG-R</v>
          </cell>
          <cell r="B220" t="str">
            <v>5.0607E+12</v>
          </cell>
          <cell r="C220" t="str">
            <v>ACTIVE</v>
          </cell>
          <cell r="D220" t="str">
            <v>Core</v>
          </cell>
          <cell r="E220">
            <v>40</v>
          </cell>
          <cell r="F220" t="str">
            <v>before AW20</v>
          </cell>
          <cell r="G220" t="str">
            <v>XR Textile</v>
          </cell>
          <cell r="H220" t="str">
            <v>TOWLB</v>
          </cell>
          <cell r="I220" t="str">
            <v>GRS Certified* 83% Post Consumer Recycled Polyester (RM0189) 17% Pre Consumer Recycled Polyamide (RM1084)</v>
          </cell>
          <cell r="M220" t="str">
            <v>6302.93.2000</v>
          </cell>
          <cell r="N220">
            <v>6302600090</v>
          </cell>
          <cell r="O220" t="str">
            <v>6302.93.00.00</v>
          </cell>
          <cell r="P220">
            <v>63029390</v>
          </cell>
          <cell r="Q220">
            <v>0</v>
          </cell>
          <cell r="R220" t="str">
            <v>6302.39.00</v>
          </cell>
          <cell r="S220">
            <v>63029120</v>
          </cell>
        </row>
        <row r="221">
          <cell r="A221" t="str">
            <v>TOWLB-CAB-LG-PINK-R</v>
          </cell>
          <cell r="B221" t="str">
            <v>5.0607E+12</v>
          </cell>
          <cell r="C221" t="str">
            <v>ACTIVE</v>
          </cell>
          <cell r="D221" t="str">
            <v>Core</v>
          </cell>
          <cell r="E221">
            <v>40</v>
          </cell>
          <cell r="F221" t="str">
            <v>before AW20</v>
          </cell>
          <cell r="G221" t="str">
            <v>XR Textile</v>
          </cell>
          <cell r="H221" t="str">
            <v>TOWLB</v>
          </cell>
          <cell r="I221" t="str">
            <v>GRS Certified* 83% Post Consumer Recycled Polyester (RM0189) 17% Pre Consumer Recycled Polyamide (RM1084)</v>
          </cell>
          <cell r="M221" t="str">
            <v>6302.93.2000</v>
          </cell>
          <cell r="N221">
            <v>6302600090</v>
          </cell>
          <cell r="O221" t="str">
            <v>6302.93.00.00</v>
          </cell>
          <cell r="P221">
            <v>63029390</v>
          </cell>
          <cell r="Q221">
            <v>0</v>
          </cell>
          <cell r="R221" t="str">
            <v>6302.39.00</v>
          </cell>
          <cell r="S221">
            <v>63029120</v>
          </cell>
        </row>
        <row r="222">
          <cell r="A222" t="str">
            <v>TOWLB-CAB-LG-RED-R</v>
          </cell>
          <cell r="B222" t="str">
            <v>5.0607E+12</v>
          </cell>
          <cell r="C222" t="str">
            <v>ACTIVE</v>
          </cell>
          <cell r="D222" t="str">
            <v>Core</v>
          </cell>
          <cell r="E222">
            <v>40</v>
          </cell>
          <cell r="F222" t="str">
            <v>before AW20</v>
          </cell>
          <cell r="G222" t="str">
            <v>XR Textile</v>
          </cell>
          <cell r="H222" t="str">
            <v>TOWLB</v>
          </cell>
          <cell r="I222" t="str">
            <v>GRS Certified* 83% Post Consumer Recycled Polyester (RM0189) 17% Pre Consumer Recycled Polyamide (RM1084)</v>
          </cell>
          <cell r="M222" t="str">
            <v>6302.93.2000</v>
          </cell>
          <cell r="N222">
            <v>6302600090</v>
          </cell>
          <cell r="O222" t="str">
            <v>6302.93.00.00</v>
          </cell>
          <cell r="P222">
            <v>63029390</v>
          </cell>
          <cell r="Q222">
            <v>0</v>
          </cell>
          <cell r="R222" t="str">
            <v>6302.39.00</v>
          </cell>
          <cell r="S222">
            <v>63029120</v>
          </cell>
        </row>
        <row r="223">
          <cell r="A223" t="str">
            <v>TOWLB-CAB-LG-YELL-R</v>
          </cell>
          <cell r="B223" t="str">
            <v>5.0607E+12</v>
          </cell>
          <cell r="C223" t="str">
            <v>ACTIVE</v>
          </cell>
          <cell r="D223" t="str">
            <v>Core</v>
          </cell>
          <cell r="E223">
            <v>40</v>
          </cell>
          <cell r="F223" t="str">
            <v>before AW20</v>
          </cell>
          <cell r="G223" t="str">
            <v>XR Textile</v>
          </cell>
          <cell r="H223" t="str">
            <v>TOWLB</v>
          </cell>
          <cell r="I223" t="str">
            <v>GRS Certified* 83% Post Consumer Recycled Polyester (RM0189) 17% Pre Consumer Recycled Polyamide (RM1084)</v>
          </cell>
          <cell r="M223" t="str">
            <v>6302.93.2000</v>
          </cell>
          <cell r="N223">
            <v>6302600090</v>
          </cell>
          <cell r="O223" t="str">
            <v>6302.93.00.00</v>
          </cell>
          <cell r="P223">
            <v>63029390</v>
          </cell>
          <cell r="Q223">
            <v>0</v>
          </cell>
          <cell r="R223" t="str">
            <v>6302.39.00</v>
          </cell>
          <cell r="S223">
            <v>63029120</v>
          </cell>
        </row>
        <row r="224">
          <cell r="A224" t="str">
            <v>TOWLB-CAB-MD-LTBLU</v>
          </cell>
          <cell r="B224" t="str">
            <v>5.0607E+12</v>
          </cell>
          <cell r="C224" t="str">
            <v>ACTIVE</v>
          </cell>
          <cell r="D224" t="str">
            <v>Core</v>
          </cell>
          <cell r="E224">
            <v>50</v>
          </cell>
          <cell r="F224" t="str">
            <v>SS22</v>
          </cell>
          <cell r="G224" t="str">
            <v>XR Textile</v>
          </cell>
          <cell r="H224" t="str">
            <v>TOWLB</v>
          </cell>
          <cell r="I224" t="str">
            <v>GRS Certified* 83% Post Consumer Recycled Polyester (RM0189) 17% Pre Consumer Recycled Polyamide (RM1084)</v>
          </cell>
          <cell r="M224" t="str">
            <v>6302.93.2000</v>
          </cell>
          <cell r="N224">
            <v>6302600090</v>
          </cell>
          <cell r="O224" t="str">
            <v>6302.93.00.00</v>
          </cell>
          <cell r="P224">
            <v>63029390</v>
          </cell>
          <cell r="Q224">
            <v>0</v>
          </cell>
          <cell r="R224" t="str">
            <v>6302.39.00</v>
          </cell>
          <cell r="S224">
            <v>63029120</v>
          </cell>
        </row>
        <row r="225">
          <cell r="A225" t="str">
            <v>TOWLB-CAB-MD-LTPNK</v>
          </cell>
          <cell r="B225" t="str">
            <v>5.0607E+12</v>
          </cell>
          <cell r="C225" t="str">
            <v>ACTIVE</v>
          </cell>
          <cell r="D225" t="str">
            <v>Core</v>
          </cell>
          <cell r="E225">
            <v>50</v>
          </cell>
          <cell r="F225" t="str">
            <v>SS22</v>
          </cell>
          <cell r="G225" t="str">
            <v>XR Textile</v>
          </cell>
          <cell r="H225" t="str">
            <v>TOWLB</v>
          </cell>
          <cell r="I225" t="str">
            <v>GRS Certified* 83% Post Consumer Recycled Polyester (RM0189) 17% Pre Consumer Recycled Polyamide (RM1084)</v>
          </cell>
          <cell r="M225" t="str">
            <v>6302.93.2000</v>
          </cell>
          <cell r="N225">
            <v>6302600090</v>
          </cell>
          <cell r="O225" t="str">
            <v>6302.93.00.00</v>
          </cell>
          <cell r="P225">
            <v>63029390</v>
          </cell>
          <cell r="Q225">
            <v>0</v>
          </cell>
          <cell r="R225" t="str">
            <v>6302.39.00</v>
          </cell>
          <cell r="S225">
            <v>63029120</v>
          </cell>
        </row>
        <row r="226">
          <cell r="A226" t="str">
            <v>TOWLB-CAB-MD-LTPNK-SS24</v>
          </cell>
          <cell r="B226" t="str">
            <v>5.061E+12</v>
          </cell>
          <cell r="C226" t="str">
            <v>ACTIVE</v>
          </cell>
          <cell r="D226" t="str">
            <v>Core</v>
          </cell>
          <cell r="E226">
            <v>50</v>
          </cell>
          <cell r="G226" t="str">
            <v>XR Textile</v>
          </cell>
          <cell r="H226" t="str">
            <v>TOWLB</v>
          </cell>
          <cell r="I226" t="str">
            <v>GRS Certified* 83% Post Consumer Recycled Polyester (RM0189) 17% Pre Consumer Recycled Polyamide (RM1084)</v>
          </cell>
          <cell r="M226" t="str">
            <v>6302.93.2000</v>
          </cell>
          <cell r="N226">
            <v>6302600090</v>
          </cell>
          <cell r="O226" t="str">
            <v>6302.93.00.00</v>
          </cell>
          <cell r="P226">
            <v>63029390</v>
          </cell>
          <cell r="Q226">
            <v>0</v>
          </cell>
          <cell r="R226" t="str">
            <v>6302.39.00</v>
          </cell>
          <cell r="S226">
            <v>63029120</v>
          </cell>
        </row>
        <row r="227">
          <cell r="A227" t="str">
            <v>TOWLB-CAB-MD-NAVY</v>
          </cell>
          <cell r="B227" t="str">
            <v>5.0607E+12</v>
          </cell>
          <cell r="C227" t="str">
            <v>ACTIVE</v>
          </cell>
          <cell r="D227" t="str">
            <v>Core</v>
          </cell>
          <cell r="E227">
            <v>50</v>
          </cell>
          <cell r="F227" t="str">
            <v>SS22</v>
          </cell>
          <cell r="G227" t="str">
            <v>XR Textile</v>
          </cell>
          <cell r="H227" t="str">
            <v>TOWLB</v>
          </cell>
          <cell r="I227" t="str">
            <v>GRS Certified* 83% Post Consumer Recycled Polyester (RM0189) 17% Pre Consumer Recycled Polyamide (RM1084)</v>
          </cell>
          <cell r="M227" t="str">
            <v>6302.93.2000</v>
          </cell>
          <cell r="N227">
            <v>6302600090</v>
          </cell>
          <cell r="O227" t="str">
            <v>6302.93.00.00</v>
          </cell>
          <cell r="P227">
            <v>63029390</v>
          </cell>
          <cell r="Q227">
            <v>0</v>
          </cell>
          <cell r="R227" t="str">
            <v>6302.39.00</v>
          </cell>
          <cell r="S227">
            <v>63029120</v>
          </cell>
        </row>
        <row r="228">
          <cell r="A228" t="str">
            <v>TOWLB-CAB-MD-NAVY-SS24</v>
          </cell>
          <cell r="B228" t="str">
            <v>5.061E+12</v>
          </cell>
          <cell r="C228" t="str">
            <v>ACTIVE</v>
          </cell>
          <cell r="D228" t="str">
            <v>Core</v>
          </cell>
          <cell r="E228">
            <v>50</v>
          </cell>
          <cell r="G228" t="str">
            <v>XR Textile</v>
          </cell>
          <cell r="H228" t="str">
            <v>TOWLB</v>
          </cell>
          <cell r="I228" t="str">
            <v>GRS Certified* 83% Post Consumer Recycled Polyester (RM0189) 17% Pre Consumer Recycled Polyamide (RM1084)</v>
          </cell>
          <cell r="M228" t="str">
            <v>6302.93.2000</v>
          </cell>
          <cell r="N228">
            <v>6302600090</v>
          </cell>
          <cell r="O228" t="str">
            <v>6302.93.00.00</v>
          </cell>
          <cell r="P228">
            <v>63029390</v>
          </cell>
          <cell r="Q228">
            <v>0</v>
          </cell>
          <cell r="R228" t="str">
            <v>6302.39.00</v>
          </cell>
          <cell r="S228">
            <v>63029120</v>
          </cell>
        </row>
        <row r="229">
          <cell r="A229" t="str">
            <v>TOWLB-CAB-XL-BLACK-R</v>
          </cell>
          <cell r="B229" t="str">
            <v>5.0607E+12</v>
          </cell>
          <cell r="C229" t="str">
            <v>ACTIVE</v>
          </cell>
          <cell r="D229" t="str">
            <v>Core</v>
          </cell>
          <cell r="E229">
            <v>30</v>
          </cell>
          <cell r="F229" t="str">
            <v>before AW20</v>
          </cell>
          <cell r="G229" t="str">
            <v>XR Textile</v>
          </cell>
          <cell r="H229" t="str">
            <v>TOWLB</v>
          </cell>
          <cell r="I229" t="str">
            <v>GRS Certified* 83% Post Consumer Recycled Polyester (RM0189) 17% Pre Consumer Recycled Polyamide (RM1084)</v>
          </cell>
          <cell r="M229" t="str">
            <v>6302.93.2000</v>
          </cell>
          <cell r="N229">
            <v>6302600090</v>
          </cell>
          <cell r="O229" t="str">
            <v>6302.93.00.00</v>
          </cell>
          <cell r="P229">
            <v>63029390</v>
          </cell>
          <cell r="Q229">
            <v>0</v>
          </cell>
          <cell r="R229" t="str">
            <v>6302.39.00</v>
          </cell>
          <cell r="S229">
            <v>63029120</v>
          </cell>
        </row>
        <row r="230">
          <cell r="A230" t="str">
            <v>TOWLB-CAB-XL-BLUE-R</v>
          </cell>
          <cell r="B230" t="str">
            <v>5.0607E+12</v>
          </cell>
          <cell r="C230" t="str">
            <v>ACTIVE</v>
          </cell>
          <cell r="D230" t="str">
            <v>Core</v>
          </cell>
          <cell r="E230">
            <v>30</v>
          </cell>
          <cell r="F230" t="str">
            <v>before AW20</v>
          </cell>
          <cell r="G230" t="str">
            <v>XR Textile</v>
          </cell>
          <cell r="H230" t="str">
            <v>TOWLB</v>
          </cell>
          <cell r="I230" t="str">
            <v>GRS Certified* 83% Post Consumer Recycled Polyester (RM0189) 17% Pre Consumer Recycled Polyamide (RM1084)</v>
          </cell>
          <cell r="M230" t="str">
            <v>6302.93.2000</v>
          </cell>
          <cell r="N230">
            <v>6302600090</v>
          </cell>
          <cell r="O230" t="str">
            <v>6302.93.00.00</v>
          </cell>
          <cell r="P230">
            <v>63029390</v>
          </cell>
          <cell r="Q230">
            <v>0</v>
          </cell>
          <cell r="R230" t="str">
            <v>6302.39.00</v>
          </cell>
          <cell r="S230">
            <v>63029120</v>
          </cell>
        </row>
        <row r="231">
          <cell r="A231" t="str">
            <v>TOWLB-CAB-XL-BLUE-SS24</v>
          </cell>
          <cell r="B231" t="str">
            <v>5.061E+12</v>
          </cell>
          <cell r="C231" t="str">
            <v>ACTIVE</v>
          </cell>
          <cell r="D231" t="str">
            <v>Core</v>
          </cell>
          <cell r="E231">
            <v>30</v>
          </cell>
          <cell r="G231" t="str">
            <v>XR Textile</v>
          </cell>
          <cell r="H231" t="str">
            <v>TOWLB</v>
          </cell>
          <cell r="I231" t="str">
            <v>GRS Certified* 83% Post Consumer Recycled Polyester (RM0189) 17% Pre Consumer Recycled Polyamide (RM1084)</v>
          </cell>
          <cell r="M231" t="str">
            <v>6302.93.2000</v>
          </cell>
          <cell r="N231">
            <v>6302600090</v>
          </cell>
          <cell r="O231" t="str">
            <v>6302.93.00.00</v>
          </cell>
          <cell r="P231">
            <v>63029390</v>
          </cell>
          <cell r="Q231">
            <v>0</v>
          </cell>
          <cell r="R231" t="str">
            <v>6302.39.00</v>
          </cell>
          <cell r="S231">
            <v>63029120</v>
          </cell>
        </row>
        <row r="232">
          <cell r="A232" t="str">
            <v>TOWLB-CAB-XL-GREEN-R</v>
          </cell>
          <cell r="B232" t="str">
            <v>5.0607E+12</v>
          </cell>
          <cell r="C232" t="str">
            <v>ACTIVE</v>
          </cell>
          <cell r="D232" t="str">
            <v>Core</v>
          </cell>
          <cell r="E232">
            <v>30</v>
          </cell>
          <cell r="F232" t="str">
            <v>before AW20</v>
          </cell>
          <cell r="G232" t="str">
            <v>XR Textile</v>
          </cell>
          <cell r="H232" t="str">
            <v>TOWLB</v>
          </cell>
          <cell r="I232" t="str">
            <v>GRS Certified* 83% Post Consumer Recycled Polyester (RM0189) 17% Pre Consumer Recycled Polyamide (RM1084)</v>
          </cell>
          <cell r="M232" t="str">
            <v>6302.93.2000</v>
          </cell>
          <cell r="N232">
            <v>6302600090</v>
          </cell>
          <cell r="O232" t="str">
            <v>6302.93.00.00</v>
          </cell>
          <cell r="P232">
            <v>63029390</v>
          </cell>
          <cell r="Q232">
            <v>0</v>
          </cell>
          <cell r="R232" t="str">
            <v>6302.39.00</v>
          </cell>
          <cell r="S232">
            <v>63029120</v>
          </cell>
        </row>
        <row r="233">
          <cell r="A233" t="str">
            <v>TOWLB-CAB-XL-KHAKI-R</v>
          </cell>
          <cell r="B233" t="str">
            <v>5.0607E+12</v>
          </cell>
          <cell r="C233" t="str">
            <v>ACTIVE</v>
          </cell>
          <cell r="D233" t="str">
            <v>Core</v>
          </cell>
          <cell r="E233">
            <v>30</v>
          </cell>
          <cell r="F233" t="str">
            <v>before AW20</v>
          </cell>
          <cell r="G233" t="str">
            <v>XR Textile</v>
          </cell>
          <cell r="H233" t="str">
            <v>TOWLB</v>
          </cell>
          <cell r="I233" t="str">
            <v>GRS Certified* 83% Post Consumer Recycled Polyester (RM0189) 17% Pre Consumer Recycled Polyamide (RM1084)</v>
          </cell>
          <cell r="M233" t="str">
            <v>6302.93.2000</v>
          </cell>
          <cell r="N233">
            <v>6302600090</v>
          </cell>
          <cell r="O233" t="str">
            <v>6302.93.00.00</v>
          </cell>
          <cell r="P233">
            <v>63029390</v>
          </cell>
          <cell r="Q233">
            <v>0</v>
          </cell>
          <cell r="R233" t="str">
            <v>6302.39.00</v>
          </cell>
          <cell r="S233">
            <v>63029120</v>
          </cell>
        </row>
        <row r="234">
          <cell r="A234" t="str">
            <v>TOWLB-CAB-XL-LTBGE-R</v>
          </cell>
          <cell r="B234" t="str">
            <v>5.0607E+12</v>
          </cell>
          <cell r="C234" t="str">
            <v>ACTIVE</v>
          </cell>
          <cell r="D234" t="str">
            <v>Core</v>
          </cell>
          <cell r="E234">
            <v>30</v>
          </cell>
          <cell r="F234" t="str">
            <v>before AW20</v>
          </cell>
          <cell r="G234" t="str">
            <v>XR Textile</v>
          </cell>
          <cell r="H234" t="str">
            <v>TOWLB</v>
          </cell>
          <cell r="I234" t="str">
            <v>GRS Certified* 83% Post Consumer Recycled Polyester (RM0189) 17% Pre Consumer Recycled Polyamide (RM1084)</v>
          </cell>
          <cell r="M234" t="str">
            <v>6302.93.2000</v>
          </cell>
          <cell r="N234">
            <v>6302600090</v>
          </cell>
          <cell r="O234" t="str">
            <v>6302.93.00.00</v>
          </cell>
          <cell r="P234">
            <v>63029390</v>
          </cell>
          <cell r="Q234">
            <v>0</v>
          </cell>
          <cell r="R234" t="str">
            <v>6302.39.00</v>
          </cell>
          <cell r="S234">
            <v>63029120</v>
          </cell>
        </row>
        <row r="235">
          <cell r="A235" t="str">
            <v>TOWLB-CAB-XL-LTBLU-R</v>
          </cell>
          <cell r="B235" t="str">
            <v>5.0607E+12</v>
          </cell>
          <cell r="C235" t="str">
            <v>ACTIVE</v>
          </cell>
          <cell r="D235" t="str">
            <v>Core</v>
          </cell>
          <cell r="E235">
            <v>30</v>
          </cell>
          <cell r="F235" t="str">
            <v>before AW20</v>
          </cell>
          <cell r="G235" t="str">
            <v>XR Textile</v>
          </cell>
          <cell r="H235" t="str">
            <v>TOWLB</v>
          </cell>
          <cell r="I235" t="str">
            <v>GRS Certified* 83% Post Consumer Recycled Polyester (RM0189) 17% Pre Consumer Recycled Polyamide (RM1084)</v>
          </cell>
          <cell r="M235" t="str">
            <v>6302.93.2000</v>
          </cell>
          <cell r="N235">
            <v>6302600090</v>
          </cell>
          <cell r="O235" t="str">
            <v>6302.93.00.00</v>
          </cell>
          <cell r="P235">
            <v>63029390</v>
          </cell>
          <cell r="Q235">
            <v>0</v>
          </cell>
          <cell r="R235" t="str">
            <v>6302.39.00</v>
          </cell>
          <cell r="S235">
            <v>63029120</v>
          </cell>
        </row>
        <row r="236">
          <cell r="A236" t="str">
            <v>TOWLB-CAB-XL-LTGRY-R</v>
          </cell>
          <cell r="B236" t="str">
            <v>5.0607E+12</v>
          </cell>
          <cell r="C236" t="str">
            <v>ACTIVE</v>
          </cell>
          <cell r="D236" t="str">
            <v>Core</v>
          </cell>
          <cell r="E236">
            <v>30</v>
          </cell>
          <cell r="F236" t="str">
            <v>before AW20</v>
          </cell>
          <cell r="G236" t="str">
            <v>XR Textile</v>
          </cell>
          <cell r="H236" t="str">
            <v>TOWLB</v>
          </cell>
          <cell r="I236" t="str">
            <v>GRS Certified* 83% Post Consumer Recycled Polyester (RM0189) 17% Pre Consumer Recycled Polyamide (RM1084)</v>
          </cell>
          <cell r="M236" t="str">
            <v>6302.93.2000</v>
          </cell>
          <cell r="N236">
            <v>6302600090</v>
          </cell>
          <cell r="O236" t="str">
            <v>6302.93.00.00</v>
          </cell>
          <cell r="P236">
            <v>63029390</v>
          </cell>
          <cell r="Q236">
            <v>0</v>
          </cell>
          <cell r="R236" t="str">
            <v>6302.39.00</v>
          </cell>
          <cell r="S236">
            <v>63029120</v>
          </cell>
        </row>
        <row r="237">
          <cell r="A237" t="str">
            <v>TOWLB-CAB-XL-LTPNK-R</v>
          </cell>
          <cell r="B237" t="str">
            <v>5.0607E+12</v>
          </cell>
          <cell r="C237" t="str">
            <v>ACTIVE</v>
          </cell>
          <cell r="D237" t="str">
            <v>Core</v>
          </cell>
          <cell r="E237">
            <v>30</v>
          </cell>
          <cell r="F237" t="str">
            <v>before AW20</v>
          </cell>
          <cell r="G237" t="str">
            <v>XR Textile</v>
          </cell>
          <cell r="H237" t="str">
            <v>TOWLB</v>
          </cell>
          <cell r="I237" t="str">
            <v>GRS Certified* 83% Post Consumer Recycled Polyester (RM0189) 17% Pre Consumer Recycled Polyamide (RM1084)</v>
          </cell>
          <cell r="M237" t="str">
            <v>6302.93.2000</v>
          </cell>
          <cell r="N237">
            <v>6302600090</v>
          </cell>
          <cell r="O237" t="str">
            <v>6302.93.00.00</v>
          </cell>
          <cell r="P237">
            <v>63029390</v>
          </cell>
          <cell r="Q237">
            <v>0</v>
          </cell>
          <cell r="R237" t="str">
            <v>6302.39.00</v>
          </cell>
          <cell r="S237">
            <v>63029120</v>
          </cell>
        </row>
        <row r="238">
          <cell r="A238" t="str">
            <v>TOWLB-CAB-XL-LTPNK-SS24</v>
          </cell>
          <cell r="B238" t="str">
            <v>5.061E+12</v>
          </cell>
          <cell r="C238" t="str">
            <v>ACTIVE</v>
          </cell>
          <cell r="D238" t="str">
            <v>Core</v>
          </cell>
          <cell r="E238">
            <v>30</v>
          </cell>
          <cell r="G238" t="str">
            <v>XR Textile</v>
          </cell>
          <cell r="H238" t="str">
            <v>TOWLB</v>
          </cell>
          <cell r="I238" t="str">
            <v>GRS Certified* 83% Post Consumer Recycled Polyester (RM0189) 17% Pre Consumer Recycled Polyamide (RM1084)</v>
          </cell>
          <cell r="M238" t="str">
            <v>6302.93.2000</v>
          </cell>
          <cell r="N238">
            <v>6302600090</v>
          </cell>
          <cell r="O238" t="str">
            <v>6302.93.00.00</v>
          </cell>
          <cell r="P238">
            <v>63029390</v>
          </cell>
          <cell r="Q238">
            <v>0</v>
          </cell>
          <cell r="R238" t="str">
            <v>6302.39.00</v>
          </cell>
          <cell r="S238">
            <v>63029120</v>
          </cell>
        </row>
        <row r="239">
          <cell r="A239" t="str">
            <v>TOWLB-CAB-XL-LTPPL-R</v>
          </cell>
          <cell r="B239" t="str">
            <v>5.0607E+12</v>
          </cell>
          <cell r="C239" t="str">
            <v>ACTIVE</v>
          </cell>
          <cell r="D239" t="str">
            <v>Core</v>
          </cell>
          <cell r="E239">
            <v>30</v>
          </cell>
          <cell r="F239" t="str">
            <v>before AW20</v>
          </cell>
          <cell r="G239" t="str">
            <v>XR Textile</v>
          </cell>
          <cell r="H239" t="str">
            <v>TOWLB</v>
          </cell>
          <cell r="I239" t="str">
            <v>GRS Certified* 83% Post Consumer Recycled Polyester (RM0189) 17% Pre Consumer Recycled Polyamide (RM1084)</v>
          </cell>
          <cell r="M239" t="str">
            <v>6302.93.2000</v>
          </cell>
          <cell r="N239">
            <v>6302600090</v>
          </cell>
          <cell r="O239" t="str">
            <v>6302.93.00.00</v>
          </cell>
          <cell r="P239">
            <v>63029390</v>
          </cell>
          <cell r="Q239">
            <v>0</v>
          </cell>
          <cell r="R239" t="str">
            <v>6302.39.00</v>
          </cell>
          <cell r="S239">
            <v>63029120</v>
          </cell>
        </row>
        <row r="240">
          <cell r="A240" t="str">
            <v>TOWLB-CAB-XL-NAVY-R</v>
          </cell>
          <cell r="B240" t="str">
            <v>5.0607E+12</v>
          </cell>
          <cell r="C240" t="str">
            <v>ACTIVE</v>
          </cell>
          <cell r="D240" t="str">
            <v>Core</v>
          </cell>
          <cell r="E240">
            <v>30</v>
          </cell>
          <cell r="F240" t="str">
            <v>before AW20</v>
          </cell>
          <cell r="G240" t="str">
            <v>XR Textile</v>
          </cell>
          <cell r="H240" t="str">
            <v>TOWLB</v>
          </cell>
          <cell r="I240" t="str">
            <v>GRS Certified* 83% Post Consumer Recycled Polyester (RM0189) 17% Pre Consumer Recycled Polyamide (RM1084)</v>
          </cell>
          <cell r="M240" t="str">
            <v>6302.93.2000</v>
          </cell>
          <cell r="N240">
            <v>6302600090</v>
          </cell>
          <cell r="O240" t="str">
            <v>6302.93.00.00</v>
          </cell>
          <cell r="P240">
            <v>63029390</v>
          </cell>
          <cell r="Q240">
            <v>0</v>
          </cell>
          <cell r="R240" t="str">
            <v>6302.39.00</v>
          </cell>
          <cell r="S240">
            <v>63029120</v>
          </cell>
        </row>
        <row r="241">
          <cell r="A241" t="str">
            <v>TOWLB-CAB-XL-NAVY-SS24</v>
          </cell>
          <cell r="B241" t="str">
            <v>5.061E+12</v>
          </cell>
          <cell r="C241" t="str">
            <v>ACTIVE</v>
          </cell>
          <cell r="D241" t="str">
            <v>Core</v>
          </cell>
          <cell r="E241">
            <v>30</v>
          </cell>
          <cell r="G241" t="str">
            <v>XR Textile</v>
          </cell>
          <cell r="H241" t="str">
            <v>TOWLB</v>
          </cell>
          <cell r="I241" t="str">
            <v>GRS Certified* 83% Post Consumer Recycled Polyester (RM0189) 17% Pre Consumer Recycled Polyamide (RM1084)</v>
          </cell>
          <cell r="M241" t="str">
            <v>6302.93.2000</v>
          </cell>
          <cell r="N241">
            <v>6302600090</v>
          </cell>
          <cell r="O241" t="str">
            <v>6302.93.00.00</v>
          </cell>
          <cell r="P241">
            <v>63029390</v>
          </cell>
          <cell r="Q241">
            <v>0</v>
          </cell>
          <cell r="R241" t="str">
            <v>6302.39.00</v>
          </cell>
          <cell r="S241">
            <v>63029120</v>
          </cell>
        </row>
        <row r="242">
          <cell r="A242" t="str">
            <v>TOWLB-CAB-XL-ORANG-R</v>
          </cell>
          <cell r="B242" t="str">
            <v>5.0607E+12</v>
          </cell>
          <cell r="C242" t="str">
            <v>ACTIVE</v>
          </cell>
          <cell r="D242" t="str">
            <v>Core</v>
          </cell>
          <cell r="E242">
            <v>30</v>
          </cell>
          <cell r="F242" t="str">
            <v>before AW20</v>
          </cell>
          <cell r="G242" t="str">
            <v>XR Textile</v>
          </cell>
          <cell r="H242" t="str">
            <v>TOWLB</v>
          </cell>
          <cell r="I242" t="str">
            <v>GRS Certified* 83% Post Consumer Recycled Polyester (RM0189) 17% Pre Consumer Recycled Polyamide (RM1084)</v>
          </cell>
          <cell r="M242" t="str">
            <v>6302.93.2000</v>
          </cell>
          <cell r="N242">
            <v>6302600090</v>
          </cell>
          <cell r="O242" t="str">
            <v>6302.93.00.00</v>
          </cell>
          <cell r="P242">
            <v>63029390</v>
          </cell>
          <cell r="Q242">
            <v>0</v>
          </cell>
          <cell r="R242" t="str">
            <v>6302.39.00</v>
          </cell>
          <cell r="S242">
            <v>63029120</v>
          </cell>
        </row>
        <row r="243">
          <cell r="A243" t="str">
            <v>TOWLB-CAB-XL-PINK-R</v>
          </cell>
          <cell r="B243" t="str">
            <v>5.0607E+12</v>
          </cell>
          <cell r="C243" t="str">
            <v>ACTIVE</v>
          </cell>
          <cell r="D243" t="str">
            <v>Core</v>
          </cell>
          <cell r="E243">
            <v>30</v>
          </cell>
          <cell r="F243" t="str">
            <v>before AW20</v>
          </cell>
          <cell r="G243" t="str">
            <v>XR Textile</v>
          </cell>
          <cell r="H243" t="str">
            <v>TOWLB</v>
          </cell>
          <cell r="I243" t="str">
            <v>GRS Certified* 83% Post Consumer Recycled Polyester (RM0189) 17% Pre Consumer Recycled Polyamide (RM1084)</v>
          </cell>
          <cell r="M243" t="str">
            <v>6302.93.2000</v>
          </cell>
          <cell r="N243">
            <v>6302600090</v>
          </cell>
          <cell r="O243" t="str">
            <v>6302.93.00.00</v>
          </cell>
          <cell r="P243">
            <v>63029390</v>
          </cell>
          <cell r="Q243">
            <v>0</v>
          </cell>
          <cell r="R243" t="str">
            <v>6302.39.00</v>
          </cell>
          <cell r="S243">
            <v>63029120</v>
          </cell>
        </row>
        <row r="244">
          <cell r="A244" t="str">
            <v>TOWLB-CAB-XL-RED-R</v>
          </cell>
          <cell r="B244" t="str">
            <v>5.0607E+12</v>
          </cell>
          <cell r="C244" t="str">
            <v>ACTIVE</v>
          </cell>
          <cell r="D244" t="str">
            <v>Core</v>
          </cell>
          <cell r="E244">
            <v>30</v>
          </cell>
          <cell r="F244" t="str">
            <v>before AW20</v>
          </cell>
          <cell r="G244" t="str">
            <v>XR Textile</v>
          </cell>
          <cell r="H244" t="str">
            <v>TOWLB</v>
          </cell>
          <cell r="I244" t="str">
            <v>GRS Certified* 83% Post Consumer Recycled Polyester (RM0189) 17% Pre Consumer Recycled Polyamide (RM1084)</v>
          </cell>
          <cell r="M244" t="str">
            <v>6302.93.2000</v>
          </cell>
          <cell r="N244">
            <v>6302600090</v>
          </cell>
          <cell r="O244" t="str">
            <v>6302.93.00.00</v>
          </cell>
          <cell r="P244">
            <v>63029390</v>
          </cell>
          <cell r="Q244">
            <v>0</v>
          </cell>
          <cell r="R244" t="str">
            <v>6302.39.00</v>
          </cell>
          <cell r="S244">
            <v>63029120</v>
          </cell>
        </row>
        <row r="245">
          <cell r="A245" t="str">
            <v>TOWLB-CAB-XL-YELL-R</v>
          </cell>
          <cell r="B245" t="str">
            <v>5.0607E+12</v>
          </cell>
          <cell r="C245" t="str">
            <v>ACTIVE</v>
          </cell>
          <cell r="D245" t="str">
            <v>Core</v>
          </cell>
          <cell r="E245">
            <v>30</v>
          </cell>
          <cell r="F245" t="str">
            <v>before AW20</v>
          </cell>
          <cell r="G245" t="str">
            <v>XR Textile</v>
          </cell>
          <cell r="H245" t="str">
            <v>TOWLB</v>
          </cell>
          <cell r="I245" t="str">
            <v>GRS Certified* 83% Post Consumer Recycled Polyester (RM0189) 17% Pre Consumer Recycled Polyamide (RM1084)</v>
          </cell>
          <cell r="M245" t="str">
            <v>6302.93.2000</v>
          </cell>
          <cell r="N245">
            <v>6302600090</v>
          </cell>
          <cell r="O245" t="str">
            <v>6302.93.00.00</v>
          </cell>
          <cell r="P245">
            <v>63029390</v>
          </cell>
          <cell r="Q245">
            <v>0</v>
          </cell>
          <cell r="R245" t="str">
            <v>6302.39.00</v>
          </cell>
          <cell r="S245">
            <v>63029120</v>
          </cell>
        </row>
        <row r="246">
          <cell r="A246" t="str">
            <v>TOWLB-COLLAB-LG-SOCCER</v>
          </cell>
          <cell r="B246" t="str">
            <v>5.061E+12</v>
          </cell>
          <cell r="C246" t="str">
            <v>ACTIVE</v>
          </cell>
          <cell r="D246" t="str">
            <v>Seasonal</v>
          </cell>
          <cell r="E246">
            <v>40</v>
          </cell>
          <cell r="F246" t="str">
            <v>SS26</v>
          </cell>
          <cell r="G246" t="str">
            <v>XR Textile</v>
          </cell>
          <cell r="H246" t="str">
            <v>TOWLB</v>
          </cell>
          <cell r="I246" t="str">
            <v>GRS Certified* 83% Post Consumer Recycled Polyester (RM0189) 17% Pre Consumer Recycled Polyamide (RM1084)</v>
          </cell>
          <cell r="M246" t="str">
            <v>6302.93.2000</v>
          </cell>
          <cell r="N246">
            <v>6302600090</v>
          </cell>
          <cell r="O246" t="str">
            <v>6302.93.00.00</v>
          </cell>
          <cell r="P246">
            <v>63029390</v>
          </cell>
          <cell r="Q246">
            <v>0</v>
          </cell>
          <cell r="R246" t="str">
            <v>6302.39.00</v>
          </cell>
          <cell r="S246">
            <v>63029120</v>
          </cell>
        </row>
        <row r="247">
          <cell r="A247" t="str">
            <v>TOWLB-COLLAB-LG-UNO</v>
          </cell>
          <cell r="B247" t="str">
            <v>5.061E+12</v>
          </cell>
          <cell r="C247" t="str">
            <v>ACTIVE</v>
          </cell>
          <cell r="D247" t="str">
            <v>Seasonal</v>
          </cell>
          <cell r="E247">
            <v>40</v>
          </cell>
          <cell r="F247" t="str">
            <v>AW25</v>
          </cell>
          <cell r="G247" t="str">
            <v>XR Textile</v>
          </cell>
          <cell r="H247" t="str">
            <v>TOWLB</v>
          </cell>
          <cell r="I247" t="str">
            <v>GRS Certified* 83% Post Consumer Recycled Polyester (RM0189) 17% Pre Consumer Recycled Polyamide (RM1084)</v>
          </cell>
          <cell r="M247" t="str">
            <v>6302.93.2000</v>
          </cell>
          <cell r="N247">
            <v>6302600090</v>
          </cell>
          <cell r="O247" t="str">
            <v>6302.93.00.00</v>
          </cell>
          <cell r="P247">
            <v>63029390</v>
          </cell>
          <cell r="Q247">
            <v>0</v>
          </cell>
          <cell r="R247" t="str">
            <v>6302.39.00</v>
          </cell>
          <cell r="S247">
            <v>63029120</v>
          </cell>
        </row>
        <row r="248">
          <cell r="A248" t="str">
            <v>TOWLB-COLLAB-XL-SOCCER</v>
          </cell>
          <cell r="B248" t="str">
            <v>5.061E+12</v>
          </cell>
          <cell r="C248" t="str">
            <v>ACTIVE</v>
          </cell>
          <cell r="D248" t="str">
            <v>Seasonal</v>
          </cell>
          <cell r="E248">
            <v>30</v>
          </cell>
          <cell r="F248" t="str">
            <v>SS26</v>
          </cell>
          <cell r="G248" t="str">
            <v>XR Textile</v>
          </cell>
          <cell r="H248" t="str">
            <v>TOWLB</v>
          </cell>
          <cell r="I248" t="str">
            <v>GRS Certified* 83% Post Consumer Recycled Polyester (RM0189) 17% Pre Consumer Recycled Polyamide (RM1084)</v>
          </cell>
          <cell r="M248" t="str">
            <v>6302.93.2000</v>
          </cell>
          <cell r="N248">
            <v>6302600090</v>
          </cell>
          <cell r="O248" t="str">
            <v>6302.93.00.00</v>
          </cell>
          <cell r="P248">
            <v>63029390</v>
          </cell>
          <cell r="Q248">
            <v>0</v>
          </cell>
          <cell r="R248" t="str">
            <v>6302.39.00</v>
          </cell>
          <cell r="S248">
            <v>63029120</v>
          </cell>
        </row>
        <row r="249">
          <cell r="A249" t="str">
            <v>TOWLB-COLLAB-XL-UNO</v>
          </cell>
          <cell r="B249" t="str">
            <v>5.061E+12</v>
          </cell>
          <cell r="C249" t="str">
            <v>ACTIVE</v>
          </cell>
          <cell r="D249" t="str">
            <v>Seasonal</v>
          </cell>
          <cell r="E249">
            <v>30</v>
          </cell>
          <cell r="F249" t="str">
            <v>AW25</v>
          </cell>
          <cell r="G249" t="str">
            <v>XR Textile</v>
          </cell>
          <cell r="H249" t="str">
            <v>TOWLB</v>
          </cell>
          <cell r="I249" t="str">
            <v>GRS Certified* 83% Post Consumer Recycled Polyester (RM0189) 17% Pre Consumer Recycled Polyamide (RM1084)</v>
          </cell>
          <cell r="M249" t="str">
            <v>6302.93.2000</v>
          </cell>
          <cell r="N249">
            <v>6302600090</v>
          </cell>
          <cell r="O249" t="str">
            <v>6302.93.00.00</v>
          </cell>
          <cell r="P249">
            <v>63029390</v>
          </cell>
          <cell r="Q249">
            <v>0</v>
          </cell>
          <cell r="R249" t="str">
            <v>6302.39.00</v>
          </cell>
          <cell r="S249">
            <v>63029120</v>
          </cell>
        </row>
        <row r="250">
          <cell r="A250" t="str">
            <v>TOWLB-DES-LG-BLUSKY</v>
          </cell>
          <cell r="B250" t="str">
            <v>5.061E+12</v>
          </cell>
          <cell r="C250" t="str">
            <v>ACTIVE</v>
          </cell>
          <cell r="D250" t="str">
            <v>Seasonal</v>
          </cell>
          <cell r="E250">
            <v>40</v>
          </cell>
          <cell r="F250" t="str">
            <v>AW25</v>
          </cell>
          <cell r="G250" t="str">
            <v>XR Textile</v>
          </cell>
          <cell r="H250" t="str">
            <v>TOWLB</v>
          </cell>
          <cell r="I250" t="str">
            <v>GRS Certified* 83% Post Consumer Recycled Polyester (RM0189) 17% Pre Consumer Recycled Polyamide (RM1084)</v>
          </cell>
          <cell r="M250" t="str">
            <v>6302.93.2000</v>
          </cell>
          <cell r="N250">
            <v>6302600090</v>
          </cell>
          <cell r="O250" t="str">
            <v>6302.93.00.00</v>
          </cell>
          <cell r="P250">
            <v>63029390</v>
          </cell>
          <cell r="Q250">
            <v>0</v>
          </cell>
          <cell r="R250" t="str">
            <v>6302.39.00</v>
          </cell>
          <cell r="S250">
            <v>63029120</v>
          </cell>
        </row>
        <row r="251">
          <cell r="A251" t="str">
            <v>TOWLB-DES-LG-GRECSHR</v>
          </cell>
          <cell r="B251" t="str">
            <v>5.061E+12</v>
          </cell>
          <cell r="C251" t="str">
            <v>ACTIVE</v>
          </cell>
          <cell r="D251" t="str">
            <v>Seasonal</v>
          </cell>
          <cell r="E251">
            <v>40</v>
          </cell>
          <cell r="F251" t="str">
            <v>SS25</v>
          </cell>
          <cell r="G251" t="str">
            <v>XR Textile</v>
          </cell>
          <cell r="H251" t="str">
            <v>TOWLB</v>
          </cell>
          <cell r="I251" t="str">
            <v>GRS Certified* 83% Post Consumer Recycled Polyester (RM0189) 17% Pre Consumer Recycled Polyamide (RM1084)</v>
          </cell>
          <cell r="M251" t="str">
            <v>6302.93.2000</v>
          </cell>
          <cell r="N251">
            <v>6302600090</v>
          </cell>
          <cell r="O251" t="str">
            <v>6302.93.00.00</v>
          </cell>
          <cell r="P251">
            <v>63029390</v>
          </cell>
          <cell r="Q251">
            <v>0</v>
          </cell>
          <cell r="R251" t="str">
            <v>6302.39.00</v>
          </cell>
          <cell r="S251">
            <v>63029120</v>
          </cell>
        </row>
        <row r="252">
          <cell r="A252" t="str">
            <v>TOWLB-DES-LG-MELLOW</v>
          </cell>
          <cell r="B252" t="str">
            <v>5.061E+12</v>
          </cell>
          <cell r="C252" t="str">
            <v>ACTIVE</v>
          </cell>
          <cell r="D252" t="str">
            <v>Seasonal</v>
          </cell>
          <cell r="E252">
            <v>40</v>
          </cell>
          <cell r="F252" t="str">
            <v>AW25</v>
          </cell>
          <cell r="G252" t="str">
            <v>XR Textile</v>
          </cell>
          <cell r="H252" t="str">
            <v>TOWLB</v>
          </cell>
          <cell r="I252" t="str">
            <v>GRS Certified* 83% Post Consumer Recycled Polyester (RM0189) 17% Pre Consumer Recycled Polyamide (RM1084)</v>
          </cell>
          <cell r="M252" t="str">
            <v>6302.93.2000</v>
          </cell>
          <cell r="N252">
            <v>6302600090</v>
          </cell>
          <cell r="O252" t="str">
            <v>6302.93.00.00</v>
          </cell>
          <cell r="P252">
            <v>63029390</v>
          </cell>
          <cell r="Q252">
            <v>0</v>
          </cell>
          <cell r="R252" t="str">
            <v>6302.39.00</v>
          </cell>
          <cell r="S252">
            <v>63029120</v>
          </cell>
        </row>
        <row r="253">
          <cell r="A253" t="str">
            <v>TOWLB-DES-LG-OCETRES</v>
          </cell>
          <cell r="B253" t="str">
            <v>5.061E+12</v>
          </cell>
          <cell r="C253" t="str">
            <v>ACTIVE</v>
          </cell>
          <cell r="D253" t="str">
            <v>Seasonal</v>
          </cell>
          <cell r="E253">
            <v>40</v>
          </cell>
          <cell r="F253" t="str">
            <v>SS26</v>
          </cell>
          <cell r="G253" t="str">
            <v>XR Textile</v>
          </cell>
          <cell r="H253" t="str">
            <v>TOWLB</v>
          </cell>
          <cell r="I253" t="str">
            <v>GRS Certified* 83% Post Consumer Recycled Polyester (RM0189) 17% Pre Consumer Recycled Polyamide (RM1084)</v>
          </cell>
          <cell r="M253" t="str">
            <v>6302.93.2000</v>
          </cell>
          <cell r="N253">
            <v>6302600090</v>
          </cell>
          <cell r="O253" t="str">
            <v>6302.93.00.00</v>
          </cell>
          <cell r="P253">
            <v>63029390</v>
          </cell>
          <cell r="Q253">
            <v>0</v>
          </cell>
          <cell r="R253" t="str">
            <v>6302.39.00</v>
          </cell>
          <cell r="S253">
            <v>63029120</v>
          </cell>
        </row>
        <row r="254">
          <cell r="A254" t="str">
            <v>TOWLB-DES-LG-PNKPARA</v>
          </cell>
          <cell r="B254" t="str">
            <v>5.061E+12</v>
          </cell>
          <cell r="C254" t="str">
            <v>ACTIVE</v>
          </cell>
          <cell r="D254" t="str">
            <v>Seasonal</v>
          </cell>
          <cell r="E254">
            <v>40</v>
          </cell>
          <cell r="F254" t="str">
            <v>SS26</v>
          </cell>
          <cell r="G254" t="str">
            <v>XR Textile</v>
          </cell>
          <cell r="H254" t="str">
            <v>TOWLB</v>
          </cell>
          <cell r="I254" t="str">
            <v>GRS Certified* 83% Post Consumer Recycled Polyester (RM0189) 17% Pre Consumer Recycled Polyamide (RM1084)</v>
          </cell>
          <cell r="M254" t="str">
            <v>6302.93.2000</v>
          </cell>
          <cell r="N254">
            <v>6302600090</v>
          </cell>
          <cell r="O254" t="str">
            <v>6302.93.00.00</v>
          </cell>
          <cell r="P254">
            <v>63029390</v>
          </cell>
          <cell r="Q254">
            <v>0</v>
          </cell>
          <cell r="R254" t="str">
            <v>6302.39.00</v>
          </cell>
          <cell r="S254">
            <v>63029120</v>
          </cell>
        </row>
        <row r="255">
          <cell r="A255" t="str">
            <v>TOWLB-DES-LG-PSTPIER</v>
          </cell>
          <cell r="B255" t="str">
            <v>5.061E+12</v>
          </cell>
          <cell r="C255" t="str">
            <v>ACTIVE</v>
          </cell>
          <cell r="D255" t="str">
            <v>Seasonal</v>
          </cell>
          <cell r="E255">
            <v>40</v>
          </cell>
          <cell r="F255" t="str">
            <v>AW25</v>
          </cell>
          <cell r="G255" t="str">
            <v>XR Textile</v>
          </cell>
          <cell r="H255" t="str">
            <v>TOWLB</v>
          </cell>
          <cell r="I255" t="str">
            <v>GRS Certified* 83% Post Consumer Recycled Polyester (RM0189) 17% Pre Consumer Recycled Polyamide (RM1084)</v>
          </cell>
          <cell r="M255" t="str">
            <v>6302.93.2000</v>
          </cell>
          <cell r="N255">
            <v>6302600090</v>
          </cell>
          <cell r="O255" t="str">
            <v>6302.93.00.00</v>
          </cell>
          <cell r="P255">
            <v>63029390</v>
          </cell>
          <cell r="Q255">
            <v>0</v>
          </cell>
          <cell r="R255" t="str">
            <v>6302.39.00</v>
          </cell>
          <cell r="S255">
            <v>63029120</v>
          </cell>
        </row>
        <row r="256">
          <cell r="A256" t="str">
            <v>TOWLB-DES-LG-RSPROAD</v>
          </cell>
          <cell r="B256" t="str">
            <v>5.061E+12</v>
          </cell>
          <cell r="C256" t="str">
            <v>ACTIVE</v>
          </cell>
          <cell r="D256" t="str">
            <v>Seasonal</v>
          </cell>
          <cell r="E256">
            <v>40</v>
          </cell>
          <cell r="F256" t="str">
            <v>AW25</v>
          </cell>
          <cell r="G256" t="str">
            <v>XR Textile</v>
          </cell>
          <cell r="H256" t="str">
            <v>TOWLB</v>
          </cell>
          <cell r="I256" t="str">
            <v>GRS Certified* 83% Post Consumer Recycled Polyester (RM0189) 17% Pre Consumer Recycled Polyamide (RM1084)</v>
          </cell>
          <cell r="M256" t="str">
            <v>6302.93.2000</v>
          </cell>
          <cell r="N256">
            <v>6302600090</v>
          </cell>
          <cell r="O256" t="str">
            <v>6302.93.00.00</v>
          </cell>
          <cell r="P256">
            <v>63029390</v>
          </cell>
          <cell r="Q256">
            <v>0</v>
          </cell>
          <cell r="R256" t="str">
            <v>6302.39.00</v>
          </cell>
          <cell r="S256">
            <v>63029120</v>
          </cell>
        </row>
        <row r="257">
          <cell r="A257" t="str">
            <v>TOWLB-DES-LG-WTRSUG</v>
          </cell>
          <cell r="B257" t="str">
            <v>5.061E+12</v>
          </cell>
          <cell r="C257" t="str">
            <v>ACTIVE</v>
          </cell>
          <cell r="D257" t="str">
            <v>Seasonal</v>
          </cell>
          <cell r="E257">
            <v>40</v>
          </cell>
          <cell r="F257" t="str">
            <v>SS26</v>
          </cell>
          <cell r="G257" t="str">
            <v>XR Textile</v>
          </cell>
          <cell r="H257" t="str">
            <v>TOWLB</v>
          </cell>
          <cell r="I257" t="str">
            <v>GRS Certified* 83% Post Consumer Recycled Polyester (RM0189) 17% Pre Consumer Recycled Polyamide (RM1084)</v>
          </cell>
          <cell r="M257" t="str">
            <v>6302.93.2000</v>
          </cell>
          <cell r="N257">
            <v>6302600090</v>
          </cell>
          <cell r="O257" t="str">
            <v>6302.93.00.00</v>
          </cell>
          <cell r="P257">
            <v>63029390</v>
          </cell>
          <cell r="Q257">
            <v>0</v>
          </cell>
          <cell r="R257" t="str">
            <v>6302.39.00</v>
          </cell>
          <cell r="S257">
            <v>63029120</v>
          </cell>
        </row>
        <row r="258">
          <cell r="A258" t="str">
            <v>TOWLB-DES-XL-BLUSKY</v>
          </cell>
          <cell r="B258" t="str">
            <v>5.061E+12</v>
          </cell>
          <cell r="C258" t="str">
            <v>ACTIVE</v>
          </cell>
          <cell r="D258" t="str">
            <v>Seasonal</v>
          </cell>
          <cell r="E258">
            <v>30</v>
          </cell>
          <cell r="F258" t="str">
            <v>AW25</v>
          </cell>
          <cell r="G258" t="str">
            <v>XR Textile</v>
          </cell>
          <cell r="H258" t="str">
            <v>TOWLB</v>
          </cell>
          <cell r="I258" t="str">
            <v>GRS Certified* 83% Post Consumer Recycled Polyester (RM0189) 17% Pre Consumer Recycled Polyamide (RM1084)</v>
          </cell>
          <cell r="M258" t="str">
            <v>6302.93.2000</v>
          </cell>
          <cell r="N258">
            <v>6302600090</v>
          </cell>
          <cell r="O258" t="str">
            <v>6302.93.00.00</v>
          </cell>
          <cell r="P258">
            <v>63029390</v>
          </cell>
          <cell r="Q258">
            <v>0</v>
          </cell>
          <cell r="R258" t="str">
            <v>6302.39.00</v>
          </cell>
          <cell r="S258">
            <v>63029120</v>
          </cell>
        </row>
        <row r="259">
          <cell r="A259" t="str">
            <v>TOWLB-DES-XL-GRECSHR</v>
          </cell>
          <cell r="B259" t="str">
            <v>5.061E+12</v>
          </cell>
          <cell r="C259" t="str">
            <v>ACTIVE</v>
          </cell>
          <cell r="D259" t="str">
            <v>Seasonal</v>
          </cell>
          <cell r="E259">
            <v>30</v>
          </cell>
          <cell r="F259" t="str">
            <v>SS25</v>
          </cell>
          <cell r="G259" t="str">
            <v>XR Textile</v>
          </cell>
          <cell r="H259" t="str">
            <v>TOWLB</v>
          </cell>
          <cell r="I259" t="str">
            <v>GRS Certified* 83% Post Consumer Recycled Polyester (RM0189) 17% Pre Consumer Recycled Polyamide (RM1084)</v>
          </cell>
          <cell r="M259" t="str">
            <v>6302.93.2000</v>
          </cell>
          <cell r="N259">
            <v>6302600090</v>
          </cell>
          <cell r="O259" t="str">
            <v>6302.93.00.00</v>
          </cell>
          <cell r="P259">
            <v>63029390</v>
          </cell>
          <cell r="Q259">
            <v>0</v>
          </cell>
          <cell r="R259" t="str">
            <v>6302.39.00</v>
          </cell>
          <cell r="S259">
            <v>63029120</v>
          </cell>
        </row>
        <row r="260">
          <cell r="A260" t="str">
            <v>TOWLB-DES-XL-MELLOW</v>
          </cell>
          <cell r="B260" t="str">
            <v>5.061E+12</v>
          </cell>
          <cell r="C260" t="str">
            <v>ACTIVE</v>
          </cell>
          <cell r="D260" t="str">
            <v>Seasonal</v>
          </cell>
          <cell r="E260">
            <v>30</v>
          </cell>
          <cell r="F260" t="str">
            <v>AW25</v>
          </cell>
          <cell r="G260" t="str">
            <v>XR Textile</v>
          </cell>
          <cell r="H260" t="str">
            <v>TOWLB</v>
          </cell>
          <cell r="I260" t="str">
            <v>GRS Certified* 83% Post Consumer Recycled Polyester (RM0189) 17% Pre Consumer Recycled Polyamide (RM1084)</v>
          </cell>
          <cell r="M260" t="str">
            <v>6302.93.2000</v>
          </cell>
          <cell r="N260">
            <v>6302600090</v>
          </cell>
          <cell r="O260" t="str">
            <v>6302.93.00.00</v>
          </cell>
          <cell r="P260">
            <v>63029390</v>
          </cell>
          <cell r="Q260">
            <v>0</v>
          </cell>
          <cell r="R260" t="str">
            <v>6302.39.00</v>
          </cell>
          <cell r="S260">
            <v>63029120</v>
          </cell>
        </row>
        <row r="261">
          <cell r="A261" t="str">
            <v>TOWLB-DES-XL-OCETRES</v>
          </cell>
          <cell r="B261" t="str">
            <v>5.061E+12</v>
          </cell>
          <cell r="C261" t="str">
            <v>ACTIVE</v>
          </cell>
          <cell r="D261" t="str">
            <v>Seasonal</v>
          </cell>
          <cell r="E261">
            <v>30</v>
          </cell>
          <cell r="F261" t="str">
            <v>SS26</v>
          </cell>
          <cell r="G261" t="str">
            <v>XR Textile</v>
          </cell>
          <cell r="H261" t="str">
            <v>TOWLB</v>
          </cell>
          <cell r="I261" t="str">
            <v>GRS Certified* 83% Post Consumer Recycled Polyester (RM0189) 17% Pre Consumer Recycled Polyamide (RM1084)</v>
          </cell>
          <cell r="M261" t="str">
            <v>6302.93.2000</v>
          </cell>
          <cell r="N261">
            <v>6302600090</v>
          </cell>
          <cell r="O261" t="str">
            <v>6302.93.00.00</v>
          </cell>
          <cell r="P261">
            <v>63029390</v>
          </cell>
          <cell r="Q261">
            <v>0</v>
          </cell>
          <cell r="R261" t="str">
            <v>6302.39.00</v>
          </cell>
          <cell r="S261">
            <v>63029120</v>
          </cell>
        </row>
        <row r="262">
          <cell r="A262" t="str">
            <v>TOWLB-DES-XL-PNKPARA</v>
          </cell>
          <cell r="B262" t="str">
            <v>5.061E+12</v>
          </cell>
          <cell r="C262" t="str">
            <v>ACTIVE</v>
          </cell>
          <cell r="D262" t="str">
            <v>Seasonal</v>
          </cell>
          <cell r="E262">
            <v>30</v>
          </cell>
          <cell r="F262" t="str">
            <v>SS26</v>
          </cell>
          <cell r="G262" t="str">
            <v>XR Textile</v>
          </cell>
          <cell r="H262" t="str">
            <v>TOWLB</v>
          </cell>
          <cell r="I262" t="str">
            <v>GRS Certified* 83% Post Consumer Recycled Polyester (RM0189) 17% Pre Consumer Recycled Polyamide (RM1084)</v>
          </cell>
          <cell r="M262" t="str">
            <v>6302.93.2000</v>
          </cell>
          <cell r="N262">
            <v>6302600090</v>
          </cell>
          <cell r="O262" t="str">
            <v>6302.93.00.00</v>
          </cell>
          <cell r="P262">
            <v>63029390</v>
          </cell>
          <cell r="Q262">
            <v>0</v>
          </cell>
          <cell r="R262" t="str">
            <v>6302.39.00</v>
          </cell>
          <cell r="S262">
            <v>63029120</v>
          </cell>
        </row>
        <row r="263">
          <cell r="A263" t="str">
            <v>TOWLB-DES-XL-PSTPIER</v>
          </cell>
          <cell r="B263" t="str">
            <v>5.061E+12</v>
          </cell>
          <cell r="C263" t="str">
            <v>ACTIVE</v>
          </cell>
          <cell r="D263" t="str">
            <v>Seasonal</v>
          </cell>
          <cell r="E263">
            <v>30</v>
          </cell>
          <cell r="F263" t="str">
            <v>AW25</v>
          </cell>
          <cell r="G263" t="str">
            <v>XR Textile</v>
          </cell>
          <cell r="H263" t="str">
            <v>TOWLB</v>
          </cell>
          <cell r="I263" t="str">
            <v>GRS Certified* 83% Post Consumer Recycled Polyester (RM0189) 17% Pre Consumer Recycled Polyamide (RM1084)</v>
          </cell>
          <cell r="M263" t="str">
            <v>6302.93.2000</v>
          </cell>
          <cell r="N263">
            <v>6302600090</v>
          </cell>
          <cell r="O263" t="str">
            <v>6302.93.00.00</v>
          </cell>
          <cell r="P263">
            <v>63029390</v>
          </cell>
          <cell r="Q263">
            <v>0</v>
          </cell>
          <cell r="R263" t="str">
            <v>6302.39.00</v>
          </cell>
          <cell r="S263">
            <v>63029120</v>
          </cell>
        </row>
        <row r="264">
          <cell r="A264" t="str">
            <v>TOWLB-DES-XL-RSPROAD</v>
          </cell>
          <cell r="B264" t="str">
            <v>5.061E+12</v>
          </cell>
          <cell r="C264" t="str">
            <v>ACTIVE</v>
          </cell>
          <cell r="D264" t="str">
            <v>Seasonal</v>
          </cell>
          <cell r="E264">
            <v>30</v>
          </cell>
          <cell r="F264" t="str">
            <v>AW25</v>
          </cell>
          <cell r="G264" t="str">
            <v>XR Textile</v>
          </cell>
          <cell r="H264" t="str">
            <v>TOWLB</v>
          </cell>
          <cell r="I264" t="str">
            <v>GRS Certified* 83% Post Consumer Recycled Polyester (RM0189) 17% Pre Consumer Recycled Polyamide (RM1084)</v>
          </cell>
          <cell r="M264" t="str">
            <v>6302.93.2000</v>
          </cell>
          <cell r="N264">
            <v>6302600090</v>
          </cell>
          <cell r="O264" t="str">
            <v>6302.93.00.00</v>
          </cell>
          <cell r="P264">
            <v>63029390</v>
          </cell>
          <cell r="Q264">
            <v>0</v>
          </cell>
          <cell r="R264" t="str">
            <v>6302.39.00</v>
          </cell>
          <cell r="S264">
            <v>63029120</v>
          </cell>
        </row>
        <row r="265">
          <cell r="A265" t="str">
            <v>TOWLB-DES-XL-WTRSUG</v>
          </cell>
          <cell r="B265" t="str">
            <v>5.061E+12</v>
          </cell>
          <cell r="C265" t="str">
            <v>ACTIVE</v>
          </cell>
          <cell r="D265" t="str">
            <v>Seasonal</v>
          </cell>
          <cell r="E265">
            <v>30</v>
          </cell>
          <cell r="F265" t="str">
            <v>SS26</v>
          </cell>
          <cell r="G265" t="str">
            <v>XR Textile</v>
          </cell>
          <cell r="H265" t="str">
            <v>TOWLB</v>
          </cell>
          <cell r="I265" t="str">
            <v>GRS Certified* 83% Post Consumer Recycled Polyester (RM0189) 17% Pre Consumer Recycled Polyamide (RM1084)</v>
          </cell>
          <cell r="M265" t="str">
            <v>6302.93.2000</v>
          </cell>
          <cell r="N265">
            <v>6302600090</v>
          </cell>
          <cell r="O265" t="str">
            <v>6302.93.00.00</v>
          </cell>
          <cell r="P265">
            <v>63029390</v>
          </cell>
          <cell r="Q265">
            <v>0</v>
          </cell>
          <cell r="R265" t="str">
            <v>6302.39.00</v>
          </cell>
          <cell r="S265">
            <v>63029120</v>
          </cell>
        </row>
        <row r="266">
          <cell r="A266" t="str">
            <v>TOWLB-KID-LG-CHECKOUT</v>
          </cell>
          <cell r="B266" t="str">
            <v>5.061E+12</v>
          </cell>
          <cell r="C266" t="str">
            <v>ACTIVE</v>
          </cell>
          <cell r="D266" t="str">
            <v>Seasonal</v>
          </cell>
          <cell r="E266">
            <v>40</v>
          </cell>
          <cell r="F266" t="str">
            <v>SS26</v>
          </cell>
          <cell r="G266" t="str">
            <v>XR Textile</v>
          </cell>
          <cell r="H266" t="str">
            <v>TOWLB-KIDS</v>
          </cell>
          <cell r="I266" t="str">
            <v>GRS Certified* 83% Post Consumer Recycled Polyester (RM0189) 17% Pre Consumer Recycled Polyamide (RM1084)</v>
          </cell>
          <cell r="M266" t="str">
            <v>6302.93.2000</v>
          </cell>
          <cell r="N266">
            <v>6302600090</v>
          </cell>
          <cell r="O266" t="str">
            <v>6302.93.00.00</v>
          </cell>
          <cell r="P266">
            <v>6302939000</v>
          </cell>
          <cell r="Q266">
            <v>0</v>
          </cell>
          <cell r="R266" t="str">
            <v>6302.39.00</v>
          </cell>
          <cell r="S266">
            <v>63029120</v>
          </cell>
        </row>
        <row r="267">
          <cell r="A267" t="str">
            <v>TOWLB-KID-LG-INTOWILD</v>
          </cell>
          <cell r="B267" t="str">
            <v>5.061E+12</v>
          </cell>
          <cell r="C267" t="str">
            <v>ACTIVE</v>
          </cell>
          <cell r="D267" t="str">
            <v>Seasonal</v>
          </cell>
          <cell r="E267">
            <v>40</v>
          </cell>
          <cell r="F267" t="str">
            <v>SS26</v>
          </cell>
          <cell r="G267" t="str">
            <v>XR Textile</v>
          </cell>
          <cell r="H267" t="str">
            <v>TOWLB-KIDS</v>
          </cell>
          <cell r="I267" t="str">
            <v>GRS Certified* 83% Post Consumer Recycled Polyester (RM0189) 17% Pre Consumer Recycled Polyamide (RM1084)</v>
          </cell>
          <cell r="M267" t="str">
            <v>6302.93.2000</v>
          </cell>
          <cell r="N267">
            <v>6302600090</v>
          </cell>
          <cell r="O267" t="str">
            <v>6302.93.00.00</v>
          </cell>
          <cell r="P267">
            <v>6302939000</v>
          </cell>
          <cell r="Q267">
            <v>0</v>
          </cell>
          <cell r="R267" t="str">
            <v>6302.39.00</v>
          </cell>
          <cell r="S267">
            <v>63029120</v>
          </cell>
        </row>
        <row r="268">
          <cell r="A268" t="str">
            <v>TOWLB-KID-MD-CHECKOUT</v>
          </cell>
          <cell r="B268" t="str">
            <v>5.061E+12</v>
          </cell>
          <cell r="C268" t="str">
            <v>ACTIVE</v>
          </cell>
          <cell r="D268" t="str">
            <v>Seasonal</v>
          </cell>
          <cell r="E268">
            <v>50</v>
          </cell>
          <cell r="F268" t="str">
            <v>SS26</v>
          </cell>
          <cell r="G268" t="str">
            <v>XR Textile</v>
          </cell>
          <cell r="H268" t="str">
            <v>TOWLB-KIDS</v>
          </cell>
          <cell r="I268" t="str">
            <v>GRS Certified* 83% Post Consumer Recycled Polyester (RM0189) 17% Pre Consumer Recycled Polyamide (RM1084)</v>
          </cell>
          <cell r="M268" t="str">
            <v>6302.93.2000</v>
          </cell>
          <cell r="N268">
            <v>6302600090</v>
          </cell>
          <cell r="O268" t="str">
            <v>6302.93.00.00</v>
          </cell>
          <cell r="P268">
            <v>6302939000</v>
          </cell>
          <cell r="Q268">
            <v>0</v>
          </cell>
          <cell r="R268" t="str">
            <v>6302.39.00</v>
          </cell>
          <cell r="S268">
            <v>63029120</v>
          </cell>
        </row>
        <row r="269">
          <cell r="A269" t="str">
            <v>TOWLB-KID-MD-INTOWILD</v>
          </cell>
          <cell r="B269" t="str">
            <v>5.061E+12</v>
          </cell>
          <cell r="C269" t="str">
            <v>ACTIVE</v>
          </cell>
          <cell r="D269" t="str">
            <v>Seasonal</v>
          </cell>
          <cell r="E269">
            <v>50</v>
          </cell>
          <cell r="F269" t="str">
            <v>SS26</v>
          </cell>
          <cell r="G269" t="str">
            <v>XR Textile</v>
          </cell>
          <cell r="H269" t="str">
            <v>TOWLB-KIDS</v>
          </cell>
          <cell r="I269" t="str">
            <v>GRS Certified* 83% Post Consumer Recycled Polyester (RM0189) 17% Pre Consumer Recycled Polyamide (RM1084)</v>
          </cell>
          <cell r="M269" t="str">
            <v>6302.93.2000</v>
          </cell>
          <cell r="N269">
            <v>6302600090</v>
          </cell>
          <cell r="O269" t="str">
            <v>6302.93.00.00</v>
          </cell>
          <cell r="P269">
            <v>6302939000</v>
          </cell>
          <cell r="Q269">
            <v>0</v>
          </cell>
          <cell r="R269" t="str">
            <v>6302.39.00</v>
          </cell>
          <cell r="S269">
            <v>63029120</v>
          </cell>
        </row>
        <row r="270">
          <cell r="A270" t="str">
            <v>TOWLB-SUM-LG-COLAGN</v>
          </cell>
          <cell r="B270" t="str">
            <v>5.061E+12</v>
          </cell>
          <cell r="C270" t="str">
            <v>ACTIVE</v>
          </cell>
          <cell r="D270" t="str">
            <v>Seasonal</v>
          </cell>
          <cell r="E270">
            <v>40</v>
          </cell>
          <cell r="F270" t="str">
            <v>SS25</v>
          </cell>
          <cell r="G270" t="str">
            <v>XR Textile</v>
          </cell>
          <cell r="H270" t="str">
            <v>TOWLB</v>
          </cell>
          <cell r="I270" t="str">
            <v>GRS Certified* 83% Post Consumer Recycled Polyester (RM0189) 17% Pre Consumer Recycled Polyamide (RM1084)</v>
          </cell>
          <cell r="M270" t="str">
            <v>6302.93.2000</v>
          </cell>
          <cell r="N270">
            <v>6302600090</v>
          </cell>
          <cell r="O270" t="str">
            <v>6302.93.00.00</v>
          </cell>
          <cell r="P270">
            <v>63029390</v>
          </cell>
          <cell r="Q270">
            <v>0</v>
          </cell>
          <cell r="R270" t="str">
            <v>6302.39.00</v>
          </cell>
          <cell r="S270">
            <v>63029120</v>
          </cell>
        </row>
        <row r="271">
          <cell r="A271" t="str">
            <v>TOWLB-SUM-LG-CSTCANDY</v>
          </cell>
          <cell r="B271" t="str">
            <v>5.061E+12</v>
          </cell>
          <cell r="C271" t="str">
            <v>ACTIVE</v>
          </cell>
          <cell r="D271" t="str">
            <v>Seasonal</v>
          </cell>
          <cell r="E271">
            <v>40</v>
          </cell>
          <cell r="F271" t="str">
            <v>SS25</v>
          </cell>
          <cell r="G271" t="str">
            <v>XR Textile</v>
          </cell>
          <cell r="H271" t="str">
            <v>TOWLB</v>
          </cell>
          <cell r="I271" t="str">
            <v>GRS Certified* 83% Post Consumer Recycled Polyester (RM0189) 17% Pre Consumer Recycled Polyamide (RM1084)</v>
          </cell>
          <cell r="M271" t="str">
            <v>6302.93.2000</v>
          </cell>
          <cell r="N271">
            <v>6302600090</v>
          </cell>
          <cell r="O271" t="str">
            <v>6302.93.00.00</v>
          </cell>
          <cell r="P271">
            <v>63029390</v>
          </cell>
          <cell r="Q271">
            <v>0</v>
          </cell>
          <cell r="R271" t="str">
            <v>6302.39.00</v>
          </cell>
          <cell r="S271">
            <v>63029120</v>
          </cell>
        </row>
        <row r="272">
          <cell r="A272" t="str">
            <v>TOWLB-SUM-LG-MIAMI</v>
          </cell>
          <cell r="B272" t="str">
            <v>5.061E+12</v>
          </cell>
          <cell r="C272" t="str">
            <v>ACTIVE</v>
          </cell>
          <cell r="D272" t="str">
            <v>Seasonal</v>
          </cell>
          <cell r="E272">
            <v>40</v>
          </cell>
          <cell r="F272" t="str">
            <v>SS25</v>
          </cell>
          <cell r="G272" t="str">
            <v>XR Textile</v>
          </cell>
          <cell r="H272" t="str">
            <v>TOWLB</v>
          </cell>
          <cell r="I272" t="str">
            <v>GRS Certified* 83% Post Consumer Recycled Polyester (RM0189) 17% Pre Consumer Recycled Polyamide (RM1084)</v>
          </cell>
          <cell r="M272" t="str">
            <v>6302.93.2000</v>
          </cell>
          <cell r="N272">
            <v>6302600090</v>
          </cell>
          <cell r="O272" t="str">
            <v>6302.93.00.00</v>
          </cell>
          <cell r="P272">
            <v>63029390</v>
          </cell>
          <cell r="Q272">
            <v>0</v>
          </cell>
          <cell r="R272" t="str">
            <v>6302.39.00</v>
          </cell>
          <cell r="S272">
            <v>63029120</v>
          </cell>
        </row>
        <row r="273">
          <cell r="A273" t="str">
            <v>TOWLB-SUM-LG-RAINB-R</v>
          </cell>
          <cell r="B273" t="str">
            <v>5.0607E+12</v>
          </cell>
          <cell r="C273" t="str">
            <v>ACTIVE</v>
          </cell>
          <cell r="D273" t="str">
            <v>Core</v>
          </cell>
          <cell r="E273">
            <v>40</v>
          </cell>
          <cell r="F273" t="str">
            <v>before AW20</v>
          </cell>
          <cell r="G273" t="str">
            <v>XR Textile</v>
          </cell>
          <cell r="H273" t="str">
            <v>TOWLB</v>
          </cell>
          <cell r="I273" t="str">
            <v>GRS Certified* 83% Post Consumer Recycled Polyester (RM0189) 17% Pre Consumer Recycled Polyamide (RM1084)</v>
          </cell>
          <cell r="M273" t="str">
            <v>6302.93.2000</v>
          </cell>
          <cell r="N273">
            <v>6302600090</v>
          </cell>
          <cell r="O273" t="str">
            <v>6302.93.00.00</v>
          </cell>
          <cell r="P273">
            <v>63029390</v>
          </cell>
          <cell r="Q273">
            <v>0</v>
          </cell>
          <cell r="R273" t="str">
            <v>6302.39.00</v>
          </cell>
          <cell r="S273">
            <v>63029120</v>
          </cell>
        </row>
        <row r="274">
          <cell r="A274" t="str">
            <v>TOWLB-SUM-LG-UNICN-R</v>
          </cell>
          <cell r="B274" t="str">
            <v>5.0607E+12</v>
          </cell>
          <cell r="C274" t="str">
            <v>ACTIVE</v>
          </cell>
          <cell r="D274" t="str">
            <v>Core</v>
          </cell>
          <cell r="E274">
            <v>40</v>
          </cell>
          <cell r="F274" t="str">
            <v>before AW20</v>
          </cell>
          <cell r="G274" t="str">
            <v>XR Textile</v>
          </cell>
          <cell r="H274" t="str">
            <v>TOWLB</v>
          </cell>
          <cell r="I274" t="str">
            <v>GRS Certified* 83% Post Consumer Recycled Polyester (RM0189) 17% Pre Consumer Recycled Polyamide (RM1084)</v>
          </cell>
          <cell r="M274" t="str">
            <v>6302.93.2000</v>
          </cell>
          <cell r="N274">
            <v>6302600090</v>
          </cell>
          <cell r="O274" t="str">
            <v>6302.93.00.00</v>
          </cell>
          <cell r="P274">
            <v>63029390</v>
          </cell>
          <cell r="Q274">
            <v>0</v>
          </cell>
          <cell r="R274" t="str">
            <v>6302.39.00</v>
          </cell>
          <cell r="S274">
            <v>63029120</v>
          </cell>
        </row>
        <row r="275">
          <cell r="A275" t="str">
            <v>TOWLB-SUM-MD-UNICN</v>
          </cell>
          <cell r="B275" t="str">
            <v>5.0607E+12</v>
          </cell>
          <cell r="C275" t="str">
            <v>ACTIVE</v>
          </cell>
          <cell r="D275" t="str">
            <v>Core</v>
          </cell>
          <cell r="E275">
            <v>50</v>
          </cell>
          <cell r="F275" t="str">
            <v>SS22</v>
          </cell>
          <cell r="G275" t="str">
            <v>XR Textile</v>
          </cell>
          <cell r="H275" t="str">
            <v>TOWLB</v>
          </cell>
          <cell r="I275" t="str">
            <v>GRS Certified* 83% Post Consumer Recycled Polyester (RM0189) 17% Pre Consumer Recycled Polyamide (RM1084)</v>
          </cell>
          <cell r="M275" t="str">
            <v>6302.93.2000</v>
          </cell>
          <cell r="N275">
            <v>6302600090</v>
          </cell>
          <cell r="O275" t="str">
            <v>6302.93.00.00</v>
          </cell>
          <cell r="P275">
            <v>63029390</v>
          </cell>
          <cell r="Q275">
            <v>0</v>
          </cell>
          <cell r="R275" t="str">
            <v>6302.39.00</v>
          </cell>
          <cell r="S275">
            <v>63029120</v>
          </cell>
        </row>
        <row r="276">
          <cell r="A276" t="str">
            <v>TOWLB-SUM-XL-COLAGN</v>
          </cell>
          <cell r="B276" t="str">
            <v>5.061E+12</v>
          </cell>
          <cell r="C276" t="str">
            <v>ACTIVE</v>
          </cell>
          <cell r="D276" t="str">
            <v>Seasonal</v>
          </cell>
          <cell r="E276">
            <v>30</v>
          </cell>
          <cell r="F276" t="str">
            <v>SS25</v>
          </cell>
          <cell r="G276" t="str">
            <v>XR Textile</v>
          </cell>
          <cell r="H276" t="str">
            <v>TOWLB</v>
          </cell>
          <cell r="I276" t="str">
            <v>GRS Certified* 83% Post Consumer Recycled Polyester (RM0189) 17% Pre Consumer Recycled Polyamide (RM1084)</v>
          </cell>
          <cell r="M276" t="str">
            <v>6302.93.2000</v>
          </cell>
          <cell r="N276">
            <v>6302600090</v>
          </cell>
          <cell r="O276" t="str">
            <v>6302.93.00.00</v>
          </cell>
          <cell r="P276">
            <v>63029390</v>
          </cell>
          <cell r="Q276">
            <v>0</v>
          </cell>
          <cell r="R276" t="str">
            <v>6302.39.00</v>
          </cell>
          <cell r="S276">
            <v>63029120</v>
          </cell>
        </row>
        <row r="277">
          <cell r="A277" t="str">
            <v>TOWLB-SUM-XL-CSTCANDY</v>
          </cell>
          <cell r="B277" t="str">
            <v>5.061E+12</v>
          </cell>
          <cell r="C277" t="str">
            <v>ACTIVE</v>
          </cell>
          <cell r="D277" t="str">
            <v>Seasonal</v>
          </cell>
          <cell r="E277">
            <v>30</v>
          </cell>
          <cell r="F277" t="str">
            <v>SS25</v>
          </cell>
          <cell r="G277" t="str">
            <v>XR Textile</v>
          </cell>
          <cell r="H277" t="str">
            <v>TOWLB</v>
          </cell>
          <cell r="I277" t="str">
            <v>GRS Certified* 83% Post Consumer Recycled Polyester (RM0189) 17% Pre Consumer Recycled Polyamide (RM1084)</v>
          </cell>
          <cell r="M277" t="str">
            <v>6302.93.2000</v>
          </cell>
          <cell r="N277">
            <v>6302600090</v>
          </cell>
          <cell r="O277" t="str">
            <v>6302.93.00.00</v>
          </cell>
          <cell r="P277">
            <v>63029390</v>
          </cell>
          <cell r="Q277">
            <v>0</v>
          </cell>
          <cell r="R277" t="str">
            <v>6302.39.00</v>
          </cell>
          <cell r="S277">
            <v>63029120</v>
          </cell>
        </row>
        <row r="278">
          <cell r="A278" t="str">
            <v>TOWLB-SUM-XL-MIAMI</v>
          </cell>
          <cell r="B278" t="str">
            <v>5.061E+12</v>
          </cell>
          <cell r="C278" t="str">
            <v>ACTIVE</v>
          </cell>
          <cell r="D278" t="str">
            <v>Seasonal</v>
          </cell>
          <cell r="E278">
            <v>30</v>
          </cell>
          <cell r="F278" t="str">
            <v>SS25</v>
          </cell>
          <cell r="G278" t="str">
            <v>XR Textile</v>
          </cell>
          <cell r="H278" t="str">
            <v>TOWLB</v>
          </cell>
          <cell r="I278" t="str">
            <v>GRS Certified* 83% Post Consumer Recycled Polyester (RM0189) 17% Pre Consumer Recycled Polyamide (RM1084)</v>
          </cell>
          <cell r="M278" t="str">
            <v>6302.93.2000</v>
          </cell>
          <cell r="N278">
            <v>6302600090</v>
          </cell>
          <cell r="O278" t="str">
            <v>6302.93.00.00</v>
          </cell>
          <cell r="P278">
            <v>63029390</v>
          </cell>
          <cell r="Q278">
            <v>0</v>
          </cell>
          <cell r="R278" t="str">
            <v>6302.39.00</v>
          </cell>
          <cell r="S278">
            <v>63029120</v>
          </cell>
        </row>
        <row r="279">
          <cell r="A279" t="str">
            <v>TOWLB-SUM-XL-RAINB-R</v>
          </cell>
          <cell r="B279" t="str">
            <v>5.0607E+12</v>
          </cell>
          <cell r="C279" t="str">
            <v>ACTIVE</v>
          </cell>
          <cell r="D279" t="str">
            <v>Core</v>
          </cell>
          <cell r="E279">
            <v>30</v>
          </cell>
          <cell r="F279" t="str">
            <v>before AW20</v>
          </cell>
          <cell r="G279" t="str">
            <v>XR Textile</v>
          </cell>
          <cell r="H279" t="str">
            <v>TOWLB</v>
          </cell>
          <cell r="I279" t="str">
            <v>GRS Certified* 83% Post Consumer Recycled Polyester (RM0189) 17% Pre Consumer Recycled Polyamide (RM1084)</v>
          </cell>
          <cell r="M279" t="str">
            <v>6302.93.2000</v>
          </cell>
          <cell r="N279">
            <v>6302600090</v>
          </cell>
          <cell r="O279" t="str">
            <v>6302.93.00.00</v>
          </cell>
          <cell r="P279">
            <v>63029390</v>
          </cell>
          <cell r="Q279">
            <v>0</v>
          </cell>
          <cell r="R279" t="str">
            <v>6302.39.00</v>
          </cell>
          <cell r="S279">
            <v>63029120</v>
          </cell>
        </row>
        <row r="280">
          <cell r="A280" t="str">
            <v>TOWLB-SUM-XL-UNICN-R</v>
          </cell>
          <cell r="B280" t="str">
            <v>5.0607E+12</v>
          </cell>
          <cell r="C280" t="str">
            <v>ACTIVE</v>
          </cell>
          <cell r="D280" t="str">
            <v>Core</v>
          </cell>
          <cell r="E280">
            <v>30</v>
          </cell>
          <cell r="F280" t="str">
            <v>before AW20</v>
          </cell>
          <cell r="G280" t="str">
            <v>XR Textile</v>
          </cell>
          <cell r="H280" t="str">
            <v>TOWLB</v>
          </cell>
          <cell r="I280" t="str">
            <v>GRS Certified* 83% Post Consumer Recycled Polyester (RM0189) 17% Pre Consumer Recycled Polyamide (RM1084)</v>
          </cell>
          <cell r="M280" t="str">
            <v>6302.93.2000</v>
          </cell>
          <cell r="N280">
            <v>6302600090</v>
          </cell>
          <cell r="O280" t="str">
            <v>6302.93.00.00</v>
          </cell>
          <cell r="P280">
            <v>63029390</v>
          </cell>
          <cell r="Q280">
            <v>0</v>
          </cell>
          <cell r="R280" t="str">
            <v>6302.39.00</v>
          </cell>
          <cell r="S280">
            <v>63029120</v>
          </cell>
        </row>
        <row r="281">
          <cell r="A281" t="str">
            <v>TOWLF-ESS-LG-BLUE-R</v>
          </cell>
          <cell r="B281" t="str">
            <v>5.0607E+12</v>
          </cell>
          <cell r="C281" t="str">
            <v>ACTIVE</v>
          </cell>
          <cell r="D281" t="str">
            <v>Core</v>
          </cell>
          <cell r="E281">
            <v>40</v>
          </cell>
          <cell r="F281" t="str">
            <v>before AW20</v>
          </cell>
          <cell r="G281" t="str">
            <v>XR Textile</v>
          </cell>
          <cell r="H281" t="str">
            <v>TOWLF</v>
          </cell>
          <cell r="I281" t="str">
            <v>GRS Certified* 83% Post Consumer Recycled Polyester (RM0189) 17% Pre Consumer Recycled Polyamide (RM1084)</v>
          </cell>
          <cell r="M281" t="str">
            <v>6302.93.2000</v>
          </cell>
          <cell r="N281">
            <v>6302600090</v>
          </cell>
          <cell r="O281" t="str">
            <v>6302.93.00.00</v>
          </cell>
          <cell r="P281">
            <v>6302939000</v>
          </cell>
          <cell r="Q281">
            <v>0</v>
          </cell>
          <cell r="R281" t="str">
            <v>6302.39.00</v>
          </cell>
          <cell r="S281">
            <v>63029120</v>
          </cell>
        </row>
        <row r="282">
          <cell r="A282" t="str">
            <v>TOWLF-ESS-LG-DKBLU</v>
          </cell>
          <cell r="B282" t="str">
            <v>5.0607E+12</v>
          </cell>
          <cell r="C282" t="str">
            <v>ACTIVE</v>
          </cell>
          <cell r="D282" t="str">
            <v>Core</v>
          </cell>
          <cell r="E282">
            <v>40</v>
          </cell>
          <cell r="F282" t="str">
            <v>SS23</v>
          </cell>
          <cell r="G282" t="str">
            <v>XR Textile</v>
          </cell>
          <cell r="H282" t="str">
            <v>TOWLF</v>
          </cell>
          <cell r="I282" t="str">
            <v>GRS Certified* 83% Post Consumer Recycled Polyester (RM0189) 17% Pre Consumer Recycled Polyamide (RM1084)</v>
          </cell>
          <cell r="M282" t="str">
            <v>6302.93.2000</v>
          </cell>
          <cell r="N282">
            <v>6302600090</v>
          </cell>
          <cell r="O282" t="str">
            <v>6302.93.00.00</v>
          </cell>
          <cell r="P282">
            <v>6302939000</v>
          </cell>
          <cell r="Q282">
            <v>0</v>
          </cell>
          <cell r="R282" t="str">
            <v>6302.39.00</v>
          </cell>
          <cell r="S282">
            <v>63029120</v>
          </cell>
        </row>
        <row r="283">
          <cell r="A283" t="str">
            <v>TOWLF-ESS-LG-GREEN-R</v>
          </cell>
          <cell r="B283" t="str">
            <v>5.0607E+12</v>
          </cell>
          <cell r="C283" t="str">
            <v>ACTIVE</v>
          </cell>
          <cell r="D283" t="str">
            <v>Core</v>
          </cell>
          <cell r="E283">
            <v>40</v>
          </cell>
          <cell r="F283" t="str">
            <v>before AW20</v>
          </cell>
          <cell r="G283" t="str">
            <v>XR Textile</v>
          </cell>
          <cell r="H283" t="str">
            <v>TOWLF</v>
          </cell>
          <cell r="I283" t="str">
            <v>GRS Certified* 83% Post Consumer Recycled Polyester (RM0189) 17% Pre Consumer Recycled Polyamide (RM1084)</v>
          </cell>
          <cell r="M283" t="str">
            <v>6302.93.2000</v>
          </cell>
          <cell r="N283">
            <v>6302600090</v>
          </cell>
          <cell r="O283" t="str">
            <v>6302.93.00.00</v>
          </cell>
          <cell r="P283">
            <v>6302939000</v>
          </cell>
          <cell r="Q283">
            <v>0</v>
          </cell>
          <cell r="R283" t="str">
            <v>6302.39.00</v>
          </cell>
          <cell r="S283">
            <v>63029120</v>
          </cell>
        </row>
        <row r="284">
          <cell r="A284" t="str">
            <v>TOWLF-ESS-LG-GREY-R</v>
          </cell>
          <cell r="B284" t="str">
            <v>5.0607E+12</v>
          </cell>
          <cell r="C284" t="str">
            <v>ACTIVE</v>
          </cell>
          <cell r="D284" t="str">
            <v>Core</v>
          </cell>
          <cell r="E284">
            <v>40</v>
          </cell>
          <cell r="F284" t="str">
            <v>before AW20</v>
          </cell>
          <cell r="G284" t="str">
            <v>XR Textile</v>
          </cell>
          <cell r="H284" t="str">
            <v>TOWLF</v>
          </cell>
          <cell r="I284" t="str">
            <v>GRS Certified* 83% Post Consumer Recycled Polyester (RM0189) 17% Pre Consumer Recycled Polyamide (RM1084)</v>
          </cell>
          <cell r="M284" t="str">
            <v>6302.93.2000</v>
          </cell>
          <cell r="N284">
            <v>6302600090</v>
          </cell>
          <cell r="O284" t="str">
            <v>6302.93.00.00</v>
          </cell>
          <cell r="P284">
            <v>6302939000</v>
          </cell>
          <cell r="Q284">
            <v>0</v>
          </cell>
          <cell r="R284" t="str">
            <v>6302.39.00</v>
          </cell>
          <cell r="S284">
            <v>63029120</v>
          </cell>
        </row>
        <row r="285">
          <cell r="A285" t="str">
            <v>TOWLF-ESS-LG-LTPPL</v>
          </cell>
          <cell r="B285" t="str">
            <v>5.0607E+12</v>
          </cell>
          <cell r="C285" t="str">
            <v>ACTIVE</v>
          </cell>
          <cell r="D285" t="str">
            <v>Core</v>
          </cell>
          <cell r="E285">
            <v>40</v>
          </cell>
          <cell r="F285" t="str">
            <v>SS22</v>
          </cell>
          <cell r="G285" t="str">
            <v>XR Textile</v>
          </cell>
          <cell r="H285" t="str">
            <v>TOWLF</v>
          </cell>
          <cell r="I285" t="str">
            <v>GRS Certified* 83% Post Consumer Recycled Polyester (RM0189) 17% Pre Consumer Recycled Polyamide (RM1084)</v>
          </cell>
          <cell r="M285" t="str">
            <v>6302.93.2000</v>
          </cell>
          <cell r="N285">
            <v>6302600090</v>
          </cell>
          <cell r="O285" t="str">
            <v>6302.93.00.00</v>
          </cell>
          <cell r="P285">
            <v>6302939000</v>
          </cell>
          <cell r="Q285">
            <v>0</v>
          </cell>
          <cell r="R285" t="str">
            <v>6302.39.00</v>
          </cell>
          <cell r="S285">
            <v>63029120</v>
          </cell>
        </row>
        <row r="286">
          <cell r="A286" t="str">
            <v>TOWLF-ESS-LG-PINK-R</v>
          </cell>
          <cell r="B286" t="str">
            <v>5.0607E+12</v>
          </cell>
          <cell r="C286" t="str">
            <v>ACTIVE</v>
          </cell>
          <cell r="D286" t="str">
            <v>Core</v>
          </cell>
          <cell r="E286">
            <v>40</v>
          </cell>
          <cell r="F286" t="str">
            <v>before AW20</v>
          </cell>
          <cell r="G286" t="str">
            <v>XR Textile</v>
          </cell>
          <cell r="H286" t="str">
            <v>TOWLF</v>
          </cell>
          <cell r="I286" t="str">
            <v>GRS Certified* 83% Post Consumer Recycled Polyester (RM0189) 17% Pre Consumer Recycled Polyamide (RM1084)</v>
          </cell>
          <cell r="M286" t="str">
            <v>6302.93.2000</v>
          </cell>
          <cell r="N286">
            <v>6302600090</v>
          </cell>
          <cell r="O286" t="str">
            <v>6302.93.00.00</v>
          </cell>
          <cell r="P286">
            <v>6302939000</v>
          </cell>
          <cell r="Q286">
            <v>0</v>
          </cell>
          <cell r="R286" t="str">
            <v>6302.39.00</v>
          </cell>
          <cell r="S286">
            <v>63029120</v>
          </cell>
        </row>
        <row r="287">
          <cell r="A287" t="str">
            <v>TOWLF-ESS-XL-BLUE-R</v>
          </cell>
          <cell r="B287" t="str">
            <v>5.0607E+12</v>
          </cell>
          <cell r="C287" t="str">
            <v>ACTIVE</v>
          </cell>
          <cell r="D287" t="str">
            <v>Core</v>
          </cell>
          <cell r="E287">
            <v>30</v>
          </cell>
          <cell r="F287" t="str">
            <v>before AW20</v>
          </cell>
          <cell r="G287" t="str">
            <v>XR Textile</v>
          </cell>
          <cell r="H287" t="str">
            <v>TOWLF</v>
          </cell>
          <cell r="I287" t="str">
            <v>GRS Certified* 83% Post Consumer Recycled Polyester (RM0189) 17% Pre Consumer Recycled Polyamide (RM1084)</v>
          </cell>
          <cell r="M287" t="str">
            <v>6302.93.2000</v>
          </cell>
          <cell r="N287">
            <v>6302600090</v>
          </cell>
          <cell r="O287" t="str">
            <v>6302.93.00.00</v>
          </cell>
          <cell r="P287">
            <v>6302939000</v>
          </cell>
          <cell r="Q287">
            <v>0</v>
          </cell>
          <cell r="R287" t="str">
            <v>6302.39.00</v>
          </cell>
          <cell r="S287">
            <v>63029120</v>
          </cell>
        </row>
        <row r="288">
          <cell r="A288" t="str">
            <v>TOWLF-ESS-XL-DKBLU</v>
          </cell>
          <cell r="B288" t="str">
            <v>5.0607E+12</v>
          </cell>
          <cell r="C288" t="str">
            <v>ACTIVE</v>
          </cell>
          <cell r="D288" t="str">
            <v>Core</v>
          </cell>
          <cell r="E288">
            <v>30</v>
          </cell>
          <cell r="F288" t="str">
            <v>SS23</v>
          </cell>
          <cell r="G288" t="str">
            <v>XR Textile</v>
          </cell>
          <cell r="H288" t="str">
            <v>TOWLF</v>
          </cell>
          <cell r="I288" t="str">
            <v>GRS Certified* 83% Post Consumer Recycled Polyester (RM0189) 17% Pre Consumer Recycled Polyamide (RM1084)</v>
          </cell>
          <cell r="M288" t="str">
            <v>6302.93.2000</v>
          </cell>
          <cell r="N288">
            <v>6302600090</v>
          </cell>
          <cell r="O288" t="str">
            <v>6302.93.00.00</v>
          </cell>
          <cell r="P288">
            <v>6302939000</v>
          </cell>
          <cell r="Q288">
            <v>0</v>
          </cell>
          <cell r="R288" t="str">
            <v>6302.39.00</v>
          </cell>
          <cell r="S288">
            <v>63029120</v>
          </cell>
        </row>
        <row r="289">
          <cell r="A289" t="str">
            <v>TOWLF-ESS-XL-GREEN-R</v>
          </cell>
          <cell r="B289" t="str">
            <v>5.0607E+12</v>
          </cell>
          <cell r="C289" t="str">
            <v>ACTIVE</v>
          </cell>
          <cell r="D289" t="str">
            <v>Core</v>
          </cell>
          <cell r="E289">
            <v>30</v>
          </cell>
          <cell r="F289" t="str">
            <v>before AW20</v>
          </cell>
          <cell r="G289" t="str">
            <v>XR Textile</v>
          </cell>
          <cell r="H289" t="str">
            <v>TOWLF</v>
          </cell>
          <cell r="I289" t="str">
            <v>GRS Certified* 83% Post Consumer Recycled Polyester (RM0189) 17% Pre Consumer Recycled Polyamide (RM1084)</v>
          </cell>
          <cell r="M289" t="str">
            <v>6302.93.2000</v>
          </cell>
          <cell r="N289">
            <v>6302600090</v>
          </cell>
          <cell r="O289" t="str">
            <v>6302.93.00.00</v>
          </cell>
          <cell r="P289">
            <v>6302939000</v>
          </cell>
          <cell r="Q289">
            <v>0</v>
          </cell>
          <cell r="R289" t="str">
            <v>6302.39.00</v>
          </cell>
          <cell r="S289">
            <v>63029120</v>
          </cell>
        </row>
        <row r="290">
          <cell r="A290" t="str">
            <v>TOWLF-ESS-XL-GREY-R</v>
          </cell>
          <cell r="B290" t="str">
            <v>5.0607E+12</v>
          </cell>
          <cell r="C290" t="str">
            <v>ACTIVE</v>
          </cell>
          <cell r="D290" t="str">
            <v>Core</v>
          </cell>
          <cell r="E290">
            <v>30</v>
          </cell>
          <cell r="F290" t="str">
            <v>before AW20</v>
          </cell>
          <cell r="G290" t="str">
            <v>XR Textile</v>
          </cell>
          <cell r="H290" t="str">
            <v>TOWLF</v>
          </cell>
          <cell r="I290" t="str">
            <v>GRS Certified* 83% Post Consumer Recycled Polyester (RM0189) 17% Pre Consumer Recycled Polyamide (RM1084)</v>
          </cell>
          <cell r="M290" t="str">
            <v>6302.93.2000</v>
          </cell>
          <cell r="N290">
            <v>6302600090</v>
          </cell>
          <cell r="O290" t="str">
            <v>6302.93.00.00</v>
          </cell>
          <cell r="P290">
            <v>6302939000</v>
          </cell>
          <cell r="Q290">
            <v>0</v>
          </cell>
          <cell r="R290" t="str">
            <v>6302.39.00</v>
          </cell>
          <cell r="S290">
            <v>63029120</v>
          </cell>
        </row>
        <row r="291">
          <cell r="A291" t="str">
            <v>TOWLF-ESS-XL-LTPPL</v>
          </cell>
          <cell r="B291" t="str">
            <v>5.0607E+12</v>
          </cell>
          <cell r="C291" t="str">
            <v>ACTIVE</v>
          </cell>
          <cell r="D291" t="str">
            <v>Core</v>
          </cell>
          <cell r="E291">
            <v>30</v>
          </cell>
          <cell r="F291" t="str">
            <v>SS22</v>
          </cell>
          <cell r="G291" t="str">
            <v>XR Textile</v>
          </cell>
          <cell r="H291" t="str">
            <v>TOWLF</v>
          </cell>
          <cell r="I291" t="str">
            <v>GRS Certified* 83% Post Consumer Recycled Polyester (RM0189) 17% Pre Consumer Recycled Polyamide (RM1084)</v>
          </cell>
          <cell r="M291" t="str">
            <v>6302.93.2000</v>
          </cell>
          <cell r="N291">
            <v>6302600090</v>
          </cell>
          <cell r="O291" t="str">
            <v>6302.93.00.00</v>
          </cell>
          <cell r="P291">
            <v>6302939000</v>
          </cell>
          <cell r="Q291">
            <v>0</v>
          </cell>
          <cell r="R291" t="str">
            <v>6302.39.00</v>
          </cell>
          <cell r="S291">
            <v>63029120</v>
          </cell>
        </row>
        <row r="292">
          <cell r="A292" t="str">
            <v>TOWLF-ESS-XL-PINK-R</v>
          </cell>
          <cell r="B292" t="str">
            <v>5.0607E+12</v>
          </cell>
          <cell r="C292" t="str">
            <v>ACTIVE</v>
          </cell>
          <cell r="D292" t="str">
            <v>Core</v>
          </cell>
          <cell r="E292">
            <v>30</v>
          </cell>
          <cell r="F292" t="str">
            <v>before AW20</v>
          </cell>
          <cell r="G292" t="str">
            <v>XR Textile</v>
          </cell>
          <cell r="H292" t="str">
            <v>TOWLF</v>
          </cell>
          <cell r="I292" t="str">
            <v>GRS Certified* 83% Post Consumer Recycled Polyester (RM0189) 17% Pre Consumer Recycled Polyamide (RM1084)</v>
          </cell>
          <cell r="M292" t="str">
            <v>6302.93.2000</v>
          </cell>
          <cell r="N292">
            <v>6302600090</v>
          </cell>
          <cell r="O292" t="str">
            <v>6302.93.00.00</v>
          </cell>
          <cell r="P292">
            <v>6302939000</v>
          </cell>
          <cell r="Q292">
            <v>0</v>
          </cell>
          <cell r="R292" t="str">
            <v>6302.39.00</v>
          </cell>
          <cell r="S292">
            <v>63029120</v>
          </cell>
        </row>
        <row r="293">
          <cell r="A293" t="str">
            <v>TOWLH-CLB-LG-CHRYBMB</v>
          </cell>
          <cell r="B293" t="str">
            <v>5.061E+12</v>
          </cell>
          <cell r="C293" t="str">
            <v>ACTIVE</v>
          </cell>
          <cell r="D293" t="str">
            <v>Seasonal</v>
          </cell>
          <cell r="E293">
            <v>20</v>
          </cell>
          <cell r="F293" t="str">
            <v>AW25</v>
          </cell>
          <cell r="G293" t="str">
            <v>XR Textile</v>
          </cell>
          <cell r="H293" t="str">
            <v>TOWLH</v>
          </cell>
          <cell r="I293" t="str">
            <v>GRS Certified* 83% Post Consumer Recycled Polyester (RM0189) 17% Pre Consumer Recycled Polyamide (RM1084)</v>
          </cell>
          <cell r="M293" t="str">
            <v>6302.93.2000</v>
          </cell>
          <cell r="N293">
            <v>6302600090</v>
          </cell>
          <cell r="O293" t="str">
            <v>6302.93.00.00</v>
          </cell>
          <cell r="P293">
            <v>6302939000</v>
          </cell>
          <cell r="Q293">
            <v>0</v>
          </cell>
          <cell r="R293" t="str">
            <v>6302.39.00</v>
          </cell>
          <cell r="S293">
            <v>63029120</v>
          </cell>
        </row>
        <row r="307">
          <cell r="A307" t="str">
            <v>TOWLH-DES-XL-TIGPALM</v>
          </cell>
          <cell r="B307" t="str">
            <v>5.061E+12</v>
          </cell>
          <cell r="C307" t="str">
            <v>ACTIVE</v>
          </cell>
          <cell r="D307" t="str">
            <v>Seasonal</v>
          </cell>
          <cell r="E307">
            <v>20</v>
          </cell>
          <cell r="F307" t="str">
            <v>AW25</v>
          </cell>
          <cell r="G307" t="str">
            <v>XR Textile</v>
          </cell>
          <cell r="H307" t="str">
            <v>TOWLH</v>
          </cell>
          <cell r="I307" t="str">
            <v>GRS Certified* 83% Post Consumer Recycled Polyester (RM0189) 17% Pre Consumer Recycled Polyamide (RM1084)</v>
          </cell>
          <cell r="M307" t="str">
            <v>6302.93.2000</v>
          </cell>
          <cell r="N307">
            <v>6302600090</v>
          </cell>
          <cell r="O307" t="str">
            <v>6302.93.00.00</v>
          </cell>
          <cell r="P307">
            <v>6302939000</v>
          </cell>
          <cell r="Q307">
            <v>0</v>
          </cell>
          <cell r="R307" t="str">
            <v>6302.39.00</v>
          </cell>
          <cell r="S307">
            <v>63029120</v>
          </cell>
        </row>
        <row r="308">
          <cell r="A308" t="str">
            <v>WHOLESALE-BROCHURE-CA</v>
          </cell>
          <cell r="B308" t="str">
            <v>6.5097E+11</v>
          </cell>
          <cell r="C308" t="str">
            <v>ACTIVE</v>
          </cell>
          <cell r="F308" t="str">
            <v>before AW20</v>
          </cell>
          <cell r="G308" t="str">
            <v>MQ Print (Sherry)</v>
          </cell>
          <cell r="H308" t="str">
            <v>WHOLESALE_COMPONENTS</v>
          </cell>
          <cell r="M308" t="str">
            <v>4819.10.0040</v>
          </cell>
          <cell r="N308">
            <v>4819100000</v>
          </cell>
          <cell r="O308">
            <v>4819100000</v>
          </cell>
          <cell r="P308">
            <v>48191000</v>
          </cell>
          <cell r="Q308">
            <v>0</v>
          </cell>
          <cell r="R308" t="str">
            <v>4819.10.00</v>
          </cell>
          <cell r="S308">
            <v>0</v>
          </cell>
        </row>
        <row r="309">
          <cell r="A309" t="str">
            <v>WHOLESALE-BROCHURE-EU</v>
          </cell>
          <cell r="B309" t="str">
            <v>6.5097E+11</v>
          </cell>
          <cell r="C309" t="str">
            <v>ACTIVE</v>
          </cell>
          <cell r="F309" t="str">
            <v>before AW20</v>
          </cell>
          <cell r="G309" t="str">
            <v>MQ Print (Sherry)</v>
          </cell>
          <cell r="H309" t="str">
            <v>WHOLESALE_COMPONENTS</v>
          </cell>
          <cell r="M309" t="str">
            <v>4819.10.0040</v>
          </cell>
          <cell r="N309">
            <v>4819100000</v>
          </cell>
          <cell r="O309">
            <v>4819100000</v>
          </cell>
          <cell r="P309">
            <v>48191000</v>
          </cell>
          <cell r="Q309">
            <v>0</v>
          </cell>
          <cell r="R309" t="str">
            <v>4819.10.00</v>
          </cell>
          <cell r="S309">
            <v>0</v>
          </cell>
        </row>
        <row r="310">
          <cell r="A310" t="str">
            <v>WHOLESALE-SAMPLE-BOX</v>
          </cell>
          <cell r="B310" t="str">
            <v>8.0101E+10</v>
          </cell>
          <cell r="C310" t="str">
            <v>ACTIVE</v>
          </cell>
          <cell r="M310" t="e">
            <v>#N/A</v>
          </cell>
          <cell r="N310" t="e">
            <v>#N/A</v>
          </cell>
          <cell r="O310" t="e">
            <v>#N/A</v>
          </cell>
          <cell r="P310" t="e">
            <v>#N/A</v>
          </cell>
          <cell r="Q310" t="e">
            <v>#N/A</v>
          </cell>
          <cell r="R310" t="e">
            <v>#N/A</v>
          </cell>
          <cell r="S310" t="e">
            <v>#N/A</v>
          </cell>
        </row>
        <row r="311">
          <cell r="A311" t="str">
            <v>ACTIVE-SML-ORANGE</v>
          </cell>
          <cell r="B311" t="str">
            <v>6.3739E+11</v>
          </cell>
          <cell r="C311" t="str">
            <v>LAST SEASON</v>
          </cell>
          <cell r="E311">
            <v>50</v>
          </cell>
          <cell r="G311" t="str">
            <v>XR Textile</v>
          </cell>
          <cell r="H311" t="str">
            <v>TOWLF</v>
          </cell>
          <cell r="I311" t="str">
            <v>GRS Certified* 83% Post Consumer Recycled Polyester (RM0189) 17% Pre Consumer Recycled Polyamide (RM1084)</v>
          </cell>
          <cell r="M311" t="str">
            <v>6302.93.2000</v>
          </cell>
          <cell r="N311">
            <v>6302600090</v>
          </cell>
          <cell r="O311" t="str">
            <v>6302.93.00.00</v>
          </cell>
          <cell r="P311">
            <v>6302939000</v>
          </cell>
          <cell r="Q311">
            <v>0</v>
          </cell>
          <cell r="R311" t="str">
            <v>6302.39.00</v>
          </cell>
          <cell r="S311">
            <v>63029120</v>
          </cell>
        </row>
        <row r="312">
          <cell r="A312" t="str">
            <v>BAGBCH-MD-OLIVE</v>
          </cell>
          <cell r="B312" t="str">
            <v>5.061E+12</v>
          </cell>
          <cell r="C312" t="str">
            <v>LAST SEASON</v>
          </cell>
          <cell r="D312" t="str">
            <v>Seasonal</v>
          </cell>
          <cell r="E312">
            <v>20</v>
          </cell>
          <cell r="F312" t="str">
            <v>SS25</v>
          </cell>
          <cell r="G312" t="str">
            <v>Weireken</v>
          </cell>
          <cell r="H312" t="str">
            <v>BAG-BEACH</v>
          </cell>
          <cell r="M312" t="str">
            <v>4202.92.9100</v>
          </cell>
          <cell r="N312">
            <v>4202220000</v>
          </cell>
          <cell r="O312">
            <v>0</v>
          </cell>
          <cell r="P312">
            <v>42022290</v>
          </cell>
          <cell r="Q312">
            <v>0</v>
          </cell>
          <cell r="R312" t="str">
            <v>4202.22.00</v>
          </cell>
          <cell r="S312">
            <v>42029100</v>
          </cell>
        </row>
        <row r="313">
          <cell r="A313" t="str">
            <v>BAGF-DES-MD-BANARAM</v>
          </cell>
          <cell r="B313" t="str">
            <v>5.061E+12</v>
          </cell>
          <cell r="C313" t="str">
            <v>LAST SEASON</v>
          </cell>
          <cell r="D313" t="str">
            <v>Seasonal</v>
          </cell>
          <cell r="E313">
            <v>100</v>
          </cell>
          <cell r="F313" t="str">
            <v>SS25</v>
          </cell>
          <cell r="G313" t="str">
            <v>Jinma (Merry)</v>
          </cell>
          <cell r="H313" t="str">
            <v>BAG-FOLD</v>
          </cell>
          <cell r="I313" t="str">
            <v>GRS Certified*** 100% Post Consumer Recycled Polyester (RM0189)</v>
          </cell>
          <cell r="M313" t="str">
            <v>4202.92.91.00</v>
          </cell>
          <cell r="N313">
            <v>4202921900</v>
          </cell>
          <cell r="O313" t="str">
            <v>4202.92.90.00</v>
          </cell>
          <cell r="P313" t="str">
            <v>4202 9298 90</v>
          </cell>
          <cell r="Q313">
            <v>0</v>
          </cell>
          <cell r="R313" t="str">
            <v>4202.92.90</v>
          </cell>
          <cell r="S313">
            <v>42029100</v>
          </cell>
        </row>
        <row r="314">
          <cell r="A314" t="str">
            <v>BAGF-DES-MD-CHECKMT</v>
          </cell>
          <cell r="B314" t="str">
            <v>5.061E+12</v>
          </cell>
          <cell r="C314" t="str">
            <v>LAST SEASON</v>
          </cell>
          <cell r="D314" t="str">
            <v>Seasonal</v>
          </cell>
          <cell r="E314">
            <v>100</v>
          </cell>
          <cell r="F314" t="str">
            <v>SS25</v>
          </cell>
          <cell r="G314" t="str">
            <v>Jinma (Merry)</v>
          </cell>
          <cell r="H314" t="str">
            <v>BAG-FOLD</v>
          </cell>
          <cell r="I314" t="str">
            <v>GRS Certified*** 100% Post Consumer Recycled Polyester (RM0189)</v>
          </cell>
          <cell r="M314" t="str">
            <v>4202.92.91.00</v>
          </cell>
          <cell r="N314">
            <v>4202921900</v>
          </cell>
          <cell r="O314" t="str">
            <v>4202.92.90.00</v>
          </cell>
          <cell r="P314" t="str">
            <v>4202 9298 90</v>
          </cell>
          <cell r="Q314">
            <v>0</v>
          </cell>
          <cell r="R314" t="str">
            <v>4202.92.90</v>
          </cell>
          <cell r="S314">
            <v>42029100</v>
          </cell>
        </row>
        <row r="315">
          <cell r="A315" t="str">
            <v>BAGF-DES-MD-GROOVCH</v>
          </cell>
          <cell r="B315" t="str">
            <v>5.061E+12</v>
          </cell>
          <cell r="C315" t="str">
            <v>LAST SEASON</v>
          </cell>
          <cell r="D315" t="str">
            <v>Seasonal</v>
          </cell>
          <cell r="E315">
            <v>100</v>
          </cell>
          <cell r="F315" t="str">
            <v>SS25</v>
          </cell>
          <cell r="G315" t="str">
            <v>Jinma (Merry)</v>
          </cell>
          <cell r="H315" t="str">
            <v>BAG-FOLD</v>
          </cell>
          <cell r="I315" t="str">
            <v>GRS Certified*** 100% Post Consumer Recycled Polyester (RM0189)</v>
          </cell>
          <cell r="M315" t="str">
            <v>4202.92.91.00</v>
          </cell>
          <cell r="N315">
            <v>4202921900</v>
          </cell>
          <cell r="O315" t="str">
            <v>4202.92.90.00</v>
          </cell>
          <cell r="P315" t="str">
            <v>4202 9298 90</v>
          </cell>
          <cell r="Q315">
            <v>0</v>
          </cell>
          <cell r="R315" t="str">
            <v>4202.92.90</v>
          </cell>
          <cell r="S315">
            <v>42029100</v>
          </cell>
        </row>
        <row r="316">
          <cell r="A316" t="str">
            <v>BAGF-DES-MD-STRIPLIFE</v>
          </cell>
          <cell r="B316" t="str">
            <v>5.061E+12</v>
          </cell>
          <cell r="C316" t="str">
            <v>LAST SEASON</v>
          </cell>
          <cell r="D316" t="str">
            <v>Seasonal</v>
          </cell>
          <cell r="E316">
            <v>100</v>
          </cell>
          <cell r="F316" t="str">
            <v>SS25</v>
          </cell>
          <cell r="G316" t="str">
            <v>Jinma (Merry)</v>
          </cell>
          <cell r="H316" t="str">
            <v>BAG-FOLD</v>
          </cell>
          <cell r="I316" t="str">
            <v>GRS Certified*** 100% Post Consumer Recycled Polyester (RM0189)</v>
          </cell>
          <cell r="M316" t="str">
            <v>4202.92.91.00</v>
          </cell>
          <cell r="N316">
            <v>4202921900</v>
          </cell>
          <cell r="O316" t="str">
            <v>4202.92.90.00</v>
          </cell>
          <cell r="P316" t="str">
            <v>4202 9298 90</v>
          </cell>
          <cell r="Q316">
            <v>0</v>
          </cell>
          <cell r="R316" t="str">
            <v>4202.92.90</v>
          </cell>
          <cell r="S316">
            <v>42029100</v>
          </cell>
        </row>
        <row r="317">
          <cell r="A317" t="str">
            <v>BAGF-MD-MARINDRM</v>
          </cell>
          <cell r="B317" t="str">
            <v>5.061E+12</v>
          </cell>
          <cell r="C317" t="str">
            <v>LAST SEASON</v>
          </cell>
          <cell r="D317" t="str">
            <v>Seasonal</v>
          </cell>
          <cell r="E317">
            <v>100</v>
          </cell>
          <cell r="F317" t="str">
            <v>SS24</v>
          </cell>
          <cell r="G317" t="str">
            <v>Jinma (Merry)</v>
          </cell>
          <cell r="H317" t="str">
            <v>BAG-FOLD</v>
          </cell>
          <cell r="I317" t="str">
            <v>GRS Certified*** 100% Post Consumer Recycled Polyester (RM0189)</v>
          </cell>
          <cell r="M317" t="str">
            <v>4202.92.91.00</v>
          </cell>
          <cell r="N317">
            <v>4202921900</v>
          </cell>
          <cell r="O317" t="str">
            <v>4202.92.90.00</v>
          </cell>
          <cell r="P317" t="str">
            <v>4202 9298 90</v>
          </cell>
          <cell r="Q317">
            <v>0</v>
          </cell>
          <cell r="R317" t="str">
            <v>4202.92.90</v>
          </cell>
          <cell r="S317">
            <v>42029100</v>
          </cell>
        </row>
        <row r="318">
          <cell r="A318" t="str">
            <v>BOTTL-CAB-LTBLU</v>
          </cell>
          <cell r="B318" t="str">
            <v>5.0562E+12</v>
          </cell>
          <cell r="C318" t="str">
            <v>LAST SEASON</v>
          </cell>
          <cell r="E318">
            <v>30</v>
          </cell>
          <cell r="F318" t="str">
            <v>SS21</v>
          </cell>
          <cell r="G318" t="str">
            <v>Chillys Bottles</v>
          </cell>
          <cell r="H318" t="str">
            <v>BOTTL</v>
          </cell>
          <cell r="M318" t="str">
            <v>7310.29.00</v>
          </cell>
          <cell r="N318">
            <v>7310299000</v>
          </cell>
          <cell r="O318" t="str">
            <v>7310.29.00</v>
          </cell>
          <cell r="P318">
            <v>73102191</v>
          </cell>
          <cell r="Q318">
            <v>0</v>
          </cell>
          <cell r="R318" t="str">
            <v>7310.21.10</v>
          </cell>
          <cell r="S318">
            <v>0</v>
          </cell>
        </row>
        <row r="319">
          <cell r="A319" t="str">
            <v>BOTTL-CAB-LTGRE</v>
          </cell>
          <cell r="B319" t="str">
            <v>5.0562E+12</v>
          </cell>
          <cell r="C319" t="str">
            <v>LAST SEASON</v>
          </cell>
          <cell r="E319">
            <v>30</v>
          </cell>
          <cell r="F319" t="str">
            <v>SS21</v>
          </cell>
          <cell r="G319" t="str">
            <v>Chillys Bottles</v>
          </cell>
          <cell r="H319" t="str">
            <v>BOTTL</v>
          </cell>
          <cell r="M319" t="str">
            <v>7310.29.00</v>
          </cell>
          <cell r="N319">
            <v>7310299000</v>
          </cell>
          <cell r="O319" t="str">
            <v>7310.29.00</v>
          </cell>
          <cell r="P319">
            <v>73102191</v>
          </cell>
          <cell r="Q319">
            <v>0</v>
          </cell>
          <cell r="R319" t="str">
            <v>7310.21.10</v>
          </cell>
          <cell r="S319">
            <v>0</v>
          </cell>
        </row>
        <row r="320">
          <cell r="A320" t="str">
            <v>CABANA-LAR-BLUE</v>
          </cell>
          <cell r="B320" t="str">
            <v>6.3739E+11</v>
          </cell>
          <cell r="C320" t="str">
            <v>LAST SEASON</v>
          </cell>
          <cell r="E320">
            <v>40</v>
          </cell>
          <cell r="G320" t="str">
            <v>XR Textile</v>
          </cell>
          <cell r="H320" t="str">
            <v>TOWLB</v>
          </cell>
          <cell r="I320" t="str">
            <v>GRS Certified* 83% Post Consumer Recycled Polyester (RM0189) 17% Pre Consumer Recycled Polyamide (RM1084)</v>
          </cell>
          <cell r="M320" t="str">
            <v>6302.93.2000</v>
          </cell>
          <cell r="N320">
            <v>6302600090</v>
          </cell>
          <cell r="O320" t="str">
            <v>6302.93.00.00</v>
          </cell>
          <cell r="P320">
            <v>63029390</v>
          </cell>
          <cell r="Q320">
            <v>0</v>
          </cell>
          <cell r="R320" t="str">
            <v>6302.39.00</v>
          </cell>
          <cell r="S320">
            <v>63029120</v>
          </cell>
        </row>
        <row r="321">
          <cell r="A321" t="str">
            <v>CABANA-LAR-LIGHT-RED</v>
          </cell>
          <cell r="B321" t="str">
            <v>6.5097E+11</v>
          </cell>
          <cell r="C321" t="str">
            <v>LAST SEASON</v>
          </cell>
          <cell r="E321">
            <v>40</v>
          </cell>
          <cell r="G321" t="str">
            <v>XR Textile</v>
          </cell>
          <cell r="H321" t="str">
            <v>TOWLB</v>
          </cell>
          <cell r="I321" t="str">
            <v>GRS Certified* 83% Post Consumer Recycled Polyester (RM0189) 17% Pre Consumer Recycled Polyamide (RM1084)</v>
          </cell>
          <cell r="M321" t="str">
            <v>6302.93.2000</v>
          </cell>
          <cell r="N321">
            <v>6302600090</v>
          </cell>
          <cell r="O321" t="str">
            <v>6302.93.00.00</v>
          </cell>
          <cell r="P321">
            <v>63029390</v>
          </cell>
          <cell r="Q321">
            <v>0</v>
          </cell>
          <cell r="R321" t="str">
            <v>6302.39.00</v>
          </cell>
          <cell r="S321">
            <v>63029120</v>
          </cell>
        </row>
        <row r="322">
          <cell r="A322" t="str">
            <v>CABANA-LAR-PINK</v>
          </cell>
          <cell r="B322" t="str">
            <v>6.3739E+11</v>
          </cell>
          <cell r="C322" t="str">
            <v>LAST SEASON</v>
          </cell>
          <cell r="E322">
            <v>40</v>
          </cell>
          <cell r="G322" t="str">
            <v>XR Textile</v>
          </cell>
          <cell r="H322" t="str">
            <v>TOWLB</v>
          </cell>
          <cell r="I322" t="str">
            <v>GRS Certified* 83% Post Consumer Recycled Polyester (RM0189) 17% Pre Consumer Recycled Polyamide (RM1084)</v>
          </cell>
          <cell r="M322" t="str">
            <v>6302.93.2000</v>
          </cell>
          <cell r="N322">
            <v>6302600090</v>
          </cell>
          <cell r="O322" t="str">
            <v>6302.93.00.00</v>
          </cell>
          <cell r="P322">
            <v>63029390</v>
          </cell>
          <cell r="Q322">
            <v>0</v>
          </cell>
          <cell r="R322" t="str">
            <v>6302.39.00</v>
          </cell>
          <cell r="S322">
            <v>63029120</v>
          </cell>
        </row>
        <row r="323">
          <cell r="A323" t="str">
            <v>CABANA-XLG-BLUE</v>
          </cell>
          <cell r="B323" t="str">
            <v>6.3739E+11</v>
          </cell>
          <cell r="C323" t="str">
            <v>LAST SEASON</v>
          </cell>
          <cell r="E323">
            <v>30</v>
          </cell>
          <cell r="G323" t="str">
            <v>XR Textile</v>
          </cell>
          <cell r="H323" t="str">
            <v>TOWLB</v>
          </cell>
          <cell r="I323" t="str">
            <v>GRS Certified* 83% Post Consumer Recycled Polyester (RM0189) 17% Pre Consumer Recycled Polyamide (RM1084)</v>
          </cell>
          <cell r="M323" t="str">
            <v>6302.93.2000</v>
          </cell>
          <cell r="N323">
            <v>6302600090</v>
          </cell>
          <cell r="O323" t="str">
            <v>6302.93.00.00</v>
          </cell>
          <cell r="P323">
            <v>63029390</v>
          </cell>
          <cell r="Q323">
            <v>0</v>
          </cell>
          <cell r="R323" t="str">
            <v>6302.39.00</v>
          </cell>
          <cell r="S323">
            <v>63029120</v>
          </cell>
        </row>
        <row r="324">
          <cell r="A324" t="str">
            <v>CABANA-XLG-BLUENAVY</v>
          </cell>
          <cell r="B324" t="str">
            <v>5.0607E+12</v>
          </cell>
          <cell r="C324" t="str">
            <v>LAST SEASON</v>
          </cell>
          <cell r="E324">
            <v>30</v>
          </cell>
          <cell r="G324" t="str">
            <v>XR Textile</v>
          </cell>
          <cell r="H324" t="str">
            <v>TOWLB</v>
          </cell>
          <cell r="I324" t="str">
            <v>GRS Certified* 83% Post Consumer Recycled Polyester (RM0189) 17% Pre Consumer Recycled Polyamide (RM1084)</v>
          </cell>
          <cell r="M324" t="str">
            <v>6302.93.2000</v>
          </cell>
          <cell r="N324">
            <v>6302600090</v>
          </cell>
          <cell r="O324" t="str">
            <v>6302.93.00.00</v>
          </cell>
          <cell r="P324">
            <v>63029390</v>
          </cell>
          <cell r="Q324">
            <v>0</v>
          </cell>
          <cell r="R324" t="str">
            <v>6302.39.00</v>
          </cell>
          <cell r="S324">
            <v>63029120</v>
          </cell>
        </row>
        <row r="325">
          <cell r="A325" t="str">
            <v>CABANA-XLG-LIGHT-GREY</v>
          </cell>
          <cell r="B325" t="str">
            <v>6.5097E+11</v>
          </cell>
          <cell r="C325" t="str">
            <v>LAST SEASON</v>
          </cell>
          <cell r="E325">
            <v>30</v>
          </cell>
          <cell r="G325" t="str">
            <v>XR Textile</v>
          </cell>
          <cell r="H325" t="str">
            <v>TOWLB</v>
          </cell>
          <cell r="I325" t="str">
            <v>GRS Certified* 83% Post Consumer Recycled Polyester (RM0189) 17% Pre Consumer Recycled Polyamide (RM1084)</v>
          </cell>
          <cell r="M325" t="str">
            <v>6302.93.2000</v>
          </cell>
          <cell r="N325">
            <v>6302600090</v>
          </cell>
          <cell r="O325" t="str">
            <v>6302.93.00.00</v>
          </cell>
          <cell r="P325">
            <v>63029390</v>
          </cell>
          <cell r="Q325">
            <v>0</v>
          </cell>
          <cell r="R325" t="str">
            <v>6302.39.00</v>
          </cell>
          <cell r="S325">
            <v>63029120</v>
          </cell>
        </row>
        <row r="326">
          <cell r="A326" t="str">
            <v>CABANA-XLG-PINK</v>
          </cell>
          <cell r="B326" t="str">
            <v>6.3739E+11</v>
          </cell>
          <cell r="C326" t="str">
            <v>LAST SEASON</v>
          </cell>
          <cell r="E326">
            <v>30</v>
          </cell>
          <cell r="F326" t="str">
            <v>before AW20</v>
          </cell>
          <cell r="G326" t="str">
            <v>XR Textile</v>
          </cell>
          <cell r="H326" t="str">
            <v>TOWLB</v>
          </cell>
          <cell r="I326" t="str">
            <v>GRS Certified* 83% Post Consumer Recycled Polyester (RM0189) 17% Pre Consumer Recycled Polyamide (RM1084)</v>
          </cell>
          <cell r="M326" t="str">
            <v>6302.93.2000</v>
          </cell>
          <cell r="N326">
            <v>6302600090</v>
          </cell>
          <cell r="O326" t="str">
            <v>6302.93.00.00</v>
          </cell>
          <cell r="P326">
            <v>63029390</v>
          </cell>
          <cell r="Q326">
            <v>0</v>
          </cell>
          <cell r="R326" t="str">
            <v>6302.39.00</v>
          </cell>
          <cell r="S326">
            <v>63029120</v>
          </cell>
        </row>
        <row r="327">
          <cell r="A327" t="str">
            <v>CLASSIC-LAR-PURPLE</v>
          </cell>
          <cell r="B327" t="str">
            <v>6.5097E+11</v>
          </cell>
          <cell r="C327" t="str">
            <v>LAST SEASON</v>
          </cell>
          <cell r="E327">
            <v>40</v>
          </cell>
          <cell r="G327" t="str">
            <v>XR Textile</v>
          </cell>
          <cell r="H327" t="str">
            <v>TOWLF</v>
          </cell>
          <cell r="I327" t="str">
            <v>GRS Certified* 83% Post Consumer Recycled Polyester (RM0189) 17% Pre Consumer Recycled Polyamide (RM1084)</v>
          </cell>
          <cell r="M327" t="str">
            <v>6302.93.2000</v>
          </cell>
          <cell r="N327">
            <v>6302600090</v>
          </cell>
          <cell r="O327" t="str">
            <v>6302.93.00.00</v>
          </cell>
          <cell r="P327">
            <v>6302939000</v>
          </cell>
          <cell r="Q327">
            <v>0</v>
          </cell>
          <cell r="R327" t="str">
            <v>6302.39.00</v>
          </cell>
          <cell r="S327">
            <v>63029120</v>
          </cell>
        </row>
        <row r="328">
          <cell r="A328" t="str">
            <v>CLASSIC-SML-BLUE</v>
          </cell>
          <cell r="B328" t="str">
            <v>6.5097E+11</v>
          </cell>
          <cell r="C328" t="str">
            <v>LAST SEASON</v>
          </cell>
          <cell r="E328">
            <v>50</v>
          </cell>
          <cell r="F328" t="str">
            <v>before AW20</v>
          </cell>
          <cell r="G328" t="str">
            <v>XR Textile</v>
          </cell>
          <cell r="H328" t="str">
            <v>TOWLF</v>
          </cell>
          <cell r="I328" t="str">
            <v>GRS Certified* 83% Post Consumer Recycled Polyester (RM0189) 17% Pre Consumer Recycled Polyamide (RM1084)</v>
          </cell>
          <cell r="M328" t="str">
            <v>6302.93.2000</v>
          </cell>
          <cell r="N328">
            <v>6302600090</v>
          </cell>
          <cell r="O328" t="str">
            <v>6302.93.00.00</v>
          </cell>
          <cell r="P328">
            <v>6302939000</v>
          </cell>
          <cell r="Q328">
            <v>0</v>
          </cell>
          <cell r="R328" t="str">
            <v>6302.39.00</v>
          </cell>
          <cell r="S328">
            <v>63029120</v>
          </cell>
        </row>
        <row r="329">
          <cell r="A329" t="str">
            <v>COOL-CAB-BLUE-R</v>
          </cell>
          <cell r="B329" t="str">
            <v>5.0607E+12</v>
          </cell>
          <cell r="C329" t="str">
            <v>LAST SEASON</v>
          </cell>
          <cell r="E329">
            <v>100</v>
          </cell>
          <cell r="F329" t="str">
            <v>before AW20</v>
          </cell>
          <cell r="G329" t="str">
            <v>Bright Eagle (Rebecca)</v>
          </cell>
          <cell r="H329" t="str">
            <v>COOL</v>
          </cell>
          <cell r="M329" t="str">
            <v>6302.93.2000</v>
          </cell>
          <cell r="N329">
            <v>6302939000</v>
          </cell>
          <cell r="O329">
            <v>6302939000</v>
          </cell>
          <cell r="P329">
            <v>6302939000</v>
          </cell>
          <cell r="Q329">
            <v>0</v>
          </cell>
          <cell r="R329" t="str">
            <v>6302.29.00</v>
          </cell>
          <cell r="S329">
            <v>0</v>
          </cell>
        </row>
        <row r="330">
          <cell r="A330" t="str">
            <v>COOL-CAB-LTPCH-R</v>
          </cell>
          <cell r="B330" t="str">
            <v>5.0607E+12</v>
          </cell>
          <cell r="C330" t="str">
            <v>LAST SEASON</v>
          </cell>
          <cell r="E330">
            <v>100</v>
          </cell>
          <cell r="F330" t="str">
            <v>SS22</v>
          </cell>
          <cell r="G330" t="str">
            <v>Bright Eagle (Rebecca)</v>
          </cell>
          <cell r="H330" t="str">
            <v>COOL</v>
          </cell>
          <cell r="M330" t="str">
            <v>6302.93.2000</v>
          </cell>
          <cell r="N330">
            <v>6302939000</v>
          </cell>
          <cell r="O330">
            <v>6302939000</v>
          </cell>
          <cell r="P330">
            <v>6302939000</v>
          </cell>
          <cell r="Q330">
            <v>0</v>
          </cell>
          <cell r="R330" t="str">
            <v>6302.29.00</v>
          </cell>
          <cell r="S330">
            <v>0</v>
          </cell>
        </row>
        <row r="331">
          <cell r="A331" t="str">
            <v>DOBIT-LAR-WHALE</v>
          </cell>
          <cell r="B331" t="str">
            <v>5.0607E+12</v>
          </cell>
          <cell r="C331" t="str">
            <v>LAST SEASON</v>
          </cell>
          <cell r="E331">
            <v>40</v>
          </cell>
          <cell r="G331" t="str">
            <v>XR Textile</v>
          </cell>
          <cell r="H331" t="str">
            <v>TOWLB</v>
          </cell>
          <cell r="I331" t="str">
            <v>GRS Certified* 83% Post Consumer Recycled Polyester (RM0189) 17% Pre Consumer Recycled Polyamide (RM1084)</v>
          </cell>
          <cell r="M331" t="str">
            <v>6302.93.2000</v>
          </cell>
          <cell r="N331">
            <v>6302600090</v>
          </cell>
          <cell r="O331" t="str">
            <v>6302.93.00.00</v>
          </cell>
          <cell r="P331">
            <v>63029390</v>
          </cell>
          <cell r="Q331">
            <v>0</v>
          </cell>
          <cell r="R331" t="str">
            <v>6302.39.00</v>
          </cell>
          <cell r="S331">
            <v>63029120</v>
          </cell>
        </row>
        <row r="332">
          <cell r="A332" t="str">
            <v>DOGTWL-CAB-LG-CORAL</v>
          </cell>
          <cell r="B332" t="str">
            <v>5.0607E+12</v>
          </cell>
          <cell r="C332" t="str">
            <v>LAST SEASON</v>
          </cell>
          <cell r="E332">
            <v>30</v>
          </cell>
          <cell r="F332" t="str">
            <v>AW22</v>
          </cell>
          <cell r="G332" t="str">
            <v>XR Textile</v>
          </cell>
          <cell r="H332" t="str">
            <v>DOGTWL</v>
          </cell>
          <cell r="I332" t="str">
            <v>GRS Certified* 83% Post Consumer Recycled Polyester (RM0189) 17% Pre Consumer Recycled Polyamide (RM1084)</v>
          </cell>
          <cell r="M332" t="str">
            <v>6302.93.2000</v>
          </cell>
          <cell r="N332">
            <v>6302600090</v>
          </cell>
          <cell r="O332" t="str">
            <v>6302.93.00.00</v>
          </cell>
          <cell r="P332">
            <v>6302939000</v>
          </cell>
          <cell r="Q332">
            <v>0</v>
          </cell>
          <cell r="R332" t="str">
            <v>6302.39.00</v>
          </cell>
          <cell r="S332">
            <v>6507</v>
          </cell>
        </row>
        <row r="333">
          <cell r="A333" t="str">
            <v>DOGTWL-CAB-LG-RAINB</v>
          </cell>
          <cell r="B333" t="str">
            <v>5.0607E+12</v>
          </cell>
          <cell r="C333" t="str">
            <v>LAST SEASON</v>
          </cell>
          <cell r="E333">
            <v>30</v>
          </cell>
          <cell r="F333" t="str">
            <v>AW22</v>
          </cell>
          <cell r="G333" t="str">
            <v>XR Textile</v>
          </cell>
          <cell r="H333" t="str">
            <v>DOGTWL</v>
          </cell>
          <cell r="I333" t="str">
            <v>GRS Certified* 83% Post Consumer Recycled Polyester (RM0189) 17% Pre Consumer Recycled Polyamide (RM1084)</v>
          </cell>
          <cell r="M333" t="str">
            <v>6302.93.2000</v>
          </cell>
          <cell r="N333">
            <v>6302600090</v>
          </cell>
          <cell r="O333" t="str">
            <v>6302.93.00.00</v>
          </cell>
          <cell r="P333">
            <v>6302939000</v>
          </cell>
          <cell r="Q333">
            <v>0</v>
          </cell>
          <cell r="R333" t="str">
            <v>6302.39.00</v>
          </cell>
          <cell r="S333">
            <v>6507</v>
          </cell>
        </row>
        <row r="334">
          <cell r="A334" t="str">
            <v>DOGTWL-CAB-MD-CORAL</v>
          </cell>
          <cell r="B334" t="str">
            <v>5.0607E+12</v>
          </cell>
          <cell r="C334" t="str">
            <v>LAST SEASON</v>
          </cell>
          <cell r="E334">
            <v>40</v>
          </cell>
          <cell r="F334" t="str">
            <v>AW22</v>
          </cell>
          <cell r="G334" t="str">
            <v>XR Textile</v>
          </cell>
          <cell r="H334" t="str">
            <v>DOGTWL</v>
          </cell>
          <cell r="I334" t="str">
            <v>GRS Certified* 83% Post Consumer Recycled Polyester (RM0189) 17% Pre Consumer Recycled Polyamide (RM1084)</v>
          </cell>
          <cell r="M334" t="str">
            <v>6302.93.2000</v>
          </cell>
          <cell r="N334">
            <v>6302600090</v>
          </cell>
          <cell r="O334" t="str">
            <v>6302.93.00.00</v>
          </cell>
          <cell r="P334">
            <v>6302939000</v>
          </cell>
          <cell r="Q334">
            <v>0</v>
          </cell>
          <cell r="R334" t="str">
            <v>6302.39.00</v>
          </cell>
          <cell r="S334">
            <v>6507</v>
          </cell>
        </row>
        <row r="335">
          <cell r="A335" t="str">
            <v>DOGTWL-CAB-MD-RAINB</v>
          </cell>
          <cell r="B335" t="str">
            <v>5.0607E+12</v>
          </cell>
          <cell r="C335" t="str">
            <v>LAST SEASON</v>
          </cell>
          <cell r="E335">
            <v>40</v>
          </cell>
          <cell r="F335" t="str">
            <v>AW22</v>
          </cell>
          <cell r="G335" t="str">
            <v>XR Textile</v>
          </cell>
          <cell r="H335" t="str">
            <v>DOGTWL</v>
          </cell>
          <cell r="I335" t="str">
            <v>GRS Certified* 83% Post Consumer Recycled Polyester (RM0189) 17% Pre Consumer Recycled Polyamide (RM1084)</v>
          </cell>
          <cell r="M335" t="str">
            <v>6302.93.2000</v>
          </cell>
          <cell r="N335">
            <v>6302600090</v>
          </cell>
          <cell r="O335" t="str">
            <v>6302.93.00.00</v>
          </cell>
          <cell r="P335">
            <v>6302939000</v>
          </cell>
          <cell r="Q335">
            <v>0</v>
          </cell>
          <cell r="R335" t="str">
            <v>6302.39.00</v>
          </cell>
          <cell r="S335">
            <v>6507</v>
          </cell>
        </row>
        <row r="336">
          <cell r="A336" t="str">
            <v>DOGTWL-DES-MD-FACES</v>
          </cell>
          <cell r="B336" t="str">
            <v>5.0607E+12</v>
          </cell>
          <cell r="C336" t="str">
            <v>LAST SEASON</v>
          </cell>
          <cell r="E336">
            <v>40</v>
          </cell>
          <cell r="F336" t="str">
            <v>AW22</v>
          </cell>
          <cell r="G336" t="str">
            <v>XR Textile</v>
          </cell>
          <cell r="H336" t="str">
            <v>DOGTWL</v>
          </cell>
          <cell r="I336" t="str">
            <v>GRS Certified* 83% Post Consumer Recycled Polyester (RM0189) 17% Pre Consumer Recycled Polyamide (RM1084)</v>
          </cell>
          <cell r="M336" t="str">
            <v>6302.93.2000</v>
          </cell>
          <cell r="N336">
            <v>6302600090</v>
          </cell>
          <cell r="O336" t="str">
            <v>6302.93.00.00</v>
          </cell>
          <cell r="P336">
            <v>6302939000</v>
          </cell>
          <cell r="Q336">
            <v>0</v>
          </cell>
          <cell r="R336" t="str">
            <v>6302.39.00</v>
          </cell>
          <cell r="S336">
            <v>6507</v>
          </cell>
        </row>
        <row r="337">
          <cell r="A337" t="str">
            <v>DOGTWL-LG-BARKBLU</v>
          </cell>
          <cell r="B337" t="str">
            <v>5.0607E+12</v>
          </cell>
          <cell r="C337" t="str">
            <v>LAST SEASON</v>
          </cell>
          <cell r="E337">
            <v>30</v>
          </cell>
          <cell r="F337" t="str">
            <v>AW23</v>
          </cell>
          <cell r="G337" t="str">
            <v>XR Textile</v>
          </cell>
          <cell r="H337" t="str">
            <v>DOGTWL</v>
          </cell>
          <cell r="I337" t="str">
            <v>GRS Certified* 83% Post Consumer Recycled Polyester (RM0189) 17% Pre Consumer Recycled Polyamide (RM1084)</v>
          </cell>
          <cell r="M337" t="str">
            <v>6302.93.2000</v>
          </cell>
          <cell r="N337">
            <v>6302600090</v>
          </cell>
          <cell r="O337" t="str">
            <v>6302.93.00.00</v>
          </cell>
          <cell r="P337">
            <v>6302939000</v>
          </cell>
          <cell r="Q337">
            <v>0</v>
          </cell>
          <cell r="R337" t="str">
            <v>6302.39.00</v>
          </cell>
          <cell r="S337">
            <v>6507</v>
          </cell>
        </row>
        <row r="338">
          <cell r="A338" t="str">
            <v>DOGTWL-LG-K9CAMO</v>
          </cell>
          <cell r="B338" t="str">
            <v>5.061E+12</v>
          </cell>
          <cell r="C338" t="str">
            <v>LAST SEASON</v>
          </cell>
          <cell r="D338" t="str">
            <v>Seasonal</v>
          </cell>
          <cell r="E338">
            <v>30</v>
          </cell>
          <cell r="F338" t="str">
            <v>AW24</v>
          </cell>
          <cell r="G338" t="str">
            <v>XR Textile</v>
          </cell>
          <cell r="H338" t="str">
            <v>DOGTWL</v>
          </cell>
          <cell r="I338" t="str">
            <v>GRS Certified* 83% Post Consumer Recycled Polyester (RM0189) 17% Pre Consumer Recycled Polyamide (RM1084)</v>
          </cell>
          <cell r="M338" t="str">
            <v>6302.93.2000</v>
          </cell>
          <cell r="N338">
            <v>6302600090</v>
          </cell>
          <cell r="O338" t="str">
            <v>6302.93.00.00</v>
          </cell>
          <cell r="P338">
            <v>6302939000</v>
          </cell>
          <cell r="Q338">
            <v>0</v>
          </cell>
          <cell r="R338" t="str">
            <v>6302.39.00</v>
          </cell>
          <cell r="S338">
            <v>6507</v>
          </cell>
        </row>
        <row r="339">
          <cell r="A339" t="str">
            <v>DOGTWL-LG-PAWPPL</v>
          </cell>
          <cell r="B339" t="str">
            <v>5.0607E+12</v>
          </cell>
          <cell r="C339" t="str">
            <v>LAST SEASON</v>
          </cell>
          <cell r="E339">
            <v>30</v>
          </cell>
          <cell r="F339" t="str">
            <v>AW23</v>
          </cell>
          <cell r="G339" t="str">
            <v>XR Textile</v>
          </cell>
          <cell r="H339" t="str">
            <v>DOGTWL</v>
          </cell>
          <cell r="I339" t="str">
            <v>GRS Certified* 83% Post Consumer Recycled Polyester (RM0189) 17% Pre Consumer Recycled Polyamide (RM1084)</v>
          </cell>
          <cell r="M339" t="str">
            <v>6302.93.2000</v>
          </cell>
          <cell r="N339">
            <v>6302600090</v>
          </cell>
          <cell r="O339" t="str">
            <v>6302.93.00.00</v>
          </cell>
          <cell r="P339">
            <v>6302939000</v>
          </cell>
          <cell r="Q339">
            <v>0</v>
          </cell>
          <cell r="R339" t="str">
            <v>6302.39.00</v>
          </cell>
          <cell r="S339">
            <v>6507</v>
          </cell>
        </row>
        <row r="340">
          <cell r="A340" t="str">
            <v>DOGTWL-LG-PUPLAID</v>
          </cell>
          <cell r="B340" t="str">
            <v>5.061E+12</v>
          </cell>
          <cell r="C340" t="str">
            <v>LAST SEASON</v>
          </cell>
          <cell r="D340" t="str">
            <v>Seasonal</v>
          </cell>
          <cell r="E340">
            <v>30</v>
          </cell>
          <cell r="F340" t="str">
            <v>AW24</v>
          </cell>
          <cell r="G340" t="str">
            <v>XR Textile</v>
          </cell>
          <cell r="H340" t="str">
            <v>DOGTWL</v>
          </cell>
          <cell r="I340" t="str">
            <v>GRS Certified* 83% Post Consumer Recycled Polyester (RM0189) 17% Pre Consumer Recycled Polyamide (RM1084)</v>
          </cell>
          <cell r="M340" t="str">
            <v>6302.93.2000</v>
          </cell>
          <cell r="N340">
            <v>6302600090</v>
          </cell>
          <cell r="O340" t="str">
            <v>6302.93.00.00</v>
          </cell>
          <cell r="P340">
            <v>6302939000</v>
          </cell>
          <cell r="Q340">
            <v>0</v>
          </cell>
          <cell r="R340" t="str">
            <v>6302.39.00</v>
          </cell>
          <cell r="S340">
            <v>6507</v>
          </cell>
        </row>
        <row r="341">
          <cell r="A341" t="str">
            <v>DOGTWL-LG-RHUBARK</v>
          </cell>
          <cell r="B341" t="str">
            <v>5.061E+12</v>
          </cell>
          <cell r="C341" t="str">
            <v>LAST SEASON</v>
          </cell>
          <cell r="D341" t="str">
            <v>Seasonal</v>
          </cell>
          <cell r="E341">
            <v>30</v>
          </cell>
          <cell r="F341" t="str">
            <v>AW24</v>
          </cell>
          <cell r="G341" t="str">
            <v>XR Textile</v>
          </cell>
          <cell r="H341" t="str">
            <v>DOGTWL</v>
          </cell>
          <cell r="I341" t="str">
            <v>GRS Certified* 83% Post Consumer Recycled Polyester (RM0189) 17% Pre Consumer Recycled Polyamide (RM1084)</v>
          </cell>
          <cell r="M341" t="str">
            <v>6302.93.2000</v>
          </cell>
          <cell r="N341">
            <v>6302600090</v>
          </cell>
          <cell r="O341" t="str">
            <v>6302.93.00.00</v>
          </cell>
          <cell r="P341">
            <v>6302939000</v>
          </cell>
          <cell r="Q341">
            <v>0</v>
          </cell>
          <cell r="R341" t="str">
            <v>6302.39.00</v>
          </cell>
          <cell r="S341">
            <v>6507</v>
          </cell>
        </row>
        <row r="342">
          <cell r="A342" t="str">
            <v>DOGTWL-LG-SUNSPL</v>
          </cell>
          <cell r="B342" t="str">
            <v>5.061E+12</v>
          </cell>
          <cell r="C342" t="str">
            <v>LAST SEASON</v>
          </cell>
          <cell r="D342" t="str">
            <v>Seasonal</v>
          </cell>
          <cell r="E342">
            <v>30</v>
          </cell>
          <cell r="F342" t="str">
            <v>AW24</v>
          </cell>
          <cell r="G342" t="str">
            <v>XR Textile</v>
          </cell>
          <cell r="H342" t="str">
            <v>DOGTWL</v>
          </cell>
          <cell r="I342" t="str">
            <v>GRS Certified* 83% Post Consumer Recycled Polyester (RM0189) 17% Pre Consumer Recycled Polyamide (RM1084)</v>
          </cell>
          <cell r="M342" t="str">
            <v>6302.93.2000</v>
          </cell>
          <cell r="N342">
            <v>6302600090</v>
          </cell>
          <cell r="O342" t="str">
            <v>6302.93.00.00</v>
          </cell>
          <cell r="P342">
            <v>6302939000</v>
          </cell>
          <cell r="Q342">
            <v>0</v>
          </cell>
          <cell r="R342" t="str">
            <v>6302.39.00</v>
          </cell>
          <cell r="S342">
            <v>6507</v>
          </cell>
        </row>
        <row r="343">
          <cell r="A343" t="str">
            <v>DOGTWL-LG-WALK</v>
          </cell>
          <cell r="B343" t="str">
            <v>5.0607E+12</v>
          </cell>
          <cell r="C343" t="str">
            <v>LAST SEASON</v>
          </cell>
          <cell r="E343">
            <v>30</v>
          </cell>
          <cell r="F343" t="str">
            <v>AW23</v>
          </cell>
          <cell r="G343" t="str">
            <v>XR Textile</v>
          </cell>
          <cell r="H343" t="str">
            <v>DOGTWL</v>
          </cell>
          <cell r="I343" t="str">
            <v>GRS Certified* 83% Post Consumer Recycled Polyester (RM0189) 17% Pre Consumer Recycled Polyamide (RM1084)</v>
          </cell>
          <cell r="M343" t="str">
            <v>6302.93.2000</v>
          </cell>
          <cell r="N343">
            <v>6302600090</v>
          </cell>
          <cell r="O343" t="str">
            <v>6302.93.00.00</v>
          </cell>
          <cell r="P343">
            <v>6302939000</v>
          </cell>
          <cell r="Q343">
            <v>0</v>
          </cell>
          <cell r="R343" t="str">
            <v>6302.39.00</v>
          </cell>
          <cell r="S343">
            <v>6507</v>
          </cell>
        </row>
        <row r="344">
          <cell r="A344" t="str">
            <v>DOGTWL-LG-WHERWOOF</v>
          </cell>
          <cell r="B344" t="str">
            <v>5.061E+12</v>
          </cell>
          <cell r="C344" t="str">
            <v>LAST SEASON</v>
          </cell>
          <cell r="D344" t="str">
            <v>Seasonal</v>
          </cell>
          <cell r="E344">
            <v>30</v>
          </cell>
          <cell r="F344" t="str">
            <v>AW24</v>
          </cell>
          <cell r="G344" t="str">
            <v>XR Textile</v>
          </cell>
          <cell r="H344" t="str">
            <v>DOGTWL</v>
          </cell>
          <cell r="I344" t="str">
            <v>GRS Certified* 83% Post Consumer Recycled Polyester (RM0189) 17% Pre Consumer Recycled Polyamide (RM1084)</v>
          </cell>
          <cell r="M344" t="str">
            <v>6302.93.2000</v>
          </cell>
          <cell r="N344">
            <v>6302600090</v>
          </cell>
          <cell r="O344" t="str">
            <v>6302.93.00.00</v>
          </cell>
          <cell r="P344">
            <v>6302939000</v>
          </cell>
          <cell r="Q344">
            <v>0</v>
          </cell>
          <cell r="R344" t="str">
            <v>6302.39.00</v>
          </cell>
          <cell r="S344">
            <v>6507</v>
          </cell>
        </row>
        <row r="345">
          <cell r="A345" t="str">
            <v>DOGTWL-LG-WOOFWILD</v>
          </cell>
          <cell r="B345" t="str">
            <v>5.0607E+12</v>
          </cell>
          <cell r="C345" t="str">
            <v>LAST SEASON</v>
          </cell>
          <cell r="E345">
            <v>30</v>
          </cell>
          <cell r="F345" t="str">
            <v>AW23</v>
          </cell>
          <cell r="G345" t="str">
            <v>XR Textile</v>
          </cell>
          <cell r="H345" t="str">
            <v>DOGTWL</v>
          </cell>
          <cell r="I345" t="str">
            <v>GRS Certified* 83% Post Consumer Recycled Polyester (RM0189) 17% Pre Consumer Recycled Polyamide (RM1084)</v>
          </cell>
          <cell r="M345" t="str">
            <v>6302.93.2000</v>
          </cell>
          <cell r="N345">
            <v>6302600090</v>
          </cell>
          <cell r="O345" t="str">
            <v>6302.93.00.00</v>
          </cell>
          <cell r="P345">
            <v>6302939000</v>
          </cell>
          <cell r="Q345">
            <v>0</v>
          </cell>
          <cell r="R345" t="str">
            <v>6302.39.00</v>
          </cell>
          <cell r="S345">
            <v>6507</v>
          </cell>
        </row>
        <row r="346">
          <cell r="A346" t="str">
            <v>DOGTWL-MD-BARKBLU</v>
          </cell>
          <cell r="B346" t="str">
            <v>5.0607E+12</v>
          </cell>
          <cell r="C346" t="str">
            <v>LAST SEASON</v>
          </cell>
          <cell r="E346">
            <v>40</v>
          </cell>
          <cell r="F346" t="str">
            <v>AW23</v>
          </cell>
          <cell r="G346" t="str">
            <v>XR Textile</v>
          </cell>
          <cell r="H346" t="str">
            <v>DOGTWL</v>
          </cell>
          <cell r="I346" t="str">
            <v>GRS Certified* 83% Post Consumer Recycled Polyester (RM0189) 17% Pre Consumer Recycled Polyamide (RM1084)</v>
          </cell>
          <cell r="M346" t="str">
            <v>6302.93.2000</v>
          </cell>
          <cell r="N346">
            <v>6302600090</v>
          </cell>
          <cell r="O346" t="str">
            <v>6302.93.00.00</v>
          </cell>
          <cell r="P346">
            <v>6302939000</v>
          </cell>
          <cell r="Q346">
            <v>0</v>
          </cell>
          <cell r="R346" t="str">
            <v>6302.39.00</v>
          </cell>
          <cell r="S346">
            <v>6507</v>
          </cell>
        </row>
        <row r="347">
          <cell r="A347" t="str">
            <v>DOGTWL-MD-K9CAMO</v>
          </cell>
          <cell r="B347" t="str">
            <v>5.061E+12</v>
          </cell>
          <cell r="C347" t="str">
            <v>LAST SEASON</v>
          </cell>
          <cell r="D347" t="str">
            <v>Seasonal</v>
          </cell>
          <cell r="E347">
            <v>40</v>
          </cell>
          <cell r="F347" t="str">
            <v>AW24</v>
          </cell>
          <cell r="G347" t="str">
            <v>XR Textile</v>
          </cell>
          <cell r="H347" t="str">
            <v>DOGTWL</v>
          </cell>
          <cell r="I347" t="str">
            <v>GRS Certified* 83% Post Consumer Recycled Polyester (RM0189) 17% Pre Consumer Recycled Polyamide (RM1084)</v>
          </cell>
          <cell r="M347" t="str">
            <v>6302.93.2000</v>
          </cell>
          <cell r="N347">
            <v>6302600090</v>
          </cell>
          <cell r="O347" t="str">
            <v>6302.93.00.00</v>
          </cell>
          <cell r="P347">
            <v>6302939000</v>
          </cell>
          <cell r="Q347">
            <v>0</v>
          </cell>
          <cell r="R347" t="str">
            <v>6302.39.00</v>
          </cell>
          <cell r="S347">
            <v>6507</v>
          </cell>
        </row>
        <row r="348">
          <cell r="A348" t="str">
            <v>DOGTWL-MD-PAWPPL</v>
          </cell>
          <cell r="B348" t="str">
            <v>5.0607E+12</v>
          </cell>
          <cell r="C348" t="str">
            <v>LAST SEASON</v>
          </cell>
          <cell r="E348">
            <v>40</v>
          </cell>
          <cell r="F348" t="str">
            <v>AW23</v>
          </cell>
          <cell r="G348" t="str">
            <v>XR Textile</v>
          </cell>
          <cell r="H348" t="str">
            <v>DOGTWL</v>
          </cell>
          <cell r="I348" t="str">
            <v>GRS Certified* 83% Post Consumer Recycled Polyester (RM0189) 17% Pre Consumer Recycled Polyamide (RM1084)</v>
          </cell>
          <cell r="M348" t="str">
            <v>6302.93.2000</v>
          </cell>
          <cell r="N348">
            <v>6302600090</v>
          </cell>
          <cell r="O348" t="str">
            <v>6302.93.00.00</v>
          </cell>
          <cell r="P348">
            <v>6302939000</v>
          </cell>
          <cell r="Q348">
            <v>0</v>
          </cell>
          <cell r="R348" t="str">
            <v>6302.39.00</v>
          </cell>
          <cell r="S348">
            <v>6507</v>
          </cell>
        </row>
        <row r="349">
          <cell r="A349" t="str">
            <v>DOGTWL-MD-PUPLAID</v>
          </cell>
          <cell r="B349" t="str">
            <v>5.061E+12</v>
          </cell>
          <cell r="C349" t="str">
            <v>LAST SEASON</v>
          </cell>
          <cell r="D349" t="str">
            <v>Seasonal</v>
          </cell>
          <cell r="E349">
            <v>40</v>
          </cell>
          <cell r="F349" t="str">
            <v>AW24</v>
          </cell>
          <cell r="G349" t="str">
            <v>XR Textile</v>
          </cell>
          <cell r="H349" t="str">
            <v>DOGTWL</v>
          </cell>
          <cell r="I349" t="str">
            <v>GRS Certified* 83% Post Consumer Recycled Polyester (RM0189) 17% Pre Consumer Recycled Polyamide (RM1084)</v>
          </cell>
          <cell r="M349" t="str">
            <v>6302.93.2000</v>
          </cell>
          <cell r="N349">
            <v>6302600090</v>
          </cell>
          <cell r="O349" t="str">
            <v>6302.93.00.00</v>
          </cell>
          <cell r="P349">
            <v>6302939000</v>
          </cell>
          <cell r="Q349">
            <v>0</v>
          </cell>
          <cell r="R349" t="str">
            <v>6302.39.00</v>
          </cell>
          <cell r="S349">
            <v>6507</v>
          </cell>
        </row>
        <row r="350">
          <cell r="A350" t="str">
            <v>DOGTWL-MD-RHUBARK</v>
          </cell>
          <cell r="B350" t="str">
            <v>5.061E+12</v>
          </cell>
          <cell r="C350" t="str">
            <v>LAST SEASON</v>
          </cell>
          <cell r="D350" t="str">
            <v>Seasonal</v>
          </cell>
          <cell r="E350">
            <v>40</v>
          </cell>
          <cell r="F350" t="str">
            <v>AW24</v>
          </cell>
          <cell r="G350" t="str">
            <v>XR Textile</v>
          </cell>
          <cell r="H350" t="str">
            <v>DOGTWL</v>
          </cell>
          <cell r="I350" t="str">
            <v>GRS Certified* 83% Post Consumer Recycled Polyester (RM0189) 17% Pre Consumer Recycled Polyamide (RM1084)</v>
          </cell>
          <cell r="M350" t="str">
            <v>6302.93.2000</v>
          </cell>
          <cell r="N350">
            <v>6302600090</v>
          </cell>
          <cell r="O350" t="str">
            <v>6302.93.00.00</v>
          </cell>
          <cell r="P350">
            <v>6302939000</v>
          </cell>
          <cell r="Q350">
            <v>0</v>
          </cell>
          <cell r="R350" t="str">
            <v>6302.39.00</v>
          </cell>
          <cell r="S350">
            <v>6507</v>
          </cell>
        </row>
        <row r="351">
          <cell r="A351" t="str">
            <v>DOGTWL-MD-SUNSPL</v>
          </cell>
          <cell r="B351" t="str">
            <v>5.061E+12</v>
          </cell>
          <cell r="C351" t="str">
            <v>LAST SEASON</v>
          </cell>
          <cell r="D351" t="str">
            <v>Seasonal</v>
          </cell>
          <cell r="E351">
            <v>40</v>
          </cell>
          <cell r="F351" t="str">
            <v>AW24</v>
          </cell>
          <cell r="G351" t="str">
            <v>XR Textile</v>
          </cell>
          <cell r="H351" t="str">
            <v>DOGTWL</v>
          </cell>
          <cell r="I351" t="str">
            <v>GRS Certified* 83% Post Consumer Recycled Polyester (RM0189) 17% Pre Consumer Recycled Polyamide (RM1084)</v>
          </cell>
          <cell r="M351" t="str">
            <v>6302.93.2000</v>
          </cell>
          <cell r="N351">
            <v>6302600090</v>
          </cell>
          <cell r="O351" t="str">
            <v>6302.93.00.00</v>
          </cell>
          <cell r="P351">
            <v>6302939000</v>
          </cell>
          <cell r="Q351">
            <v>0</v>
          </cell>
          <cell r="R351" t="str">
            <v>6302.39.00</v>
          </cell>
          <cell r="S351">
            <v>6507</v>
          </cell>
        </row>
        <row r="352">
          <cell r="A352" t="str">
            <v>DOGTWL-MD-WALK</v>
          </cell>
          <cell r="B352" t="str">
            <v>5.0607E+12</v>
          </cell>
          <cell r="C352" t="str">
            <v>LAST SEASON</v>
          </cell>
          <cell r="E352">
            <v>40</v>
          </cell>
          <cell r="F352" t="str">
            <v>AW23</v>
          </cell>
          <cell r="G352" t="str">
            <v>XR Textile</v>
          </cell>
          <cell r="H352" t="str">
            <v>DOGTWL</v>
          </cell>
          <cell r="I352" t="str">
            <v>GRS Certified* 83% Post Consumer Recycled Polyester (RM0189) 17% Pre Consumer Recycled Polyamide (RM1084)</v>
          </cell>
          <cell r="M352" t="str">
            <v>6302.93.2000</v>
          </cell>
          <cell r="N352">
            <v>6302600090</v>
          </cell>
          <cell r="O352" t="str">
            <v>6302.93.00.00</v>
          </cell>
          <cell r="P352">
            <v>6302939000</v>
          </cell>
          <cell r="Q352">
            <v>0</v>
          </cell>
          <cell r="R352" t="str">
            <v>6302.39.00</v>
          </cell>
          <cell r="S352">
            <v>6507</v>
          </cell>
        </row>
        <row r="353">
          <cell r="A353" t="str">
            <v>DOGTWL-MD-WHERWOOF</v>
          </cell>
          <cell r="B353" t="str">
            <v>5.061E+12</v>
          </cell>
          <cell r="C353" t="str">
            <v>LAST SEASON</v>
          </cell>
          <cell r="D353" t="str">
            <v>Seasonal</v>
          </cell>
          <cell r="E353">
            <v>40</v>
          </cell>
          <cell r="F353" t="str">
            <v>AW24</v>
          </cell>
          <cell r="G353" t="str">
            <v>XR Textile</v>
          </cell>
          <cell r="H353" t="str">
            <v>DOGTWL</v>
          </cell>
          <cell r="I353" t="str">
            <v>GRS Certified* 83% Post Consumer Recycled Polyester (RM0189) 17% Pre Consumer Recycled Polyamide (RM1084)</v>
          </cell>
          <cell r="M353" t="str">
            <v>6302.93.2000</v>
          </cell>
          <cell r="N353">
            <v>6302600090</v>
          </cell>
          <cell r="O353" t="str">
            <v>6302.93.00.00</v>
          </cell>
          <cell r="P353">
            <v>6302939000</v>
          </cell>
          <cell r="Q353">
            <v>0</v>
          </cell>
          <cell r="R353" t="str">
            <v>6302.39.00</v>
          </cell>
          <cell r="S353">
            <v>6507</v>
          </cell>
        </row>
        <row r="354">
          <cell r="A354" t="str">
            <v>DOGTWL-MD-WOOFWILD</v>
          </cell>
          <cell r="B354" t="str">
            <v>5.0607E+12</v>
          </cell>
          <cell r="C354" t="str">
            <v>LAST SEASON</v>
          </cell>
          <cell r="E354">
            <v>40</v>
          </cell>
          <cell r="F354" t="str">
            <v>AW23</v>
          </cell>
          <cell r="G354" t="str">
            <v>XR Textile</v>
          </cell>
          <cell r="H354" t="str">
            <v>DOGTWL</v>
          </cell>
          <cell r="I354" t="str">
            <v>GRS Certified* 83% Post Consumer Recycled Polyester (RM0189) 17% Pre Consumer Recycled Polyamide (RM1084)</v>
          </cell>
          <cell r="M354" t="str">
            <v>6302.93.2000</v>
          </cell>
          <cell r="N354">
            <v>6302600090</v>
          </cell>
          <cell r="O354" t="str">
            <v>6302.93.00.00</v>
          </cell>
          <cell r="P354">
            <v>6302939000</v>
          </cell>
          <cell r="Q354">
            <v>0</v>
          </cell>
          <cell r="R354" t="str">
            <v>6302.39.00</v>
          </cell>
          <cell r="S354">
            <v>6507</v>
          </cell>
        </row>
        <row r="355">
          <cell r="A355" t="str">
            <v>FESTIVAL-LAR-TOMATINA</v>
          </cell>
          <cell r="B355" t="str">
            <v>6.5097E+11</v>
          </cell>
          <cell r="C355" t="str">
            <v>LAST SEASON</v>
          </cell>
          <cell r="E355">
            <v>40</v>
          </cell>
          <cell r="F355" t="str">
            <v>before AW20</v>
          </cell>
          <cell r="G355" t="str">
            <v>XR Textile</v>
          </cell>
          <cell r="H355" t="str">
            <v>TOWLB</v>
          </cell>
          <cell r="I355" t="str">
            <v>GRS Certified* 83% Post Consumer Recycled Polyester (RM0189) 17% Pre Consumer Recycled Polyamide (RM1084)</v>
          </cell>
          <cell r="M355" t="str">
            <v>6302.93.2000</v>
          </cell>
          <cell r="N355">
            <v>6302600090</v>
          </cell>
          <cell r="O355" t="str">
            <v>6302.93.00.00</v>
          </cell>
          <cell r="P355">
            <v>63029390</v>
          </cell>
          <cell r="Q355">
            <v>0</v>
          </cell>
          <cell r="R355" t="str">
            <v>6302.39.00</v>
          </cell>
          <cell r="S355">
            <v>63029120</v>
          </cell>
        </row>
        <row r="356">
          <cell r="A356" t="str">
            <v>HAIRW-CBH-NAVY-NB</v>
          </cell>
          <cell r="B356" t="str">
            <v>5.061E+12</v>
          </cell>
          <cell r="C356" t="str">
            <v>LAST SEASON</v>
          </cell>
          <cell r="D356" t="str">
            <v>Core</v>
          </cell>
          <cell r="E356">
            <v>60</v>
          </cell>
          <cell r="F356" t="str">
            <v>AW24</v>
          </cell>
          <cell r="G356" t="str">
            <v>XR Textile</v>
          </cell>
          <cell r="H356" t="str">
            <v>HAIRW-premium</v>
          </cell>
          <cell r="I356" t="str">
            <v>GRS Certified* 83% Post Consumer Recycled Polyester (RM0189) 17% Pre Consumer Recycled Polyamide (RM1084)</v>
          </cell>
          <cell r="M356" t="str">
            <v>6504.00.90.15</v>
          </cell>
          <cell r="N356">
            <v>6505009090</v>
          </cell>
          <cell r="O356" t="str">
            <v>6505.00.40.00</v>
          </cell>
          <cell r="P356" t="str">
            <v>6505.00.90.90</v>
          </cell>
          <cell r="Q356">
            <v>0</v>
          </cell>
          <cell r="R356" t="str">
            <v>6505.00.90</v>
          </cell>
          <cell r="S356">
            <v>6507</v>
          </cell>
        </row>
        <row r="357">
          <cell r="A357" t="str">
            <v>HAIRW-HID-BLACK</v>
          </cell>
          <cell r="B357" t="str">
            <v>5.0607E+12</v>
          </cell>
          <cell r="C357" t="str">
            <v>LAST SEASON</v>
          </cell>
          <cell r="D357" t="str">
            <v>Seasonal</v>
          </cell>
          <cell r="E357">
            <v>60</v>
          </cell>
          <cell r="F357" t="str">
            <v>AW22</v>
          </cell>
          <cell r="G357" t="str">
            <v>XR Textile</v>
          </cell>
          <cell r="H357" t="str">
            <v>HAIRW-premium</v>
          </cell>
          <cell r="I357" t="str">
            <v>GRS Certified* 83% Post Consumer Recycled Polyester (RM0189) 17% Pre Consumer Recycled Polyamide (RM1084)</v>
          </cell>
          <cell r="M357" t="str">
            <v>6504.00.90.15</v>
          </cell>
          <cell r="N357">
            <v>6505009090</v>
          </cell>
          <cell r="O357" t="str">
            <v>6505.00.40.00</v>
          </cell>
          <cell r="P357" t="str">
            <v>6505.00.90.90</v>
          </cell>
          <cell r="Q357">
            <v>0</v>
          </cell>
          <cell r="R357" t="str">
            <v>6505.00.90</v>
          </cell>
          <cell r="S357">
            <v>6507</v>
          </cell>
        </row>
        <row r="358">
          <cell r="A358" t="str">
            <v>HAIRW-HID-GREEN</v>
          </cell>
          <cell r="B358" t="str">
            <v>5.0607E+12</v>
          </cell>
          <cell r="C358" t="str">
            <v>LAST SEASON</v>
          </cell>
          <cell r="D358" t="str">
            <v>Seasonal</v>
          </cell>
          <cell r="E358">
            <v>60</v>
          </cell>
          <cell r="F358" t="str">
            <v>AW22</v>
          </cell>
          <cell r="G358" t="str">
            <v>XR Textile</v>
          </cell>
          <cell r="H358" t="str">
            <v>HAIRW-premium</v>
          </cell>
          <cell r="I358" t="str">
            <v>GRS Certified* 83% Post Consumer Recycled Polyester (RM0189) 17% Pre Consumer Recycled Polyamide (RM1084)</v>
          </cell>
          <cell r="M358" t="str">
            <v>6504.00.90.15</v>
          </cell>
          <cell r="N358">
            <v>6505009090</v>
          </cell>
          <cell r="O358" t="str">
            <v>6505.00.40.00</v>
          </cell>
          <cell r="P358" t="str">
            <v>6505.00.90.90</v>
          </cell>
          <cell r="Q358">
            <v>0</v>
          </cell>
          <cell r="R358" t="str">
            <v>6505.00.90</v>
          </cell>
          <cell r="S358">
            <v>6507</v>
          </cell>
        </row>
        <row r="359">
          <cell r="A359" t="str">
            <v>HAIRW-HID-PINK</v>
          </cell>
          <cell r="B359" t="str">
            <v>5.0607E+12</v>
          </cell>
          <cell r="C359" t="str">
            <v>LAST SEASON</v>
          </cell>
          <cell r="D359" t="str">
            <v>Seasonal</v>
          </cell>
          <cell r="E359">
            <v>60</v>
          </cell>
          <cell r="F359" t="str">
            <v>AW22</v>
          </cell>
          <cell r="G359" t="str">
            <v>XR Textile</v>
          </cell>
          <cell r="H359" t="str">
            <v>HAIRW-premium</v>
          </cell>
          <cell r="I359" t="str">
            <v>GRS Certified* 83% Post Consumer Recycled Polyester (RM0189) 17% Pre Consumer Recycled Polyamide (RM1084)</v>
          </cell>
          <cell r="M359" t="str">
            <v>6504.00.90.15</v>
          </cell>
          <cell r="N359">
            <v>6505009090</v>
          </cell>
          <cell r="O359" t="str">
            <v>6505.00.40.00</v>
          </cell>
          <cell r="P359" t="str">
            <v>6505.00.90.90</v>
          </cell>
          <cell r="Q359">
            <v>0</v>
          </cell>
          <cell r="R359" t="str">
            <v>6505.00.90</v>
          </cell>
          <cell r="S359">
            <v>6507</v>
          </cell>
        </row>
        <row r="360">
          <cell r="A360" t="str">
            <v>HAIRW-SUE-GPCH</v>
          </cell>
          <cell r="B360" t="str">
            <v>5.061E+12</v>
          </cell>
          <cell r="C360" t="str">
            <v>LAST SEASON</v>
          </cell>
          <cell r="D360" t="str">
            <v>Seasonal</v>
          </cell>
          <cell r="E360">
            <v>60</v>
          </cell>
          <cell r="F360" t="str">
            <v>AW24</v>
          </cell>
          <cell r="G360" t="str">
            <v>XR Textile</v>
          </cell>
          <cell r="H360" t="str">
            <v>HAIRW-standard</v>
          </cell>
          <cell r="I360" t="str">
            <v>GRS Certified* 83% Post Consumer Recycled Polyester (RM0189) 17% Pre Consumer Recycled Polyamide (RM1084)</v>
          </cell>
          <cell r="M360" t="str">
            <v>6504.00.90.15</v>
          </cell>
          <cell r="N360">
            <v>6505009090</v>
          </cell>
          <cell r="O360" t="str">
            <v>6505.00.40.00</v>
          </cell>
          <cell r="P360" t="str">
            <v>6505.00.90.90</v>
          </cell>
          <cell r="Q360">
            <v>0</v>
          </cell>
          <cell r="R360" t="str">
            <v>6505.00.90</v>
          </cell>
          <cell r="S360">
            <v>0</v>
          </cell>
        </row>
        <row r="361">
          <cell r="A361" t="str">
            <v>HAIRW-SUM-RAINB</v>
          </cell>
          <cell r="B361" t="str">
            <v>5.0607E+12</v>
          </cell>
          <cell r="C361" t="str">
            <v>LAST SEASON</v>
          </cell>
          <cell r="D361" t="str">
            <v>Seasonal</v>
          </cell>
          <cell r="E361">
            <v>60</v>
          </cell>
          <cell r="F361" t="str">
            <v>SS23</v>
          </cell>
          <cell r="G361" t="str">
            <v>XR Textile</v>
          </cell>
          <cell r="H361" t="str">
            <v>HAIRW-standard</v>
          </cell>
          <cell r="I361" t="str">
            <v>GRS Certified* 83% Post Consumer Recycled Polyester (RM0189) 17% Pre Consumer Recycled Polyamide (RM1084)</v>
          </cell>
          <cell r="M361" t="str">
            <v>6504.00.90.15</v>
          </cell>
          <cell r="N361">
            <v>6505009090</v>
          </cell>
          <cell r="O361" t="str">
            <v>6505.00.40.00</v>
          </cell>
          <cell r="P361" t="str">
            <v>6505.00.90.90</v>
          </cell>
          <cell r="Q361">
            <v>0</v>
          </cell>
          <cell r="R361" t="str">
            <v>6505.00.90</v>
          </cell>
          <cell r="S361">
            <v>0</v>
          </cell>
        </row>
        <row r="362">
          <cell r="A362" t="str">
            <v>HAIRW-WAF-DRMCTCH</v>
          </cell>
          <cell r="B362" t="str">
            <v>5.061E+12</v>
          </cell>
          <cell r="C362" t="str">
            <v>LAST SEASON</v>
          </cell>
          <cell r="D362" t="str">
            <v>Seasonal</v>
          </cell>
          <cell r="E362">
            <v>60</v>
          </cell>
          <cell r="F362" t="str">
            <v>AW24</v>
          </cell>
          <cell r="G362" t="str">
            <v>XR Textile</v>
          </cell>
          <cell r="H362" t="str">
            <v>HAIRW-premium</v>
          </cell>
          <cell r="I362" t="str">
            <v>GRS Certified* 83% Post Consumer Recycled Polyester (RM0189) 17% Pre Consumer Recycled Polyamide (RM1084)</v>
          </cell>
          <cell r="M362" t="str">
            <v>6504.00.90.15</v>
          </cell>
          <cell r="N362">
            <v>6505009090</v>
          </cell>
          <cell r="O362" t="str">
            <v>6505.00.40.00</v>
          </cell>
          <cell r="P362" t="str">
            <v>6505.00.90.90</v>
          </cell>
          <cell r="Q362">
            <v>0</v>
          </cell>
          <cell r="R362" t="str">
            <v>6505.00.90</v>
          </cell>
          <cell r="S362">
            <v>6507</v>
          </cell>
        </row>
        <row r="363">
          <cell r="A363" t="str">
            <v>HOODT-ANI-SM-FROG</v>
          </cell>
          <cell r="B363" t="str">
            <v>5.0607E+12</v>
          </cell>
          <cell r="C363" t="str">
            <v>LAST SEASON</v>
          </cell>
          <cell r="E363">
            <v>40</v>
          </cell>
          <cell r="F363" t="str">
            <v>SS22</v>
          </cell>
          <cell r="G363" t="str">
            <v>XR Textile</v>
          </cell>
          <cell r="H363" t="str">
            <v>HOODT</v>
          </cell>
          <cell r="M363" t="str">
            <v>6302.93.2000</v>
          </cell>
          <cell r="N363">
            <v>6302600090</v>
          </cell>
          <cell r="O363" t="str">
            <v>6302.93.00.00</v>
          </cell>
          <cell r="P363">
            <v>6302939000</v>
          </cell>
          <cell r="Q363">
            <v>0</v>
          </cell>
          <cell r="R363" t="str">
            <v>6302.39.00</v>
          </cell>
          <cell r="S363">
            <v>0</v>
          </cell>
        </row>
        <row r="364">
          <cell r="A364" t="str">
            <v>HOODT-ANI-SM-PIG</v>
          </cell>
          <cell r="B364" t="str">
            <v>5.0607E+12</v>
          </cell>
          <cell r="C364" t="str">
            <v>LAST SEASON</v>
          </cell>
          <cell r="E364">
            <v>40</v>
          </cell>
          <cell r="F364" t="str">
            <v>SS22</v>
          </cell>
          <cell r="G364" t="str">
            <v>XR Textile</v>
          </cell>
          <cell r="H364" t="str">
            <v>HOODT</v>
          </cell>
          <cell r="M364" t="str">
            <v>6302.93.2000</v>
          </cell>
          <cell r="N364">
            <v>6302600090</v>
          </cell>
          <cell r="O364" t="str">
            <v>6302.93.00.00</v>
          </cell>
          <cell r="P364">
            <v>6302939000</v>
          </cell>
          <cell r="Q364">
            <v>0</v>
          </cell>
          <cell r="R364" t="str">
            <v>6302.39.00</v>
          </cell>
          <cell r="S364">
            <v>0</v>
          </cell>
        </row>
        <row r="365">
          <cell r="A365" t="str">
            <v>HOODT-CLA-SM-NAVY</v>
          </cell>
          <cell r="B365" t="str">
            <v>5.0607E+12</v>
          </cell>
          <cell r="C365" t="str">
            <v>LAST SEASON</v>
          </cell>
          <cell r="E365">
            <v>40</v>
          </cell>
          <cell r="F365" t="str">
            <v>SS22</v>
          </cell>
          <cell r="G365" t="str">
            <v>XR Textile</v>
          </cell>
          <cell r="H365" t="str">
            <v>HOODT</v>
          </cell>
          <cell r="M365" t="str">
            <v>6302.93.2000</v>
          </cell>
          <cell r="N365">
            <v>6302600090</v>
          </cell>
          <cell r="O365" t="str">
            <v>6302.93.00.00</v>
          </cell>
          <cell r="P365">
            <v>6302939000</v>
          </cell>
          <cell r="Q365">
            <v>0</v>
          </cell>
          <cell r="R365" t="str">
            <v>6302.39.00</v>
          </cell>
          <cell r="S365">
            <v>0</v>
          </cell>
        </row>
        <row r="366">
          <cell r="A366" t="str">
            <v>MAKUP-CLA-NAVY</v>
          </cell>
          <cell r="B366" t="str">
            <v>5.0607E+12</v>
          </cell>
          <cell r="C366" t="str">
            <v>LAST SEASON</v>
          </cell>
          <cell r="E366">
            <v>100</v>
          </cell>
          <cell r="F366" t="str">
            <v>SS23</v>
          </cell>
          <cell r="G366" t="str">
            <v>Bright Eagle (Rebecca)</v>
          </cell>
          <cell r="H366" t="str">
            <v>MAKUP</v>
          </cell>
          <cell r="M366" t="str">
            <v>9616.20.00.00</v>
          </cell>
          <cell r="N366">
            <v>9616200000</v>
          </cell>
          <cell r="O366" t="str">
            <v>9616.20.00.00</v>
          </cell>
          <cell r="P366">
            <v>9616200000</v>
          </cell>
          <cell r="Q366">
            <v>0</v>
          </cell>
          <cell r="R366" t="str">
            <v>9616.20.00</v>
          </cell>
          <cell r="S366">
            <v>0</v>
          </cell>
        </row>
        <row r="367">
          <cell r="A367" t="str">
            <v>MAKUP-HOM-3PAK-FBA</v>
          </cell>
          <cell r="B367" t="str">
            <v>5.061E+12</v>
          </cell>
          <cell r="C367" t="str">
            <v>LAST SEASON</v>
          </cell>
          <cell r="E367">
            <v>200</v>
          </cell>
          <cell r="G367" t="str">
            <v>Bright Eagle (Rebecca)</v>
          </cell>
          <cell r="H367" t="str">
            <v>MAKUP</v>
          </cell>
          <cell r="M367" t="str">
            <v>9616.20.00.00</v>
          </cell>
          <cell r="N367">
            <v>9616200000</v>
          </cell>
          <cell r="O367" t="str">
            <v>9616.20.00.00</v>
          </cell>
          <cell r="P367">
            <v>9616200000</v>
          </cell>
          <cell r="Q367">
            <v>0</v>
          </cell>
          <cell r="R367" t="str">
            <v>9616.20.00</v>
          </cell>
          <cell r="S367">
            <v>0</v>
          </cell>
        </row>
        <row r="368">
          <cell r="A368" t="str">
            <v>MAKUP-HOM-6PAK-FBA</v>
          </cell>
          <cell r="B368" t="str">
            <v>5.061E+12</v>
          </cell>
          <cell r="C368" t="str">
            <v>LAST SEASON</v>
          </cell>
          <cell r="E368">
            <v>100</v>
          </cell>
          <cell r="G368" t="str">
            <v>Bright Eagle (Rebecca)</v>
          </cell>
          <cell r="H368" t="str">
            <v>MAKUP</v>
          </cell>
          <cell r="M368" t="str">
            <v>9616.20.00.00</v>
          </cell>
          <cell r="N368">
            <v>9616200000</v>
          </cell>
          <cell r="O368" t="str">
            <v>9616.20.00.00</v>
          </cell>
          <cell r="P368">
            <v>9616200000</v>
          </cell>
          <cell r="Q368">
            <v>0</v>
          </cell>
          <cell r="R368" t="str">
            <v>9616.20.00</v>
          </cell>
          <cell r="S368">
            <v>0</v>
          </cell>
        </row>
        <row r="369">
          <cell r="A369" t="str">
            <v>MAKUP-HOM-9PAK-FBA</v>
          </cell>
          <cell r="B369" t="str">
            <v>5.061E+12</v>
          </cell>
          <cell r="C369" t="str">
            <v>LAST SEASON</v>
          </cell>
          <cell r="E369">
            <v>50</v>
          </cell>
          <cell r="G369" t="str">
            <v>Bright Eagle (Rebecca)</v>
          </cell>
          <cell r="H369" t="str">
            <v>MAKUP</v>
          </cell>
          <cell r="M369" t="str">
            <v>9616.20.00.00</v>
          </cell>
          <cell r="N369">
            <v>9616200000</v>
          </cell>
          <cell r="O369" t="str">
            <v>9616.20.00.00</v>
          </cell>
          <cell r="P369">
            <v>9616200000</v>
          </cell>
          <cell r="Q369">
            <v>0</v>
          </cell>
          <cell r="R369" t="str">
            <v>9616.20.00</v>
          </cell>
          <cell r="S369">
            <v>0</v>
          </cell>
        </row>
        <row r="370">
          <cell r="A370" t="str">
            <v>MAKUP-STD-LTPNK</v>
          </cell>
          <cell r="B370" t="str">
            <v>5.0607E+12</v>
          </cell>
          <cell r="C370" t="str">
            <v>LAST SEASON</v>
          </cell>
          <cell r="E370">
            <v>100</v>
          </cell>
          <cell r="F370" t="str">
            <v>SS23</v>
          </cell>
          <cell r="G370" t="str">
            <v>Bright Eagle (Rebecca)</v>
          </cell>
          <cell r="H370" t="str">
            <v>MAKUP</v>
          </cell>
          <cell r="M370" t="str">
            <v>9616.20.00.00</v>
          </cell>
          <cell r="N370">
            <v>9616200000</v>
          </cell>
          <cell r="O370" t="str">
            <v>9616.20.00.00</v>
          </cell>
          <cell r="P370">
            <v>9616200000</v>
          </cell>
          <cell r="Q370">
            <v>0</v>
          </cell>
          <cell r="R370" t="str">
            <v>9616.20.00</v>
          </cell>
          <cell r="S370">
            <v>0</v>
          </cell>
        </row>
        <row r="371">
          <cell r="A371" t="str">
            <v>MAKUP-STD-NAVY</v>
          </cell>
          <cell r="B371" t="str">
            <v>5.0607E+12</v>
          </cell>
          <cell r="C371" t="str">
            <v>LAST SEASON</v>
          </cell>
          <cell r="E371">
            <v>100</v>
          </cell>
          <cell r="F371" t="str">
            <v>SS23</v>
          </cell>
          <cell r="G371" t="str">
            <v>Bright Eagle (Rebecca)</v>
          </cell>
          <cell r="H371" t="str">
            <v>MAKUP</v>
          </cell>
          <cell r="M371" t="str">
            <v>9616.20.00.00</v>
          </cell>
          <cell r="N371">
            <v>9616200000</v>
          </cell>
          <cell r="O371" t="str">
            <v>9616.20.00.00</v>
          </cell>
          <cell r="P371">
            <v>9616200000</v>
          </cell>
          <cell r="Q371">
            <v>0</v>
          </cell>
          <cell r="R371" t="str">
            <v>9616.20.00</v>
          </cell>
          <cell r="S371">
            <v>0</v>
          </cell>
        </row>
        <row r="372">
          <cell r="A372" t="str">
            <v>PICNIC-DES-LG-BANARAM</v>
          </cell>
          <cell r="B372" t="str">
            <v>5.061E+12</v>
          </cell>
          <cell r="C372" t="str">
            <v>LAST SEASON</v>
          </cell>
          <cell r="D372" t="str">
            <v>Seasonal</v>
          </cell>
          <cell r="E372">
            <v>16</v>
          </cell>
          <cell r="F372" t="str">
            <v>SS25</v>
          </cell>
          <cell r="G372" t="str">
            <v>XR Textile</v>
          </cell>
          <cell r="H372" t="str">
            <v>PICNIC</v>
          </cell>
          <cell r="I372" t="str">
            <v>GRS Certified** Upper: 83% Post Consumer Recycled Polyester (RM0189) 17% Pre Consumer Recycled Polyamide (RM1084) Reverse: 100% Post Consumer Recycled Polyester (RM0189)</v>
          </cell>
          <cell r="M372" t="str">
            <v>6301.40.0020</v>
          </cell>
          <cell r="N372">
            <v>6301409099</v>
          </cell>
          <cell r="O372" t="str">
            <v>6301.40.0020</v>
          </cell>
          <cell r="P372">
            <v>6301409099</v>
          </cell>
          <cell r="Q372">
            <v>0</v>
          </cell>
          <cell r="R372" t="str">
            <v>6301.40.00</v>
          </cell>
          <cell r="S372">
            <v>6301</v>
          </cell>
        </row>
        <row r="373">
          <cell r="A373" t="str">
            <v>PICNIC-DES-LG-MARGMAD</v>
          </cell>
          <cell r="B373" t="str">
            <v>5.061E+12</v>
          </cell>
          <cell r="C373" t="str">
            <v>LAST SEASON</v>
          </cell>
          <cell r="D373" t="str">
            <v>Seasonal</v>
          </cell>
          <cell r="E373">
            <v>16</v>
          </cell>
          <cell r="F373" t="str">
            <v>SS25</v>
          </cell>
          <cell r="G373" t="str">
            <v>XR Textile</v>
          </cell>
          <cell r="H373" t="str">
            <v>PICNIC</v>
          </cell>
          <cell r="I373" t="str">
            <v>GRS Certified** Upper: 83% Post Consumer Recycled Polyester (RM0189) 17% Pre Consumer Recycled Polyamide (RM1084) Reverse: 100% Post Consumer Recycled Polyester (RM0189)</v>
          </cell>
          <cell r="M373" t="str">
            <v>6301.40.0020</v>
          </cell>
          <cell r="N373">
            <v>6301409099</v>
          </cell>
          <cell r="O373" t="str">
            <v>6301.40.0020</v>
          </cell>
          <cell r="P373">
            <v>6301409099</v>
          </cell>
          <cell r="Q373">
            <v>0</v>
          </cell>
          <cell r="R373" t="str">
            <v>6301.40.00</v>
          </cell>
          <cell r="S373">
            <v>6301</v>
          </cell>
        </row>
        <row r="374">
          <cell r="A374" t="str">
            <v>PICNIC-DES-LG-TERATROP</v>
          </cell>
          <cell r="B374" t="str">
            <v>5.061E+12</v>
          </cell>
          <cell r="C374" t="str">
            <v>LAST SEASON</v>
          </cell>
          <cell r="D374" t="str">
            <v>Seasonal</v>
          </cell>
          <cell r="E374">
            <v>16</v>
          </cell>
          <cell r="F374" t="str">
            <v>SS24</v>
          </cell>
          <cell r="G374" t="str">
            <v>XR Textile</v>
          </cell>
          <cell r="H374" t="str">
            <v>PICNIC</v>
          </cell>
          <cell r="I374" t="str">
            <v>GRS Certified** Upper: 83% Post Consumer Recycled Polyester (RM0189) 17% Pre Consumer Recycled Polyamide (RM1084) Reverse: 100% Post Consumer Recycled Polyester (RM0189)</v>
          </cell>
          <cell r="M374" t="str">
            <v>6301.40.0020</v>
          </cell>
          <cell r="N374">
            <v>6301409099</v>
          </cell>
          <cell r="O374" t="str">
            <v>6301.40.0020</v>
          </cell>
          <cell r="P374">
            <v>6301409099</v>
          </cell>
          <cell r="Q374">
            <v>0</v>
          </cell>
          <cell r="R374" t="str">
            <v>6301.40.00</v>
          </cell>
          <cell r="S374">
            <v>6301</v>
          </cell>
        </row>
        <row r="375">
          <cell r="A375" t="str">
            <v>PICNIC-DES-XL-BANARAM</v>
          </cell>
          <cell r="B375" t="str">
            <v>5.061E+12</v>
          </cell>
          <cell r="C375" t="str">
            <v>LAST SEASON</v>
          </cell>
          <cell r="D375" t="str">
            <v>Seasonal</v>
          </cell>
          <cell r="E375">
            <v>12</v>
          </cell>
          <cell r="F375" t="str">
            <v>SS25</v>
          </cell>
          <cell r="G375" t="str">
            <v>XR Textile</v>
          </cell>
          <cell r="H375" t="str">
            <v>PICNIC</v>
          </cell>
          <cell r="I375" t="str">
            <v>GRS Certified** Upper: 83% Post Consumer Recycled Polyester (RM0189) 17% Pre Consumer Recycled Polyamide (RM1084) Reverse: 100% Post Consumer Recycled Polyester (RM0189)</v>
          </cell>
          <cell r="M375" t="str">
            <v>6301.40.0020</v>
          </cell>
          <cell r="N375">
            <v>6301409099</v>
          </cell>
          <cell r="O375" t="str">
            <v>6301.40.0020</v>
          </cell>
          <cell r="P375">
            <v>6301409099</v>
          </cell>
          <cell r="Q375">
            <v>0</v>
          </cell>
          <cell r="R375" t="str">
            <v>6301.40.00</v>
          </cell>
          <cell r="S375">
            <v>6301</v>
          </cell>
        </row>
        <row r="376">
          <cell r="A376" t="str">
            <v>PICNIC-DES-XL-MARGMAD</v>
          </cell>
          <cell r="B376" t="str">
            <v>5.061E+12</v>
          </cell>
          <cell r="C376" t="str">
            <v>LAST SEASON</v>
          </cell>
          <cell r="D376" t="str">
            <v>Seasonal</v>
          </cell>
          <cell r="E376">
            <v>12</v>
          </cell>
          <cell r="F376" t="str">
            <v>SS25</v>
          </cell>
          <cell r="G376" t="str">
            <v>XR Textile</v>
          </cell>
          <cell r="H376" t="str">
            <v>PICNIC</v>
          </cell>
          <cell r="I376" t="str">
            <v>GRS Certified** Upper: 83% Post Consumer Recycled Polyester (RM0189) 17% Pre Consumer Recycled Polyamide (RM1084) Reverse: 100% Post Consumer Recycled Polyester (RM0189)</v>
          </cell>
          <cell r="M376" t="str">
            <v>6301.40.0020</v>
          </cell>
          <cell r="N376">
            <v>6301409099</v>
          </cell>
          <cell r="O376" t="str">
            <v>6301.40.0020</v>
          </cell>
          <cell r="P376">
            <v>6301409099</v>
          </cell>
          <cell r="Q376">
            <v>0</v>
          </cell>
          <cell r="R376" t="str">
            <v>6301.40.00</v>
          </cell>
          <cell r="S376">
            <v>6301</v>
          </cell>
        </row>
        <row r="377">
          <cell r="A377" t="str">
            <v>PICNIC-DES-XL-TERATROP</v>
          </cell>
          <cell r="B377" t="str">
            <v>5.061E+12</v>
          </cell>
          <cell r="C377" t="str">
            <v>LAST SEASON</v>
          </cell>
          <cell r="E377">
            <v>12</v>
          </cell>
          <cell r="F377" t="str">
            <v>SS24</v>
          </cell>
          <cell r="G377" t="str">
            <v>XR Textile</v>
          </cell>
          <cell r="H377" t="str">
            <v>PICNIC</v>
          </cell>
          <cell r="I377" t="str">
            <v>GRS Certified** Upper: 83% Post Consumer Recycled Polyester (RM0189) 17% Pre Consumer Recycled Polyamide (RM1084) Reverse: 100% Post Consumer Recycled Polyester (RM0189)</v>
          </cell>
          <cell r="M377" t="str">
            <v>6301.40.0020</v>
          </cell>
          <cell r="N377">
            <v>6301409099</v>
          </cell>
          <cell r="O377" t="str">
            <v>6301.40.0020</v>
          </cell>
          <cell r="P377">
            <v>6301409099</v>
          </cell>
          <cell r="Q377">
            <v>0</v>
          </cell>
          <cell r="R377" t="str">
            <v>6301.40.00</v>
          </cell>
          <cell r="S377">
            <v>6301</v>
          </cell>
        </row>
        <row r="378">
          <cell r="A378" t="str">
            <v>PICNIC-GIN-LG-BLUE</v>
          </cell>
          <cell r="B378" t="str">
            <v>5.0607E+12</v>
          </cell>
          <cell r="C378" t="str">
            <v>LAST SEASON</v>
          </cell>
          <cell r="E378">
            <v>16</v>
          </cell>
          <cell r="F378" t="str">
            <v>SS23</v>
          </cell>
          <cell r="G378" t="str">
            <v>XR Textile</v>
          </cell>
          <cell r="H378" t="str">
            <v>PICNIC</v>
          </cell>
          <cell r="I378" t="str">
            <v>GRS Certified** Upper: 83% Post Consumer Recycled Polyester (RM0189) 17% Pre Consumer Recycled Polyamide (RM1084) Reverse: 100% Post Consumer Recycled Polyester (RM0189)</v>
          </cell>
          <cell r="M378" t="str">
            <v>6301.40.0020</v>
          </cell>
          <cell r="N378">
            <v>6301409099</v>
          </cell>
          <cell r="O378" t="str">
            <v>6301.40.0020</v>
          </cell>
          <cell r="P378">
            <v>6301409099</v>
          </cell>
          <cell r="Q378">
            <v>0</v>
          </cell>
          <cell r="R378" t="str">
            <v>6301.40.00</v>
          </cell>
          <cell r="S378">
            <v>6301</v>
          </cell>
        </row>
        <row r="379">
          <cell r="A379" t="str">
            <v>PICNIC-SGW-LG-GETWAV</v>
          </cell>
          <cell r="B379" t="str">
            <v>5.0607E+12</v>
          </cell>
          <cell r="C379" t="str">
            <v>LAST SEASON</v>
          </cell>
          <cell r="D379" t="str">
            <v>Seasonal</v>
          </cell>
          <cell r="E379">
            <v>16</v>
          </cell>
          <cell r="F379" t="str">
            <v>SS23</v>
          </cell>
          <cell r="G379" t="str">
            <v>XR Textile</v>
          </cell>
          <cell r="H379" t="str">
            <v>PICNIC</v>
          </cell>
          <cell r="I379" t="str">
            <v>GRS Certified** Upper: 83% Post Consumer Recycled Polyester (RM0189) 17% Pre Consumer Recycled Polyamide (RM1084) Reverse: 100% Post Consumer Recycled Polyester (RM0189)</v>
          </cell>
          <cell r="M379" t="str">
            <v>6301.40.0020</v>
          </cell>
          <cell r="N379">
            <v>6301409099</v>
          </cell>
          <cell r="O379" t="str">
            <v>6301.40.0020</v>
          </cell>
          <cell r="P379">
            <v>6301409099</v>
          </cell>
          <cell r="Q379">
            <v>0</v>
          </cell>
          <cell r="R379" t="str">
            <v>6301.40.00</v>
          </cell>
          <cell r="S379">
            <v>6301</v>
          </cell>
        </row>
        <row r="380">
          <cell r="A380" t="str">
            <v>PICNIC-SUM-LG-SANDSEA</v>
          </cell>
          <cell r="B380" t="str">
            <v>5.061E+12</v>
          </cell>
          <cell r="C380" t="str">
            <v>LAST SEASON</v>
          </cell>
          <cell r="D380" t="str">
            <v>Seasonal</v>
          </cell>
          <cell r="E380">
            <v>16</v>
          </cell>
          <cell r="F380" t="str">
            <v>SS24</v>
          </cell>
          <cell r="G380" t="str">
            <v>XR Textile</v>
          </cell>
          <cell r="H380" t="str">
            <v>PICNIC</v>
          </cell>
          <cell r="I380" t="str">
            <v>GRS Certified** Upper: 83% Post Consumer Recycled Polyester (RM0189) 17% Pre Consumer Recycled Polyamide (RM1084) Reverse: 100% Post Consumer Recycled Polyester (RM0189)</v>
          </cell>
          <cell r="M380" t="str">
            <v>6301.40.0020</v>
          </cell>
          <cell r="N380">
            <v>6301409099</v>
          </cell>
          <cell r="O380" t="str">
            <v>6301.40.0020</v>
          </cell>
          <cell r="P380">
            <v>6301409099</v>
          </cell>
          <cell r="Q380">
            <v>0</v>
          </cell>
          <cell r="R380" t="str">
            <v>6301.40.00</v>
          </cell>
          <cell r="S380">
            <v>6301</v>
          </cell>
        </row>
        <row r="381">
          <cell r="A381" t="str">
            <v>PICNIC-SUM-XL-SANDSEA</v>
          </cell>
          <cell r="B381" t="str">
            <v>5.061E+12</v>
          </cell>
          <cell r="C381" t="str">
            <v>LAST SEASON</v>
          </cell>
          <cell r="D381" t="str">
            <v>Seasonal</v>
          </cell>
          <cell r="E381">
            <v>12</v>
          </cell>
          <cell r="F381" t="str">
            <v>SS24</v>
          </cell>
          <cell r="G381" t="str">
            <v>XR Textile</v>
          </cell>
          <cell r="H381" t="str">
            <v>PICNIC</v>
          </cell>
          <cell r="I381" t="str">
            <v>GRS Certified** Upper: 83% Post Consumer Recycled Polyester (RM0189) 17% Pre Consumer Recycled Polyamide (RM1084) Reverse: 100% Post Consumer Recycled Polyester (RM0189)</v>
          </cell>
          <cell r="M381" t="str">
            <v>6301.40.0020</v>
          </cell>
          <cell r="N381">
            <v>6301409099</v>
          </cell>
          <cell r="O381" t="str">
            <v>6301.40.0020</v>
          </cell>
          <cell r="P381">
            <v>6301409099</v>
          </cell>
          <cell r="Q381">
            <v>0</v>
          </cell>
          <cell r="R381" t="str">
            <v>6301.40.00</v>
          </cell>
          <cell r="S381">
            <v>6301</v>
          </cell>
        </row>
        <row r="382">
          <cell r="A382" t="str">
            <v>PONCHA-CAB-SM-GREY-R</v>
          </cell>
          <cell r="B382" t="str">
            <v>5.0607E+12</v>
          </cell>
          <cell r="C382" t="str">
            <v>LAST SEASON</v>
          </cell>
          <cell r="E382">
            <v>20</v>
          </cell>
          <cell r="F382" t="str">
            <v>before AW20</v>
          </cell>
          <cell r="G382" t="str">
            <v>XR Textile</v>
          </cell>
          <cell r="H382" t="str">
            <v>PONCHA</v>
          </cell>
          <cell r="I382" t="str">
            <v>GRS Certified* 83% Post Consumer Recycled Polyester (RM0189) 17% Pre Consumer Recycled Polyamide (RM1084)</v>
          </cell>
          <cell r="M382" t="str">
            <v>6101.90.90.30</v>
          </cell>
          <cell r="N382">
            <v>6101309000</v>
          </cell>
          <cell r="O382">
            <v>6112399000</v>
          </cell>
          <cell r="P382" t="str">
            <v>6211 4390 00</v>
          </cell>
          <cell r="Q382">
            <v>6117109000</v>
          </cell>
          <cell r="R382" t="str">
            <v>6112.39.00</v>
          </cell>
          <cell r="S382">
            <v>6202</v>
          </cell>
        </row>
        <row r="383">
          <cell r="A383" t="str">
            <v>PONCHA-CLA-MD-BLACK</v>
          </cell>
          <cell r="B383" t="str">
            <v>5.0607E+12</v>
          </cell>
          <cell r="C383" t="str">
            <v>LAST SEASON</v>
          </cell>
          <cell r="E383">
            <v>20</v>
          </cell>
          <cell r="F383" t="str">
            <v>SS22</v>
          </cell>
          <cell r="G383" t="str">
            <v>XR Textile</v>
          </cell>
          <cell r="H383" t="str">
            <v>PONCHA</v>
          </cell>
          <cell r="I383" t="str">
            <v>GRS Certified* 83% Post Consumer Recycled Polyester (RM0189) 17% Pre Consumer Recycled Polyamide (RM1084)</v>
          </cell>
          <cell r="M383" t="str">
            <v>6101.90.90.30</v>
          </cell>
          <cell r="N383">
            <v>6101309000</v>
          </cell>
          <cell r="O383">
            <v>6112399000</v>
          </cell>
          <cell r="P383" t="str">
            <v>6211 4390 00</v>
          </cell>
          <cell r="Q383">
            <v>6117109000</v>
          </cell>
          <cell r="R383" t="str">
            <v>6112.39.00</v>
          </cell>
          <cell r="S383">
            <v>6202</v>
          </cell>
        </row>
        <row r="384">
          <cell r="A384" t="str">
            <v>PONCHA-CLA-SM-BLACK</v>
          </cell>
          <cell r="B384" t="str">
            <v>5.0607E+12</v>
          </cell>
          <cell r="C384" t="str">
            <v>LAST SEASON</v>
          </cell>
          <cell r="E384">
            <v>20</v>
          </cell>
          <cell r="F384" t="str">
            <v>SS22</v>
          </cell>
          <cell r="G384" t="str">
            <v>XR Textile</v>
          </cell>
          <cell r="H384" t="str">
            <v>PONCHA</v>
          </cell>
          <cell r="I384" t="str">
            <v>GRS Certified* 83% Post Consumer Recycled Polyester (RM0189) 17% Pre Consumer Recycled Polyamide (RM1084)</v>
          </cell>
          <cell r="M384" t="str">
            <v>6101.90.90.30</v>
          </cell>
          <cell r="N384">
            <v>6101309000</v>
          </cell>
          <cell r="O384">
            <v>6112399000</v>
          </cell>
          <cell r="P384" t="str">
            <v>6211 4390 00</v>
          </cell>
          <cell r="Q384">
            <v>6117109000</v>
          </cell>
          <cell r="R384" t="str">
            <v>6112.39.00</v>
          </cell>
          <cell r="S384">
            <v>6202</v>
          </cell>
        </row>
        <row r="385">
          <cell r="A385" t="str">
            <v>PONCHA-CLA-SM-NAVY</v>
          </cell>
          <cell r="B385" t="str">
            <v>5.0607E+12</v>
          </cell>
          <cell r="C385" t="str">
            <v>LAST SEASON</v>
          </cell>
          <cell r="E385">
            <v>20</v>
          </cell>
          <cell r="F385" t="str">
            <v>SS22</v>
          </cell>
          <cell r="G385" t="str">
            <v>XR Textile</v>
          </cell>
          <cell r="H385" t="str">
            <v>PONCHA</v>
          </cell>
          <cell r="I385" t="str">
            <v>GRS Certified* 83% Post Consumer Recycled Polyester (RM0189) 17% Pre Consumer Recycled Polyamide (RM1084)</v>
          </cell>
          <cell r="M385" t="str">
            <v>6101.90.90.30</v>
          </cell>
          <cell r="N385">
            <v>6101309000</v>
          </cell>
          <cell r="O385">
            <v>6112399000</v>
          </cell>
          <cell r="P385" t="str">
            <v>6211 4390 00</v>
          </cell>
          <cell r="Q385">
            <v>6117109000</v>
          </cell>
          <cell r="R385" t="str">
            <v>6112.39.00</v>
          </cell>
          <cell r="S385">
            <v>6202</v>
          </cell>
        </row>
        <row r="386">
          <cell r="A386" t="str">
            <v>PONCHA-DES-LG-CHECKMT</v>
          </cell>
          <cell r="B386" t="str">
            <v>5.061E+12</v>
          </cell>
          <cell r="C386" t="str">
            <v>LAST SEASON</v>
          </cell>
          <cell r="D386" t="str">
            <v>Seasonal</v>
          </cell>
          <cell r="E386">
            <v>20</v>
          </cell>
          <cell r="F386" t="str">
            <v>SS25</v>
          </cell>
          <cell r="G386" t="str">
            <v>XR Textile</v>
          </cell>
          <cell r="H386" t="str">
            <v>PONCHA</v>
          </cell>
          <cell r="I386" t="str">
            <v>GRS Certified* 83% Post Consumer Recycled Polyester (RM0189) 17% Pre Consumer Recycled Polyamide (RM1084)</v>
          </cell>
          <cell r="M386" t="str">
            <v>6101.90.90.30</v>
          </cell>
          <cell r="N386">
            <v>6101309000</v>
          </cell>
          <cell r="O386">
            <v>6112399000</v>
          </cell>
          <cell r="P386" t="str">
            <v>6211 4390 00</v>
          </cell>
          <cell r="Q386">
            <v>6117109000</v>
          </cell>
          <cell r="R386" t="str">
            <v>6112.39.00</v>
          </cell>
          <cell r="S386">
            <v>6202</v>
          </cell>
        </row>
        <row r="387">
          <cell r="A387" t="str">
            <v>PONCHA-DES-LG-FRUTLPS</v>
          </cell>
          <cell r="B387" t="str">
            <v>5.061E+12</v>
          </cell>
          <cell r="C387" t="str">
            <v>LAST SEASON</v>
          </cell>
          <cell r="D387" t="str">
            <v>Seasonal</v>
          </cell>
          <cell r="E387">
            <v>20</v>
          </cell>
          <cell r="F387" t="str">
            <v>SS25</v>
          </cell>
          <cell r="G387" t="str">
            <v>XR Textile</v>
          </cell>
          <cell r="H387" t="str">
            <v>PONCHA</v>
          </cell>
          <cell r="I387" t="str">
            <v>GRS Certified* 83% Post Consumer Recycled Polyester (RM0189) 17% Pre Consumer Recycled Polyamide (RM1084)</v>
          </cell>
          <cell r="M387" t="str">
            <v>6101.90.90.30</v>
          </cell>
          <cell r="N387">
            <v>6101309000</v>
          </cell>
          <cell r="O387">
            <v>6112399000</v>
          </cell>
          <cell r="P387" t="str">
            <v>6211 4390 00</v>
          </cell>
          <cell r="Q387">
            <v>6117109000</v>
          </cell>
          <cell r="R387" t="str">
            <v>6112.39.00</v>
          </cell>
          <cell r="S387">
            <v>6202</v>
          </cell>
        </row>
        <row r="388">
          <cell r="A388" t="str">
            <v>PONCHA-DES-LG-GROOVCH</v>
          </cell>
          <cell r="B388" t="str">
            <v>5.061E+12</v>
          </cell>
          <cell r="C388" t="str">
            <v>LAST SEASON</v>
          </cell>
          <cell r="D388" t="str">
            <v>Seasonal</v>
          </cell>
          <cell r="E388">
            <v>20</v>
          </cell>
          <cell r="F388" t="str">
            <v>SS25</v>
          </cell>
          <cell r="G388" t="str">
            <v>XR Textile</v>
          </cell>
          <cell r="H388" t="str">
            <v>PONCHA</v>
          </cell>
          <cell r="I388" t="str">
            <v>GRS Certified* 83% Post Consumer Recycled Polyester (RM0189) 17% Pre Consumer Recycled Polyamide (RM1084)</v>
          </cell>
          <cell r="M388" t="str">
            <v>6101.90.90.30</v>
          </cell>
          <cell r="N388">
            <v>6101309000</v>
          </cell>
          <cell r="O388">
            <v>6112399000</v>
          </cell>
          <cell r="P388" t="str">
            <v>6211 4390 00</v>
          </cell>
          <cell r="Q388">
            <v>6117109000</v>
          </cell>
          <cell r="R388" t="str">
            <v>6112.39.00</v>
          </cell>
          <cell r="S388">
            <v>6202</v>
          </cell>
        </row>
        <row r="389">
          <cell r="A389" t="str">
            <v>PONCHA-DES-LG-PALMBCH</v>
          </cell>
          <cell r="B389" t="str">
            <v>5.061E+12</v>
          </cell>
          <cell r="C389" t="str">
            <v>LAST SEASON</v>
          </cell>
          <cell r="D389" t="str">
            <v>Seasonal</v>
          </cell>
          <cell r="E389">
            <v>20</v>
          </cell>
          <cell r="F389" t="str">
            <v>SS24</v>
          </cell>
          <cell r="G389" t="str">
            <v>XR Textile</v>
          </cell>
          <cell r="H389" t="str">
            <v>PONCHA</v>
          </cell>
          <cell r="I389" t="str">
            <v>GRS Certified* 83% Post Consumer Recycled Polyester (RM0189) 17% Pre Consumer Recycled Polyamide (RM1084)</v>
          </cell>
          <cell r="M389" t="str">
            <v>6101.90.90.30</v>
          </cell>
          <cell r="N389">
            <v>6101309000</v>
          </cell>
          <cell r="O389">
            <v>6112399000</v>
          </cell>
          <cell r="P389" t="str">
            <v>6211 4390 00</v>
          </cell>
          <cell r="Q389">
            <v>6117109000</v>
          </cell>
          <cell r="R389" t="str">
            <v>6112.39.00</v>
          </cell>
          <cell r="S389">
            <v>6202</v>
          </cell>
        </row>
        <row r="390">
          <cell r="A390" t="str">
            <v>PONCHA-DES-MD-CHECKMT</v>
          </cell>
          <cell r="B390" t="str">
            <v>5.061E+12</v>
          </cell>
          <cell r="C390" t="str">
            <v>LAST SEASON</v>
          </cell>
          <cell r="D390" t="str">
            <v>Seasonal</v>
          </cell>
          <cell r="E390">
            <v>20</v>
          </cell>
          <cell r="F390" t="str">
            <v>SS25</v>
          </cell>
          <cell r="G390" t="str">
            <v>XR Textile</v>
          </cell>
          <cell r="H390" t="str">
            <v>PONCHA</v>
          </cell>
          <cell r="I390" t="str">
            <v>GRS Certified* 83% Post Consumer Recycled Polyester (RM0189) 17% Pre Consumer Recycled Polyamide (RM1084)</v>
          </cell>
          <cell r="M390" t="str">
            <v>6101.90.90.30</v>
          </cell>
          <cell r="N390">
            <v>6101309000</v>
          </cell>
          <cell r="O390">
            <v>6112399000</v>
          </cell>
          <cell r="P390" t="str">
            <v>6211 4390 00</v>
          </cell>
          <cell r="Q390">
            <v>6117109000</v>
          </cell>
          <cell r="R390" t="str">
            <v>6112.39.00</v>
          </cell>
          <cell r="S390">
            <v>6202</v>
          </cell>
        </row>
        <row r="391">
          <cell r="A391" t="str">
            <v>PONCHA-DES-MD-FRUTLPS</v>
          </cell>
          <cell r="B391" t="str">
            <v>5.061E+12</v>
          </cell>
          <cell r="C391" t="str">
            <v>LAST SEASON</v>
          </cell>
          <cell r="D391" t="str">
            <v>Seasonal</v>
          </cell>
          <cell r="E391">
            <v>20</v>
          </cell>
          <cell r="F391" t="str">
            <v>SS25</v>
          </cell>
          <cell r="G391" t="str">
            <v>XR Textile</v>
          </cell>
          <cell r="H391" t="str">
            <v>PONCHA</v>
          </cell>
          <cell r="I391" t="str">
            <v>GRS Certified* 83% Post Consumer Recycled Polyester (RM0189) 17% Pre Consumer Recycled Polyamide (RM1084)</v>
          </cell>
          <cell r="M391" t="str">
            <v>6101.90.90.30</v>
          </cell>
          <cell r="N391">
            <v>6101309000</v>
          </cell>
          <cell r="O391">
            <v>6112399000</v>
          </cell>
          <cell r="P391" t="str">
            <v>6211 4390 00</v>
          </cell>
          <cell r="Q391">
            <v>6117109000</v>
          </cell>
          <cell r="R391" t="str">
            <v>6112.39.00</v>
          </cell>
          <cell r="S391">
            <v>6202</v>
          </cell>
        </row>
        <row r="392">
          <cell r="A392" t="str">
            <v>PONCHA-DES-MD-GROOVCH</v>
          </cell>
          <cell r="B392" t="str">
            <v>5.061E+12</v>
          </cell>
          <cell r="C392" t="str">
            <v>LAST SEASON</v>
          </cell>
          <cell r="D392" t="str">
            <v>Seasonal</v>
          </cell>
          <cell r="E392">
            <v>20</v>
          </cell>
          <cell r="F392" t="str">
            <v>SS25</v>
          </cell>
          <cell r="G392" t="str">
            <v>XR Textile</v>
          </cell>
          <cell r="H392" t="str">
            <v>PONCHA</v>
          </cell>
          <cell r="I392" t="str">
            <v>GRS Certified* 83% Post Consumer Recycled Polyester (RM0189) 17% Pre Consumer Recycled Polyamide (RM1084)</v>
          </cell>
          <cell r="M392" t="str">
            <v>6101.90.90.30</v>
          </cell>
          <cell r="N392">
            <v>6101309000</v>
          </cell>
          <cell r="O392">
            <v>6112399000</v>
          </cell>
          <cell r="P392" t="str">
            <v>6211 4390 00</v>
          </cell>
          <cell r="Q392">
            <v>6117109000</v>
          </cell>
          <cell r="R392" t="str">
            <v>6112.39.00</v>
          </cell>
          <cell r="S392">
            <v>6202</v>
          </cell>
        </row>
        <row r="393">
          <cell r="A393" t="str">
            <v>PONCHA-DES-MD-PALMBCH</v>
          </cell>
          <cell r="B393" t="str">
            <v>5.061E+12</v>
          </cell>
          <cell r="C393" t="str">
            <v>LAST SEASON</v>
          </cell>
          <cell r="D393" t="str">
            <v>Seasonal</v>
          </cell>
          <cell r="E393">
            <v>20</v>
          </cell>
          <cell r="F393" t="str">
            <v>SS24</v>
          </cell>
          <cell r="G393" t="str">
            <v>XR Textile</v>
          </cell>
          <cell r="H393" t="str">
            <v>PONCHA</v>
          </cell>
          <cell r="I393" t="str">
            <v>GRS Certified* 83% Post Consumer Recycled Polyester (RM0189) 17% Pre Consumer Recycled Polyamide (RM1084)</v>
          </cell>
          <cell r="M393" t="str">
            <v>6101.90.90.30</v>
          </cell>
          <cell r="N393">
            <v>6101309000</v>
          </cell>
          <cell r="O393">
            <v>6112399000</v>
          </cell>
          <cell r="P393" t="str">
            <v>6211 4390 00</v>
          </cell>
          <cell r="Q393">
            <v>6117109000</v>
          </cell>
          <cell r="R393" t="str">
            <v>6112.39.00</v>
          </cell>
          <cell r="S393">
            <v>6202</v>
          </cell>
        </row>
        <row r="394">
          <cell r="A394" t="str">
            <v>PONCHA-FST-SM-GRY-R</v>
          </cell>
          <cell r="B394" t="str">
            <v>5.0607E+12</v>
          </cell>
          <cell r="C394" t="str">
            <v>LAST SEASON</v>
          </cell>
          <cell r="E394">
            <v>20</v>
          </cell>
          <cell r="F394" t="str">
            <v>SS21</v>
          </cell>
          <cell r="G394" t="str">
            <v>XR Textile</v>
          </cell>
          <cell r="H394" t="str">
            <v>PONCHA</v>
          </cell>
          <cell r="I394" t="str">
            <v>GRS Certified* 83% Post Consumer Recycled Polyester (RM0189) 17% Pre Consumer Recycled Polyamide (RM1084)</v>
          </cell>
          <cell r="M394" t="str">
            <v>6101.90.90.30</v>
          </cell>
          <cell r="N394">
            <v>6101309000</v>
          </cell>
          <cell r="O394">
            <v>6112399000</v>
          </cell>
          <cell r="P394" t="str">
            <v>6211 4390 00</v>
          </cell>
          <cell r="Q394">
            <v>6117109000</v>
          </cell>
          <cell r="R394" t="str">
            <v>6112.39.00</v>
          </cell>
          <cell r="S394">
            <v>6202</v>
          </cell>
        </row>
        <row r="395">
          <cell r="A395" t="str">
            <v>PONCHA-MAR-LG-BLUE</v>
          </cell>
          <cell r="B395" t="str">
            <v>5.0607E+12</v>
          </cell>
          <cell r="C395" t="str">
            <v>LAST SEASON</v>
          </cell>
          <cell r="E395">
            <v>20</v>
          </cell>
          <cell r="F395" t="str">
            <v>SS23</v>
          </cell>
          <cell r="G395" t="str">
            <v>XR Textile</v>
          </cell>
          <cell r="H395" t="str">
            <v>PONCHA</v>
          </cell>
          <cell r="I395" t="str">
            <v>GRS Certified* 83% Post Consumer Recycled Polyester (RM0189) 17% Pre Consumer Recycled Polyamide (RM1084)</v>
          </cell>
          <cell r="M395" t="str">
            <v>6101.90.90.30</v>
          </cell>
          <cell r="N395">
            <v>6101309000</v>
          </cell>
          <cell r="O395">
            <v>6112399000</v>
          </cell>
          <cell r="P395" t="str">
            <v>6211 4390 00</v>
          </cell>
          <cell r="Q395">
            <v>6117109000</v>
          </cell>
          <cell r="R395" t="str">
            <v>6112.39.00</v>
          </cell>
          <cell r="S395">
            <v>6202</v>
          </cell>
        </row>
        <row r="396">
          <cell r="A396" t="str">
            <v>PONCHA-MAR-LG-PINK</v>
          </cell>
          <cell r="B396" t="str">
            <v>5.0607E+12</v>
          </cell>
          <cell r="C396" t="str">
            <v>LAST SEASON</v>
          </cell>
          <cell r="E396">
            <v>20</v>
          </cell>
          <cell r="F396" t="str">
            <v>SS23</v>
          </cell>
          <cell r="G396" t="str">
            <v>XR Textile</v>
          </cell>
          <cell r="H396" t="str">
            <v>PONCHA</v>
          </cell>
          <cell r="I396" t="str">
            <v>GRS Certified* 83% Post Consumer Recycled Polyester (RM0189) 17% Pre Consumer Recycled Polyamide (RM1084)</v>
          </cell>
          <cell r="M396" t="str">
            <v>6101.90.90.30</v>
          </cell>
          <cell r="N396">
            <v>6101309000</v>
          </cell>
          <cell r="O396">
            <v>6112399000</v>
          </cell>
          <cell r="P396" t="str">
            <v>6211 4390 00</v>
          </cell>
          <cell r="Q396">
            <v>6117109000</v>
          </cell>
          <cell r="R396" t="str">
            <v>6112.39.00</v>
          </cell>
          <cell r="S396">
            <v>6202</v>
          </cell>
        </row>
        <row r="397">
          <cell r="A397" t="str">
            <v>PONCHA-MAR-MD-BLUE</v>
          </cell>
          <cell r="B397" t="str">
            <v>5.0607E+12</v>
          </cell>
          <cell r="C397" t="str">
            <v>LAST SEASON</v>
          </cell>
          <cell r="E397">
            <v>20</v>
          </cell>
          <cell r="F397" t="str">
            <v>SS23</v>
          </cell>
          <cell r="G397" t="str">
            <v>XR Textile</v>
          </cell>
          <cell r="H397" t="str">
            <v>PONCHA</v>
          </cell>
          <cell r="I397" t="str">
            <v>GRS Certified* 83% Post Consumer Recycled Polyester (RM0189) 17% Pre Consumer Recycled Polyamide (RM1084)</v>
          </cell>
          <cell r="M397" t="str">
            <v>6101.90.90.30</v>
          </cell>
          <cell r="N397">
            <v>6101309000</v>
          </cell>
          <cell r="O397">
            <v>6112399000</v>
          </cell>
          <cell r="P397" t="str">
            <v>6211 4390 00</v>
          </cell>
          <cell r="Q397">
            <v>6117109000</v>
          </cell>
          <cell r="R397" t="str">
            <v>6112.39.00</v>
          </cell>
          <cell r="S397">
            <v>6202</v>
          </cell>
        </row>
        <row r="398">
          <cell r="A398" t="str">
            <v>PONCHA-MAR-MD-PINK</v>
          </cell>
          <cell r="B398" t="str">
            <v>5.0607E+12</v>
          </cell>
          <cell r="C398" t="str">
            <v>LAST SEASON</v>
          </cell>
          <cell r="E398">
            <v>20</v>
          </cell>
          <cell r="F398" t="str">
            <v>SS23</v>
          </cell>
          <cell r="G398" t="str">
            <v>XR Textile</v>
          </cell>
          <cell r="H398" t="str">
            <v>PONCHA</v>
          </cell>
          <cell r="I398" t="str">
            <v>GRS Certified* 83% Post Consumer Recycled Polyester (RM0189) 17% Pre Consumer Recycled Polyamide (RM1084)</v>
          </cell>
          <cell r="M398" t="str">
            <v>6101.90.90.30</v>
          </cell>
          <cell r="N398">
            <v>6101309000</v>
          </cell>
          <cell r="O398">
            <v>6112399000</v>
          </cell>
          <cell r="P398" t="str">
            <v>6211 4390 00</v>
          </cell>
          <cell r="Q398">
            <v>6117109000</v>
          </cell>
          <cell r="R398" t="str">
            <v>6112.39.00</v>
          </cell>
          <cell r="S398">
            <v>6202</v>
          </cell>
        </row>
        <row r="399">
          <cell r="A399" t="str">
            <v>PONCHA-SUM-LG-PCHSUN</v>
          </cell>
          <cell r="B399" t="str">
            <v>5.061E+12</v>
          </cell>
          <cell r="C399" t="str">
            <v>LAST SEASON</v>
          </cell>
          <cell r="D399" t="str">
            <v>Seasonal</v>
          </cell>
          <cell r="E399">
            <v>20</v>
          </cell>
          <cell r="F399" t="str">
            <v>SS24</v>
          </cell>
          <cell r="G399" t="str">
            <v>XR Textile</v>
          </cell>
          <cell r="H399" t="str">
            <v>PONCHA</v>
          </cell>
          <cell r="I399" t="str">
            <v>GRS Certified* 83% Post Consumer Recycled Polyester (RM0189) 17% Pre Consumer Recycled Polyamide (RM1084)</v>
          </cell>
          <cell r="M399" t="str">
            <v>6101.90.90.30</v>
          </cell>
          <cell r="N399">
            <v>6101309000</v>
          </cell>
          <cell r="O399">
            <v>6112399000</v>
          </cell>
          <cell r="P399" t="str">
            <v>6211 4390 00</v>
          </cell>
          <cell r="Q399">
            <v>6117109000</v>
          </cell>
          <cell r="R399" t="str">
            <v>6112.39.00</v>
          </cell>
          <cell r="S399">
            <v>6202</v>
          </cell>
        </row>
        <row r="400">
          <cell r="A400" t="str">
            <v>PONCHK-CAB-MD-LTPNK</v>
          </cell>
          <cell r="B400" t="str">
            <v>5.0607E+12</v>
          </cell>
          <cell r="C400" t="str">
            <v>LAST SEASON</v>
          </cell>
          <cell r="D400" t="str">
            <v>Core</v>
          </cell>
          <cell r="E400">
            <v>30</v>
          </cell>
          <cell r="F400" t="str">
            <v>SS23</v>
          </cell>
          <cell r="G400" t="str">
            <v>XR Textile</v>
          </cell>
          <cell r="H400" t="str">
            <v>PONCHK</v>
          </cell>
          <cell r="I400" t="str">
            <v>GRS Certified* 83% Post Consumer Recycled Polyester (RM0189) 17% Pre Consumer Recycled Polyamide (RM1084)</v>
          </cell>
          <cell r="M400" t="str">
            <v>6101.90.90.30</v>
          </cell>
          <cell r="N400">
            <v>6101309000</v>
          </cell>
          <cell r="O400">
            <v>6112399000</v>
          </cell>
          <cell r="P400" t="str">
            <v>6211 4390 00</v>
          </cell>
          <cell r="Q400">
            <v>6117109000</v>
          </cell>
          <cell r="R400" t="str">
            <v>6112.39.00</v>
          </cell>
          <cell r="S400">
            <v>6202</v>
          </cell>
        </row>
        <row r="401">
          <cell r="A401" t="str">
            <v>PONCHK-CAB-XS-LTPNK</v>
          </cell>
          <cell r="B401" t="str">
            <v>5.0607E+12</v>
          </cell>
          <cell r="C401" t="str">
            <v>LAST SEASON</v>
          </cell>
          <cell r="E401">
            <v>30</v>
          </cell>
          <cell r="F401" t="str">
            <v>SS23</v>
          </cell>
          <cell r="G401" t="str">
            <v>XR Textile</v>
          </cell>
          <cell r="H401" t="str">
            <v>PONCHK</v>
          </cell>
          <cell r="I401" t="str">
            <v>GRS Certified* 83% Post Consumer Recycled Polyester (RM0189) 17% Pre Consumer Recycled Polyamide (RM1084)</v>
          </cell>
          <cell r="M401" t="str">
            <v>6101.90.90.30</v>
          </cell>
          <cell r="N401">
            <v>6101309000</v>
          </cell>
          <cell r="O401">
            <v>6112399000</v>
          </cell>
          <cell r="P401" t="str">
            <v>6211 4390 00</v>
          </cell>
          <cell r="Q401">
            <v>6117109000</v>
          </cell>
          <cell r="R401" t="str">
            <v>6112.39.00</v>
          </cell>
          <cell r="S401">
            <v>6202</v>
          </cell>
        </row>
        <row r="402">
          <cell r="A402" t="str">
            <v>PONCHK-CAB-XS-NAVY</v>
          </cell>
          <cell r="B402" t="str">
            <v>5.0607E+12</v>
          </cell>
          <cell r="C402" t="str">
            <v>LAST SEASON</v>
          </cell>
          <cell r="E402">
            <v>30</v>
          </cell>
          <cell r="F402" t="str">
            <v>SS23</v>
          </cell>
          <cell r="G402" t="str">
            <v>XR Textile</v>
          </cell>
          <cell r="H402" t="str">
            <v>PONCHK</v>
          </cell>
          <cell r="I402" t="str">
            <v>GRS Certified* 83% Post Consumer Recycled Polyester (RM0189) 17% Pre Consumer Recycled Polyamide (RM1084)</v>
          </cell>
          <cell r="M402" t="str">
            <v>6101.90.90.30</v>
          </cell>
          <cell r="N402">
            <v>6101309000</v>
          </cell>
          <cell r="O402">
            <v>6112399000</v>
          </cell>
          <cell r="P402" t="str">
            <v>6211 4390 00</v>
          </cell>
          <cell r="Q402">
            <v>6117109000</v>
          </cell>
          <cell r="R402" t="str">
            <v>6112.39.00</v>
          </cell>
          <cell r="S402">
            <v>6202</v>
          </cell>
        </row>
        <row r="403">
          <cell r="A403" t="str">
            <v>PONCHK-KID-MD-BUBDRM</v>
          </cell>
          <cell r="B403" t="str">
            <v>5.061E+12</v>
          </cell>
          <cell r="C403" t="str">
            <v>LAST SEASON</v>
          </cell>
          <cell r="D403" t="str">
            <v>Seasonal</v>
          </cell>
          <cell r="E403">
            <v>30</v>
          </cell>
          <cell r="F403" t="str">
            <v>SS25</v>
          </cell>
          <cell r="G403" t="str">
            <v>XR Textile</v>
          </cell>
          <cell r="H403" t="str">
            <v>PONCHK</v>
          </cell>
          <cell r="I403" t="str">
            <v>GRS Certified* 83% Post Consumer Recycled Polyester (RM0189) 17% Pre Consumer Recycled Polyamide (RM1084)</v>
          </cell>
          <cell r="M403" t="str">
            <v>6101.90.90.30</v>
          </cell>
          <cell r="N403">
            <v>6101309000</v>
          </cell>
          <cell r="O403">
            <v>6112399000</v>
          </cell>
          <cell r="P403" t="str">
            <v>6211 4390 00</v>
          </cell>
          <cell r="Q403">
            <v>6117109000</v>
          </cell>
          <cell r="R403" t="str">
            <v>6112.39.00</v>
          </cell>
          <cell r="S403">
            <v>6202</v>
          </cell>
        </row>
        <row r="404">
          <cell r="A404" t="str">
            <v>PONCHK-KID-MD-CAMOCUBE</v>
          </cell>
          <cell r="B404" t="str">
            <v>5.061E+12</v>
          </cell>
          <cell r="C404" t="str">
            <v>LAST SEASON</v>
          </cell>
          <cell r="D404" t="str">
            <v>Seasonal</v>
          </cell>
          <cell r="E404">
            <v>30</v>
          </cell>
          <cell r="F404" t="str">
            <v>SS25</v>
          </cell>
          <cell r="G404" t="str">
            <v>XR Textile</v>
          </cell>
          <cell r="H404" t="str">
            <v>PONCHK</v>
          </cell>
          <cell r="I404" t="str">
            <v>GRS Certified* 83% Post Consumer Recycled Polyester (RM0189) 17% Pre Consumer Recycled Polyamide (RM1084)</v>
          </cell>
          <cell r="M404" t="str">
            <v>6101.90.90.30</v>
          </cell>
          <cell r="N404">
            <v>6101309000</v>
          </cell>
          <cell r="O404">
            <v>6112399000</v>
          </cell>
          <cell r="P404" t="str">
            <v>6211 4390 00</v>
          </cell>
          <cell r="Q404">
            <v>6117109000</v>
          </cell>
          <cell r="R404" t="str">
            <v>6112.39.00</v>
          </cell>
          <cell r="S404">
            <v>6202</v>
          </cell>
        </row>
        <row r="405">
          <cell r="A405" t="str">
            <v>PONCHK-KID-MD-KARMCHAM</v>
          </cell>
          <cell r="B405" t="str">
            <v>5.061E+12</v>
          </cell>
          <cell r="C405" t="str">
            <v>LAST SEASON</v>
          </cell>
          <cell r="D405" t="str">
            <v>Seasonal</v>
          </cell>
          <cell r="E405">
            <v>30</v>
          </cell>
          <cell r="F405" t="str">
            <v>SS25</v>
          </cell>
          <cell r="G405" t="str">
            <v>XR Textile</v>
          </cell>
          <cell r="H405" t="str">
            <v>PONCHK</v>
          </cell>
          <cell r="I405" t="str">
            <v>GRS Certified* 83% Post Consumer Recycled Polyester (RM0189) 17% Pre Consumer Recycled Polyamide (RM1084)</v>
          </cell>
          <cell r="M405" t="str">
            <v>6101.90.90.30</v>
          </cell>
          <cell r="N405">
            <v>6101309000</v>
          </cell>
          <cell r="O405">
            <v>6112399000</v>
          </cell>
          <cell r="P405" t="str">
            <v>6211 4390 00</v>
          </cell>
          <cell r="Q405">
            <v>6117109000</v>
          </cell>
          <cell r="R405" t="str">
            <v>6112.39.00</v>
          </cell>
          <cell r="S405">
            <v>6202</v>
          </cell>
        </row>
        <row r="406">
          <cell r="A406" t="str">
            <v>PONCHK-KID-MD-TURTROP</v>
          </cell>
          <cell r="B406" t="str">
            <v>5.061E+12</v>
          </cell>
          <cell r="C406" t="str">
            <v>LAST SEASON</v>
          </cell>
          <cell r="D406" t="str">
            <v>Seasonal</v>
          </cell>
          <cell r="E406">
            <v>30</v>
          </cell>
          <cell r="F406" t="str">
            <v>SS25</v>
          </cell>
          <cell r="G406" t="str">
            <v>XR Textile</v>
          </cell>
          <cell r="H406" t="str">
            <v>PONCHK</v>
          </cell>
          <cell r="I406" t="str">
            <v>GRS Certified* 83% Post Consumer Recycled Polyester (RM0189) 17% Pre Consumer Recycled Polyamide (RM1084)</v>
          </cell>
          <cell r="M406" t="str">
            <v>6101.90.90.30</v>
          </cell>
          <cell r="N406">
            <v>6101309000</v>
          </cell>
          <cell r="O406">
            <v>6112399000</v>
          </cell>
          <cell r="P406" t="str">
            <v>6211 4390 00</v>
          </cell>
          <cell r="Q406">
            <v>6117109000</v>
          </cell>
          <cell r="R406" t="str">
            <v>6112.39.00</v>
          </cell>
          <cell r="S406">
            <v>6202</v>
          </cell>
        </row>
        <row r="407">
          <cell r="A407" t="str">
            <v>PONCHK-KID-SM-BUBDRM</v>
          </cell>
          <cell r="B407" t="str">
            <v>5.061E+12</v>
          </cell>
          <cell r="C407" t="str">
            <v>LAST SEASON</v>
          </cell>
          <cell r="D407" t="str">
            <v>Seasonal</v>
          </cell>
          <cell r="E407">
            <v>30</v>
          </cell>
          <cell r="F407" t="str">
            <v>SS25</v>
          </cell>
          <cell r="G407" t="str">
            <v>XR Textile</v>
          </cell>
          <cell r="H407" t="str">
            <v>PONCHK</v>
          </cell>
          <cell r="I407" t="str">
            <v>GRS Certified* 83% Post Consumer Recycled Polyester (RM0189) 17% Pre Consumer Recycled Polyamide (RM1084)</v>
          </cell>
          <cell r="M407" t="str">
            <v>6101.90.90.30</v>
          </cell>
          <cell r="N407">
            <v>6101309000</v>
          </cell>
          <cell r="O407">
            <v>6112399000</v>
          </cell>
          <cell r="P407" t="str">
            <v>6211 4390 00</v>
          </cell>
          <cell r="Q407">
            <v>6117109000</v>
          </cell>
          <cell r="R407" t="str">
            <v>6112.39.00</v>
          </cell>
          <cell r="S407">
            <v>6202</v>
          </cell>
        </row>
        <row r="408">
          <cell r="A408" t="str">
            <v>PONCHK-KID-SM-CAMO-NS</v>
          </cell>
          <cell r="B408" t="str">
            <v>5.061E+12</v>
          </cell>
          <cell r="C408" t="str">
            <v>LAST SEASON</v>
          </cell>
          <cell r="D408" t="str">
            <v>Seasonal</v>
          </cell>
          <cell r="E408">
            <v>30</v>
          </cell>
          <cell r="F408" t="str">
            <v>SS24</v>
          </cell>
          <cell r="G408" t="str">
            <v>XR Textile</v>
          </cell>
          <cell r="H408" t="str">
            <v>PONCHK</v>
          </cell>
          <cell r="I408" t="str">
            <v>GRS Certified* 83% Post Consumer Recycled Polyester (RM0189) 17% Pre Consumer Recycled Polyamide (RM1084)</v>
          </cell>
          <cell r="M408" t="str">
            <v>6101.90.90.30</v>
          </cell>
          <cell r="N408">
            <v>6101309000</v>
          </cell>
          <cell r="O408">
            <v>6112399000</v>
          </cell>
          <cell r="P408" t="str">
            <v>6211 4390 00</v>
          </cell>
          <cell r="Q408">
            <v>6117109000</v>
          </cell>
          <cell r="R408" t="str">
            <v>6112.39.00</v>
          </cell>
          <cell r="S408">
            <v>6202</v>
          </cell>
        </row>
        <row r="409">
          <cell r="A409" t="str">
            <v>PONCHK-KID-SM-CAMOCUBE</v>
          </cell>
          <cell r="B409" t="str">
            <v>5.061E+12</v>
          </cell>
          <cell r="C409" t="str">
            <v>LAST SEASON</v>
          </cell>
          <cell r="D409" t="str">
            <v>Seasonal</v>
          </cell>
          <cell r="E409">
            <v>30</v>
          </cell>
          <cell r="F409" t="str">
            <v>SS25</v>
          </cell>
          <cell r="G409" t="str">
            <v>XR Textile</v>
          </cell>
          <cell r="H409" t="str">
            <v>PONCHK</v>
          </cell>
          <cell r="I409" t="str">
            <v>GRS Certified* 83% Post Consumer Recycled Polyester (RM0189) 17% Pre Consumer Recycled Polyamide (RM1084)</v>
          </cell>
          <cell r="M409" t="str">
            <v>6101.90.90.30</v>
          </cell>
          <cell r="N409">
            <v>6101309000</v>
          </cell>
          <cell r="O409">
            <v>6112399000</v>
          </cell>
          <cell r="P409" t="str">
            <v>6211 4390 00</v>
          </cell>
          <cell r="Q409">
            <v>6117109000</v>
          </cell>
          <cell r="R409" t="str">
            <v>6112.39.00</v>
          </cell>
          <cell r="S409">
            <v>6202</v>
          </cell>
        </row>
        <row r="410">
          <cell r="A410" t="str">
            <v>PONCHK-KID-SM-CROC</v>
          </cell>
          <cell r="B410" t="str">
            <v>5.061E+12</v>
          </cell>
          <cell r="C410" t="str">
            <v>LAST SEASON</v>
          </cell>
          <cell r="D410" t="str">
            <v>Seasonal</v>
          </cell>
          <cell r="E410">
            <v>30</v>
          </cell>
          <cell r="F410" t="str">
            <v>SS24</v>
          </cell>
          <cell r="G410" t="str">
            <v>XR Textile</v>
          </cell>
          <cell r="H410" t="str">
            <v>PONCHK</v>
          </cell>
          <cell r="I410" t="str">
            <v>GRS Certified* 83% Post Consumer Recycled Polyester (RM0189) 17% Pre Consumer Recycled Polyamide (RM1084)</v>
          </cell>
          <cell r="M410" t="str">
            <v>6101.90.90.30</v>
          </cell>
          <cell r="N410">
            <v>6101309000</v>
          </cell>
          <cell r="O410">
            <v>6112399000</v>
          </cell>
          <cell r="P410" t="str">
            <v>6211 4390 00</v>
          </cell>
          <cell r="Q410">
            <v>6117109000</v>
          </cell>
          <cell r="R410" t="str">
            <v>6112.39.00</v>
          </cell>
          <cell r="S410">
            <v>6202</v>
          </cell>
        </row>
        <row r="411">
          <cell r="A411" t="str">
            <v>PONCHK-KID-SM-FIVEDAY</v>
          </cell>
          <cell r="B411" t="str">
            <v>5.061E+12</v>
          </cell>
          <cell r="C411" t="str">
            <v>LAST SEASON</v>
          </cell>
          <cell r="D411" t="str">
            <v>Seasonal</v>
          </cell>
          <cell r="E411">
            <v>30</v>
          </cell>
          <cell r="F411" t="str">
            <v>SS24</v>
          </cell>
          <cell r="G411" t="str">
            <v>XR Textile</v>
          </cell>
          <cell r="H411" t="str">
            <v>PONCHK</v>
          </cell>
          <cell r="I411" t="str">
            <v>GRS Certified* 83% Post Consumer Recycled Polyester (RM0189) 17% Pre Consumer Recycled Polyamide (RM1084)</v>
          </cell>
          <cell r="M411" t="str">
            <v>6101.90.90.30</v>
          </cell>
          <cell r="N411">
            <v>6101309000</v>
          </cell>
          <cell r="O411">
            <v>6112399000</v>
          </cell>
          <cell r="P411" t="str">
            <v>6211 4390 00</v>
          </cell>
          <cell r="Q411">
            <v>6117109000</v>
          </cell>
          <cell r="R411" t="str">
            <v>6112.39.00</v>
          </cell>
          <cell r="S411">
            <v>6202</v>
          </cell>
        </row>
        <row r="412">
          <cell r="A412" t="str">
            <v>PONCHK-KID-SM-FLAM</v>
          </cell>
          <cell r="B412" t="str">
            <v>5.061E+12</v>
          </cell>
          <cell r="C412" t="str">
            <v>LAST SEASON</v>
          </cell>
          <cell r="D412" t="str">
            <v>Seasonal</v>
          </cell>
          <cell r="E412">
            <v>30</v>
          </cell>
          <cell r="F412" t="str">
            <v>SS24</v>
          </cell>
          <cell r="G412" t="str">
            <v>XR Textile</v>
          </cell>
          <cell r="H412" t="str">
            <v>PONCHK</v>
          </cell>
          <cell r="I412" t="str">
            <v>GRS Certified* 83% Post Consumer Recycled Polyester (RM0189) 17% Pre Consumer Recycled Polyamide (RM1084)</v>
          </cell>
          <cell r="M412" t="str">
            <v>6101.90.90.30</v>
          </cell>
          <cell r="N412">
            <v>6101309000</v>
          </cell>
          <cell r="O412">
            <v>6112399000</v>
          </cell>
          <cell r="P412" t="str">
            <v>6211 4390 00</v>
          </cell>
          <cell r="Q412">
            <v>6117109000</v>
          </cell>
          <cell r="R412" t="str">
            <v>6112.39.00</v>
          </cell>
          <cell r="S412">
            <v>6202</v>
          </cell>
        </row>
        <row r="413">
          <cell r="A413" t="str">
            <v>PONCHK-KID-SM-KARMCHAM</v>
          </cell>
          <cell r="B413" t="str">
            <v>5.061E+12</v>
          </cell>
          <cell r="C413" t="str">
            <v>LAST SEASON</v>
          </cell>
          <cell r="D413" t="str">
            <v>Seasonal</v>
          </cell>
          <cell r="E413">
            <v>30</v>
          </cell>
          <cell r="F413" t="str">
            <v>SS25</v>
          </cell>
          <cell r="G413" t="str">
            <v>XR Textile</v>
          </cell>
          <cell r="H413" t="str">
            <v>PONCHK</v>
          </cell>
          <cell r="I413" t="str">
            <v>GRS Certified* 83% Post Consumer Recycled Polyester (RM0189) 17% Pre Consumer Recycled Polyamide (RM1084)</v>
          </cell>
          <cell r="M413" t="str">
            <v>6101.90.90.30</v>
          </cell>
          <cell r="N413">
            <v>6101309000</v>
          </cell>
          <cell r="O413">
            <v>6112399000</v>
          </cell>
          <cell r="P413" t="str">
            <v>6211 4390 00</v>
          </cell>
          <cell r="Q413">
            <v>6117109000</v>
          </cell>
          <cell r="R413" t="str">
            <v>6112.39.00</v>
          </cell>
          <cell r="S413">
            <v>6202</v>
          </cell>
        </row>
        <row r="414">
          <cell r="A414" t="str">
            <v>PONCHK-KID-SM-POWER-NS</v>
          </cell>
          <cell r="B414" t="str">
            <v>5.061E+12</v>
          </cell>
          <cell r="C414" t="str">
            <v>LAST SEASON</v>
          </cell>
          <cell r="D414" t="str">
            <v>Seasonal</v>
          </cell>
          <cell r="E414">
            <v>30</v>
          </cell>
          <cell r="F414" t="str">
            <v>SS24</v>
          </cell>
          <cell r="G414" t="str">
            <v>XR Textile</v>
          </cell>
          <cell r="H414" t="str">
            <v>PONCHK</v>
          </cell>
          <cell r="I414" t="str">
            <v>GRS Certified* 83% Post Consumer Recycled Polyester (RM0189) 17% Pre Consumer Recycled Polyamide (RM1084)</v>
          </cell>
          <cell r="M414" t="str">
            <v>6101.90.90.30</v>
          </cell>
          <cell r="N414">
            <v>6101309000</v>
          </cell>
          <cell r="O414">
            <v>6112399000</v>
          </cell>
          <cell r="P414" t="str">
            <v>6211 4390 00</v>
          </cell>
          <cell r="Q414">
            <v>6117109000</v>
          </cell>
          <cell r="R414" t="str">
            <v>6112.39.00</v>
          </cell>
          <cell r="S414">
            <v>6202</v>
          </cell>
        </row>
        <row r="415">
          <cell r="A415" t="str">
            <v>PONCHK-KID-SM-TURTROP</v>
          </cell>
          <cell r="B415" t="str">
            <v>5.061E+12</v>
          </cell>
          <cell r="C415" t="str">
            <v>LAST SEASON</v>
          </cell>
          <cell r="D415" t="str">
            <v>Seasonal</v>
          </cell>
          <cell r="E415">
            <v>30</v>
          </cell>
          <cell r="F415" t="str">
            <v>SS25</v>
          </cell>
          <cell r="G415" t="str">
            <v>XR Textile</v>
          </cell>
          <cell r="H415" t="str">
            <v>PONCHK</v>
          </cell>
          <cell r="I415" t="str">
            <v>GRS Certified* 83% Post Consumer Recycled Polyester (RM0189) 17% Pre Consumer Recycled Polyamide (RM1084)</v>
          </cell>
          <cell r="M415" t="str">
            <v>6101.90.90.30</v>
          </cell>
          <cell r="N415">
            <v>6101309000</v>
          </cell>
          <cell r="O415">
            <v>6112399000</v>
          </cell>
          <cell r="P415" t="str">
            <v>6211 4390 00</v>
          </cell>
          <cell r="Q415">
            <v>6117109000</v>
          </cell>
          <cell r="R415" t="str">
            <v>6112.39.00</v>
          </cell>
          <cell r="S415">
            <v>6202</v>
          </cell>
        </row>
        <row r="416">
          <cell r="A416" t="str">
            <v>PONCHK-KID-XS-LEOP</v>
          </cell>
          <cell r="B416" t="str">
            <v>5.0607E+12</v>
          </cell>
          <cell r="C416" t="str">
            <v>LAST SEASON</v>
          </cell>
          <cell r="E416">
            <v>30</v>
          </cell>
          <cell r="F416" t="str">
            <v>SS23</v>
          </cell>
          <cell r="G416" t="str">
            <v>XR Textile</v>
          </cell>
          <cell r="H416" t="str">
            <v>PONCHK</v>
          </cell>
          <cell r="I416" t="str">
            <v>GRS Certified* 83% Post Consumer Recycled Polyester (RM0189) 17% Pre Consumer Recycled Polyamide (RM1084)</v>
          </cell>
          <cell r="M416" t="str">
            <v>6101.90.90.30</v>
          </cell>
          <cell r="N416">
            <v>6101309000</v>
          </cell>
          <cell r="O416">
            <v>6112399000</v>
          </cell>
          <cell r="P416" t="str">
            <v>6211 4390 00</v>
          </cell>
          <cell r="Q416">
            <v>6117109000</v>
          </cell>
          <cell r="R416" t="str">
            <v>6112.39.00</v>
          </cell>
          <cell r="S416">
            <v>6202</v>
          </cell>
        </row>
        <row r="417">
          <cell r="A417" t="str">
            <v>PONCHK-KID-XS-POWER</v>
          </cell>
          <cell r="B417" t="str">
            <v>5.0607E+12</v>
          </cell>
          <cell r="C417" t="str">
            <v>LAST SEASON</v>
          </cell>
          <cell r="E417">
            <v>30</v>
          </cell>
          <cell r="F417" t="str">
            <v>SS23</v>
          </cell>
          <cell r="G417" t="str">
            <v>XR Textile</v>
          </cell>
          <cell r="H417" t="str">
            <v>PONCHK</v>
          </cell>
          <cell r="I417" t="str">
            <v>GRS Certified* 83% Post Consumer Recycled Polyester (RM0189) 17% Pre Consumer Recycled Polyamide (RM1084)</v>
          </cell>
          <cell r="M417" t="str">
            <v>6101.90.90.30</v>
          </cell>
          <cell r="N417">
            <v>6101309000</v>
          </cell>
          <cell r="O417">
            <v>6112399000</v>
          </cell>
          <cell r="P417" t="str">
            <v>6211 4390 00</v>
          </cell>
          <cell r="Q417">
            <v>6117109000</v>
          </cell>
          <cell r="R417" t="str">
            <v>6112.39.00</v>
          </cell>
          <cell r="S417">
            <v>6202</v>
          </cell>
        </row>
        <row r="418">
          <cell r="A418" t="str">
            <v>PONCHK-SUM-MD-UNICN</v>
          </cell>
          <cell r="B418" t="str">
            <v>5.0607E+12</v>
          </cell>
          <cell r="C418" t="str">
            <v>LAST SEASON</v>
          </cell>
          <cell r="D418" t="str">
            <v>Seasonal</v>
          </cell>
          <cell r="E418">
            <v>30</v>
          </cell>
          <cell r="F418" t="str">
            <v>SS23</v>
          </cell>
          <cell r="G418" t="str">
            <v>XR Textile</v>
          </cell>
          <cell r="H418" t="str">
            <v>PONCHK</v>
          </cell>
          <cell r="I418" t="str">
            <v>GRS Certified* 83% Post Consumer Recycled Polyester (RM0189) 17% Pre Consumer Recycled Polyamide (RM1084)</v>
          </cell>
          <cell r="M418" t="str">
            <v>6101.90.90.30</v>
          </cell>
          <cell r="N418">
            <v>6101309000</v>
          </cell>
          <cell r="O418">
            <v>6112399000</v>
          </cell>
          <cell r="P418" t="str">
            <v>6211 4390 00</v>
          </cell>
          <cell r="Q418">
            <v>6117109000</v>
          </cell>
          <cell r="R418" t="str">
            <v>6112.39.00</v>
          </cell>
          <cell r="S418">
            <v>6202</v>
          </cell>
        </row>
        <row r="419">
          <cell r="A419" t="str">
            <v>PONCHOADULT-LAR-GREY</v>
          </cell>
          <cell r="B419" t="str">
            <v>6.5097E+11</v>
          </cell>
          <cell r="C419" t="str">
            <v>LAST SEASON</v>
          </cell>
          <cell r="E419">
            <v>20</v>
          </cell>
          <cell r="F419" t="str">
            <v>before AW20</v>
          </cell>
          <cell r="G419" t="str">
            <v>XR Textile</v>
          </cell>
          <cell r="H419" t="str">
            <v>PONCHA</v>
          </cell>
          <cell r="I419" t="str">
            <v>GRS Certified* 83% Post Consumer Recycled Polyester (RM0189) 17% Pre Consumer Recycled Polyamide (RM1084)</v>
          </cell>
          <cell r="M419" t="str">
            <v>6101.90.90.30</v>
          </cell>
          <cell r="N419">
            <v>6101309000</v>
          </cell>
          <cell r="O419">
            <v>6112399000</v>
          </cell>
          <cell r="P419" t="str">
            <v>6211 4390 00</v>
          </cell>
          <cell r="Q419">
            <v>6117109000</v>
          </cell>
          <cell r="R419" t="str">
            <v>6112.39.00</v>
          </cell>
          <cell r="S419">
            <v>6202</v>
          </cell>
        </row>
        <row r="420">
          <cell r="A420" t="str">
            <v>PONCHOKIDS-MED-GREEN</v>
          </cell>
          <cell r="B420" t="str">
            <v>5.0607E+12</v>
          </cell>
          <cell r="C420" t="str">
            <v>LAST SEASON</v>
          </cell>
          <cell r="E420">
            <v>30</v>
          </cell>
          <cell r="G420" t="str">
            <v>XR Textile</v>
          </cell>
          <cell r="H420" t="str">
            <v>PONCHK</v>
          </cell>
          <cell r="I420" t="str">
            <v>GRS Certified* 83% Post Consumer Recycled Polyester (RM0189) 17% Pre Consumer Recycled Polyamide (RM1084)</v>
          </cell>
          <cell r="M420" t="str">
            <v>6101.90.90.30</v>
          </cell>
          <cell r="N420">
            <v>6101309000</v>
          </cell>
          <cell r="O420">
            <v>6112399000</v>
          </cell>
          <cell r="P420" t="str">
            <v>6211 4390 00</v>
          </cell>
          <cell r="Q420">
            <v>6117109000</v>
          </cell>
          <cell r="R420" t="str">
            <v>6112.39.00</v>
          </cell>
          <cell r="S420">
            <v>6202</v>
          </cell>
        </row>
        <row r="421">
          <cell r="A421" t="str">
            <v>PONCHOKIDS-MED-PINK</v>
          </cell>
          <cell r="B421" t="str">
            <v>5.0607E+12</v>
          </cell>
          <cell r="C421" t="str">
            <v>LAST SEASON</v>
          </cell>
          <cell r="E421">
            <v>30</v>
          </cell>
          <cell r="G421" t="str">
            <v>XR Textile</v>
          </cell>
          <cell r="H421" t="str">
            <v>PONCHK</v>
          </cell>
          <cell r="I421" t="str">
            <v>GRS Certified* 83% Post Consumer Recycled Polyester (RM0189) 17% Pre Consumer Recycled Polyamide (RM1084)</v>
          </cell>
          <cell r="M421" t="str">
            <v>6101.90.90.30</v>
          </cell>
          <cell r="N421">
            <v>6101309000</v>
          </cell>
          <cell r="O421">
            <v>6112399000</v>
          </cell>
          <cell r="P421" t="str">
            <v>6211 4390 00</v>
          </cell>
          <cell r="Q421">
            <v>6117109000</v>
          </cell>
          <cell r="R421" t="str">
            <v>6112.39.00</v>
          </cell>
          <cell r="S421">
            <v>6202</v>
          </cell>
        </row>
        <row r="422">
          <cell r="A422" t="str">
            <v>PONCHOKIDS-MED-YELLOW</v>
          </cell>
          <cell r="B422" t="str">
            <v>5.0607E+12</v>
          </cell>
          <cell r="C422" t="str">
            <v>LAST SEASON</v>
          </cell>
          <cell r="E422">
            <v>30</v>
          </cell>
          <cell r="G422" t="str">
            <v>XR Textile</v>
          </cell>
          <cell r="H422" t="str">
            <v>PONCHK</v>
          </cell>
          <cell r="I422" t="str">
            <v>GRS Certified* 83% Post Consumer Recycled Polyester (RM0189) 17% Pre Consumer Recycled Polyamide (RM1084)</v>
          </cell>
          <cell r="M422" t="str">
            <v>6101.90.90.30</v>
          </cell>
          <cell r="N422">
            <v>6101309000</v>
          </cell>
          <cell r="O422">
            <v>6112399000</v>
          </cell>
          <cell r="P422" t="str">
            <v>6211 4390 00</v>
          </cell>
          <cell r="Q422">
            <v>6117109000</v>
          </cell>
          <cell r="R422" t="str">
            <v>6112.39.00</v>
          </cell>
          <cell r="S422">
            <v>6202</v>
          </cell>
        </row>
        <row r="423">
          <cell r="A423" t="str">
            <v>PONCHOKIDS-SML-GREEN</v>
          </cell>
          <cell r="B423" t="str">
            <v>6.5097E+11</v>
          </cell>
          <cell r="C423" t="str">
            <v>LAST SEASON</v>
          </cell>
          <cell r="E423">
            <v>30</v>
          </cell>
          <cell r="G423" t="str">
            <v>XR Textile</v>
          </cell>
          <cell r="H423" t="str">
            <v>PONCHK</v>
          </cell>
          <cell r="I423" t="str">
            <v>GRS Certified* 83% Post Consumer Recycled Polyester (RM0189) 17% Pre Consumer Recycled Polyamide (RM1084)</v>
          </cell>
          <cell r="M423" t="str">
            <v>6101.90.90.30</v>
          </cell>
          <cell r="N423">
            <v>6101309000</v>
          </cell>
          <cell r="O423">
            <v>6112399000</v>
          </cell>
          <cell r="P423" t="str">
            <v>6211 4390 00</v>
          </cell>
          <cell r="Q423">
            <v>6117109000</v>
          </cell>
          <cell r="R423" t="str">
            <v>6112.39.00</v>
          </cell>
          <cell r="S423">
            <v>6202</v>
          </cell>
        </row>
        <row r="424">
          <cell r="A424" t="str">
            <v>POS-DIS-PREM-1SIDE-24</v>
          </cell>
          <cell r="B424" t="str">
            <v>6.5097E+11</v>
          </cell>
          <cell r="C424" t="str">
            <v>LAST SEASON</v>
          </cell>
          <cell r="D424" t="str">
            <v>Non-Core</v>
          </cell>
          <cell r="E424">
            <v>1</v>
          </cell>
          <cell r="F424" t="str">
            <v>SS24</v>
          </cell>
          <cell r="G424" t="str">
            <v>Forming Reality</v>
          </cell>
          <cell r="H424" t="str">
            <v>POS</v>
          </cell>
          <cell r="M424" t="str">
            <v>4819.10.0040</v>
          </cell>
          <cell r="N424">
            <v>4819100000</v>
          </cell>
          <cell r="O424">
            <v>4819100000</v>
          </cell>
          <cell r="P424">
            <v>48191000</v>
          </cell>
          <cell r="Q424">
            <v>0</v>
          </cell>
          <cell r="R424" t="str">
            <v>4819.10.00</v>
          </cell>
          <cell r="S424">
            <v>0</v>
          </cell>
        </row>
        <row r="425">
          <cell r="A425" t="str">
            <v>POS-DIS-PREM-2SIDE-KIT</v>
          </cell>
          <cell r="B425" t="str">
            <v>8.0101E+10</v>
          </cell>
          <cell r="C425" t="str">
            <v>LAST SEASON</v>
          </cell>
          <cell r="D425" t="str">
            <v>Non-Core</v>
          </cell>
          <cell r="E425">
            <v>1</v>
          </cell>
          <cell r="F425" t="str">
            <v>SS24</v>
          </cell>
          <cell r="G425" t="str">
            <v>Forming Reality</v>
          </cell>
          <cell r="H425" t="str">
            <v>POS</v>
          </cell>
          <cell r="M425" t="str">
            <v>4819.10.0040</v>
          </cell>
          <cell r="N425">
            <v>4819100000</v>
          </cell>
          <cell r="O425">
            <v>4819100000</v>
          </cell>
          <cell r="P425">
            <v>48191000</v>
          </cell>
          <cell r="Q425">
            <v>0</v>
          </cell>
          <cell r="R425" t="str">
            <v>4819.10.00</v>
          </cell>
          <cell r="S425">
            <v>0</v>
          </cell>
        </row>
        <row r="426">
          <cell r="A426" t="str">
            <v>POS-DIS-PREM-3X-PRONGS</v>
          </cell>
          <cell r="B426" t="str">
            <v>8.0101E+10</v>
          </cell>
          <cell r="C426" t="str">
            <v>LAST SEASON</v>
          </cell>
          <cell r="D426" t="str">
            <v>Non-Core</v>
          </cell>
          <cell r="E426">
            <v>1</v>
          </cell>
          <cell r="F426" t="str">
            <v>SS24</v>
          </cell>
          <cell r="G426" t="str">
            <v>Forming Reality</v>
          </cell>
          <cell r="H426" t="str">
            <v>POS</v>
          </cell>
          <cell r="M426" t="str">
            <v>4819.10.0040</v>
          </cell>
          <cell r="N426">
            <v>4819100000</v>
          </cell>
          <cell r="O426">
            <v>4819100000</v>
          </cell>
          <cell r="P426">
            <v>48191000</v>
          </cell>
          <cell r="Q426">
            <v>0</v>
          </cell>
          <cell r="R426" t="str">
            <v>4819.10.00</v>
          </cell>
          <cell r="S426">
            <v>0</v>
          </cell>
        </row>
        <row r="427">
          <cell r="A427" t="str">
            <v>POS-DIS-PREM-WIRE-BASKET</v>
          </cell>
          <cell r="B427" t="str">
            <v>8.0101E+10</v>
          </cell>
          <cell r="C427" t="str">
            <v>LAST SEASON</v>
          </cell>
          <cell r="D427" t="str">
            <v>Non-Core</v>
          </cell>
          <cell r="E427">
            <v>1</v>
          </cell>
          <cell r="F427" t="str">
            <v>SS24</v>
          </cell>
          <cell r="G427" t="str">
            <v>Forming Reality</v>
          </cell>
          <cell r="H427" t="str">
            <v>POS</v>
          </cell>
          <cell r="M427" t="str">
            <v>4819.10.0040</v>
          </cell>
          <cell r="N427">
            <v>4819100000</v>
          </cell>
          <cell r="O427">
            <v>4819100000</v>
          </cell>
          <cell r="P427">
            <v>48191000</v>
          </cell>
          <cell r="Q427">
            <v>0</v>
          </cell>
          <cell r="R427" t="str">
            <v>4819.10.00</v>
          </cell>
          <cell r="S427">
            <v>0</v>
          </cell>
        </row>
        <row r="428">
          <cell r="A428" t="str">
            <v>POS-DIS-SM-HEAD-BAGF-EN-24</v>
          </cell>
          <cell r="B428" t="str">
            <v>8.0101E+10</v>
          </cell>
          <cell r="C428" t="str">
            <v>LAST SEASON</v>
          </cell>
          <cell r="D428" t="str">
            <v>Non-Core</v>
          </cell>
          <cell r="E428">
            <v>1</v>
          </cell>
          <cell r="F428" t="str">
            <v>SS24</v>
          </cell>
          <cell r="G428" t="str">
            <v>XR Textile</v>
          </cell>
          <cell r="H428" t="str">
            <v>POS</v>
          </cell>
          <cell r="M428" t="str">
            <v>4819.10.0040</v>
          </cell>
          <cell r="N428">
            <v>4819100000</v>
          </cell>
          <cell r="O428">
            <v>4819100000</v>
          </cell>
          <cell r="P428">
            <v>48191000</v>
          </cell>
          <cell r="Q428">
            <v>0</v>
          </cell>
          <cell r="R428" t="str">
            <v>4819.10.00</v>
          </cell>
          <cell r="S428">
            <v>0</v>
          </cell>
        </row>
        <row r="429">
          <cell r="A429" t="str">
            <v>POS-DIS-SM-HEAD-COOL-EN-24</v>
          </cell>
          <cell r="B429" t="str">
            <v>8.0101E+10</v>
          </cell>
          <cell r="C429" t="str">
            <v>LAST SEASON</v>
          </cell>
          <cell r="D429" t="str">
            <v>Non-Core</v>
          </cell>
          <cell r="E429">
            <v>1</v>
          </cell>
          <cell r="F429" t="str">
            <v>SS24</v>
          </cell>
          <cell r="G429" t="str">
            <v>XR Textile</v>
          </cell>
          <cell r="H429" t="str">
            <v>POS</v>
          </cell>
          <cell r="M429" t="str">
            <v>4819.10.0040</v>
          </cell>
          <cell r="N429">
            <v>4819100000</v>
          </cell>
          <cell r="O429">
            <v>4819100000</v>
          </cell>
          <cell r="P429">
            <v>48191000</v>
          </cell>
          <cell r="Q429">
            <v>0</v>
          </cell>
          <cell r="R429" t="str">
            <v>4819.10.00</v>
          </cell>
          <cell r="S429">
            <v>0</v>
          </cell>
        </row>
        <row r="430">
          <cell r="A430" t="str">
            <v>POS-DIS-SM-HEAD-PICNIC-EN-24</v>
          </cell>
          <cell r="B430" t="str">
            <v>8.0101E+10</v>
          </cell>
          <cell r="C430" t="str">
            <v>LAST SEASON</v>
          </cell>
          <cell r="D430" t="str">
            <v>Non-Core</v>
          </cell>
          <cell r="E430">
            <v>1</v>
          </cell>
          <cell r="F430" t="str">
            <v>SS24</v>
          </cell>
          <cell r="G430" t="str">
            <v>XR Textile</v>
          </cell>
          <cell r="H430" t="str">
            <v>POS</v>
          </cell>
          <cell r="M430" t="str">
            <v>4819.10.0040</v>
          </cell>
          <cell r="N430">
            <v>4819100000</v>
          </cell>
          <cell r="O430">
            <v>4819100000</v>
          </cell>
          <cell r="P430">
            <v>48191000</v>
          </cell>
          <cell r="Q430">
            <v>0</v>
          </cell>
          <cell r="R430" t="str">
            <v>4819.10.00</v>
          </cell>
          <cell r="S430">
            <v>0</v>
          </cell>
        </row>
        <row r="431">
          <cell r="A431" t="str">
            <v>POS-DIS-SM-HEAD-PONCHA-EN-24</v>
          </cell>
          <cell r="B431" t="str">
            <v>8.0101E+10</v>
          </cell>
          <cell r="C431" t="str">
            <v>LAST SEASON</v>
          </cell>
          <cell r="D431" t="str">
            <v>Non-Core</v>
          </cell>
          <cell r="E431">
            <v>1</v>
          </cell>
          <cell r="F431" t="str">
            <v>SS24</v>
          </cell>
          <cell r="G431" t="str">
            <v>XR Textile</v>
          </cell>
          <cell r="H431" t="str">
            <v>POS</v>
          </cell>
          <cell r="M431" t="str">
            <v>4819.10.0040</v>
          </cell>
          <cell r="N431">
            <v>4819100000</v>
          </cell>
          <cell r="O431">
            <v>4819100000</v>
          </cell>
          <cell r="P431">
            <v>48191000</v>
          </cell>
          <cell r="Q431">
            <v>0</v>
          </cell>
          <cell r="R431" t="str">
            <v>4819.10.00</v>
          </cell>
          <cell r="S431">
            <v>0</v>
          </cell>
        </row>
        <row r="432">
          <cell r="A432" t="str">
            <v>POS-DIS-SM-HEAD-PONCHK-EN-24</v>
          </cell>
          <cell r="B432" t="str">
            <v>8.0101E+10</v>
          </cell>
          <cell r="C432" t="str">
            <v>LAST SEASON</v>
          </cell>
          <cell r="D432" t="str">
            <v>Non-Core</v>
          </cell>
          <cell r="E432">
            <v>1</v>
          </cell>
          <cell r="F432" t="str">
            <v>SS24</v>
          </cell>
          <cell r="G432" t="str">
            <v>XR Textile</v>
          </cell>
          <cell r="H432" t="str">
            <v>POS</v>
          </cell>
          <cell r="M432" t="str">
            <v>4819.10.0040</v>
          </cell>
          <cell r="N432">
            <v>4819100000</v>
          </cell>
          <cell r="O432">
            <v>4819100000</v>
          </cell>
          <cell r="P432">
            <v>48191000</v>
          </cell>
          <cell r="Q432">
            <v>0</v>
          </cell>
          <cell r="R432" t="str">
            <v>4819.10.00</v>
          </cell>
          <cell r="S432">
            <v>0</v>
          </cell>
        </row>
        <row r="433">
          <cell r="A433" t="str">
            <v>POS-DIS-SM-HEAD-TOWLB-KID-EN-24</v>
          </cell>
          <cell r="B433" t="str">
            <v>8.0101E+10</v>
          </cell>
          <cell r="C433" t="str">
            <v>LAST SEASON</v>
          </cell>
          <cell r="D433" t="str">
            <v>Non-Core</v>
          </cell>
          <cell r="E433">
            <v>1</v>
          </cell>
          <cell r="F433" t="str">
            <v>SS24</v>
          </cell>
          <cell r="G433" t="str">
            <v>XR Textile</v>
          </cell>
          <cell r="H433" t="str">
            <v>POS</v>
          </cell>
          <cell r="M433" t="str">
            <v>4819.10.0040</v>
          </cell>
          <cell r="N433">
            <v>4819100000</v>
          </cell>
          <cell r="O433">
            <v>4819100000</v>
          </cell>
          <cell r="P433">
            <v>48191000</v>
          </cell>
          <cell r="Q433">
            <v>0</v>
          </cell>
          <cell r="R433" t="str">
            <v>4819.10.00</v>
          </cell>
          <cell r="S433">
            <v>0</v>
          </cell>
        </row>
        <row r="434">
          <cell r="A434" t="str">
            <v>PP-TOWLB-DES-LG-4SETA</v>
          </cell>
          <cell r="B434" t="str">
            <v>5.061E+12</v>
          </cell>
          <cell r="C434" t="str">
            <v>LAST SEASON</v>
          </cell>
          <cell r="E434">
            <v>10</v>
          </cell>
          <cell r="G434" t="str">
            <v>XR Textile</v>
          </cell>
          <cell r="H434" t="str">
            <v>TOWLB</v>
          </cell>
          <cell r="I434" t="str">
            <v>GRS Certified* 83% Post Consumer Recycled Polyester (RM0189) 17% Pre Consumer Recycled Polyamide (RM1084)</v>
          </cell>
          <cell r="M434" t="str">
            <v>6302.93.2000</v>
          </cell>
          <cell r="N434">
            <v>6302600090</v>
          </cell>
          <cell r="O434" t="str">
            <v>6302.93.00.00</v>
          </cell>
          <cell r="P434">
            <v>63029390</v>
          </cell>
          <cell r="Q434">
            <v>0</v>
          </cell>
          <cell r="R434" t="str">
            <v>6302.39.00</v>
          </cell>
          <cell r="S434">
            <v>63029120</v>
          </cell>
        </row>
        <row r="435">
          <cell r="A435" t="str">
            <v>PP-TOWLB-DES-LG-6SETA</v>
          </cell>
          <cell r="B435" t="str">
            <v>5.061E+12</v>
          </cell>
          <cell r="C435" t="str">
            <v>LAST SEASON</v>
          </cell>
          <cell r="E435">
            <v>6</v>
          </cell>
          <cell r="G435" t="str">
            <v>XR Textile</v>
          </cell>
          <cell r="H435" t="str">
            <v>TOWLB</v>
          </cell>
          <cell r="I435" t="str">
            <v>GRS Certified* 83% Post Consumer Recycled Polyester (RM0189) 17% Pre Consumer Recycled Polyamide (RM1084)</v>
          </cell>
          <cell r="M435" t="str">
            <v>6302.93.2000</v>
          </cell>
          <cell r="N435">
            <v>6302600090</v>
          </cell>
          <cell r="O435" t="str">
            <v>6302.93.00.00</v>
          </cell>
          <cell r="P435">
            <v>63029390</v>
          </cell>
          <cell r="Q435">
            <v>0</v>
          </cell>
          <cell r="R435" t="str">
            <v>6302.39.00</v>
          </cell>
          <cell r="S435">
            <v>63029120</v>
          </cell>
        </row>
        <row r="436">
          <cell r="A436" t="str">
            <v>PP-TOWLB-DES-XL-4SETE</v>
          </cell>
          <cell r="B436" t="str">
            <v>5.061E+12</v>
          </cell>
          <cell r="C436" t="str">
            <v>LAST SEASON</v>
          </cell>
          <cell r="E436">
            <v>10</v>
          </cell>
          <cell r="G436" t="str">
            <v>XR Textile</v>
          </cell>
          <cell r="H436" t="str">
            <v>TOWLB</v>
          </cell>
          <cell r="I436" t="str">
            <v>GRS Certified* 83% Post Consumer Recycled Polyester (RM0189) 17% Pre Consumer Recycled Polyamide (RM1084)</v>
          </cell>
          <cell r="M436" t="str">
            <v>6302.93.2000</v>
          </cell>
          <cell r="N436">
            <v>6302600090</v>
          </cell>
          <cell r="O436" t="str">
            <v>6302.93.00.00</v>
          </cell>
          <cell r="P436">
            <v>63029390</v>
          </cell>
          <cell r="Q436">
            <v>0</v>
          </cell>
          <cell r="R436" t="str">
            <v>6302.39.00</v>
          </cell>
          <cell r="S436">
            <v>63029120</v>
          </cell>
        </row>
        <row r="437">
          <cell r="A437" t="str">
            <v>PP-TOWLB-DES-XL-6SETA</v>
          </cell>
          <cell r="B437" t="str">
            <v>5.061E+12</v>
          </cell>
          <cell r="C437" t="str">
            <v>LAST SEASON</v>
          </cell>
          <cell r="E437">
            <v>5</v>
          </cell>
          <cell r="G437" t="str">
            <v>XR Textile</v>
          </cell>
          <cell r="H437" t="str">
            <v>TOWLB</v>
          </cell>
          <cell r="I437" t="str">
            <v>GRS Certified* 83% Post Consumer Recycled Polyester (RM0189) 17% Pre Consumer Recycled Polyamide (RM1084)</v>
          </cell>
          <cell r="M437" t="str">
            <v>6302.93.2000</v>
          </cell>
          <cell r="N437">
            <v>6302600090</v>
          </cell>
          <cell r="O437" t="str">
            <v>6302.93.00.00</v>
          </cell>
          <cell r="P437">
            <v>63029390</v>
          </cell>
          <cell r="Q437">
            <v>0</v>
          </cell>
          <cell r="R437" t="str">
            <v>6302.39.00</v>
          </cell>
          <cell r="S437">
            <v>63029120</v>
          </cell>
        </row>
        <row r="438">
          <cell r="A438" t="str">
            <v>PP-TOWLB-SUM-LG-6SETA</v>
          </cell>
          <cell r="B438" t="str">
            <v>5.061E+12</v>
          </cell>
          <cell r="C438" t="str">
            <v>LAST SEASON</v>
          </cell>
          <cell r="E438">
            <v>6</v>
          </cell>
          <cell r="G438" t="str">
            <v>XR Textile</v>
          </cell>
          <cell r="H438" t="str">
            <v>TOWLB</v>
          </cell>
          <cell r="I438" t="str">
            <v>GRS Certified* 83% Post Consumer Recycled Polyester (RM0189) 17% Pre Consumer Recycled Polyamide (RM1084)</v>
          </cell>
          <cell r="M438" t="str">
            <v>6302.93.2000</v>
          </cell>
          <cell r="N438">
            <v>6302600090</v>
          </cell>
          <cell r="O438" t="str">
            <v>6302.93.00.00</v>
          </cell>
          <cell r="P438">
            <v>63029390</v>
          </cell>
          <cell r="Q438">
            <v>0</v>
          </cell>
          <cell r="R438" t="str">
            <v>6302.39.00</v>
          </cell>
          <cell r="S438">
            <v>63029120</v>
          </cell>
        </row>
        <row r="439">
          <cell r="A439" t="str">
            <v>ROBE-CLA-MD-NAVY</v>
          </cell>
          <cell r="B439" t="str">
            <v>5.0607E+12</v>
          </cell>
          <cell r="C439" t="str">
            <v>LAST SEASON</v>
          </cell>
          <cell r="E439">
            <v>10</v>
          </cell>
          <cell r="F439" t="str">
            <v>AW22</v>
          </cell>
          <cell r="G439" t="str">
            <v>XR Textile</v>
          </cell>
          <cell r="H439" t="str">
            <v>ROBE</v>
          </cell>
          <cell r="M439" t="str">
            <v>6208.92.0010</v>
          </cell>
          <cell r="N439">
            <v>6208110000</v>
          </cell>
          <cell r="O439" t="str">
            <v>6208.92.00.00</v>
          </cell>
          <cell r="P439">
            <v>6208990099</v>
          </cell>
          <cell r="Q439">
            <v>0</v>
          </cell>
          <cell r="R439" t="str">
            <v>6208.11.00</v>
          </cell>
          <cell r="S439">
            <v>62089200</v>
          </cell>
        </row>
        <row r="440">
          <cell r="A440" t="str">
            <v>ROUND-MAZE-GREEN</v>
          </cell>
          <cell r="B440" t="str">
            <v>6.3739E+11</v>
          </cell>
          <cell r="C440" t="str">
            <v>LAST SEASON</v>
          </cell>
          <cell r="F440" t="str">
            <v>before AW19</v>
          </cell>
          <cell r="G440" t="str">
            <v>XR Textile</v>
          </cell>
          <cell r="H440" t="str">
            <v>TOWLB</v>
          </cell>
          <cell r="I440" t="str">
            <v>GRS Certified* 83% Post Consumer Recycled Polyester (RM0189) 17% Pre Consumer Recycled Polyamide (RM1084)</v>
          </cell>
          <cell r="M440" t="str">
            <v>6302.93.2000</v>
          </cell>
          <cell r="N440">
            <v>6302600090</v>
          </cell>
          <cell r="O440" t="str">
            <v>6302.93.00.00</v>
          </cell>
          <cell r="P440">
            <v>63029390</v>
          </cell>
          <cell r="Q440">
            <v>0</v>
          </cell>
          <cell r="R440" t="str">
            <v>6302.39.00</v>
          </cell>
          <cell r="S440">
            <v>63029120</v>
          </cell>
        </row>
        <row r="441">
          <cell r="A441" t="str">
            <v>ROUND-MAZE-YELLOW</v>
          </cell>
          <cell r="B441" t="str">
            <v>6.3739E+11</v>
          </cell>
          <cell r="C441" t="str">
            <v>LAST SEASON</v>
          </cell>
          <cell r="F441" t="str">
            <v>before AW19</v>
          </cell>
          <cell r="G441" t="str">
            <v>XR Textile</v>
          </cell>
          <cell r="H441" t="str">
            <v>TOWLB</v>
          </cell>
          <cell r="I441" t="str">
            <v>GRS Certified* 83% Post Consumer Recycled Polyester (RM0189) 17% Pre Consumer Recycled Polyamide (RM1084)</v>
          </cell>
          <cell r="M441" t="str">
            <v>6302.93.2000</v>
          </cell>
          <cell r="N441">
            <v>6302600090</v>
          </cell>
          <cell r="O441" t="str">
            <v>6302.93.00.00</v>
          </cell>
          <cell r="P441">
            <v>63029390</v>
          </cell>
          <cell r="Q441">
            <v>0</v>
          </cell>
          <cell r="R441" t="str">
            <v>6302.39.00</v>
          </cell>
          <cell r="S441">
            <v>63029120</v>
          </cell>
        </row>
        <row r="442">
          <cell r="A442" t="str">
            <v>ROUND-STRIPE-RAINBOW</v>
          </cell>
          <cell r="B442" t="str">
            <v>6.5097E+11</v>
          </cell>
          <cell r="C442" t="str">
            <v>LAST SEASON</v>
          </cell>
          <cell r="E442">
            <v>20</v>
          </cell>
          <cell r="G442" t="str">
            <v>XR Textile</v>
          </cell>
          <cell r="H442" t="str">
            <v>TOWLB</v>
          </cell>
          <cell r="I442" t="str">
            <v>GRS Certified* 83% Post Consumer Recycled Polyester (RM0189) 17% Pre Consumer Recycled Polyamide (RM1084)</v>
          </cell>
          <cell r="M442" t="str">
            <v>6302.93.2000</v>
          </cell>
          <cell r="N442">
            <v>6302600090</v>
          </cell>
          <cell r="O442" t="str">
            <v>6302.93.00.00</v>
          </cell>
          <cell r="P442">
            <v>63029390</v>
          </cell>
          <cell r="Q442">
            <v>0</v>
          </cell>
          <cell r="R442" t="str">
            <v>6302.39.00</v>
          </cell>
          <cell r="S442">
            <v>63029120</v>
          </cell>
        </row>
        <row r="443">
          <cell r="A443" t="str">
            <v>SHORTS-BOT-LG-PALM</v>
          </cell>
          <cell r="B443" t="str">
            <v>5.0607E+12</v>
          </cell>
          <cell r="C443" t="str">
            <v>LAST SEASON</v>
          </cell>
          <cell r="E443">
            <v>30</v>
          </cell>
          <cell r="F443" t="str">
            <v>SS21</v>
          </cell>
          <cell r="G443" t="str">
            <v>Shaoxing Garment (Belinda)</v>
          </cell>
          <cell r="H443" t="str">
            <v>SHORTS</v>
          </cell>
          <cell r="M443" t="str">
            <v>6112.31.00.10</v>
          </cell>
          <cell r="N443">
            <v>6112311000</v>
          </cell>
          <cell r="O443">
            <v>6112311000</v>
          </cell>
          <cell r="P443">
            <v>61123110</v>
          </cell>
          <cell r="Q443">
            <v>0</v>
          </cell>
          <cell r="R443" t="str">
            <v>6112.39.00</v>
          </cell>
          <cell r="S443">
            <v>61123100</v>
          </cell>
        </row>
        <row r="444">
          <cell r="A444" t="str">
            <v>SHORTS-BOT-SM-PALM</v>
          </cell>
          <cell r="B444" t="str">
            <v>5.0607E+12</v>
          </cell>
          <cell r="C444" t="str">
            <v>LAST SEASON</v>
          </cell>
          <cell r="E444">
            <v>30</v>
          </cell>
          <cell r="F444" t="str">
            <v>SS21</v>
          </cell>
          <cell r="G444" t="str">
            <v>Shaoxing Garment (Belinda)</v>
          </cell>
          <cell r="H444" t="str">
            <v>SHORTS</v>
          </cell>
          <cell r="M444" t="str">
            <v>6112.31.00.10</v>
          </cell>
          <cell r="N444">
            <v>6112311000</v>
          </cell>
          <cell r="O444">
            <v>6112311000</v>
          </cell>
          <cell r="P444">
            <v>61123110</v>
          </cell>
          <cell r="Q444">
            <v>0</v>
          </cell>
          <cell r="R444" t="str">
            <v>6112.39.00</v>
          </cell>
          <cell r="S444">
            <v>61123100</v>
          </cell>
        </row>
        <row r="445">
          <cell r="A445" t="str">
            <v>SHORTS-BOT-XL-PALM</v>
          </cell>
          <cell r="B445" t="str">
            <v>5.0607E+12</v>
          </cell>
          <cell r="C445" t="str">
            <v>LAST SEASON</v>
          </cell>
          <cell r="E445">
            <v>30</v>
          </cell>
          <cell r="F445" t="str">
            <v>SS21</v>
          </cell>
          <cell r="G445" t="str">
            <v>Shaoxing Garment (Belinda)</v>
          </cell>
          <cell r="H445" t="str">
            <v>SHORTS</v>
          </cell>
          <cell r="M445" t="str">
            <v>6112.31.00.10</v>
          </cell>
          <cell r="N445">
            <v>6112311000</v>
          </cell>
          <cell r="O445">
            <v>6112311000</v>
          </cell>
          <cell r="P445">
            <v>61123110</v>
          </cell>
          <cell r="Q445">
            <v>0</v>
          </cell>
          <cell r="R445" t="str">
            <v>6112.39.00</v>
          </cell>
          <cell r="S445">
            <v>61123100</v>
          </cell>
        </row>
        <row r="446">
          <cell r="A446" t="str">
            <v>SHORTS-CAB-SM-RED</v>
          </cell>
          <cell r="B446" t="str">
            <v>5.0607E+12</v>
          </cell>
          <cell r="C446" t="str">
            <v>LAST SEASON</v>
          </cell>
          <cell r="E446">
            <v>30</v>
          </cell>
          <cell r="F446" t="str">
            <v>before AW20</v>
          </cell>
          <cell r="G446" t="str">
            <v>Shaoxing Garment (Belinda)</v>
          </cell>
          <cell r="H446" t="str">
            <v>SHORTS</v>
          </cell>
          <cell r="M446" t="str">
            <v>6112.31.00.10</v>
          </cell>
          <cell r="N446">
            <v>6112311000</v>
          </cell>
          <cell r="O446">
            <v>6112311000</v>
          </cell>
          <cell r="P446">
            <v>61123110</v>
          </cell>
          <cell r="Q446">
            <v>0</v>
          </cell>
          <cell r="R446" t="str">
            <v>6112.39.00</v>
          </cell>
          <cell r="S446">
            <v>61123100</v>
          </cell>
        </row>
        <row r="447">
          <cell r="A447" t="str">
            <v>SHORTS-PIN-SM-BLACK</v>
          </cell>
          <cell r="B447" t="str">
            <v>5.0607E+12</v>
          </cell>
          <cell r="C447" t="str">
            <v>LAST SEASON</v>
          </cell>
          <cell r="E447">
            <v>30</v>
          </cell>
          <cell r="F447" t="str">
            <v>SS21</v>
          </cell>
          <cell r="G447" t="str">
            <v>Shaoxing Garment (Belinda)</v>
          </cell>
          <cell r="H447" t="str">
            <v>SHORTS</v>
          </cell>
          <cell r="M447" t="str">
            <v>6112.31.00.10</v>
          </cell>
          <cell r="N447">
            <v>6112311000</v>
          </cell>
          <cell r="O447">
            <v>6112311000</v>
          </cell>
          <cell r="P447">
            <v>61123110</v>
          </cell>
          <cell r="Q447">
            <v>0</v>
          </cell>
          <cell r="R447" t="str">
            <v>6112.39.00</v>
          </cell>
          <cell r="S447">
            <v>61123100</v>
          </cell>
        </row>
        <row r="448">
          <cell r="A448" t="str">
            <v>SHORTSSTRIPE-MED-RAINBOW</v>
          </cell>
          <cell r="B448" t="str">
            <v>6.5097E+11</v>
          </cell>
          <cell r="C448" t="str">
            <v>LAST SEASON</v>
          </cell>
          <cell r="E448">
            <v>30</v>
          </cell>
          <cell r="F448" t="str">
            <v>before AW19</v>
          </cell>
          <cell r="G448" t="str">
            <v>Shaoxing Garment (Belinda)</v>
          </cell>
          <cell r="H448" t="str">
            <v>SHORTS</v>
          </cell>
          <cell r="M448" t="str">
            <v>6112.31.00.10</v>
          </cell>
          <cell r="N448">
            <v>6112311000</v>
          </cell>
          <cell r="O448">
            <v>6112311000</v>
          </cell>
          <cell r="P448">
            <v>61123110</v>
          </cell>
          <cell r="Q448">
            <v>0</v>
          </cell>
          <cell r="R448" t="str">
            <v>6112.39.00</v>
          </cell>
          <cell r="S448">
            <v>61123100</v>
          </cell>
        </row>
        <row r="449">
          <cell r="A449" t="str">
            <v>SHORTSSTRIPE-MED-RED</v>
          </cell>
          <cell r="B449" t="str">
            <v>6.5097E+11</v>
          </cell>
          <cell r="C449" t="str">
            <v>LAST SEASON</v>
          </cell>
          <cell r="E449">
            <v>30</v>
          </cell>
          <cell r="F449" t="str">
            <v>before AW19</v>
          </cell>
          <cell r="G449" t="str">
            <v>Shaoxing Garment (Belinda)</v>
          </cell>
          <cell r="H449" t="str">
            <v>SHORTS</v>
          </cell>
          <cell r="M449" t="str">
            <v>6112.31.00.10</v>
          </cell>
          <cell r="N449">
            <v>6112311000</v>
          </cell>
          <cell r="O449">
            <v>6112311000</v>
          </cell>
          <cell r="P449">
            <v>61123110</v>
          </cell>
          <cell r="Q449">
            <v>0</v>
          </cell>
          <cell r="R449" t="str">
            <v>6112.39.00</v>
          </cell>
          <cell r="S449">
            <v>61123100</v>
          </cell>
        </row>
        <row r="450">
          <cell r="A450" t="str">
            <v>SHORTSSTRIPE-SML-BLUE</v>
          </cell>
          <cell r="B450" t="str">
            <v>6.5097E+11</v>
          </cell>
          <cell r="C450" t="str">
            <v>LAST SEASON</v>
          </cell>
          <cell r="E450">
            <v>30</v>
          </cell>
          <cell r="F450" t="str">
            <v>before AW19</v>
          </cell>
          <cell r="G450" t="str">
            <v>Shaoxing Garment (Belinda)</v>
          </cell>
          <cell r="H450" t="str">
            <v>SHORTS</v>
          </cell>
          <cell r="M450" t="str">
            <v>6112.31.00.10</v>
          </cell>
          <cell r="N450">
            <v>6112311000</v>
          </cell>
          <cell r="O450">
            <v>6112311000</v>
          </cell>
          <cell r="P450">
            <v>61123110</v>
          </cell>
          <cell r="Q450">
            <v>0</v>
          </cell>
          <cell r="R450" t="str">
            <v>6112.39.00</v>
          </cell>
          <cell r="S450">
            <v>61123100</v>
          </cell>
        </row>
        <row r="451">
          <cell r="A451" t="str">
            <v>SHORTSSTRIPE-SML-RAINBOW</v>
          </cell>
          <cell r="B451" t="str">
            <v>6.5097E+11</v>
          </cell>
          <cell r="C451" t="str">
            <v>LAST SEASON</v>
          </cell>
          <cell r="E451">
            <v>30</v>
          </cell>
          <cell r="F451" t="str">
            <v>before AW19</v>
          </cell>
          <cell r="G451" t="str">
            <v>Shaoxing Garment (Belinda)</v>
          </cell>
          <cell r="H451" t="str">
            <v>SHORTS</v>
          </cell>
          <cell r="M451" t="str">
            <v>6112.31.00.10</v>
          </cell>
          <cell r="N451">
            <v>6112311000</v>
          </cell>
          <cell r="O451">
            <v>6112311000</v>
          </cell>
          <cell r="P451">
            <v>61123110</v>
          </cell>
          <cell r="Q451">
            <v>0</v>
          </cell>
          <cell r="R451" t="str">
            <v>6112.39.00</v>
          </cell>
          <cell r="S451">
            <v>61123100</v>
          </cell>
        </row>
        <row r="452">
          <cell r="A452" t="str">
            <v>SHORTSSTRIPE-SML-RED</v>
          </cell>
          <cell r="B452" t="str">
            <v>6.5097E+11</v>
          </cell>
          <cell r="C452" t="str">
            <v>LAST SEASON</v>
          </cell>
          <cell r="E452">
            <v>30</v>
          </cell>
          <cell r="F452" t="str">
            <v>before AW19</v>
          </cell>
          <cell r="G452" t="str">
            <v>Shaoxing Garment (Belinda)</v>
          </cell>
          <cell r="H452" t="str">
            <v>SHORTS</v>
          </cell>
          <cell r="M452" t="str">
            <v>6112.31.00.10</v>
          </cell>
          <cell r="N452">
            <v>6112311000</v>
          </cell>
          <cell r="O452">
            <v>6112311000</v>
          </cell>
          <cell r="P452">
            <v>61123110</v>
          </cell>
          <cell r="Q452">
            <v>0</v>
          </cell>
          <cell r="R452" t="str">
            <v>6112.39.00</v>
          </cell>
          <cell r="S452">
            <v>61123100</v>
          </cell>
        </row>
        <row r="453">
          <cell r="A453" t="str">
            <v>SHORTSSTRIPE-SML-YELLOW</v>
          </cell>
          <cell r="B453" t="str">
            <v>6.5097E+11</v>
          </cell>
          <cell r="C453" t="str">
            <v>LAST SEASON</v>
          </cell>
          <cell r="E453">
            <v>30</v>
          </cell>
          <cell r="F453" t="str">
            <v>before AW19</v>
          </cell>
          <cell r="G453" t="str">
            <v>Shaoxing Garment (Belinda)</v>
          </cell>
          <cell r="H453" t="str">
            <v>SHORTS</v>
          </cell>
          <cell r="M453" t="str">
            <v>6112.31.00.10</v>
          </cell>
          <cell r="N453">
            <v>6112311000</v>
          </cell>
          <cell r="O453">
            <v>6112311000</v>
          </cell>
          <cell r="P453">
            <v>61123110</v>
          </cell>
          <cell r="Q453">
            <v>0</v>
          </cell>
          <cell r="R453" t="str">
            <v>6112.39.00</v>
          </cell>
          <cell r="S453">
            <v>61123100</v>
          </cell>
        </row>
        <row r="454">
          <cell r="A454" t="str">
            <v>SHORTSSTRIPE-XLG-BLUE</v>
          </cell>
          <cell r="B454" t="str">
            <v>6.5097E+11</v>
          </cell>
          <cell r="C454" t="str">
            <v>LAST SEASON</v>
          </cell>
          <cell r="E454">
            <v>30</v>
          </cell>
          <cell r="F454" t="str">
            <v>before AW19</v>
          </cell>
          <cell r="G454" t="str">
            <v>Shaoxing Garment (Belinda)</v>
          </cell>
          <cell r="H454" t="str">
            <v>SHORTS</v>
          </cell>
          <cell r="M454" t="str">
            <v>6112.31.00.10</v>
          </cell>
          <cell r="N454">
            <v>6112311000</v>
          </cell>
          <cell r="O454">
            <v>6112311000</v>
          </cell>
          <cell r="P454">
            <v>61123110</v>
          </cell>
          <cell r="Q454">
            <v>0</v>
          </cell>
          <cell r="R454" t="str">
            <v>6112.39.00</v>
          </cell>
          <cell r="S454">
            <v>61123100</v>
          </cell>
        </row>
        <row r="455">
          <cell r="A455" t="str">
            <v>SPAREPOUCH-LAR</v>
          </cell>
          <cell r="B455" t="str">
            <v>6.3739E+11</v>
          </cell>
          <cell r="C455" t="str">
            <v>LAST SEASON</v>
          </cell>
          <cell r="F455" t="str">
            <v>before AW20</v>
          </cell>
          <cell r="M455" t="e">
            <v>#N/A</v>
          </cell>
          <cell r="N455" t="e">
            <v>#N/A</v>
          </cell>
          <cell r="O455" t="e">
            <v>#N/A</v>
          </cell>
          <cell r="P455" t="e">
            <v>#N/A</v>
          </cell>
          <cell r="Q455" t="e">
            <v>#N/A</v>
          </cell>
          <cell r="R455" t="e">
            <v>#N/A</v>
          </cell>
          <cell r="S455" t="e">
            <v>#N/A</v>
          </cell>
        </row>
        <row r="456">
          <cell r="A456" t="str">
            <v>SPAREPOUCH-XLG</v>
          </cell>
          <cell r="B456" t="str">
            <v>6.3739E+11</v>
          </cell>
          <cell r="C456" t="str">
            <v>LAST SEASON</v>
          </cell>
          <cell r="M456" t="e">
            <v>#N/A</v>
          </cell>
          <cell r="N456" t="e">
            <v>#N/A</v>
          </cell>
          <cell r="O456" t="e">
            <v>#N/A</v>
          </cell>
          <cell r="P456" t="e">
            <v>#N/A</v>
          </cell>
          <cell r="Q456" t="e">
            <v>#N/A</v>
          </cell>
          <cell r="R456" t="e">
            <v>#N/A</v>
          </cell>
          <cell r="S456" t="e">
            <v>#N/A</v>
          </cell>
        </row>
        <row r="457">
          <cell r="A457" t="str">
            <v>SUMMER-LAR-RAINBOW</v>
          </cell>
          <cell r="B457" t="str">
            <v>6.3739E+11</v>
          </cell>
          <cell r="C457" t="str">
            <v>LAST SEASON</v>
          </cell>
          <cell r="E457">
            <v>40</v>
          </cell>
          <cell r="F457" t="str">
            <v>before AW20</v>
          </cell>
          <cell r="G457" t="str">
            <v>XR Textile</v>
          </cell>
          <cell r="H457" t="str">
            <v>TOWLB</v>
          </cell>
          <cell r="I457" t="str">
            <v>GRS Certified* 83% Post Consumer Recycled Polyester (RM0189) 17% Pre Consumer Recycled Polyamide (RM1084)</v>
          </cell>
          <cell r="M457" t="str">
            <v>6302.93.2000</v>
          </cell>
          <cell r="N457">
            <v>6302600090</v>
          </cell>
          <cell r="O457" t="str">
            <v>6302.93.00.00</v>
          </cell>
          <cell r="P457">
            <v>63029390</v>
          </cell>
          <cell r="Q457">
            <v>0</v>
          </cell>
          <cell r="R457" t="str">
            <v>6302.39.00</v>
          </cell>
          <cell r="S457">
            <v>63029120</v>
          </cell>
        </row>
        <row r="458">
          <cell r="A458" t="str">
            <v>SUMMER-XLG-BLUERED</v>
          </cell>
          <cell r="B458" t="str">
            <v>6.3739E+11</v>
          </cell>
          <cell r="C458" t="str">
            <v>LAST SEASON</v>
          </cell>
          <cell r="E458">
            <v>30</v>
          </cell>
          <cell r="G458" t="str">
            <v>XR Textile</v>
          </cell>
          <cell r="H458" t="str">
            <v>TOWLB</v>
          </cell>
          <cell r="I458" t="str">
            <v>GRS Certified* 83% Post Consumer Recycled Polyester (RM0189) 17% Pre Consumer Recycled Polyamide (RM1084)</v>
          </cell>
          <cell r="M458" t="str">
            <v>6302.93.2000</v>
          </cell>
          <cell r="N458">
            <v>6302600090</v>
          </cell>
          <cell r="O458" t="str">
            <v>6302.93.00.00</v>
          </cell>
          <cell r="P458">
            <v>63029390</v>
          </cell>
          <cell r="Q458">
            <v>0</v>
          </cell>
          <cell r="R458" t="str">
            <v>6302.39.00</v>
          </cell>
          <cell r="S458">
            <v>63029120</v>
          </cell>
        </row>
        <row r="459">
          <cell r="A459" t="str">
            <v>SWAY-XLG-ARCTIC</v>
          </cell>
          <cell r="B459" t="str">
            <v>5.0607E+12</v>
          </cell>
          <cell r="C459" t="str">
            <v>LAST SEASON</v>
          </cell>
          <cell r="E459">
            <v>30</v>
          </cell>
          <cell r="G459" t="str">
            <v>XR Textile</v>
          </cell>
          <cell r="H459" t="str">
            <v>TOWLB</v>
          </cell>
          <cell r="I459" t="str">
            <v>GRS Certified* 83% Post Consumer Recycled Polyester (RM0189) 17% Pre Consumer Recycled Polyamide (RM1084)</v>
          </cell>
          <cell r="M459" t="str">
            <v>6302.93.2000</v>
          </cell>
          <cell r="N459">
            <v>6302600090</v>
          </cell>
          <cell r="O459" t="str">
            <v>6302.93.00.00</v>
          </cell>
          <cell r="P459">
            <v>63029390</v>
          </cell>
          <cell r="Q459">
            <v>0</v>
          </cell>
          <cell r="R459" t="str">
            <v>6302.39.00</v>
          </cell>
          <cell r="S459">
            <v>63029120</v>
          </cell>
        </row>
        <row r="460">
          <cell r="A460" t="str">
            <v>TEATWL-MD-CCOOL</v>
          </cell>
          <cell r="B460" t="str">
            <v>5.061E+12</v>
          </cell>
          <cell r="C460" t="str">
            <v>LAST SEASON</v>
          </cell>
          <cell r="D460" t="str">
            <v>Seasonal</v>
          </cell>
          <cell r="E460">
            <v>50</v>
          </cell>
          <cell r="F460" t="str">
            <v>SS25</v>
          </cell>
          <cell r="G460" t="str">
            <v>XR Textile</v>
          </cell>
          <cell r="H460" t="str">
            <v>TEATWL</v>
          </cell>
          <cell r="I460" t="str">
            <v>GRS Certified* 83% Post Consumer Recycled Polyester (RM0189) 17% Pre Consumer Recycled Polyamide (RM1084)</v>
          </cell>
          <cell r="M460" t="str">
            <v>6302.53.00.20</v>
          </cell>
          <cell r="N460">
            <v>6302531000</v>
          </cell>
          <cell r="O460">
            <v>6302531000</v>
          </cell>
          <cell r="P460">
            <v>63029310</v>
          </cell>
          <cell r="Q460">
            <v>0</v>
          </cell>
          <cell r="R460" t="str">
            <v>6302.53.00</v>
          </cell>
          <cell r="S460">
            <v>0</v>
          </cell>
        </row>
        <row r="461">
          <cell r="A461" t="str">
            <v>TEATWL-MD-FEELVINE</v>
          </cell>
          <cell r="B461" t="str">
            <v>5.061E+12</v>
          </cell>
          <cell r="C461" t="str">
            <v>LAST SEASON</v>
          </cell>
          <cell r="D461" t="str">
            <v>Seasonal</v>
          </cell>
          <cell r="E461">
            <v>50</v>
          </cell>
          <cell r="F461" t="str">
            <v>SS25</v>
          </cell>
          <cell r="G461" t="str">
            <v>XR Textile</v>
          </cell>
          <cell r="H461" t="str">
            <v>TEATWL</v>
          </cell>
          <cell r="I461" t="str">
            <v>GRS Certified* 83% Post Consumer Recycled Polyester (RM0189) 17% Pre Consumer Recycled Polyamide (RM1084)</v>
          </cell>
          <cell r="M461" t="str">
            <v>6302.53.00.20</v>
          </cell>
          <cell r="N461">
            <v>6302531000</v>
          </cell>
          <cell r="O461">
            <v>6302531000</v>
          </cell>
          <cell r="P461">
            <v>63029310</v>
          </cell>
          <cell r="Q461">
            <v>0</v>
          </cell>
          <cell r="R461" t="str">
            <v>6302.53.00</v>
          </cell>
          <cell r="S461">
            <v>0</v>
          </cell>
        </row>
        <row r="462">
          <cell r="A462" t="str">
            <v>TEATWL-MD-KISSCOOK</v>
          </cell>
          <cell r="B462" t="str">
            <v>5.061E+12</v>
          </cell>
          <cell r="C462" t="str">
            <v>LAST SEASON</v>
          </cell>
          <cell r="D462" t="str">
            <v>Seasonal</v>
          </cell>
          <cell r="E462">
            <v>50</v>
          </cell>
          <cell r="F462" t="str">
            <v>SS25</v>
          </cell>
          <cell r="G462" t="str">
            <v>XR Textile</v>
          </cell>
          <cell r="H462" t="str">
            <v>TEATWL</v>
          </cell>
          <cell r="I462" t="str">
            <v>GRS Certified* 83% Post Consumer Recycled Polyester (RM0189) 17% Pre Consumer Recycled Polyamide (RM1084)</v>
          </cell>
          <cell r="M462" t="str">
            <v>6302.53.00.20</v>
          </cell>
          <cell r="N462">
            <v>6302531000</v>
          </cell>
          <cell r="O462">
            <v>6302531000</v>
          </cell>
          <cell r="P462">
            <v>63029310</v>
          </cell>
          <cell r="Q462">
            <v>0</v>
          </cell>
          <cell r="R462" t="str">
            <v>6302.53.00</v>
          </cell>
          <cell r="S462">
            <v>0</v>
          </cell>
        </row>
        <row r="463">
          <cell r="A463" t="str">
            <v>TEATWL-MD-MEDMAR</v>
          </cell>
          <cell r="B463" t="str">
            <v>5.061E+12</v>
          </cell>
          <cell r="C463" t="str">
            <v>LAST SEASON</v>
          </cell>
          <cell r="D463" t="str">
            <v>Seasonal</v>
          </cell>
          <cell r="E463">
            <v>50</v>
          </cell>
          <cell r="F463" t="str">
            <v>SS25</v>
          </cell>
          <cell r="G463" t="str">
            <v>XR Textile</v>
          </cell>
          <cell r="H463" t="str">
            <v>TEATWL</v>
          </cell>
          <cell r="I463" t="str">
            <v>GRS Certified* 83% Post Consumer Recycled Polyester (RM0189) 17% Pre Consumer Recycled Polyamide (RM1084)</v>
          </cell>
          <cell r="M463" t="str">
            <v>6302.53.00.20</v>
          </cell>
          <cell r="N463">
            <v>6302531000</v>
          </cell>
          <cell r="O463">
            <v>6302531000</v>
          </cell>
          <cell r="P463">
            <v>63029310</v>
          </cell>
          <cell r="Q463">
            <v>0</v>
          </cell>
          <cell r="R463" t="str">
            <v>6302.53.00</v>
          </cell>
          <cell r="S463">
            <v>0</v>
          </cell>
        </row>
        <row r="464">
          <cell r="A464" t="str">
            <v>TEATWL-MD-PNKGRAP</v>
          </cell>
          <cell r="B464" t="str">
            <v>5.061E+12</v>
          </cell>
          <cell r="C464" t="str">
            <v>LAST SEASON</v>
          </cell>
          <cell r="D464" t="str">
            <v>Seasonal</v>
          </cell>
          <cell r="E464">
            <v>50</v>
          </cell>
          <cell r="F464" t="str">
            <v>SS25</v>
          </cell>
          <cell r="G464" t="str">
            <v>XR Textile</v>
          </cell>
          <cell r="H464" t="str">
            <v>TEATWL</v>
          </cell>
          <cell r="I464" t="str">
            <v>GRS Certified* 83% Post Consumer Recycled Polyester (RM0189) 17% Pre Consumer Recycled Polyamide (RM1084)</v>
          </cell>
          <cell r="M464" t="str">
            <v>6302.53.00.20</v>
          </cell>
          <cell r="N464">
            <v>6302531000</v>
          </cell>
          <cell r="O464">
            <v>6302531000</v>
          </cell>
          <cell r="P464">
            <v>63029310</v>
          </cell>
          <cell r="Q464">
            <v>0</v>
          </cell>
          <cell r="R464" t="str">
            <v>6302.53.00</v>
          </cell>
          <cell r="S464">
            <v>0</v>
          </cell>
        </row>
        <row r="465">
          <cell r="A465" t="str">
            <v>TEATWL-MD-SAUCY</v>
          </cell>
          <cell r="B465" t="str">
            <v>5.061E+12</v>
          </cell>
          <cell r="C465" t="str">
            <v>LAST SEASON</v>
          </cell>
          <cell r="D465" t="str">
            <v>Seasonal</v>
          </cell>
          <cell r="E465">
            <v>50</v>
          </cell>
          <cell r="F465" t="str">
            <v>SS25</v>
          </cell>
          <cell r="G465" t="str">
            <v>XR Textile</v>
          </cell>
          <cell r="H465" t="str">
            <v>TEATWL</v>
          </cell>
          <cell r="I465" t="str">
            <v>GRS Certified* 83% Post Consumer Recycled Polyester (RM0189) 17% Pre Consumer Recycled Polyamide (RM1084)</v>
          </cell>
          <cell r="M465" t="str">
            <v>6302.53.00.20</v>
          </cell>
          <cell r="N465">
            <v>6302531000</v>
          </cell>
          <cell r="O465">
            <v>6302531000</v>
          </cell>
          <cell r="P465">
            <v>63029310</v>
          </cell>
          <cell r="Q465">
            <v>0</v>
          </cell>
          <cell r="R465" t="str">
            <v>6302.53.00</v>
          </cell>
          <cell r="S465">
            <v>0</v>
          </cell>
        </row>
        <row r="466">
          <cell r="A466" t="str">
            <v>TEATWL-MD-VRYPEEL</v>
          </cell>
          <cell r="B466" t="str">
            <v>5.061E+12</v>
          </cell>
          <cell r="C466" t="str">
            <v>LAST SEASON</v>
          </cell>
          <cell r="D466" t="str">
            <v>Seasonal</v>
          </cell>
          <cell r="E466">
            <v>50</v>
          </cell>
          <cell r="F466" t="str">
            <v>SS25</v>
          </cell>
          <cell r="G466" t="str">
            <v>XR Textile</v>
          </cell>
          <cell r="H466" t="str">
            <v>TEATWL</v>
          </cell>
          <cell r="I466" t="str">
            <v>GRS Certified* 83% Post Consumer Recycled Polyester (RM0189) 17% Pre Consumer Recycled Polyamide (RM1084)</v>
          </cell>
          <cell r="M466" t="str">
            <v>6302.53.00.20</v>
          </cell>
          <cell r="N466">
            <v>6302531000</v>
          </cell>
          <cell r="O466">
            <v>6302531000</v>
          </cell>
          <cell r="P466">
            <v>63029310</v>
          </cell>
          <cell r="Q466">
            <v>0</v>
          </cell>
          <cell r="R466" t="str">
            <v>6302.53.00</v>
          </cell>
          <cell r="S466">
            <v>0</v>
          </cell>
        </row>
        <row r="467">
          <cell r="A467" t="str">
            <v>TOWLB-BOT-XL-PALM</v>
          </cell>
          <cell r="B467" t="str">
            <v>5.0607E+12</v>
          </cell>
          <cell r="C467" t="str">
            <v>LAST SEASON</v>
          </cell>
          <cell r="E467">
            <v>30</v>
          </cell>
          <cell r="F467" t="str">
            <v>SS21</v>
          </cell>
          <cell r="G467" t="str">
            <v>XR Textile</v>
          </cell>
          <cell r="H467" t="str">
            <v>TOWLB</v>
          </cell>
          <cell r="I467" t="str">
            <v>GRS Certified* 83% Post Consumer Recycled Polyester (RM0189) 17% Pre Consumer Recycled Polyamide (RM1084)</v>
          </cell>
          <cell r="M467" t="str">
            <v>6302.93.2000</v>
          </cell>
          <cell r="N467">
            <v>6302600090</v>
          </cell>
          <cell r="O467" t="str">
            <v>6302.93.00.00</v>
          </cell>
          <cell r="P467">
            <v>63029390</v>
          </cell>
          <cell r="Q467">
            <v>0</v>
          </cell>
          <cell r="R467" t="str">
            <v>6302.39.00</v>
          </cell>
          <cell r="S467">
            <v>63029120</v>
          </cell>
        </row>
        <row r="468">
          <cell r="A468" t="str">
            <v>TOWLB-DES-LG-ALOHGLW</v>
          </cell>
          <cell r="B468" t="str">
            <v>5.061E+12</v>
          </cell>
          <cell r="C468" t="str">
            <v>LAST SEASON</v>
          </cell>
          <cell r="D468" t="str">
            <v>Seasonal</v>
          </cell>
          <cell r="E468">
            <v>40</v>
          </cell>
          <cell r="F468" t="str">
            <v>SS25</v>
          </cell>
          <cell r="G468" t="str">
            <v>XR Textile</v>
          </cell>
          <cell r="H468" t="str">
            <v>TOWLB</v>
          </cell>
          <cell r="I468" t="str">
            <v>GRS Certified* 83% Post Consumer Recycled Polyester (RM0189) 17% Pre Consumer Recycled Polyamide (RM1084)</v>
          </cell>
          <cell r="M468" t="str">
            <v>6302.93.2000</v>
          </cell>
          <cell r="N468">
            <v>6302600090</v>
          </cell>
          <cell r="O468" t="str">
            <v>6302.93.00.00</v>
          </cell>
          <cell r="P468">
            <v>63029390</v>
          </cell>
          <cell r="Q468">
            <v>0</v>
          </cell>
          <cell r="R468" t="str">
            <v>6302.39.00</v>
          </cell>
          <cell r="S468">
            <v>63029120</v>
          </cell>
        </row>
        <row r="469">
          <cell r="A469" t="str">
            <v>TOWLB-DES-LG-BLUSPRIT</v>
          </cell>
          <cell r="B469" t="str">
            <v>5.061E+12</v>
          </cell>
          <cell r="C469" t="str">
            <v>LAST SEASON</v>
          </cell>
          <cell r="D469" t="str">
            <v>Seasonal</v>
          </cell>
          <cell r="E469">
            <v>40</v>
          </cell>
          <cell r="F469" t="str">
            <v>SS25</v>
          </cell>
          <cell r="G469" t="str">
            <v>XR Textile</v>
          </cell>
          <cell r="H469" t="str">
            <v>TOWLB</v>
          </cell>
          <cell r="I469" t="str">
            <v>GRS Certified* 83% Post Consumer Recycled Polyester (RM0189) 17% Pre Consumer Recycled Polyamide (RM1084)</v>
          </cell>
          <cell r="M469" t="str">
            <v>6302.93.2000</v>
          </cell>
          <cell r="N469">
            <v>6302600090</v>
          </cell>
          <cell r="O469" t="str">
            <v>6302.93.00.00</v>
          </cell>
          <cell r="P469">
            <v>63029390</v>
          </cell>
          <cell r="Q469">
            <v>0</v>
          </cell>
          <cell r="R469" t="str">
            <v>6302.39.00</v>
          </cell>
          <cell r="S469">
            <v>63029120</v>
          </cell>
        </row>
        <row r="470">
          <cell r="A470" t="str">
            <v>TOWLB-DES-LG-CHECKMT</v>
          </cell>
          <cell r="B470" t="str">
            <v>5.061E+12</v>
          </cell>
          <cell r="C470" t="str">
            <v>LAST SEASON</v>
          </cell>
          <cell r="D470" t="str">
            <v>Seasonal</v>
          </cell>
          <cell r="E470">
            <v>40</v>
          </cell>
          <cell r="F470" t="str">
            <v>SS25</v>
          </cell>
          <cell r="G470" t="str">
            <v>XR Textile</v>
          </cell>
          <cell r="H470" t="str">
            <v>TOWLB</v>
          </cell>
          <cell r="I470" t="str">
            <v>GRS Certified* 83% Post Consumer Recycled Polyester (RM0189) 17% Pre Consumer Recycled Polyamide (RM1084)</v>
          </cell>
          <cell r="M470" t="str">
            <v>6302.93.2000</v>
          </cell>
          <cell r="N470">
            <v>6302600090</v>
          </cell>
          <cell r="O470" t="str">
            <v>6302.93.00.00</v>
          </cell>
          <cell r="P470">
            <v>63029390</v>
          </cell>
          <cell r="Q470">
            <v>0</v>
          </cell>
          <cell r="R470" t="str">
            <v>6302.39.00</v>
          </cell>
          <cell r="S470">
            <v>63029120</v>
          </cell>
        </row>
        <row r="471">
          <cell r="A471" t="str">
            <v>TOWLB-DES-LG-FRUTLPS</v>
          </cell>
          <cell r="B471" t="str">
            <v>5.061E+12</v>
          </cell>
          <cell r="C471" t="str">
            <v>LAST SEASON</v>
          </cell>
          <cell r="D471" t="str">
            <v>Seasonal</v>
          </cell>
          <cell r="E471">
            <v>40</v>
          </cell>
          <cell r="F471" t="str">
            <v>SS25</v>
          </cell>
          <cell r="G471" t="str">
            <v>XR Textile</v>
          </cell>
          <cell r="H471" t="str">
            <v>TOWLB</v>
          </cell>
          <cell r="I471" t="str">
            <v>GRS Certified* 83% Post Consumer Recycled Polyester (RM0189) 17% Pre Consumer Recycled Polyamide (RM1084)</v>
          </cell>
          <cell r="M471" t="str">
            <v>6302.93.2000</v>
          </cell>
          <cell r="N471">
            <v>6302600090</v>
          </cell>
          <cell r="O471" t="str">
            <v>6302.93.00.00</v>
          </cell>
          <cell r="P471">
            <v>63029390</v>
          </cell>
          <cell r="Q471">
            <v>0</v>
          </cell>
          <cell r="R471" t="str">
            <v>6302.39.00</v>
          </cell>
          <cell r="S471">
            <v>63029120</v>
          </cell>
        </row>
        <row r="472">
          <cell r="A472" t="str">
            <v>TOWLB-DES-LG-GROOVCH</v>
          </cell>
          <cell r="B472" t="str">
            <v>5.061E+12</v>
          </cell>
          <cell r="C472" t="str">
            <v>LAST SEASON</v>
          </cell>
          <cell r="D472" t="str">
            <v>Seasonal</v>
          </cell>
          <cell r="E472">
            <v>40</v>
          </cell>
          <cell r="F472" t="str">
            <v>SS25</v>
          </cell>
          <cell r="G472" t="str">
            <v>XR Textile</v>
          </cell>
          <cell r="H472" t="str">
            <v>TOWLB</v>
          </cell>
          <cell r="I472" t="str">
            <v>GRS Certified* 83% Post Consumer Recycled Polyester (RM0189) 17% Pre Consumer Recycled Polyamide (RM1084)</v>
          </cell>
          <cell r="M472" t="str">
            <v>6302.93.2000</v>
          </cell>
          <cell r="N472">
            <v>6302600090</v>
          </cell>
          <cell r="O472" t="str">
            <v>6302.93.00.00</v>
          </cell>
          <cell r="P472">
            <v>63029390</v>
          </cell>
          <cell r="Q472">
            <v>0</v>
          </cell>
          <cell r="R472" t="str">
            <v>6302.39.00</v>
          </cell>
          <cell r="S472">
            <v>63029120</v>
          </cell>
        </row>
        <row r="473">
          <cell r="A473" t="str">
            <v>TOWLB-DES-LG-GTTLINES</v>
          </cell>
          <cell r="B473" t="str">
            <v>5.061E+12</v>
          </cell>
          <cell r="C473" t="str">
            <v>LAST SEASON</v>
          </cell>
          <cell r="D473" t="str">
            <v>Seasonal</v>
          </cell>
          <cell r="E473">
            <v>40</v>
          </cell>
          <cell r="F473" t="str">
            <v>SS25</v>
          </cell>
          <cell r="G473" t="str">
            <v>XR Textile</v>
          </cell>
          <cell r="H473" t="str">
            <v>TOWLB</v>
          </cell>
          <cell r="I473" t="str">
            <v>GRS Certified* 83% Post Consumer Recycled Polyester (RM0189) 17% Pre Consumer Recycled Polyamide (RM1084)</v>
          </cell>
          <cell r="M473" t="str">
            <v>6302.93.2000</v>
          </cell>
          <cell r="N473">
            <v>6302600090</v>
          </cell>
          <cell r="O473" t="str">
            <v>6302.93.00.00</v>
          </cell>
          <cell r="P473">
            <v>63029390</v>
          </cell>
          <cell r="Q473">
            <v>0</v>
          </cell>
          <cell r="R473" t="str">
            <v>6302.39.00</v>
          </cell>
          <cell r="S473">
            <v>63029120</v>
          </cell>
        </row>
        <row r="474">
          <cell r="A474" t="str">
            <v>TOWLB-DES-LG-LEMWAV</v>
          </cell>
          <cell r="B474" t="str">
            <v>5.061E+12</v>
          </cell>
          <cell r="C474" t="str">
            <v>LAST SEASON</v>
          </cell>
          <cell r="D474" t="str">
            <v>Seasonal</v>
          </cell>
          <cell r="E474">
            <v>40</v>
          </cell>
          <cell r="F474" t="str">
            <v>SS25</v>
          </cell>
          <cell r="G474" t="str">
            <v>XR Textile</v>
          </cell>
          <cell r="H474" t="str">
            <v>TOWLB</v>
          </cell>
          <cell r="I474" t="str">
            <v>GRS Certified* 83% Post Consumer Recycled Polyester (RM0189) 17% Pre Consumer Recycled Polyamide (RM1084)</v>
          </cell>
          <cell r="M474" t="str">
            <v>6302.93.2000</v>
          </cell>
          <cell r="N474">
            <v>6302600090</v>
          </cell>
          <cell r="O474" t="str">
            <v>6302.93.00.00</v>
          </cell>
          <cell r="P474">
            <v>63029390</v>
          </cell>
          <cell r="Q474">
            <v>0</v>
          </cell>
          <cell r="R474" t="str">
            <v>6302.39.00</v>
          </cell>
          <cell r="S474">
            <v>63029120</v>
          </cell>
        </row>
        <row r="475">
          <cell r="A475" t="str">
            <v>TOWLB-DES-LG-MARINDRM</v>
          </cell>
          <cell r="B475" t="str">
            <v>5.061E+12</v>
          </cell>
          <cell r="C475" t="str">
            <v>LAST SEASON</v>
          </cell>
          <cell r="D475" t="str">
            <v>Seasonal</v>
          </cell>
          <cell r="E475">
            <v>40</v>
          </cell>
          <cell r="F475" t="str">
            <v>SS24</v>
          </cell>
          <cell r="G475" t="str">
            <v>XR Textile</v>
          </cell>
          <cell r="H475" t="str">
            <v>TOWLB</v>
          </cell>
          <cell r="I475" t="str">
            <v>GRS Certified* 83% Post Consumer Recycled Polyester (RM0189) 17% Pre Consumer Recycled Polyamide (RM1084)</v>
          </cell>
          <cell r="M475" t="str">
            <v>6302.93.2000</v>
          </cell>
          <cell r="N475">
            <v>6302600090</v>
          </cell>
          <cell r="O475" t="str">
            <v>6302.93.00.00</v>
          </cell>
          <cell r="P475">
            <v>63029390</v>
          </cell>
          <cell r="Q475">
            <v>0</v>
          </cell>
          <cell r="R475" t="str">
            <v>6302.39.00</v>
          </cell>
          <cell r="S475">
            <v>63029120</v>
          </cell>
        </row>
        <row r="476">
          <cell r="A476" t="str">
            <v>TOWLB-DES-LG-PPVIBES</v>
          </cell>
          <cell r="B476" t="str">
            <v>5.061E+12</v>
          </cell>
          <cell r="C476" t="str">
            <v>LAST SEASON</v>
          </cell>
          <cell r="D476" t="str">
            <v>Seasonal</v>
          </cell>
          <cell r="E476">
            <v>40</v>
          </cell>
          <cell r="F476" t="str">
            <v>SS25</v>
          </cell>
          <cell r="G476" t="str">
            <v>XR Textile</v>
          </cell>
          <cell r="H476" t="str">
            <v>TOWLB</v>
          </cell>
          <cell r="I476" t="str">
            <v>GRS Certified* 83% Post Consumer Recycled Polyester (RM0189) 17% Pre Consumer Recycled Polyamide (RM1084)</v>
          </cell>
          <cell r="M476" t="str">
            <v>6302.93.2000</v>
          </cell>
          <cell r="N476">
            <v>6302600090</v>
          </cell>
          <cell r="O476" t="str">
            <v>6302.93.00.00</v>
          </cell>
          <cell r="P476">
            <v>63029390</v>
          </cell>
          <cell r="Q476">
            <v>0</v>
          </cell>
          <cell r="R476" t="str">
            <v>6302.39.00</v>
          </cell>
          <cell r="S476">
            <v>63029120</v>
          </cell>
        </row>
        <row r="477">
          <cell r="A477" t="str">
            <v>TOWLB-DES-LG-SEAFOAM</v>
          </cell>
          <cell r="B477" t="str">
            <v>5.061E+12</v>
          </cell>
          <cell r="C477" t="str">
            <v>LAST SEASON</v>
          </cell>
          <cell r="D477" t="str">
            <v>Seasonal</v>
          </cell>
          <cell r="E477">
            <v>40</v>
          </cell>
          <cell r="F477" t="str">
            <v>SS24</v>
          </cell>
          <cell r="G477" t="str">
            <v>XR Textile</v>
          </cell>
          <cell r="H477" t="str">
            <v>TOWLB</v>
          </cell>
          <cell r="I477" t="str">
            <v>GRS Certified* 83% Post Consumer Recycled Polyester (RM0189) 17% Pre Consumer Recycled Polyamide (RM1084)</v>
          </cell>
          <cell r="M477" t="str">
            <v>6302.93.2000</v>
          </cell>
          <cell r="N477">
            <v>6302600090</v>
          </cell>
          <cell r="O477" t="str">
            <v>6302.93.00.00</v>
          </cell>
          <cell r="P477">
            <v>63029390</v>
          </cell>
          <cell r="Q477">
            <v>0</v>
          </cell>
          <cell r="R477" t="str">
            <v>6302.39.00</v>
          </cell>
          <cell r="S477">
            <v>63029120</v>
          </cell>
        </row>
        <row r="478">
          <cell r="A478" t="str">
            <v>TOWLB-DES-LG-SUGPALM</v>
          </cell>
          <cell r="B478" t="str">
            <v>5.061E+12</v>
          </cell>
          <cell r="C478" t="str">
            <v>LAST SEASON</v>
          </cell>
          <cell r="D478" t="str">
            <v>Seasonal</v>
          </cell>
          <cell r="E478">
            <v>40</v>
          </cell>
          <cell r="F478" t="str">
            <v>SS25</v>
          </cell>
          <cell r="G478" t="str">
            <v>XR Textile</v>
          </cell>
          <cell r="H478" t="str">
            <v>TOWLB</v>
          </cell>
          <cell r="I478" t="str">
            <v>GRS Certified* 83% Post Consumer Recycled Polyester (RM0189) 17% Pre Consumer Recycled Polyamide (RM1084)</v>
          </cell>
          <cell r="M478" t="str">
            <v>6302.93.2000</v>
          </cell>
          <cell r="N478">
            <v>6302600090</v>
          </cell>
          <cell r="O478" t="str">
            <v>6302.93.00.00</v>
          </cell>
          <cell r="P478">
            <v>63029390</v>
          </cell>
          <cell r="Q478">
            <v>0</v>
          </cell>
          <cell r="R478" t="str">
            <v>6302.39.00</v>
          </cell>
          <cell r="S478">
            <v>63029120</v>
          </cell>
        </row>
        <row r="479">
          <cell r="A479" t="str">
            <v>TOWLB-DES-LG-SUNSPL</v>
          </cell>
          <cell r="B479" t="str">
            <v>5.061E+12</v>
          </cell>
          <cell r="C479" t="str">
            <v>LAST SEASON</v>
          </cell>
          <cell r="D479" t="str">
            <v>Seasonal</v>
          </cell>
          <cell r="E479">
            <v>40</v>
          </cell>
          <cell r="F479" t="str">
            <v>SS25</v>
          </cell>
          <cell r="G479" t="str">
            <v>XR Textile</v>
          </cell>
          <cell r="H479" t="str">
            <v>TOWLB</v>
          </cell>
          <cell r="I479" t="str">
            <v>GRS Certified* 83% Post Consumer Recycled Polyester (RM0189) 17% Pre Consumer Recycled Polyamide (RM1084)</v>
          </cell>
          <cell r="M479" t="str">
            <v>6302.93.2000</v>
          </cell>
          <cell r="N479">
            <v>6302600090</v>
          </cell>
          <cell r="O479" t="str">
            <v>6302.93.00.00</v>
          </cell>
          <cell r="P479">
            <v>63029390</v>
          </cell>
          <cell r="Q479">
            <v>0</v>
          </cell>
          <cell r="R479" t="str">
            <v>6302.39.00</v>
          </cell>
          <cell r="S479">
            <v>63029120</v>
          </cell>
        </row>
        <row r="480">
          <cell r="A480" t="str">
            <v>TOWLB-DES-LG-TROPTRT</v>
          </cell>
          <cell r="B480" t="str">
            <v>5.061E+12</v>
          </cell>
          <cell r="C480" t="str">
            <v>LAST SEASON</v>
          </cell>
          <cell r="D480" t="str">
            <v>Seasonal</v>
          </cell>
          <cell r="E480">
            <v>40</v>
          </cell>
          <cell r="F480" t="str">
            <v>SS25</v>
          </cell>
          <cell r="G480" t="str">
            <v>XR Textile</v>
          </cell>
          <cell r="H480" t="str">
            <v>TOWLB</v>
          </cell>
          <cell r="I480" t="str">
            <v>GRS Certified* 83% Post Consumer Recycled Polyester (RM0189) 17% Pre Consumer Recycled Polyamide (RM1084)</v>
          </cell>
          <cell r="M480" t="str">
            <v>6302.93.2000</v>
          </cell>
          <cell r="N480">
            <v>6302600090</v>
          </cell>
          <cell r="O480" t="str">
            <v>6302.93.00.00</v>
          </cell>
          <cell r="P480">
            <v>63029390</v>
          </cell>
          <cell r="Q480">
            <v>0</v>
          </cell>
          <cell r="R480" t="str">
            <v>6302.39.00</v>
          </cell>
          <cell r="S480">
            <v>63029120</v>
          </cell>
        </row>
        <row r="481">
          <cell r="A481" t="str">
            <v>TOWLB-DES-LG-VITSEA</v>
          </cell>
          <cell r="B481" t="str">
            <v>5.061E+12</v>
          </cell>
          <cell r="C481" t="str">
            <v>LAST SEASON</v>
          </cell>
          <cell r="D481" t="str">
            <v>Seasonal</v>
          </cell>
          <cell r="E481">
            <v>40</v>
          </cell>
          <cell r="F481" t="str">
            <v>SS25</v>
          </cell>
          <cell r="G481" t="str">
            <v>XR Textile</v>
          </cell>
          <cell r="H481" t="str">
            <v>TOWLB</v>
          </cell>
          <cell r="I481" t="str">
            <v>GRS Certified* 83% Post Consumer Recycled Polyester (RM0189) 17% Pre Consumer Recycled Polyamide (RM1084)</v>
          </cell>
          <cell r="M481" t="str">
            <v>6302.93.2000</v>
          </cell>
          <cell r="N481">
            <v>6302600090</v>
          </cell>
          <cell r="O481" t="str">
            <v>6302.93.00.00</v>
          </cell>
          <cell r="P481">
            <v>63029390</v>
          </cell>
          <cell r="Q481">
            <v>0</v>
          </cell>
          <cell r="R481" t="str">
            <v>6302.39.00</v>
          </cell>
          <cell r="S481">
            <v>63029120</v>
          </cell>
        </row>
        <row r="482">
          <cell r="A482" t="str">
            <v>TOWLB-DES-XL-ALOHGLW</v>
          </cell>
          <cell r="B482" t="str">
            <v>5.061E+12</v>
          </cell>
          <cell r="C482" t="str">
            <v>LAST SEASON</v>
          </cell>
          <cell r="D482" t="str">
            <v>Seasonal</v>
          </cell>
          <cell r="E482">
            <v>30</v>
          </cell>
          <cell r="F482" t="str">
            <v>SS25</v>
          </cell>
          <cell r="G482" t="str">
            <v>XR Textile</v>
          </cell>
          <cell r="H482" t="str">
            <v>TOWLB</v>
          </cell>
          <cell r="I482" t="str">
            <v>GRS Certified* 83% Post Consumer Recycled Polyester (RM0189) 17% Pre Consumer Recycled Polyamide (RM1084)</v>
          </cell>
          <cell r="M482" t="str">
            <v>6302.93.2000</v>
          </cell>
          <cell r="N482">
            <v>6302600090</v>
          </cell>
          <cell r="O482" t="str">
            <v>6302.93.00.00</v>
          </cell>
          <cell r="P482">
            <v>63029390</v>
          </cell>
          <cell r="Q482">
            <v>0</v>
          </cell>
          <cell r="R482" t="str">
            <v>6302.39.00</v>
          </cell>
          <cell r="S482">
            <v>63029120</v>
          </cell>
        </row>
        <row r="483">
          <cell r="A483" t="str">
            <v>TOWLB-DES-XL-BLUSPRIT</v>
          </cell>
          <cell r="B483" t="str">
            <v>5.061E+12</v>
          </cell>
          <cell r="C483" t="str">
            <v>LAST SEASON</v>
          </cell>
          <cell r="D483" t="str">
            <v>Seasonal</v>
          </cell>
          <cell r="E483">
            <v>30</v>
          </cell>
          <cell r="F483" t="str">
            <v>SS25</v>
          </cell>
          <cell r="G483" t="str">
            <v>XR Textile</v>
          </cell>
          <cell r="H483" t="str">
            <v>TOWLB</v>
          </cell>
          <cell r="I483" t="str">
            <v>GRS Certified* 83% Post Consumer Recycled Polyester (RM0189) 17% Pre Consumer Recycled Polyamide (RM1084)</v>
          </cell>
          <cell r="M483" t="str">
            <v>6302.93.2000</v>
          </cell>
          <cell r="N483">
            <v>6302600090</v>
          </cell>
          <cell r="O483" t="str">
            <v>6302.93.00.00</v>
          </cell>
          <cell r="P483">
            <v>63029390</v>
          </cell>
          <cell r="Q483">
            <v>0</v>
          </cell>
          <cell r="R483" t="str">
            <v>6302.39.00</v>
          </cell>
          <cell r="S483">
            <v>63029120</v>
          </cell>
        </row>
        <row r="484">
          <cell r="A484" t="str">
            <v>TOWLB-DES-XL-CHECKMT</v>
          </cell>
          <cell r="B484" t="str">
            <v>5.061E+12</v>
          </cell>
          <cell r="C484" t="str">
            <v>LAST SEASON</v>
          </cell>
          <cell r="D484" t="str">
            <v>Seasonal</v>
          </cell>
          <cell r="E484">
            <v>30</v>
          </cell>
          <cell r="F484" t="str">
            <v>SS25</v>
          </cell>
          <cell r="G484" t="str">
            <v>XR Textile</v>
          </cell>
          <cell r="H484" t="str">
            <v>TOWLB</v>
          </cell>
          <cell r="I484" t="str">
            <v>GRS Certified* 83% Post Consumer Recycled Polyester (RM0189) 17% Pre Consumer Recycled Polyamide (RM1084)</v>
          </cell>
          <cell r="M484" t="str">
            <v>6302.93.2000</v>
          </cell>
          <cell r="N484">
            <v>6302600090</v>
          </cell>
          <cell r="O484" t="str">
            <v>6302.93.00.00</v>
          </cell>
          <cell r="P484">
            <v>63029390</v>
          </cell>
          <cell r="Q484">
            <v>0</v>
          </cell>
          <cell r="R484" t="str">
            <v>6302.39.00</v>
          </cell>
          <cell r="S484">
            <v>63029120</v>
          </cell>
        </row>
        <row r="485">
          <cell r="A485" t="str">
            <v>TOWLB-DES-XL-FRUTLPS</v>
          </cell>
          <cell r="B485" t="str">
            <v>5.061E+12</v>
          </cell>
          <cell r="C485" t="str">
            <v>LAST SEASON</v>
          </cell>
          <cell r="D485" t="str">
            <v>Seasonal</v>
          </cell>
          <cell r="E485">
            <v>30</v>
          </cell>
          <cell r="F485" t="str">
            <v>SS25</v>
          </cell>
          <cell r="G485" t="str">
            <v>XR Textile</v>
          </cell>
          <cell r="H485" t="str">
            <v>TOWLB</v>
          </cell>
          <cell r="I485" t="str">
            <v>GRS Certified* 83% Post Consumer Recycled Polyester (RM0189) 17% Pre Consumer Recycled Polyamide (RM1084)</v>
          </cell>
          <cell r="M485" t="str">
            <v>6302.93.2000</v>
          </cell>
          <cell r="N485">
            <v>6302600090</v>
          </cell>
          <cell r="O485" t="str">
            <v>6302.93.00.00</v>
          </cell>
          <cell r="P485">
            <v>63029390</v>
          </cell>
          <cell r="Q485">
            <v>0</v>
          </cell>
          <cell r="R485" t="str">
            <v>6302.39.00</v>
          </cell>
          <cell r="S485">
            <v>63029120</v>
          </cell>
        </row>
        <row r="486">
          <cell r="A486" t="str">
            <v>TOWLB-DES-XL-GROOVCH</v>
          </cell>
          <cell r="B486" t="str">
            <v>5.061E+12</v>
          </cell>
          <cell r="C486" t="str">
            <v>LAST SEASON</v>
          </cell>
          <cell r="D486" t="str">
            <v>Seasonal</v>
          </cell>
          <cell r="E486">
            <v>30</v>
          </cell>
          <cell r="F486" t="str">
            <v>SS25</v>
          </cell>
          <cell r="G486" t="str">
            <v>XR Textile</v>
          </cell>
          <cell r="H486" t="str">
            <v>TOWLB</v>
          </cell>
          <cell r="I486" t="str">
            <v>GRS Certified* 83% Post Consumer Recycled Polyester (RM0189) 17% Pre Consumer Recycled Polyamide (RM1084)</v>
          </cell>
          <cell r="M486" t="str">
            <v>6302.93.2000</v>
          </cell>
          <cell r="N486">
            <v>6302600090</v>
          </cell>
          <cell r="O486" t="str">
            <v>6302.93.00.00</v>
          </cell>
          <cell r="P486">
            <v>63029390</v>
          </cell>
          <cell r="Q486">
            <v>0</v>
          </cell>
          <cell r="R486" t="str">
            <v>6302.39.00</v>
          </cell>
          <cell r="S486">
            <v>63029120</v>
          </cell>
        </row>
        <row r="487">
          <cell r="A487" t="str">
            <v>TOWLB-DES-XL-GTTLINES</v>
          </cell>
          <cell r="B487" t="str">
            <v>5.061E+12</v>
          </cell>
          <cell r="C487" t="str">
            <v>LAST SEASON</v>
          </cell>
          <cell r="D487" t="str">
            <v>Seasonal</v>
          </cell>
          <cell r="E487">
            <v>30</v>
          </cell>
          <cell r="F487" t="str">
            <v>SS25</v>
          </cell>
          <cell r="G487" t="str">
            <v>XR Textile</v>
          </cell>
          <cell r="H487" t="str">
            <v>TOWLB</v>
          </cell>
          <cell r="I487" t="str">
            <v>GRS Certified* 83% Post Consumer Recycled Polyester (RM0189) 17% Pre Consumer Recycled Polyamide (RM1084)</v>
          </cell>
          <cell r="M487" t="str">
            <v>6302.93.2000</v>
          </cell>
          <cell r="N487">
            <v>6302600090</v>
          </cell>
          <cell r="O487" t="str">
            <v>6302.93.00.00</v>
          </cell>
          <cell r="P487">
            <v>63029390</v>
          </cell>
          <cell r="Q487">
            <v>0</v>
          </cell>
          <cell r="R487" t="str">
            <v>6302.39.00</v>
          </cell>
          <cell r="S487">
            <v>63029120</v>
          </cell>
        </row>
        <row r="488">
          <cell r="A488" t="str">
            <v>TOWLB-DES-XL-LEMWAV</v>
          </cell>
          <cell r="B488" t="str">
            <v>5.061E+12</v>
          </cell>
          <cell r="C488" t="str">
            <v>LAST SEASON</v>
          </cell>
          <cell r="D488" t="str">
            <v>Seasonal</v>
          </cell>
          <cell r="E488">
            <v>30</v>
          </cell>
          <cell r="F488" t="str">
            <v>SS25</v>
          </cell>
          <cell r="G488" t="str">
            <v>XR Textile</v>
          </cell>
          <cell r="H488" t="str">
            <v>TOWLB</v>
          </cell>
          <cell r="I488" t="str">
            <v>GRS Certified* 83% Post Consumer Recycled Polyester (RM0189) 17% Pre Consumer Recycled Polyamide (RM1084)</v>
          </cell>
          <cell r="M488" t="str">
            <v>6302.93.2000</v>
          </cell>
          <cell r="N488">
            <v>6302600090</v>
          </cell>
          <cell r="O488" t="str">
            <v>6302.93.00.00</v>
          </cell>
          <cell r="P488">
            <v>63029390</v>
          </cell>
          <cell r="Q488">
            <v>0</v>
          </cell>
          <cell r="R488" t="str">
            <v>6302.39.00</v>
          </cell>
          <cell r="S488">
            <v>63029120</v>
          </cell>
        </row>
        <row r="489">
          <cell r="A489" t="str">
            <v>TOWLB-DES-XL-LIFELEM</v>
          </cell>
          <cell r="B489" t="str">
            <v>5.061E+12</v>
          </cell>
          <cell r="C489" t="str">
            <v>LAST SEASON</v>
          </cell>
          <cell r="D489" t="str">
            <v>Seasonal</v>
          </cell>
          <cell r="E489">
            <v>30</v>
          </cell>
          <cell r="F489" t="str">
            <v>SS24</v>
          </cell>
          <cell r="G489" t="str">
            <v>XR Textile</v>
          </cell>
          <cell r="H489" t="str">
            <v>TOWLB</v>
          </cell>
          <cell r="I489" t="str">
            <v>GRS Certified* 83% Post Consumer Recycled Polyester (RM0189) 17% Pre Consumer Recycled Polyamide (RM1084)</v>
          </cell>
          <cell r="M489" t="str">
            <v>6302.93.2000</v>
          </cell>
          <cell r="N489">
            <v>6302600090</v>
          </cell>
          <cell r="O489" t="str">
            <v>6302.93.00.00</v>
          </cell>
          <cell r="P489">
            <v>63029390</v>
          </cell>
          <cell r="Q489">
            <v>0</v>
          </cell>
          <cell r="R489" t="str">
            <v>6302.39.00</v>
          </cell>
          <cell r="S489">
            <v>63029120</v>
          </cell>
        </row>
        <row r="490">
          <cell r="A490" t="str">
            <v>TOWLB-DES-XL-PPVIBES</v>
          </cell>
          <cell r="B490" t="str">
            <v>5.061E+12</v>
          </cell>
          <cell r="C490" t="str">
            <v>LAST SEASON</v>
          </cell>
          <cell r="D490" t="str">
            <v>Seasonal</v>
          </cell>
          <cell r="E490">
            <v>30</v>
          </cell>
          <cell r="F490" t="str">
            <v>SS25</v>
          </cell>
          <cell r="G490" t="str">
            <v>XR Textile</v>
          </cell>
          <cell r="H490" t="str">
            <v>TOWLB</v>
          </cell>
          <cell r="I490" t="str">
            <v>GRS Certified* 83% Post Consumer Recycled Polyester (RM0189) 17% Pre Consumer Recycled Polyamide (RM1084)</v>
          </cell>
          <cell r="M490" t="str">
            <v>6302.93.2000</v>
          </cell>
          <cell r="N490">
            <v>6302600090</v>
          </cell>
          <cell r="O490" t="str">
            <v>6302.93.00.00</v>
          </cell>
          <cell r="P490">
            <v>63029390</v>
          </cell>
          <cell r="Q490">
            <v>0</v>
          </cell>
          <cell r="R490" t="str">
            <v>6302.39.00</v>
          </cell>
          <cell r="S490">
            <v>63029120</v>
          </cell>
        </row>
        <row r="491">
          <cell r="A491" t="str">
            <v>TOWLB-DES-XL-SUGPALM</v>
          </cell>
          <cell r="B491" t="str">
            <v>5.061E+12</v>
          </cell>
          <cell r="C491" t="str">
            <v>LAST SEASON</v>
          </cell>
          <cell r="D491" t="str">
            <v>Seasonal</v>
          </cell>
          <cell r="E491">
            <v>30</v>
          </cell>
          <cell r="F491" t="str">
            <v>SS25</v>
          </cell>
          <cell r="G491" t="str">
            <v>XR Textile</v>
          </cell>
          <cell r="H491" t="str">
            <v>TOWLB</v>
          </cell>
          <cell r="I491" t="str">
            <v>GRS Certified* 83% Post Consumer Recycled Polyester (RM0189) 17% Pre Consumer Recycled Polyamide (RM1084)</v>
          </cell>
          <cell r="M491" t="str">
            <v>6302.93.2000</v>
          </cell>
          <cell r="N491">
            <v>6302600090</v>
          </cell>
          <cell r="O491" t="str">
            <v>6302.93.00.00</v>
          </cell>
          <cell r="P491">
            <v>63029390</v>
          </cell>
          <cell r="Q491">
            <v>0</v>
          </cell>
          <cell r="R491" t="str">
            <v>6302.39.00</v>
          </cell>
          <cell r="S491">
            <v>63029120</v>
          </cell>
        </row>
        <row r="492">
          <cell r="A492" t="str">
            <v>TOWLB-DES-XL-SUNSPL</v>
          </cell>
          <cell r="B492" t="str">
            <v>5.061E+12</v>
          </cell>
          <cell r="C492" t="str">
            <v>LAST SEASON</v>
          </cell>
          <cell r="D492" t="str">
            <v>Seasonal</v>
          </cell>
          <cell r="E492">
            <v>30</v>
          </cell>
          <cell r="F492" t="str">
            <v>SS25</v>
          </cell>
          <cell r="G492" t="str">
            <v>XR Textile</v>
          </cell>
          <cell r="H492" t="str">
            <v>TOWLB</v>
          </cell>
          <cell r="I492" t="str">
            <v>GRS Certified* 83% Post Consumer Recycled Polyester (RM0189) 17% Pre Consumer Recycled Polyamide (RM1084)</v>
          </cell>
          <cell r="M492" t="str">
            <v>6302.93.2000</v>
          </cell>
          <cell r="N492">
            <v>6302600090</v>
          </cell>
          <cell r="O492" t="str">
            <v>6302.93.00.00</v>
          </cell>
          <cell r="P492">
            <v>63029390</v>
          </cell>
          <cell r="Q492">
            <v>0</v>
          </cell>
          <cell r="R492" t="str">
            <v>6302.39.00</v>
          </cell>
          <cell r="S492">
            <v>63029120</v>
          </cell>
        </row>
        <row r="493">
          <cell r="A493" t="str">
            <v>TOWLB-DES-XL-TROPTRT</v>
          </cell>
          <cell r="B493" t="str">
            <v>5.061E+12</v>
          </cell>
          <cell r="C493" t="str">
            <v>LAST SEASON</v>
          </cell>
          <cell r="D493" t="str">
            <v>Seasonal</v>
          </cell>
          <cell r="E493">
            <v>30</v>
          </cell>
          <cell r="F493" t="str">
            <v>SS25</v>
          </cell>
          <cell r="G493" t="str">
            <v>XR Textile</v>
          </cell>
          <cell r="H493" t="str">
            <v>TOWLB</v>
          </cell>
          <cell r="I493" t="str">
            <v>GRS Certified* 83% Post Consumer Recycled Polyester (RM0189) 17% Pre Consumer Recycled Polyamide (RM1084)</v>
          </cell>
          <cell r="M493" t="str">
            <v>6302.93.2000</v>
          </cell>
          <cell r="N493">
            <v>6302600090</v>
          </cell>
          <cell r="O493" t="str">
            <v>6302.93.00.00</v>
          </cell>
          <cell r="P493">
            <v>63029390</v>
          </cell>
          <cell r="Q493">
            <v>0</v>
          </cell>
          <cell r="R493" t="str">
            <v>6302.39.00</v>
          </cell>
          <cell r="S493">
            <v>63029120</v>
          </cell>
        </row>
        <row r="494">
          <cell r="A494" t="str">
            <v>TOWLB-DES-XL-VITSEA</v>
          </cell>
          <cell r="B494" t="str">
            <v>5.061E+12</v>
          </cell>
          <cell r="C494" t="str">
            <v>LAST SEASON</v>
          </cell>
          <cell r="D494" t="str">
            <v>Seasonal</v>
          </cell>
          <cell r="E494">
            <v>30</v>
          </cell>
          <cell r="F494" t="str">
            <v>SS25</v>
          </cell>
          <cell r="G494" t="str">
            <v>XR Textile</v>
          </cell>
          <cell r="H494" t="str">
            <v>TOWLB</v>
          </cell>
          <cell r="I494" t="str">
            <v>GRS Certified* 83% Post Consumer Recycled Polyester (RM0189) 17% Pre Consumer Recycled Polyamide (RM1084)</v>
          </cell>
          <cell r="M494" t="str">
            <v>6302.93.2000</v>
          </cell>
          <cell r="N494">
            <v>6302600090</v>
          </cell>
          <cell r="O494" t="str">
            <v>6302.93.00.00</v>
          </cell>
          <cell r="P494">
            <v>63029390</v>
          </cell>
          <cell r="Q494">
            <v>0</v>
          </cell>
          <cell r="R494" t="str">
            <v>6302.39.00</v>
          </cell>
          <cell r="S494">
            <v>63029120</v>
          </cell>
        </row>
        <row r="495">
          <cell r="A495" t="str">
            <v>TOWLB-DOB-LG-WILDTHG</v>
          </cell>
          <cell r="B495" t="str">
            <v>5.061E+12</v>
          </cell>
          <cell r="C495" t="str">
            <v>LAST SEASON</v>
          </cell>
          <cell r="D495" t="str">
            <v>Seasonal</v>
          </cell>
          <cell r="E495">
            <v>40</v>
          </cell>
          <cell r="F495" t="str">
            <v>SS25</v>
          </cell>
          <cell r="G495" t="str">
            <v>XR Textile</v>
          </cell>
          <cell r="H495" t="str">
            <v>TOWLB</v>
          </cell>
          <cell r="I495" t="str">
            <v>GRS Certified* 83% Post Consumer Recycled Polyester (RM0189) 17% Pre Consumer Recycled Polyamide (RM1084)</v>
          </cell>
          <cell r="M495" t="str">
            <v>6302.93.2000</v>
          </cell>
          <cell r="N495">
            <v>6302600090</v>
          </cell>
          <cell r="O495" t="str">
            <v>6302.93.00.00</v>
          </cell>
          <cell r="P495">
            <v>63029390</v>
          </cell>
          <cell r="Q495">
            <v>0</v>
          </cell>
          <cell r="R495" t="str">
            <v>6302.39.00</v>
          </cell>
          <cell r="S495">
            <v>63029120</v>
          </cell>
        </row>
        <row r="496">
          <cell r="A496" t="str">
            <v>TOWLB-DOB-XL-STONEWALL</v>
          </cell>
          <cell r="B496" t="str">
            <v>5.061E+12</v>
          </cell>
          <cell r="C496" t="str">
            <v>LAST SEASON</v>
          </cell>
          <cell r="D496" t="str">
            <v>Seasonal</v>
          </cell>
          <cell r="E496">
            <v>30</v>
          </cell>
          <cell r="F496" t="str">
            <v>SS24</v>
          </cell>
          <cell r="G496" t="str">
            <v>XR Textile</v>
          </cell>
          <cell r="H496" t="str">
            <v>TOWLB</v>
          </cell>
          <cell r="I496" t="str">
            <v>GRS Certified* 83% Post Consumer Recycled Polyester (RM0189) 17% Pre Consumer Recycled Polyamide (RM1084)</v>
          </cell>
          <cell r="M496" t="str">
            <v>6302.93.2000</v>
          </cell>
          <cell r="N496">
            <v>6302600090</v>
          </cell>
          <cell r="O496" t="str">
            <v>6302.93.00.00</v>
          </cell>
          <cell r="P496">
            <v>63029390</v>
          </cell>
          <cell r="Q496">
            <v>0</v>
          </cell>
          <cell r="R496" t="str">
            <v>6302.39.00</v>
          </cell>
          <cell r="S496">
            <v>63029120</v>
          </cell>
        </row>
        <row r="497">
          <cell r="A497" t="str">
            <v>TOWLB-DOB-XL-WILDTHG</v>
          </cell>
          <cell r="B497" t="str">
            <v>5.061E+12</v>
          </cell>
          <cell r="C497" t="str">
            <v>LAST SEASON</v>
          </cell>
          <cell r="D497" t="str">
            <v>Seasonal</v>
          </cell>
          <cell r="E497">
            <v>30</v>
          </cell>
          <cell r="F497" t="str">
            <v>SS25</v>
          </cell>
          <cell r="G497" t="str">
            <v>XR Textile</v>
          </cell>
          <cell r="H497" t="str">
            <v>TOWLB</v>
          </cell>
          <cell r="I497" t="str">
            <v>GRS Certified* 83% Post Consumer Recycled Polyester (RM0189) 17% Pre Consumer Recycled Polyamide (RM1084)</v>
          </cell>
          <cell r="M497" t="str">
            <v>6302.93.2000</v>
          </cell>
          <cell r="N497">
            <v>6302600090</v>
          </cell>
          <cell r="O497" t="str">
            <v>6302.93.00.00</v>
          </cell>
          <cell r="P497">
            <v>63029390</v>
          </cell>
          <cell r="Q497">
            <v>0</v>
          </cell>
          <cell r="R497" t="str">
            <v>6302.39.00</v>
          </cell>
          <cell r="S497">
            <v>63029120</v>
          </cell>
        </row>
        <row r="498">
          <cell r="A498" t="str">
            <v>TOWLB-JUN-XL-MONKY-R</v>
          </cell>
          <cell r="B498" t="str">
            <v>5.0607E+12</v>
          </cell>
          <cell r="C498" t="str">
            <v>LAST SEASON</v>
          </cell>
          <cell r="E498">
            <v>30</v>
          </cell>
          <cell r="F498" t="str">
            <v>before AW20</v>
          </cell>
          <cell r="G498" t="str">
            <v>XR Textile</v>
          </cell>
          <cell r="H498" t="str">
            <v>TOWLB</v>
          </cell>
          <cell r="I498" t="str">
            <v>GRS Certified* 83% Post Consumer Recycled Polyester (RM0189) 17% Pre Consumer Recycled Polyamide (RM1084)</v>
          </cell>
          <cell r="M498" t="str">
            <v>6302.93.2000</v>
          </cell>
          <cell r="N498">
            <v>6302600090</v>
          </cell>
          <cell r="O498" t="str">
            <v>6302.93.00.00</v>
          </cell>
          <cell r="P498">
            <v>63029390</v>
          </cell>
          <cell r="Q498">
            <v>0</v>
          </cell>
          <cell r="R498" t="str">
            <v>6302.39.00</v>
          </cell>
          <cell r="S498">
            <v>63029120</v>
          </cell>
        </row>
        <row r="499">
          <cell r="A499" t="str">
            <v>TOWLB-KID-LG-BIKE</v>
          </cell>
          <cell r="B499" t="str">
            <v>5.0607E+12</v>
          </cell>
          <cell r="C499" t="str">
            <v>LAST SEASON</v>
          </cell>
          <cell r="E499">
            <v>40</v>
          </cell>
          <cell r="F499" t="str">
            <v>SS22</v>
          </cell>
          <cell r="G499" t="str">
            <v>XR Textile</v>
          </cell>
          <cell r="H499" t="str">
            <v>TOWLB-KIDS</v>
          </cell>
          <cell r="I499" t="str">
            <v>GRS Certified* 83% Post Consumer Recycled Polyester (RM0189) 17% Pre Consumer Recycled Polyamide (RM1084)</v>
          </cell>
          <cell r="M499" t="str">
            <v>6302.93.2000</v>
          </cell>
          <cell r="N499">
            <v>6302600090</v>
          </cell>
          <cell r="O499" t="str">
            <v>6302.93.00.00</v>
          </cell>
          <cell r="P499">
            <v>6302939000</v>
          </cell>
          <cell r="Q499">
            <v>0</v>
          </cell>
          <cell r="R499" t="str">
            <v>6302.39.00</v>
          </cell>
          <cell r="S499">
            <v>63029120</v>
          </cell>
        </row>
        <row r="500">
          <cell r="A500" t="str">
            <v>TOWLB-KID-LG-BOAT</v>
          </cell>
          <cell r="B500" t="str">
            <v>5.0607E+12</v>
          </cell>
          <cell r="C500" t="str">
            <v>LAST SEASON</v>
          </cell>
          <cell r="E500">
            <v>40</v>
          </cell>
          <cell r="F500" t="str">
            <v>SS22</v>
          </cell>
          <cell r="G500" t="str">
            <v>XR Textile</v>
          </cell>
          <cell r="H500" t="str">
            <v>TOWLB-KIDS</v>
          </cell>
          <cell r="I500" t="str">
            <v>GRS Certified* 83% Post Consumer Recycled Polyester (RM0189) 17% Pre Consumer Recycled Polyamide (RM1084)</v>
          </cell>
          <cell r="M500" t="str">
            <v>6302.93.2000</v>
          </cell>
          <cell r="N500">
            <v>6302600090</v>
          </cell>
          <cell r="O500" t="str">
            <v>6302.93.00.00</v>
          </cell>
          <cell r="P500">
            <v>6302939000</v>
          </cell>
          <cell r="Q500">
            <v>0</v>
          </cell>
          <cell r="R500" t="str">
            <v>6302.39.00</v>
          </cell>
          <cell r="S500">
            <v>63029120</v>
          </cell>
        </row>
        <row r="501">
          <cell r="A501" t="str">
            <v>TOWLB-KID-LG-BUILDBCH</v>
          </cell>
          <cell r="B501" t="str">
            <v>5.061E+12</v>
          </cell>
          <cell r="C501" t="str">
            <v>LAST SEASON</v>
          </cell>
          <cell r="D501" t="str">
            <v>Seasonal</v>
          </cell>
          <cell r="E501">
            <v>40</v>
          </cell>
          <cell r="F501" t="str">
            <v>SS25</v>
          </cell>
          <cell r="G501" t="str">
            <v>XR Textile</v>
          </cell>
          <cell r="H501" t="str">
            <v>TOWLB-KIDS</v>
          </cell>
          <cell r="I501" t="str">
            <v>GRS Certified* 83% Post Consumer Recycled Polyester (RM0189) 17% Pre Consumer Recycled Polyamide (RM1084)</v>
          </cell>
          <cell r="M501" t="str">
            <v>6302.93.2000</v>
          </cell>
          <cell r="N501">
            <v>6302600090</v>
          </cell>
          <cell r="O501" t="str">
            <v>6302.93.00.00</v>
          </cell>
          <cell r="P501">
            <v>6302939000</v>
          </cell>
          <cell r="Q501">
            <v>0</v>
          </cell>
          <cell r="R501" t="str">
            <v>6302.39.00</v>
          </cell>
          <cell r="S501">
            <v>63029120</v>
          </cell>
        </row>
        <row r="502">
          <cell r="A502" t="str">
            <v>TOWLB-KID-LG-CAMO</v>
          </cell>
          <cell r="B502" t="str">
            <v>5.0607E+12</v>
          </cell>
          <cell r="C502" t="str">
            <v>LAST SEASON</v>
          </cell>
          <cell r="E502">
            <v>40</v>
          </cell>
          <cell r="F502" t="str">
            <v>SS23</v>
          </cell>
          <cell r="G502" t="str">
            <v>XR Textile</v>
          </cell>
          <cell r="H502" t="str">
            <v>TOWLB-KIDS</v>
          </cell>
          <cell r="I502" t="str">
            <v>GRS Certified* 83% Post Consumer Recycled Polyester (RM0189) 17% Pre Consumer Recycled Polyamide (RM1084)</v>
          </cell>
          <cell r="M502" t="str">
            <v>6302.93.2000</v>
          </cell>
          <cell r="N502">
            <v>6302600090</v>
          </cell>
          <cell r="O502" t="str">
            <v>6302.93.00.00</v>
          </cell>
          <cell r="P502">
            <v>6302939000</v>
          </cell>
          <cell r="Q502">
            <v>0</v>
          </cell>
          <cell r="R502" t="str">
            <v>6302.39.00</v>
          </cell>
          <cell r="S502">
            <v>63029120</v>
          </cell>
        </row>
        <row r="503">
          <cell r="A503" t="str">
            <v>TOWLB-KID-LG-DOODMOOD</v>
          </cell>
          <cell r="B503" t="str">
            <v>5.061E+12</v>
          </cell>
          <cell r="C503" t="str">
            <v>LAST SEASON</v>
          </cell>
          <cell r="D503" t="str">
            <v>Seasonal</v>
          </cell>
          <cell r="E503">
            <v>40</v>
          </cell>
          <cell r="F503" t="str">
            <v>SS24</v>
          </cell>
          <cell r="G503" t="str">
            <v>XR Textile</v>
          </cell>
          <cell r="H503" t="str">
            <v>TOWLB-KIDS</v>
          </cell>
          <cell r="I503" t="str">
            <v>GRS Certified* 83% Post Consumer Recycled Polyester (RM0189) 17% Pre Consumer Recycled Polyamide (RM1084)</v>
          </cell>
          <cell r="M503" t="str">
            <v>6302.93.2000</v>
          </cell>
          <cell r="N503">
            <v>6302600090</v>
          </cell>
          <cell r="O503" t="str">
            <v>6302.93.00.00</v>
          </cell>
          <cell r="P503">
            <v>6302939000</v>
          </cell>
          <cell r="Q503">
            <v>0</v>
          </cell>
          <cell r="R503" t="str">
            <v>6302.39.00</v>
          </cell>
          <cell r="S503">
            <v>63029120</v>
          </cell>
        </row>
        <row r="504">
          <cell r="A504" t="str">
            <v>TOWLB-KID-LG-KARMCHAM</v>
          </cell>
          <cell r="B504" t="str">
            <v>5.061E+12</v>
          </cell>
          <cell r="C504" t="str">
            <v>LAST SEASON</v>
          </cell>
          <cell r="D504" t="str">
            <v>Seasonal</v>
          </cell>
          <cell r="E504">
            <v>40</v>
          </cell>
          <cell r="F504" t="str">
            <v>SS25</v>
          </cell>
          <cell r="G504" t="str">
            <v>XR Textile</v>
          </cell>
          <cell r="H504" t="str">
            <v>TOWLB-KIDS</v>
          </cell>
          <cell r="I504" t="str">
            <v>GRS Certified* 83% Post Consumer Recycled Polyester (RM0189) 17% Pre Consumer Recycled Polyamide (RM1084)</v>
          </cell>
          <cell r="M504" t="str">
            <v>6302.93.2000</v>
          </cell>
          <cell r="N504">
            <v>6302600090</v>
          </cell>
          <cell r="O504" t="str">
            <v>6302.93.00.00</v>
          </cell>
          <cell r="P504">
            <v>6302939000</v>
          </cell>
          <cell r="Q504">
            <v>0</v>
          </cell>
          <cell r="R504" t="str">
            <v>6302.39.00</v>
          </cell>
          <cell r="S504">
            <v>63029120</v>
          </cell>
        </row>
        <row r="505">
          <cell r="A505" t="str">
            <v>TOWLB-KID-LG-POWPOS</v>
          </cell>
          <cell r="B505" t="str">
            <v>5.061E+12</v>
          </cell>
          <cell r="C505" t="str">
            <v>LAST SEASON</v>
          </cell>
          <cell r="D505" t="str">
            <v>Seasonal</v>
          </cell>
          <cell r="E505">
            <v>40</v>
          </cell>
          <cell r="F505" t="str">
            <v>SS25</v>
          </cell>
          <cell r="G505" t="str">
            <v>XR Textile</v>
          </cell>
          <cell r="H505" t="str">
            <v>TOWLB-KIDS</v>
          </cell>
          <cell r="I505" t="str">
            <v>GRS Certified* 83% Post Consumer Recycled Polyester (RM0189) 17% Pre Consumer Recycled Polyamide (RM1084)</v>
          </cell>
          <cell r="M505" t="str">
            <v>6302.93.2000</v>
          </cell>
          <cell r="N505">
            <v>6302600090</v>
          </cell>
          <cell r="O505" t="str">
            <v>6302.93.00.00</v>
          </cell>
          <cell r="P505">
            <v>6302939000</v>
          </cell>
          <cell r="Q505">
            <v>0</v>
          </cell>
          <cell r="R505" t="str">
            <v>6302.39.00</v>
          </cell>
          <cell r="S505">
            <v>63029120</v>
          </cell>
        </row>
        <row r="506">
          <cell r="A506" t="str">
            <v>TOWLB-KID-LG-RAINB</v>
          </cell>
          <cell r="B506" t="str">
            <v>5.0607E+12</v>
          </cell>
          <cell r="C506" t="str">
            <v>LAST SEASON</v>
          </cell>
          <cell r="E506">
            <v>40</v>
          </cell>
          <cell r="F506" t="str">
            <v>SS22</v>
          </cell>
          <cell r="G506" t="str">
            <v>XR Textile</v>
          </cell>
          <cell r="H506" t="str">
            <v>TOWLB-KIDS</v>
          </cell>
          <cell r="I506" t="str">
            <v>GRS Certified* 83% Post Consumer Recycled Polyester (RM0189) 17% Pre Consumer Recycled Polyamide (RM1084)</v>
          </cell>
          <cell r="M506" t="str">
            <v>6302.93.2000</v>
          </cell>
          <cell r="N506">
            <v>6302600090</v>
          </cell>
          <cell r="O506" t="str">
            <v>6302.93.00.00</v>
          </cell>
          <cell r="P506">
            <v>6302939000</v>
          </cell>
          <cell r="Q506">
            <v>0</v>
          </cell>
          <cell r="R506" t="str">
            <v>6302.39.00</v>
          </cell>
          <cell r="S506">
            <v>63029120</v>
          </cell>
        </row>
        <row r="507">
          <cell r="A507" t="str">
            <v>TOWLB-KID-LG-SANDSTRT</v>
          </cell>
          <cell r="B507" t="str">
            <v>5.061E+12</v>
          </cell>
          <cell r="C507" t="str">
            <v>LAST SEASON</v>
          </cell>
          <cell r="D507" t="str">
            <v>Seasonal</v>
          </cell>
          <cell r="E507">
            <v>40</v>
          </cell>
          <cell r="F507" t="str">
            <v>SS25</v>
          </cell>
          <cell r="G507" t="str">
            <v>XR Textile</v>
          </cell>
          <cell r="H507" t="str">
            <v>TOWLB-KIDS</v>
          </cell>
          <cell r="I507" t="str">
            <v>GRS Certified* 83% Post Consumer Recycled Polyester (RM0189) 17% Pre Consumer Recycled Polyamide (RM1084)</v>
          </cell>
          <cell r="M507" t="str">
            <v>6302.93.2000</v>
          </cell>
          <cell r="N507">
            <v>6302600090</v>
          </cell>
          <cell r="O507" t="str">
            <v>6302.93.00.00</v>
          </cell>
          <cell r="P507">
            <v>6302939000</v>
          </cell>
          <cell r="Q507">
            <v>0</v>
          </cell>
          <cell r="R507" t="str">
            <v>6302.39.00</v>
          </cell>
          <cell r="S507">
            <v>63029120</v>
          </cell>
        </row>
        <row r="508">
          <cell r="A508" t="str">
            <v>TOWLB-KID-LG-TURTROP</v>
          </cell>
          <cell r="B508" t="str">
            <v>5.061E+12</v>
          </cell>
          <cell r="C508" t="str">
            <v>LAST SEASON</v>
          </cell>
          <cell r="D508" t="str">
            <v>Seasonal</v>
          </cell>
          <cell r="E508">
            <v>40</v>
          </cell>
          <cell r="F508" t="str">
            <v>SS25</v>
          </cell>
          <cell r="G508" t="str">
            <v>XR Textile</v>
          </cell>
          <cell r="H508" t="str">
            <v>TOWLB-KIDS</v>
          </cell>
          <cell r="I508" t="str">
            <v>GRS Certified* 83% Post Consumer Recycled Polyester (RM0189) 17% Pre Consumer Recycled Polyamide (RM1084)</v>
          </cell>
          <cell r="M508" t="str">
            <v>6302.93.2000</v>
          </cell>
          <cell r="N508">
            <v>6302600090</v>
          </cell>
          <cell r="O508" t="str">
            <v>6302.93.00.00</v>
          </cell>
          <cell r="P508">
            <v>6302939000</v>
          </cell>
          <cell r="Q508">
            <v>0</v>
          </cell>
          <cell r="R508" t="str">
            <v>6302.39.00</v>
          </cell>
          <cell r="S508">
            <v>63029120</v>
          </cell>
        </row>
        <row r="509">
          <cell r="A509" t="str">
            <v>TOWLB-KID-MD-BIKE</v>
          </cell>
          <cell r="B509" t="str">
            <v>5.0607E+12</v>
          </cell>
          <cell r="C509" t="str">
            <v>LAST SEASON</v>
          </cell>
          <cell r="E509">
            <v>50</v>
          </cell>
          <cell r="F509" t="str">
            <v>SS22</v>
          </cell>
          <cell r="G509" t="str">
            <v>XR Textile</v>
          </cell>
          <cell r="H509" t="str">
            <v>TOWLB-KIDS</v>
          </cell>
          <cell r="I509" t="str">
            <v>GRS Certified* 83% Post Consumer Recycled Polyester (RM0189) 17% Pre Consumer Recycled Polyamide (RM1084)</v>
          </cell>
          <cell r="M509" t="str">
            <v>6302.93.2000</v>
          </cell>
          <cell r="N509">
            <v>6302600090</v>
          </cell>
          <cell r="O509" t="str">
            <v>6302.93.00.00</v>
          </cell>
          <cell r="P509">
            <v>6302939000</v>
          </cell>
          <cell r="Q509">
            <v>0</v>
          </cell>
          <cell r="R509" t="str">
            <v>6302.39.00</v>
          </cell>
          <cell r="S509">
            <v>63029120</v>
          </cell>
        </row>
        <row r="510">
          <cell r="A510" t="str">
            <v>TOWLB-KID-MD-BUILDBCH</v>
          </cell>
          <cell r="B510" t="str">
            <v>5.061E+12</v>
          </cell>
          <cell r="C510" t="str">
            <v>LAST SEASON</v>
          </cell>
          <cell r="D510" t="str">
            <v>Seasonal</v>
          </cell>
          <cell r="E510">
            <v>50</v>
          </cell>
          <cell r="F510" t="str">
            <v>SS25</v>
          </cell>
          <cell r="G510" t="str">
            <v>XR Textile</v>
          </cell>
          <cell r="H510" t="str">
            <v>TOWLB-KIDS</v>
          </cell>
          <cell r="I510" t="str">
            <v>GRS Certified* 83% Post Consumer Recycled Polyester (RM0189) 17% Pre Consumer Recycled Polyamide (RM1084)</v>
          </cell>
          <cell r="M510" t="str">
            <v>6302.93.2000</v>
          </cell>
          <cell r="N510">
            <v>6302600090</v>
          </cell>
          <cell r="O510" t="str">
            <v>6302.93.00.00</v>
          </cell>
          <cell r="P510">
            <v>6302939000</v>
          </cell>
          <cell r="Q510">
            <v>0</v>
          </cell>
          <cell r="R510" t="str">
            <v>6302.39.00</v>
          </cell>
          <cell r="S510">
            <v>63029120</v>
          </cell>
        </row>
        <row r="511">
          <cell r="A511" t="str">
            <v>TOWLB-KID-MD-CAMO</v>
          </cell>
          <cell r="B511" t="str">
            <v>5.0607E+12</v>
          </cell>
          <cell r="C511" t="str">
            <v>LAST SEASON</v>
          </cell>
          <cell r="E511">
            <v>50</v>
          </cell>
          <cell r="F511" t="str">
            <v>SS23</v>
          </cell>
          <cell r="G511" t="str">
            <v>XR Textile</v>
          </cell>
          <cell r="H511" t="str">
            <v>TOWLB-KIDS</v>
          </cell>
          <cell r="I511" t="str">
            <v>GRS Certified* 83% Post Consumer Recycled Polyester (RM0189) 17% Pre Consumer Recycled Polyamide (RM1084)</v>
          </cell>
          <cell r="M511" t="str">
            <v>6302.93.2000</v>
          </cell>
          <cell r="N511">
            <v>6302600090</v>
          </cell>
          <cell r="O511" t="str">
            <v>6302.93.00.00</v>
          </cell>
          <cell r="P511">
            <v>6302939000</v>
          </cell>
          <cell r="Q511">
            <v>0</v>
          </cell>
          <cell r="R511" t="str">
            <v>6302.39.00</v>
          </cell>
          <cell r="S511">
            <v>63029120</v>
          </cell>
        </row>
        <row r="512">
          <cell r="A512" t="str">
            <v>TOWLB-KID-MD-CROC</v>
          </cell>
          <cell r="B512" t="str">
            <v>5.0607E+12</v>
          </cell>
          <cell r="C512" t="str">
            <v>LAST SEASON</v>
          </cell>
          <cell r="E512">
            <v>50</v>
          </cell>
          <cell r="F512" t="str">
            <v>SS23</v>
          </cell>
          <cell r="G512" t="str">
            <v>XR Textile</v>
          </cell>
          <cell r="H512" t="str">
            <v>TOWLB-KIDS</v>
          </cell>
          <cell r="I512" t="str">
            <v>GRS Certified* 83% Post Consumer Recycled Polyester (RM0189) 17% Pre Consumer Recycled Polyamide (RM1084)</v>
          </cell>
          <cell r="M512" t="str">
            <v>6302.93.2000</v>
          </cell>
          <cell r="N512">
            <v>6302600090</v>
          </cell>
          <cell r="O512" t="str">
            <v>6302.93.00.00</v>
          </cell>
          <cell r="P512">
            <v>6302939000</v>
          </cell>
          <cell r="Q512">
            <v>0</v>
          </cell>
          <cell r="R512" t="str">
            <v>6302.39.00</v>
          </cell>
          <cell r="S512">
            <v>63029120</v>
          </cell>
        </row>
        <row r="513">
          <cell r="A513" t="str">
            <v>TOWLB-KID-MD-FLAM</v>
          </cell>
          <cell r="B513" t="str">
            <v>5.0607E+12</v>
          </cell>
          <cell r="C513" t="str">
            <v>LAST SEASON</v>
          </cell>
          <cell r="E513">
            <v>50</v>
          </cell>
          <cell r="F513" t="str">
            <v>SS23</v>
          </cell>
          <cell r="G513" t="str">
            <v>XR Textile</v>
          </cell>
          <cell r="H513" t="str">
            <v>TOWLB-KIDS</v>
          </cell>
          <cell r="I513" t="str">
            <v>GRS Certified* 83% Post Consumer Recycled Polyester (RM0189) 17% Pre Consumer Recycled Polyamide (RM1084)</v>
          </cell>
          <cell r="M513" t="str">
            <v>6302.93.2000</v>
          </cell>
          <cell r="N513">
            <v>6302600090</v>
          </cell>
          <cell r="O513" t="str">
            <v>6302.93.00.00</v>
          </cell>
          <cell r="P513">
            <v>6302939000</v>
          </cell>
          <cell r="Q513">
            <v>0</v>
          </cell>
          <cell r="R513" t="str">
            <v>6302.39.00</v>
          </cell>
          <cell r="S513">
            <v>63029120</v>
          </cell>
        </row>
        <row r="514">
          <cell r="A514" t="str">
            <v>TOWLB-KID-MD-KARMCHAM</v>
          </cell>
          <cell r="B514" t="str">
            <v>5.061E+12</v>
          </cell>
          <cell r="C514" t="str">
            <v>LAST SEASON</v>
          </cell>
          <cell r="D514" t="str">
            <v>Seasonal</v>
          </cell>
          <cell r="E514">
            <v>50</v>
          </cell>
          <cell r="F514" t="str">
            <v>SS25</v>
          </cell>
          <cell r="G514" t="str">
            <v>XR Textile</v>
          </cell>
          <cell r="H514" t="str">
            <v>TOWLB-KIDS</v>
          </cell>
          <cell r="I514" t="str">
            <v>GRS Certified* 83% Post Consumer Recycled Polyester (RM0189) 17% Pre Consumer Recycled Polyamide (RM1084)</v>
          </cell>
          <cell r="M514" t="str">
            <v>6302.93.2000</v>
          </cell>
          <cell r="N514">
            <v>6302600090</v>
          </cell>
          <cell r="O514" t="str">
            <v>6302.93.00.00</v>
          </cell>
          <cell r="P514">
            <v>6302939000</v>
          </cell>
          <cell r="Q514">
            <v>0</v>
          </cell>
          <cell r="R514" t="str">
            <v>6302.39.00</v>
          </cell>
          <cell r="S514">
            <v>63029120</v>
          </cell>
        </row>
        <row r="515">
          <cell r="A515" t="str">
            <v>TOWLB-KID-MD-POWPOS</v>
          </cell>
          <cell r="B515" t="str">
            <v>5.061E+12</v>
          </cell>
          <cell r="C515" t="str">
            <v>LAST SEASON</v>
          </cell>
          <cell r="D515" t="str">
            <v>Seasonal</v>
          </cell>
          <cell r="E515">
            <v>50</v>
          </cell>
          <cell r="F515" t="str">
            <v>SS25</v>
          </cell>
          <cell r="G515" t="str">
            <v>XR Textile</v>
          </cell>
          <cell r="H515" t="str">
            <v>TOWLB-KIDS</v>
          </cell>
          <cell r="I515" t="str">
            <v>GRS Certified* 83% Post Consumer Recycled Polyester (RM0189) 17% Pre Consumer Recycled Polyamide (RM1084)</v>
          </cell>
          <cell r="M515" t="str">
            <v>6302.93.2000</v>
          </cell>
          <cell r="N515">
            <v>6302600090</v>
          </cell>
          <cell r="O515" t="str">
            <v>6302.93.00.00</v>
          </cell>
          <cell r="P515">
            <v>6302939000</v>
          </cell>
          <cell r="Q515">
            <v>0</v>
          </cell>
          <cell r="R515" t="str">
            <v>6302.39.00</v>
          </cell>
          <cell r="S515">
            <v>63029120</v>
          </cell>
        </row>
        <row r="516">
          <cell r="A516" t="str">
            <v>TOWLB-KID-MD-RAINB</v>
          </cell>
          <cell r="B516" t="str">
            <v>5.0607E+12</v>
          </cell>
          <cell r="C516" t="str">
            <v>LAST SEASON</v>
          </cell>
          <cell r="E516">
            <v>50</v>
          </cell>
          <cell r="F516" t="str">
            <v>SS22</v>
          </cell>
          <cell r="G516" t="str">
            <v>XR Textile</v>
          </cell>
          <cell r="H516" t="str">
            <v>TOWLB-KIDS</v>
          </cell>
          <cell r="I516" t="str">
            <v>GRS Certified* 83% Post Consumer Recycled Polyester (RM0189) 17% Pre Consumer Recycled Polyamide (RM1084)</v>
          </cell>
          <cell r="M516" t="str">
            <v>6302.93.2000</v>
          </cell>
          <cell r="N516">
            <v>6302600090</v>
          </cell>
          <cell r="O516" t="str">
            <v>6302.93.00.00</v>
          </cell>
          <cell r="P516">
            <v>6302939000</v>
          </cell>
          <cell r="Q516">
            <v>0</v>
          </cell>
          <cell r="R516" t="str">
            <v>6302.39.00</v>
          </cell>
          <cell r="S516">
            <v>63029120</v>
          </cell>
        </row>
        <row r="517">
          <cell r="A517" t="str">
            <v>TOWLB-KID-MD-SANDSTRT</v>
          </cell>
          <cell r="B517" t="str">
            <v>5.061E+12</v>
          </cell>
          <cell r="C517" t="str">
            <v>LAST SEASON</v>
          </cell>
          <cell r="D517" t="str">
            <v>Seasonal</v>
          </cell>
          <cell r="E517">
            <v>50</v>
          </cell>
          <cell r="F517" t="str">
            <v>SS25</v>
          </cell>
          <cell r="G517" t="str">
            <v>XR Textile</v>
          </cell>
          <cell r="H517" t="str">
            <v>TOWLB-KIDS</v>
          </cell>
          <cell r="I517" t="str">
            <v>GRS Certified* 83% Post Consumer Recycled Polyester (RM0189) 17% Pre Consumer Recycled Polyamide (RM1084)</v>
          </cell>
          <cell r="M517" t="str">
            <v>6302.93.2000</v>
          </cell>
          <cell r="N517">
            <v>6302600090</v>
          </cell>
          <cell r="O517" t="str">
            <v>6302.93.00.00</v>
          </cell>
          <cell r="P517">
            <v>6302939000</v>
          </cell>
          <cell r="Q517">
            <v>0</v>
          </cell>
          <cell r="R517" t="str">
            <v>6302.39.00</v>
          </cell>
          <cell r="S517">
            <v>63029120</v>
          </cell>
        </row>
        <row r="518">
          <cell r="A518" t="str">
            <v>TOWLB-KID-MD-SUNS</v>
          </cell>
          <cell r="B518" t="str">
            <v>5.0607E+12</v>
          </cell>
          <cell r="C518" t="str">
            <v>LAST SEASON</v>
          </cell>
          <cell r="E518">
            <v>50</v>
          </cell>
          <cell r="F518" t="str">
            <v>SS22</v>
          </cell>
          <cell r="G518" t="str">
            <v>XR Textile</v>
          </cell>
          <cell r="H518" t="str">
            <v>TOWLB-KIDS</v>
          </cell>
          <cell r="I518" t="str">
            <v>GRS Certified* 83% Post Consumer Recycled Polyester (RM0189) 17% Pre Consumer Recycled Polyamide (RM1084)</v>
          </cell>
          <cell r="M518" t="str">
            <v>6302.93.2000</v>
          </cell>
          <cell r="N518">
            <v>6302600090</v>
          </cell>
          <cell r="O518" t="str">
            <v>6302.93.00.00</v>
          </cell>
          <cell r="P518">
            <v>6302939000</v>
          </cell>
          <cell r="Q518">
            <v>0</v>
          </cell>
          <cell r="R518" t="str">
            <v>6302.39.00</v>
          </cell>
          <cell r="S518">
            <v>63029120</v>
          </cell>
        </row>
        <row r="519">
          <cell r="A519" t="str">
            <v>TOWLB-KID-MD-TURTROP</v>
          </cell>
          <cell r="B519" t="str">
            <v>5.061E+12</v>
          </cell>
          <cell r="C519" t="str">
            <v>LAST SEASON</v>
          </cell>
          <cell r="D519" t="str">
            <v>Seasonal</v>
          </cell>
          <cell r="E519">
            <v>50</v>
          </cell>
          <cell r="F519" t="str">
            <v>SS25</v>
          </cell>
          <cell r="G519" t="str">
            <v>XR Textile</v>
          </cell>
          <cell r="H519" t="str">
            <v>TOWLB-KIDS</v>
          </cell>
          <cell r="I519" t="str">
            <v>GRS Certified* 83% Post Consumer Recycled Polyester (RM0189) 17% Pre Consumer Recycled Polyamide (RM1084)</v>
          </cell>
          <cell r="M519" t="str">
            <v>6302.93.2000</v>
          </cell>
          <cell r="N519">
            <v>6302600090</v>
          </cell>
          <cell r="O519" t="str">
            <v>6302.93.00.00</v>
          </cell>
          <cell r="P519">
            <v>6302939000</v>
          </cell>
          <cell r="Q519">
            <v>0</v>
          </cell>
          <cell r="R519" t="str">
            <v>6302.39.00</v>
          </cell>
          <cell r="S519">
            <v>63029120</v>
          </cell>
        </row>
        <row r="520">
          <cell r="A520" t="str">
            <v>TOWLB-SUM-LG-SANDSEA</v>
          </cell>
          <cell r="B520" t="str">
            <v>5.061E+12</v>
          </cell>
          <cell r="C520" t="str">
            <v>LAST SEASON</v>
          </cell>
          <cell r="D520" t="str">
            <v>Seasonal</v>
          </cell>
          <cell r="E520">
            <v>40</v>
          </cell>
          <cell r="F520" t="str">
            <v>SS24</v>
          </cell>
          <cell r="G520" t="str">
            <v>XR Textile</v>
          </cell>
          <cell r="H520" t="str">
            <v>TOWLB</v>
          </cell>
          <cell r="I520" t="str">
            <v>GRS Certified* 83% Post Consumer Recycled Polyester (RM0189) 17% Pre Consumer Recycled Polyamide (RM1084)</v>
          </cell>
          <cell r="M520" t="str">
            <v>6302.93.2000</v>
          </cell>
          <cell r="N520">
            <v>6302600090</v>
          </cell>
          <cell r="O520" t="str">
            <v>6302.93.00.00</v>
          </cell>
          <cell r="P520">
            <v>63029390</v>
          </cell>
          <cell r="Q520">
            <v>0</v>
          </cell>
          <cell r="R520" t="str">
            <v>6302.39.00</v>
          </cell>
          <cell r="S520">
            <v>63029120</v>
          </cell>
        </row>
        <row r="521">
          <cell r="A521" t="str">
            <v>TOWLB-SUM-X2-UNICN</v>
          </cell>
          <cell r="B521" t="str">
            <v>5.0607E+12</v>
          </cell>
          <cell r="C521" t="str">
            <v>LAST SEASON</v>
          </cell>
          <cell r="D521" t="str">
            <v>Core</v>
          </cell>
          <cell r="E521">
            <v>14</v>
          </cell>
          <cell r="F521" t="str">
            <v>SS24</v>
          </cell>
          <cell r="G521" t="str">
            <v>XR Textile</v>
          </cell>
          <cell r="H521" t="str">
            <v>TOWLB</v>
          </cell>
          <cell r="I521" t="str">
            <v>GRS Certified* 83% Post Consumer Recycled Polyester (RM0189) 17% Pre Consumer Recycled Polyamide (RM1084)</v>
          </cell>
          <cell r="M521" t="str">
            <v>6302.93.2000</v>
          </cell>
          <cell r="N521">
            <v>6302600090</v>
          </cell>
          <cell r="O521" t="str">
            <v>6302.93.00.00</v>
          </cell>
          <cell r="P521">
            <v>63029390</v>
          </cell>
          <cell r="Q521">
            <v>0</v>
          </cell>
          <cell r="R521" t="str">
            <v>6302.39.00</v>
          </cell>
          <cell r="S521">
            <v>63029120</v>
          </cell>
        </row>
        <row r="522">
          <cell r="A522" t="str">
            <v>TOWLB-SUM-XL-DSKDWN</v>
          </cell>
          <cell r="B522" t="str">
            <v>5.0607E+12</v>
          </cell>
          <cell r="C522" t="str">
            <v>LAST SEASON</v>
          </cell>
          <cell r="D522" t="str">
            <v>Seasonal</v>
          </cell>
          <cell r="E522">
            <v>30</v>
          </cell>
          <cell r="F522" t="str">
            <v>SS23</v>
          </cell>
          <cell r="G522" t="str">
            <v>XR Textile</v>
          </cell>
          <cell r="H522" t="str">
            <v>TOWLB</v>
          </cell>
          <cell r="I522" t="str">
            <v>GRS Certified* 83% Post Consumer Recycled Polyester (RM0189) 17% Pre Consumer Recycled Polyamide (RM1084)</v>
          </cell>
          <cell r="M522" t="str">
            <v>6302.93.2000</v>
          </cell>
          <cell r="N522">
            <v>6302600090</v>
          </cell>
          <cell r="O522" t="str">
            <v>6302.93.00.00</v>
          </cell>
          <cell r="P522">
            <v>63029390</v>
          </cell>
          <cell r="Q522">
            <v>0</v>
          </cell>
          <cell r="R522" t="str">
            <v>6302.39.00</v>
          </cell>
          <cell r="S522">
            <v>63029120</v>
          </cell>
        </row>
        <row r="523">
          <cell r="A523" t="str">
            <v>TOWLB-SUM-XL-PCHSUN</v>
          </cell>
          <cell r="B523" t="str">
            <v>5.0607E+12</v>
          </cell>
          <cell r="C523" t="str">
            <v>LAST SEASON</v>
          </cell>
          <cell r="D523" t="str">
            <v>Seasonal</v>
          </cell>
          <cell r="E523">
            <v>30</v>
          </cell>
          <cell r="F523" t="str">
            <v>SS23</v>
          </cell>
          <cell r="G523" t="str">
            <v>XR Textile</v>
          </cell>
          <cell r="H523" t="str">
            <v>TOWLB</v>
          </cell>
          <cell r="I523" t="str">
            <v>GRS Certified* 83% Post Consumer Recycled Polyester (RM0189) 17% Pre Consumer Recycled Polyamide (RM1084)</v>
          </cell>
          <cell r="M523" t="str">
            <v>6302.93.2000</v>
          </cell>
          <cell r="N523">
            <v>6302600090</v>
          </cell>
          <cell r="O523" t="str">
            <v>6302.93.00.00</v>
          </cell>
          <cell r="P523">
            <v>63029390</v>
          </cell>
          <cell r="Q523">
            <v>0</v>
          </cell>
          <cell r="R523" t="str">
            <v>6302.39.00</v>
          </cell>
          <cell r="S523">
            <v>63029120</v>
          </cell>
        </row>
        <row r="524">
          <cell r="A524" t="str">
            <v>TOWLB-SUM-XL-SANDSEA</v>
          </cell>
          <cell r="B524" t="str">
            <v>5.061E+12</v>
          </cell>
          <cell r="C524" t="str">
            <v>LAST SEASON</v>
          </cell>
          <cell r="D524" t="str">
            <v>Seasonal</v>
          </cell>
          <cell r="E524">
            <v>30</v>
          </cell>
          <cell r="F524" t="str">
            <v>SS24</v>
          </cell>
          <cell r="G524" t="str">
            <v>XR Textile</v>
          </cell>
          <cell r="H524" t="str">
            <v>TOWLB</v>
          </cell>
          <cell r="I524" t="str">
            <v>GRS Certified* 83% Post Consumer Recycled Polyester (RM0189) 17% Pre Consumer Recycled Polyamide (RM1084)</v>
          </cell>
          <cell r="M524" t="str">
            <v>6302.93.2000</v>
          </cell>
          <cell r="N524">
            <v>6302600090</v>
          </cell>
          <cell r="O524" t="str">
            <v>6302.93.00.00</v>
          </cell>
          <cell r="P524">
            <v>63029390</v>
          </cell>
          <cell r="Q524">
            <v>0</v>
          </cell>
          <cell r="R524" t="str">
            <v>6302.39.00</v>
          </cell>
          <cell r="S524">
            <v>63029120</v>
          </cell>
        </row>
        <row r="525">
          <cell r="A525" t="str">
            <v>TOWLH-GEO-LG-PARAD</v>
          </cell>
          <cell r="B525" t="str">
            <v>5.0607E+12</v>
          </cell>
          <cell r="C525" t="str">
            <v>LAST SEASON</v>
          </cell>
          <cell r="E525">
            <v>20</v>
          </cell>
          <cell r="F525" t="str">
            <v>AW23</v>
          </cell>
          <cell r="G525" t="str">
            <v>XR Textile</v>
          </cell>
          <cell r="H525" t="str">
            <v>TOWLH</v>
          </cell>
          <cell r="I525" t="str">
            <v>GRS Certified* 83% Post Consumer Recycled Polyester (RM0189) 17% Pre Consumer Recycled Polyamide (RM1084)</v>
          </cell>
          <cell r="M525" t="str">
            <v>6302.93.2000</v>
          </cell>
          <cell r="N525">
            <v>6302600090</v>
          </cell>
          <cell r="O525" t="str">
            <v>6302.93.00.00</v>
          </cell>
          <cell r="P525">
            <v>6302939000</v>
          </cell>
          <cell r="Q525">
            <v>0</v>
          </cell>
          <cell r="R525" t="str">
            <v>6302.39.00</v>
          </cell>
          <cell r="S525">
            <v>63029120</v>
          </cell>
        </row>
        <row r="526">
          <cell r="A526" t="str">
            <v>TOWLH-GEO-LG-PINK</v>
          </cell>
          <cell r="B526" t="str">
            <v>5.0607E+12</v>
          </cell>
          <cell r="C526" t="str">
            <v>LAST SEASON</v>
          </cell>
          <cell r="E526">
            <v>20</v>
          </cell>
          <cell r="F526" t="str">
            <v>AW23</v>
          </cell>
          <cell r="G526" t="str">
            <v>XR Textile</v>
          </cell>
          <cell r="H526" t="str">
            <v>TOWLH</v>
          </cell>
          <cell r="I526" t="str">
            <v>GRS Certified* 83% Post Consumer Recycled Polyester (RM0189) 17% Pre Consumer Recycled Polyamide (RM1084)</v>
          </cell>
          <cell r="M526" t="str">
            <v>6302.93.2000</v>
          </cell>
          <cell r="N526">
            <v>6302600090</v>
          </cell>
          <cell r="O526" t="str">
            <v>6302.93.00.00</v>
          </cell>
          <cell r="P526">
            <v>6302939000</v>
          </cell>
          <cell r="Q526">
            <v>0</v>
          </cell>
          <cell r="R526" t="str">
            <v>6302.39.00</v>
          </cell>
          <cell r="S526">
            <v>63029120</v>
          </cell>
        </row>
        <row r="527">
          <cell r="A527" t="str">
            <v>TOWLH-GEO-LG-SAGE</v>
          </cell>
          <cell r="B527" t="str">
            <v>5.0607E+12</v>
          </cell>
          <cell r="C527" t="str">
            <v>LAST SEASON</v>
          </cell>
          <cell r="E527">
            <v>20</v>
          </cell>
          <cell r="F527" t="str">
            <v>AW23</v>
          </cell>
          <cell r="G527" t="str">
            <v>XR Textile</v>
          </cell>
          <cell r="H527" t="str">
            <v>TOWLH</v>
          </cell>
          <cell r="I527" t="str">
            <v>GRS Certified* 83% Post Consumer Recycled Polyester (RM0189) 17% Pre Consumer Recycled Polyamide (RM1084)</v>
          </cell>
          <cell r="M527" t="str">
            <v>6302.93.2000</v>
          </cell>
          <cell r="N527">
            <v>6302600090</v>
          </cell>
          <cell r="O527" t="str">
            <v>6302.93.00.00</v>
          </cell>
          <cell r="P527">
            <v>6302939000</v>
          </cell>
          <cell r="Q527">
            <v>0</v>
          </cell>
          <cell r="R527" t="str">
            <v>6302.39.00</v>
          </cell>
          <cell r="S527">
            <v>63029120</v>
          </cell>
        </row>
        <row r="528">
          <cell r="A528" t="str">
            <v>TOWLH-GEO-SM-NAVY</v>
          </cell>
          <cell r="B528" t="str">
            <v>5.0607E+12</v>
          </cell>
          <cell r="C528" t="str">
            <v>LAST SEASON</v>
          </cell>
          <cell r="E528">
            <v>50</v>
          </cell>
          <cell r="F528" t="str">
            <v>AW23</v>
          </cell>
          <cell r="G528" t="str">
            <v>XR Textile</v>
          </cell>
          <cell r="H528" t="str">
            <v>TOWLH</v>
          </cell>
          <cell r="I528" t="str">
            <v>GRS Certified* 83% Post Consumer Recycled Polyester (RM0189) 17% Pre Consumer Recycled Polyamide (RM1084)</v>
          </cell>
          <cell r="M528" t="str">
            <v>6302.93.2000</v>
          </cell>
          <cell r="N528">
            <v>6302600090</v>
          </cell>
          <cell r="O528" t="str">
            <v>6302.93.00.00</v>
          </cell>
          <cell r="P528">
            <v>6302939000</v>
          </cell>
          <cell r="Q528">
            <v>0</v>
          </cell>
          <cell r="R528" t="str">
            <v>6302.39.00</v>
          </cell>
          <cell r="S528">
            <v>63029120</v>
          </cell>
        </row>
        <row r="529">
          <cell r="A529" t="str">
            <v>TOWLH-GEO-SM-PINK</v>
          </cell>
          <cell r="B529" t="str">
            <v>5.0607E+12</v>
          </cell>
          <cell r="C529" t="str">
            <v>LAST SEASON</v>
          </cell>
          <cell r="E529">
            <v>50</v>
          </cell>
          <cell r="F529" t="str">
            <v>AW23</v>
          </cell>
          <cell r="G529" t="str">
            <v>XR Textile</v>
          </cell>
          <cell r="H529" t="str">
            <v>TOWLH</v>
          </cell>
          <cell r="I529" t="str">
            <v>GRS Certified* 83% Post Consumer Recycled Polyester (RM0189) 17% Pre Consumer Recycled Polyamide (RM1084)</v>
          </cell>
          <cell r="M529" t="str">
            <v>6302.93.2000</v>
          </cell>
          <cell r="N529">
            <v>6302600090</v>
          </cell>
          <cell r="O529" t="str">
            <v>6302.93.00.00</v>
          </cell>
          <cell r="P529">
            <v>6302939000</v>
          </cell>
          <cell r="Q529">
            <v>0</v>
          </cell>
          <cell r="R529" t="str">
            <v>6302.39.00</v>
          </cell>
          <cell r="S529">
            <v>63029120</v>
          </cell>
        </row>
        <row r="530">
          <cell r="A530" t="str">
            <v>TOWLH-GEO-XL-NAVY</v>
          </cell>
          <cell r="B530" t="str">
            <v>5.0607E+12</v>
          </cell>
          <cell r="C530" t="str">
            <v>LAST SEASON</v>
          </cell>
          <cell r="E530">
            <v>20</v>
          </cell>
          <cell r="F530" t="str">
            <v>AW23</v>
          </cell>
          <cell r="G530" t="str">
            <v>XR Textile</v>
          </cell>
          <cell r="H530" t="str">
            <v>TOWLH</v>
          </cell>
          <cell r="I530" t="str">
            <v>GRS Certified* 83% Post Consumer Recycled Polyester (RM0189) 17% Pre Consumer Recycled Polyamide (RM1084)</v>
          </cell>
          <cell r="M530" t="str">
            <v>6302.93.2000</v>
          </cell>
          <cell r="N530">
            <v>6302600090</v>
          </cell>
          <cell r="O530" t="str">
            <v>6302.93.00.00</v>
          </cell>
          <cell r="P530">
            <v>6302939000</v>
          </cell>
          <cell r="Q530">
            <v>0</v>
          </cell>
          <cell r="R530" t="str">
            <v>6302.39.00</v>
          </cell>
          <cell r="S530">
            <v>63029120</v>
          </cell>
        </row>
        <row r="531">
          <cell r="A531" t="str">
            <v>TOWLH-GEO-XL-PARAD</v>
          </cell>
          <cell r="B531" t="str">
            <v>5.0607E+12</v>
          </cell>
          <cell r="C531" t="str">
            <v>LAST SEASON</v>
          </cell>
          <cell r="E531">
            <v>20</v>
          </cell>
          <cell r="F531" t="str">
            <v>AW23</v>
          </cell>
          <cell r="G531" t="str">
            <v>XR Textile</v>
          </cell>
          <cell r="H531" t="str">
            <v>TOWLH</v>
          </cell>
          <cell r="I531" t="str">
            <v>GRS Certified* 83% Post Consumer Recycled Polyester (RM0189) 17% Pre Consumer Recycled Polyamide (RM1084)</v>
          </cell>
          <cell r="M531" t="str">
            <v>6302.93.2000</v>
          </cell>
          <cell r="N531">
            <v>6302600090</v>
          </cell>
          <cell r="O531" t="str">
            <v>6302.93.00.00</v>
          </cell>
          <cell r="P531">
            <v>6302939000</v>
          </cell>
          <cell r="Q531">
            <v>0</v>
          </cell>
          <cell r="R531" t="str">
            <v>6302.39.00</v>
          </cell>
          <cell r="S531">
            <v>63029120</v>
          </cell>
        </row>
        <row r="532">
          <cell r="A532" t="str">
            <v>TOWLH-GEO-XL-PINK</v>
          </cell>
          <cell r="B532" t="str">
            <v>5.0607E+12</v>
          </cell>
          <cell r="C532" t="str">
            <v>LAST SEASON</v>
          </cell>
          <cell r="E532">
            <v>20</v>
          </cell>
          <cell r="F532" t="str">
            <v>AW23</v>
          </cell>
          <cell r="G532" t="str">
            <v>XR Textile</v>
          </cell>
          <cell r="H532" t="str">
            <v>TOWLH</v>
          </cell>
          <cell r="I532" t="str">
            <v>GRS Certified* 83% Post Consumer Recycled Polyester (RM0189) 17% Pre Consumer Recycled Polyamide (RM1084)</v>
          </cell>
          <cell r="M532" t="str">
            <v>6302.93.2000</v>
          </cell>
          <cell r="N532">
            <v>6302600090</v>
          </cell>
          <cell r="O532" t="str">
            <v>6302.93.00.00</v>
          </cell>
          <cell r="P532">
            <v>6302939000</v>
          </cell>
          <cell r="Q532">
            <v>0</v>
          </cell>
          <cell r="R532" t="str">
            <v>6302.39.00</v>
          </cell>
          <cell r="S532">
            <v>63029120</v>
          </cell>
        </row>
        <row r="533">
          <cell r="A533" t="str">
            <v>TOWLH-GEO-XL-SAGE</v>
          </cell>
          <cell r="B533" t="str">
            <v>5.0607E+12</v>
          </cell>
          <cell r="C533" t="str">
            <v>LAST SEASON</v>
          </cell>
          <cell r="E533">
            <v>20</v>
          </cell>
          <cell r="F533" t="str">
            <v>AW23</v>
          </cell>
          <cell r="G533" t="str">
            <v>XR Textile</v>
          </cell>
          <cell r="H533" t="str">
            <v>TOWLH</v>
          </cell>
          <cell r="I533" t="str">
            <v>GRS Certified* 83% Post Consumer Recycled Polyester (RM0189) 17% Pre Consumer Recycled Polyamide (RM1084)</v>
          </cell>
          <cell r="M533" t="str">
            <v>6302.93.2000</v>
          </cell>
          <cell r="N533">
            <v>6302600090</v>
          </cell>
          <cell r="O533" t="str">
            <v>6302.93.00.00</v>
          </cell>
          <cell r="P533">
            <v>6302939000</v>
          </cell>
          <cell r="Q533">
            <v>0</v>
          </cell>
          <cell r="R533" t="str">
            <v>6302.39.00</v>
          </cell>
          <cell r="S533">
            <v>63029120</v>
          </cell>
        </row>
        <row r="534">
          <cell r="A534" t="str">
            <v>TOWLH-HID-LG-PINK</v>
          </cell>
          <cell r="B534" t="str">
            <v>5.0607E+12</v>
          </cell>
          <cell r="C534" t="str">
            <v>LAST SEASON</v>
          </cell>
          <cell r="E534">
            <v>20</v>
          </cell>
          <cell r="F534" t="str">
            <v>AW22</v>
          </cell>
          <cell r="G534" t="str">
            <v>XR Textile</v>
          </cell>
          <cell r="H534" t="str">
            <v>TOWLH</v>
          </cell>
          <cell r="I534" t="str">
            <v>GRS Certified* 83% Post Consumer Recycled Polyester (RM0189) 17% Pre Consumer Recycled Polyamide (RM1084)</v>
          </cell>
          <cell r="M534" t="str">
            <v>6302.93.2000</v>
          </cell>
          <cell r="N534">
            <v>6302600090</v>
          </cell>
          <cell r="O534" t="str">
            <v>6302.93.00.00</v>
          </cell>
          <cell r="P534">
            <v>6302939000</v>
          </cell>
          <cell r="Q534">
            <v>0</v>
          </cell>
          <cell r="R534" t="str">
            <v>6302.39.00</v>
          </cell>
          <cell r="S534">
            <v>63029120</v>
          </cell>
        </row>
        <row r="535">
          <cell r="A535" t="str">
            <v>TOWLH-HID-SM-GREEN</v>
          </cell>
          <cell r="B535" t="str">
            <v>5.0607E+12</v>
          </cell>
          <cell r="C535" t="str">
            <v>LAST SEASON</v>
          </cell>
          <cell r="E535">
            <v>50</v>
          </cell>
          <cell r="F535" t="str">
            <v>AW22</v>
          </cell>
          <cell r="G535" t="str">
            <v>XR Textile</v>
          </cell>
          <cell r="H535" t="str">
            <v>TOWLH</v>
          </cell>
          <cell r="I535" t="str">
            <v>GRS Certified* 83% Post Consumer Recycled Polyester (RM0189) 17% Pre Consumer Recycled Polyamide (RM1084)</v>
          </cell>
          <cell r="M535" t="str">
            <v>6302.93.2000</v>
          </cell>
          <cell r="N535">
            <v>6302600090</v>
          </cell>
          <cell r="O535" t="str">
            <v>6302.93.00.00</v>
          </cell>
          <cell r="P535">
            <v>6302939000</v>
          </cell>
          <cell r="Q535">
            <v>0</v>
          </cell>
          <cell r="R535" t="str">
            <v>6302.39.00</v>
          </cell>
          <cell r="S535">
            <v>63029120</v>
          </cell>
        </row>
        <row r="536">
          <cell r="A536" t="str">
            <v>TOWLH-HID-SM-PINK</v>
          </cell>
          <cell r="B536" t="str">
            <v>5.0607E+12</v>
          </cell>
          <cell r="C536" t="str">
            <v>LAST SEASON</v>
          </cell>
          <cell r="E536">
            <v>50</v>
          </cell>
          <cell r="F536" t="str">
            <v>AW22</v>
          </cell>
          <cell r="G536" t="str">
            <v>XR Textile</v>
          </cell>
          <cell r="H536" t="str">
            <v>TOWLH</v>
          </cell>
          <cell r="I536" t="str">
            <v>GRS Certified* 83% Post Consumer Recycled Polyester (RM0189) 17% Pre Consumer Recycled Polyamide (RM1084)</v>
          </cell>
          <cell r="M536" t="str">
            <v>6302.93.2000</v>
          </cell>
          <cell r="N536">
            <v>6302600090</v>
          </cell>
          <cell r="O536" t="str">
            <v>6302.93.00.00</v>
          </cell>
          <cell r="P536">
            <v>6302939000</v>
          </cell>
          <cell r="Q536">
            <v>0</v>
          </cell>
          <cell r="R536" t="str">
            <v>6302.39.00</v>
          </cell>
          <cell r="S536">
            <v>63029120</v>
          </cell>
        </row>
        <row r="537">
          <cell r="A537" t="str">
            <v>TOWLH-HID-XL-PINK</v>
          </cell>
          <cell r="B537" t="str">
            <v>5.0607E+12</v>
          </cell>
          <cell r="C537" t="str">
            <v>LAST SEASON</v>
          </cell>
          <cell r="E537">
            <v>20</v>
          </cell>
          <cell r="F537" t="str">
            <v>AW22</v>
          </cell>
          <cell r="G537" t="str">
            <v>XR Textile</v>
          </cell>
          <cell r="H537" t="str">
            <v>TOWLH</v>
          </cell>
          <cell r="I537" t="str">
            <v>GRS Certified* 83% Post Consumer Recycled Polyester (RM0189) 17% Pre Consumer Recycled Polyamide (RM1084)</v>
          </cell>
          <cell r="M537" t="str">
            <v>6302.93.2000</v>
          </cell>
          <cell r="N537">
            <v>6302600090</v>
          </cell>
          <cell r="O537" t="str">
            <v>6302.93.00.00</v>
          </cell>
          <cell r="P537">
            <v>6302939000</v>
          </cell>
          <cell r="Q537">
            <v>0</v>
          </cell>
          <cell r="R537" t="str">
            <v>6302.39.00</v>
          </cell>
          <cell r="S537">
            <v>63029120</v>
          </cell>
        </row>
        <row r="538">
          <cell r="A538" t="str">
            <v>TOWLH-HOM-SM-TERRA</v>
          </cell>
          <cell r="B538" t="str">
            <v>5.0607E+12</v>
          </cell>
          <cell r="C538" t="str">
            <v>LAST SEASON</v>
          </cell>
          <cell r="E538">
            <v>50</v>
          </cell>
          <cell r="F538" t="str">
            <v>AW20</v>
          </cell>
          <cell r="G538" t="str">
            <v>XR Textile</v>
          </cell>
          <cell r="H538" t="str">
            <v>TOWLH</v>
          </cell>
          <cell r="I538" t="str">
            <v>GRS Certified* 83% Post Consumer Recycled Polyester (RM0189) 17% Pre Consumer Recycled Polyamide (RM1084)</v>
          </cell>
          <cell r="M538" t="str">
            <v>6302.93.2000</v>
          </cell>
          <cell r="N538">
            <v>6302600090</v>
          </cell>
          <cell r="O538" t="str">
            <v>6302.93.00.00</v>
          </cell>
          <cell r="P538">
            <v>6302939000</v>
          </cell>
          <cell r="Q538">
            <v>0</v>
          </cell>
          <cell r="R538" t="str">
            <v>6302.39.00</v>
          </cell>
          <cell r="S538">
            <v>63029120</v>
          </cell>
        </row>
        <row r="539">
          <cell r="A539" t="str">
            <v>TOWLH-RET-LG-CONG</v>
          </cell>
          <cell r="B539" t="str">
            <v>5.0607E+12</v>
          </cell>
          <cell r="C539" t="str">
            <v>LAST SEASON</v>
          </cell>
          <cell r="E539">
            <v>20</v>
          </cell>
          <cell r="F539" t="str">
            <v>AW21</v>
          </cell>
          <cell r="G539" t="str">
            <v>XR Textile</v>
          </cell>
          <cell r="H539" t="str">
            <v>TOWLH</v>
          </cell>
          <cell r="I539" t="str">
            <v>GRS Certified* 83% Post Consumer Recycled Polyester (RM0189) 17% Pre Consumer Recycled Polyamide (RM1084)</v>
          </cell>
          <cell r="M539" t="str">
            <v>6302.93.2000</v>
          </cell>
          <cell r="N539">
            <v>6302600090</v>
          </cell>
          <cell r="O539" t="str">
            <v>6302.93.00.00</v>
          </cell>
          <cell r="P539">
            <v>6302939000</v>
          </cell>
          <cell r="Q539">
            <v>0</v>
          </cell>
          <cell r="R539" t="str">
            <v>6302.39.00</v>
          </cell>
          <cell r="S539">
            <v>63029120</v>
          </cell>
        </row>
        <row r="540">
          <cell r="A540" t="str">
            <v>TOWLH-RET-LG-MONT</v>
          </cell>
          <cell r="B540" t="str">
            <v>5.0607E+12</v>
          </cell>
          <cell r="C540" t="str">
            <v>LAST SEASON</v>
          </cell>
          <cell r="E540">
            <v>20</v>
          </cell>
          <cell r="F540" t="str">
            <v>AW21</v>
          </cell>
          <cell r="G540" t="str">
            <v>XR Textile</v>
          </cell>
          <cell r="H540" t="str">
            <v>TOWLH</v>
          </cell>
          <cell r="I540" t="str">
            <v>GRS Certified* 83% Post Consumer Recycled Polyester (RM0189) 17% Pre Consumer Recycled Polyamide (RM1084)</v>
          </cell>
          <cell r="M540" t="str">
            <v>6302.93.2000</v>
          </cell>
          <cell r="N540">
            <v>6302600090</v>
          </cell>
          <cell r="O540" t="str">
            <v>6302.93.00.00</v>
          </cell>
          <cell r="P540">
            <v>6302939000</v>
          </cell>
          <cell r="Q540">
            <v>0</v>
          </cell>
          <cell r="R540" t="str">
            <v>6302.39.00</v>
          </cell>
          <cell r="S540">
            <v>63029120</v>
          </cell>
        </row>
        <row r="541">
          <cell r="A541" t="str">
            <v>TOWLH-RET-LG-SINH</v>
          </cell>
          <cell r="B541" t="str">
            <v>5.0607E+12</v>
          </cell>
          <cell r="C541" t="str">
            <v>LAST SEASON</v>
          </cell>
          <cell r="E541">
            <v>20</v>
          </cell>
          <cell r="F541" t="str">
            <v>AW21</v>
          </cell>
          <cell r="G541" t="str">
            <v>XR Textile</v>
          </cell>
          <cell r="H541" t="str">
            <v>TOWLH</v>
          </cell>
          <cell r="I541" t="str">
            <v>GRS Certified* 83% Post Consumer Recycled Polyester (RM0189) 17% Pre Consumer Recycled Polyamide (RM1084)</v>
          </cell>
          <cell r="M541" t="str">
            <v>6302.93.2000</v>
          </cell>
          <cell r="N541">
            <v>6302600090</v>
          </cell>
          <cell r="O541" t="str">
            <v>6302.93.00.00</v>
          </cell>
          <cell r="P541">
            <v>6302939000</v>
          </cell>
          <cell r="Q541">
            <v>0</v>
          </cell>
          <cell r="R541" t="str">
            <v>6302.39.00</v>
          </cell>
          <cell r="S541">
            <v>63029120</v>
          </cell>
        </row>
        <row r="542">
          <cell r="A542" t="str">
            <v>TOWLH-RET-SM-SANT</v>
          </cell>
          <cell r="B542" t="str">
            <v>5.0607E+12</v>
          </cell>
          <cell r="C542" t="str">
            <v>LAST SEASON</v>
          </cell>
          <cell r="E542">
            <v>50</v>
          </cell>
          <cell r="F542" t="str">
            <v>AW21</v>
          </cell>
          <cell r="G542" t="str">
            <v>XR Textile</v>
          </cell>
          <cell r="H542" t="str">
            <v>TOWLH</v>
          </cell>
          <cell r="I542" t="str">
            <v>GRS Certified* 83% Post Consumer Recycled Polyester (RM0189) 17% Pre Consumer Recycled Polyamide (RM1084)</v>
          </cell>
          <cell r="M542" t="str">
            <v>6302.93.2000</v>
          </cell>
          <cell r="N542">
            <v>6302600090</v>
          </cell>
          <cell r="O542" t="str">
            <v>6302.93.00.00</v>
          </cell>
          <cell r="P542">
            <v>6302939000</v>
          </cell>
          <cell r="Q542">
            <v>0</v>
          </cell>
          <cell r="R542" t="str">
            <v>6302.39.00</v>
          </cell>
          <cell r="S542">
            <v>63029120</v>
          </cell>
        </row>
        <row r="543">
          <cell r="A543" t="str">
            <v>TOWLH-RET-SM-SAPO</v>
          </cell>
          <cell r="B543" t="str">
            <v>5.0607E+12</v>
          </cell>
          <cell r="C543" t="str">
            <v>LAST SEASON</v>
          </cell>
          <cell r="E543">
            <v>50</v>
          </cell>
          <cell r="F543" t="str">
            <v>AW21</v>
          </cell>
          <cell r="G543" t="str">
            <v>XR Textile</v>
          </cell>
          <cell r="H543" t="str">
            <v>TOWLH</v>
          </cell>
          <cell r="I543" t="str">
            <v>GRS Certified* 83% Post Consumer Recycled Polyester (RM0189) 17% Pre Consumer Recycled Polyamide (RM1084)</v>
          </cell>
          <cell r="M543" t="str">
            <v>6302.93.2000</v>
          </cell>
          <cell r="N543">
            <v>6302600090</v>
          </cell>
          <cell r="O543" t="str">
            <v>6302.93.00.00</v>
          </cell>
          <cell r="P543">
            <v>6302939000</v>
          </cell>
          <cell r="Q543">
            <v>0</v>
          </cell>
          <cell r="R543" t="str">
            <v>6302.39.00</v>
          </cell>
          <cell r="S543">
            <v>63029120</v>
          </cell>
        </row>
        <row r="544">
          <cell r="A544" t="str">
            <v>TOWLH-RET-SM-SINH</v>
          </cell>
          <cell r="B544" t="str">
            <v>5.0607E+12</v>
          </cell>
          <cell r="C544" t="str">
            <v>LAST SEASON</v>
          </cell>
          <cell r="E544">
            <v>50</v>
          </cell>
          <cell r="F544" t="str">
            <v>AW21</v>
          </cell>
          <cell r="G544" t="str">
            <v>XR Textile</v>
          </cell>
          <cell r="H544" t="str">
            <v>TOWLH</v>
          </cell>
          <cell r="I544" t="str">
            <v>GRS Certified* 83% Post Consumer Recycled Polyester (RM0189) 17% Pre Consumer Recycled Polyamide (RM1084)</v>
          </cell>
          <cell r="M544" t="str">
            <v>6302.93.2000</v>
          </cell>
          <cell r="N544">
            <v>6302600090</v>
          </cell>
          <cell r="O544" t="str">
            <v>6302.93.00.00</v>
          </cell>
          <cell r="P544">
            <v>6302939000</v>
          </cell>
          <cell r="Q544">
            <v>0</v>
          </cell>
          <cell r="R544" t="str">
            <v>6302.39.00</v>
          </cell>
          <cell r="S544">
            <v>63029120</v>
          </cell>
        </row>
        <row r="545">
          <cell r="A545" t="str">
            <v>TOWLH-RET-XL-SINH</v>
          </cell>
          <cell r="B545" t="str">
            <v>5.0607E+12</v>
          </cell>
          <cell r="C545" t="str">
            <v>LAST SEASON</v>
          </cell>
          <cell r="E545">
            <v>20</v>
          </cell>
          <cell r="F545" t="str">
            <v>AW21</v>
          </cell>
          <cell r="G545" t="str">
            <v>XR Textile</v>
          </cell>
          <cell r="H545" t="str">
            <v>TOWLH</v>
          </cell>
          <cell r="I545" t="str">
            <v>GRS Certified* 83% Post Consumer Recycled Polyester (RM0189) 17% Pre Consumer Recycled Polyamide (RM1084)</v>
          </cell>
          <cell r="M545" t="str">
            <v>6302.93.2000</v>
          </cell>
          <cell r="N545">
            <v>6302600090</v>
          </cell>
          <cell r="O545" t="str">
            <v>6302.93.00.00</v>
          </cell>
          <cell r="P545">
            <v>6302939000</v>
          </cell>
          <cell r="Q545">
            <v>0</v>
          </cell>
          <cell r="R545" t="str">
            <v>6302.39.00</v>
          </cell>
          <cell r="S545">
            <v>63029120</v>
          </cell>
        </row>
        <row r="546">
          <cell r="A546" t="str">
            <v>WASH-BAG-MED</v>
          </cell>
          <cell r="B546" t="str">
            <v>5.0607E+12</v>
          </cell>
          <cell r="C546" t="str">
            <v>LAST SEASON</v>
          </cell>
          <cell r="F546" t="str">
            <v>before AW19</v>
          </cell>
          <cell r="M546" t="e">
            <v>#N/A</v>
          </cell>
          <cell r="N546" t="e">
            <v>#N/A</v>
          </cell>
          <cell r="O546" t="e">
            <v>#N/A</v>
          </cell>
          <cell r="P546" t="e">
            <v>#N/A</v>
          </cell>
          <cell r="Q546" t="e">
            <v>#N/A</v>
          </cell>
          <cell r="R546" t="e">
            <v>#N/A</v>
          </cell>
          <cell r="S546" t="e">
            <v>#N/A</v>
          </cell>
        </row>
        <row r="547">
          <cell r="A547" t="str">
            <v>WHOLESALE-WATERBOTTLE-DNB</v>
          </cell>
          <cell r="B547" t="str">
            <v>6.5097E+11</v>
          </cell>
          <cell r="C547" t="str">
            <v>LAST SEASON</v>
          </cell>
          <cell r="F547" t="str">
            <v>before AW19</v>
          </cell>
          <cell r="M547" t="e">
            <v>#N/A</v>
          </cell>
          <cell r="N547" t="e">
            <v>#N/A</v>
          </cell>
          <cell r="O547" t="e">
            <v>#N/A</v>
          </cell>
          <cell r="P547" t="e">
            <v>#N/A</v>
          </cell>
          <cell r="Q547" t="e">
            <v>#N/A</v>
          </cell>
          <cell r="R547" t="e">
            <v>#N/A</v>
          </cell>
          <cell r="S547" t="e">
            <v>#N/A</v>
          </cell>
        </row>
        <row r="548">
          <cell r="A548" t="str">
            <v>WS-POS-EASEL-BAG-2023</v>
          </cell>
          <cell r="B548" t="str">
            <v>6.5097E+11</v>
          </cell>
          <cell r="C548" t="str">
            <v>LAST SEASON</v>
          </cell>
          <cell r="D548" t="str">
            <v>Non-Core</v>
          </cell>
          <cell r="E548">
            <v>100</v>
          </cell>
          <cell r="F548" t="str">
            <v>SS23</v>
          </cell>
          <cell r="G548" t="str">
            <v>MQ Print (Sherry)</v>
          </cell>
          <cell r="H548" t="str">
            <v>WHOLESALE_COMPONENTS</v>
          </cell>
          <cell r="M548" t="str">
            <v>4819.10.0040</v>
          </cell>
          <cell r="N548">
            <v>4819100000</v>
          </cell>
          <cell r="O548">
            <v>4819100000</v>
          </cell>
          <cell r="P548">
            <v>48191000</v>
          </cell>
          <cell r="Q548">
            <v>0</v>
          </cell>
          <cell r="R548" t="str">
            <v>4819.10.00</v>
          </cell>
          <cell r="S548">
            <v>0</v>
          </cell>
        </row>
        <row r="549">
          <cell r="A549" t="str">
            <v>WS-POS-EASEL-BAG-FR-2023</v>
          </cell>
          <cell r="B549" t="str">
            <v>8.0101E+10</v>
          </cell>
          <cell r="C549" t="str">
            <v>LAST SEASON</v>
          </cell>
          <cell r="D549" t="str">
            <v>Non-Core</v>
          </cell>
          <cell r="E549">
            <v>100</v>
          </cell>
          <cell r="F549" t="str">
            <v>SS23</v>
          </cell>
          <cell r="G549" t="str">
            <v>MQ Print (Sherry)</v>
          </cell>
          <cell r="H549" t="str">
            <v>WHOLESALE_COMPONENTS</v>
          </cell>
          <cell r="M549" t="str">
            <v>4819.10.0040</v>
          </cell>
          <cell r="N549">
            <v>4819100000</v>
          </cell>
          <cell r="O549">
            <v>4819100000</v>
          </cell>
          <cell r="P549">
            <v>48191000</v>
          </cell>
          <cell r="Q549">
            <v>0</v>
          </cell>
          <cell r="R549" t="str">
            <v>4819.10.00</v>
          </cell>
          <cell r="S549">
            <v>0</v>
          </cell>
        </row>
        <row r="550">
          <cell r="A550" t="str">
            <v>WS-POS-EASEL-COOL-2023</v>
          </cell>
          <cell r="B550" t="str">
            <v>8.0101E+10</v>
          </cell>
          <cell r="C550" t="str">
            <v>LAST SEASON</v>
          </cell>
          <cell r="D550" t="str">
            <v>Non-Core</v>
          </cell>
          <cell r="E550">
            <v>100</v>
          </cell>
          <cell r="F550" t="str">
            <v>SS23</v>
          </cell>
          <cell r="G550" t="str">
            <v>MQ Print (Sherry)</v>
          </cell>
          <cell r="H550" t="str">
            <v>WHOLESALE_COMPONENTS</v>
          </cell>
          <cell r="M550" t="str">
            <v>4819.10.0040</v>
          </cell>
          <cell r="N550">
            <v>4819100000</v>
          </cell>
          <cell r="O550">
            <v>4819100000</v>
          </cell>
          <cell r="P550">
            <v>48191000</v>
          </cell>
          <cell r="Q550">
            <v>0</v>
          </cell>
          <cell r="R550" t="str">
            <v>4819.10.00</v>
          </cell>
          <cell r="S550">
            <v>0</v>
          </cell>
        </row>
        <row r="551">
          <cell r="A551" t="str">
            <v>WS-POS-EASEL-COOL-FR-2023</v>
          </cell>
          <cell r="B551" t="str">
            <v>8.0101E+10</v>
          </cell>
          <cell r="C551" t="str">
            <v>LAST SEASON</v>
          </cell>
          <cell r="D551" t="str">
            <v>Non-Core</v>
          </cell>
          <cell r="E551">
            <v>100</v>
          </cell>
          <cell r="F551" t="str">
            <v>SS23</v>
          </cell>
          <cell r="G551" t="str">
            <v>MQ Print (Sherry)</v>
          </cell>
          <cell r="H551" t="str">
            <v>WHOLESALE_COMPONENTS</v>
          </cell>
          <cell r="M551" t="str">
            <v>4819.10.0040</v>
          </cell>
          <cell r="N551">
            <v>4819100000</v>
          </cell>
          <cell r="O551">
            <v>4819100000</v>
          </cell>
          <cell r="P551">
            <v>48191000</v>
          </cell>
          <cell r="Q551">
            <v>0</v>
          </cell>
          <cell r="R551" t="str">
            <v>4819.10.00</v>
          </cell>
          <cell r="S551">
            <v>0</v>
          </cell>
        </row>
        <row r="552">
          <cell r="A552" t="str">
            <v>WS-POS-EASEL-DOGTWL-2023</v>
          </cell>
          <cell r="B552" t="str">
            <v>6.5097E+11</v>
          </cell>
          <cell r="C552" t="str">
            <v>LAST SEASON</v>
          </cell>
          <cell r="D552" t="str">
            <v>Non-Core</v>
          </cell>
          <cell r="E552">
            <v>100</v>
          </cell>
          <cell r="F552" t="str">
            <v>SS23</v>
          </cell>
          <cell r="G552" t="str">
            <v>MQ Print (Sherry)</v>
          </cell>
          <cell r="H552" t="str">
            <v>WHOLESALE_COMPONENTS</v>
          </cell>
          <cell r="M552" t="str">
            <v>4819.10.0040</v>
          </cell>
          <cell r="N552">
            <v>4819100000</v>
          </cell>
          <cell r="O552">
            <v>4819100000</v>
          </cell>
          <cell r="P552">
            <v>48191000</v>
          </cell>
          <cell r="Q552">
            <v>0</v>
          </cell>
          <cell r="R552" t="str">
            <v>4819.10.00</v>
          </cell>
          <cell r="S552">
            <v>0</v>
          </cell>
        </row>
        <row r="553">
          <cell r="A553" t="str">
            <v>WS-POS-EASEL-DOGTWL-FR-2023</v>
          </cell>
          <cell r="B553" t="str">
            <v>8.0101E+10</v>
          </cell>
          <cell r="C553" t="str">
            <v>LAST SEASON</v>
          </cell>
          <cell r="D553" t="str">
            <v>Non-Core</v>
          </cell>
          <cell r="E553">
            <v>100</v>
          </cell>
          <cell r="F553" t="str">
            <v>SS23</v>
          </cell>
          <cell r="G553" t="str">
            <v>MQ Print (Sherry)</v>
          </cell>
          <cell r="H553" t="str">
            <v>WHOLESALE_COMPONENTS</v>
          </cell>
          <cell r="M553" t="str">
            <v>4819.10.0040</v>
          </cell>
          <cell r="N553">
            <v>4819100000</v>
          </cell>
          <cell r="O553">
            <v>4819100000</v>
          </cell>
          <cell r="P553">
            <v>48191000</v>
          </cell>
          <cell r="Q553">
            <v>0</v>
          </cell>
          <cell r="R553" t="str">
            <v>4819.10.00</v>
          </cell>
          <cell r="S553">
            <v>0</v>
          </cell>
        </row>
        <row r="554">
          <cell r="A554" t="str">
            <v>WS-POS-EASEL-HAIRW-2023</v>
          </cell>
          <cell r="B554" t="str">
            <v>8.0101E+10</v>
          </cell>
          <cell r="C554" t="str">
            <v>LAST SEASON</v>
          </cell>
          <cell r="D554" t="str">
            <v>Non-Core</v>
          </cell>
          <cell r="E554">
            <v>100</v>
          </cell>
          <cell r="F554" t="str">
            <v>SS23</v>
          </cell>
          <cell r="G554" t="str">
            <v>MQ Print (Sherry)</v>
          </cell>
          <cell r="H554" t="str">
            <v>WHOLESALE_COMPONENTS</v>
          </cell>
          <cell r="M554" t="str">
            <v>4819.10.0040</v>
          </cell>
          <cell r="N554">
            <v>4819100000</v>
          </cell>
          <cell r="O554">
            <v>4819100000</v>
          </cell>
          <cell r="P554">
            <v>48191000</v>
          </cell>
          <cell r="Q554">
            <v>0</v>
          </cell>
          <cell r="R554" t="str">
            <v>4819.10.00</v>
          </cell>
          <cell r="S554">
            <v>0</v>
          </cell>
        </row>
        <row r="555">
          <cell r="A555" t="str">
            <v>WS-POS-EASEL-HAIRW-FR-2023</v>
          </cell>
          <cell r="B555" t="str">
            <v>8.0101E+10</v>
          </cell>
          <cell r="C555" t="str">
            <v>LAST SEASON</v>
          </cell>
          <cell r="D555" t="str">
            <v>Non-Core</v>
          </cell>
          <cell r="E555">
            <v>100</v>
          </cell>
          <cell r="F555" t="str">
            <v>SS23</v>
          </cell>
          <cell r="G555" t="str">
            <v>MQ Print (Sherry)</v>
          </cell>
          <cell r="H555" t="str">
            <v>WHOLESALE_COMPONENTS</v>
          </cell>
          <cell r="M555" t="str">
            <v>4819.10.0040</v>
          </cell>
          <cell r="N555">
            <v>4819100000</v>
          </cell>
          <cell r="O555">
            <v>4819100000</v>
          </cell>
          <cell r="P555">
            <v>48191000</v>
          </cell>
          <cell r="Q555">
            <v>0</v>
          </cell>
          <cell r="R555" t="str">
            <v>4819.10.00</v>
          </cell>
          <cell r="S555">
            <v>0</v>
          </cell>
        </row>
        <row r="556">
          <cell r="A556" t="str">
            <v>WS-POS-EASEL-HOODT-2023</v>
          </cell>
          <cell r="B556" t="str">
            <v>8.0101E+10</v>
          </cell>
          <cell r="C556" t="str">
            <v>LAST SEASON</v>
          </cell>
          <cell r="D556" t="str">
            <v>Non-Core</v>
          </cell>
          <cell r="E556">
            <v>100</v>
          </cell>
          <cell r="F556" t="str">
            <v>SS23</v>
          </cell>
          <cell r="G556" t="str">
            <v>MQ Print (Sherry)</v>
          </cell>
          <cell r="H556" t="str">
            <v>WHOLESALE_COMPONENTS</v>
          </cell>
          <cell r="M556" t="str">
            <v>4819.10.0040</v>
          </cell>
          <cell r="N556">
            <v>4819100000</v>
          </cell>
          <cell r="O556">
            <v>4819100000</v>
          </cell>
          <cell r="P556">
            <v>48191000</v>
          </cell>
          <cell r="Q556">
            <v>0</v>
          </cell>
          <cell r="R556" t="str">
            <v>4819.10.00</v>
          </cell>
          <cell r="S556">
            <v>0</v>
          </cell>
        </row>
        <row r="557">
          <cell r="A557" t="str">
            <v>WS-POS-EASEL-PICNIC-2023</v>
          </cell>
          <cell r="B557" t="str">
            <v>8.0101E+10</v>
          </cell>
          <cell r="C557" t="str">
            <v>LAST SEASON</v>
          </cell>
          <cell r="D557" t="str">
            <v>Non-Core</v>
          </cell>
          <cell r="E557">
            <v>100</v>
          </cell>
          <cell r="F557" t="str">
            <v>SS23</v>
          </cell>
          <cell r="G557" t="str">
            <v>MQ Print (Sherry)</v>
          </cell>
          <cell r="H557" t="str">
            <v>WHOLESALE_COMPONENTS</v>
          </cell>
          <cell r="M557" t="str">
            <v>4819.10.0040</v>
          </cell>
          <cell r="N557">
            <v>4819100000</v>
          </cell>
          <cell r="O557">
            <v>4819100000</v>
          </cell>
          <cell r="P557">
            <v>48191000</v>
          </cell>
          <cell r="Q557">
            <v>0</v>
          </cell>
          <cell r="R557" t="str">
            <v>4819.10.00</v>
          </cell>
          <cell r="S557">
            <v>0</v>
          </cell>
        </row>
        <row r="558">
          <cell r="A558" t="str">
            <v>WS-POS-EASEL-PICNIC-FR-2023</v>
          </cell>
          <cell r="B558" t="str">
            <v>8.0101E+10</v>
          </cell>
          <cell r="C558" t="str">
            <v>LAST SEASON</v>
          </cell>
          <cell r="D558" t="str">
            <v>Non-Core</v>
          </cell>
          <cell r="E558">
            <v>100</v>
          </cell>
          <cell r="F558" t="str">
            <v>SS23</v>
          </cell>
          <cell r="G558" t="str">
            <v>MQ Print (Sherry)</v>
          </cell>
          <cell r="H558" t="str">
            <v>WHOLESALE_COMPONENTS</v>
          </cell>
          <cell r="M558" t="str">
            <v>4819.10.0040</v>
          </cell>
          <cell r="N558">
            <v>4819100000</v>
          </cell>
          <cell r="O558">
            <v>4819100000</v>
          </cell>
          <cell r="P558">
            <v>48191000</v>
          </cell>
          <cell r="Q558">
            <v>0</v>
          </cell>
          <cell r="R558" t="str">
            <v>4819.10.00</v>
          </cell>
          <cell r="S558">
            <v>0</v>
          </cell>
        </row>
        <row r="559">
          <cell r="A559" t="str">
            <v>WS-POS-EASEL-PONCHA-2023</v>
          </cell>
          <cell r="B559" t="str">
            <v>8.0101E+10</v>
          </cell>
          <cell r="C559" t="str">
            <v>LAST SEASON</v>
          </cell>
          <cell r="D559" t="str">
            <v>Non-Core</v>
          </cell>
          <cell r="E559">
            <v>100</v>
          </cell>
          <cell r="F559" t="str">
            <v>SS23</v>
          </cell>
          <cell r="G559" t="str">
            <v>MQ Print (Sherry)</v>
          </cell>
          <cell r="H559" t="str">
            <v>WHOLESALE_COMPONENTS</v>
          </cell>
          <cell r="M559" t="str">
            <v>4819.10.0040</v>
          </cell>
          <cell r="N559">
            <v>4819100000</v>
          </cell>
          <cell r="O559">
            <v>4819100000</v>
          </cell>
          <cell r="P559">
            <v>48191000</v>
          </cell>
          <cell r="Q559">
            <v>0</v>
          </cell>
          <cell r="R559" t="str">
            <v>4819.10.00</v>
          </cell>
          <cell r="S559">
            <v>0</v>
          </cell>
        </row>
        <row r="560">
          <cell r="A560" t="str">
            <v>WS-POS-EASEL-PONCHA-FR-2023</v>
          </cell>
          <cell r="B560" t="str">
            <v>8.0101E+10</v>
          </cell>
          <cell r="C560" t="str">
            <v>LAST SEASON</v>
          </cell>
          <cell r="D560" t="str">
            <v>Non-Core</v>
          </cell>
          <cell r="E560">
            <v>100</v>
          </cell>
          <cell r="F560" t="str">
            <v>SS23</v>
          </cell>
          <cell r="G560" t="str">
            <v>MQ Print (Sherry)</v>
          </cell>
          <cell r="H560" t="str">
            <v>WHOLESALE_COMPONENTS</v>
          </cell>
          <cell r="M560" t="str">
            <v>4819.10.0040</v>
          </cell>
          <cell r="N560">
            <v>4819100000</v>
          </cell>
          <cell r="O560">
            <v>4819100000</v>
          </cell>
          <cell r="P560">
            <v>48191000</v>
          </cell>
          <cell r="Q560">
            <v>0</v>
          </cell>
          <cell r="R560" t="str">
            <v>4819.10.00</v>
          </cell>
          <cell r="S560">
            <v>0</v>
          </cell>
        </row>
        <row r="561">
          <cell r="A561" t="str">
            <v>WS-POS-EASEL-PONCHK-2023</v>
          </cell>
          <cell r="B561" t="str">
            <v>6.5097E+11</v>
          </cell>
          <cell r="C561" t="str">
            <v>LAST SEASON</v>
          </cell>
          <cell r="D561" t="str">
            <v>Non-Core</v>
          </cell>
          <cell r="E561">
            <v>100</v>
          </cell>
          <cell r="F561" t="str">
            <v>SS23</v>
          </cell>
          <cell r="G561" t="str">
            <v>MQ Print (Sherry)</v>
          </cell>
          <cell r="H561" t="str">
            <v>WHOLESALE_COMPONENTS</v>
          </cell>
          <cell r="M561" t="str">
            <v>4819.10.0040</v>
          </cell>
          <cell r="N561">
            <v>4819100000</v>
          </cell>
          <cell r="O561">
            <v>4819100000</v>
          </cell>
          <cell r="P561">
            <v>48191000</v>
          </cell>
          <cell r="Q561">
            <v>0</v>
          </cell>
          <cell r="R561" t="str">
            <v>4819.10.00</v>
          </cell>
          <cell r="S561">
            <v>0</v>
          </cell>
        </row>
        <row r="562">
          <cell r="A562" t="str">
            <v>WS-POS-EASEL-TOWLB-2023</v>
          </cell>
          <cell r="B562" t="str">
            <v>8.0101E+10</v>
          </cell>
          <cell r="C562" t="str">
            <v>LAST SEASON</v>
          </cell>
          <cell r="D562" t="str">
            <v>Non-Core</v>
          </cell>
          <cell r="E562">
            <v>100</v>
          </cell>
          <cell r="F562" t="str">
            <v>SS23</v>
          </cell>
          <cell r="G562" t="str">
            <v>MQ Print (Sherry)</v>
          </cell>
          <cell r="H562" t="str">
            <v>WHOLESALE_COMPONENTS</v>
          </cell>
          <cell r="M562" t="str">
            <v>4819.10.0040</v>
          </cell>
          <cell r="N562">
            <v>4819100000</v>
          </cell>
          <cell r="O562">
            <v>4819100000</v>
          </cell>
          <cell r="P562">
            <v>48191000</v>
          </cell>
          <cell r="Q562">
            <v>0</v>
          </cell>
          <cell r="R562" t="str">
            <v>4819.10.00</v>
          </cell>
          <cell r="S562">
            <v>0</v>
          </cell>
        </row>
        <row r="563">
          <cell r="A563" t="str">
            <v>WS-POS-EASEL-TOWLB-FR-2023</v>
          </cell>
          <cell r="B563" t="str">
            <v>8.0101E+10</v>
          </cell>
          <cell r="C563" t="str">
            <v>LAST SEASON</v>
          </cell>
          <cell r="D563" t="str">
            <v>Non-Core</v>
          </cell>
          <cell r="E563">
            <v>100</v>
          </cell>
          <cell r="F563" t="str">
            <v>SS23</v>
          </cell>
          <cell r="G563" t="str">
            <v>MQ Print (Sherry)</v>
          </cell>
          <cell r="H563" t="str">
            <v>WHOLESALE_COMPONENTS</v>
          </cell>
          <cell r="M563" t="str">
            <v>4819.10.0040</v>
          </cell>
          <cell r="N563">
            <v>4819100000</v>
          </cell>
          <cell r="O563">
            <v>4819100000</v>
          </cell>
          <cell r="P563">
            <v>48191000</v>
          </cell>
          <cell r="Q563">
            <v>0</v>
          </cell>
          <cell r="R563" t="str">
            <v>4819.10.00</v>
          </cell>
          <cell r="S563">
            <v>0</v>
          </cell>
        </row>
        <row r="564">
          <cell r="A564" t="str">
            <v>WS-POS-EASEL-TOWLH-2023</v>
          </cell>
          <cell r="B564" t="str">
            <v>8.0101E+10</v>
          </cell>
          <cell r="C564" t="str">
            <v>LAST SEASON</v>
          </cell>
          <cell r="D564" t="str">
            <v>Non-Core</v>
          </cell>
          <cell r="E564">
            <v>100</v>
          </cell>
          <cell r="F564" t="str">
            <v>SS23</v>
          </cell>
          <cell r="G564" t="str">
            <v>MQ Print (Sherry)</v>
          </cell>
          <cell r="H564" t="str">
            <v>WHOLESALE_COMPONENTS</v>
          </cell>
          <cell r="M564" t="str">
            <v>4819.10.0040</v>
          </cell>
          <cell r="N564">
            <v>4819100000</v>
          </cell>
          <cell r="O564">
            <v>4819100000</v>
          </cell>
          <cell r="P564">
            <v>48191000</v>
          </cell>
          <cell r="Q564">
            <v>0</v>
          </cell>
          <cell r="R564" t="str">
            <v>4819.10.00</v>
          </cell>
          <cell r="S564">
            <v>0</v>
          </cell>
        </row>
        <row r="565">
          <cell r="A565" t="str">
            <v>BAGTOI-MD-NAVY</v>
          </cell>
          <cell r="B565" t="str">
            <v>5.061E+12</v>
          </cell>
          <cell r="C565" t="str">
            <v>PHASE OUT</v>
          </cell>
          <cell r="D565" t="str">
            <v>Core</v>
          </cell>
          <cell r="E565">
            <v>40</v>
          </cell>
          <cell r="F565" t="str">
            <v>SS24</v>
          </cell>
          <cell r="G565" t="str">
            <v>Weireken</v>
          </cell>
          <cell r="H565" t="str">
            <v>BAG-TOILETRY</v>
          </cell>
          <cell r="M565">
            <v>4202929100</v>
          </cell>
          <cell r="N565">
            <v>4202220000</v>
          </cell>
          <cell r="O565">
            <v>0</v>
          </cell>
          <cell r="P565">
            <v>4202929100</v>
          </cell>
          <cell r="Q565">
            <v>0</v>
          </cell>
          <cell r="R565">
            <v>0</v>
          </cell>
          <cell r="S565">
            <v>0</v>
          </cell>
        </row>
        <row r="566">
          <cell r="A566" t="str">
            <v>BAGTOI-MD-PINK</v>
          </cell>
          <cell r="B566" t="str">
            <v>5.061E+12</v>
          </cell>
          <cell r="C566" t="str">
            <v>PHASE OUT</v>
          </cell>
          <cell r="D566" t="str">
            <v>Core</v>
          </cell>
          <cell r="E566">
            <v>40</v>
          </cell>
          <cell r="F566" t="str">
            <v>SS24</v>
          </cell>
          <cell r="G566" t="str">
            <v>Weireken</v>
          </cell>
          <cell r="H566" t="str">
            <v>BAG-TOILETRY</v>
          </cell>
          <cell r="M566">
            <v>4202929100</v>
          </cell>
          <cell r="N566">
            <v>4202220000</v>
          </cell>
          <cell r="O566">
            <v>0</v>
          </cell>
          <cell r="P566">
            <v>4202929100</v>
          </cell>
          <cell r="Q566">
            <v>0</v>
          </cell>
          <cell r="R566">
            <v>0</v>
          </cell>
          <cell r="S566">
            <v>0</v>
          </cell>
        </row>
        <row r="567">
          <cell r="A567" t="str">
            <v>HAIRW-CAB-LTPINK-R</v>
          </cell>
          <cell r="B567" t="str">
            <v>5.0607E+12</v>
          </cell>
          <cell r="C567" t="str">
            <v>PHASE OUT</v>
          </cell>
          <cell r="D567" t="str">
            <v>Core</v>
          </cell>
          <cell r="E567">
            <v>60</v>
          </cell>
          <cell r="F567" t="str">
            <v>before AW20</v>
          </cell>
          <cell r="G567" t="str">
            <v>XR Textile</v>
          </cell>
          <cell r="H567" t="str">
            <v>HAIRW-standard</v>
          </cell>
          <cell r="I567" t="str">
            <v>GRS Certified* 83% Post Consumer Recycled Polyester (RM0189) 17% Pre Consumer Recycled Polyamide (RM1084)</v>
          </cell>
          <cell r="M567" t="str">
            <v>6504.00.90.15</v>
          </cell>
          <cell r="N567">
            <v>6505009090</v>
          </cell>
          <cell r="O567" t="str">
            <v>6505.00.40.00</v>
          </cell>
          <cell r="P567" t="str">
            <v>6505.00.90.90</v>
          </cell>
          <cell r="Q567">
            <v>0</v>
          </cell>
          <cell r="R567" t="str">
            <v>6505.00.90</v>
          </cell>
          <cell r="S567">
            <v>0</v>
          </cell>
        </row>
        <row r="568">
          <cell r="A568" t="str">
            <v>HAIRW-CBH-PINK-NB</v>
          </cell>
          <cell r="B568" t="str">
            <v>5.061E+12</v>
          </cell>
          <cell r="C568" t="str">
            <v>PHASE OUT</v>
          </cell>
          <cell r="D568" t="str">
            <v>Core</v>
          </cell>
          <cell r="E568">
            <v>60</v>
          </cell>
          <cell r="F568" t="str">
            <v>AW24</v>
          </cell>
          <cell r="G568" t="str">
            <v>XR Textile</v>
          </cell>
          <cell r="H568" t="str">
            <v>HAIRW-premium</v>
          </cell>
          <cell r="I568" t="str">
            <v>GRS Certified* 83% Post Consumer Recycled Polyester (RM0189) 17% Pre Consumer Recycled Polyamide (RM1084)</v>
          </cell>
          <cell r="M568" t="str">
            <v>6504.00.90.15</v>
          </cell>
          <cell r="N568">
            <v>6505009090</v>
          </cell>
          <cell r="O568" t="str">
            <v>6505.00.40.00</v>
          </cell>
          <cell r="P568" t="str">
            <v>6505.00.90.90</v>
          </cell>
          <cell r="Q568">
            <v>0</v>
          </cell>
          <cell r="R568" t="str">
            <v>6505.00.90</v>
          </cell>
          <cell r="S568">
            <v>6507</v>
          </cell>
        </row>
        <row r="569">
          <cell r="A569" t="str">
            <v>HAIRW-CLA-NAVY</v>
          </cell>
          <cell r="B569" t="str">
            <v>5.0607E+12</v>
          </cell>
          <cell r="C569" t="str">
            <v>PHASE OUT</v>
          </cell>
          <cell r="D569" t="str">
            <v>Core</v>
          </cell>
          <cell r="E569">
            <v>60</v>
          </cell>
          <cell r="F569" t="str">
            <v>AW22</v>
          </cell>
          <cell r="G569" t="str">
            <v>XR Textile</v>
          </cell>
          <cell r="H569" t="str">
            <v>HAIRW-premium</v>
          </cell>
          <cell r="I569" t="str">
            <v>GRS Certified* 83% Post Consumer Recycled Polyester (RM0189) 17% Pre Consumer Recycled Polyamide (RM1084)</v>
          </cell>
          <cell r="M569" t="str">
            <v>6504.00.90.15</v>
          </cell>
          <cell r="N569">
            <v>6505009090</v>
          </cell>
          <cell r="O569" t="str">
            <v>6505.00.40.00</v>
          </cell>
          <cell r="P569" t="str">
            <v>6505.00.90.90</v>
          </cell>
          <cell r="Q569">
            <v>0</v>
          </cell>
          <cell r="R569" t="str">
            <v>6505.00.90</v>
          </cell>
          <cell r="S569">
            <v>6507</v>
          </cell>
        </row>
        <row r="570">
          <cell r="A570" t="str">
            <v>HAIRW-CLA-NAVY-NB</v>
          </cell>
          <cell r="B570" t="str">
            <v>5.0607E+12</v>
          </cell>
          <cell r="C570" t="str">
            <v>PHASE OUT</v>
          </cell>
          <cell r="D570" t="str">
            <v>Core</v>
          </cell>
          <cell r="E570">
            <v>60</v>
          </cell>
          <cell r="F570" t="str">
            <v>AW24</v>
          </cell>
          <cell r="G570" t="str">
            <v>XR Textile</v>
          </cell>
          <cell r="H570" t="str">
            <v>HAIRW-premium</v>
          </cell>
          <cell r="I570" t="str">
            <v>GRS Certified* 83% Post Consumer Recycled Polyester (RM0189) 17% Pre Consumer Recycled Polyamide (RM1084)</v>
          </cell>
          <cell r="M570" t="str">
            <v>6504.00.90.15</v>
          </cell>
          <cell r="N570">
            <v>6505009090</v>
          </cell>
          <cell r="O570" t="str">
            <v>6505.00.40.00</v>
          </cell>
          <cell r="P570" t="str">
            <v>6505.00.90.90</v>
          </cell>
          <cell r="Q570">
            <v>0</v>
          </cell>
          <cell r="R570" t="str">
            <v>6505.00.90</v>
          </cell>
          <cell r="S570">
            <v>6507</v>
          </cell>
        </row>
        <row r="571">
          <cell r="A571" t="str">
            <v>HAIRW-CLA-WHITE</v>
          </cell>
          <cell r="B571" t="str">
            <v>5.0607E+12</v>
          </cell>
          <cell r="C571" t="str">
            <v>PHASE OUT</v>
          </cell>
          <cell r="D571" t="str">
            <v>Core</v>
          </cell>
          <cell r="E571">
            <v>60</v>
          </cell>
          <cell r="F571" t="str">
            <v>AW22</v>
          </cell>
          <cell r="G571" t="str">
            <v>XR Textile</v>
          </cell>
          <cell r="H571" t="str">
            <v>HAIRW-premium</v>
          </cell>
          <cell r="I571" t="str">
            <v>GRS Certified* 83% Post Consumer Recycled Polyester (RM0189) 17% Pre Consumer Recycled Polyamide (RM1084)</v>
          </cell>
          <cell r="M571" t="str">
            <v>6504.00.90.15</v>
          </cell>
          <cell r="N571">
            <v>6505009090</v>
          </cell>
          <cell r="O571" t="str">
            <v>6505.00.40.00</v>
          </cell>
          <cell r="P571" t="str">
            <v>6505.00.90.90</v>
          </cell>
          <cell r="Q571">
            <v>0</v>
          </cell>
          <cell r="R571" t="str">
            <v>6505.00.90</v>
          </cell>
          <cell r="S571">
            <v>6507</v>
          </cell>
        </row>
        <row r="572">
          <cell r="A572" t="str">
            <v>PONCHA-CAB-LG-BLUE-R</v>
          </cell>
          <cell r="B572" t="str">
            <v>5.0607E+12</v>
          </cell>
          <cell r="C572" t="str">
            <v>PHASE OUT</v>
          </cell>
          <cell r="D572" t="str">
            <v>Core</v>
          </cell>
          <cell r="E572">
            <v>20</v>
          </cell>
          <cell r="F572" t="str">
            <v>before AW20</v>
          </cell>
          <cell r="G572" t="str">
            <v>XR Textile</v>
          </cell>
          <cell r="H572" t="str">
            <v>PONCHA</v>
          </cell>
          <cell r="I572" t="str">
            <v>GRS Certified* 83% Post Consumer Recycled Polyester (RM0189) 17% Pre Consumer Recycled Polyamide (RM1084)</v>
          </cell>
          <cell r="M572" t="str">
            <v>6101.90.90.30</v>
          </cell>
          <cell r="N572">
            <v>6101309000</v>
          </cell>
          <cell r="O572">
            <v>6112399000</v>
          </cell>
          <cell r="P572" t="str">
            <v>6211 4390 00</v>
          </cell>
          <cell r="Q572">
            <v>6117109000</v>
          </cell>
          <cell r="R572" t="str">
            <v>6112.39.00</v>
          </cell>
          <cell r="S572">
            <v>6202</v>
          </cell>
        </row>
        <row r="573">
          <cell r="A573" t="str">
            <v>PONCHA-CAB-LG-LTPNK</v>
          </cell>
          <cell r="B573" t="str">
            <v>5.0607E+12</v>
          </cell>
          <cell r="C573" t="str">
            <v>PHASE OUT</v>
          </cell>
          <cell r="D573" t="str">
            <v>Core</v>
          </cell>
          <cell r="E573">
            <v>20</v>
          </cell>
          <cell r="F573" t="str">
            <v>SS23</v>
          </cell>
          <cell r="G573" t="str">
            <v>XR Textile</v>
          </cell>
          <cell r="H573" t="str">
            <v>PONCHA</v>
          </cell>
          <cell r="I573" t="str">
            <v>GRS Certified* 83% Post Consumer Recycled Polyester (RM0189) 17% Pre Consumer Recycled Polyamide (RM1084)</v>
          </cell>
          <cell r="M573" t="str">
            <v>6101.90.90.30</v>
          </cell>
          <cell r="N573">
            <v>6101309000</v>
          </cell>
          <cell r="O573">
            <v>6112399000</v>
          </cell>
          <cell r="P573" t="str">
            <v>6211 4390 00</v>
          </cell>
          <cell r="Q573">
            <v>6117109000</v>
          </cell>
          <cell r="R573" t="str">
            <v>6112.39.00</v>
          </cell>
          <cell r="S573">
            <v>6202</v>
          </cell>
        </row>
        <row r="574">
          <cell r="A574" t="str">
            <v>PONCHA-CAB-LG-NAVY</v>
          </cell>
          <cell r="B574" t="str">
            <v>5.0607E+12</v>
          </cell>
          <cell r="C574" t="str">
            <v>PHASE OUT</v>
          </cell>
          <cell r="D574" t="str">
            <v>Core</v>
          </cell>
          <cell r="E574">
            <v>20</v>
          </cell>
          <cell r="F574" t="str">
            <v>SS23</v>
          </cell>
          <cell r="G574" t="str">
            <v>XR Textile</v>
          </cell>
          <cell r="H574" t="str">
            <v>PONCHA</v>
          </cell>
          <cell r="I574" t="str">
            <v>GRS Certified* 83% Post Consumer Recycled Polyester (RM0189) 17% Pre Consumer Recycled Polyamide (RM1084)</v>
          </cell>
          <cell r="M574" t="str">
            <v>6101.90.90.30</v>
          </cell>
          <cell r="N574">
            <v>6101309000</v>
          </cell>
          <cell r="O574">
            <v>6112399000</v>
          </cell>
          <cell r="P574" t="str">
            <v>6211 4390 00</v>
          </cell>
          <cell r="Q574">
            <v>6117109000</v>
          </cell>
          <cell r="R574" t="str">
            <v>6112.39.00</v>
          </cell>
          <cell r="S574">
            <v>6202</v>
          </cell>
        </row>
        <row r="575">
          <cell r="A575" t="str">
            <v>PONCHA-CAB-MD-BLUE-R</v>
          </cell>
          <cell r="B575" t="str">
            <v>5.0607E+12</v>
          </cell>
          <cell r="C575" t="str">
            <v>PHASE OUT</v>
          </cell>
          <cell r="D575" t="str">
            <v>Core</v>
          </cell>
          <cell r="E575">
            <v>20</v>
          </cell>
          <cell r="F575" t="str">
            <v>before AW20</v>
          </cell>
          <cell r="G575" t="str">
            <v>XR Textile</v>
          </cell>
          <cell r="H575" t="str">
            <v>PONCHA</v>
          </cell>
          <cell r="I575" t="str">
            <v>GRS Certified* 83% Post Consumer Recycled Polyester (RM0189) 17% Pre Consumer Recycled Polyamide (RM1084)</v>
          </cell>
          <cell r="M575" t="str">
            <v>6101.90.90.30</v>
          </cell>
          <cell r="N575">
            <v>6101309000</v>
          </cell>
          <cell r="O575">
            <v>6112399000</v>
          </cell>
          <cell r="P575" t="str">
            <v>6211 4390 00</v>
          </cell>
          <cell r="Q575">
            <v>6117109000</v>
          </cell>
          <cell r="R575" t="str">
            <v>6112.39.00</v>
          </cell>
          <cell r="S575">
            <v>6202</v>
          </cell>
        </row>
        <row r="576">
          <cell r="A576" t="str">
            <v>PONCHA-CAB-MD-LTPNK</v>
          </cell>
          <cell r="B576" t="str">
            <v>5.0607E+12</v>
          </cell>
          <cell r="C576" t="str">
            <v>PHASE OUT</v>
          </cell>
          <cell r="D576" t="str">
            <v>Core</v>
          </cell>
          <cell r="E576">
            <v>20</v>
          </cell>
          <cell r="F576" t="str">
            <v>SS23</v>
          </cell>
          <cell r="G576" t="str">
            <v>XR Textile</v>
          </cell>
          <cell r="H576" t="str">
            <v>PONCHA</v>
          </cell>
          <cell r="I576" t="str">
            <v>GRS Certified* 83% Post Consumer Recycled Polyester (RM0189) 17% Pre Consumer Recycled Polyamide (RM1084)</v>
          </cell>
          <cell r="M576" t="str">
            <v>6101.90.90.30</v>
          </cell>
          <cell r="N576">
            <v>6101309000</v>
          </cell>
          <cell r="O576">
            <v>6112399000</v>
          </cell>
          <cell r="P576" t="str">
            <v>6211 4390 00</v>
          </cell>
          <cell r="Q576">
            <v>6117109000</v>
          </cell>
          <cell r="R576" t="str">
            <v>6112.39.00</v>
          </cell>
          <cell r="S576">
            <v>6202</v>
          </cell>
        </row>
        <row r="577">
          <cell r="A577" t="str">
            <v>PONCHA-CAB-MD-NAVY</v>
          </cell>
          <cell r="B577" t="str">
            <v>5.0607E+12</v>
          </cell>
          <cell r="C577" t="str">
            <v>PHASE OUT</v>
          </cell>
          <cell r="D577" t="str">
            <v>Core</v>
          </cell>
          <cell r="E577">
            <v>20</v>
          </cell>
          <cell r="F577" t="str">
            <v>SS23</v>
          </cell>
          <cell r="G577" t="str">
            <v>XR Textile</v>
          </cell>
          <cell r="H577" t="str">
            <v>PONCHA</v>
          </cell>
          <cell r="I577" t="str">
            <v>GRS Certified* 83% Post Consumer Recycled Polyester (RM0189) 17% Pre Consumer Recycled Polyamide (RM1084)</v>
          </cell>
          <cell r="M577" t="str">
            <v>6101.90.90.30</v>
          </cell>
          <cell r="N577">
            <v>6101309000</v>
          </cell>
          <cell r="O577">
            <v>6112399000</v>
          </cell>
          <cell r="P577" t="str">
            <v>6211 4390 00</v>
          </cell>
          <cell r="Q577">
            <v>6117109000</v>
          </cell>
          <cell r="R577" t="str">
            <v>6112.39.00</v>
          </cell>
          <cell r="S577">
            <v>6202</v>
          </cell>
        </row>
        <row r="578">
          <cell r="A578" t="str">
            <v>PONCHA-CAB-SM-BLUE-R</v>
          </cell>
          <cell r="B578" t="str">
            <v>5.0607E+12</v>
          </cell>
          <cell r="C578" t="str">
            <v>PHASE OUT</v>
          </cell>
          <cell r="D578" t="str">
            <v>Core</v>
          </cell>
          <cell r="E578">
            <v>20</v>
          </cell>
          <cell r="F578" t="str">
            <v>before AW20</v>
          </cell>
          <cell r="G578" t="str">
            <v>XR Textile</v>
          </cell>
          <cell r="H578" t="str">
            <v>PONCHA</v>
          </cell>
          <cell r="I578" t="str">
            <v>GRS Certified* 83% Post Consumer Recycled Polyester (RM0189) 17% Pre Consumer Recycled Polyamide (RM1084)</v>
          </cell>
          <cell r="M578" t="str">
            <v>6101.90.90.30</v>
          </cell>
          <cell r="N578">
            <v>6101309000</v>
          </cell>
          <cell r="O578">
            <v>6112399000</v>
          </cell>
          <cell r="P578" t="str">
            <v>6211 4390 00</v>
          </cell>
          <cell r="Q578">
            <v>6117109000</v>
          </cell>
          <cell r="R578" t="str">
            <v>6112.39.00</v>
          </cell>
          <cell r="S578">
            <v>6202</v>
          </cell>
        </row>
        <row r="579">
          <cell r="A579" t="str">
            <v>PONCHA-CAB-SM-LTPNK</v>
          </cell>
          <cell r="B579" t="str">
            <v>5.0607E+12</v>
          </cell>
          <cell r="C579" t="str">
            <v>PHASE OUT</v>
          </cell>
          <cell r="D579" t="str">
            <v>Core</v>
          </cell>
          <cell r="E579">
            <v>20</v>
          </cell>
          <cell r="F579" t="str">
            <v>SS23</v>
          </cell>
          <cell r="G579" t="str">
            <v>XR Textile</v>
          </cell>
          <cell r="H579" t="str">
            <v>PONCHA</v>
          </cell>
          <cell r="I579" t="str">
            <v>GRS Certified* 83% Post Consumer Recycled Polyester (RM0189) 17% Pre Consumer Recycled Polyamide (RM1084)</v>
          </cell>
          <cell r="M579" t="str">
            <v>6101.90.90.30</v>
          </cell>
          <cell r="N579">
            <v>6101309000</v>
          </cell>
          <cell r="O579">
            <v>6112399000</v>
          </cell>
          <cell r="P579" t="str">
            <v>6211 4390 00</v>
          </cell>
          <cell r="Q579">
            <v>6117109000</v>
          </cell>
          <cell r="R579" t="str">
            <v>6112.39.00</v>
          </cell>
          <cell r="S579">
            <v>6202</v>
          </cell>
        </row>
        <row r="580">
          <cell r="A580" t="str">
            <v>PONCHA-CAB-SM-NAVY</v>
          </cell>
          <cell r="B580" t="str">
            <v>5.0607E+12</v>
          </cell>
          <cell r="C580" t="str">
            <v>PHASE OUT</v>
          </cell>
          <cell r="D580" t="str">
            <v>Core</v>
          </cell>
          <cell r="E580">
            <v>20</v>
          </cell>
          <cell r="F580" t="str">
            <v>SS23</v>
          </cell>
          <cell r="G580" t="str">
            <v>XR Textile</v>
          </cell>
          <cell r="H580" t="str">
            <v>PONCHA</v>
          </cell>
          <cell r="I580" t="str">
            <v>GRS Certified* 83% Post Consumer Recycled Polyester (RM0189) 17% Pre Consumer Recycled Polyamide (RM1084)</v>
          </cell>
          <cell r="M580" t="str">
            <v>6101.90.90.30</v>
          </cell>
          <cell r="N580">
            <v>6101309000</v>
          </cell>
          <cell r="O580">
            <v>6112399000</v>
          </cell>
          <cell r="P580" t="str">
            <v>6211 4390 00</v>
          </cell>
          <cell r="Q580">
            <v>6117109000</v>
          </cell>
          <cell r="R580" t="str">
            <v>6112.39.00</v>
          </cell>
          <cell r="S580">
            <v>6202</v>
          </cell>
        </row>
        <row r="581">
          <cell r="A581" t="str">
            <v>PONCHA-CLA-LG-NAVY</v>
          </cell>
          <cell r="B581" t="str">
            <v>5.0607E+12</v>
          </cell>
          <cell r="C581" t="str">
            <v>PHASE OUT</v>
          </cell>
          <cell r="D581" t="str">
            <v>Core</v>
          </cell>
          <cell r="E581">
            <v>20</v>
          </cell>
          <cell r="F581" t="str">
            <v>SS22</v>
          </cell>
          <cell r="G581" t="str">
            <v>XR Textile</v>
          </cell>
          <cell r="H581" t="str">
            <v>PONCHA</v>
          </cell>
          <cell r="I581" t="str">
            <v>GRS Certified* 83% Post Consumer Recycled Polyester (RM0189) 17% Pre Consumer Recycled Polyamide (RM1084)</v>
          </cell>
          <cell r="M581" t="str">
            <v>6101.90.90.30</v>
          </cell>
          <cell r="N581">
            <v>6101309000</v>
          </cell>
          <cell r="O581">
            <v>6112399000</v>
          </cell>
          <cell r="P581" t="str">
            <v>6211 4390 00</v>
          </cell>
          <cell r="Q581">
            <v>6117109000</v>
          </cell>
          <cell r="R581" t="str">
            <v>6112.39.00</v>
          </cell>
          <cell r="S581">
            <v>6202</v>
          </cell>
        </row>
        <row r="582">
          <cell r="A582" t="str">
            <v>PONCHA-CLA-MD-NAVY</v>
          </cell>
          <cell r="B582" t="str">
            <v>5.0607E+12</v>
          </cell>
          <cell r="C582" t="str">
            <v>PHASE OUT</v>
          </cell>
          <cell r="D582" t="str">
            <v>Core</v>
          </cell>
          <cell r="E582">
            <v>20</v>
          </cell>
          <cell r="F582" t="str">
            <v>SS22</v>
          </cell>
          <cell r="G582" t="str">
            <v>XR Textile</v>
          </cell>
          <cell r="H582" t="str">
            <v>PONCHA</v>
          </cell>
          <cell r="I582" t="str">
            <v>GRS Certified* 83% Post Consumer Recycled Polyester (RM0189) 17% Pre Consumer Recycled Polyamide (RM1084)</v>
          </cell>
          <cell r="M582" t="str">
            <v>6101.90.90.30</v>
          </cell>
          <cell r="N582">
            <v>6101309000</v>
          </cell>
          <cell r="O582">
            <v>6112399000</v>
          </cell>
          <cell r="P582" t="str">
            <v>6211 4390 00</v>
          </cell>
          <cell r="Q582">
            <v>6117109000</v>
          </cell>
          <cell r="R582" t="str">
            <v>6112.39.00</v>
          </cell>
          <cell r="S582">
            <v>6202</v>
          </cell>
        </row>
        <row r="583">
          <cell r="A583" t="str">
            <v>PONCHA-SUM-LG-UNICN</v>
          </cell>
          <cell r="B583" t="str">
            <v>5.0607E+12</v>
          </cell>
          <cell r="C583" t="str">
            <v>PHASE OUT</v>
          </cell>
          <cell r="D583" t="str">
            <v>Core</v>
          </cell>
          <cell r="E583">
            <v>20</v>
          </cell>
          <cell r="F583" t="str">
            <v>SS23</v>
          </cell>
          <cell r="G583" t="str">
            <v>XR Textile</v>
          </cell>
          <cell r="H583" t="str">
            <v>PONCHA</v>
          </cell>
          <cell r="I583" t="str">
            <v>GRS Certified* 83% Post Consumer Recycled Polyester (RM0189) 17% Pre Consumer Recycled Polyamide (RM1084)</v>
          </cell>
          <cell r="M583" t="str">
            <v>6101.90.90.30</v>
          </cell>
          <cell r="N583">
            <v>6101309000</v>
          </cell>
          <cell r="O583">
            <v>6112399000</v>
          </cell>
          <cell r="P583" t="str">
            <v>6211 4390 00</v>
          </cell>
          <cell r="Q583">
            <v>6117109000</v>
          </cell>
          <cell r="R583" t="str">
            <v>6112.39.00</v>
          </cell>
          <cell r="S583">
            <v>6202</v>
          </cell>
        </row>
        <row r="584">
          <cell r="A584" t="str">
            <v>PONCHA-SUM-MD-UNICN</v>
          </cell>
          <cell r="B584" t="str">
            <v>5.0607E+12</v>
          </cell>
          <cell r="C584" t="str">
            <v>PHASE OUT</v>
          </cell>
          <cell r="D584" t="str">
            <v>Core</v>
          </cell>
          <cell r="E584">
            <v>20</v>
          </cell>
          <cell r="F584" t="str">
            <v>SS23</v>
          </cell>
          <cell r="G584" t="str">
            <v>XR Textile</v>
          </cell>
          <cell r="H584" t="str">
            <v>PONCHA</v>
          </cell>
          <cell r="I584" t="str">
            <v>GRS Certified* 83% Post Consumer Recycled Polyester (RM0189) 17% Pre Consumer Recycled Polyamide (RM1084)</v>
          </cell>
          <cell r="M584" t="str">
            <v>6101.90.90.30</v>
          </cell>
          <cell r="N584">
            <v>6101309000</v>
          </cell>
          <cell r="O584">
            <v>6112399000</v>
          </cell>
          <cell r="P584" t="str">
            <v>6211 4390 00</v>
          </cell>
          <cell r="Q584">
            <v>6117109000</v>
          </cell>
          <cell r="R584" t="str">
            <v>6112.39.00</v>
          </cell>
          <cell r="S584">
            <v>6202</v>
          </cell>
        </row>
        <row r="585">
          <cell r="A585" t="str">
            <v>PONCHA-SUM-SM-UNICN</v>
          </cell>
          <cell r="B585" t="str">
            <v>5.0607E+12</v>
          </cell>
          <cell r="C585" t="str">
            <v>PHASE OUT</v>
          </cell>
          <cell r="D585" t="str">
            <v>Core</v>
          </cell>
          <cell r="E585">
            <v>20</v>
          </cell>
          <cell r="F585" t="str">
            <v>SS23</v>
          </cell>
          <cell r="G585" t="str">
            <v>XR Textile</v>
          </cell>
          <cell r="H585" t="str">
            <v>PONCHA</v>
          </cell>
          <cell r="I585" t="str">
            <v>GRS Certified* 83% Post Consumer Recycled Polyester (RM0189) 17% Pre Consumer Recycled Polyamide (RM1084)</v>
          </cell>
          <cell r="M585" t="str">
            <v>6101.90.90.30</v>
          </cell>
          <cell r="N585">
            <v>6101309000</v>
          </cell>
          <cell r="O585">
            <v>6112399000</v>
          </cell>
          <cell r="P585" t="str">
            <v>6211 4390 00</v>
          </cell>
          <cell r="Q585">
            <v>6117109000</v>
          </cell>
          <cell r="R585" t="str">
            <v>6112.39.00</v>
          </cell>
          <cell r="S585">
            <v>6202</v>
          </cell>
        </row>
        <row r="586">
          <cell r="A586" t="str">
            <v>PONCHK-SUM-XS-UNICN</v>
          </cell>
          <cell r="B586" t="str">
            <v>5.0607E+12</v>
          </cell>
          <cell r="C586" t="str">
            <v>PHASE OUT</v>
          </cell>
          <cell r="D586" t="str">
            <v>Core</v>
          </cell>
          <cell r="E586">
            <v>30</v>
          </cell>
          <cell r="F586" t="str">
            <v>SS23</v>
          </cell>
          <cell r="G586" t="str">
            <v>XR Textile</v>
          </cell>
          <cell r="H586" t="str">
            <v>PONCHK</v>
          </cell>
          <cell r="I586" t="str">
            <v>GRS Certified* 83% Post Consumer Recycled Polyester (RM0189) 17% Pre Consumer Recycled Polyamide (RM1084)</v>
          </cell>
          <cell r="M586" t="str">
            <v>6101.90.90.30</v>
          </cell>
          <cell r="N586">
            <v>6101309000</v>
          </cell>
          <cell r="O586">
            <v>6112399000</v>
          </cell>
          <cell r="P586" t="str">
            <v>6211 4390 00</v>
          </cell>
          <cell r="Q586">
            <v>6117109000</v>
          </cell>
          <cell r="R586" t="str">
            <v>6112.39.00</v>
          </cell>
          <cell r="S586">
            <v>6202</v>
          </cell>
        </row>
        <row r="587">
          <cell r="A587" t="str">
            <v>TEATWL-MD-BERRYGD</v>
          </cell>
          <cell r="B587" t="str">
            <v>5.061E+12</v>
          </cell>
          <cell r="C587" t="str">
            <v>PHASE OUT</v>
          </cell>
          <cell r="D587" t="str">
            <v>Seasonal</v>
          </cell>
          <cell r="E587">
            <v>50</v>
          </cell>
          <cell r="F587" t="str">
            <v>AW24</v>
          </cell>
          <cell r="G587" t="str">
            <v>XR Textile</v>
          </cell>
          <cell r="H587" t="str">
            <v>TEATWL</v>
          </cell>
          <cell r="I587" t="str">
            <v>GRS Certified* 83% Post Consumer Recycled Polyester (RM0189) 17% Pre Consumer Recycled Polyamide (RM1084)</v>
          </cell>
          <cell r="M587" t="str">
            <v>6302.53.00.20</v>
          </cell>
          <cell r="N587">
            <v>6302531000</v>
          </cell>
          <cell r="O587">
            <v>6302531000</v>
          </cell>
          <cell r="P587">
            <v>63029310</v>
          </cell>
          <cell r="Q587">
            <v>0</v>
          </cell>
          <cell r="R587" t="str">
            <v>6302.53.00</v>
          </cell>
          <cell r="S587">
            <v>0</v>
          </cell>
        </row>
        <row r="588">
          <cell r="A588" t="str">
            <v>TEATWL-MD-HOTSTF</v>
          </cell>
          <cell r="B588" t="str">
            <v>5.061E+12</v>
          </cell>
          <cell r="C588" t="str">
            <v>PHASE OUT</v>
          </cell>
          <cell r="D588" t="str">
            <v>Seasonal</v>
          </cell>
          <cell r="E588">
            <v>50</v>
          </cell>
          <cell r="F588" t="str">
            <v>AW24</v>
          </cell>
          <cell r="G588" t="str">
            <v>XR Textile</v>
          </cell>
          <cell r="H588" t="str">
            <v>TEATWL</v>
          </cell>
          <cell r="I588" t="str">
            <v>GRS Certified* 83% Post Consumer Recycled Polyester (RM0189) 17% Pre Consumer Recycled Polyamide (RM1084)</v>
          </cell>
          <cell r="M588" t="str">
            <v>6302.53.00.20</v>
          </cell>
          <cell r="N588">
            <v>6302531000</v>
          </cell>
          <cell r="O588">
            <v>6302531000</v>
          </cell>
          <cell r="P588">
            <v>63029310</v>
          </cell>
          <cell r="Q588">
            <v>0</v>
          </cell>
          <cell r="R588" t="str">
            <v>6302.53.00</v>
          </cell>
          <cell r="S588">
            <v>0</v>
          </cell>
        </row>
        <row r="589">
          <cell r="A589" t="str">
            <v>TEATWL-MD-MOJMNT</v>
          </cell>
          <cell r="B589" t="str">
            <v>5.061E+12</v>
          </cell>
          <cell r="C589" t="str">
            <v>PHASE OUT</v>
          </cell>
          <cell r="D589" t="str">
            <v>Seasonal</v>
          </cell>
          <cell r="E589">
            <v>50</v>
          </cell>
          <cell r="F589" t="str">
            <v>AW24</v>
          </cell>
          <cell r="G589" t="str">
            <v>XR Textile</v>
          </cell>
          <cell r="H589" t="str">
            <v>TEATWL</v>
          </cell>
          <cell r="I589" t="str">
            <v>GRS Certified* 83% Post Consumer Recycled Polyester (RM0189) 17% Pre Consumer Recycled Polyamide (RM1084)</v>
          </cell>
          <cell r="M589" t="str">
            <v>6302.53.00.20</v>
          </cell>
          <cell r="N589">
            <v>6302531000</v>
          </cell>
          <cell r="O589">
            <v>6302531000</v>
          </cell>
          <cell r="P589">
            <v>63029310</v>
          </cell>
          <cell r="Q589">
            <v>0</v>
          </cell>
          <cell r="R589" t="str">
            <v>6302.53.00</v>
          </cell>
          <cell r="S589">
            <v>0</v>
          </cell>
        </row>
        <row r="590">
          <cell r="A590" t="str">
            <v>TEATWL-MD-PNKLEM</v>
          </cell>
          <cell r="B590" t="str">
            <v>5.061E+12</v>
          </cell>
          <cell r="C590" t="str">
            <v>PHASE OUT</v>
          </cell>
          <cell r="D590" t="str">
            <v>Seasonal</v>
          </cell>
          <cell r="E590">
            <v>50</v>
          </cell>
          <cell r="F590" t="str">
            <v>AW24</v>
          </cell>
          <cell r="G590" t="str">
            <v>XR Textile</v>
          </cell>
          <cell r="H590" t="str">
            <v>TEATWL</v>
          </cell>
          <cell r="I590" t="str">
            <v>GRS Certified* 83% Post Consumer Recycled Polyester (RM0189) 17% Pre Consumer Recycled Polyamide (RM1084)</v>
          </cell>
          <cell r="M590" t="str">
            <v>6302.53.00.20</v>
          </cell>
          <cell r="N590">
            <v>6302531000</v>
          </cell>
          <cell r="O590">
            <v>6302531000</v>
          </cell>
          <cell r="P590">
            <v>63029310</v>
          </cell>
          <cell r="Q590">
            <v>0</v>
          </cell>
          <cell r="R590" t="str">
            <v>6302.53.00</v>
          </cell>
          <cell r="S590">
            <v>0</v>
          </cell>
        </row>
        <row r="591">
          <cell r="A591" t="str">
            <v>TEATWL-MD-SPILTEA</v>
          </cell>
          <cell r="B591" t="str">
            <v>5.061E+12</v>
          </cell>
          <cell r="C591" t="str">
            <v>PHASE OUT</v>
          </cell>
          <cell r="D591" t="str">
            <v>Seasonal</v>
          </cell>
          <cell r="E591">
            <v>50</v>
          </cell>
          <cell r="F591" t="str">
            <v>AW24</v>
          </cell>
          <cell r="G591" t="str">
            <v>XR Textile</v>
          </cell>
          <cell r="H591" t="str">
            <v>TEATWL</v>
          </cell>
          <cell r="I591" t="str">
            <v>GRS Certified* 83% Post Consumer Recycled Polyester (RM0189) 17% Pre Consumer Recycled Polyamide (RM1084)</v>
          </cell>
          <cell r="M591" t="str">
            <v>6302.53.00.20</v>
          </cell>
          <cell r="N591">
            <v>6302531000</v>
          </cell>
          <cell r="O591">
            <v>6302531000</v>
          </cell>
          <cell r="P591">
            <v>63029310</v>
          </cell>
          <cell r="Q591">
            <v>0</v>
          </cell>
          <cell r="R591" t="str">
            <v>6302.53.00</v>
          </cell>
          <cell r="S591">
            <v>0</v>
          </cell>
        </row>
        <row r="592">
          <cell r="A592" t="str">
            <v>TEATWL-MD-WASHDRY</v>
          </cell>
          <cell r="B592" t="str">
            <v>5.061E+12</v>
          </cell>
          <cell r="C592" t="str">
            <v>PHASE OUT</v>
          </cell>
          <cell r="D592" t="str">
            <v>Seasonal</v>
          </cell>
          <cell r="E592">
            <v>50</v>
          </cell>
          <cell r="F592" t="str">
            <v>AW24</v>
          </cell>
          <cell r="G592" t="str">
            <v>XR Textile</v>
          </cell>
          <cell r="H592" t="str">
            <v>TEATWL</v>
          </cell>
          <cell r="I592" t="str">
            <v>GRS Certified* 83% Post Consumer Recycled Polyester (RM0189) 17% Pre Consumer Recycled Polyamide (RM1084)</v>
          </cell>
          <cell r="M592" t="str">
            <v>6302.53.00.20</v>
          </cell>
          <cell r="N592">
            <v>6302531000</v>
          </cell>
          <cell r="O592">
            <v>6302531000</v>
          </cell>
          <cell r="P592">
            <v>63029310</v>
          </cell>
          <cell r="Q592">
            <v>0</v>
          </cell>
          <cell r="R592" t="str">
            <v>6302.53.00</v>
          </cell>
          <cell r="S592">
            <v>0</v>
          </cell>
        </row>
        <row r="593">
          <cell r="A593" t="str">
            <v>TOWLB-CAB-X2-LTPNK</v>
          </cell>
          <cell r="B593" t="str">
            <v>5.0607E+12</v>
          </cell>
          <cell r="C593" t="str">
            <v>PHASE OUT</v>
          </cell>
          <cell r="D593" t="str">
            <v>Core</v>
          </cell>
          <cell r="E593">
            <v>14</v>
          </cell>
          <cell r="F593" t="str">
            <v>SS24</v>
          </cell>
          <cell r="G593" t="str">
            <v>XR Textile</v>
          </cell>
          <cell r="H593" t="str">
            <v>TOWLB</v>
          </cell>
          <cell r="I593" t="str">
            <v>GRS Certified* 83% Post Consumer Recycled Polyester (RM0189) 17% Pre Consumer Recycled Polyamide (RM1084)</v>
          </cell>
          <cell r="M593" t="str">
            <v>6302.93.2000</v>
          </cell>
          <cell r="N593">
            <v>6302600090</v>
          </cell>
          <cell r="O593" t="str">
            <v>6302.93.00.00</v>
          </cell>
          <cell r="P593">
            <v>63029390</v>
          </cell>
          <cell r="Q593">
            <v>0</v>
          </cell>
          <cell r="R593" t="str">
            <v>6302.39.00</v>
          </cell>
          <cell r="S593">
            <v>63029120</v>
          </cell>
        </row>
        <row r="594">
          <cell r="A594" t="str">
            <v>TOWLB-CAB-X2-NAVY</v>
          </cell>
          <cell r="B594" t="str">
            <v>5.0607E+12</v>
          </cell>
          <cell r="C594" t="str">
            <v>PHASE OUT</v>
          </cell>
          <cell r="D594" t="str">
            <v>Core</v>
          </cell>
          <cell r="E594">
            <v>14</v>
          </cell>
          <cell r="F594" t="str">
            <v>SS24</v>
          </cell>
          <cell r="G594" t="str">
            <v>XR Textile</v>
          </cell>
          <cell r="H594" t="str">
            <v>TOWLB</v>
          </cell>
          <cell r="I594" t="str">
            <v>GRS Certified* 83% Post Consumer Recycled Polyester (RM0189) 17% Pre Consumer Recycled Polyamide (RM1084)</v>
          </cell>
          <cell r="M594" t="str">
            <v>6302.93.2000</v>
          </cell>
          <cell r="N594">
            <v>6302600090</v>
          </cell>
          <cell r="O594" t="str">
            <v>6302.93.00.00</v>
          </cell>
          <cell r="P594">
            <v>63029390</v>
          </cell>
          <cell r="Q594">
            <v>0</v>
          </cell>
          <cell r="R594" t="str">
            <v>6302.39.00</v>
          </cell>
          <cell r="S594">
            <v>63029120</v>
          </cell>
        </row>
        <row r="595">
          <cell r="A595" t="str">
            <v>TOWLH-CBH-LG-CREAM</v>
          </cell>
          <cell r="B595" t="str">
            <v>5.0607E+12</v>
          </cell>
          <cell r="C595" t="str">
            <v>PHASE OUT</v>
          </cell>
          <cell r="D595" t="str">
            <v>Core</v>
          </cell>
          <cell r="E595">
            <v>20</v>
          </cell>
          <cell r="F595" t="str">
            <v>AW23</v>
          </cell>
          <cell r="G595" t="str">
            <v>XR Textile</v>
          </cell>
          <cell r="H595" t="str">
            <v>TOWLH</v>
          </cell>
          <cell r="I595" t="str">
            <v>GRS Certified* 83% Post Consumer Recycled Polyester (RM0189) 17% Pre Consumer Recycled Polyamide (RM1084)</v>
          </cell>
          <cell r="M595" t="str">
            <v>6302.93.2000</v>
          </cell>
          <cell r="N595">
            <v>6302600090</v>
          </cell>
          <cell r="O595" t="str">
            <v>6302.93.00.00</v>
          </cell>
          <cell r="P595">
            <v>6302939000</v>
          </cell>
          <cell r="Q595">
            <v>0</v>
          </cell>
          <cell r="R595" t="str">
            <v>6302.39.00</v>
          </cell>
          <cell r="S595">
            <v>63029120</v>
          </cell>
        </row>
        <row r="596">
          <cell r="A596" t="str">
            <v>TOWLH-CBH-LG-FOAM</v>
          </cell>
          <cell r="B596" t="str">
            <v>5.0607E+12</v>
          </cell>
          <cell r="C596" t="str">
            <v>PHASE OUT</v>
          </cell>
          <cell r="D596" t="str">
            <v>Core</v>
          </cell>
          <cell r="E596">
            <v>20</v>
          </cell>
          <cell r="F596" t="str">
            <v>AW23</v>
          </cell>
          <cell r="G596" t="str">
            <v>XR Textile</v>
          </cell>
          <cell r="H596" t="str">
            <v>TOWLH</v>
          </cell>
          <cell r="I596" t="str">
            <v>GRS Certified* 83% Post Consumer Recycled Polyester (RM0189) 17% Pre Consumer Recycled Polyamide (RM1084)</v>
          </cell>
          <cell r="M596" t="str">
            <v>6302.93.2000</v>
          </cell>
          <cell r="N596">
            <v>6302600090</v>
          </cell>
          <cell r="O596" t="str">
            <v>6302.93.00.00</v>
          </cell>
          <cell r="P596">
            <v>6302939000</v>
          </cell>
          <cell r="Q596">
            <v>0</v>
          </cell>
          <cell r="R596" t="str">
            <v>6302.39.00</v>
          </cell>
          <cell r="S596">
            <v>63029120</v>
          </cell>
        </row>
        <row r="597">
          <cell r="A597" t="str">
            <v>TOWLH-CBH-LG-NAVY</v>
          </cell>
          <cell r="B597" t="str">
            <v>5.0607E+12</v>
          </cell>
          <cell r="C597" t="str">
            <v>PHASE OUT</v>
          </cell>
          <cell r="D597" t="str">
            <v>Core</v>
          </cell>
          <cell r="E597">
            <v>20</v>
          </cell>
          <cell r="F597" t="str">
            <v>AW23</v>
          </cell>
          <cell r="G597" t="str">
            <v>XR Textile</v>
          </cell>
          <cell r="H597" t="str">
            <v>TOWLH</v>
          </cell>
          <cell r="I597" t="str">
            <v>GRS Certified* 83% Post Consumer Recycled Polyester (RM0189) 17% Pre Consumer Recycled Polyamide (RM1084)</v>
          </cell>
          <cell r="M597" t="str">
            <v>6302.93.2000</v>
          </cell>
          <cell r="N597">
            <v>6302600090</v>
          </cell>
          <cell r="O597" t="str">
            <v>6302.93.00.00</v>
          </cell>
          <cell r="P597">
            <v>6302939000</v>
          </cell>
          <cell r="Q597">
            <v>0</v>
          </cell>
          <cell r="R597" t="str">
            <v>6302.39.00</v>
          </cell>
          <cell r="S597">
            <v>63029120</v>
          </cell>
        </row>
        <row r="598">
          <cell r="A598" t="str">
            <v>TOWLH-CBH-LG-PINK</v>
          </cell>
          <cell r="B598" t="str">
            <v>5.0607E+12</v>
          </cell>
          <cell r="C598" t="str">
            <v>PHASE OUT</v>
          </cell>
          <cell r="D598" t="str">
            <v>Core</v>
          </cell>
          <cell r="E598">
            <v>20</v>
          </cell>
          <cell r="F598" t="str">
            <v>AW23</v>
          </cell>
          <cell r="G598" t="str">
            <v>XR Textile</v>
          </cell>
          <cell r="H598" t="str">
            <v>TOWLH</v>
          </cell>
          <cell r="I598" t="str">
            <v>GRS Certified* 83% Post Consumer Recycled Polyester (RM0189) 17% Pre Consumer Recycled Polyamide (RM1084)</v>
          </cell>
          <cell r="M598" t="str">
            <v>6302.93.2000</v>
          </cell>
          <cell r="N598">
            <v>6302600090</v>
          </cell>
          <cell r="O598" t="str">
            <v>6302.93.00.00</v>
          </cell>
          <cell r="P598">
            <v>6302939000</v>
          </cell>
          <cell r="Q598">
            <v>0</v>
          </cell>
          <cell r="R598" t="str">
            <v>6302.39.00</v>
          </cell>
          <cell r="S598">
            <v>63029120</v>
          </cell>
        </row>
        <row r="599">
          <cell r="A599" t="str">
            <v>TOWLH-CBH-SM-CREAM</v>
          </cell>
          <cell r="B599" t="str">
            <v>5.0607E+12</v>
          </cell>
          <cell r="C599" t="str">
            <v>PHASE OUT</v>
          </cell>
          <cell r="D599" t="str">
            <v>Core</v>
          </cell>
          <cell r="E599">
            <v>50</v>
          </cell>
          <cell r="F599" t="str">
            <v>AW23</v>
          </cell>
          <cell r="G599" t="str">
            <v>XR Textile</v>
          </cell>
          <cell r="H599" t="str">
            <v>TOWLH</v>
          </cell>
          <cell r="I599" t="str">
            <v>GRS Certified* 83% Post Consumer Recycled Polyester (RM0189) 17% Pre Consumer Recycled Polyamide (RM1084)</v>
          </cell>
          <cell r="M599" t="str">
            <v>6302.93.2000</v>
          </cell>
          <cell r="N599">
            <v>6302600090</v>
          </cell>
          <cell r="O599" t="str">
            <v>6302.93.00.00</v>
          </cell>
          <cell r="P599">
            <v>6302939000</v>
          </cell>
          <cell r="Q599">
            <v>0</v>
          </cell>
          <cell r="R599" t="str">
            <v>6302.39.00</v>
          </cell>
          <cell r="S599">
            <v>63029120</v>
          </cell>
        </row>
        <row r="600">
          <cell r="A600" t="str">
            <v>TOWLH-CBH-SM-FOAM</v>
          </cell>
          <cell r="B600" t="str">
            <v>5.0607E+12</v>
          </cell>
          <cell r="C600" t="str">
            <v>PHASE OUT</v>
          </cell>
          <cell r="D600" t="str">
            <v>Core</v>
          </cell>
          <cell r="E600">
            <v>50</v>
          </cell>
          <cell r="F600" t="str">
            <v>AW23</v>
          </cell>
          <cell r="G600" t="str">
            <v>XR Textile</v>
          </cell>
          <cell r="H600" t="str">
            <v>TOWLH</v>
          </cell>
          <cell r="I600" t="str">
            <v>GRS Certified* 83% Post Consumer Recycled Polyester (RM0189) 17% Pre Consumer Recycled Polyamide (RM1084)</v>
          </cell>
          <cell r="M600" t="str">
            <v>6302.93.2000</v>
          </cell>
          <cell r="N600">
            <v>6302600090</v>
          </cell>
          <cell r="O600" t="str">
            <v>6302.93.00.00</v>
          </cell>
          <cell r="P600">
            <v>6302939000</v>
          </cell>
          <cell r="Q600">
            <v>0</v>
          </cell>
          <cell r="R600" t="str">
            <v>6302.39.00</v>
          </cell>
          <cell r="S600">
            <v>63029120</v>
          </cell>
        </row>
        <row r="601">
          <cell r="A601" t="str">
            <v>TOWLH-CBH-SM-NAVY</v>
          </cell>
          <cell r="B601" t="str">
            <v>5.0607E+12</v>
          </cell>
          <cell r="C601" t="str">
            <v>PHASE OUT</v>
          </cell>
          <cell r="D601" t="str">
            <v>Core</v>
          </cell>
          <cell r="E601">
            <v>50</v>
          </cell>
          <cell r="F601" t="str">
            <v>AW23</v>
          </cell>
          <cell r="G601" t="str">
            <v>XR Textile</v>
          </cell>
          <cell r="H601" t="str">
            <v>TOWLH</v>
          </cell>
          <cell r="I601" t="str">
            <v>GRS Certified* 83% Post Consumer Recycled Polyester (RM0189) 17% Pre Consumer Recycled Polyamide (RM1084)</v>
          </cell>
          <cell r="M601" t="str">
            <v>6302.93.2000</v>
          </cell>
          <cell r="N601">
            <v>6302600090</v>
          </cell>
          <cell r="O601" t="str">
            <v>6302.93.00.00</v>
          </cell>
          <cell r="P601">
            <v>6302939000</v>
          </cell>
          <cell r="Q601">
            <v>0</v>
          </cell>
          <cell r="R601" t="str">
            <v>6302.39.00</v>
          </cell>
          <cell r="S601">
            <v>63029120</v>
          </cell>
        </row>
        <row r="602">
          <cell r="A602" t="str">
            <v>TOWLH-CBH-SM-PINK</v>
          </cell>
          <cell r="B602" t="str">
            <v>5.0607E+12</v>
          </cell>
          <cell r="C602" t="str">
            <v>PHASE OUT</v>
          </cell>
          <cell r="D602" t="str">
            <v>Core</v>
          </cell>
          <cell r="E602">
            <v>50</v>
          </cell>
          <cell r="F602" t="str">
            <v>AW23</v>
          </cell>
          <cell r="G602" t="str">
            <v>XR Textile</v>
          </cell>
          <cell r="H602" t="str">
            <v>TOWLH</v>
          </cell>
          <cell r="I602" t="str">
            <v>GRS Certified* 83% Post Consumer Recycled Polyester (RM0189) 17% Pre Consumer Recycled Polyamide (RM1084)</v>
          </cell>
          <cell r="M602" t="str">
            <v>6302.93.2000</v>
          </cell>
          <cell r="N602">
            <v>6302600090</v>
          </cell>
          <cell r="O602" t="str">
            <v>6302.93.00.00</v>
          </cell>
          <cell r="P602">
            <v>6302939000</v>
          </cell>
          <cell r="Q602">
            <v>0</v>
          </cell>
          <cell r="R602" t="str">
            <v>6302.39.00</v>
          </cell>
          <cell r="S602">
            <v>63029120</v>
          </cell>
        </row>
        <row r="603">
          <cell r="A603" t="str">
            <v>TOWLH-CBH-XL-CREAM</v>
          </cell>
          <cell r="B603" t="str">
            <v>5.0607E+12</v>
          </cell>
          <cell r="C603" t="str">
            <v>PHASE OUT</v>
          </cell>
          <cell r="D603" t="str">
            <v>Core</v>
          </cell>
          <cell r="E603">
            <v>20</v>
          </cell>
          <cell r="F603" t="str">
            <v>AW23</v>
          </cell>
          <cell r="G603" t="str">
            <v>XR Textile</v>
          </cell>
          <cell r="H603" t="str">
            <v>TOWLH</v>
          </cell>
          <cell r="I603" t="str">
            <v>GRS Certified* 83% Post Consumer Recycled Polyester (RM0189) 17% Pre Consumer Recycled Polyamide (RM1084)</v>
          </cell>
          <cell r="M603" t="str">
            <v>6302.93.2000</v>
          </cell>
          <cell r="N603">
            <v>6302600090</v>
          </cell>
          <cell r="O603" t="str">
            <v>6302.93.00.00</v>
          </cell>
          <cell r="P603">
            <v>6302939000</v>
          </cell>
          <cell r="Q603">
            <v>0</v>
          </cell>
          <cell r="R603" t="str">
            <v>6302.39.00</v>
          </cell>
          <cell r="S603">
            <v>63029120</v>
          </cell>
        </row>
        <row r="604">
          <cell r="A604" t="str">
            <v>TOWLH-CBH-XL-FOAM</v>
          </cell>
          <cell r="B604" t="str">
            <v>5.0607E+12</v>
          </cell>
          <cell r="C604" t="str">
            <v>PHASE OUT</v>
          </cell>
          <cell r="D604" t="str">
            <v>Core</v>
          </cell>
          <cell r="E604">
            <v>20</v>
          </cell>
          <cell r="F604" t="str">
            <v>AW23</v>
          </cell>
          <cell r="G604" t="str">
            <v>XR Textile</v>
          </cell>
          <cell r="H604" t="str">
            <v>TOWLH</v>
          </cell>
          <cell r="I604" t="str">
            <v>GRS Certified* 83% Post Consumer Recycled Polyester (RM0189) 17% Pre Consumer Recycled Polyamide (RM1084)</v>
          </cell>
          <cell r="M604" t="str">
            <v>6302.93.2000</v>
          </cell>
          <cell r="N604">
            <v>6302600090</v>
          </cell>
          <cell r="O604" t="str">
            <v>6302.93.00.00</v>
          </cell>
          <cell r="P604">
            <v>6302939000</v>
          </cell>
          <cell r="Q604">
            <v>0</v>
          </cell>
          <cell r="R604" t="str">
            <v>6302.39.00</v>
          </cell>
          <cell r="S604">
            <v>63029120</v>
          </cell>
        </row>
        <row r="605">
          <cell r="A605" t="str">
            <v>TOWLH-CBH-XL-NAVY</v>
          </cell>
          <cell r="B605" t="str">
            <v>5.0607E+12</v>
          </cell>
          <cell r="C605" t="str">
            <v>PHASE OUT</v>
          </cell>
          <cell r="D605" t="str">
            <v>Core</v>
          </cell>
          <cell r="E605">
            <v>20</v>
          </cell>
          <cell r="F605" t="str">
            <v>AW23</v>
          </cell>
          <cell r="G605" t="str">
            <v>XR Textile</v>
          </cell>
          <cell r="H605" t="str">
            <v>TOWLH</v>
          </cell>
          <cell r="I605" t="str">
            <v>GRS Certified* 83% Post Consumer Recycled Polyester (RM0189) 17% Pre Consumer Recycled Polyamide (RM1084)</v>
          </cell>
          <cell r="M605" t="str">
            <v>6302.93.2000</v>
          </cell>
          <cell r="N605">
            <v>6302600090</v>
          </cell>
          <cell r="O605" t="str">
            <v>6302.93.00.00</v>
          </cell>
          <cell r="P605">
            <v>6302939000</v>
          </cell>
          <cell r="Q605">
            <v>0</v>
          </cell>
          <cell r="R605" t="str">
            <v>6302.39.00</v>
          </cell>
          <cell r="S605">
            <v>63029120</v>
          </cell>
        </row>
        <row r="606">
          <cell r="A606" t="str">
            <v>TOWLH-CBH-XL-PINK</v>
          </cell>
          <cell r="B606" t="str">
            <v>5.0607E+12</v>
          </cell>
          <cell r="C606" t="str">
            <v>PHASE OUT</v>
          </cell>
          <cell r="D606" t="str">
            <v>Core</v>
          </cell>
          <cell r="E606">
            <v>20</v>
          </cell>
          <cell r="F606" t="str">
            <v>AW23</v>
          </cell>
          <cell r="G606" t="str">
            <v>XR Textile</v>
          </cell>
          <cell r="H606" t="str">
            <v>TOWLH</v>
          </cell>
          <cell r="I606" t="str">
            <v>GRS Certified* 83% Post Consumer Recycled Polyester (RM0189) 17% Pre Consumer Recycled Polyamide (RM1084)</v>
          </cell>
          <cell r="M606" t="str">
            <v>6302.93.2000</v>
          </cell>
          <cell r="N606">
            <v>6302600090</v>
          </cell>
          <cell r="O606" t="str">
            <v>6302.93.00.00</v>
          </cell>
          <cell r="P606">
            <v>6302939000</v>
          </cell>
          <cell r="Q606">
            <v>0</v>
          </cell>
          <cell r="R606" t="str">
            <v>6302.39.00</v>
          </cell>
          <cell r="S606">
            <v>63029120</v>
          </cell>
        </row>
        <row r="607">
          <cell r="A607" t="str">
            <v>TOWLH-CLA-LG-NAVY</v>
          </cell>
          <cell r="B607" t="str">
            <v>5.0607E+12</v>
          </cell>
          <cell r="C607" t="str">
            <v>PHASE OUT</v>
          </cell>
          <cell r="D607" t="str">
            <v>Core</v>
          </cell>
          <cell r="E607">
            <v>20</v>
          </cell>
          <cell r="F607" t="str">
            <v>AW22</v>
          </cell>
          <cell r="G607" t="str">
            <v>XR Textile</v>
          </cell>
          <cell r="H607" t="str">
            <v>TOWLH</v>
          </cell>
          <cell r="I607" t="str">
            <v>GRS Certified* 83% Post Consumer Recycled Polyester (RM0189) 17% Pre Consumer Recycled Polyamide (RM1084)</v>
          </cell>
          <cell r="M607" t="str">
            <v>6302.93.2000</v>
          </cell>
          <cell r="N607">
            <v>6302600090</v>
          </cell>
          <cell r="O607" t="str">
            <v>6302.93.00.00</v>
          </cell>
          <cell r="P607">
            <v>6302939000</v>
          </cell>
          <cell r="Q607">
            <v>0</v>
          </cell>
          <cell r="R607" t="str">
            <v>6302.39.00</v>
          </cell>
          <cell r="S607">
            <v>63029120</v>
          </cell>
        </row>
        <row r="608">
          <cell r="A608" t="str">
            <v>TOWLH-CLA-LG-WHITE</v>
          </cell>
          <cell r="B608" t="str">
            <v>5.0607E+12</v>
          </cell>
          <cell r="C608" t="str">
            <v>PHASE OUT</v>
          </cell>
          <cell r="D608" t="str">
            <v>Core</v>
          </cell>
          <cell r="E608">
            <v>20</v>
          </cell>
          <cell r="F608" t="str">
            <v>AW22</v>
          </cell>
          <cell r="G608" t="str">
            <v>XR Textile</v>
          </cell>
          <cell r="H608" t="str">
            <v>TOWLH</v>
          </cell>
          <cell r="I608" t="str">
            <v>GRS Certified* 83% Post Consumer Recycled Polyester (RM0189) 17% Pre Consumer Recycled Polyamide (RM1084)</v>
          </cell>
          <cell r="M608" t="str">
            <v>6302.93.2000</v>
          </cell>
          <cell r="N608">
            <v>6302600090</v>
          </cell>
          <cell r="O608" t="str">
            <v>6302.93.00.00</v>
          </cell>
          <cell r="P608">
            <v>6302939000</v>
          </cell>
          <cell r="Q608">
            <v>0</v>
          </cell>
          <cell r="R608" t="str">
            <v>6302.39.00</v>
          </cell>
          <cell r="S608">
            <v>63029120</v>
          </cell>
        </row>
        <row r="609">
          <cell r="A609" t="str">
            <v>TOWLH-CLA-SM-NAVY</v>
          </cell>
          <cell r="B609" t="str">
            <v>5.0607E+12</v>
          </cell>
          <cell r="C609" t="str">
            <v>PHASE OUT</v>
          </cell>
          <cell r="D609" t="str">
            <v>Core</v>
          </cell>
          <cell r="E609">
            <v>50</v>
          </cell>
          <cell r="F609" t="str">
            <v>SS23</v>
          </cell>
          <cell r="G609" t="str">
            <v>XR Textile</v>
          </cell>
          <cell r="H609" t="str">
            <v>TOWLH</v>
          </cell>
          <cell r="I609" t="str">
            <v>GRS Certified* 83% Post Consumer Recycled Polyester (RM0189) 17% Pre Consumer Recycled Polyamide (RM1084)</v>
          </cell>
          <cell r="M609" t="str">
            <v>6302.93.2000</v>
          </cell>
          <cell r="N609">
            <v>6302600090</v>
          </cell>
          <cell r="O609" t="str">
            <v>6302.93.00.00</v>
          </cell>
          <cell r="P609">
            <v>6302939000</v>
          </cell>
          <cell r="Q609">
            <v>0</v>
          </cell>
          <cell r="R609" t="str">
            <v>6302.39.00</v>
          </cell>
          <cell r="S609">
            <v>63029120</v>
          </cell>
        </row>
        <row r="610">
          <cell r="A610" t="str">
            <v>TOWLH-CLA-SM-WHITE</v>
          </cell>
          <cell r="B610" t="str">
            <v>5.0607E+12</v>
          </cell>
          <cell r="C610" t="str">
            <v>PHASE OUT</v>
          </cell>
          <cell r="D610" t="str">
            <v>Core</v>
          </cell>
          <cell r="E610">
            <v>50</v>
          </cell>
          <cell r="F610" t="str">
            <v>SS23</v>
          </cell>
          <cell r="G610" t="str">
            <v>XR Textile</v>
          </cell>
          <cell r="H610" t="str">
            <v>TOWLH</v>
          </cell>
          <cell r="I610" t="str">
            <v>GRS Certified* 83% Post Consumer Recycled Polyester (RM0189) 17% Pre Consumer Recycled Polyamide (RM1084)</v>
          </cell>
          <cell r="M610" t="str">
            <v>6302.93.2000</v>
          </cell>
          <cell r="N610">
            <v>6302600090</v>
          </cell>
          <cell r="O610" t="str">
            <v>6302.93.00.00</v>
          </cell>
          <cell r="P610">
            <v>6302939000</v>
          </cell>
          <cell r="Q610">
            <v>0</v>
          </cell>
          <cell r="R610" t="str">
            <v>6302.39.00</v>
          </cell>
          <cell r="S610">
            <v>63029120</v>
          </cell>
        </row>
        <row r="611">
          <cell r="A611" t="str">
            <v>TOWLH-CLA-XL-NAVY</v>
          </cell>
          <cell r="B611" t="str">
            <v>5.0607E+12</v>
          </cell>
          <cell r="C611" t="str">
            <v>PHASE OUT</v>
          </cell>
          <cell r="D611" t="str">
            <v>Core</v>
          </cell>
          <cell r="E611">
            <v>20</v>
          </cell>
          <cell r="F611" t="str">
            <v>AW22</v>
          </cell>
          <cell r="G611" t="str">
            <v>XR Textile</v>
          </cell>
          <cell r="H611" t="str">
            <v>TOWLH</v>
          </cell>
          <cell r="I611" t="str">
            <v>GRS Certified* 83% Post Consumer Recycled Polyester (RM0189) 17% Pre Consumer Recycled Polyamide (RM1084)</v>
          </cell>
          <cell r="M611" t="str">
            <v>6302.93.2000</v>
          </cell>
          <cell r="N611">
            <v>6302600090</v>
          </cell>
          <cell r="O611" t="str">
            <v>6302.93.00.00</v>
          </cell>
          <cell r="P611">
            <v>6302939000</v>
          </cell>
          <cell r="Q611">
            <v>0</v>
          </cell>
          <cell r="R611" t="str">
            <v>6302.39.00</v>
          </cell>
          <cell r="S611">
            <v>63029120</v>
          </cell>
        </row>
        <row r="612">
          <cell r="A612" t="str">
            <v>TOWLH-CLA-XL-WHITE</v>
          </cell>
          <cell r="B612" t="str">
            <v>5.0607E+12</v>
          </cell>
          <cell r="C612" t="str">
            <v>PHASE OUT</v>
          </cell>
          <cell r="D612" t="str">
            <v>Core</v>
          </cell>
          <cell r="E612">
            <v>20</v>
          </cell>
          <cell r="F612" t="str">
            <v>AW22</v>
          </cell>
          <cell r="G612" t="str">
            <v>XR Textile</v>
          </cell>
          <cell r="H612" t="str">
            <v>TOWLH</v>
          </cell>
          <cell r="I612" t="str">
            <v>GRS Certified* 83% Post Consumer Recycled Polyester (RM0189) 17% Pre Consumer Recycled Polyamide (RM1084)</v>
          </cell>
          <cell r="M612" t="str">
            <v>6302.93.2000</v>
          </cell>
          <cell r="N612">
            <v>6302600090</v>
          </cell>
          <cell r="O612" t="str">
            <v>6302.93.00.00</v>
          </cell>
          <cell r="P612">
            <v>6302939000</v>
          </cell>
          <cell r="Q612">
            <v>0</v>
          </cell>
          <cell r="R612" t="str">
            <v>6302.39.00</v>
          </cell>
          <cell r="S612">
            <v>63029120</v>
          </cell>
        </row>
        <row r="613">
          <cell r="A613" t="str">
            <v>ACTIVE-LAR-BLUE</v>
          </cell>
          <cell r="B613" t="str">
            <v>6.3739E+11</v>
          </cell>
          <cell r="C613" t="str">
            <v>CLOSED</v>
          </cell>
          <cell r="E613">
            <v>40</v>
          </cell>
          <cell r="F613" t="str">
            <v>before AW19</v>
          </cell>
          <cell r="G613" t="str">
            <v>XR Textile</v>
          </cell>
          <cell r="H613" t="str">
            <v>TOWLF</v>
          </cell>
          <cell r="I613" t="str">
            <v>GRS Certified* 83% Post Consumer Recycled Polyester (RM0189) 17% Pre Consumer Recycled Polyamide (RM1084)</v>
          </cell>
          <cell r="M613" t="str">
            <v>6302.93.2000</v>
          </cell>
          <cell r="N613">
            <v>6302600090</v>
          </cell>
          <cell r="O613" t="str">
            <v>6302.93.00.00</v>
          </cell>
          <cell r="P613">
            <v>6302939000</v>
          </cell>
          <cell r="Q613">
            <v>0</v>
          </cell>
          <cell r="R613" t="str">
            <v>6302.39.00</v>
          </cell>
          <cell r="S613">
            <v>63029120</v>
          </cell>
        </row>
        <row r="614">
          <cell r="A614" t="str">
            <v>ACTIVE-LAR-GREEN</v>
          </cell>
          <cell r="B614" t="str">
            <v>6.3739E+11</v>
          </cell>
          <cell r="C614" t="str">
            <v>CLOSED</v>
          </cell>
          <cell r="E614">
            <v>40</v>
          </cell>
          <cell r="G614" t="str">
            <v>XR Textile</v>
          </cell>
          <cell r="H614" t="str">
            <v>TOWLF</v>
          </cell>
          <cell r="I614" t="str">
            <v>GRS Certified* 83% Post Consumer Recycled Polyester (RM0189) 17% Pre Consumer Recycled Polyamide (RM1084)</v>
          </cell>
          <cell r="M614" t="str">
            <v>6302.93.2000</v>
          </cell>
          <cell r="N614">
            <v>6302600090</v>
          </cell>
          <cell r="O614" t="str">
            <v>6302.93.00.00</v>
          </cell>
          <cell r="P614">
            <v>6302939000</v>
          </cell>
          <cell r="Q614">
            <v>0</v>
          </cell>
          <cell r="R614" t="str">
            <v>6302.39.00</v>
          </cell>
          <cell r="S614">
            <v>63029120</v>
          </cell>
        </row>
        <row r="615">
          <cell r="A615" t="str">
            <v>ACTIVE-LAR-GREY</v>
          </cell>
          <cell r="B615" t="str">
            <v>6.3739E+11</v>
          </cell>
          <cell r="C615" t="str">
            <v>CLOSED</v>
          </cell>
          <cell r="E615">
            <v>40</v>
          </cell>
          <cell r="G615" t="str">
            <v>XR Textile</v>
          </cell>
          <cell r="H615" t="str">
            <v>TOWLF</v>
          </cell>
          <cell r="I615" t="str">
            <v>GRS Certified* 83% Post Consumer Recycled Polyester (RM0189) 17% Pre Consumer Recycled Polyamide (RM1084)</v>
          </cell>
          <cell r="M615" t="str">
            <v>6302.93.2000</v>
          </cell>
          <cell r="N615">
            <v>6302600090</v>
          </cell>
          <cell r="O615" t="str">
            <v>6302.93.00.00</v>
          </cell>
          <cell r="P615">
            <v>6302939000</v>
          </cell>
          <cell r="Q615">
            <v>0</v>
          </cell>
          <cell r="R615" t="str">
            <v>6302.39.00</v>
          </cell>
          <cell r="S615">
            <v>63029120</v>
          </cell>
        </row>
        <row r="616">
          <cell r="A616" t="str">
            <v>ACTIVE-LAR-ORANGE</v>
          </cell>
          <cell r="B616" t="str">
            <v>6.3739E+11</v>
          </cell>
          <cell r="C616" t="str">
            <v>CLOSED</v>
          </cell>
          <cell r="E616">
            <v>40</v>
          </cell>
          <cell r="G616" t="str">
            <v>XR Textile</v>
          </cell>
          <cell r="H616" t="str">
            <v>TOWLF</v>
          </cell>
          <cell r="I616" t="str">
            <v>GRS Certified* 83% Post Consumer Recycled Polyester (RM0189) 17% Pre Consumer Recycled Polyamide (RM1084)</v>
          </cell>
          <cell r="M616" t="str">
            <v>6302.93.2000</v>
          </cell>
          <cell r="N616">
            <v>6302600090</v>
          </cell>
          <cell r="O616" t="str">
            <v>6302.93.00.00</v>
          </cell>
          <cell r="P616">
            <v>6302939000</v>
          </cell>
          <cell r="Q616">
            <v>0</v>
          </cell>
          <cell r="R616" t="str">
            <v>6302.39.00</v>
          </cell>
          <cell r="S616">
            <v>63029120</v>
          </cell>
        </row>
        <row r="617">
          <cell r="A617" t="str">
            <v>ACTIVE-LAR-PINK</v>
          </cell>
          <cell r="B617" t="str">
            <v>5.0607E+12</v>
          </cell>
          <cell r="C617" t="str">
            <v>CLOSED</v>
          </cell>
          <cell r="E617">
            <v>40</v>
          </cell>
          <cell r="G617" t="str">
            <v>XR Textile</v>
          </cell>
          <cell r="H617" t="str">
            <v>TOWLF</v>
          </cell>
          <cell r="I617" t="str">
            <v>GRS Certified* 83% Post Consumer Recycled Polyester (RM0189) 17% Pre Consumer Recycled Polyamide (RM1084)</v>
          </cell>
          <cell r="M617" t="str">
            <v>6302.93.2000</v>
          </cell>
          <cell r="N617">
            <v>6302600090</v>
          </cell>
          <cell r="O617" t="str">
            <v>6302.93.00.00</v>
          </cell>
          <cell r="P617">
            <v>6302939000</v>
          </cell>
          <cell r="Q617">
            <v>0</v>
          </cell>
          <cell r="R617" t="str">
            <v>6302.39.00</v>
          </cell>
          <cell r="S617">
            <v>63029120</v>
          </cell>
        </row>
        <row r="618">
          <cell r="A618" t="str">
            <v>ACTIVE-LAR-RED</v>
          </cell>
          <cell r="B618" t="str">
            <v>6.3739E+11</v>
          </cell>
          <cell r="C618" t="str">
            <v>CLOSED</v>
          </cell>
          <cell r="E618">
            <v>40</v>
          </cell>
          <cell r="F618" t="str">
            <v>before AW19</v>
          </cell>
          <cell r="G618" t="str">
            <v>XR Textile</v>
          </cell>
          <cell r="H618" t="str">
            <v>TOWLF</v>
          </cell>
          <cell r="I618" t="str">
            <v>GRS Certified* 83% Post Consumer Recycled Polyester (RM0189) 17% Pre Consumer Recycled Polyamide (RM1084)</v>
          </cell>
          <cell r="M618" t="str">
            <v>6302.93.2000</v>
          </cell>
          <cell r="N618">
            <v>6302600090</v>
          </cell>
          <cell r="O618" t="str">
            <v>6302.93.00.00</v>
          </cell>
          <cell r="P618">
            <v>6302939000</v>
          </cell>
          <cell r="Q618">
            <v>0</v>
          </cell>
          <cell r="R618" t="str">
            <v>6302.39.00</v>
          </cell>
          <cell r="S618">
            <v>63029120</v>
          </cell>
        </row>
        <row r="619">
          <cell r="A619" t="str">
            <v>ACTIVE-SML-BLUE</v>
          </cell>
          <cell r="B619" t="str">
            <v>6.3739E+11</v>
          </cell>
          <cell r="C619" t="str">
            <v>CLOSED</v>
          </cell>
          <cell r="E619">
            <v>50</v>
          </cell>
          <cell r="F619" t="str">
            <v>before AW19</v>
          </cell>
          <cell r="G619" t="str">
            <v>XR Textile</v>
          </cell>
          <cell r="H619" t="str">
            <v>TOWLF</v>
          </cell>
          <cell r="I619" t="str">
            <v>GRS Certified* 83% Post Consumer Recycled Polyester (RM0189) 17% Pre Consumer Recycled Polyamide (RM1084)</v>
          </cell>
          <cell r="M619" t="str">
            <v>6302.93.2000</v>
          </cell>
          <cell r="N619">
            <v>6302600090</v>
          </cell>
          <cell r="O619" t="str">
            <v>6302.93.00.00</v>
          </cell>
          <cell r="P619">
            <v>6302939000</v>
          </cell>
          <cell r="Q619">
            <v>0</v>
          </cell>
          <cell r="R619" t="str">
            <v>6302.39.00</v>
          </cell>
          <cell r="S619">
            <v>63029120</v>
          </cell>
        </row>
        <row r="620">
          <cell r="A620" t="str">
            <v>ACTIVE-SML-GREEN</v>
          </cell>
          <cell r="B620" t="str">
            <v>6.3739E+11</v>
          </cell>
          <cell r="C620" t="str">
            <v>CLOSED</v>
          </cell>
          <cell r="E620">
            <v>50</v>
          </cell>
          <cell r="F620" t="str">
            <v>before AW19</v>
          </cell>
          <cell r="G620" t="str">
            <v>XR Textile</v>
          </cell>
          <cell r="H620" t="str">
            <v>TOWLF</v>
          </cell>
          <cell r="I620" t="str">
            <v>GRS Certified* 83% Post Consumer Recycled Polyester (RM0189) 17% Pre Consumer Recycled Polyamide (RM1084)</v>
          </cell>
          <cell r="M620" t="str">
            <v>6302.93.2000</v>
          </cell>
          <cell r="N620">
            <v>6302600090</v>
          </cell>
          <cell r="O620" t="str">
            <v>6302.93.00.00</v>
          </cell>
          <cell r="P620">
            <v>6302939000</v>
          </cell>
          <cell r="Q620">
            <v>0</v>
          </cell>
          <cell r="R620" t="str">
            <v>6302.39.00</v>
          </cell>
          <cell r="S620">
            <v>63029120</v>
          </cell>
        </row>
        <row r="621">
          <cell r="A621" t="str">
            <v>ACTIVE-SML-GREY</v>
          </cell>
          <cell r="B621" t="str">
            <v>6.3739E+11</v>
          </cell>
          <cell r="C621" t="str">
            <v>CLOSED</v>
          </cell>
          <cell r="E621">
            <v>50</v>
          </cell>
          <cell r="F621" t="str">
            <v>before AW19</v>
          </cell>
          <cell r="G621" t="str">
            <v>XR Textile</v>
          </cell>
          <cell r="H621" t="str">
            <v>TOWLF</v>
          </cell>
          <cell r="I621" t="str">
            <v>GRS Certified* 83% Post Consumer Recycled Polyester (RM0189) 17% Pre Consumer Recycled Polyamide (RM1084)</v>
          </cell>
          <cell r="M621" t="str">
            <v>6302.93.2000</v>
          </cell>
          <cell r="N621">
            <v>6302600090</v>
          </cell>
          <cell r="O621" t="str">
            <v>6302.93.00.00</v>
          </cell>
          <cell r="P621">
            <v>6302939000</v>
          </cell>
          <cell r="Q621">
            <v>0</v>
          </cell>
          <cell r="R621" t="str">
            <v>6302.39.00</v>
          </cell>
          <cell r="S621">
            <v>63029120</v>
          </cell>
        </row>
        <row r="622">
          <cell r="A622" t="str">
            <v>ACTIVE-SML-PINK</v>
          </cell>
          <cell r="B622" t="str">
            <v>5.0607E+12</v>
          </cell>
          <cell r="C622" t="str">
            <v>CLOSED</v>
          </cell>
          <cell r="E622">
            <v>50</v>
          </cell>
          <cell r="F622" t="str">
            <v>before AW19</v>
          </cell>
          <cell r="G622" t="str">
            <v>XR Textile</v>
          </cell>
          <cell r="H622" t="str">
            <v>TOWLF</v>
          </cell>
          <cell r="I622" t="str">
            <v>GRS Certified* 83% Post Consumer Recycled Polyester (RM0189) 17% Pre Consumer Recycled Polyamide (RM1084)</v>
          </cell>
          <cell r="M622" t="str">
            <v>6302.93.2000</v>
          </cell>
          <cell r="N622">
            <v>6302600090</v>
          </cell>
          <cell r="O622" t="str">
            <v>6302.93.00.00</v>
          </cell>
          <cell r="P622">
            <v>6302939000</v>
          </cell>
          <cell r="Q622">
            <v>0</v>
          </cell>
          <cell r="R622" t="str">
            <v>6302.39.00</v>
          </cell>
          <cell r="S622">
            <v>63029120</v>
          </cell>
        </row>
        <row r="623">
          <cell r="A623" t="str">
            <v>ACTIVE-SML-RED</v>
          </cell>
          <cell r="B623" t="str">
            <v>6.3739E+11</v>
          </cell>
          <cell r="C623" t="str">
            <v>CLOSED</v>
          </cell>
          <cell r="E623">
            <v>50</v>
          </cell>
          <cell r="G623" t="str">
            <v>XR Textile</v>
          </cell>
          <cell r="H623" t="str">
            <v>TOWLF</v>
          </cell>
          <cell r="I623" t="str">
            <v>GRS Certified* 83% Post Consumer Recycled Polyester (RM0189) 17% Pre Consumer Recycled Polyamide (RM1084)</v>
          </cell>
          <cell r="M623" t="str">
            <v>6302.93.2000</v>
          </cell>
          <cell r="N623">
            <v>6302600090</v>
          </cell>
          <cell r="O623" t="str">
            <v>6302.93.00.00</v>
          </cell>
          <cell r="P623">
            <v>6302939000</v>
          </cell>
          <cell r="Q623">
            <v>0</v>
          </cell>
          <cell r="R623" t="str">
            <v>6302.39.00</v>
          </cell>
          <cell r="S623">
            <v>63029120</v>
          </cell>
        </row>
        <row r="624">
          <cell r="A624" t="str">
            <v>ACTIVE-XLG-BLUE</v>
          </cell>
          <cell r="B624" t="str">
            <v>6.3739E+11</v>
          </cell>
          <cell r="C624" t="str">
            <v>CLOSED</v>
          </cell>
          <cell r="E624">
            <v>30</v>
          </cell>
          <cell r="G624" t="str">
            <v>XR Textile</v>
          </cell>
          <cell r="H624" t="str">
            <v>TOWLF</v>
          </cell>
          <cell r="I624" t="str">
            <v>GRS Certified* 83% Post Consumer Recycled Polyester (RM0189) 17% Pre Consumer Recycled Polyamide (RM1084)</v>
          </cell>
          <cell r="M624" t="str">
            <v>6302.93.2000</v>
          </cell>
          <cell r="N624">
            <v>6302600090</v>
          </cell>
          <cell r="O624" t="str">
            <v>6302.93.00.00</v>
          </cell>
          <cell r="P624">
            <v>6302939000</v>
          </cell>
          <cell r="Q624">
            <v>0</v>
          </cell>
          <cell r="R624" t="str">
            <v>6302.39.00</v>
          </cell>
          <cell r="S624">
            <v>63029120</v>
          </cell>
        </row>
        <row r="625">
          <cell r="A625" t="str">
            <v>ACTIVE-XLG-GREEN</v>
          </cell>
          <cell r="B625" t="str">
            <v>6.3739E+11</v>
          </cell>
          <cell r="C625" t="str">
            <v>CLOSED</v>
          </cell>
          <cell r="E625">
            <v>30</v>
          </cell>
          <cell r="G625" t="str">
            <v>XR Textile</v>
          </cell>
          <cell r="H625" t="str">
            <v>TOWLF</v>
          </cell>
          <cell r="I625" t="str">
            <v>GRS Certified* 83% Post Consumer Recycled Polyester (RM0189) 17% Pre Consumer Recycled Polyamide (RM1084)</v>
          </cell>
          <cell r="M625" t="str">
            <v>6302.93.2000</v>
          </cell>
          <cell r="N625">
            <v>6302600090</v>
          </cell>
          <cell r="O625" t="str">
            <v>6302.93.00.00</v>
          </cell>
          <cell r="P625">
            <v>6302939000</v>
          </cell>
          <cell r="Q625">
            <v>0</v>
          </cell>
          <cell r="R625" t="str">
            <v>6302.39.00</v>
          </cell>
          <cell r="S625">
            <v>63029120</v>
          </cell>
        </row>
        <row r="626">
          <cell r="A626" t="str">
            <v>ACTIVE-XLG-GREY</v>
          </cell>
          <cell r="B626" t="str">
            <v>6.3739E+11</v>
          </cell>
          <cell r="C626" t="str">
            <v>CLOSED</v>
          </cell>
          <cell r="E626">
            <v>30</v>
          </cell>
          <cell r="G626" t="str">
            <v>XR Textile</v>
          </cell>
          <cell r="H626" t="str">
            <v>TOWLF</v>
          </cell>
          <cell r="I626" t="str">
            <v>GRS Certified* 83% Post Consumer Recycled Polyester (RM0189) 17% Pre Consumer Recycled Polyamide (RM1084)</v>
          </cell>
          <cell r="M626" t="str">
            <v>6302.93.2000</v>
          </cell>
          <cell r="N626">
            <v>6302600090</v>
          </cell>
          <cell r="O626" t="str">
            <v>6302.93.00.00</v>
          </cell>
          <cell r="P626">
            <v>6302939000</v>
          </cell>
          <cell r="Q626">
            <v>0</v>
          </cell>
          <cell r="R626" t="str">
            <v>6302.39.00</v>
          </cell>
          <cell r="S626">
            <v>63029120</v>
          </cell>
        </row>
        <row r="627">
          <cell r="A627" t="str">
            <v>ACTIVE-XLG-ORANGE</v>
          </cell>
          <cell r="B627" t="str">
            <v>6.3739E+11</v>
          </cell>
          <cell r="C627" t="str">
            <v>CLOSED</v>
          </cell>
          <cell r="E627">
            <v>30</v>
          </cell>
          <cell r="G627" t="str">
            <v>XR Textile</v>
          </cell>
          <cell r="H627" t="str">
            <v>TOWLF</v>
          </cell>
          <cell r="I627" t="str">
            <v>GRS Certified* 83% Post Consumer Recycled Polyester (RM0189) 17% Pre Consumer Recycled Polyamide (RM1084)</v>
          </cell>
          <cell r="M627" t="str">
            <v>6302.93.2000</v>
          </cell>
          <cell r="N627">
            <v>6302600090</v>
          </cell>
          <cell r="O627" t="str">
            <v>6302.93.00.00</v>
          </cell>
          <cell r="P627">
            <v>6302939000</v>
          </cell>
          <cell r="Q627">
            <v>0</v>
          </cell>
          <cell r="R627" t="str">
            <v>6302.39.00</v>
          </cell>
          <cell r="S627">
            <v>63029120</v>
          </cell>
        </row>
        <row r="628">
          <cell r="A628" t="str">
            <v>ACTIVE-XLG-PINK</v>
          </cell>
          <cell r="B628" t="str">
            <v>5.0607E+12</v>
          </cell>
          <cell r="C628" t="str">
            <v>CLOSED</v>
          </cell>
          <cell r="E628">
            <v>30</v>
          </cell>
          <cell r="G628" t="str">
            <v>XR Textile</v>
          </cell>
          <cell r="H628" t="str">
            <v>TOWLF</v>
          </cell>
          <cell r="I628" t="str">
            <v>GRS Certified* 83% Post Consumer Recycled Polyester (RM0189) 17% Pre Consumer Recycled Polyamide (RM1084)</v>
          </cell>
          <cell r="M628" t="str">
            <v>6302.93.2000</v>
          </cell>
          <cell r="N628">
            <v>6302600090</v>
          </cell>
          <cell r="O628" t="str">
            <v>6302.93.00.00</v>
          </cell>
          <cell r="P628">
            <v>6302939000</v>
          </cell>
          <cell r="Q628">
            <v>0</v>
          </cell>
          <cell r="R628" t="str">
            <v>6302.39.00</v>
          </cell>
          <cell r="S628">
            <v>63029120</v>
          </cell>
        </row>
        <row r="629">
          <cell r="A629" t="str">
            <v>ACTIVE-XLG-RED</v>
          </cell>
          <cell r="B629" t="str">
            <v>6.3739E+11</v>
          </cell>
          <cell r="C629" t="str">
            <v>CLOSED</v>
          </cell>
          <cell r="E629">
            <v>30</v>
          </cell>
          <cell r="G629" t="str">
            <v>XR Textile</v>
          </cell>
          <cell r="H629" t="str">
            <v>TOWLF</v>
          </cell>
          <cell r="I629" t="str">
            <v>GRS Certified* 83% Post Consumer Recycled Polyester (RM0189) 17% Pre Consumer Recycled Polyamide (RM1084)</v>
          </cell>
          <cell r="M629" t="str">
            <v>6302.93.2000</v>
          </cell>
          <cell r="N629">
            <v>6302600090</v>
          </cell>
          <cell r="O629" t="str">
            <v>6302.93.00.00</v>
          </cell>
          <cell r="P629">
            <v>6302939000</v>
          </cell>
          <cell r="Q629">
            <v>0</v>
          </cell>
          <cell r="R629" t="str">
            <v>6302.39.00</v>
          </cell>
          <cell r="S629">
            <v>63029120</v>
          </cell>
        </row>
        <row r="630">
          <cell r="A630" t="str">
            <v>BABIATOR-MD-LTPCH</v>
          </cell>
          <cell r="B630" t="str">
            <v>8.1011E+11</v>
          </cell>
          <cell r="C630" t="str">
            <v>CLOSED</v>
          </cell>
          <cell r="E630">
            <v>10</v>
          </cell>
          <cell r="F630" t="str">
            <v>SS23</v>
          </cell>
          <cell r="G630" t="str">
            <v>Babiators</v>
          </cell>
          <cell r="H630" t="str">
            <v>BABIATORS</v>
          </cell>
          <cell r="M630">
            <v>4202220000</v>
          </cell>
          <cell r="N630">
            <v>4202220000</v>
          </cell>
          <cell r="O630">
            <v>0</v>
          </cell>
          <cell r="P630">
            <v>0</v>
          </cell>
          <cell r="Q630">
            <v>0</v>
          </cell>
          <cell r="R630" t="str">
            <v>4202.22.00</v>
          </cell>
          <cell r="S630">
            <v>0</v>
          </cell>
        </row>
        <row r="631">
          <cell r="A631" t="str">
            <v>BABIATOR-MD-LTPNK</v>
          </cell>
          <cell r="B631" t="str">
            <v>8.1011E+11</v>
          </cell>
          <cell r="C631" t="str">
            <v>CLOSED</v>
          </cell>
          <cell r="E631">
            <v>10</v>
          </cell>
          <cell r="F631" t="str">
            <v>SS23</v>
          </cell>
          <cell r="G631" t="str">
            <v>Babiators</v>
          </cell>
          <cell r="H631" t="str">
            <v>BABIATORS</v>
          </cell>
          <cell r="M631">
            <v>4202220000</v>
          </cell>
          <cell r="N631">
            <v>4202220000</v>
          </cell>
          <cell r="O631">
            <v>0</v>
          </cell>
          <cell r="P631">
            <v>0</v>
          </cell>
          <cell r="Q631">
            <v>0</v>
          </cell>
          <cell r="R631" t="str">
            <v>4202.22.00</v>
          </cell>
          <cell r="S631">
            <v>0</v>
          </cell>
        </row>
        <row r="632">
          <cell r="A632" t="str">
            <v>BABIATOR-MD-NAVY</v>
          </cell>
          <cell r="B632" t="str">
            <v>8.1011E+11</v>
          </cell>
          <cell r="C632" t="str">
            <v>CLOSED</v>
          </cell>
          <cell r="E632">
            <v>10</v>
          </cell>
          <cell r="F632" t="str">
            <v>SS23</v>
          </cell>
          <cell r="G632" t="str">
            <v>Babiators</v>
          </cell>
          <cell r="H632" t="str">
            <v>BABIATORS</v>
          </cell>
          <cell r="M632">
            <v>4202220000</v>
          </cell>
          <cell r="N632">
            <v>4202220000</v>
          </cell>
          <cell r="O632">
            <v>0</v>
          </cell>
          <cell r="P632">
            <v>0</v>
          </cell>
          <cell r="Q632">
            <v>0</v>
          </cell>
          <cell r="R632" t="str">
            <v>4202.22.00</v>
          </cell>
          <cell r="S632">
            <v>0</v>
          </cell>
        </row>
        <row r="633">
          <cell r="A633" t="str">
            <v>BABIATOR-MD-SQUIG</v>
          </cell>
          <cell r="B633" t="str">
            <v>8.1011E+11</v>
          </cell>
          <cell r="C633" t="str">
            <v>CLOSED</v>
          </cell>
          <cell r="E633">
            <v>10</v>
          </cell>
          <cell r="F633" t="str">
            <v>SS23</v>
          </cell>
          <cell r="G633" t="str">
            <v>Babiators</v>
          </cell>
          <cell r="H633" t="str">
            <v>BABIATORS</v>
          </cell>
          <cell r="M633">
            <v>4202220000</v>
          </cell>
          <cell r="N633">
            <v>4202220000</v>
          </cell>
          <cell r="O633">
            <v>0</v>
          </cell>
          <cell r="P633">
            <v>0</v>
          </cell>
          <cell r="Q633">
            <v>0</v>
          </cell>
          <cell r="R633" t="str">
            <v>4202.22.00</v>
          </cell>
          <cell r="S633">
            <v>0</v>
          </cell>
        </row>
        <row r="634">
          <cell r="A634" t="str">
            <v>BABIATOR-SM-LTPCH</v>
          </cell>
          <cell r="B634" t="str">
            <v>8.1011E+11</v>
          </cell>
          <cell r="C634" t="str">
            <v>CLOSED</v>
          </cell>
          <cell r="E634">
            <v>10</v>
          </cell>
          <cell r="F634" t="str">
            <v>SS23</v>
          </cell>
          <cell r="G634" t="str">
            <v>Babiators</v>
          </cell>
          <cell r="H634" t="str">
            <v>BABIATORS</v>
          </cell>
          <cell r="M634">
            <v>4202220000</v>
          </cell>
          <cell r="N634">
            <v>4202220000</v>
          </cell>
          <cell r="O634">
            <v>0</v>
          </cell>
          <cell r="P634">
            <v>0</v>
          </cell>
          <cell r="Q634">
            <v>0</v>
          </cell>
          <cell r="R634" t="str">
            <v>4202.22.00</v>
          </cell>
          <cell r="S634">
            <v>0</v>
          </cell>
        </row>
        <row r="635">
          <cell r="A635" t="str">
            <v>BABIATOR-SM-LTPNK</v>
          </cell>
          <cell r="B635" t="str">
            <v>8.1011E+11</v>
          </cell>
          <cell r="C635" t="str">
            <v>CLOSED</v>
          </cell>
          <cell r="E635">
            <v>10</v>
          </cell>
          <cell r="F635" t="str">
            <v>SS23</v>
          </cell>
          <cell r="G635" t="str">
            <v>Babiators</v>
          </cell>
          <cell r="H635" t="str">
            <v>BABIATORS</v>
          </cell>
          <cell r="M635">
            <v>4202220000</v>
          </cell>
          <cell r="N635">
            <v>4202220000</v>
          </cell>
          <cell r="O635">
            <v>0</v>
          </cell>
          <cell r="P635">
            <v>0</v>
          </cell>
          <cell r="Q635">
            <v>0</v>
          </cell>
          <cell r="R635" t="str">
            <v>4202.22.00</v>
          </cell>
          <cell r="S635">
            <v>0</v>
          </cell>
        </row>
        <row r="636">
          <cell r="A636" t="str">
            <v>BABIATOR-SM-NAVY</v>
          </cell>
          <cell r="B636" t="str">
            <v>8.1011E+11</v>
          </cell>
          <cell r="C636" t="str">
            <v>CLOSED</v>
          </cell>
          <cell r="E636">
            <v>10</v>
          </cell>
          <cell r="F636" t="str">
            <v>SS23</v>
          </cell>
          <cell r="G636" t="str">
            <v>Babiators</v>
          </cell>
          <cell r="H636" t="str">
            <v>BABIATORS</v>
          </cell>
          <cell r="M636">
            <v>4202220000</v>
          </cell>
          <cell r="N636">
            <v>4202220000</v>
          </cell>
          <cell r="O636">
            <v>0</v>
          </cell>
          <cell r="P636">
            <v>0</v>
          </cell>
          <cell r="Q636">
            <v>0</v>
          </cell>
          <cell r="R636" t="str">
            <v>4202.22.00</v>
          </cell>
          <cell r="S636">
            <v>0</v>
          </cell>
        </row>
        <row r="637">
          <cell r="A637" t="str">
            <v>BABIATOR-SM-SQUIG</v>
          </cell>
          <cell r="B637" t="str">
            <v>8.1011E+11</v>
          </cell>
          <cell r="C637" t="str">
            <v>CLOSED</v>
          </cell>
          <cell r="E637">
            <v>10</v>
          </cell>
          <cell r="F637" t="str">
            <v>SS23</v>
          </cell>
          <cell r="G637" t="str">
            <v>Babiators</v>
          </cell>
          <cell r="H637" t="str">
            <v>BABIATORS</v>
          </cell>
          <cell r="M637">
            <v>4202220000</v>
          </cell>
          <cell r="N637">
            <v>4202220000</v>
          </cell>
          <cell r="O637">
            <v>0</v>
          </cell>
          <cell r="P637">
            <v>0</v>
          </cell>
          <cell r="Q637">
            <v>0</v>
          </cell>
          <cell r="R637" t="str">
            <v>4202.22.00</v>
          </cell>
          <cell r="S637">
            <v>0</v>
          </cell>
        </row>
        <row r="638">
          <cell r="A638" t="str">
            <v>BAGF-KID-MD-SQUIG</v>
          </cell>
          <cell r="B638" t="str">
            <v>5.0607E+12</v>
          </cell>
          <cell r="C638" t="str">
            <v>CLOSED</v>
          </cell>
          <cell r="E638">
            <v>100</v>
          </cell>
          <cell r="F638" t="str">
            <v>AW22</v>
          </cell>
          <cell r="G638" t="str">
            <v>Jinma (Merry)</v>
          </cell>
          <cell r="H638" t="str">
            <v>BAG-FOLD</v>
          </cell>
          <cell r="I638" t="str">
            <v>GRS Certified*** 100% Post Consumer Recycled Polyester (RM0189)</v>
          </cell>
          <cell r="M638" t="str">
            <v>4202.92.91.00</v>
          </cell>
          <cell r="N638">
            <v>4202921900</v>
          </cell>
          <cell r="O638" t="str">
            <v>4202.92.90.00</v>
          </cell>
          <cell r="P638" t="str">
            <v>4202 9298 90</v>
          </cell>
          <cell r="Q638">
            <v>0</v>
          </cell>
          <cell r="R638" t="str">
            <v>4202.92.90</v>
          </cell>
          <cell r="S638">
            <v>42029100</v>
          </cell>
        </row>
        <row r="639">
          <cell r="A639" t="str">
            <v>BAGF-MD-TERATROP</v>
          </cell>
          <cell r="B639" t="str">
            <v>5.061E+12</v>
          </cell>
          <cell r="C639" t="str">
            <v>CLOSED</v>
          </cell>
          <cell r="D639" t="str">
            <v>Seasonal</v>
          </cell>
          <cell r="E639">
            <v>100</v>
          </cell>
          <cell r="F639" t="str">
            <v>SS24</v>
          </cell>
          <cell r="G639" t="str">
            <v>Jinma (Merry)</v>
          </cell>
          <cell r="H639" t="str">
            <v>BAG-FOLD</v>
          </cell>
          <cell r="I639" t="str">
            <v>GRS Certified*** 100% Post Consumer Recycled Polyester (RM0189)</v>
          </cell>
          <cell r="M639" t="str">
            <v>4202.92.91.00</v>
          </cell>
          <cell r="N639">
            <v>4202921900</v>
          </cell>
          <cell r="O639" t="str">
            <v>4202.92.90.00</v>
          </cell>
          <cell r="P639" t="str">
            <v>4202 9298 90</v>
          </cell>
          <cell r="Q639">
            <v>0</v>
          </cell>
          <cell r="R639" t="str">
            <v>4202.92.90</v>
          </cell>
          <cell r="S639">
            <v>42029100</v>
          </cell>
        </row>
        <row r="640">
          <cell r="A640" t="str">
            <v>BAGF-SGW-MD-GETWAV</v>
          </cell>
          <cell r="B640" t="str">
            <v>5.0607E+12</v>
          </cell>
          <cell r="C640" t="str">
            <v>CLOSED</v>
          </cell>
          <cell r="E640">
            <v>100</v>
          </cell>
          <cell r="F640" t="str">
            <v>SS23</v>
          </cell>
          <cell r="G640" t="str">
            <v>Jinma (Merry)</v>
          </cell>
          <cell r="H640" t="str">
            <v>BAG-FOLD</v>
          </cell>
          <cell r="I640" t="str">
            <v>GRS Certified*** 100% Post Consumer Recycled Polyester (RM0189)</v>
          </cell>
          <cell r="M640" t="str">
            <v>4202.92.91.00</v>
          </cell>
          <cell r="N640">
            <v>4202921900</v>
          </cell>
          <cell r="O640" t="str">
            <v>4202.92.90.00</v>
          </cell>
          <cell r="P640" t="str">
            <v>4202 9298 90</v>
          </cell>
          <cell r="Q640">
            <v>0</v>
          </cell>
          <cell r="R640" t="str">
            <v>4202.92.90</v>
          </cell>
          <cell r="S640">
            <v>42029100</v>
          </cell>
        </row>
        <row r="641">
          <cell r="A641" t="str">
            <v>BOTTL-CAB-LTPNK</v>
          </cell>
          <cell r="B641" t="str">
            <v>5.0562E+12</v>
          </cell>
          <cell r="C641" t="str">
            <v>CLOSED</v>
          </cell>
          <cell r="E641">
            <v>30</v>
          </cell>
          <cell r="F641" t="str">
            <v>SS21</v>
          </cell>
          <cell r="G641" t="str">
            <v>Chillys Bottles</v>
          </cell>
          <cell r="H641" t="str">
            <v>BOTTL</v>
          </cell>
          <cell r="M641" t="str">
            <v>7310.29.00</v>
          </cell>
          <cell r="N641">
            <v>7310299000</v>
          </cell>
          <cell r="O641" t="str">
            <v>7310.29.00</v>
          </cell>
          <cell r="P641">
            <v>73102191</v>
          </cell>
          <cell r="Q641">
            <v>0</v>
          </cell>
          <cell r="R641" t="str">
            <v>7310.21.10</v>
          </cell>
          <cell r="S641">
            <v>0</v>
          </cell>
        </row>
        <row r="642">
          <cell r="A642" t="str">
            <v>BOTTL-CAB-NAVY</v>
          </cell>
          <cell r="B642" t="str">
            <v>5.0562E+12</v>
          </cell>
          <cell r="C642" t="str">
            <v>CLOSED</v>
          </cell>
          <cell r="E642">
            <v>30</v>
          </cell>
          <cell r="F642" t="str">
            <v>SS21</v>
          </cell>
          <cell r="G642" t="str">
            <v>Chillys Bottles</v>
          </cell>
          <cell r="H642" t="str">
            <v>BOTTL</v>
          </cell>
          <cell r="M642" t="str">
            <v>7310.29.00</v>
          </cell>
          <cell r="N642">
            <v>7310299000</v>
          </cell>
          <cell r="O642" t="str">
            <v>7310.29.00</v>
          </cell>
          <cell r="P642">
            <v>73102191</v>
          </cell>
          <cell r="Q642">
            <v>0</v>
          </cell>
          <cell r="R642" t="str">
            <v>7310.21.10</v>
          </cell>
          <cell r="S642">
            <v>0</v>
          </cell>
        </row>
        <row r="643">
          <cell r="A643" t="str">
            <v>BOTTL-SUM-UNICN</v>
          </cell>
          <cell r="B643" t="str">
            <v>5.0562E+12</v>
          </cell>
          <cell r="C643" t="str">
            <v>CLOSED</v>
          </cell>
          <cell r="E643">
            <v>30</v>
          </cell>
          <cell r="F643" t="str">
            <v>SS21</v>
          </cell>
          <cell r="G643" t="str">
            <v>Chillys Bottles</v>
          </cell>
          <cell r="H643" t="str">
            <v>BOTTL</v>
          </cell>
          <cell r="M643" t="str">
            <v>7310.29.00</v>
          </cell>
          <cell r="N643">
            <v>7310299000</v>
          </cell>
          <cell r="O643" t="str">
            <v>7310.29.00</v>
          </cell>
          <cell r="P643">
            <v>73102191</v>
          </cell>
          <cell r="Q643">
            <v>0</v>
          </cell>
          <cell r="R643" t="str">
            <v>7310.21.10</v>
          </cell>
          <cell r="S643">
            <v>0</v>
          </cell>
        </row>
        <row r="644">
          <cell r="A644" t="str">
            <v>BUNDLE-BEAUTY-GIFT-MAKUP-HAIRW-CLA-LTBLU</v>
          </cell>
          <cell r="B644" t="str">
            <v>8.0101E+10</v>
          </cell>
          <cell r="C644" t="str">
            <v>CLOSED</v>
          </cell>
          <cell r="D644" t="str">
            <v>Seasonal</v>
          </cell>
          <cell r="E644">
            <v>40</v>
          </cell>
          <cell r="F644" t="str">
            <v>AW23</v>
          </cell>
          <cell r="G644" t="str">
            <v>XR Textile</v>
          </cell>
          <cell r="H644" t="str">
            <v>BUNDLE-MAKUP-HAIRW</v>
          </cell>
          <cell r="M644" t="str">
            <v>6504.00.90.15</v>
          </cell>
          <cell r="N644">
            <v>6505009090</v>
          </cell>
          <cell r="O644" t="str">
            <v>6505.00.40.00</v>
          </cell>
          <cell r="P644" t="str">
            <v>6505.00.90.90</v>
          </cell>
          <cell r="Q644">
            <v>0</v>
          </cell>
          <cell r="R644" t="str">
            <v>6505.00.90</v>
          </cell>
          <cell r="S644">
            <v>0</v>
          </cell>
        </row>
        <row r="645">
          <cell r="A645" t="str">
            <v>BUNDLE-BEAUTY-GIFT-MAKUP-HAIRW-CLA-LTGRN</v>
          </cell>
          <cell r="B645" t="str">
            <v>8.0101E+10</v>
          </cell>
          <cell r="C645" t="str">
            <v>CLOSED</v>
          </cell>
          <cell r="D645" t="str">
            <v>Seasonal</v>
          </cell>
          <cell r="E645">
            <v>40</v>
          </cell>
          <cell r="F645" t="str">
            <v>AW23</v>
          </cell>
          <cell r="G645" t="str">
            <v>XR Textile</v>
          </cell>
          <cell r="H645" t="str">
            <v>BUNDLE-MAKUP-HAIRW</v>
          </cell>
          <cell r="M645" t="str">
            <v>6504.00.90.15</v>
          </cell>
          <cell r="N645">
            <v>6505009090</v>
          </cell>
          <cell r="O645" t="str">
            <v>6505.00.40.00</v>
          </cell>
          <cell r="P645" t="str">
            <v>6505.00.90.90</v>
          </cell>
          <cell r="Q645">
            <v>0</v>
          </cell>
          <cell r="R645" t="str">
            <v>6505.00.90</v>
          </cell>
          <cell r="S645">
            <v>0</v>
          </cell>
        </row>
        <row r="646">
          <cell r="A646" t="str">
            <v>BUNDLE-BEAUTY-GIFT-MAKUP-HAIRW-CLA-LTPNK</v>
          </cell>
          <cell r="B646" t="str">
            <v>8.0101E+10</v>
          </cell>
          <cell r="C646" t="str">
            <v>CLOSED</v>
          </cell>
          <cell r="D646" t="str">
            <v>Seasonal</v>
          </cell>
          <cell r="E646">
            <v>40</v>
          </cell>
          <cell r="F646" t="str">
            <v>AW23</v>
          </cell>
          <cell r="G646" t="str">
            <v>XR Textile</v>
          </cell>
          <cell r="H646" t="str">
            <v>BUNDLE-MAKUP-HAIRW</v>
          </cell>
          <cell r="M646" t="str">
            <v>6504.00.90.15</v>
          </cell>
          <cell r="N646">
            <v>6505009090</v>
          </cell>
          <cell r="O646" t="str">
            <v>6505.00.40.00</v>
          </cell>
          <cell r="P646" t="str">
            <v>6505.00.90.90</v>
          </cell>
          <cell r="Q646">
            <v>0</v>
          </cell>
          <cell r="R646" t="str">
            <v>6505.00.90</v>
          </cell>
          <cell r="S646">
            <v>0</v>
          </cell>
        </row>
        <row r="647">
          <cell r="A647" t="str">
            <v>CABANA-LAR-BLACK</v>
          </cell>
          <cell r="B647" t="str">
            <v>5.0607E+12</v>
          </cell>
          <cell r="C647" t="str">
            <v>CLOSED</v>
          </cell>
          <cell r="E647">
            <v>40</v>
          </cell>
          <cell r="G647" t="str">
            <v>XR Textile</v>
          </cell>
          <cell r="H647" t="str">
            <v>TOWLB</v>
          </cell>
          <cell r="I647" t="str">
            <v>GRS Certified* 83% Post Consumer Recycled Polyester (RM0189) 17% Pre Consumer Recycled Polyamide (RM1084)</v>
          </cell>
          <cell r="M647" t="str">
            <v>6302.93.2000</v>
          </cell>
          <cell r="N647">
            <v>6302600090</v>
          </cell>
          <cell r="O647" t="str">
            <v>6302.93.00.00</v>
          </cell>
          <cell r="P647">
            <v>63029390</v>
          </cell>
          <cell r="Q647">
            <v>0</v>
          </cell>
          <cell r="R647" t="str">
            <v>6302.39.00</v>
          </cell>
          <cell r="S647">
            <v>63029120</v>
          </cell>
        </row>
        <row r="648">
          <cell r="A648" t="str">
            <v>CABANA-LAR-BLUENAVY</v>
          </cell>
          <cell r="B648" t="str">
            <v>5.0607E+12</v>
          </cell>
          <cell r="C648" t="str">
            <v>CLOSED</v>
          </cell>
          <cell r="E648">
            <v>40</v>
          </cell>
          <cell r="G648" t="str">
            <v>XR Textile</v>
          </cell>
          <cell r="H648" t="str">
            <v>TOWLB</v>
          </cell>
          <cell r="I648" t="str">
            <v>GRS Certified* 83% Post Consumer Recycled Polyester (RM0189) 17% Pre Consumer Recycled Polyamide (RM1084)</v>
          </cell>
          <cell r="M648" t="str">
            <v>6302.93.2000</v>
          </cell>
          <cell r="N648">
            <v>6302600090</v>
          </cell>
          <cell r="O648" t="str">
            <v>6302.93.00.00</v>
          </cell>
          <cell r="P648">
            <v>63029390</v>
          </cell>
          <cell r="Q648">
            <v>0</v>
          </cell>
          <cell r="R648" t="str">
            <v>6302.39.00</v>
          </cell>
          <cell r="S648">
            <v>63029120</v>
          </cell>
        </row>
        <row r="649">
          <cell r="A649" t="str">
            <v>CABANA-LAR-GREEN</v>
          </cell>
          <cell r="B649" t="str">
            <v>6.3739E+11</v>
          </cell>
          <cell r="C649" t="str">
            <v>CLOSED</v>
          </cell>
          <cell r="E649">
            <v>40</v>
          </cell>
          <cell r="F649" t="str">
            <v>before AW19</v>
          </cell>
          <cell r="G649" t="str">
            <v>XR Textile</v>
          </cell>
          <cell r="H649" t="str">
            <v>TOWLB</v>
          </cell>
          <cell r="I649" t="str">
            <v>GRS Certified* 83% Post Consumer Recycled Polyester (RM0189) 17% Pre Consumer Recycled Polyamide (RM1084)</v>
          </cell>
          <cell r="M649" t="str">
            <v>6302.93.2000</v>
          </cell>
          <cell r="N649">
            <v>6302600090</v>
          </cell>
          <cell r="O649" t="str">
            <v>6302.93.00.00</v>
          </cell>
          <cell r="P649">
            <v>63029390</v>
          </cell>
          <cell r="Q649">
            <v>0</v>
          </cell>
          <cell r="R649" t="str">
            <v>6302.39.00</v>
          </cell>
          <cell r="S649">
            <v>63029120</v>
          </cell>
        </row>
        <row r="650">
          <cell r="A650" t="str">
            <v>CABANA-LAR-LIGHT-BEIGE</v>
          </cell>
          <cell r="B650" t="str">
            <v>6.5097E+11</v>
          </cell>
          <cell r="C650" t="str">
            <v>CLOSED</v>
          </cell>
          <cell r="E650">
            <v>40</v>
          </cell>
          <cell r="F650" t="str">
            <v>before AW19</v>
          </cell>
          <cell r="G650" t="str">
            <v>XR Textile</v>
          </cell>
          <cell r="H650" t="str">
            <v>TOWLB</v>
          </cell>
          <cell r="I650" t="str">
            <v>GRS Certified* 83% Post Consumer Recycled Polyester (RM0189) 17% Pre Consumer Recycled Polyamide (RM1084)</v>
          </cell>
          <cell r="M650" t="str">
            <v>6302.93.2000</v>
          </cell>
          <cell r="N650">
            <v>6302600090</v>
          </cell>
          <cell r="O650" t="str">
            <v>6302.93.00.00</v>
          </cell>
          <cell r="P650">
            <v>63029390</v>
          </cell>
          <cell r="Q650">
            <v>0</v>
          </cell>
          <cell r="R650" t="str">
            <v>6302.39.00</v>
          </cell>
          <cell r="S650">
            <v>63029120</v>
          </cell>
        </row>
        <row r="651">
          <cell r="A651" t="str">
            <v>CABANA-LAR-LIGHT-BLUE</v>
          </cell>
          <cell r="B651" t="str">
            <v>6.5097E+11</v>
          </cell>
          <cell r="C651" t="str">
            <v>CLOSED</v>
          </cell>
          <cell r="E651">
            <v>40</v>
          </cell>
          <cell r="F651" t="str">
            <v>before AW19</v>
          </cell>
          <cell r="G651" t="str">
            <v>XR Textile</v>
          </cell>
          <cell r="H651" t="str">
            <v>TOWLB</v>
          </cell>
          <cell r="I651" t="str">
            <v>GRS Certified* 83% Post Consumer Recycled Polyester (RM0189) 17% Pre Consumer Recycled Polyamide (RM1084)</v>
          </cell>
          <cell r="M651" t="str">
            <v>6302.93.2000</v>
          </cell>
          <cell r="N651">
            <v>6302600090</v>
          </cell>
          <cell r="O651" t="str">
            <v>6302.93.00.00</v>
          </cell>
          <cell r="P651">
            <v>63029390</v>
          </cell>
          <cell r="Q651">
            <v>0</v>
          </cell>
          <cell r="R651" t="str">
            <v>6302.39.00</v>
          </cell>
          <cell r="S651">
            <v>63029120</v>
          </cell>
        </row>
        <row r="652">
          <cell r="A652" t="str">
            <v>CABANA-LAR-LIGHT-GREEN</v>
          </cell>
          <cell r="B652" t="str">
            <v>6.5097E+11</v>
          </cell>
          <cell r="C652" t="str">
            <v>CLOSED</v>
          </cell>
          <cell r="E652">
            <v>40</v>
          </cell>
          <cell r="G652" t="str">
            <v>XR Textile</v>
          </cell>
          <cell r="H652" t="str">
            <v>TOWLB</v>
          </cell>
          <cell r="I652" t="str">
            <v>GRS Certified* 83% Post Consumer Recycled Polyester (RM0189) 17% Pre Consumer Recycled Polyamide (RM1084)</v>
          </cell>
          <cell r="M652" t="str">
            <v>6302.93.2000</v>
          </cell>
          <cell r="N652">
            <v>6302600090</v>
          </cell>
          <cell r="O652" t="str">
            <v>6302.93.00.00</v>
          </cell>
          <cell r="P652">
            <v>63029390</v>
          </cell>
          <cell r="Q652">
            <v>0</v>
          </cell>
          <cell r="R652" t="str">
            <v>6302.39.00</v>
          </cell>
          <cell r="S652">
            <v>63029120</v>
          </cell>
        </row>
        <row r="653">
          <cell r="A653" t="str">
            <v>CABANA-LAR-LIGHT-GREY</v>
          </cell>
          <cell r="B653" t="str">
            <v>6.5097E+11</v>
          </cell>
          <cell r="C653" t="str">
            <v>CLOSED</v>
          </cell>
          <cell r="E653">
            <v>40</v>
          </cell>
          <cell r="F653" t="str">
            <v>before AW19</v>
          </cell>
          <cell r="G653" t="str">
            <v>XR Textile</v>
          </cell>
          <cell r="H653" t="str">
            <v>TOWLB</v>
          </cell>
          <cell r="I653" t="str">
            <v>GRS Certified* 83% Post Consumer Recycled Polyester (RM0189) 17% Pre Consumer Recycled Polyamide (RM1084)</v>
          </cell>
          <cell r="M653" t="str">
            <v>6302.93.2000</v>
          </cell>
          <cell r="N653">
            <v>6302600090</v>
          </cell>
          <cell r="O653" t="str">
            <v>6302.93.00.00</v>
          </cell>
          <cell r="P653">
            <v>63029390</v>
          </cell>
          <cell r="Q653">
            <v>0</v>
          </cell>
          <cell r="R653" t="str">
            <v>6302.39.00</v>
          </cell>
          <cell r="S653">
            <v>63029120</v>
          </cell>
        </row>
        <row r="654">
          <cell r="A654" t="str">
            <v>CABANA-LAR-ORANGE</v>
          </cell>
          <cell r="B654" t="str">
            <v>6.3739E+11</v>
          </cell>
          <cell r="C654" t="str">
            <v>CLOSED</v>
          </cell>
          <cell r="E654">
            <v>40</v>
          </cell>
          <cell r="F654" t="str">
            <v>before AW19</v>
          </cell>
          <cell r="G654" t="str">
            <v>XR Textile</v>
          </cell>
          <cell r="H654" t="str">
            <v>TOWLB</v>
          </cell>
          <cell r="I654" t="str">
            <v>GRS Certified* 83% Post Consumer Recycled Polyester (RM0189) 17% Pre Consumer Recycled Polyamide (RM1084)</v>
          </cell>
          <cell r="M654" t="str">
            <v>6302.93.2000</v>
          </cell>
          <cell r="N654">
            <v>6302600090</v>
          </cell>
          <cell r="O654" t="str">
            <v>6302.93.00.00</v>
          </cell>
          <cell r="P654">
            <v>63029390</v>
          </cell>
          <cell r="Q654">
            <v>0</v>
          </cell>
          <cell r="R654" t="str">
            <v>6302.39.00</v>
          </cell>
          <cell r="S654">
            <v>63029120</v>
          </cell>
        </row>
        <row r="655">
          <cell r="A655" t="str">
            <v>CABANA-LAR-PURPLE</v>
          </cell>
          <cell r="B655" t="str">
            <v>6.3739E+11</v>
          </cell>
          <cell r="C655" t="str">
            <v>CLOSED</v>
          </cell>
          <cell r="E655">
            <v>40</v>
          </cell>
          <cell r="F655" t="str">
            <v>before AW19</v>
          </cell>
          <cell r="G655" t="str">
            <v>XR Textile</v>
          </cell>
          <cell r="H655" t="str">
            <v>TOWLB</v>
          </cell>
          <cell r="I655" t="str">
            <v>GRS Certified* 83% Post Consumer Recycled Polyester (RM0189) 17% Pre Consumer Recycled Polyamide (RM1084)</v>
          </cell>
          <cell r="M655" t="str">
            <v>6302.93.2000</v>
          </cell>
          <cell r="N655">
            <v>6302600090</v>
          </cell>
          <cell r="O655" t="str">
            <v>6302.93.00.00</v>
          </cell>
          <cell r="P655">
            <v>63029390</v>
          </cell>
          <cell r="Q655">
            <v>0</v>
          </cell>
          <cell r="R655" t="str">
            <v>6302.39.00</v>
          </cell>
          <cell r="S655">
            <v>63029120</v>
          </cell>
        </row>
        <row r="656">
          <cell r="A656" t="str">
            <v>CABANA-LAR-RED</v>
          </cell>
          <cell r="B656" t="str">
            <v>6.3739E+11</v>
          </cell>
          <cell r="C656" t="str">
            <v>CLOSED</v>
          </cell>
          <cell r="E656">
            <v>40</v>
          </cell>
          <cell r="F656" t="str">
            <v>before AW19</v>
          </cell>
          <cell r="G656" t="str">
            <v>XR Textile</v>
          </cell>
          <cell r="H656" t="str">
            <v>TOWLB</v>
          </cell>
          <cell r="I656" t="str">
            <v>GRS Certified* 83% Post Consumer Recycled Polyester (RM0189) 17% Pre Consumer Recycled Polyamide (RM1084)</v>
          </cell>
          <cell r="M656" t="str">
            <v>6302.93.2000</v>
          </cell>
          <cell r="N656">
            <v>6302600090</v>
          </cell>
          <cell r="O656" t="str">
            <v>6302.93.00.00</v>
          </cell>
          <cell r="P656">
            <v>63029390</v>
          </cell>
          <cell r="Q656">
            <v>0</v>
          </cell>
          <cell r="R656" t="str">
            <v>6302.39.00</v>
          </cell>
          <cell r="S656">
            <v>63029120</v>
          </cell>
        </row>
        <row r="657">
          <cell r="A657" t="str">
            <v>CABANA-LAR-YELLOW</v>
          </cell>
          <cell r="B657" t="str">
            <v>6.3739E+11</v>
          </cell>
          <cell r="C657" t="str">
            <v>CLOSED</v>
          </cell>
          <cell r="E657">
            <v>40</v>
          </cell>
          <cell r="G657" t="str">
            <v>XR Textile</v>
          </cell>
          <cell r="H657" t="str">
            <v>TOWLB</v>
          </cell>
          <cell r="I657" t="str">
            <v>GRS Certified* 83% Post Consumer Recycled Polyester (RM0189) 17% Pre Consumer Recycled Polyamide (RM1084)</v>
          </cell>
          <cell r="M657" t="str">
            <v>6302.93.2000</v>
          </cell>
          <cell r="N657">
            <v>6302600090</v>
          </cell>
          <cell r="O657" t="str">
            <v>6302.93.00.00</v>
          </cell>
          <cell r="P657">
            <v>63029390</v>
          </cell>
          <cell r="Q657">
            <v>0</v>
          </cell>
          <cell r="R657" t="str">
            <v>6302.39.00</v>
          </cell>
          <cell r="S657">
            <v>63029120</v>
          </cell>
        </row>
        <row r="658">
          <cell r="A658" t="str">
            <v>CABANA-XLG-BLACK</v>
          </cell>
          <cell r="B658" t="str">
            <v>5.0607E+12</v>
          </cell>
          <cell r="C658" t="str">
            <v>CLOSED</v>
          </cell>
          <cell r="E658">
            <v>30</v>
          </cell>
          <cell r="G658" t="str">
            <v>XR Textile</v>
          </cell>
          <cell r="H658" t="str">
            <v>TOWLB</v>
          </cell>
          <cell r="I658" t="str">
            <v>GRS Certified* 83% Post Consumer Recycled Polyester (RM0189) 17% Pre Consumer Recycled Polyamide (RM1084)</v>
          </cell>
          <cell r="M658" t="str">
            <v>6302.93.2000</v>
          </cell>
          <cell r="N658">
            <v>6302600090</v>
          </cell>
          <cell r="O658" t="str">
            <v>6302.93.00.00</v>
          </cell>
          <cell r="P658">
            <v>63029390</v>
          </cell>
          <cell r="Q658">
            <v>0</v>
          </cell>
          <cell r="R658" t="str">
            <v>6302.39.00</v>
          </cell>
          <cell r="S658">
            <v>63029120</v>
          </cell>
        </row>
        <row r="659">
          <cell r="A659" t="str">
            <v>CABANA-XLG-GREEN</v>
          </cell>
          <cell r="B659" t="str">
            <v>6.3739E+11</v>
          </cell>
          <cell r="C659" t="str">
            <v>CLOSED</v>
          </cell>
          <cell r="E659">
            <v>30</v>
          </cell>
          <cell r="F659" t="str">
            <v>before AW20</v>
          </cell>
          <cell r="G659" t="str">
            <v>XR Textile</v>
          </cell>
          <cell r="H659" t="str">
            <v>TOWLB</v>
          </cell>
          <cell r="I659" t="str">
            <v>GRS Certified* 83% Post Consumer Recycled Polyester (RM0189) 17% Pre Consumer Recycled Polyamide (RM1084)</v>
          </cell>
          <cell r="M659" t="str">
            <v>6302.93.2000</v>
          </cell>
          <cell r="N659">
            <v>6302600090</v>
          </cell>
          <cell r="O659" t="str">
            <v>6302.93.00.00</v>
          </cell>
          <cell r="P659">
            <v>63029390</v>
          </cell>
          <cell r="Q659">
            <v>0</v>
          </cell>
          <cell r="R659" t="str">
            <v>6302.39.00</v>
          </cell>
          <cell r="S659">
            <v>63029120</v>
          </cell>
        </row>
        <row r="660">
          <cell r="A660" t="str">
            <v>CABANA-XLG-LIGHT-BEIGE</v>
          </cell>
          <cell r="B660" t="str">
            <v>6.5097E+11</v>
          </cell>
          <cell r="C660" t="str">
            <v>CLOSED</v>
          </cell>
          <cell r="E660">
            <v>30</v>
          </cell>
          <cell r="F660" t="str">
            <v>before AW19</v>
          </cell>
          <cell r="G660" t="str">
            <v>XR Textile</v>
          </cell>
          <cell r="H660" t="str">
            <v>TOWLB</v>
          </cell>
          <cell r="I660" t="str">
            <v>GRS Certified* 83% Post Consumer Recycled Polyester (RM0189) 17% Pre Consumer Recycled Polyamide (RM1084)</v>
          </cell>
          <cell r="M660" t="str">
            <v>6302.93.2000</v>
          </cell>
          <cell r="N660">
            <v>6302600090</v>
          </cell>
          <cell r="O660" t="str">
            <v>6302.93.00.00</v>
          </cell>
          <cell r="P660">
            <v>63029390</v>
          </cell>
          <cell r="Q660">
            <v>0</v>
          </cell>
          <cell r="R660" t="str">
            <v>6302.39.00</v>
          </cell>
          <cell r="S660">
            <v>63029120</v>
          </cell>
        </row>
        <row r="661">
          <cell r="A661" t="str">
            <v>CABANA-XLG-LIGHT-BLUE</v>
          </cell>
          <cell r="B661" t="str">
            <v>6.5097E+11</v>
          </cell>
          <cell r="C661" t="str">
            <v>CLOSED</v>
          </cell>
          <cell r="E661">
            <v>30</v>
          </cell>
          <cell r="F661" t="str">
            <v>before AW20</v>
          </cell>
          <cell r="G661" t="str">
            <v>XR Textile</v>
          </cell>
          <cell r="H661" t="str">
            <v>TOWLB</v>
          </cell>
          <cell r="I661" t="str">
            <v>GRS Certified* 83% Post Consumer Recycled Polyester (RM0189) 17% Pre Consumer Recycled Polyamide (RM1084)</v>
          </cell>
          <cell r="M661" t="str">
            <v>6302.93.2000</v>
          </cell>
          <cell r="N661">
            <v>6302600090</v>
          </cell>
          <cell r="O661" t="str">
            <v>6302.93.00.00</v>
          </cell>
          <cell r="P661">
            <v>63029390</v>
          </cell>
          <cell r="Q661">
            <v>0</v>
          </cell>
          <cell r="R661" t="str">
            <v>6302.39.00</v>
          </cell>
          <cell r="S661">
            <v>63029120</v>
          </cell>
        </row>
        <row r="662">
          <cell r="A662" t="str">
            <v>CABANA-XLG-LIGHT-GREEN</v>
          </cell>
          <cell r="B662" t="str">
            <v>6.5097E+11</v>
          </cell>
          <cell r="C662" t="str">
            <v>CLOSED</v>
          </cell>
          <cell r="E662">
            <v>30</v>
          </cell>
          <cell r="F662" t="str">
            <v>before AW19</v>
          </cell>
          <cell r="G662" t="str">
            <v>XR Textile</v>
          </cell>
          <cell r="H662" t="str">
            <v>TOWLB</v>
          </cell>
          <cell r="I662" t="str">
            <v>GRS Certified* 83% Post Consumer Recycled Polyester (RM0189) 17% Pre Consumer Recycled Polyamide (RM1084)</v>
          </cell>
          <cell r="M662" t="str">
            <v>6302.93.2000</v>
          </cell>
          <cell r="N662">
            <v>6302600090</v>
          </cell>
          <cell r="O662" t="str">
            <v>6302.93.00.00</v>
          </cell>
          <cell r="P662">
            <v>63029390</v>
          </cell>
          <cell r="Q662">
            <v>0</v>
          </cell>
          <cell r="R662" t="str">
            <v>6302.39.00</v>
          </cell>
          <cell r="S662">
            <v>63029120</v>
          </cell>
        </row>
        <row r="663">
          <cell r="A663" t="str">
            <v>CABANA-XLG-LIGHT-RED</v>
          </cell>
          <cell r="B663" t="str">
            <v>6.5097E+11</v>
          </cell>
          <cell r="C663" t="str">
            <v>CLOSED</v>
          </cell>
          <cell r="E663">
            <v>30</v>
          </cell>
          <cell r="F663" t="str">
            <v>before AW19</v>
          </cell>
          <cell r="G663" t="str">
            <v>XR Textile</v>
          </cell>
          <cell r="H663" t="str">
            <v>TOWLB</v>
          </cell>
          <cell r="I663" t="str">
            <v>GRS Certified* 83% Post Consumer Recycled Polyester (RM0189) 17% Pre Consumer Recycled Polyamide (RM1084)</v>
          </cell>
          <cell r="M663" t="str">
            <v>6302.93.2000</v>
          </cell>
          <cell r="N663">
            <v>6302600090</v>
          </cell>
          <cell r="O663" t="str">
            <v>6302.93.00.00</v>
          </cell>
          <cell r="P663">
            <v>63029390</v>
          </cell>
          <cell r="Q663">
            <v>0</v>
          </cell>
          <cell r="R663" t="str">
            <v>6302.39.00</v>
          </cell>
          <cell r="S663">
            <v>63029120</v>
          </cell>
        </row>
        <row r="664">
          <cell r="A664" t="str">
            <v>CABANA-XLG-ORANGE</v>
          </cell>
          <cell r="B664" t="str">
            <v>6.3739E+11</v>
          </cell>
          <cell r="C664" t="str">
            <v>CLOSED</v>
          </cell>
          <cell r="E664">
            <v>30</v>
          </cell>
          <cell r="F664" t="str">
            <v>before AW19</v>
          </cell>
          <cell r="G664" t="str">
            <v>XR Textile</v>
          </cell>
          <cell r="H664" t="str">
            <v>TOWLB</v>
          </cell>
          <cell r="I664" t="str">
            <v>GRS Certified* 83% Post Consumer Recycled Polyester (RM0189) 17% Pre Consumer Recycled Polyamide (RM1084)</v>
          </cell>
          <cell r="M664" t="str">
            <v>6302.93.2000</v>
          </cell>
          <cell r="N664">
            <v>6302600090</v>
          </cell>
          <cell r="O664" t="str">
            <v>6302.93.00.00</v>
          </cell>
          <cell r="P664">
            <v>63029390</v>
          </cell>
          <cell r="Q664">
            <v>0</v>
          </cell>
          <cell r="R664" t="str">
            <v>6302.39.00</v>
          </cell>
          <cell r="S664">
            <v>63029120</v>
          </cell>
        </row>
        <row r="665">
          <cell r="A665" t="str">
            <v>CABANA-XLG-PURPLE</v>
          </cell>
          <cell r="B665" t="str">
            <v>6.3739E+11</v>
          </cell>
          <cell r="C665" t="str">
            <v>CLOSED</v>
          </cell>
          <cell r="E665">
            <v>30</v>
          </cell>
          <cell r="F665" t="str">
            <v>before AW19</v>
          </cell>
          <cell r="G665" t="str">
            <v>XR Textile</v>
          </cell>
          <cell r="H665" t="str">
            <v>TOWLB</v>
          </cell>
          <cell r="I665" t="str">
            <v>GRS Certified* 83% Post Consumer Recycled Polyester (RM0189) 17% Pre Consumer Recycled Polyamide (RM1084)</v>
          </cell>
          <cell r="M665" t="str">
            <v>6302.93.2000</v>
          </cell>
          <cell r="N665">
            <v>6302600090</v>
          </cell>
          <cell r="O665" t="str">
            <v>6302.93.00.00</v>
          </cell>
          <cell r="P665">
            <v>63029390</v>
          </cell>
          <cell r="Q665">
            <v>0</v>
          </cell>
          <cell r="R665" t="str">
            <v>6302.39.00</v>
          </cell>
          <cell r="S665">
            <v>63029120</v>
          </cell>
        </row>
        <row r="666">
          <cell r="A666" t="str">
            <v>CABANA-XLG-RED</v>
          </cell>
          <cell r="B666" t="str">
            <v>6.3739E+11</v>
          </cell>
          <cell r="C666" t="str">
            <v>CLOSED</v>
          </cell>
          <cell r="E666">
            <v>30</v>
          </cell>
          <cell r="F666" t="str">
            <v>before AW19</v>
          </cell>
          <cell r="G666" t="str">
            <v>XR Textile</v>
          </cell>
          <cell r="H666" t="str">
            <v>TOWLB</v>
          </cell>
          <cell r="I666" t="str">
            <v>GRS Certified* 83% Post Consumer Recycled Polyester (RM0189) 17% Pre Consumer Recycled Polyamide (RM1084)</v>
          </cell>
          <cell r="M666" t="str">
            <v>6302.93.2000</v>
          </cell>
          <cell r="N666">
            <v>6302600090</v>
          </cell>
          <cell r="O666" t="str">
            <v>6302.93.00.00</v>
          </cell>
          <cell r="P666">
            <v>63029390</v>
          </cell>
          <cell r="Q666">
            <v>0</v>
          </cell>
          <cell r="R666" t="str">
            <v>6302.39.00</v>
          </cell>
          <cell r="S666">
            <v>63029120</v>
          </cell>
        </row>
        <row r="667">
          <cell r="A667" t="str">
            <v>CABANA-XLG-YELLOW</v>
          </cell>
          <cell r="B667" t="str">
            <v>6.3739E+11</v>
          </cell>
          <cell r="C667" t="str">
            <v>CLOSED</v>
          </cell>
          <cell r="E667">
            <v>30</v>
          </cell>
          <cell r="F667" t="str">
            <v>before AW19</v>
          </cell>
          <cell r="G667" t="str">
            <v>XR Textile</v>
          </cell>
          <cell r="H667" t="str">
            <v>TOWLB</v>
          </cell>
          <cell r="I667" t="str">
            <v>GRS Certified* 83% Post Consumer Recycled Polyester (RM0189) 17% Pre Consumer Recycled Polyamide (RM1084)</v>
          </cell>
          <cell r="M667" t="str">
            <v>6302.93.2000</v>
          </cell>
          <cell r="N667">
            <v>6302600090</v>
          </cell>
          <cell r="O667" t="str">
            <v>6302.93.00.00</v>
          </cell>
          <cell r="P667">
            <v>63029390</v>
          </cell>
          <cell r="Q667">
            <v>0</v>
          </cell>
          <cell r="R667" t="str">
            <v>6302.39.00</v>
          </cell>
          <cell r="S667">
            <v>63029120</v>
          </cell>
        </row>
        <row r="668">
          <cell r="A668" t="str">
            <v>CLASSIC-LAR-BLUE</v>
          </cell>
          <cell r="B668" t="str">
            <v>6.3739E+11</v>
          </cell>
          <cell r="C668" t="str">
            <v>CLOSED</v>
          </cell>
          <cell r="E668">
            <v>40</v>
          </cell>
          <cell r="G668" t="str">
            <v>XR Textile</v>
          </cell>
          <cell r="H668" t="str">
            <v>TOWLF</v>
          </cell>
          <cell r="I668" t="str">
            <v>GRS Certified* 83% Post Consumer Recycled Polyester (RM0189) 17% Pre Consumer Recycled Polyamide (RM1084)</v>
          </cell>
          <cell r="M668" t="str">
            <v>6302.93.2000</v>
          </cell>
          <cell r="N668">
            <v>6302600090</v>
          </cell>
          <cell r="O668" t="str">
            <v>6302.93.00.00</v>
          </cell>
          <cell r="P668">
            <v>6302939000</v>
          </cell>
          <cell r="Q668">
            <v>0</v>
          </cell>
          <cell r="R668" t="str">
            <v>6302.39.00</v>
          </cell>
          <cell r="S668">
            <v>63029120</v>
          </cell>
        </row>
        <row r="669">
          <cell r="A669" t="str">
            <v>CLASSIC-LAR-GREEN</v>
          </cell>
          <cell r="B669" t="str">
            <v>6.3739E+11</v>
          </cell>
          <cell r="C669" t="str">
            <v>CLOSED</v>
          </cell>
          <cell r="E669">
            <v>40</v>
          </cell>
          <cell r="G669" t="str">
            <v>XR Textile</v>
          </cell>
          <cell r="H669" t="str">
            <v>TOWLF</v>
          </cell>
          <cell r="I669" t="str">
            <v>GRS Certified* 83% Post Consumer Recycled Polyester (RM0189) 17% Pre Consumer Recycled Polyamide (RM1084)</v>
          </cell>
          <cell r="M669" t="str">
            <v>6302.93.2000</v>
          </cell>
          <cell r="N669">
            <v>6302600090</v>
          </cell>
          <cell r="O669" t="str">
            <v>6302.93.00.00</v>
          </cell>
          <cell r="P669">
            <v>6302939000</v>
          </cell>
          <cell r="Q669">
            <v>0</v>
          </cell>
          <cell r="R669" t="str">
            <v>6302.39.00</v>
          </cell>
          <cell r="S669">
            <v>63029120</v>
          </cell>
        </row>
        <row r="670">
          <cell r="A670" t="str">
            <v>CLASSIC-LAR-ORANGE</v>
          </cell>
          <cell r="B670" t="str">
            <v>6.3739E+11</v>
          </cell>
          <cell r="C670" t="str">
            <v>CLOSED</v>
          </cell>
          <cell r="E670">
            <v>40</v>
          </cell>
          <cell r="F670" t="str">
            <v>before AW19</v>
          </cell>
          <cell r="G670" t="str">
            <v>XR Textile</v>
          </cell>
          <cell r="H670" t="str">
            <v>TOWLF</v>
          </cell>
          <cell r="I670" t="str">
            <v>GRS Certified* 83% Post Consumer Recycled Polyester (RM0189) 17% Pre Consumer Recycled Polyamide (RM1084)</v>
          </cell>
          <cell r="M670" t="str">
            <v>6302.93.2000</v>
          </cell>
          <cell r="N670">
            <v>6302600090</v>
          </cell>
          <cell r="O670" t="str">
            <v>6302.93.00.00</v>
          </cell>
          <cell r="P670">
            <v>6302939000</v>
          </cell>
          <cell r="Q670">
            <v>0</v>
          </cell>
          <cell r="R670" t="str">
            <v>6302.39.00</v>
          </cell>
          <cell r="S670">
            <v>63029120</v>
          </cell>
        </row>
        <row r="671">
          <cell r="A671" t="str">
            <v>CLASSIC-LAR-PINK</v>
          </cell>
          <cell r="B671" t="str">
            <v>6.3739E+11</v>
          </cell>
          <cell r="C671" t="str">
            <v>CLOSED</v>
          </cell>
          <cell r="E671">
            <v>40</v>
          </cell>
          <cell r="G671" t="str">
            <v>XR Textile</v>
          </cell>
          <cell r="H671" t="str">
            <v>TOWLF</v>
          </cell>
          <cell r="I671" t="str">
            <v>GRS Certified* 83% Post Consumer Recycled Polyester (RM0189) 17% Pre Consumer Recycled Polyamide (RM1084)</v>
          </cell>
          <cell r="M671" t="str">
            <v>6302.93.2000</v>
          </cell>
          <cell r="N671">
            <v>6302600090</v>
          </cell>
          <cell r="O671" t="str">
            <v>6302.93.00.00</v>
          </cell>
          <cell r="P671">
            <v>6302939000</v>
          </cell>
          <cell r="Q671">
            <v>0</v>
          </cell>
          <cell r="R671" t="str">
            <v>6302.39.00</v>
          </cell>
          <cell r="S671">
            <v>63029120</v>
          </cell>
        </row>
        <row r="672">
          <cell r="A672" t="str">
            <v>CLASSIC-LAR-RED</v>
          </cell>
          <cell r="B672" t="str">
            <v>6.3739E+11</v>
          </cell>
          <cell r="C672" t="str">
            <v>CLOSED</v>
          </cell>
          <cell r="E672">
            <v>40</v>
          </cell>
          <cell r="G672" t="str">
            <v>XR Textile</v>
          </cell>
          <cell r="H672" t="str">
            <v>TOWLF</v>
          </cell>
          <cell r="I672" t="str">
            <v>GRS Certified* 83% Post Consumer Recycled Polyester (RM0189) 17% Pre Consumer Recycled Polyamide (RM1084)</v>
          </cell>
          <cell r="M672" t="str">
            <v>6302.93.2000</v>
          </cell>
          <cell r="N672">
            <v>6302600090</v>
          </cell>
          <cell r="O672" t="str">
            <v>6302.93.00.00</v>
          </cell>
          <cell r="P672">
            <v>6302939000</v>
          </cell>
          <cell r="Q672">
            <v>0</v>
          </cell>
          <cell r="R672" t="str">
            <v>6302.39.00</v>
          </cell>
          <cell r="S672">
            <v>63029120</v>
          </cell>
        </row>
        <row r="673">
          <cell r="A673" t="str">
            <v>CLASSIC-SML-GREEN</v>
          </cell>
          <cell r="B673" t="str">
            <v>6.5097E+11</v>
          </cell>
          <cell r="C673" t="str">
            <v>CLOSED</v>
          </cell>
          <cell r="E673">
            <v>50</v>
          </cell>
          <cell r="F673" t="str">
            <v>before AW20</v>
          </cell>
          <cell r="G673" t="str">
            <v>XR Textile</v>
          </cell>
          <cell r="H673" t="str">
            <v>TOWLF</v>
          </cell>
          <cell r="I673" t="str">
            <v>GRS Certified* 83% Post Consumer Recycled Polyester (RM0189) 17% Pre Consumer Recycled Polyamide (RM1084)</v>
          </cell>
          <cell r="M673" t="str">
            <v>6302.93.2000</v>
          </cell>
          <cell r="N673">
            <v>6302600090</v>
          </cell>
          <cell r="O673" t="str">
            <v>6302.93.00.00</v>
          </cell>
          <cell r="P673">
            <v>6302939000</v>
          </cell>
          <cell r="Q673">
            <v>0</v>
          </cell>
          <cell r="R673" t="str">
            <v>6302.39.00</v>
          </cell>
          <cell r="S673">
            <v>63029120</v>
          </cell>
        </row>
        <row r="674">
          <cell r="A674" t="str">
            <v>CLASSIC-SML-ORANGE</v>
          </cell>
          <cell r="B674" t="str">
            <v>6.5097E+11</v>
          </cell>
          <cell r="C674" t="str">
            <v>CLOSED</v>
          </cell>
          <cell r="E674">
            <v>50</v>
          </cell>
          <cell r="F674" t="str">
            <v>before AW19</v>
          </cell>
          <cell r="G674" t="str">
            <v>XR Textile</v>
          </cell>
          <cell r="H674" t="str">
            <v>TOWLF</v>
          </cell>
          <cell r="I674" t="str">
            <v>GRS Certified* 83% Post Consumer Recycled Polyester (RM0189) 17% Pre Consumer Recycled Polyamide (RM1084)</v>
          </cell>
          <cell r="M674" t="str">
            <v>6302.93.2000</v>
          </cell>
          <cell r="N674">
            <v>6302600090</v>
          </cell>
          <cell r="O674" t="str">
            <v>6302.93.00.00</v>
          </cell>
          <cell r="P674">
            <v>6302939000</v>
          </cell>
          <cell r="Q674">
            <v>0</v>
          </cell>
          <cell r="R674" t="str">
            <v>6302.39.00</v>
          </cell>
          <cell r="S674">
            <v>63029120</v>
          </cell>
        </row>
        <row r="675">
          <cell r="A675" t="str">
            <v>CLASSIC-SML-PINK</v>
          </cell>
          <cell r="B675" t="str">
            <v>6.5097E+11</v>
          </cell>
          <cell r="C675" t="str">
            <v>CLOSED</v>
          </cell>
          <cell r="E675">
            <v>50</v>
          </cell>
          <cell r="F675" t="str">
            <v>before AW20</v>
          </cell>
          <cell r="G675" t="str">
            <v>XR Textile</v>
          </cell>
          <cell r="H675" t="str">
            <v>TOWLF</v>
          </cell>
          <cell r="I675" t="str">
            <v>GRS Certified* 83% Post Consumer Recycled Polyester (RM0189) 17% Pre Consumer Recycled Polyamide (RM1084)</v>
          </cell>
          <cell r="M675" t="str">
            <v>6302.93.2000</v>
          </cell>
          <cell r="N675">
            <v>6302600090</v>
          </cell>
          <cell r="O675" t="str">
            <v>6302.93.00.00</v>
          </cell>
          <cell r="P675">
            <v>6302939000</v>
          </cell>
          <cell r="Q675">
            <v>0</v>
          </cell>
          <cell r="R675" t="str">
            <v>6302.39.00</v>
          </cell>
          <cell r="S675">
            <v>63029120</v>
          </cell>
        </row>
        <row r="676">
          <cell r="A676" t="str">
            <v>CLASSIC-SML-PURPLE</v>
          </cell>
          <cell r="B676" t="str">
            <v>6.5097E+11</v>
          </cell>
          <cell r="C676" t="str">
            <v>CLOSED</v>
          </cell>
          <cell r="E676">
            <v>50</v>
          </cell>
          <cell r="G676" t="str">
            <v>XR Textile</v>
          </cell>
          <cell r="H676" t="str">
            <v>TOWLF</v>
          </cell>
          <cell r="I676" t="str">
            <v>GRS Certified* 83% Post Consumer Recycled Polyester (RM0189) 17% Pre Consumer Recycled Polyamide (RM1084)</v>
          </cell>
          <cell r="M676" t="str">
            <v>6302.93.2000</v>
          </cell>
          <cell r="N676">
            <v>6302600090</v>
          </cell>
          <cell r="O676" t="str">
            <v>6302.93.00.00</v>
          </cell>
          <cell r="P676">
            <v>6302939000</v>
          </cell>
          <cell r="Q676">
            <v>0</v>
          </cell>
          <cell r="R676" t="str">
            <v>6302.39.00</v>
          </cell>
          <cell r="S676">
            <v>63029120</v>
          </cell>
        </row>
        <row r="677">
          <cell r="A677" t="str">
            <v>CLASSIC-SML-RED</v>
          </cell>
          <cell r="B677" t="str">
            <v>6.5097E+11</v>
          </cell>
          <cell r="C677" t="str">
            <v>CLOSED</v>
          </cell>
          <cell r="E677">
            <v>50</v>
          </cell>
          <cell r="F677" t="str">
            <v>before AW20</v>
          </cell>
          <cell r="G677" t="str">
            <v>XR Textile</v>
          </cell>
          <cell r="H677" t="str">
            <v>TOWLF</v>
          </cell>
          <cell r="I677" t="str">
            <v>GRS Certified* 83% Post Consumer Recycled Polyester (RM0189) 17% Pre Consumer Recycled Polyamide (RM1084)</v>
          </cell>
          <cell r="M677" t="str">
            <v>6302.93.2000</v>
          </cell>
          <cell r="N677">
            <v>6302600090</v>
          </cell>
          <cell r="O677" t="str">
            <v>6302.93.00.00</v>
          </cell>
          <cell r="P677">
            <v>6302939000</v>
          </cell>
          <cell r="Q677">
            <v>0</v>
          </cell>
          <cell r="R677" t="str">
            <v>6302.39.00</v>
          </cell>
          <cell r="S677">
            <v>63029120</v>
          </cell>
        </row>
        <row r="678">
          <cell r="A678" t="str">
            <v>CLASSIC-XLG-BLUE</v>
          </cell>
          <cell r="B678" t="str">
            <v>6.3739E+11</v>
          </cell>
          <cell r="C678" t="str">
            <v>CLOSED</v>
          </cell>
          <cell r="E678">
            <v>30</v>
          </cell>
          <cell r="G678" t="str">
            <v>XR Textile</v>
          </cell>
          <cell r="H678" t="str">
            <v>TOWLF</v>
          </cell>
          <cell r="I678" t="str">
            <v>GRS Certified* 83% Post Consumer Recycled Polyester (RM0189) 17% Pre Consumer Recycled Polyamide (RM1084)</v>
          </cell>
          <cell r="M678" t="str">
            <v>6302.93.2000</v>
          </cell>
          <cell r="N678">
            <v>6302600090</v>
          </cell>
          <cell r="O678" t="str">
            <v>6302.93.00.00</v>
          </cell>
          <cell r="P678">
            <v>6302939000</v>
          </cell>
          <cell r="Q678">
            <v>0</v>
          </cell>
          <cell r="R678" t="str">
            <v>6302.39.00</v>
          </cell>
          <cell r="S678">
            <v>63029120</v>
          </cell>
        </row>
        <row r="679">
          <cell r="A679" t="str">
            <v>CLASSIC-XLG-GREEN</v>
          </cell>
          <cell r="B679" t="str">
            <v>6.3739E+11</v>
          </cell>
          <cell r="C679" t="str">
            <v>CLOSED</v>
          </cell>
          <cell r="E679">
            <v>30</v>
          </cell>
          <cell r="F679" t="str">
            <v>before AW19</v>
          </cell>
          <cell r="G679" t="str">
            <v>XR Textile</v>
          </cell>
          <cell r="H679" t="str">
            <v>TOWLF</v>
          </cell>
          <cell r="I679" t="str">
            <v>GRS Certified* 83% Post Consumer Recycled Polyester (RM0189) 17% Pre Consumer Recycled Polyamide (RM1084)</v>
          </cell>
          <cell r="M679" t="str">
            <v>6302.93.2000</v>
          </cell>
          <cell r="N679">
            <v>6302600090</v>
          </cell>
          <cell r="O679" t="str">
            <v>6302.93.00.00</v>
          </cell>
          <cell r="P679">
            <v>6302939000</v>
          </cell>
          <cell r="Q679">
            <v>0</v>
          </cell>
          <cell r="R679" t="str">
            <v>6302.39.00</v>
          </cell>
          <cell r="S679">
            <v>63029120</v>
          </cell>
        </row>
        <row r="680">
          <cell r="A680" t="str">
            <v>CLASSIC-XLG-ORANGE</v>
          </cell>
          <cell r="B680" t="str">
            <v>6.3739E+11</v>
          </cell>
          <cell r="C680" t="str">
            <v>CLOSED</v>
          </cell>
          <cell r="E680">
            <v>30</v>
          </cell>
          <cell r="G680" t="str">
            <v>XR Textile</v>
          </cell>
          <cell r="H680" t="str">
            <v>TOWLF</v>
          </cell>
          <cell r="I680" t="str">
            <v>GRS Certified* 83% Post Consumer Recycled Polyester (RM0189) 17% Pre Consumer Recycled Polyamide (RM1084)</v>
          </cell>
          <cell r="M680" t="str">
            <v>6302.93.2000</v>
          </cell>
          <cell r="N680">
            <v>6302600090</v>
          </cell>
          <cell r="O680" t="str">
            <v>6302.93.00.00</v>
          </cell>
          <cell r="P680">
            <v>6302939000</v>
          </cell>
          <cell r="Q680">
            <v>0</v>
          </cell>
          <cell r="R680" t="str">
            <v>6302.39.00</v>
          </cell>
          <cell r="S680">
            <v>63029120</v>
          </cell>
        </row>
        <row r="681">
          <cell r="A681" t="str">
            <v>CLASSIC-XLG-PINK</v>
          </cell>
          <cell r="B681" t="str">
            <v>6.3739E+11</v>
          </cell>
          <cell r="C681" t="str">
            <v>CLOSED</v>
          </cell>
          <cell r="E681">
            <v>30</v>
          </cell>
          <cell r="F681" t="str">
            <v>before AW20</v>
          </cell>
          <cell r="G681" t="str">
            <v>XR Textile</v>
          </cell>
          <cell r="H681" t="str">
            <v>TOWLF</v>
          </cell>
          <cell r="I681" t="str">
            <v>GRS Certified* 83% Post Consumer Recycled Polyester (RM0189) 17% Pre Consumer Recycled Polyamide (RM1084)</v>
          </cell>
          <cell r="M681" t="str">
            <v>6302.93.2000</v>
          </cell>
          <cell r="N681">
            <v>6302600090</v>
          </cell>
          <cell r="O681" t="str">
            <v>6302.93.00.00</v>
          </cell>
          <cell r="P681">
            <v>6302939000</v>
          </cell>
          <cell r="Q681">
            <v>0</v>
          </cell>
          <cell r="R681" t="str">
            <v>6302.39.00</v>
          </cell>
          <cell r="S681">
            <v>63029120</v>
          </cell>
        </row>
        <row r="682">
          <cell r="A682" t="str">
            <v>CLASSIC-XLG-PURPLE</v>
          </cell>
          <cell r="B682" t="str">
            <v>6.5097E+11</v>
          </cell>
          <cell r="C682" t="str">
            <v>CLOSED</v>
          </cell>
          <cell r="E682">
            <v>30</v>
          </cell>
          <cell r="G682" t="str">
            <v>XR Textile</v>
          </cell>
          <cell r="H682" t="str">
            <v>TOWLF</v>
          </cell>
          <cell r="I682" t="str">
            <v>GRS Certified* 83% Post Consumer Recycled Polyester (RM0189) 17% Pre Consumer Recycled Polyamide (RM1084)</v>
          </cell>
          <cell r="M682" t="str">
            <v>6302.93.2000</v>
          </cell>
          <cell r="N682">
            <v>6302600090</v>
          </cell>
          <cell r="O682" t="str">
            <v>6302.93.00.00</v>
          </cell>
          <cell r="P682">
            <v>6302939000</v>
          </cell>
          <cell r="Q682">
            <v>0</v>
          </cell>
          <cell r="R682" t="str">
            <v>6302.39.00</v>
          </cell>
          <cell r="S682">
            <v>63029120</v>
          </cell>
        </row>
        <row r="683">
          <cell r="A683" t="str">
            <v>CLASSIC-XLG-RED</v>
          </cell>
          <cell r="B683" t="str">
            <v>6.3739E+11</v>
          </cell>
          <cell r="C683" t="str">
            <v>CLOSED</v>
          </cell>
          <cell r="E683">
            <v>30</v>
          </cell>
          <cell r="F683" t="str">
            <v>before AW20</v>
          </cell>
          <cell r="G683" t="str">
            <v>XR Textile</v>
          </cell>
          <cell r="H683" t="str">
            <v>TOWLF</v>
          </cell>
          <cell r="I683" t="str">
            <v>GRS Certified* 83% Post Consumer Recycled Polyester (RM0189) 17% Pre Consumer Recycled Polyamide (RM1084)</v>
          </cell>
          <cell r="M683" t="str">
            <v>6302.93.2000</v>
          </cell>
          <cell r="N683">
            <v>6302600090</v>
          </cell>
          <cell r="O683" t="str">
            <v>6302.93.00.00</v>
          </cell>
          <cell r="P683">
            <v>6302939000</v>
          </cell>
          <cell r="Q683">
            <v>0</v>
          </cell>
          <cell r="R683" t="str">
            <v>6302.39.00</v>
          </cell>
          <cell r="S683">
            <v>63029120</v>
          </cell>
        </row>
        <row r="684">
          <cell r="A684" t="str">
            <v>COOL-CAB-BLACK-R</v>
          </cell>
          <cell r="B684" t="str">
            <v>5.0607E+12</v>
          </cell>
          <cell r="C684" t="str">
            <v>CLOSED</v>
          </cell>
          <cell r="E684">
            <v>100</v>
          </cell>
          <cell r="F684" t="str">
            <v>before AW20</v>
          </cell>
          <cell r="G684" t="str">
            <v>Bright Eagle (Rebecca)</v>
          </cell>
          <cell r="H684" t="str">
            <v>COOL</v>
          </cell>
          <cell r="M684" t="str">
            <v>6302.93.2000</v>
          </cell>
          <cell r="N684">
            <v>6302939000</v>
          </cell>
          <cell r="O684">
            <v>6302939000</v>
          </cell>
          <cell r="P684">
            <v>6302939000</v>
          </cell>
          <cell r="Q684">
            <v>0</v>
          </cell>
          <cell r="R684" t="str">
            <v>6302.29.00</v>
          </cell>
          <cell r="S684">
            <v>0</v>
          </cell>
        </row>
        <row r="685">
          <cell r="A685" t="str">
            <v>COOL-CAB-GREEN-R</v>
          </cell>
          <cell r="B685" t="str">
            <v>5.0607E+12</v>
          </cell>
          <cell r="C685" t="str">
            <v>CLOSED</v>
          </cell>
          <cell r="E685">
            <v>100</v>
          </cell>
          <cell r="F685" t="str">
            <v>before AW20</v>
          </cell>
          <cell r="G685" t="str">
            <v>Bright Eagle (Rebecca)</v>
          </cell>
          <cell r="H685" t="str">
            <v>COOL</v>
          </cell>
          <cell r="M685" t="str">
            <v>6302.93.2000</v>
          </cell>
          <cell r="N685">
            <v>6302939000</v>
          </cell>
          <cell r="O685">
            <v>6302939000</v>
          </cell>
          <cell r="P685">
            <v>6302939000</v>
          </cell>
          <cell r="Q685">
            <v>0</v>
          </cell>
          <cell r="R685" t="str">
            <v>6302.29.00</v>
          </cell>
          <cell r="S685">
            <v>0</v>
          </cell>
        </row>
        <row r="686">
          <cell r="A686" t="str">
            <v>COOL-CAB-LTBLU-R</v>
          </cell>
          <cell r="B686" t="str">
            <v>5.0607E+12</v>
          </cell>
          <cell r="C686" t="str">
            <v>CLOSED</v>
          </cell>
          <cell r="E686">
            <v>100</v>
          </cell>
          <cell r="F686" t="str">
            <v>SS22</v>
          </cell>
          <cell r="G686" t="str">
            <v>Bright Eagle (Rebecca)</v>
          </cell>
          <cell r="H686" t="str">
            <v>COOL</v>
          </cell>
          <cell r="M686" t="str">
            <v>6302.93.2000</v>
          </cell>
          <cell r="N686">
            <v>6302939000</v>
          </cell>
          <cell r="O686">
            <v>6302939000</v>
          </cell>
          <cell r="P686">
            <v>6302939000</v>
          </cell>
          <cell r="Q686">
            <v>0</v>
          </cell>
          <cell r="R686" t="str">
            <v>6302.29.00</v>
          </cell>
          <cell r="S686">
            <v>0</v>
          </cell>
        </row>
        <row r="687">
          <cell r="A687" t="str">
            <v>COOL-CAB-LTPPL-R</v>
          </cell>
          <cell r="B687" t="str">
            <v>5.0607E+12</v>
          </cell>
          <cell r="C687" t="str">
            <v>CLOSED</v>
          </cell>
          <cell r="E687">
            <v>100</v>
          </cell>
          <cell r="F687" t="str">
            <v>SS22</v>
          </cell>
          <cell r="G687" t="str">
            <v>Bright Eagle (Rebecca)</v>
          </cell>
          <cell r="H687" t="str">
            <v>COOL</v>
          </cell>
          <cell r="M687" t="str">
            <v>6302.93.2000</v>
          </cell>
          <cell r="N687">
            <v>6302939000</v>
          </cell>
          <cell r="O687">
            <v>6302939000</v>
          </cell>
          <cell r="P687">
            <v>6302939000</v>
          </cell>
          <cell r="Q687">
            <v>0</v>
          </cell>
          <cell r="R687" t="str">
            <v>6302.29.00</v>
          </cell>
          <cell r="S687">
            <v>0</v>
          </cell>
        </row>
        <row r="688">
          <cell r="A688" t="str">
            <v>COOL-CAB-PINK-R</v>
          </cell>
          <cell r="B688" t="str">
            <v>5.0607E+12</v>
          </cell>
          <cell r="C688" t="str">
            <v>CLOSED</v>
          </cell>
          <cell r="E688">
            <v>100</v>
          </cell>
          <cell r="F688" t="str">
            <v>before AW20</v>
          </cell>
          <cell r="G688" t="str">
            <v>Bright Eagle (Rebecca)</v>
          </cell>
          <cell r="H688" t="str">
            <v>COOL</v>
          </cell>
          <cell r="M688" t="str">
            <v>6302.93.2000</v>
          </cell>
          <cell r="N688">
            <v>6302939000</v>
          </cell>
          <cell r="O688">
            <v>6302939000</v>
          </cell>
          <cell r="P688">
            <v>6302939000</v>
          </cell>
          <cell r="Q688">
            <v>0</v>
          </cell>
          <cell r="R688" t="str">
            <v>6302.29.00</v>
          </cell>
          <cell r="S688">
            <v>0</v>
          </cell>
        </row>
        <row r="689">
          <cell r="A689" t="str">
            <v>COOL-CAB-PURPL-R</v>
          </cell>
          <cell r="B689" t="str">
            <v>5.0607E+12</v>
          </cell>
          <cell r="C689" t="str">
            <v>CLOSED</v>
          </cell>
          <cell r="E689">
            <v>100</v>
          </cell>
          <cell r="F689" t="str">
            <v>before AW20</v>
          </cell>
          <cell r="G689" t="str">
            <v>Bright Eagle (Rebecca)</v>
          </cell>
          <cell r="H689" t="str">
            <v>COOL</v>
          </cell>
          <cell r="M689" t="str">
            <v>6302.93.2000</v>
          </cell>
          <cell r="N689">
            <v>6302939000</v>
          </cell>
          <cell r="O689">
            <v>6302939000</v>
          </cell>
          <cell r="P689">
            <v>6302939000</v>
          </cell>
          <cell r="Q689">
            <v>0</v>
          </cell>
          <cell r="R689" t="str">
            <v>6302.29.00</v>
          </cell>
          <cell r="S689">
            <v>0</v>
          </cell>
        </row>
        <row r="690">
          <cell r="A690" t="str">
            <v>COOL-CAB-RED-R</v>
          </cell>
          <cell r="B690" t="str">
            <v>5.0607E+12</v>
          </cell>
          <cell r="C690" t="str">
            <v>CLOSED</v>
          </cell>
          <cell r="E690">
            <v>100</v>
          </cell>
          <cell r="F690" t="str">
            <v>before AW20</v>
          </cell>
          <cell r="G690" t="str">
            <v>Bright Eagle (Rebecca)</v>
          </cell>
          <cell r="H690" t="str">
            <v>COOL</v>
          </cell>
          <cell r="M690" t="str">
            <v>6302.93.2000</v>
          </cell>
          <cell r="N690">
            <v>6302939000</v>
          </cell>
          <cell r="O690">
            <v>6302939000</v>
          </cell>
          <cell r="P690">
            <v>6302939000</v>
          </cell>
          <cell r="Q690">
            <v>0</v>
          </cell>
          <cell r="R690" t="str">
            <v>6302.29.00</v>
          </cell>
          <cell r="S690">
            <v>0</v>
          </cell>
        </row>
        <row r="691">
          <cell r="A691" t="str">
            <v>COOL-FST-BLU-R</v>
          </cell>
          <cell r="B691" t="str">
            <v>5.0607E+12</v>
          </cell>
          <cell r="C691" t="str">
            <v>CLOSED</v>
          </cell>
          <cell r="E691">
            <v>100</v>
          </cell>
          <cell r="F691" t="str">
            <v>SS21</v>
          </cell>
          <cell r="G691" t="str">
            <v>Bright Eagle (Rebecca)</v>
          </cell>
          <cell r="H691" t="str">
            <v>COOL</v>
          </cell>
          <cell r="M691" t="str">
            <v>6302.93.2000</v>
          </cell>
          <cell r="N691">
            <v>6302939000</v>
          </cell>
          <cell r="O691">
            <v>6302939000</v>
          </cell>
          <cell r="P691">
            <v>6302939000</v>
          </cell>
          <cell r="Q691">
            <v>0</v>
          </cell>
          <cell r="R691" t="str">
            <v>6302.29.00</v>
          </cell>
          <cell r="S691">
            <v>0</v>
          </cell>
        </row>
        <row r="692">
          <cell r="A692" t="str">
            <v>COOL-FST-BRT-R</v>
          </cell>
          <cell r="B692" t="str">
            <v>5.0607E+12</v>
          </cell>
          <cell r="C692" t="str">
            <v>CLOSED</v>
          </cell>
          <cell r="E692">
            <v>100</v>
          </cell>
          <cell r="F692" t="str">
            <v>SS21</v>
          </cell>
          <cell r="G692" t="str">
            <v>Bright Eagle (Rebecca)</v>
          </cell>
          <cell r="H692" t="str">
            <v>COOL</v>
          </cell>
          <cell r="M692" t="str">
            <v>6302.93.2000</v>
          </cell>
          <cell r="N692">
            <v>6302939000</v>
          </cell>
          <cell r="O692">
            <v>6302939000</v>
          </cell>
          <cell r="P692">
            <v>6302939000</v>
          </cell>
          <cell r="Q692">
            <v>0</v>
          </cell>
          <cell r="R692" t="str">
            <v>6302.29.00</v>
          </cell>
          <cell r="S692">
            <v>0</v>
          </cell>
        </row>
        <row r="693">
          <cell r="A693" t="str">
            <v>COOL-FST-GRN-R</v>
          </cell>
          <cell r="B693" t="str">
            <v>5.0607E+12</v>
          </cell>
          <cell r="C693" t="str">
            <v>CLOSED</v>
          </cell>
          <cell r="E693">
            <v>100</v>
          </cell>
          <cell r="F693" t="str">
            <v>SS21</v>
          </cell>
          <cell r="G693" t="str">
            <v>Bright Eagle (Rebecca)</v>
          </cell>
          <cell r="H693" t="str">
            <v>COOL</v>
          </cell>
          <cell r="M693" t="str">
            <v>6302.93.2000</v>
          </cell>
          <cell r="N693">
            <v>6302939000</v>
          </cell>
          <cell r="O693">
            <v>6302939000</v>
          </cell>
          <cell r="P693">
            <v>6302939000</v>
          </cell>
          <cell r="Q693">
            <v>0</v>
          </cell>
          <cell r="R693" t="str">
            <v>6302.29.00</v>
          </cell>
          <cell r="S693">
            <v>0</v>
          </cell>
        </row>
        <row r="694">
          <cell r="A694" t="str">
            <v>COOL-FST-GRY-R</v>
          </cell>
          <cell r="B694" t="str">
            <v>5.0607E+12</v>
          </cell>
          <cell r="C694" t="str">
            <v>CLOSED</v>
          </cell>
          <cell r="E694">
            <v>100</v>
          </cell>
          <cell r="F694" t="str">
            <v>SS21</v>
          </cell>
          <cell r="G694" t="str">
            <v>Bright Eagle (Rebecca)</v>
          </cell>
          <cell r="H694" t="str">
            <v>COOL</v>
          </cell>
          <cell r="M694" t="str">
            <v>6302.93.2000</v>
          </cell>
          <cell r="N694">
            <v>6302939000</v>
          </cell>
          <cell r="O694">
            <v>6302939000</v>
          </cell>
          <cell r="P694">
            <v>6302939000</v>
          </cell>
          <cell r="Q694">
            <v>0</v>
          </cell>
          <cell r="R694" t="str">
            <v>6302.29.00</v>
          </cell>
          <cell r="S694">
            <v>0</v>
          </cell>
        </row>
        <row r="695">
          <cell r="A695" t="str">
            <v>COOL-FST-PNK-R</v>
          </cell>
          <cell r="B695" t="str">
            <v>5.0607E+12</v>
          </cell>
          <cell r="C695" t="str">
            <v>CLOSED</v>
          </cell>
          <cell r="E695">
            <v>100</v>
          </cell>
          <cell r="F695" t="str">
            <v>SS21</v>
          </cell>
          <cell r="G695" t="str">
            <v>Bright Eagle (Rebecca)</v>
          </cell>
          <cell r="H695" t="str">
            <v>COOL</v>
          </cell>
          <cell r="M695" t="str">
            <v>6302.93.2000</v>
          </cell>
          <cell r="N695">
            <v>6302939000</v>
          </cell>
          <cell r="O695">
            <v>6302939000</v>
          </cell>
          <cell r="P695">
            <v>6302939000</v>
          </cell>
          <cell r="Q695">
            <v>0</v>
          </cell>
          <cell r="R695" t="str">
            <v>6302.29.00</v>
          </cell>
          <cell r="S695">
            <v>0</v>
          </cell>
        </row>
        <row r="696">
          <cell r="A696" t="str">
            <v>COOL-MAR-BLACK</v>
          </cell>
          <cell r="B696" t="str">
            <v>5.0607E+12</v>
          </cell>
          <cell r="C696" t="str">
            <v>CLOSED</v>
          </cell>
          <cell r="D696" t="str">
            <v>Seasonal</v>
          </cell>
          <cell r="E696">
            <v>100</v>
          </cell>
          <cell r="F696" t="str">
            <v>SS23</v>
          </cell>
          <cell r="G696" t="str">
            <v>Bright Eagle (Rebecca)</v>
          </cell>
          <cell r="H696" t="str">
            <v>COOL</v>
          </cell>
          <cell r="M696" t="str">
            <v>6302.93.2000</v>
          </cell>
          <cell r="N696">
            <v>6302939000</v>
          </cell>
          <cell r="O696">
            <v>6302939000</v>
          </cell>
          <cell r="P696">
            <v>6302939000</v>
          </cell>
          <cell r="Q696">
            <v>0</v>
          </cell>
          <cell r="R696" t="str">
            <v>6302.29.00</v>
          </cell>
          <cell r="S696">
            <v>0</v>
          </cell>
        </row>
        <row r="697">
          <cell r="A697" t="str">
            <v>COOL-MAR-BLUE</v>
          </cell>
          <cell r="B697" t="str">
            <v>5.0607E+12</v>
          </cell>
          <cell r="C697" t="str">
            <v>CLOSED</v>
          </cell>
          <cell r="D697" t="str">
            <v>Seasonal</v>
          </cell>
          <cell r="E697">
            <v>100</v>
          </cell>
          <cell r="F697" t="str">
            <v>SS23</v>
          </cell>
          <cell r="G697" t="str">
            <v>Bright Eagle (Rebecca)</v>
          </cell>
          <cell r="H697" t="str">
            <v>COOL</v>
          </cell>
          <cell r="M697" t="str">
            <v>6302.93.2000</v>
          </cell>
          <cell r="N697">
            <v>6302939000</v>
          </cell>
          <cell r="O697">
            <v>6302939000</v>
          </cell>
          <cell r="P697">
            <v>6302939000</v>
          </cell>
          <cell r="Q697">
            <v>0</v>
          </cell>
          <cell r="R697" t="str">
            <v>6302.29.00</v>
          </cell>
          <cell r="S697">
            <v>0</v>
          </cell>
        </row>
        <row r="698">
          <cell r="A698" t="str">
            <v>COOL-MAR-NAVY</v>
          </cell>
          <cell r="B698" t="str">
            <v>5.0607E+12</v>
          </cell>
          <cell r="C698" t="str">
            <v>CLOSED</v>
          </cell>
          <cell r="E698">
            <v>100</v>
          </cell>
          <cell r="F698" t="str">
            <v>SS23</v>
          </cell>
          <cell r="G698" t="str">
            <v>Bright Eagle (Rebecca)</v>
          </cell>
          <cell r="H698" t="str">
            <v>COOL</v>
          </cell>
          <cell r="M698" t="str">
            <v>6302.93.2000</v>
          </cell>
          <cell r="N698">
            <v>6302939000</v>
          </cell>
          <cell r="O698">
            <v>6302939000</v>
          </cell>
          <cell r="P698">
            <v>6302939000</v>
          </cell>
          <cell r="Q698">
            <v>0</v>
          </cell>
          <cell r="R698" t="str">
            <v>6302.29.00</v>
          </cell>
          <cell r="S698">
            <v>0</v>
          </cell>
        </row>
        <row r="699">
          <cell r="A699" t="str">
            <v>COOL-MAR-PINK</v>
          </cell>
          <cell r="B699" t="str">
            <v>5.0607E+12</v>
          </cell>
          <cell r="C699" t="str">
            <v>CLOSED</v>
          </cell>
          <cell r="D699" t="str">
            <v>Seasonal</v>
          </cell>
          <cell r="E699">
            <v>100</v>
          </cell>
          <cell r="F699" t="str">
            <v>SS23</v>
          </cell>
          <cell r="G699" t="str">
            <v>Bright Eagle (Rebecca)</v>
          </cell>
          <cell r="H699" t="str">
            <v>COOL</v>
          </cell>
          <cell r="M699" t="str">
            <v>6302.93.2000</v>
          </cell>
          <cell r="N699">
            <v>6302939000</v>
          </cell>
          <cell r="O699">
            <v>6302939000</v>
          </cell>
          <cell r="P699">
            <v>6302939000</v>
          </cell>
          <cell r="Q699">
            <v>0</v>
          </cell>
          <cell r="R699" t="str">
            <v>6302.29.00</v>
          </cell>
          <cell r="S699">
            <v>0</v>
          </cell>
        </row>
        <row r="700">
          <cell r="A700" t="str">
            <v>COOLING-STRIPE-BLACK</v>
          </cell>
          <cell r="B700" t="str">
            <v>5.0607E+12</v>
          </cell>
          <cell r="C700" t="str">
            <v>CLOSED</v>
          </cell>
          <cell r="E700">
            <v>100</v>
          </cell>
          <cell r="G700" t="str">
            <v>Bright Eagle (Rebecca)</v>
          </cell>
          <cell r="H700" t="str">
            <v>COOL</v>
          </cell>
          <cell r="M700" t="str">
            <v>6302.93.2000</v>
          </cell>
          <cell r="N700">
            <v>6302939000</v>
          </cell>
          <cell r="O700">
            <v>6302939000</v>
          </cell>
          <cell r="P700">
            <v>6302939000</v>
          </cell>
          <cell r="Q700">
            <v>0</v>
          </cell>
          <cell r="R700" t="str">
            <v>6302.29.00</v>
          </cell>
          <cell r="S700">
            <v>0</v>
          </cell>
        </row>
        <row r="701">
          <cell r="A701" t="str">
            <v>COOLING-STRIPE-BLUE</v>
          </cell>
          <cell r="B701" t="str">
            <v>5.0607E+12</v>
          </cell>
          <cell r="C701" t="str">
            <v>CLOSED</v>
          </cell>
          <cell r="E701">
            <v>100</v>
          </cell>
          <cell r="F701" t="str">
            <v>before AW20</v>
          </cell>
          <cell r="G701" t="str">
            <v>Bright Eagle (Rebecca)</v>
          </cell>
          <cell r="H701" t="str">
            <v>COOL</v>
          </cell>
          <cell r="M701" t="str">
            <v>6302.93.2000</v>
          </cell>
          <cell r="N701">
            <v>6302939000</v>
          </cell>
          <cell r="O701">
            <v>6302939000</v>
          </cell>
          <cell r="P701">
            <v>6302939000</v>
          </cell>
          <cell r="Q701">
            <v>0</v>
          </cell>
          <cell r="R701" t="str">
            <v>6302.29.00</v>
          </cell>
          <cell r="S701">
            <v>0</v>
          </cell>
        </row>
        <row r="702">
          <cell r="A702" t="str">
            <v>COOLING-STRIPE-GREEN</v>
          </cell>
          <cell r="B702" t="str">
            <v>5.0607E+12</v>
          </cell>
          <cell r="C702" t="str">
            <v>CLOSED</v>
          </cell>
          <cell r="E702">
            <v>100</v>
          </cell>
          <cell r="G702" t="str">
            <v>Bright Eagle (Rebecca)</v>
          </cell>
          <cell r="H702" t="str">
            <v>COOL</v>
          </cell>
          <cell r="M702" t="str">
            <v>6302.93.2000</v>
          </cell>
          <cell r="N702">
            <v>6302939000</v>
          </cell>
          <cell r="O702">
            <v>6302939000</v>
          </cell>
          <cell r="P702">
            <v>6302939000</v>
          </cell>
          <cell r="Q702">
            <v>0</v>
          </cell>
          <cell r="R702" t="str">
            <v>6302.29.00</v>
          </cell>
          <cell r="S702">
            <v>0</v>
          </cell>
        </row>
        <row r="703">
          <cell r="A703" t="str">
            <v>COOLING-STRIPE-LIGHT-GREY</v>
          </cell>
          <cell r="B703" t="str">
            <v>5.0607E+12</v>
          </cell>
          <cell r="C703" t="str">
            <v>CLOSED</v>
          </cell>
          <cell r="E703">
            <v>100</v>
          </cell>
          <cell r="G703" t="str">
            <v>Bright Eagle (Rebecca)</v>
          </cell>
          <cell r="H703" t="str">
            <v>COOL</v>
          </cell>
          <cell r="M703" t="str">
            <v>6302.93.2000</v>
          </cell>
          <cell r="N703">
            <v>6302939000</v>
          </cell>
          <cell r="O703">
            <v>6302939000</v>
          </cell>
          <cell r="P703">
            <v>6302939000</v>
          </cell>
          <cell r="Q703">
            <v>0</v>
          </cell>
          <cell r="R703" t="str">
            <v>6302.29.00</v>
          </cell>
          <cell r="S703">
            <v>0</v>
          </cell>
        </row>
        <row r="704">
          <cell r="A704" t="str">
            <v>COOLING-STRIPE-PINK</v>
          </cell>
          <cell r="B704" t="str">
            <v>5.0607E+12</v>
          </cell>
          <cell r="C704" t="str">
            <v>CLOSED</v>
          </cell>
          <cell r="E704">
            <v>100</v>
          </cell>
          <cell r="G704" t="str">
            <v>Bright Eagle (Rebecca)</v>
          </cell>
          <cell r="H704" t="str">
            <v>COOL</v>
          </cell>
          <cell r="M704" t="str">
            <v>6302.93.2000</v>
          </cell>
          <cell r="N704">
            <v>6302939000</v>
          </cell>
          <cell r="O704">
            <v>6302939000</v>
          </cell>
          <cell r="P704">
            <v>6302939000</v>
          </cell>
          <cell r="Q704">
            <v>0</v>
          </cell>
          <cell r="R704" t="str">
            <v>6302.29.00</v>
          </cell>
          <cell r="S704">
            <v>0</v>
          </cell>
        </row>
        <row r="705">
          <cell r="A705" t="str">
            <v>COOLING-STRIPE-PURPLE</v>
          </cell>
          <cell r="B705" t="str">
            <v>5.0607E+12</v>
          </cell>
          <cell r="C705" t="str">
            <v>CLOSED</v>
          </cell>
          <cell r="E705">
            <v>100</v>
          </cell>
          <cell r="G705" t="str">
            <v>Bright Eagle (Rebecca)</v>
          </cell>
          <cell r="H705" t="str">
            <v>COOL</v>
          </cell>
          <cell r="M705" t="str">
            <v>6302.93.2000</v>
          </cell>
          <cell r="N705">
            <v>6302939000</v>
          </cell>
          <cell r="O705">
            <v>6302939000</v>
          </cell>
          <cell r="P705">
            <v>6302939000</v>
          </cell>
          <cell r="Q705">
            <v>0</v>
          </cell>
          <cell r="R705" t="str">
            <v>6302.29.00</v>
          </cell>
          <cell r="S705">
            <v>0</v>
          </cell>
        </row>
        <row r="706">
          <cell r="A706" t="str">
            <v>COOLING-STRIPE-RED</v>
          </cell>
          <cell r="B706" t="str">
            <v>5.0607E+12</v>
          </cell>
          <cell r="C706" t="str">
            <v>CLOSED</v>
          </cell>
          <cell r="E706">
            <v>100</v>
          </cell>
          <cell r="G706" t="str">
            <v>Bright Eagle (Rebecca)</v>
          </cell>
          <cell r="H706" t="str">
            <v>COOL</v>
          </cell>
          <cell r="M706" t="str">
            <v>6302.93.2000</v>
          </cell>
          <cell r="N706">
            <v>6302939000</v>
          </cell>
          <cell r="O706">
            <v>6302939000</v>
          </cell>
          <cell r="P706">
            <v>6302939000</v>
          </cell>
          <cell r="Q706">
            <v>0</v>
          </cell>
          <cell r="R706" t="str">
            <v>6302.29.00</v>
          </cell>
          <cell r="S706">
            <v>0</v>
          </cell>
        </row>
        <row r="707">
          <cell r="A707" t="str">
            <v>COOLING-STRIPE-YELLOW</v>
          </cell>
          <cell r="B707" t="str">
            <v>5.0607E+12</v>
          </cell>
          <cell r="C707" t="str">
            <v>CLOSED</v>
          </cell>
          <cell r="E707">
            <v>100</v>
          </cell>
          <cell r="G707" t="str">
            <v>Bright Eagle (Rebecca)</v>
          </cell>
          <cell r="H707" t="str">
            <v>COOL</v>
          </cell>
          <cell r="M707" t="str">
            <v>6302.93.2000</v>
          </cell>
          <cell r="N707">
            <v>6302939000</v>
          </cell>
          <cell r="O707">
            <v>6302939000</v>
          </cell>
          <cell r="P707">
            <v>6302939000</v>
          </cell>
          <cell r="Q707">
            <v>0</v>
          </cell>
          <cell r="R707" t="str">
            <v>6302.29.00</v>
          </cell>
          <cell r="S707">
            <v>0</v>
          </cell>
        </row>
        <row r="708">
          <cell r="A708" t="str">
            <v>DB-WL-TOWLB-X2</v>
          </cell>
          <cell r="B708" t="str">
            <v>8.0101E+10</v>
          </cell>
          <cell r="C708" t="str">
            <v>CLOSED</v>
          </cell>
          <cell r="E708">
            <v>14</v>
          </cell>
          <cell r="G708" t="str">
            <v>XR Textile</v>
          </cell>
          <cell r="H708" t="str">
            <v>TOWLB</v>
          </cell>
          <cell r="I708" t="str">
            <v>GRS Certified* 83% Post Consumer Recycled Polyester (RM0189) 17% Pre Consumer Recycled Polyamide (RM1084)</v>
          </cell>
          <cell r="M708" t="str">
            <v>6302.93.2000</v>
          </cell>
          <cell r="N708">
            <v>6302600090</v>
          </cell>
          <cell r="O708" t="str">
            <v>6302.93.00.00</v>
          </cell>
          <cell r="P708">
            <v>63029390</v>
          </cell>
          <cell r="Q708">
            <v>0</v>
          </cell>
          <cell r="R708" t="str">
            <v>6302.39.00</v>
          </cell>
          <cell r="S708">
            <v>63029120</v>
          </cell>
        </row>
        <row r="709">
          <cell r="A709" t="str">
            <v>DOBIT-LAR-TREE</v>
          </cell>
          <cell r="B709" t="str">
            <v>5.0607E+12</v>
          </cell>
          <cell r="C709" t="str">
            <v>CLOSED</v>
          </cell>
          <cell r="E709">
            <v>40</v>
          </cell>
          <cell r="G709" t="str">
            <v>XR Textile</v>
          </cell>
          <cell r="H709" t="str">
            <v>TOWLB</v>
          </cell>
          <cell r="I709" t="str">
            <v>GRS Certified* 83% Post Consumer Recycled Polyester (RM0189) 17% Pre Consumer Recycled Polyamide (RM1084)</v>
          </cell>
          <cell r="M709" t="str">
            <v>6302.93.2000</v>
          </cell>
          <cell r="N709">
            <v>6302600090</v>
          </cell>
          <cell r="O709" t="str">
            <v>6302.93.00.00</v>
          </cell>
          <cell r="P709">
            <v>63029390</v>
          </cell>
          <cell r="Q709">
            <v>0</v>
          </cell>
          <cell r="R709" t="str">
            <v>6302.39.00</v>
          </cell>
          <cell r="S709">
            <v>63029120</v>
          </cell>
        </row>
        <row r="710">
          <cell r="A710" t="str">
            <v>DOBIT-XLG-TREE</v>
          </cell>
          <cell r="B710" t="str">
            <v>5.0607E+12</v>
          </cell>
          <cell r="C710" t="str">
            <v>CLOSED</v>
          </cell>
          <cell r="E710">
            <v>30</v>
          </cell>
          <cell r="F710" t="str">
            <v>before AW20</v>
          </cell>
          <cell r="G710" t="str">
            <v>XR Textile</v>
          </cell>
          <cell r="H710" t="str">
            <v>TOWLB</v>
          </cell>
          <cell r="I710" t="str">
            <v>GRS Certified* 83% Post Consumer Recycled Polyester (RM0189) 17% Pre Consumer Recycled Polyamide (RM1084)</v>
          </cell>
          <cell r="M710" t="str">
            <v>6302.93.2000</v>
          </cell>
          <cell r="N710">
            <v>6302600090</v>
          </cell>
          <cell r="O710" t="str">
            <v>6302.93.00.00</v>
          </cell>
          <cell r="P710">
            <v>63029390</v>
          </cell>
          <cell r="Q710">
            <v>0</v>
          </cell>
          <cell r="R710" t="str">
            <v>6302.39.00</v>
          </cell>
          <cell r="S710">
            <v>63029120</v>
          </cell>
        </row>
        <row r="711">
          <cell r="A711" t="str">
            <v>DOBIT-XLG-WHALE</v>
          </cell>
          <cell r="B711" t="str">
            <v>5.0607E+12</v>
          </cell>
          <cell r="C711" t="str">
            <v>CLOSED</v>
          </cell>
          <cell r="E711">
            <v>30</v>
          </cell>
          <cell r="G711" t="str">
            <v>XR Textile</v>
          </cell>
          <cell r="H711" t="str">
            <v>TOWLB</v>
          </cell>
          <cell r="I711" t="str">
            <v>GRS Certified* 83% Post Consumer Recycled Polyester (RM0189) 17% Pre Consumer Recycled Polyamide (RM1084)</v>
          </cell>
          <cell r="M711" t="str">
            <v>6302.93.2000</v>
          </cell>
          <cell r="N711">
            <v>6302600090</v>
          </cell>
          <cell r="O711" t="str">
            <v>6302.93.00.00</v>
          </cell>
          <cell r="P711">
            <v>63029390</v>
          </cell>
          <cell r="Q711">
            <v>0</v>
          </cell>
          <cell r="R711" t="str">
            <v>6302.39.00</v>
          </cell>
          <cell r="S711">
            <v>63029120</v>
          </cell>
        </row>
        <row r="712">
          <cell r="A712" t="str">
            <v>DOGTWL-DES-LG-BONES</v>
          </cell>
          <cell r="B712" t="str">
            <v>5.0607E+12</v>
          </cell>
          <cell r="C712" t="str">
            <v>CLOSED</v>
          </cell>
          <cell r="E712">
            <v>30</v>
          </cell>
          <cell r="F712" t="str">
            <v>AW22</v>
          </cell>
          <cell r="G712" t="str">
            <v>XR Textile</v>
          </cell>
          <cell r="H712" t="str">
            <v>DOGTWL</v>
          </cell>
          <cell r="I712" t="str">
            <v>GRS Certified* 83% Post Consumer Recycled Polyester (RM0189) 17% Pre Consumer Recycled Polyamide (RM1084)</v>
          </cell>
          <cell r="M712" t="str">
            <v>6302.93.2000</v>
          </cell>
          <cell r="N712">
            <v>6302600090</v>
          </cell>
          <cell r="O712" t="str">
            <v>6302.93.00.00</v>
          </cell>
          <cell r="P712">
            <v>6302939000</v>
          </cell>
          <cell r="Q712">
            <v>0</v>
          </cell>
          <cell r="R712" t="str">
            <v>6302.39.00</v>
          </cell>
          <cell r="S712">
            <v>6507</v>
          </cell>
        </row>
        <row r="713">
          <cell r="A713" t="str">
            <v>DOGTWL-DES-LG-FACES</v>
          </cell>
          <cell r="B713" t="str">
            <v>5.0607E+12</v>
          </cell>
          <cell r="C713" t="str">
            <v>CLOSED</v>
          </cell>
          <cell r="E713">
            <v>30</v>
          </cell>
          <cell r="F713" t="str">
            <v>AW22</v>
          </cell>
          <cell r="G713" t="str">
            <v>XR Textile</v>
          </cell>
          <cell r="H713" t="str">
            <v>DOGTWL</v>
          </cell>
          <cell r="I713" t="str">
            <v>GRS Certified* 83% Post Consumer Recycled Polyester (RM0189) 17% Pre Consumer Recycled Polyamide (RM1084)</v>
          </cell>
          <cell r="M713" t="str">
            <v>6302.93.2000</v>
          </cell>
          <cell r="N713">
            <v>6302600090</v>
          </cell>
          <cell r="O713" t="str">
            <v>6302.93.00.00</v>
          </cell>
          <cell r="P713">
            <v>6302939000</v>
          </cell>
          <cell r="Q713">
            <v>0</v>
          </cell>
          <cell r="R713" t="str">
            <v>6302.39.00</v>
          </cell>
          <cell r="S713">
            <v>6507</v>
          </cell>
        </row>
        <row r="714">
          <cell r="A714" t="str">
            <v>DOGTWL-DES-LG-PAWS</v>
          </cell>
          <cell r="B714" t="str">
            <v>5.0607E+12</v>
          </cell>
          <cell r="C714" t="str">
            <v>CLOSED</v>
          </cell>
          <cell r="E714">
            <v>30</v>
          </cell>
          <cell r="F714" t="str">
            <v>AW22</v>
          </cell>
          <cell r="G714" t="str">
            <v>XR Textile</v>
          </cell>
          <cell r="H714" t="str">
            <v>DOGTWL</v>
          </cell>
          <cell r="I714" t="str">
            <v>GRS Certified* 83% Post Consumer Recycled Polyester (RM0189) 17% Pre Consumer Recycled Polyamide (RM1084)</v>
          </cell>
          <cell r="M714" t="str">
            <v>6302.93.2000</v>
          </cell>
          <cell r="N714">
            <v>6302600090</v>
          </cell>
          <cell r="O714" t="str">
            <v>6302.93.00.00</v>
          </cell>
          <cell r="P714">
            <v>6302939000</v>
          </cell>
          <cell r="Q714">
            <v>0</v>
          </cell>
          <cell r="R714" t="str">
            <v>6302.39.00</v>
          </cell>
          <cell r="S714">
            <v>6507</v>
          </cell>
        </row>
        <row r="715">
          <cell r="A715" t="str">
            <v>DOGTWL-DES-MD-BONES</v>
          </cell>
          <cell r="B715" t="str">
            <v>5.0607E+12</v>
          </cell>
          <cell r="C715" t="str">
            <v>CLOSED</v>
          </cell>
          <cell r="E715">
            <v>40</v>
          </cell>
          <cell r="F715" t="str">
            <v>AW22</v>
          </cell>
          <cell r="G715" t="str">
            <v>XR Textile</v>
          </cell>
          <cell r="H715" t="str">
            <v>DOGTWL</v>
          </cell>
          <cell r="I715" t="str">
            <v>GRS Certified* 83% Post Consumer Recycled Polyester (RM0189) 17% Pre Consumer Recycled Polyamide (RM1084)</v>
          </cell>
          <cell r="M715" t="str">
            <v>6302.93.2000</v>
          </cell>
          <cell r="N715">
            <v>6302600090</v>
          </cell>
          <cell r="O715" t="str">
            <v>6302.93.00.00</v>
          </cell>
          <cell r="P715">
            <v>6302939000</v>
          </cell>
          <cell r="Q715">
            <v>0</v>
          </cell>
          <cell r="R715" t="str">
            <v>6302.39.00</v>
          </cell>
          <cell r="S715">
            <v>6507</v>
          </cell>
        </row>
        <row r="716">
          <cell r="A716" t="str">
            <v>DOGTWL-DES-MD-PAWS</v>
          </cell>
          <cell r="B716" t="str">
            <v>5.0607E+12</v>
          </cell>
          <cell r="C716" t="str">
            <v>CLOSED</v>
          </cell>
          <cell r="E716">
            <v>40</v>
          </cell>
          <cell r="F716" t="str">
            <v>AW22</v>
          </cell>
          <cell r="G716" t="str">
            <v>XR Textile</v>
          </cell>
          <cell r="H716" t="str">
            <v>DOGTWL</v>
          </cell>
          <cell r="I716" t="str">
            <v>GRS Certified* 83% Post Consumer Recycled Polyester (RM0189) 17% Pre Consumer Recycled Polyamide (RM1084)</v>
          </cell>
          <cell r="M716" t="str">
            <v>6302.93.2000</v>
          </cell>
          <cell r="N716">
            <v>6302600090</v>
          </cell>
          <cell r="O716" t="str">
            <v>6302.93.00.00</v>
          </cell>
          <cell r="P716">
            <v>6302939000</v>
          </cell>
          <cell r="Q716">
            <v>0</v>
          </cell>
          <cell r="R716" t="str">
            <v>6302.39.00</v>
          </cell>
          <cell r="S716">
            <v>6507</v>
          </cell>
        </row>
        <row r="717">
          <cell r="A717" t="str">
            <v>FESTIVAL-LAR-CARNIVAL</v>
          </cell>
          <cell r="B717" t="str">
            <v>6.5097E+11</v>
          </cell>
          <cell r="C717" t="str">
            <v>CLOSED</v>
          </cell>
          <cell r="E717">
            <v>40</v>
          </cell>
          <cell r="F717" t="str">
            <v>before AW19</v>
          </cell>
          <cell r="G717" t="str">
            <v>XR Textile</v>
          </cell>
          <cell r="H717" t="str">
            <v>TOWLB</v>
          </cell>
          <cell r="I717" t="str">
            <v>GRS Certified* 83% Post Consumer Recycled Polyester (RM0189) 17% Pre Consumer Recycled Polyamide (RM1084)</v>
          </cell>
          <cell r="M717" t="str">
            <v>6302.93.2000</v>
          </cell>
          <cell r="N717">
            <v>6302600090</v>
          </cell>
          <cell r="O717" t="str">
            <v>6302.93.00.00</v>
          </cell>
          <cell r="P717">
            <v>63029390</v>
          </cell>
          <cell r="Q717">
            <v>0</v>
          </cell>
          <cell r="R717" t="str">
            <v>6302.39.00</v>
          </cell>
          <cell r="S717">
            <v>63029120</v>
          </cell>
        </row>
        <row r="718">
          <cell r="A718" t="str">
            <v>FESTIVAL-LAR-SOLSTICE</v>
          </cell>
          <cell r="B718" t="str">
            <v>6.5097E+11</v>
          </cell>
          <cell r="C718" t="str">
            <v>CLOSED</v>
          </cell>
          <cell r="E718">
            <v>40</v>
          </cell>
          <cell r="G718" t="str">
            <v>XR Textile</v>
          </cell>
          <cell r="H718" t="str">
            <v>TOWLB</v>
          </cell>
          <cell r="I718" t="str">
            <v>GRS Certified* 83% Post Consumer Recycled Polyester (RM0189) 17% Pre Consumer Recycled Polyamide (RM1084)</v>
          </cell>
          <cell r="M718" t="str">
            <v>6302.93.2000</v>
          </cell>
          <cell r="N718">
            <v>6302600090</v>
          </cell>
          <cell r="O718" t="str">
            <v>6302.93.00.00</v>
          </cell>
          <cell r="P718">
            <v>63029390</v>
          </cell>
          <cell r="Q718">
            <v>0</v>
          </cell>
          <cell r="R718" t="str">
            <v>6302.39.00</v>
          </cell>
          <cell r="S718">
            <v>63029120</v>
          </cell>
        </row>
        <row r="719">
          <cell r="A719" t="str">
            <v>FESTIVAL-LAR-SONGKRAN</v>
          </cell>
          <cell r="B719" t="str">
            <v>6.5097E+11</v>
          </cell>
          <cell r="C719" t="str">
            <v>CLOSED</v>
          </cell>
          <cell r="E719">
            <v>40</v>
          </cell>
          <cell r="G719" t="str">
            <v>XR Textile</v>
          </cell>
          <cell r="H719" t="str">
            <v>TOWLB</v>
          </cell>
          <cell r="I719" t="str">
            <v>GRS Certified* 83% Post Consumer Recycled Polyester (RM0189) 17% Pre Consumer Recycled Polyamide (RM1084)</v>
          </cell>
          <cell r="M719" t="str">
            <v>6302.93.2000</v>
          </cell>
          <cell r="N719">
            <v>6302600090</v>
          </cell>
          <cell r="O719" t="str">
            <v>6302.93.00.00</v>
          </cell>
          <cell r="P719">
            <v>63029390</v>
          </cell>
          <cell r="Q719">
            <v>0</v>
          </cell>
          <cell r="R719" t="str">
            <v>6302.39.00</v>
          </cell>
          <cell r="S719">
            <v>63029120</v>
          </cell>
        </row>
        <row r="720">
          <cell r="A720" t="str">
            <v>FESTIVAL-XLG-CARNIVAL</v>
          </cell>
          <cell r="B720" t="str">
            <v>6.5097E+11</v>
          </cell>
          <cell r="C720" t="str">
            <v>CLOSED</v>
          </cell>
          <cell r="E720">
            <v>30</v>
          </cell>
          <cell r="G720" t="str">
            <v>XR Textile</v>
          </cell>
          <cell r="H720" t="str">
            <v>TOWLB</v>
          </cell>
          <cell r="I720" t="str">
            <v>GRS Certified* 83% Post Consumer Recycled Polyester (RM0189) 17% Pre Consumer Recycled Polyamide (RM1084)</v>
          </cell>
          <cell r="M720" t="str">
            <v>6302.93.2000</v>
          </cell>
          <cell r="N720">
            <v>6302600090</v>
          </cell>
          <cell r="O720" t="str">
            <v>6302.93.00.00</v>
          </cell>
          <cell r="P720">
            <v>63029390</v>
          </cell>
          <cell r="Q720">
            <v>0</v>
          </cell>
          <cell r="R720" t="str">
            <v>6302.39.00</v>
          </cell>
          <cell r="S720">
            <v>63029120</v>
          </cell>
        </row>
        <row r="721">
          <cell r="A721" t="str">
            <v>FESTIVAL-XLG-SOLSTICE</v>
          </cell>
          <cell r="B721" t="str">
            <v>6.5097E+11</v>
          </cell>
          <cell r="C721" t="str">
            <v>CLOSED</v>
          </cell>
          <cell r="E721">
            <v>30</v>
          </cell>
          <cell r="F721" t="str">
            <v>before AW19</v>
          </cell>
          <cell r="G721" t="str">
            <v>XR Textile</v>
          </cell>
          <cell r="H721" t="str">
            <v>TOWLB</v>
          </cell>
          <cell r="I721" t="str">
            <v>GRS Certified* 83% Post Consumer Recycled Polyester (RM0189) 17% Pre Consumer Recycled Polyamide (RM1084)</v>
          </cell>
          <cell r="M721" t="str">
            <v>6302.93.2000</v>
          </cell>
          <cell r="N721">
            <v>6302600090</v>
          </cell>
          <cell r="O721" t="str">
            <v>6302.93.00.00</v>
          </cell>
          <cell r="P721">
            <v>63029390</v>
          </cell>
          <cell r="Q721">
            <v>0</v>
          </cell>
          <cell r="R721" t="str">
            <v>6302.39.00</v>
          </cell>
          <cell r="S721">
            <v>63029120</v>
          </cell>
        </row>
        <row r="722">
          <cell r="A722" t="str">
            <v>FESTIVAL-XLG-SONGKRAN</v>
          </cell>
          <cell r="B722" t="str">
            <v>6.5097E+11</v>
          </cell>
          <cell r="C722" t="str">
            <v>CLOSED</v>
          </cell>
          <cell r="E722">
            <v>30</v>
          </cell>
          <cell r="G722" t="str">
            <v>XR Textile</v>
          </cell>
          <cell r="H722" t="str">
            <v>TOWLB</v>
          </cell>
          <cell r="I722" t="str">
            <v>GRS Certified* 83% Post Consumer Recycled Polyester (RM0189) 17% Pre Consumer Recycled Polyamide (RM1084)</v>
          </cell>
          <cell r="M722" t="str">
            <v>6302.93.2000</v>
          </cell>
          <cell r="N722">
            <v>6302600090</v>
          </cell>
          <cell r="O722" t="str">
            <v>6302.93.00.00</v>
          </cell>
          <cell r="P722">
            <v>63029390</v>
          </cell>
          <cell r="Q722">
            <v>0</v>
          </cell>
          <cell r="R722" t="str">
            <v>6302.39.00</v>
          </cell>
          <cell r="S722">
            <v>63029120</v>
          </cell>
        </row>
        <row r="723">
          <cell r="A723" t="str">
            <v>FESTIVAL-XLG-TOMATINA</v>
          </cell>
          <cell r="B723" t="str">
            <v>6.5097E+11</v>
          </cell>
          <cell r="C723" t="str">
            <v>CLOSED</v>
          </cell>
          <cell r="E723">
            <v>30</v>
          </cell>
          <cell r="G723" t="str">
            <v>XR Textile</v>
          </cell>
          <cell r="H723" t="str">
            <v>TOWLB</v>
          </cell>
          <cell r="I723" t="str">
            <v>GRS Certified* 83% Post Consumer Recycled Polyester (RM0189) 17% Pre Consumer Recycled Polyamide (RM1084)</v>
          </cell>
          <cell r="M723" t="str">
            <v>6302.93.2000</v>
          </cell>
          <cell r="N723">
            <v>6302600090</v>
          </cell>
          <cell r="O723" t="str">
            <v>6302.93.00.00</v>
          </cell>
          <cell r="P723">
            <v>63029390</v>
          </cell>
          <cell r="Q723">
            <v>0</v>
          </cell>
          <cell r="R723" t="str">
            <v>6302.39.00</v>
          </cell>
          <cell r="S723">
            <v>63029120</v>
          </cell>
        </row>
        <row r="724">
          <cell r="A724" t="str">
            <v>FM-FB-RW1</v>
          </cell>
          <cell r="B724" t="str">
            <v>4.0635E+12</v>
          </cell>
          <cell r="C724" t="str">
            <v>CLOSED</v>
          </cell>
          <cell r="F724" t="str">
            <v>before AW20</v>
          </cell>
          <cell r="M724" t="e">
            <v>#N/A</v>
          </cell>
          <cell r="N724" t="e">
            <v>#N/A</v>
          </cell>
          <cell r="O724" t="e">
            <v>#N/A</v>
          </cell>
          <cell r="P724" t="e">
            <v>#N/A</v>
          </cell>
          <cell r="Q724" t="e">
            <v>#N/A</v>
          </cell>
          <cell r="R724" t="e">
            <v>#N/A</v>
          </cell>
          <cell r="S724" t="e">
            <v>#N/A</v>
          </cell>
        </row>
        <row r="725">
          <cell r="A725" t="str">
            <v>FM-SBAV2</v>
          </cell>
          <cell r="B725" t="str">
            <v>4.2603E+12</v>
          </cell>
          <cell r="C725" t="str">
            <v>CLOSED</v>
          </cell>
          <cell r="F725" t="str">
            <v>before AW20</v>
          </cell>
          <cell r="M725" t="e">
            <v>#N/A</v>
          </cell>
          <cell r="N725" t="e">
            <v>#N/A</v>
          </cell>
          <cell r="O725" t="e">
            <v>#N/A</v>
          </cell>
          <cell r="P725" t="e">
            <v>#N/A</v>
          </cell>
          <cell r="Q725" t="e">
            <v>#N/A</v>
          </cell>
          <cell r="R725" t="e">
            <v>#N/A</v>
          </cell>
          <cell r="S725" t="e">
            <v>#N/A</v>
          </cell>
        </row>
        <row r="726">
          <cell r="A726" t="str">
            <v>FM-SBHK2</v>
          </cell>
          <cell r="B726" t="str">
            <v>4.2603E+12</v>
          </cell>
          <cell r="C726" t="str">
            <v>CLOSED</v>
          </cell>
          <cell r="F726" t="str">
            <v>before AW20</v>
          </cell>
          <cell r="M726" t="e">
            <v>#N/A</v>
          </cell>
          <cell r="N726" t="e">
            <v>#N/A</v>
          </cell>
          <cell r="O726" t="e">
            <v>#N/A</v>
          </cell>
          <cell r="P726" t="e">
            <v>#N/A</v>
          </cell>
          <cell r="Q726" t="e">
            <v>#N/A</v>
          </cell>
          <cell r="R726" t="e">
            <v>#N/A</v>
          </cell>
          <cell r="S726" t="e">
            <v>#N/A</v>
          </cell>
        </row>
        <row r="727">
          <cell r="A727" t="str">
            <v>FM-SBSC2</v>
          </cell>
          <cell r="B727" t="str">
            <v>4.2603E+12</v>
          </cell>
          <cell r="C727" t="str">
            <v>CLOSED</v>
          </cell>
          <cell r="F727" t="str">
            <v>before AW20</v>
          </cell>
          <cell r="M727" t="e">
            <v>#N/A</v>
          </cell>
          <cell r="N727" t="e">
            <v>#N/A</v>
          </cell>
          <cell r="O727" t="e">
            <v>#N/A</v>
          </cell>
          <cell r="P727" t="e">
            <v>#N/A</v>
          </cell>
          <cell r="Q727" t="e">
            <v>#N/A</v>
          </cell>
          <cell r="R727" t="e">
            <v>#N/A</v>
          </cell>
          <cell r="S727" t="e">
            <v>#N/A</v>
          </cell>
        </row>
        <row r="728">
          <cell r="A728" t="str">
            <v>FOAMIE-FACEB-MAKUP-PINK</v>
          </cell>
          <cell r="B728" t="str">
            <v>6.3739E+11</v>
          </cell>
          <cell r="C728" t="str">
            <v>CLOSED</v>
          </cell>
          <cell r="E728">
            <v>70</v>
          </cell>
          <cell r="F728" t="str">
            <v>AW21</v>
          </cell>
          <cell r="G728" t="str">
            <v>XR Textile</v>
          </cell>
          <cell r="H728" t="str">
            <v>HAIRW-standard</v>
          </cell>
          <cell r="I728" t="str">
            <v>GRS Certified* 83% Post Consumer Recycled Polyester (RM0189) 17% Pre Consumer Recycled Polyamide (RM1084)</v>
          </cell>
          <cell r="M728" t="str">
            <v>6504.00.90.15</v>
          </cell>
          <cell r="N728">
            <v>6505009090</v>
          </cell>
          <cell r="O728" t="str">
            <v>6505.00.40.00</v>
          </cell>
          <cell r="P728" t="str">
            <v>6505.00.90.90</v>
          </cell>
          <cell r="Q728">
            <v>0</v>
          </cell>
          <cell r="R728" t="str">
            <v>6505.00.90</v>
          </cell>
          <cell r="S728">
            <v>0</v>
          </cell>
        </row>
        <row r="729">
          <cell r="A729" t="str">
            <v>FOAMIE-GIFT-BOX-PINK</v>
          </cell>
          <cell r="B729" t="str">
            <v>8.0101E+10</v>
          </cell>
          <cell r="C729" t="str">
            <v>CLOSED</v>
          </cell>
          <cell r="E729">
            <v>30</v>
          </cell>
          <cell r="F729" t="str">
            <v>AW21</v>
          </cell>
          <cell r="G729" t="str">
            <v>XR Textile</v>
          </cell>
          <cell r="H729" t="str">
            <v>HAIRW-standard</v>
          </cell>
          <cell r="I729" t="str">
            <v>GRS Certified* 83% Post Consumer Recycled Polyester (RM0189) 17% Pre Consumer Recycled Polyamide (RM1084)</v>
          </cell>
          <cell r="M729" t="str">
            <v>6504.00.90.15</v>
          </cell>
          <cell r="N729">
            <v>6505009090</v>
          </cell>
          <cell r="O729" t="str">
            <v>6505.00.40.00</v>
          </cell>
          <cell r="P729" t="str">
            <v>6505.00.90.90</v>
          </cell>
          <cell r="Q729">
            <v>0</v>
          </cell>
          <cell r="R729" t="str">
            <v>6505.00.90</v>
          </cell>
          <cell r="S729">
            <v>0</v>
          </cell>
        </row>
        <row r="730">
          <cell r="A730" t="str">
            <v>FOAMIE-SOAP-HAIRW-BLUE</v>
          </cell>
          <cell r="B730" t="str">
            <v>6.5097E+11</v>
          </cell>
          <cell r="C730" t="str">
            <v>CLOSED</v>
          </cell>
          <cell r="E730">
            <v>30</v>
          </cell>
          <cell r="F730" t="str">
            <v>AW21</v>
          </cell>
          <cell r="G730" t="str">
            <v>XR Textile</v>
          </cell>
          <cell r="H730" t="str">
            <v>HAIRW-standard</v>
          </cell>
          <cell r="I730" t="str">
            <v>GRS Certified* 83% Post Consumer Recycled Polyester (RM0189) 17% Pre Consumer Recycled Polyamide (RM1084)</v>
          </cell>
          <cell r="M730" t="str">
            <v>6504.00.90.15</v>
          </cell>
          <cell r="N730">
            <v>6505009090</v>
          </cell>
          <cell r="O730" t="str">
            <v>6505.00.40.00</v>
          </cell>
          <cell r="P730" t="str">
            <v>6505.00.90.90</v>
          </cell>
          <cell r="Q730">
            <v>0</v>
          </cell>
          <cell r="R730" t="str">
            <v>6505.00.90</v>
          </cell>
          <cell r="S730">
            <v>0</v>
          </cell>
        </row>
        <row r="731">
          <cell r="A731" t="str">
            <v>FOAMIE-SOAP-HAIRW-GREEN</v>
          </cell>
          <cell r="B731" t="str">
            <v>6.5097E+11</v>
          </cell>
          <cell r="C731" t="str">
            <v>CLOSED</v>
          </cell>
          <cell r="E731">
            <v>30</v>
          </cell>
          <cell r="F731" t="str">
            <v>AW21</v>
          </cell>
          <cell r="G731" t="str">
            <v>XR Textile</v>
          </cell>
          <cell r="H731" t="str">
            <v>HAIRW-standard</v>
          </cell>
          <cell r="I731" t="str">
            <v>GRS Certified* 83% Post Consumer Recycled Polyester (RM0189) 17% Pre Consumer Recycled Polyamide (RM1084)</v>
          </cell>
          <cell r="M731" t="str">
            <v>6504.00.90.15</v>
          </cell>
          <cell r="N731">
            <v>6505009090</v>
          </cell>
          <cell r="O731" t="str">
            <v>6505.00.40.00</v>
          </cell>
          <cell r="P731" t="str">
            <v>6505.00.90.90</v>
          </cell>
          <cell r="Q731">
            <v>0</v>
          </cell>
          <cell r="R731" t="str">
            <v>6505.00.90</v>
          </cell>
          <cell r="S731">
            <v>0</v>
          </cell>
        </row>
        <row r="732">
          <cell r="A732" t="str">
            <v>FOAMIE-SOAP-HAIRW-PINK</v>
          </cell>
          <cell r="B732" t="str">
            <v>6.5097E+11</v>
          </cell>
          <cell r="C732" t="str">
            <v>CLOSED</v>
          </cell>
          <cell r="E732">
            <v>30</v>
          </cell>
          <cell r="F732" t="str">
            <v>AW21</v>
          </cell>
          <cell r="G732" t="str">
            <v>XR Textile</v>
          </cell>
          <cell r="H732" t="str">
            <v>HAIRW-standard</v>
          </cell>
          <cell r="I732" t="str">
            <v>GRS Certified* 83% Post Consumer Recycled Polyester (RM0189) 17% Pre Consumer Recycled Polyamide (RM1084)</v>
          </cell>
          <cell r="M732" t="str">
            <v>6504.00.90.15</v>
          </cell>
          <cell r="N732">
            <v>6505009090</v>
          </cell>
          <cell r="O732" t="str">
            <v>6505.00.40.00</v>
          </cell>
          <cell r="P732" t="str">
            <v>6505.00.90.90</v>
          </cell>
          <cell r="Q732">
            <v>0</v>
          </cell>
          <cell r="R732" t="str">
            <v>6505.00.90</v>
          </cell>
          <cell r="S732">
            <v>0</v>
          </cell>
        </row>
        <row r="733">
          <cell r="A733" t="str">
            <v>FORECAST-BAGF</v>
          </cell>
          <cell r="C733" t="str">
            <v>CLOSED</v>
          </cell>
          <cell r="E733">
            <v>100</v>
          </cell>
          <cell r="G733" t="str">
            <v>Jinma (Merry)</v>
          </cell>
          <cell r="H733" t="str">
            <v>BAG-FOLD</v>
          </cell>
          <cell r="I733" t="str">
            <v>GRS Certified*** 100% Post Consumer Recycled Polyester (RM0189)</v>
          </cell>
          <cell r="M733" t="str">
            <v>4202.92.91.00</v>
          </cell>
          <cell r="N733">
            <v>4202921900</v>
          </cell>
          <cell r="O733" t="str">
            <v>4202.92.90.00</v>
          </cell>
          <cell r="P733" t="str">
            <v>4202 9298 90</v>
          </cell>
          <cell r="Q733">
            <v>0</v>
          </cell>
          <cell r="R733" t="str">
            <v>4202.92.90</v>
          </cell>
          <cell r="S733">
            <v>42029100</v>
          </cell>
        </row>
        <row r="734">
          <cell r="A734" t="str">
            <v>FORECAST-DOGTWL</v>
          </cell>
          <cell r="C734" t="str">
            <v>CLOSED</v>
          </cell>
          <cell r="E734">
            <v>30</v>
          </cell>
          <cell r="G734" t="str">
            <v>XR Textile</v>
          </cell>
          <cell r="H734" t="str">
            <v>DOGTWL</v>
          </cell>
          <cell r="I734" t="str">
            <v>GRS Certified* 83% Post Consumer Recycled Polyester (RM0189) 17% Pre Consumer Recycled Polyamide (RM1084)</v>
          </cell>
          <cell r="M734" t="str">
            <v>6302.93.2000</v>
          </cell>
          <cell r="N734">
            <v>6302600090</v>
          </cell>
          <cell r="O734" t="str">
            <v>6302.93.00.00</v>
          </cell>
          <cell r="P734">
            <v>6302939000</v>
          </cell>
          <cell r="Q734">
            <v>0</v>
          </cell>
          <cell r="R734" t="str">
            <v>6302.39.00</v>
          </cell>
          <cell r="S734">
            <v>6507</v>
          </cell>
        </row>
        <row r="735">
          <cell r="A735" t="str">
            <v>FORECAST-HAIRW</v>
          </cell>
          <cell r="C735" t="str">
            <v>CLOSED</v>
          </cell>
          <cell r="E735">
            <v>60</v>
          </cell>
          <cell r="G735" t="str">
            <v>XR Textile</v>
          </cell>
          <cell r="H735" t="str">
            <v>HAIRW-standard</v>
          </cell>
          <cell r="I735" t="str">
            <v>GRS Certified* 83% Post Consumer Recycled Polyester (RM0189) 17% Pre Consumer Recycled Polyamide (RM1084)</v>
          </cell>
          <cell r="M735" t="str">
            <v>6504.00.90.15</v>
          </cell>
          <cell r="N735">
            <v>6505009090</v>
          </cell>
          <cell r="O735" t="str">
            <v>6505.00.40.00</v>
          </cell>
          <cell r="P735" t="str">
            <v>6505.00.90.90</v>
          </cell>
          <cell r="Q735">
            <v>0</v>
          </cell>
          <cell r="R735" t="str">
            <v>6505.00.90</v>
          </cell>
          <cell r="S735">
            <v>0</v>
          </cell>
        </row>
        <row r="736">
          <cell r="A736" t="str">
            <v>FORECAST-HEADW</v>
          </cell>
          <cell r="C736" t="str">
            <v>CLOSED</v>
          </cell>
          <cell r="E736">
            <v>50</v>
          </cell>
          <cell r="G736" t="str">
            <v>XR Textile</v>
          </cell>
          <cell r="H736" t="str">
            <v>HEADW</v>
          </cell>
          <cell r="M736" t="str">
            <v>6504.00.90.15</v>
          </cell>
          <cell r="N736">
            <v>6505009090</v>
          </cell>
          <cell r="O736" t="str">
            <v>6505.00.40.00</v>
          </cell>
          <cell r="P736">
            <v>6217100090</v>
          </cell>
          <cell r="Q736">
            <v>0</v>
          </cell>
          <cell r="R736" t="str">
            <v>6505.00.90</v>
          </cell>
          <cell r="S736">
            <v>6507</v>
          </cell>
        </row>
        <row r="737">
          <cell r="A737" t="str">
            <v>FORECAST-MAKUP</v>
          </cell>
          <cell r="C737" t="str">
            <v>CLOSED</v>
          </cell>
          <cell r="E737">
            <v>100</v>
          </cell>
          <cell r="G737" t="str">
            <v>Bright Eagle (Rebecca)</v>
          </cell>
          <cell r="H737" t="str">
            <v>MAKUP</v>
          </cell>
          <cell r="M737" t="str">
            <v>9616.20.00.00</v>
          </cell>
          <cell r="N737">
            <v>9616200000</v>
          </cell>
          <cell r="O737" t="str">
            <v>9616.20.00.00</v>
          </cell>
          <cell r="P737">
            <v>9616200000</v>
          </cell>
          <cell r="Q737">
            <v>0</v>
          </cell>
          <cell r="R737" t="str">
            <v>9616.20.00</v>
          </cell>
          <cell r="S737">
            <v>0</v>
          </cell>
        </row>
        <row r="738">
          <cell r="A738" t="str">
            <v>FORECAST-PICNIC</v>
          </cell>
          <cell r="C738" t="str">
            <v>CLOSED</v>
          </cell>
          <cell r="E738">
            <v>16</v>
          </cell>
          <cell r="G738" t="str">
            <v>XR Textile</v>
          </cell>
          <cell r="H738" t="str">
            <v>PICNIC</v>
          </cell>
          <cell r="I738" t="str">
            <v>GRS Certified** Upper: 83% Post Consumer Recycled Polyester (RM0189) 17% Pre Consumer Recycled Polyamide (RM1084) Reverse: 100% Post Consumer Recycled Polyester (RM0189)</v>
          </cell>
          <cell r="M738" t="str">
            <v>6301.40.0020</v>
          </cell>
          <cell r="N738">
            <v>6301409099</v>
          </cell>
          <cell r="O738" t="str">
            <v>6301.40.0020</v>
          </cell>
          <cell r="P738">
            <v>6301409099</v>
          </cell>
          <cell r="Q738">
            <v>0</v>
          </cell>
          <cell r="R738" t="str">
            <v>6301.40.00</v>
          </cell>
          <cell r="S738">
            <v>6301</v>
          </cell>
        </row>
        <row r="739">
          <cell r="A739" t="str">
            <v>FORECAST-PONCHA</v>
          </cell>
          <cell r="C739" t="str">
            <v>CLOSED</v>
          </cell>
          <cell r="E739">
            <v>20</v>
          </cell>
          <cell r="G739" t="str">
            <v>XR Textile</v>
          </cell>
          <cell r="H739" t="str">
            <v>PONCHA</v>
          </cell>
          <cell r="I739" t="str">
            <v>GRS Certified* 83% Post Consumer Recycled Polyester (RM0189) 17% Pre Consumer Recycled Polyamide (RM1084)</v>
          </cell>
          <cell r="M739" t="str">
            <v>6101.90.90.30</v>
          </cell>
          <cell r="N739">
            <v>6101309000</v>
          </cell>
          <cell r="O739">
            <v>6112399000</v>
          </cell>
          <cell r="P739" t="str">
            <v>6211 4390 00</v>
          </cell>
          <cell r="Q739">
            <v>6117109000</v>
          </cell>
          <cell r="R739" t="str">
            <v>6112.39.00</v>
          </cell>
          <cell r="S739">
            <v>6202</v>
          </cell>
        </row>
        <row r="740">
          <cell r="A740" t="str">
            <v>FORECAST-PONCHK</v>
          </cell>
          <cell r="C740" t="str">
            <v>CLOSED</v>
          </cell>
          <cell r="E740">
            <v>30</v>
          </cell>
          <cell r="G740" t="str">
            <v>XR Textile</v>
          </cell>
          <cell r="H740" t="str">
            <v>PONCHK</v>
          </cell>
          <cell r="I740" t="str">
            <v>GRS Certified* 83% Post Consumer Recycled Polyester (RM0189) 17% Pre Consumer Recycled Polyamide (RM1084)</v>
          </cell>
          <cell r="M740" t="str">
            <v>6101.90.90.30</v>
          </cell>
          <cell r="N740">
            <v>6101309000</v>
          </cell>
          <cell r="O740">
            <v>6112399000</v>
          </cell>
          <cell r="P740" t="str">
            <v>6211 4390 00</v>
          </cell>
          <cell r="Q740">
            <v>6117109000</v>
          </cell>
          <cell r="R740" t="str">
            <v>6112.39.00</v>
          </cell>
          <cell r="S740">
            <v>6202</v>
          </cell>
        </row>
        <row r="741">
          <cell r="A741" t="str">
            <v>FORECAST-ROBE</v>
          </cell>
          <cell r="C741" t="str">
            <v>CLOSED</v>
          </cell>
          <cell r="E741">
            <v>10</v>
          </cell>
          <cell r="G741" t="str">
            <v>XR Textile</v>
          </cell>
          <cell r="H741" t="str">
            <v>ROBE</v>
          </cell>
          <cell r="M741" t="str">
            <v>6208.92.0010</v>
          </cell>
          <cell r="N741">
            <v>6208110000</v>
          </cell>
          <cell r="O741" t="str">
            <v>6208.92.00.00</v>
          </cell>
          <cell r="P741">
            <v>6208990099</v>
          </cell>
          <cell r="Q741">
            <v>0</v>
          </cell>
          <cell r="R741" t="str">
            <v>6208.11.00</v>
          </cell>
          <cell r="S741">
            <v>62089200</v>
          </cell>
        </row>
        <row r="742">
          <cell r="A742" t="str">
            <v>FORECAST-TEATWL</v>
          </cell>
          <cell r="C742" t="str">
            <v>CLOSED</v>
          </cell>
          <cell r="E742">
            <v>50</v>
          </cell>
          <cell r="G742" t="str">
            <v>XR Textile</v>
          </cell>
          <cell r="H742" t="str">
            <v>TEATWL</v>
          </cell>
          <cell r="I742" t="str">
            <v>GRS Certified* 83% Post Consumer Recycled Polyester (RM0189) 17% Pre Consumer Recycled Polyamide (RM1084)</v>
          </cell>
          <cell r="M742" t="str">
            <v>6302.53.00.20</v>
          </cell>
          <cell r="N742">
            <v>6302531000</v>
          </cell>
          <cell r="O742">
            <v>6302531000</v>
          </cell>
          <cell r="P742">
            <v>63029310</v>
          </cell>
          <cell r="Q742">
            <v>0</v>
          </cell>
          <cell r="R742" t="str">
            <v>6302.53.00</v>
          </cell>
          <cell r="S742">
            <v>0</v>
          </cell>
        </row>
        <row r="743">
          <cell r="A743" t="str">
            <v>FORECAST-TOWLB</v>
          </cell>
          <cell r="C743" t="str">
            <v>CLOSED</v>
          </cell>
          <cell r="E743">
            <v>40</v>
          </cell>
          <cell r="G743" t="str">
            <v>XR Textile</v>
          </cell>
          <cell r="H743" t="str">
            <v>TOWLB</v>
          </cell>
          <cell r="I743" t="str">
            <v>GRS Certified* 83% Post Consumer Recycled Polyester (RM0189) 17% Pre Consumer Recycled Polyamide (RM1084)</v>
          </cell>
          <cell r="M743" t="str">
            <v>6302.93.2000</v>
          </cell>
          <cell r="N743">
            <v>6302600090</v>
          </cell>
          <cell r="O743" t="str">
            <v>6302.93.00.00</v>
          </cell>
          <cell r="P743">
            <v>63029390</v>
          </cell>
          <cell r="Q743">
            <v>0</v>
          </cell>
          <cell r="R743" t="str">
            <v>6302.39.00</v>
          </cell>
          <cell r="S743">
            <v>63029120</v>
          </cell>
        </row>
        <row r="744">
          <cell r="A744" t="str">
            <v>FORECAST-TOWLB-KIDS</v>
          </cell>
          <cell r="C744" t="str">
            <v>CLOSED</v>
          </cell>
          <cell r="E744">
            <v>50</v>
          </cell>
          <cell r="G744" t="str">
            <v>XR Textile</v>
          </cell>
          <cell r="H744" t="str">
            <v>TOWLB-KIDS</v>
          </cell>
          <cell r="I744" t="str">
            <v>GRS Certified* 83% Post Consumer Recycled Polyester (RM0189) 17% Pre Consumer Recycled Polyamide (RM1084)</v>
          </cell>
          <cell r="M744" t="str">
            <v>6302.93.2000</v>
          </cell>
          <cell r="N744">
            <v>6302600090</v>
          </cell>
          <cell r="O744" t="str">
            <v>6302.93.00.00</v>
          </cell>
          <cell r="P744">
            <v>6302939000</v>
          </cell>
          <cell r="Q744">
            <v>0</v>
          </cell>
          <cell r="R744" t="str">
            <v>6302.39.00</v>
          </cell>
          <cell r="S744">
            <v>63029120</v>
          </cell>
        </row>
        <row r="745">
          <cell r="A745" t="str">
            <v>FORECAST-TOWLH</v>
          </cell>
          <cell r="C745" t="str">
            <v>CLOSED</v>
          </cell>
          <cell r="E745">
            <v>20</v>
          </cell>
          <cell r="G745" t="str">
            <v>XR Textile</v>
          </cell>
          <cell r="H745" t="str">
            <v>TOWLH</v>
          </cell>
          <cell r="I745" t="str">
            <v>GRS Certified* 83% Post Consumer Recycled Polyester (RM0189) 17% Pre Consumer Recycled Polyamide (RM1084)</v>
          </cell>
          <cell r="M745" t="str">
            <v>6302.93.2000</v>
          </cell>
          <cell r="N745">
            <v>6302600090</v>
          </cell>
          <cell r="O745" t="str">
            <v>6302.93.00.00</v>
          </cell>
          <cell r="P745">
            <v>6302939000</v>
          </cell>
          <cell r="Q745">
            <v>0</v>
          </cell>
          <cell r="R745" t="str">
            <v>6302.39.00</v>
          </cell>
          <cell r="S745">
            <v>63029120</v>
          </cell>
        </row>
        <row r="746">
          <cell r="A746" t="str">
            <v>FRUITY-LAR-COCO</v>
          </cell>
          <cell r="B746" t="str">
            <v>6.5097E+11</v>
          </cell>
          <cell r="C746" t="str">
            <v>CLOSED</v>
          </cell>
          <cell r="E746">
            <v>40</v>
          </cell>
          <cell r="F746" t="str">
            <v>before AW20</v>
          </cell>
          <cell r="G746" t="str">
            <v>XR Textile</v>
          </cell>
          <cell r="H746" t="str">
            <v>TOWLB</v>
          </cell>
          <cell r="I746" t="str">
            <v>GRS Certified* 83% Post Consumer Recycled Polyester (RM0189) 17% Pre Consumer Recycled Polyamide (RM1084)</v>
          </cell>
          <cell r="M746" t="str">
            <v>6302.93.2000</v>
          </cell>
          <cell r="N746">
            <v>6302600090</v>
          </cell>
          <cell r="O746" t="str">
            <v>6302.93.00.00</v>
          </cell>
          <cell r="P746">
            <v>63029390</v>
          </cell>
          <cell r="Q746">
            <v>0</v>
          </cell>
          <cell r="R746" t="str">
            <v>6302.39.00</v>
          </cell>
          <cell r="S746">
            <v>63029120</v>
          </cell>
        </row>
        <row r="747">
          <cell r="A747" t="str">
            <v>FRUITY-LAR-MELON</v>
          </cell>
          <cell r="B747" t="str">
            <v>6.5097E+11</v>
          </cell>
          <cell r="C747" t="str">
            <v>CLOSED</v>
          </cell>
          <cell r="E747">
            <v>40</v>
          </cell>
          <cell r="F747" t="str">
            <v>before AW19</v>
          </cell>
          <cell r="G747" t="str">
            <v>XR Textile</v>
          </cell>
          <cell r="H747" t="str">
            <v>TOWLB</v>
          </cell>
          <cell r="I747" t="str">
            <v>GRS Certified* 83% Post Consumer Recycled Polyester (RM0189) 17% Pre Consumer Recycled Polyamide (RM1084)</v>
          </cell>
          <cell r="M747" t="str">
            <v>6302.93.2000</v>
          </cell>
          <cell r="N747">
            <v>6302600090</v>
          </cell>
          <cell r="O747" t="str">
            <v>6302.93.00.00</v>
          </cell>
          <cell r="P747">
            <v>63029390</v>
          </cell>
          <cell r="Q747">
            <v>0</v>
          </cell>
          <cell r="R747" t="str">
            <v>6302.39.00</v>
          </cell>
          <cell r="S747">
            <v>63029120</v>
          </cell>
        </row>
        <row r="748">
          <cell r="A748" t="str">
            <v>FRUITY-LAR-PINE</v>
          </cell>
          <cell r="B748" t="str">
            <v>6.5097E+11</v>
          </cell>
          <cell r="C748" t="str">
            <v>CLOSED</v>
          </cell>
          <cell r="E748">
            <v>40</v>
          </cell>
          <cell r="G748" t="str">
            <v>XR Textile</v>
          </cell>
          <cell r="H748" t="str">
            <v>TOWLB</v>
          </cell>
          <cell r="I748" t="str">
            <v>GRS Certified* 83% Post Consumer Recycled Polyester (RM0189) 17% Pre Consumer Recycled Polyamide (RM1084)</v>
          </cell>
          <cell r="M748" t="str">
            <v>6302.93.2000</v>
          </cell>
          <cell r="N748">
            <v>6302600090</v>
          </cell>
          <cell r="O748" t="str">
            <v>6302.93.00.00</v>
          </cell>
          <cell r="P748">
            <v>63029390</v>
          </cell>
          <cell r="Q748">
            <v>0</v>
          </cell>
          <cell r="R748" t="str">
            <v>6302.39.00</v>
          </cell>
          <cell r="S748">
            <v>63029120</v>
          </cell>
        </row>
        <row r="749">
          <cell r="A749" t="str">
            <v>FRUITY-XLG-COCO</v>
          </cell>
          <cell r="B749" t="str">
            <v>6.5097E+11</v>
          </cell>
          <cell r="C749" t="str">
            <v>CLOSED</v>
          </cell>
          <cell r="E749">
            <v>30</v>
          </cell>
          <cell r="G749" t="str">
            <v>XR Textile</v>
          </cell>
          <cell r="H749" t="str">
            <v>TOWLB</v>
          </cell>
          <cell r="I749" t="str">
            <v>GRS Certified* 83% Post Consumer Recycled Polyester (RM0189) 17% Pre Consumer Recycled Polyamide (RM1084)</v>
          </cell>
          <cell r="M749" t="str">
            <v>6302.93.2000</v>
          </cell>
          <cell r="N749">
            <v>6302600090</v>
          </cell>
          <cell r="O749" t="str">
            <v>6302.93.00.00</v>
          </cell>
          <cell r="P749">
            <v>63029390</v>
          </cell>
          <cell r="Q749">
            <v>0</v>
          </cell>
          <cell r="R749" t="str">
            <v>6302.39.00</v>
          </cell>
          <cell r="S749">
            <v>63029120</v>
          </cell>
        </row>
        <row r="750">
          <cell r="A750" t="str">
            <v>FRUITY-XLG-MELON</v>
          </cell>
          <cell r="B750" t="str">
            <v>6.5097E+11</v>
          </cell>
          <cell r="C750" t="str">
            <v>CLOSED</v>
          </cell>
          <cell r="E750">
            <v>30</v>
          </cell>
          <cell r="G750" t="str">
            <v>XR Textile</v>
          </cell>
          <cell r="H750" t="str">
            <v>TOWLB</v>
          </cell>
          <cell r="I750" t="str">
            <v>GRS Certified* 83% Post Consumer Recycled Polyester (RM0189) 17% Pre Consumer Recycled Polyamide (RM1084)</v>
          </cell>
          <cell r="M750" t="str">
            <v>6302.93.2000</v>
          </cell>
          <cell r="N750">
            <v>6302600090</v>
          </cell>
          <cell r="O750" t="str">
            <v>6302.93.00.00</v>
          </cell>
          <cell r="P750">
            <v>63029390</v>
          </cell>
          <cell r="Q750">
            <v>0</v>
          </cell>
          <cell r="R750" t="str">
            <v>6302.39.00</v>
          </cell>
          <cell r="S750">
            <v>63029120</v>
          </cell>
        </row>
        <row r="751">
          <cell r="A751" t="str">
            <v>FRUITY-XLG-PINE</v>
          </cell>
          <cell r="B751" t="str">
            <v>6.5097E+11</v>
          </cell>
          <cell r="C751" t="str">
            <v>CLOSED</v>
          </cell>
          <cell r="E751">
            <v>30</v>
          </cell>
          <cell r="G751" t="str">
            <v>XR Textile</v>
          </cell>
          <cell r="H751" t="str">
            <v>TOWLB</v>
          </cell>
          <cell r="I751" t="str">
            <v>GRS Certified* 83% Post Consumer Recycled Polyester (RM0189) 17% Pre Consumer Recycled Polyamide (RM1084)</v>
          </cell>
          <cell r="M751" t="str">
            <v>6302.93.2000</v>
          </cell>
          <cell r="N751">
            <v>6302600090</v>
          </cell>
          <cell r="O751" t="str">
            <v>6302.93.00.00</v>
          </cell>
          <cell r="P751">
            <v>63029390</v>
          </cell>
          <cell r="Q751">
            <v>0</v>
          </cell>
          <cell r="R751" t="str">
            <v>6302.39.00</v>
          </cell>
          <cell r="S751">
            <v>63029120</v>
          </cell>
        </row>
        <row r="752">
          <cell r="A752" t="str">
            <v>GIFT-BOX-BEAUTY-CAB-LTPNK</v>
          </cell>
          <cell r="B752" t="str">
            <v>5.061E+12</v>
          </cell>
          <cell r="C752" t="str">
            <v>CLOSED</v>
          </cell>
          <cell r="D752" t="str">
            <v>Seasonal</v>
          </cell>
          <cell r="E752">
            <v>40</v>
          </cell>
          <cell r="F752" t="str">
            <v>AW24</v>
          </cell>
          <cell r="G752" t="str">
            <v>XR Textile</v>
          </cell>
          <cell r="H752" t="str">
            <v>GIFT-BOX-BEAUTY</v>
          </cell>
          <cell r="M752" t="str">
            <v>6504.00.90.15</v>
          </cell>
          <cell r="N752">
            <v>6505009090</v>
          </cell>
          <cell r="O752" t="str">
            <v>6505.00.40.00</v>
          </cell>
          <cell r="P752" t="str">
            <v>6505.00.90.90</v>
          </cell>
          <cell r="Q752">
            <v>0</v>
          </cell>
          <cell r="R752" t="str">
            <v>6505.00.90</v>
          </cell>
          <cell r="S752">
            <v>0</v>
          </cell>
        </row>
        <row r="753">
          <cell r="A753" t="str">
            <v>GIFT-BOX-BEAUTY-LTBLU</v>
          </cell>
          <cell r="B753" t="str">
            <v>6.5097E+11</v>
          </cell>
          <cell r="C753" t="str">
            <v>CLOSED</v>
          </cell>
          <cell r="D753" t="str">
            <v>Seasonal</v>
          </cell>
          <cell r="E753">
            <v>40</v>
          </cell>
          <cell r="F753" t="str">
            <v>AW23</v>
          </cell>
          <cell r="H753" t="str">
            <v>BUNDLE-MAKUP-HAIRW</v>
          </cell>
          <cell r="M753" t="str">
            <v>6504.00.90.15</v>
          </cell>
          <cell r="N753">
            <v>6505009090</v>
          </cell>
          <cell r="O753" t="str">
            <v>6505.00.40.00</v>
          </cell>
          <cell r="P753" t="str">
            <v>6505.00.90.90</v>
          </cell>
          <cell r="Q753">
            <v>0</v>
          </cell>
          <cell r="R753" t="str">
            <v>6505.00.90</v>
          </cell>
          <cell r="S753">
            <v>0</v>
          </cell>
        </row>
        <row r="754">
          <cell r="A754" t="str">
            <v>GIFT-BOX-BEAUTY-LTGRN</v>
          </cell>
          <cell r="B754" t="str">
            <v>6.5097E+11</v>
          </cell>
          <cell r="C754" t="str">
            <v>CLOSED</v>
          </cell>
          <cell r="D754" t="str">
            <v>Seasonal</v>
          </cell>
          <cell r="E754">
            <v>40</v>
          </cell>
          <cell r="F754" t="str">
            <v>AW23</v>
          </cell>
          <cell r="H754" t="str">
            <v>BUNDLE-MAKUP-HAIRW</v>
          </cell>
          <cell r="M754" t="str">
            <v>6504.00.90.15</v>
          </cell>
          <cell r="N754">
            <v>6505009090</v>
          </cell>
          <cell r="O754" t="str">
            <v>6505.00.40.00</v>
          </cell>
          <cell r="P754" t="str">
            <v>6505.00.90.90</v>
          </cell>
          <cell r="Q754">
            <v>0</v>
          </cell>
          <cell r="R754" t="str">
            <v>6505.00.90</v>
          </cell>
          <cell r="S754">
            <v>0</v>
          </cell>
        </row>
        <row r="755">
          <cell r="A755" t="str">
            <v>GIFT-BOX-BEAUTY-LTPNK</v>
          </cell>
          <cell r="B755" t="str">
            <v>6.5097E+11</v>
          </cell>
          <cell r="C755" t="str">
            <v>CLOSED</v>
          </cell>
          <cell r="D755" t="str">
            <v>Seasonal</v>
          </cell>
          <cell r="E755">
            <v>40</v>
          </cell>
          <cell r="F755" t="str">
            <v>AW23</v>
          </cell>
          <cell r="H755" t="str">
            <v>BUNDLE-MAKUP-HAIRW</v>
          </cell>
          <cell r="M755" t="str">
            <v>6504.00.90.15</v>
          </cell>
          <cell r="N755">
            <v>6505009090</v>
          </cell>
          <cell r="O755" t="str">
            <v>6505.00.40.00</v>
          </cell>
          <cell r="P755" t="str">
            <v>6505.00.90.90</v>
          </cell>
          <cell r="Q755">
            <v>0</v>
          </cell>
          <cell r="R755" t="str">
            <v>6505.00.90</v>
          </cell>
          <cell r="S755">
            <v>0</v>
          </cell>
        </row>
        <row r="756">
          <cell r="A756" t="str">
            <v>GIFT-BOX-BEAUTY-SERENE</v>
          </cell>
          <cell r="B756" t="str">
            <v>5.061E+12</v>
          </cell>
          <cell r="C756" t="str">
            <v>CLOSED</v>
          </cell>
          <cell r="D756" t="str">
            <v>Seasonal</v>
          </cell>
          <cell r="E756">
            <v>40</v>
          </cell>
          <cell r="F756" t="str">
            <v>AW24</v>
          </cell>
          <cell r="G756" t="str">
            <v>XR Textile</v>
          </cell>
          <cell r="H756" t="str">
            <v>GIFT-BOX-BEAUTY-WAFFLE</v>
          </cell>
          <cell r="M756" t="str">
            <v>6504.00.90.15</v>
          </cell>
          <cell r="N756">
            <v>6505009090</v>
          </cell>
          <cell r="O756" t="str">
            <v>6505.00.40.00</v>
          </cell>
          <cell r="P756" t="str">
            <v>6505.00.90.90</v>
          </cell>
          <cell r="Q756">
            <v>0</v>
          </cell>
          <cell r="R756" t="str">
            <v>6505.00.90</v>
          </cell>
          <cell r="S756">
            <v>0</v>
          </cell>
        </row>
        <row r="757">
          <cell r="A757" t="str">
            <v>GIFT-BOX-BEAUTY-SUM-UNICN</v>
          </cell>
          <cell r="B757" t="str">
            <v>5.061E+12</v>
          </cell>
          <cell r="C757" t="str">
            <v>CLOSED</v>
          </cell>
          <cell r="D757" t="str">
            <v>Seasonal</v>
          </cell>
          <cell r="E757">
            <v>40</v>
          </cell>
          <cell r="F757" t="str">
            <v>AW24</v>
          </cell>
          <cell r="G757" t="str">
            <v>XR Textile</v>
          </cell>
          <cell r="H757" t="str">
            <v>GIFT-BOX-BEAUTY</v>
          </cell>
          <cell r="M757" t="str">
            <v>6504.00.90.15</v>
          </cell>
          <cell r="N757">
            <v>6505009090</v>
          </cell>
          <cell r="O757" t="str">
            <v>6505.00.40.00</v>
          </cell>
          <cell r="P757" t="str">
            <v>6505.00.90.90</v>
          </cell>
          <cell r="Q757">
            <v>0</v>
          </cell>
          <cell r="R757" t="str">
            <v>6505.00.90</v>
          </cell>
          <cell r="S757">
            <v>0</v>
          </cell>
        </row>
        <row r="758">
          <cell r="A758" t="str">
            <v>HAIRW-ANI-COW</v>
          </cell>
          <cell r="B758" t="str">
            <v>5.0607E+12</v>
          </cell>
          <cell r="C758" t="str">
            <v>CLOSED</v>
          </cell>
          <cell r="D758" t="str">
            <v>Seasonal</v>
          </cell>
          <cell r="E758">
            <v>60</v>
          </cell>
          <cell r="F758" t="str">
            <v>SS22</v>
          </cell>
          <cell r="G758" t="str">
            <v>XR Textile</v>
          </cell>
          <cell r="H758" t="str">
            <v>HAIRW-standard</v>
          </cell>
          <cell r="I758" t="str">
            <v>GRS Certified* 83% Post Consumer Recycled Polyester (RM0189) 17% Pre Consumer Recycled Polyamide (RM1084)</v>
          </cell>
          <cell r="M758" t="str">
            <v>6504.00.90.15</v>
          </cell>
          <cell r="N758">
            <v>6505009090</v>
          </cell>
          <cell r="O758" t="str">
            <v>6505.00.40.00</v>
          </cell>
          <cell r="P758" t="str">
            <v>6505.00.90.90</v>
          </cell>
          <cell r="Q758">
            <v>0</v>
          </cell>
          <cell r="R758" t="str">
            <v>6505.00.90</v>
          </cell>
          <cell r="S758">
            <v>0</v>
          </cell>
        </row>
        <row r="759">
          <cell r="A759" t="str">
            <v>HAIRW-ANI-DALMA</v>
          </cell>
          <cell r="B759" t="str">
            <v>5.0607E+12</v>
          </cell>
          <cell r="C759" t="str">
            <v>CLOSED</v>
          </cell>
          <cell r="D759" t="str">
            <v>Seasonal</v>
          </cell>
          <cell r="E759">
            <v>60</v>
          </cell>
          <cell r="F759" t="str">
            <v>SS22</v>
          </cell>
          <cell r="G759" t="str">
            <v>XR Textile</v>
          </cell>
          <cell r="H759" t="str">
            <v>HAIRW-standard</v>
          </cell>
          <cell r="I759" t="str">
            <v>GRS Certified* 83% Post Consumer Recycled Polyester (RM0189) 17% Pre Consumer Recycled Polyamide (RM1084)</v>
          </cell>
          <cell r="M759" t="str">
            <v>6504.00.90.15</v>
          </cell>
          <cell r="N759">
            <v>6505009090</v>
          </cell>
          <cell r="O759" t="str">
            <v>6505.00.40.00</v>
          </cell>
          <cell r="P759" t="str">
            <v>6505.00.90.90</v>
          </cell>
          <cell r="Q759">
            <v>0</v>
          </cell>
          <cell r="R759" t="str">
            <v>6505.00.90</v>
          </cell>
          <cell r="S759">
            <v>0</v>
          </cell>
        </row>
        <row r="760">
          <cell r="A760" t="str">
            <v>HAIRW-ANI-LEOPD</v>
          </cell>
          <cell r="B760" t="str">
            <v>5.0607E+12</v>
          </cell>
          <cell r="C760" t="str">
            <v>CLOSED</v>
          </cell>
          <cell r="D760" t="str">
            <v>Seasonal</v>
          </cell>
          <cell r="E760">
            <v>60</v>
          </cell>
          <cell r="F760" t="str">
            <v>SS22</v>
          </cell>
          <cell r="G760" t="str">
            <v>XR Textile</v>
          </cell>
          <cell r="H760" t="str">
            <v>HAIRW-standard</v>
          </cell>
          <cell r="I760" t="str">
            <v>GRS Certified* 83% Post Consumer Recycled Polyester (RM0189) 17% Pre Consumer Recycled Polyamide (RM1084)</v>
          </cell>
          <cell r="M760" t="str">
            <v>6504.00.90.15</v>
          </cell>
          <cell r="N760">
            <v>6505009090</v>
          </cell>
          <cell r="O760" t="str">
            <v>6505.00.40.00</v>
          </cell>
          <cell r="P760" t="str">
            <v>6505.00.90.90</v>
          </cell>
          <cell r="Q760">
            <v>0</v>
          </cell>
          <cell r="R760" t="str">
            <v>6505.00.90</v>
          </cell>
          <cell r="S760">
            <v>0</v>
          </cell>
        </row>
        <row r="761">
          <cell r="A761" t="str">
            <v>HAIRW-ANI-SNAKE</v>
          </cell>
          <cell r="B761" t="str">
            <v>5.0607E+12</v>
          </cell>
          <cell r="C761" t="str">
            <v>CLOSED</v>
          </cell>
          <cell r="D761" t="str">
            <v>Seasonal</v>
          </cell>
          <cell r="E761">
            <v>60</v>
          </cell>
          <cell r="F761" t="str">
            <v>SS22</v>
          </cell>
          <cell r="G761" t="str">
            <v>XR Textile</v>
          </cell>
          <cell r="H761" t="str">
            <v>HAIRW-standard</v>
          </cell>
          <cell r="I761" t="str">
            <v>GRS Certified* 83% Post Consumer Recycled Polyester (RM0189) 17% Pre Consumer Recycled Polyamide (RM1084)</v>
          </cell>
          <cell r="M761" t="str">
            <v>6504.00.90.15</v>
          </cell>
          <cell r="N761">
            <v>6505009090</v>
          </cell>
          <cell r="O761" t="str">
            <v>6505.00.40.00</v>
          </cell>
          <cell r="P761" t="str">
            <v>6505.00.90.90</v>
          </cell>
          <cell r="Q761">
            <v>0</v>
          </cell>
          <cell r="R761" t="str">
            <v>6505.00.90</v>
          </cell>
          <cell r="S761">
            <v>0</v>
          </cell>
        </row>
        <row r="762">
          <cell r="A762" t="str">
            <v>HAIRW-ANI-TIGER</v>
          </cell>
          <cell r="B762" t="str">
            <v>5.0607E+12</v>
          </cell>
          <cell r="C762" t="str">
            <v>CLOSED</v>
          </cell>
          <cell r="D762" t="str">
            <v>Seasonal</v>
          </cell>
          <cell r="E762">
            <v>60</v>
          </cell>
          <cell r="F762" t="str">
            <v>SS22</v>
          </cell>
          <cell r="G762" t="str">
            <v>XR Textile</v>
          </cell>
          <cell r="H762" t="str">
            <v>HAIRW-standard</v>
          </cell>
          <cell r="I762" t="str">
            <v>GRS Certified* 83% Post Consumer Recycled Polyester (RM0189) 17% Pre Consumer Recycled Polyamide (RM1084)</v>
          </cell>
          <cell r="M762" t="str">
            <v>6504.00.90.15</v>
          </cell>
          <cell r="N762">
            <v>6505009090</v>
          </cell>
          <cell r="O762" t="str">
            <v>6505.00.40.00</v>
          </cell>
          <cell r="P762" t="str">
            <v>6505.00.90.90</v>
          </cell>
          <cell r="Q762">
            <v>0</v>
          </cell>
          <cell r="R762" t="str">
            <v>6505.00.90</v>
          </cell>
          <cell r="S762">
            <v>0</v>
          </cell>
        </row>
        <row r="763">
          <cell r="A763" t="str">
            <v>HAIRW-BOT-BANA-R</v>
          </cell>
          <cell r="B763" t="str">
            <v>5.0607E+12</v>
          </cell>
          <cell r="C763" t="str">
            <v>CLOSED</v>
          </cell>
          <cell r="D763" t="str">
            <v>Seasonal</v>
          </cell>
          <cell r="E763">
            <v>60</v>
          </cell>
          <cell r="F763" t="str">
            <v>SS21</v>
          </cell>
          <cell r="G763" t="str">
            <v>XR Textile</v>
          </cell>
          <cell r="H763" t="str">
            <v>HAIRW-standard</v>
          </cell>
          <cell r="I763" t="str">
            <v>GRS Certified* 83% Post Consumer Recycled Polyester (RM0189) 17% Pre Consumer Recycled Polyamide (RM1084)</v>
          </cell>
          <cell r="M763" t="str">
            <v>6504.00.90.15</v>
          </cell>
          <cell r="N763">
            <v>6505009090</v>
          </cell>
          <cell r="O763" t="str">
            <v>6505.00.40.00</v>
          </cell>
          <cell r="P763" t="str">
            <v>6505.00.90.90</v>
          </cell>
          <cell r="Q763">
            <v>0</v>
          </cell>
          <cell r="R763" t="str">
            <v>6505.00.90</v>
          </cell>
          <cell r="S763">
            <v>0</v>
          </cell>
        </row>
        <row r="764">
          <cell r="A764" t="str">
            <v>HAIRW-BOT-HIBI-R</v>
          </cell>
          <cell r="B764" t="str">
            <v>5.0607E+12</v>
          </cell>
          <cell r="C764" t="str">
            <v>CLOSED</v>
          </cell>
          <cell r="E764">
            <v>60</v>
          </cell>
          <cell r="F764" t="str">
            <v>SS21</v>
          </cell>
          <cell r="G764" t="str">
            <v>XR Textile</v>
          </cell>
          <cell r="H764" t="str">
            <v>HAIRW-standard</v>
          </cell>
          <cell r="I764" t="str">
            <v>GRS Certified* 83% Post Consumer Recycled Polyester (RM0189) 17% Pre Consumer Recycled Polyamide (RM1084)</v>
          </cell>
          <cell r="M764" t="str">
            <v>6504.00.90.15</v>
          </cell>
          <cell r="N764">
            <v>6505009090</v>
          </cell>
          <cell r="O764" t="str">
            <v>6505.00.40.00</v>
          </cell>
          <cell r="P764" t="str">
            <v>6505.00.90.90</v>
          </cell>
          <cell r="Q764">
            <v>0</v>
          </cell>
          <cell r="R764" t="str">
            <v>6505.00.90</v>
          </cell>
          <cell r="S764">
            <v>0</v>
          </cell>
        </row>
        <row r="765">
          <cell r="A765" t="str">
            <v>HAIRW-BOT-ORCH-R</v>
          </cell>
          <cell r="B765" t="str">
            <v>5.0607E+12</v>
          </cell>
          <cell r="C765" t="str">
            <v>CLOSED</v>
          </cell>
          <cell r="D765" t="str">
            <v>Seasonal</v>
          </cell>
          <cell r="E765">
            <v>60</v>
          </cell>
          <cell r="F765" t="str">
            <v>SS21</v>
          </cell>
          <cell r="G765" t="str">
            <v>XR Textile</v>
          </cell>
          <cell r="H765" t="str">
            <v>HAIRW-standard</v>
          </cell>
          <cell r="I765" t="str">
            <v>GRS Certified* 83% Post Consumer Recycled Polyester (RM0189) 17% Pre Consumer Recycled Polyamide (RM1084)</v>
          </cell>
          <cell r="M765" t="str">
            <v>6504.00.90.15</v>
          </cell>
          <cell r="N765">
            <v>6505009090</v>
          </cell>
          <cell r="O765" t="str">
            <v>6505.00.40.00</v>
          </cell>
          <cell r="P765" t="str">
            <v>6505.00.90.90</v>
          </cell>
          <cell r="Q765">
            <v>0</v>
          </cell>
          <cell r="R765" t="str">
            <v>6505.00.90</v>
          </cell>
          <cell r="S765">
            <v>0</v>
          </cell>
        </row>
        <row r="766">
          <cell r="A766" t="str">
            <v>HAIRW-BOT-PALM-R</v>
          </cell>
          <cell r="B766" t="str">
            <v>5.0607E+12</v>
          </cell>
          <cell r="C766" t="str">
            <v>CLOSED</v>
          </cell>
          <cell r="D766" t="str">
            <v>Seasonal</v>
          </cell>
          <cell r="E766">
            <v>60</v>
          </cell>
          <cell r="F766" t="str">
            <v>SS21</v>
          </cell>
          <cell r="G766" t="str">
            <v>XR Textile</v>
          </cell>
          <cell r="H766" t="str">
            <v>HAIRW-standard</v>
          </cell>
          <cell r="I766" t="str">
            <v>GRS Certified* 83% Post Consumer Recycled Polyester (RM0189) 17% Pre Consumer Recycled Polyamide (RM1084)</v>
          </cell>
          <cell r="M766" t="str">
            <v>6504.00.90.15</v>
          </cell>
          <cell r="N766">
            <v>6505009090</v>
          </cell>
          <cell r="O766" t="str">
            <v>6505.00.40.00</v>
          </cell>
          <cell r="P766" t="str">
            <v>6505.00.90.90</v>
          </cell>
          <cell r="Q766">
            <v>0</v>
          </cell>
          <cell r="R766" t="str">
            <v>6505.00.90</v>
          </cell>
          <cell r="S766">
            <v>0</v>
          </cell>
        </row>
        <row r="767">
          <cell r="A767" t="str">
            <v>HAIRW-BOT-PARA-R</v>
          </cell>
          <cell r="B767" t="str">
            <v>5.0607E+12</v>
          </cell>
          <cell r="C767" t="str">
            <v>CLOSED</v>
          </cell>
          <cell r="D767" t="str">
            <v>Seasonal</v>
          </cell>
          <cell r="E767">
            <v>60</v>
          </cell>
          <cell r="F767" t="str">
            <v>SS21</v>
          </cell>
          <cell r="G767" t="str">
            <v>XR Textile</v>
          </cell>
          <cell r="H767" t="str">
            <v>HAIRW-standard</v>
          </cell>
          <cell r="I767" t="str">
            <v>GRS Certified* 83% Post Consumer Recycled Polyester (RM0189) 17% Pre Consumer Recycled Polyamide (RM1084)</v>
          </cell>
          <cell r="M767" t="str">
            <v>6504.00.90.15</v>
          </cell>
          <cell r="N767">
            <v>6505009090</v>
          </cell>
          <cell r="O767" t="str">
            <v>6505.00.40.00</v>
          </cell>
          <cell r="P767" t="str">
            <v>6505.00.90.90</v>
          </cell>
          <cell r="Q767">
            <v>0</v>
          </cell>
          <cell r="R767" t="str">
            <v>6505.00.90</v>
          </cell>
          <cell r="S767">
            <v>0</v>
          </cell>
        </row>
        <row r="768">
          <cell r="A768" t="str">
            <v>HAIRW-CAB-LTBGE-R</v>
          </cell>
          <cell r="B768" t="str">
            <v>5.0607E+12</v>
          </cell>
          <cell r="C768" t="str">
            <v>CLOSED</v>
          </cell>
          <cell r="D768" t="str">
            <v>Seasonal</v>
          </cell>
          <cell r="E768">
            <v>60</v>
          </cell>
          <cell r="F768" t="str">
            <v>before AW20</v>
          </cell>
          <cell r="G768" t="str">
            <v>XR Textile</v>
          </cell>
          <cell r="H768" t="str">
            <v>HAIRW-standard</v>
          </cell>
          <cell r="I768" t="str">
            <v>GRS Certified* 83% Post Consumer Recycled Polyester (RM0189) 17% Pre Consumer Recycled Polyamide (RM1084)</v>
          </cell>
          <cell r="M768" t="str">
            <v>6504.00.90.15</v>
          </cell>
          <cell r="N768">
            <v>6505009090</v>
          </cell>
          <cell r="O768" t="str">
            <v>6505.00.40.00</v>
          </cell>
          <cell r="P768" t="str">
            <v>6505.00.90.90</v>
          </cell>
          <cell r="Q768">
            <v>0</v>
          </cell>
          <cell r="R768" t="str">
            <v>6505.00.90</v>
          </cell>
          <cell r="S768">
            <v>0</v>
          </cell>
        </row>
        <row r="769">
          <cell r="A769" t="str">
            <v>HAIRW-CAB-LTBLU-R</v>
          </cell>
          <cell r="B769" t="str">
            <v>5.0607E+12</v>
          </cell>
          <cell r="C769" t="str">
            <v>CLOSED</v>
          </cell>
          <cell r="D769" t="str">
            <v>Core</v>
          </cell>
          <cell r="E769">
            <v>60</v>
          </cell>
          <cell r="F769" t="str">
            <v>before AW20</v>
          </cell>
          <cell r="G769" t="str">
            <v>XR Textile</v>
          </cell>
          <cell r="H769" t="str">
            <v>HAIRW-standard</v>
          </cell>
          <cell r="I769" t="str">
            <v>GRS Certified* 83% Post Consumer Recycled Polyester (RM0189) 17% Pre Consumer Recycled Polyamide (RM1084)</v>
          </cell>
          <cell r="M769" t="str">
            <v>6504.00.90.15</v>
          </cell>
          <cell r="N769">
            <v>6505009090</v>
          </cell>
          <cell r="O769" t="str">
            <v>6505.00.40.00</v>
          </cell>
          <cell r="P769" t="str">
            <v>6505.00.90.90</v>
          </cell>
          <cell r="Q769">
            <v>0</v>
          </cell>
          <cell r="R769" t="str">
            <v>6505.00.90</v>
          </cell>
          <cell r="S769">
            <v>0</v>
          </cell>
        </row>
        <row r="770">
          <cell r="A770" t="str">
            <v>HAIRW-CAB-LTGRE-R</v>
          </cell>
          <cell r="B770" t="str">
            <v>5.0607E+12</v>
          </cell>
          <cell r="C770" t="str">
            <v>CLOSED</v>
          </cell>
          <cell r="D770" t="str">
            <v>Seasonal</v>
          </cell>
          <cell r="E770">
            <v>60</v>
          </cell>
          <cell r="F770" t="str">
            <v>before AW20</v>
          </cell>
          <cell r="G770" t="str">
            <v>XR Textile</v>
          </cell>
          <cell r="H770" t="str">
            <v>HAIRW-standard</v>
          </cell>
          <cell r="I770" t="str">
            <v>GRS Certified* 83% Post Consumer Recycled Polyester (RM0189) 17% Pre Consumer Recycled Polyamide (RM1084)</v>
          </cell>
          <cell r="M770" t="str">
            <v>6504.00.90.15</v>
          </cell>
          <cell r="N770">
            <v>6505009090</v>
          </cell>
          <cell r="O770" t="str">
            <v>6505.00.40.00</v>
          </cell>
          <cell r="P770" t="str">
            <v>6505.00.90.90</v>
          </cell>
          <cell r="Q770">
            <v>0</v>
          </cell>
          <cell r="R770" t="str">
            <v>6505.00.90</v>
          </cell>
          <cell r="S770">
            <v>0</v>
          </cell>
        </row>
        <row r="771">
          <cell r="A771" t="str">
            <v>HAIRW-CAB-LTGRY-NB</v>
          </cell>
          <cell r="B771" t="str">
            <v>5.0607E+12</v>
          </cell>
          <cell r="C771" t="str">
            <v>CLOSED</v>
          </cell>
          <cell r="D771" t="str">
            <v>Seasonal</v>
          </cell>
          <cell r="E771">
            <v>60</v>
          </cell>
          <cell r="G771" t="str">
            <v>XR Textile</v>
          </cell>
          <cell r="H771" t="str">
            <v>HAIRW-standard</v>
          </cell>
          <cell r="I771" t="str">
            <v>GRS Certified* 83% Post Consumer Recycled Polyester (RM0189) 17% Pre Consumer Recycled Polyamide (RM1084)</v>
          </cell>
          <cell r="M771" t="str">
            <v>6504.00.90.15</v>
          </cell>
          <cell r="N771">
            <v>6505009090</v>
          </cell>
          <cell r="O771" t="str">
            <v>6505.00.40.00</v>
          </cell>
          <cell r="P771" t="str">
            <v>6505.00.90.90</v>
          </cell>
          <cell r="Q771">
            <v>0</v>
          </cell>
          <cell r="R771" t="str">
            <v>6505.00.90</v>
          </cell>
          <cell r="S771">
            <v>0</v>
          </cell>
        </row>
        <row r="772">
          <cell r="A772" t="str">
            <v>HAIRW-CAB-LTGRY-R</v>
          </cell>
          <cell r="B772" t="str">
            <v>5.0607E+12</v>
          </cell>
          <cell r="C772" t="str">
            <v>CLOSED</v>
          </cell>
          <cell r="D772" t="str">
            <v>Core</v>
          </cell>
          <cell r="E772">
            <v>60</v>
          </cell>
          <cell r="F772" t="str">
            <v>before AW20</v>
          </cell>
          <cell r="G772" t="str">
            <v>XR Textile</v>
          </cell>
          <cell r="H772" t="str">
            <v>HAIRW-standard</v>
          </cell>
          <cell r="I772" t="str">
            <v>GRS Certified* 83% Post Consumer Recycled Polyester (RM0189) 17% Pre Consumer Recycled Polyamide (RM1084)</v>
          </cell>
          <cell r="M772" t="str">
            <v>6504.00.90.15</v>
          </cell>
          <cell r="N772">
            <v>6505009090</v>
          </cell>
          <cell r="O772" t="str">
            <v>6505.00.40.00</v>
          </cell>
          <cell r="P772" t="str">
            <v>6505.00.90.90</v>
          </cell>
          <cell r="Q772">
            <v>0</v>
          </cell>
          <cell r="R772" t="str">
            <v>6505.00.90</v>
          </cell>
          <cell r="S772">
            <v>0</v>
          </cell>
        </row>
        <row r="773">
          <cell r="A773" t="str">
            <v>HAIRW-CAB-LTPCH-R</v>
          </cell>
          <cell r="B773" t="str">
            <v>5.0607E+12</v>
          </cell>
          <cell r="C773" t="str">
            <v>CLOSED</v>
          </cell>
          <cell r="D773" t="str">
            <v>Seasonal</v>
          </cell>
          <cell r="E773">
            <v>60</v>
          </cell>
          <cell r="F773" t="str">
            <v>before AW20</v>
          </cell>
          <cell r="G773" t="str">
            <v>XR Textile</v>
          </cell>
          <cell r="H773" t="str">
            <v>HAIRW-standard</v>
          </cell>
          <cell r="I773" t="str">
            <v>GRS Certified* 83% Post Consumer Recycled Polyester (RM0189) 17% Pre Consumer Recycled Polyamide (RM1084)</v>
          </cell>
          <cell r="M773" t="str">
            <v>6504.00.90.15</v>
          </cell>
          <cell r="N773">
            <v>6505009090</v>
          </cell>
          <cell r="O773" t="str">
            <v>6505.00.40.00</v>
          </cell>
          <cell r="P773" t="str">
            <v>6505.00.90.90</v>
          </cell>
          <cell r="Q773">
            <v>0</v>
          </cell>
          <cell r="R773" t="str">
            <v>6505.00.90</v>
          </cell>
          <cell r="S773">
            <v>0</v>
          </cell>
        </row>
        <row r="774">
          <cell r="A774" t="str">
            <v>HAIRW-CAB-LTPNK-R</v>
          </cell>
          <cell r="B774" t="str">
            <v>5.0607E+12</v>
          </cell>
          <cell r="C774" t="str">
            <v>CLOSED</v>
          </cell>
          <cell r="E774">
            <v>60</v>
          </cell>
          <cell r="F774" t="str">
            <v>before AW20</v>
          </cell>
          <cell r="G774" t="str">
            <v>XR Textile</v>
          </cell>
          <cell r="H774" t="str">
            <v>HAIRW-standard</v>
          </cell>
          <cell r="I774" t="str">
            <v>GRS Certified* 83% Post Consumer Recycled Polyester (RM0189) 17% Pre Consumer Recycled Polyamide (RM1084)</v>
          </cell>
          <cell r="M774" t="str">
            <v>6504.00.90.15</v>
          </cell>
          <cell r="N774">
            <v>6505009090</v>
          </cell>
          <cell r="O774" t="str">
            <v>6505.00.40.00</v>
          </cell>
          <cell r="P774" t="str">
            <v>6505.00.90.90</v>
          </cell>
          <cell r="Q774">
            <v>0</v>
          </cell>
          <cell r="R774" t="str">
            <v>6505.00.90</v>
          </cell>
          <cell r="S774">
            <v>0</v>
          </cell>
        </row>
        <row r="775">
          <cell r="A775" t="str">
            <v>HAIRW-CAB-LTPPL-R</v>
          </cell>
          <cell r="B775" t="str">
            <v>5.0607E+12</v>
          </cell>
          <cell r="C775" t="str">
            <v>CLOSED</v>
          </cell>
          <cell r="D775" t="str">
            <v>Core</v>
          </cell>
          <cell r="E775">
            <v>60</v>
          </cell>
          <cell r="F775" t="str">
            <v>before AW20</v>
          </cell>
          <cell r="G775" t="str">
            <v>XR Textile</v>
          </cell>
          <cell r="H775" t="str">
            <v>HAIRW-standard</v>
          </cell>
          <cell r="I775" t="str">
            <v>GRS Certified* 83% Post Consumer Recycled Polyester (RM0189) 17% Pre Consumer Recycled Polyamide (RM1084)</v>
          </cell>
          <cell r="M775" t="str">
            <v>6504.00.90.15</v>
          </cell>
          <cell r="N775">
            <v>6505009090</v>
          </cell>
          <cell r="O775" t="str">
            <v>6505.00.40.00</v>
          </cell>
          <cell r="P775" t="str">
            <v>6505.00.90.90</v>
          </cell>
          <cell r="Q775">
            <v>0</v>
          </cell>
          <cell r="R775" t="str">
            <v>6505.00.90</v>
          </cell>
          <cell r="S775">
            <v>0</v>
          </cell>
        </row>
        <row r="776">
          <cell r="A776" t="str">
            <v>HAIRW-CAB-NAVY</v>
          </cell>
          <cell r="B776" t="str">
            <v>5.0607E+12</v>
          </cell>
          <cell r="C776" t="str">
            <v>CLOSED</v>
          </cell>
          <cell r="D776" t="str">
            <v>Core</v>
          </cell>
          <cell r="E776">
            <v>60</v>
          </cell>
          <cell r="F776" t="str">
            <v>SS23</v>
          </cell>
          <cell r="G776" t="str">
            <v>XR Textile</v>
          </cell>
          <cell r="H776" t="str">
            <v>HAIRW-standard</v>
          </cell>
          <cell r="I776" t="str">
            <v>GRS Certified* 83% Post Consumer Recycled Polyester (RM0189) 17% Pre Consumer Recycled Polyamide (RM1084)</v>
          </cell>
          <cell r="M776" t="str">
            <v>6504.00.90.15</v>
          </cell>
          <cell r="N776">
            <v>6505009090</v>
          </cell>
          <cell r="O776" t="str">
            <v>6505.00.40.00</v>
          </cell>
          <cell r="P776" t="str">
            <v>6505.00.90.90</v>
          </cell>
          <cell r="Q776">
            <v>0</v>
          </cell>
          <cell r="R776" t="str">
            <v>6505.00.90</v>
          </cell>
          <cell r="S776">
            <v>0</v>
          </cell>
        </row>
        <row r="777">
          <cell r="A777" t="str">
            <v>HAIRW-CAB-PURPL-R</v>
          </cell>
          <cell r="B777" t="str">
            <v>6.5097E+11</v>
          </cell>
          <cell r="C777" t="str">
            <v>CLOSED</v>
          </cell>
          <cell r="E777">
            <v>60</v>
          </cell>
          <cell r="G777" t="str">
            <v>XR Textile</v>
          </cell>
          <cell r="H777" t="str">
            <v>HAIRW-standard</v>
          </cell>
          <cell r="I777" t="str">
            <v>GRS Certified* 83% Post Consumer Recycled Polyester (RM0189) 17% Pre Consumer Recycled Polyamide (RM1084)</v>
          </cell>
          <cell r="M777" t="str">
            <v>6504.00.90.15</v>
          </cell>
          <cell r="N777">
            <v>6505009090</v>
          </cell>
          <cell r="O777" t="str">
            <v>6505.00.40.00</v>
          </cell>
          <cell r="P777" t="str">
            <v>6505.00.90.90</v>
          </cell>
          <cell r="Q777">
            <v>0</v>
          </cell>
          <cell r="R777" t="str">
            <v>6505.00.90</v>
          </cell>
          <cell r="S777">
            <v>0</v>
          </cell>
        </row>
        <row r="778">
          <cell r="A778" t="str">
            <v>HAIRW-CBH-NAVY</v>
          </cell>
          <cell r="B778" t="str">
            <v>5.0607E+12</v>
          </cell>
          <cell r="C778" t="str">
            <v>CLOSED</v>
          </cell>
          <cell r="D778" t="str">
            <v>Core</v>
          </cell>
          <cell r="E778">
            <v>60</v>
          </cell>
          <cell r="F778" t="str">
            <v>AW23</v>
          </cell>
          <cell r="G778" t="str">
            <v>XR Textile</v>
          </cell>
          <cell r="H778" t="str">
            <v>HAIRW-premium</v>
          </cell>
          <cell r="I778" t="str">
            <v>GRS Certified* 83% Post Consumer Recycled Polyester (RM0189) 17% Pre Consumer Recycled Polyamide (RM1084)</v>
          </cell>
          <cell r="M778" t="str">
            <v>6504.00.90.15</v>
          </cell>
          <cell r="N778">
            <v>6505009090</v>
          </cell>
          <cell r="O778" t="str">
            <v>6505.00.40.00</v>
          </cell>
          <cell r="P778" t="str">
            <v>6505.00.90.90</v>
          </cell>
          <cell r="Q778">
            <v>0</v>
          </cell>
          <cell r="R778" t="str">
            <v>6505.00.90</v>
          </cell>
          <cell r="S778">
            <v>6507</v>
          </cell>
        </row>
        <row r="779">
          <cell r="A779" t="str">
            <v>HAIRW-CBH-PINK</v>
          </cell>
          <cell r="B779" t="str">
            <v>5.0607E+12</v>
          </cell>
          <cell r="C779" t="str">
            <v>CLOSED</v>
          </cell>
          <cell r="D779" t="str">
            <v>Core</v>
          </cell>
          <cell r="E779">
            <v>60</v>
          </cell>
          <cell r="F779" t="str">
            <v>AW23</v>
          </cell>
          <cell r="G779" t="str">
            <v>XR Textile</v>
          </cell>
          <cell r="H779" t="str">
            <v>HAIRW-premium</v>
          </cell>
          <cell r="I779" t="str">
            <v>GRS Certified* 83% Post Consumer Recycled Polyester (RM0189) 17% Pre Consumer Recycled Polyamide (RM1084)</v>
          </cell>
          <cell r="M779" t="str">
            <v>6504.00.90.15</v>
          </cell>
          <cell r="N779">
            <v>6505009090</v>
          </cell>
          <cell r="O779" t="str">
            <v>6505.00.40.00</v>
          </cell>
          <cell r="P779" t="str">
            <v>6505.00.90.90</v>
          </cell>
          <cell r="Q779">
            <v>0</v>
          </cell>
          <cell r="R779" t="str">
            <v>6505.00.90</v>
          </cell>
          <cell r="S779">
            <v>6507</v>
          </cell>
        </row>
        <row r="780">
          <cell r="A780" t="str">
            <v>HAIRW-CLA-BLACK-R</v>
          </cell>
          <cell r="B780" t="str">
            <v>5.0607E+12</v>
          </cell>
          <cell r="C780" t="str">
            <v>CLOSED</v>
          </cell>
          <cell r="D780" t="str">
            <v>Seasonal</v>
          </cell>
          <cell r="E780">
            <v>60</v>
          </cell>
          <cell r="F780" t="str">
            <v>SS21</v>
          </cell>
          <cell r="G780" t="str">
            <v>XR Textile</v>
          </cell>
          <cell r="H780" t="str">
            <v>HAIRW-standard</v>
          </cell>
          <cell r="I780" t="str">
            <v>GRS Certified* 83% Post Consumer Recycled Polyester (RM0189) 17% Pre Consumer Recycled Polyamide (RM1084)</v>
          </cell>
          <cell r="M780" t="str">
            <v>6504.00.90.15</v>
          </cell>
          <cell r="N780">
            <v>6505009090</v>
          </cell>
          <cell r="O780" t="str">
            <v>6505.00.40.00</v>
          </cell>
          <cell r="P780" t="str">
            <v>6505.00.90.90</v>
          </cell>
          <cell r="Q780">
            <v>0</v>
          </cell>
          <cell r="R780" t="str">
            <v>6505.00.90</v>
          </cell>
          <cell r="S780">
            <v>0</v>
          </cell>
        </row>
        <row r="781">
          <cell r="A781" t="str">
            <v>HAIRW-CLA-DKBLU-R</v>
          </cell>
          <cell r="B781" t="str">
            <v>5.0607E+12</v>
          </cell>
          <cell r="C781" t="str">
            <v>CLOSED</v>
          </cell>
          <cell r="D781" t="str">
            <v>Seasonal</v>
          </cell>
          <cell r="E781">
            <v>60</v>
          </cell>
          <cell r="F781" t="str">
            <v>SS21</v>
          </cell>
          <cell r="G781" t="str">
            <v>XR Textile</v>
          </cell>
          <cell r="H781" t="str">
            <v>HAIRW-standard</v>
          </cell>
          <cell r="I781" t="str">
            <v>GRS Certified* 83% Post Consumer Recycled Polyester (RM0189) 17% Pre Consumer Recycled Polyamide (RM1084)</v>
          </cell>
          <cell r="M781" t="str">
            <v>6504.00.90.15</v>
          </cell>
          <cell r="N781">
            <v>6505009090</v>
          </cell>
          <cell r="O781" t="str">
            <v>6505.00.40.00</v>
          </cell>
          <cell r="P781" t="str">
            <v>6505.00.90.90</v>
          </cell>
          <cell r="Q781">
            <v>0</v>
          </cell>
          <cell r="R781" t="str">
            <v>6505.00.90</v>
          </cell>
          <cell r="S781">
            <v>0</v>
          </cell>
        </row>
        <row r="782">
          <cell r="A782" t="str">
            <v>HAIRW-CLA-DKGRN-R</v>
          </cell>
          <cell r="B782" t="str">
            <v>5.0607E+12</v>
          </cell>
          <cell r="C782" t="str">
            <v>CLOSED</v>
          </cell>
          <cell r="D782" t="str">
            <v>Seasonal</v>
          </cell>
          <cell r="E782">
            <v>60</v>
          </cell>
          <cell r="F782" t="str">
            <v>SS21</v>
          </cell>
          <cell r="G782" t="str">
            <v>XR Textile</v>
          </cell>
          <cell r="H782" t="str">
            <v>HAIRW-standard</v>
          </cell>
          <cell r="I782" t="str">
            <v>GRS Certified* 83% Post Consumer Recycled Polyester (RM0189) 17% Pre Consumer Recycled Polyamide (RM1084)</v>
          </cell>
          <cell r="M782" t="str">
            <v>6504.00.90.15</v>
          </cell>
          <cell r="N782">
            <v>6505009090</v>
          </cell>
          <cell r="O782" t="str">
            <v>6505.00.40.00</v>
          </cell>
          <cell r="P782" t="str">
            <v>6505.00.90.90</v>
          </cell>
          <cell r="Q782">
            <v>0</v>
          </cell>
          <cell r="R782" t="str">
            <v>6505.00.90</v>
          </cell>
          <cell r="S782">
            <v>0</v>
          </cell>
        </row>
        <row r="783">
          <cell r="A783" t="str">
            <v>HAIRW-CLA-DKRED-R</v>
          </cell>
          <cell r="B783" t="str">
            <v>5.0607E+12</v>
          </cell>
          <cell r="C783" t="str">
            <v>CLOSED</v>
          </cell>
          <cell r="D783" t="str">
            <v>Seasonal</v>
          </cell>
          <cell r="E783">
            <v>60</v>
          </cell>
          <cell r="F783" t="str">
            <v>SS21</v>
          </cell>
          <cell r="G783" t="str">
            <v>XR Textile</v>
          </cell>
          <cell r="H783" t="str">
            <v>HAIRW-standard</v>
          </cell>
          <cell r="I783" t="str">
            <v>GRS Certified* 83% Post Consumer Recycled Polyester (RM0189) 17% Pre Consumer Recycled Polyamide (RM1084)</v>
          </cell>
          <cell r="M783" t="str">
            <v>6504.00.90.15</v>
          </cell>
          <cell r="N783">
            <v>6505009090</v>
          </cell>
          <cell r="O783" t="str">
            <v>6505.00.40.00</v>
          </cell>
          <cell r="P783" t="str">
            <v>6505.00.90.90</v>
          </cell>
          <cell r="Q783">
            <v>0</v>
          </cell>
          <cell r="R783" t="str">
            <v>6505.00.90</v>
          </cell>
          <cell r="S783">
            <v>0</v>
          </cell>
        </row>
        <row r="784">
          <cell r="A784" t="str">
            <v>HAIRW-CLA-LTBGE-R</v>
          </cell>
          <cell r="B784" t="str">
            <v>5.0607E+12</v>
          </cell>
          <cell r="C784" t="str">
            <v>CLOSED</v>
          </cell>
          <cell r="D784" t="str">
            <v>Seasonal</v>
          </cell>
          <cell r="E784">
            <v>60</v>
          </cell>
          <cell r="F784" t="str">
            <v>before AW20</v>
          </cell>
          <cell r="G784" t="str">
            <v>XR Textile</v>
          </cell>
          <cell r="H784" t="str">
            <v>HAIRW-standard</v>
          </cell>
          <cell r="I784" t="str">
            <v>GRS Certified* 83% Post Consumer Recycled Polyester (RM0189) 17% Pre Consumer Recycled Polyamide (RM1084)</v>
          </cell>
          <cell r="M784" t="str">
            <v>6504.00.90.15</v>
          </cell>
          <cell r="N784">
            <v>6505009090</v>
          </cell>
          <cell r="O784" t="str">
            <v>6505.00.40.00</v>
          </cell>
          <cell r="P784" t="str">
            <v>6505.00.90.90</v>
          </cell>
          <cell r="Q784">
            <v>0</v>
          </cell>
          <cell r="R784" t="str">
            <v>6505.00.90</v>
          </cell>
          <cell r="S784">
            <v>0</v>
          </cell>
        </row>
        <row r="785">
          <cell r="A785" t="str">
            <v>HAIRW-CLA-LTBLU-R</v>
          </cell>
          <cell r="B785" t="str">
            <v>5.0607E+12</v>
          </cell>
          <cell r="C785" t="str">
            <v>CLOSED</v>
          </cell>
          <cell r="E785">
            <v>60</v>
          </cell>
          <cell r="F785" t="str">
            <v>before AW20</v>
          </cell>
          <cell r="G785" t="str">
            <v>XR Textile</v>
          </cell>
          <cell r="H785" t="str">
            <v>HAIRW-standard</v>
          </cell>
          <cell r="I785" t="str">
            <v>GRS Certified* 83% Post Consumer Recycled Polyester (RM0189) 17% Pre Consumer Recycled Polyamide (RM1084)</v>
          </cell>
          <cell r="M785" t="str">
            <v>6504.00.90.15</v>
          </cell>
          <cell r="N785">
            <v>6505009090</v>
          </cell>
          <cell r="O785" t="str">
            <v>6505.00.40.00</v>
          </cell>
          <cell r="P785" t="str">
            <v>6505.00.90.90</v>
          </cell>
          <cell r="Q785">
            <v>0</v>
          </cell>
          <cell r="R785" t="str">
            <v>6505.00.90</v>
          </cell>
          <cell r="S785">
            <v>0</v>
          </cell>
        </row>
        <row r="786">
          <cell r="A786" t="str">
            <v>HAIRW-CLA-LTGRE-R</v>
          </cell>
          <cell r="B786" t="str">
            <v>5.0607E+12</v>
          </cell>
          <cell r="C786" t="str">
            <v>CLOSED</v>
          </cell>
          <cell r="D786" t="str">
            <v>Seasonal</v>
          </cell>
          <cell r="E786">
            <v>60</v>
          </cell>
          <cell r="F786" t="str">
            <v>before AW20</v>
          </cell>
          <cell r="G786" t="str">
            <v>XR Textile</v>
          </cell>
          <cell r="H786" t="str">
            <v>HAIRW-standard</v>
          </cell>
          <cell r="I786" t="str">
            <v>GRS Certified* 83% Post Consumer Recycled Polyester (RM0189) 17% Pre Consumer Recycled Polyamide (RM1084)</v>
          </cell>
          <cell r="M786" t="str">
            <v>6504.00.90.15</v>
          </cell>
          <cell r="N786">
            <v>6505009090</v>
          </cell>
          <cell r="O786" t="str">
            <v>6505.00.40.00</v>
          </cell>
          <cell r="P786" t="str">
            <v>6505.00.90.90</v>
          </cell>
          <cell r="Q786">
            <v>0</v>
          </cell>
          <cell r="R786" t="str">
            <v>6505.00.90</v>
          </cell>
          <cell r="S786">
            <v>0</v>
          </cell>
        </row>
        <row r="787">
          <cell r="A787" t="str">
            <v>HAIRW-CLA-LTGRY-R</v>
          </cell>
          <cell r="B787" t="str">
            <v>5.0607E+12</v>
          </cell>
          <cell r="C787" t="str">
            <v>CLOSED</v>
          </cell>
          <cell r="D787" t="str">
            <v>Seasonal</v>
          </cell>
          <cell r="E787">
            <v>60</v>
          </cell>
          <cell r="F787" t="str">
            <v>before AW20</v>
          </cell>
          <cell r="G787" t="str">
            <v>XR Textile</v>
          </cell>
          <cell r="H787" t="str">
            <v>HAIRW-standard</v>
          </cell>
          <cell r="I787" t="str">
            <v>GRS Certified* 83% Post Consumer Recycled Polyester (RM0189) 17% Pre Consumer Recycled Polyamide (RM1084)</v>
          </cell>
          <cell r="M787" t="str">
            <v>6504.00.90.15</v>
          </cell>
          <cell r="N787">
            <v>6505009090</v>
          </cell>
          <cell r="O787" t="str">
            <v>6505.00.40.00</v>
          </cell>
          <cell r="P787" t="str">
            <v>6505.00.90.90</v>
          </cell>
          <cell r="Q787">
            <v>0</v>
          </cell>
          <cell r="R787" t="str">
            <v>6505.00.90</v>
          </cell>
          <cell r="S787">
            <v>0</v>
          </cell>
        </row>
        <row r="788">
          <cell r="A788" t="str">
            <v>HAIRW-CLA-LTPNK-R</v>
          </cell>
          <cell r="B788" t="str">
            <v>5.0607E+12</v>
          </cell>
          <cell r="C788" t="str">
            <v>CLOSED</v>
          </cell>
          <cell r="E788">
            <v>60</v>
          </cell>
          <cell r="F788" t="str">
            <v>before AW20</v>
          </cell>
          <cell r="G788" t="str">
            <v>XR Textile</v>
          </cell>
          <cell r="H788" t="str">
            <v>HAIRW-standard</v>
          </cell>
          <cell r="I788" t="str">
            <v>GRS Certified* 83% Post Consumer Recycled Polyester (RM0189) 17% Pre Consumer Recycled Polyamide (RM1084)</v>
          </cell>
          <cell r="M788" t="str">
            <v>6504.00.90.15</v>
          </cell>
          <cell r="N788">
            <v>6505009090</v>
          </cell>
          <cell r="O788" t="str">
            <v>6505.00.40.00</v>
          </cell>
          <cell r="P788" t="str">
            <v>6505.00.90.90</v>
          </cell>
          <cell r="Q788">
            <v>0</v>
          </cell>
          <cell r="R788" t="str">
            <v>6505.00.90</v>
          </cell>
          <cell r="S788">
            <v>0</v>
          </cell>
        </row>
        <row r="789">
          <cell r="A789" t="str">
            <v>HAIRW-CLA-LTPPL-R</v>
          </cell>
          <cell r="B789" t="str">
            <v>5.0607E+12</v>
          </cell>
          <cell r="C789" t="str">
            <v>CLOSED</v>
          </cell>
          <cell r="E789">
            <v>60</v>
          </cell>
          <cell r="F789" t="str">
            <v>before AW20</v>
          </cell>
          <cell r="G789" t="str">
            <v>XR Textile</v>
          </cell>
          <cell r="H789" t="str">
            <v>HAIRW-standard</v>
          </cell>
          <cell r="I789" t="str">
            <v>GRS Certified* 83% Post Consumer Recycled Polyester (RM0189) 17% Pre Consumer Recycled Polyamide (RM1084)</v>
          </cell>
          <cell r="M789" t="str">
            <v>6504.00.90.15</v>
          </cell>
          <cell r="N789">
            <v>6505009090</v>
          </cell>
          <cell r="O789" t="str">
            <v>6505.00.40.00</v>
          </cell>
          <cell r="P789" t="str">
            <v>6505.00.90.90</v>
          </cell>
          <cell r="Q789">
            <v>0</v>
          </cell>
          <cell r="R789" t="str">
            <v>6505.00.90</v>
          </cell>
          <cell r="S789">
            <v>0</v>
          </cell>
        </row>
        <row r="790">
          <cell r="A790" t="str">
            <v>HAIRW-CLA-WHITE-NB</v>
          </cell>
          <cell r="B790" t="str">
            <v>5.0607E+12</v>
          </cell>
          <cell r="C790" t="str">
            <v>CLOSED</v>
          </cell>
          <cell r="D790" t="str">
            <v>Core</v>
          </cell>
          <cell r="E790">
            <v>60</v>
          </cell>
          <cell r="F790" t="str">
            <v>AW24</v>
          </cell>
          <cell r="G790" t="str">
            <v>XR Textile</v>
          </cell>
          <cell r="H790" t="str">
            <v>HAIRW-premium</v>
          </cell>
          <cell r="I790" t="str">
            <v>GRS Certified* 83% Post Consumer Recycled Polyester (RM0189) 17% Pre Consumer Recycled Polyamide (RM1084)</v>
          </cell>
          <cell r="M790" t="str">
            <v>6504.00.90.15</v>
          </cell>
          <cell r="N790">
            <v>6505009090</v>
          </cell>
          <cell r="O790" t="str">
            <v>6505.00.40.00</v>
          </cell>
          <cell r="P790" t="str">
            <v>6505.00.90.90</v>
          </cell>
          <cell r="Q790">
            <v>0</v>
          </cell>
          <cell r="R790" t="str">
            <v>6505.00.90</v>
          </cell>
          <cell r="S790">
            <v>6507</v>
          </cell>
        </row>
        <row r="791">
          <cell r="A791" t="str">
            <v>HAIRW-FLO-BLOOM</v>
          </cell>
          <cell r="B791" t="str">
            <v>5.0607E+12</v>
          </cell>
          <cell r="C791" t="str">
            <v>CLOSED</v>
          </cell>
          <cell r="D791" t="str">
            <v>Seasonal</v>
          </cell>
          <cell r="E791">
            <v>60</v>
          </cell>
          <cell r="F791" t="str">
            <v>SS23</v>
          </cell>
          <cell r="G791" t="str">
            <v>XR Textile</v>
          </cell>
          <cell r="H791" t="str">
            <v>HAIRW-standard</v>
          </cell>
          <cell r="I791" t="str">
            <v>GRS Certified* 83% Post Consumer Recycled Polyester (RM0189) 17% Pre Consumer Recycled Polyamide (RM1084)</v>
          </cell>
          <cell r="M791" t="str">
            <v>6504.00.90.15</v>
          </cell>
          <cell r="N791">
            <v>6505009090</v>
          </cell>
          <cell r="O791" t="str">
            <v>6505.00.40.00</v>
          </cell>
          <cell r="P791" t="str">
            <v>6505.00.90.90</v>
          </cell>
          <cell r="Q791">
            <v>0</v>
          </cell>
          <cell r="R791" t="str">
            <v>6505.00.90</v>
          </cell>
          <cell r="S791">
            <v>0</v>
          </cell>
        </row>
        <row r="792">
          <cell r="A792" t="str">
            <v>HAIRW-FLO-DAISY</v>
          </cell>
          <cell r="B792" t="str">
            <v>5.0607E+12</v>
          </cell>
          <cell r="C792" t="str">
            <v>CLOSED</v>
          </cell>
          <cell r="D792" t="str">
            <v>Seasonal</v>
          </cell>
          <cell r="E792">
            <v>60</v>
          </cell>
          <cell r="F792" t="str">
            <v>SS23</v>
          </cell>
          <cell r="G792" t="str">
            <v>XR Textile</v>
          </cell>
          <cell r="H792" t="str">
            <v>HAIRW-standard</v>
          </cell>
          <cell r="I792" t="str">
            <v>GRS Certified* 83% Post Consumer Recycled Polyester (RM0189) 17% Pre Consumer Recycled Polyamide (RM1084)</v>
          </cell>
          <cell r="M792" t="str">
            <v>6504.00.90.15</v>
          </cell>
          <cell r="N792">
            <v>6505009090</v>
          </cell>
          <cell r="O792" t="str">
            <v>6505.00.40.00</v>
          </cell>
          <cell r="P792" t="str">
            <v>6505.00.90.90</v>
          </cell>
          <cell r="Q792">
            <v>0</v>
          </cell>
          <cell r="R792" t="str">
            <v>6505.00.90</v>
          </cell>
          <cell r="S792">
            <v>0</v>
          </cell>
        </row>
        <row r="793">
          <cell r="A793" t="str">
            <v>HAIRW-FLO-PALM</v>
          </cell>
          <cell r="B793" t="str">
            <v>5.0607E+12</v>
          </cell>
          <cell r="C793" t="str">
            <v>CLOSED</v>
          </cell>
          <cell r="D793" t="str">
            <v>Seasonal</v>
          </cell>
          <cell r="E793">
            <v>60</v>
          </cell>
          <cell r="F793" t="str">
            <v>SS23</v>
          </cell>
          <cell r="G793" t="str">
            <v>XR Textile</v>
          </cell>
          <cell r="H793" t="str">
            <v>HAIRW-standard</v>
          </cell>
          <cell r="I793" t="str">
            <v>GRS Certified* 83% Post Consumer Recycled Polyester (RM0189) 17% Pre Consumer Recycled Polyamide (RM1084)</v>
          </cell>
          <cell r="M793" t="str">
            <v>6504.00.90.15</v>
          </cell>
          <cell r="N793">
            <v>6505009090</v>
          </cell>
          <cell r="O793" t="str">
            <v>6505.00.40.00</v>
          </cell>
          <cell r="P793" t="str">
            <v>6505.00.90.90</v>
          </cell>
          <cell r="Q793">
            <v>0</v>
          </cell>
          <cell r="R793" t="str">
            <v>6505.00.90</v>
          </cell>
          <cell r="S793">
            <v>0</v>
          </cell>
        </row>
        <row r="794">
          <cell r="A794" t="str">
            <v>HAIRW-FLO-SUNFL</v>
          </cell>
          <cell r="B794" t="str">
            <v>5.0607E+12</v>
          </cell>
          <cell r="C794" t="str">
            <v>CLOSED</v>
          </cell>
          <cell r="D794" t="str">
            <v>Seasonal</v>
          </cell>
          <cell r="E794">
            <v>60</v>
          </cell>
          <cell r="F794" t="str">
            <v>SS23</v>
          </cell>
          <cell r="G794" t="str">
            <v>XR Textile</v>
          </cell>
          <cell r="H794" t="str">
            <v>HAIRW-standard</v>
          </cell>
          <cell r="I794" t="str">
            <v>GRS Certified* 83% Post Consumer Recycled Polyester (RM0189) 17% Pre Consumer Recycled Polyamide (RM1084)</v>
          </cell>
          <cell r="M794" t="str">
            <v>6504.00.90.15</v>
          </cell>
          <cell r="N794">
            <v>6505009090</v>
          </cell>
          <cell r="O794" t="str">
            <v>6505.00.40.00</v>
          </cell>
          <cell r="P794" t="str">
            <v>6505.00.90.90</v>
          </cell>
          <cell r="Q794">
            <v>0</v>
          </cell>
          <cell r="R794" t="str">
            <v>6505.00.90</v>
          </cell>
          <cell r="S794">
            <v>0</v>
          </cell>
        </row>
        <row r="795">
          <cell r="A795" t="str">
            <v>HAIRW-GEO-PARAD</v>
          </cell>
          <cell r="B795" t="str">
            <v>5.0607E+12</v>
          </cell>
          <cell r="C795" t="str">
            <v>CLOSED</v>
          </cell>
          <cell r="D795" t="str">
            <v>Seasonal</v>
          </cell>
          <cell r="E795">
            <v>60</v>
          </cell>
          <cell r="F795" t="str">
            <v>AW23</v>
          </cell>
          <cell r="G795" t="str">
            <v>XR Textile</v>
          </cell>
          <cell r="H795" t="str">
            <v>HAIRW-premium</v>
          </cell>
          <cell r="I795" t="str">
            <v>GRS Certified* 83% Post Consumer Recycled Polyester (RM0189) 17% Pre Consumer Recycled Polyamide (RM1084)</v>
          </cell>
          <cell r="M795" t="str">
            <v>6504.00.90.15</v>
          </cell>
          <cell r="N795">
            <v>6505009090</v>
          </cell>
          <cell r="O795" t="str">
            <v>6505.00.40.00</v>
          </cell>
          <cell r="P795" t="str">
            <v>6505.00.90.90</v>
          </cell>
          <cell r="Q795">
            <v>0</v>
          </cell>
          <cell r="R795" t="str">
            <v>6505.00.90</v>
          </cell>
          <cell r="S795">
            <v>6507</v>
          </cell>
        </row>
        <row r="796">
          <cell r="A796" t="str">
            <v>HAIRW-GEO-PINK</v>
          </cell>
          <cell r="B796" t="str">
            <v>5.0607E+12</v>
          </cell>
          <cell r="C796" t="str">
            <v>CLOSED</v>
          </cell>
          <cell r="D796" t="str">
            <v>Seasonal</v>
          </cell>
          <cell r="E796">
            <v>60</v>
          </cell>
          <cell r="F796" t="str">
            <v>AW23</v>
          </cell>
          <cell r="G796" t="str">
            <v>XR Textile</v>
          </cell>
          <cell r="H796" t="str">
            <v>HAIRW-premium</v>
          </cell>
          <cell r="I796" t="str">
            <v>GRS Certified* 83% Post Consumer Recycled Polyester (RM0189) 17% Pre Consumer Recycled Polyamide (RM1084)</v>
          </cell>
          <cell r="M796" t="str">
            <v>6504.00.90.15</v>
          </cell>
          <cell r="N796">
            <v>6505009090</v>
          </cell>
          <cell r="O796" t="str">
            <v>6505.00.40.00</v>
          </cell>
          <cell r="P796" t="str">
            <v>6505.00.90.90</v>
          </cell>
          <cell r="Q796">
            <v>0</v>
          </cell>
          <cell r="R796" t="str">
            <v>6505.00.90</v>
          </cell>
          <cell r="S796">
            <v>6507</v>
          </cell>
        </row>
        <row r="797">
          <cell r="A797" t="str">
            <v>HAIRW-HID-BLUE</v>
          </cell>
          <cell r="B797" t="str">
            <v>5.0607E+12</v>
          </cell>
          <cell r="C797" t="str">
            <v>CLOSED</v>
          </cell>
          <cell r="D797" t="str">
            <v>Seasonal</v>
          </cell>
          <cell r="E797">
            <v>60</v>
          </cell>
          <cell r="F797" t="str">
            <v>AW22</v>
          </cell>
          <cell r="G797" t="str">
            <v>XR Textile</v>
          </cell>
          <cell r="H797" t="str">
            <v>HAIRW-premium</v>
          </cell>
          <cell r="I797" t="str">
            <v>GRS Certified* 83% Post Consumer Recycled Polyester (RM0189) 17% Pre Consumer Recycled Polyamide (RM1084)</v>
          </cell>
          <cell r="M797" t="str">
            <v>6504.00.90.15</v>
          </cell>
          <cell r="N797">
            <v>6505009090</v>
          </cell>
          <cell r="O797" t="str">
            <v>6505.00.40.00</v>
          </cell>
          <cell r="P797" t="str">
            <v>6505.00.90.90</v>
          </cell>
          <cell r="Q797">
            <v>0</v>
          </cell>
          <cell r="R797" t="str">
            <v>6505.00.90</v>
          </cell>
          <cell r="S797">
            <v>6507</v>
          </cell>
        </row>
        <row r="798">
          <cell r="A798" t="str">
            <v>HAIRW-HOM-GREY</v>
          </cell>
          <cell r="B798" t="str">
            <v>6.5097E+11</v>
          </cell>
          <cell r="C798" t="str">
            <v>CLOSED</v>
          </cell>
          <cell r="E798">
            <v>60</v>
          </cell>
          <cell r="G798" t="str">
            <v>XR Textile</v>
          </cell>
          <cell r="H798" t="str">
            <v>HAIRW-premium</v>
          </cell>
          <cell r="I798" t="str">
            <v>GRS Certified* 83% Post Consumer Recycled Polyester (RM0189) 17% Pre Consumer Recycled Polyamide (RM1084)</v>
          </cell>
          <cell r="M798" t="str">
            <v>6504.00.90.15</v>
          </cell>
          <cell r="N798">
            <v>6505009090</v>
          </cell>
          <cell r="O798" t="str">
            <v>6505.00.40.00</v>
          </cell>
          <cell r="P798" t="str">
            <v>6505.00.90.90</v>
          </cell>
          <cell r="Q798">
            <v>0</v>
          </cell>
          <cell r="R798" t="str">
            <v>6505.00.90</v>
          </cell>
          <cell r="S798">
            <v>6507</v>
          </cell>
        </row>
        <row r="799">
          <cell r="A799" t="str">
            <v>HAIRW-HOM-LTBLU</v>
          </cell>
          <cell r="B799" t="str">
            <v>5.0607E+12</v>
          </cell>
          <cell r="C799" t="str">
            <v>CLOSED</v>
          </cell>
          <cell r="D799" t="str">
            <v>Seasonal</v>
          </cell>
          <cell r="E799">
            <v>60</v>
          </cell>
          <cell r="F799" t="str">
            <v>AW20</v>
          </cell>
          <cell r="G799" t="str">
            <v>XR Textile</v>
          </cell>
          <cell r="H799" t="str">
            <v>HAIRW-premium</v>
          </cell>
          <cell r="I799" t="str">
            <v>GRS Certified* 83% Post Consumer Recycled Polyester (RM0189) 17% Pre Consumer Recycled Polyamide (RM1084)</v>
          </cell>
          <cell r="M799" t="str">
            <v>6504.00.90.15</v>
          </cell>
          <cell r="N799">
            <v>6505009090</v>
          </cell>
          <cell r="O799" t="str">
            <v>6505.00.40.00</v>
          </cell>
          <cell r="P799" t="str">
            <v>6505.00.90.90</v>
          </cell>
          <cell r="Q799">
            <v>0</v>
          </cell>
          <cell r="R799" t="str">
            <v>6505.00.90</v>
          </cell>
          <cell r="S799">
            <v>6507</v>
          </cell>
        </row>
        <row r="800">
          <cell r="A800" t="str">
            <v>HAIRW-HOM-LTGRN</v>
          </cell>
          <cell r="B800" t="str">
            <v>5.0607E+12</v>
          </cell>
          <cell r="C800" t="str">
            <v>CLOSED</v>
          </cell>
          <cell r="D800" t="str">
            <v>Seasonal</v>
          </cell>
          <cell r="E800">
            <v>60</v>
          </cell>
          <cell r="F800" t="str">
            <v>AW20</v>
          </cell>
          <cell r="G800" t="str">
            <v>XR Textile</v>
          </cell>
          <cell r="H800" t="str">
            <v>HAIRW-premium</v>
          </cell>
          <cell r="I800" t="str">
            <v>GRS Certified* 83% Post Consumer Recycled Polyester (RM0189) 17% Pre Consumer Recycled Polyamide (RM1084)</v>
          </cell>
          <cell r="M800" t="str">
            <v>6504.00.90.15</v>
          </cell>
          <cell r="N800">
            <v>6505009090</v>
          </cell>
          <cell r="O800" t="str">
            <v>6505.00.40.00</v>
          </cell>
          <cell r="P800" t="str">
            <v>6505.00.90.90</v>
          </cell>
          <cell r="Q800">
            <v>0</v>
          </cell>
          <cell r="R800" t="str">
            <v>6505.00.90</v>
          </cell>
          <cell r="S800">
            <v>6507</v>
          </cell>
        </row>
        <row r="801">
          <cell r="A801" t="str">
            <v>HAIRW-HOM-LTPNK</v>
          </cell>
          <cell r="B801" t="str">
            <v>5.0607E+12</v>
          </cell>
          <cell r="C801" t="str">
            <v>CLOSED</v>
          </cell>
          <cell r="D801" t="str">
            <v>Seasonal</v>
          </cell>
          <cell r="E801">
            <v>60</v>
          </cell>
          <cell r="F801" t="str">
            <v>AW20</v>
          </cell>
          <cell r="G801" t="str">
            <v>XR Textile</v>
          </cell>
          <cell r="H801" t="str">
            <v>HAIRW-premium</v>
          </cell>
          <cell r="I801" t="str">
            <v>GRS Certified* 83% Post Consumer Recycled Polyester (RM0189) 17% Pre Consumer Recycled Polyamide (RM1084)</v>
          </cell>
          <cell r="M801" t="str">
            <v>6504.00.90.15</v>
          </cell>
          <cell r="N801">
            <v>6505009090</v>
          </cell>
          <cell r="O801" t="str">
            <v>6505.00.40.00</v>
          </cell>
          <cell r="P801" t="str">
            <v>6505.00.90.90</v>
          </cell>
          <cell r="Q801">
            <v>0</v>
          </cell>
          <cell r="R801" t="str">
            <v>6505.00.90</v>
          </cell>
          <cell r="S801">
            <v>6507</v>
          </cell>
        </row>
        <row r="802">
          <cell r="A802" t="str">
            <v>HAIRW-HOM-NAVY</v>
          </cell>
          <cell r="B802" t="str">
            <v>5.0607E+12</v>
          </cell>
          <cell r="C802" t="str">
            <v>CLOSED</v>
          </cell>
          <cell r="D802" t="str">
            <v>Seasonal</v>
          </cell>
          <cell r="E802">
            <v>60</v>
          </cell>
          <cell r="F802" t="str">
            <v>AW20</v>
          </cell>
          <cell r="G802" t="str">
            <v>XR Textile</v>
          </cell>
          <cell r="H802" t="str">
            <v>HAIRW-premium</v>
          </cell>
          <cell r="I802" t="str">
            <v>GRS Certified* 83% Post Consumer Recycled Polyester (RM0189) 17% Pre Consumer Recycled Polyamide (RM1084)</v>
          </cell>
          <cell r="M802" t="str">
            <v>6504.00.90.15</v>
          </cell>
          <cell r="N802">
            <v>6505009090</v>
          </cell>
          <cell r="O802" t="str">
            <v>6505.00.40.00</v>
          </cell>
          <cell r="P802" t="str">
            <v>6505.00.90.90</v>
          </cell>
          <cell r="Q802">
            <v>0</v>
          </cell>
          <cell r="R802" t="str">
            <v>6505.00.90</v>
          </cell>
          <cell r="S802">
            <v>6507</v>
          </cell>
        </row>
        <row r="803">
          <cell r="A803" t="str">
            <v>HAIRW-HOM-TERRA</v>
          </cell>
          <cell r="B803" t="str">
            <v>5.0607E+12</v>
          </cell>
          <cell r="C803" t="str">
            <v>CLOSED</v>
          </cell>
          <cell r="D803" t="str">
            <v>Seasonal</v>
          </cell>
          <cell r="E803">
            <v>60</v>
          </cell>
          <cell r="F803" t="str">
            <v>AW20</v>
          </cell>
          <cell r="G803" t="str">
            <v>XR Textile</v>
          </cell>
          <cell r="H803" t="str">
            <v>HAIRW-premium</v>
          </cell>
          <cell r="I803" t="str">
            <v>GRS Certified* 83% Post Consumer Recycled Polyester (RM0189) 17% Pre Consumer Recycled Polyamide (RM1084)</v>
          </cell>
          <cell r="M803" t="str">
            <v>6504.00.90.15</v>
          </cell>
          <cell r="N803">
            <v>6505009090</v>
          </cell>
          <cell r="O803" t="str">
            <v>6505.00.40.00</v>
          </cell>
          <cell r="P803" t="str">
            <v>6505.00.90.90</v>
          </cell>
          <cell r="Q803">
            <v>0</v>
          </cell>
          <cell r="R803" t="str">
            <v>6505.00.90</v>
          </cell>
          <cell r="S803">
            <v>6507</v>
          </cell>
        </row>
        <row r="804">
          <cell r="A804" t="str">
            <v>HAIRW-HOM-WHITE</v>
          </cell>
          <cell r="B804" t="str">
            <v>5.0607E+12</v>
          </cell>
          <cell r="C804" t="str">
            <v>CLOSED</v>
          </cell>
          <cell r="D804" t="str">
            <v>Seasonal</v>
          </cell>
          <cell r="E804">
            <v>60</v>
          </cell>
          <cell r="F804" t="str">
            <v>AW20</v>
          </cell>
          <cell r="G804" t="str">
            <v>XR Textile</v>
          </cell>
          <cell r="H804" t="str">
            <v>HAIRW-premium</v>
          </cell>
          <cell r="I804" t="str">
            <v>GRS Certified* 83% Post Consumer Recycled Polyester (RM0189) 17% Pre Consumer Recycled Polyamide (RM1084)</v>
          </cell>
          <cell r="M804" t="str">
            <v>6504.00.90.15</v>
          </cell>
          <cell r="N804">
            <v>6505009090</v>
          </cell>
          <cell r="O804" t="str">
            <v>6505.00.40.00</v>
          </cell>
          <cell r="P804" t="str">
            <v>6505.00.90.90</v>
          </cell>
          <cell r="Q804">
            <v>0</v>
          </cell>
          <cell r="R804" t="str">
            <v>6505.00.90</v>
          </cell>
          <cell r="S804">
            <v>6507</v>
          </cell>
        </row>
        <row r="805">
          <cell r="A805" t="str">
            <v>HAIRW-RET-CONG</v>
          </cell>
          <cell r="B805" t="str">
            <v>5.0607E+12</v>
          </cell>
          <cell r="C805" t="str">
            <v>CLOSED</v>
          </cell>
          <cell r="D805" t="str">
            <v>Seasonal</v>
          </cell>
          <cell r="E805">
            <v>60</v>
          </cell>
          <cell r="F805" t="str">
            <v>AW21</v>
          </cell>
          <cell r="G805" t="str">
            <v>XR Textile</v>
          </cell>
          <cell r="H805" t="str">
            <v>HAIRW-premium</v>
          </cell>
          <cell r="I805" t="str">
            <v>GRS Certified* 83% Post Consumer Recycled Polyester (RM0189) 17% Pre Consumer Recycled Polyamide (RM1084)</v>
          </cell>
          <cell r="M805" t="str">
            <v>6504.00.90.15</v>
          </cell>
          <cell r="N805">
            <v>6505009090</v>
          </cell>
          <cell r="O805" t="str">
            <v>6505.00.40.00</v>
          </cell>
          <cell r="P805" t="str">
            <v>6505.00.90.90</v>
          </cell>
          <cell r="Q805">
            <v>0</v>
          </cell>
          <cell r="R805" t="str">
            <v>6505.00.90</v>
          </cell>
          <cell r="S805">
            <v>6507</v>
          </cell>
        </row>
        <row r="806">
          <cell r="A806" t="str">
            <v>HAIRW-RET-MONT</v>
          </cell>
          <cell r="B806" t="str">
            <v>5.0607E+12</v>
          </cell>
          <cell r="C806" t="str">
            <v>CLOSED</v>
          </cell>
          <cell r="D806" t="str">
            <v>Seasonal</v>
          </cell>
          <cell r="E806">
            <v>60</v>
          </cell>
          <cell r="F806" t="str">
            <v>AW21</v>
          </cell>
          <cell r="G806" t="str">
            <v>XR Textile</v>
          </cell>
          <cell r="H806" t="str">
            <v>HAIRW-premium</v>
          </cell>
          <cell r="I806" t="str">
            <v>GRS Certified* 83% Post Consumer Recycled Polyester (RM0189) 17% Pre Consumer Recycled Polyamide (RM1084)</v>
          </cell>
          <cell r="M806" t="str">
            <v>6504.00.90.15</v>
          </cell>
          <cell r="N806">
            <v>6505009090</v>
          </cell>
          <cell r="O806" t="str">
            <v>6505.00.40.00</v>
          </cell>
          <cell r="P806" t="str">
            <v>6505.00.90.90</v>
          </cell>
          <cell r="Q806">
            <v>0</v>
          </cell>
          <cell r="R806" t="str">
            <v>6505.00.90</v>
          </cell>
          <cell r="S806">
            <v>6507</v>
          </cell>
        </row>
        <row r="807">
          <cell r="A807" t="str">
            <v>HAIRW-RET-SANT</v>
          </cell>
          <cell r="B807" t="str">
            <v>5.0607E+12</v>
          </cell>
          <cell r="C807" t="str">
            <v>CLOSED</v>
          </cell>
          <cell r="D807" t="str">
            <v>Seasonal</v>
          </cell>
          <cell r="E807">
            <v>60</v>
          </cell>
          <cell r="F807" t="str">
            <v>AW21</v>
          </cell>
          <cell r="G807" t="str">
            <v>XR Textile</v>
          </cell>
          <cell r="H807" t="str">
            <v>HAIRW-premium</v>
          </cell>
          <cell r="I807" t="str">
            <v>GRS Certified* 83% Post Consumer Recycled Polyester (RM0189) 17% Pre Consumer Recycled Polyamide (RM1084)</v>
          </cell>
          <cell r="M807" t="str">
            <v>6504.00.90.15</v>
          </cell>
          <cell r="N807">
            <v>6505009090</v>
          </cell>
          <cell r="O807" t="str">
            <v>6505.00.40.00</v>
          </cell>
          <cell r="P807" t="str">
            <v>6505.00.90.90</v>
          </cell>
          <cell r="Q807">
            <v>0</v>
          </cell>
          <cell r="R807" t="str">
            <v>6505.00.90</v>
          </cell>
          <cell r="S807">
            <v>6507</v>
          </cell>
        </row>
        <row r="808">
          <cell r="A808" t="str">
            <v>HAIRW-RET-SAPO</v>
          </cell>
          <cell r="B808" t="str">
            <v>5.0607E+12</v>
          </cell>
          <cell r="C808" t="str">
            <v>CLOSED</v>
          </cell>
          <cell r="D808" t="str">
            <v>Seasonal</v>
          </cell>
          <cell r="E808">
            <v>60</v>
          </cell>
          <cell r="F808" t="str">
            <v>AW21</v>
          </cell>
          <cell r="G808" t="str">
            <v>XR Textile</v>
          </cell>
          <cell r="H808" t="str">
            <v>HAIRW-premium</v>
          </cell>
          <cell r="I808" t="str">
            <v>GRS Certified* 83% Post Consumer Recycled Polyester (RM0189) 17% Pre Consumer Recycled Polyamide (RM1084)</v>
          </cell>
          <cell r="M808" t="str">
            <v>6504.00.90.15</v>
          </cell>
          <cell r="N808">
            <v>6505009090</v>
          </cell>
          <cell r="O808" t="str">
            <v>6505.00.40.00</v>
          </cell>
          <cell r="P808" t="str">
            <v>6505.00.90.90</v>
          </cell>
          <cell r="Q808">
            <v>0</v>
          </cell>
          <cell r="R808" t="str">
            <v>6505.00.90</v>
          </cell>
          <cell r="S808">
            <v>6507</v>
          </cell>
        </row>
        <row r="809">
          <cell r="A809" t="str">
            <v>HAIRW-RET-SINH</v>
          </cell>
          <cell r="B809" t="str">
            <v>5.0607E+12</v>
          </cell>
          <cell r="C809" t="str">
            <v>CLOSED</v>
          </cell>
          <cell r="D809" t="str">
            <v>Seasonal</v>
          </cell>
          <cell r="E809">
            <v>60</v>
          </cell>
          <cell r="F809" t="str">
            <v>AW21</v>
          </cell>
          <cell r="G809" t="str">
            <v>XR Textile</v>
          </cell>
          <cell r="H809" t="str">
            <v>HAIRW-premium</v>
          </cell>
          <cell r="I809" t="str">
            <v>GRS Certified* 83% Post Consumer Recycled Polyester (RM0189) 17% Pre Consumer Recycled Polyamide (RM1084)</v>
          </cell>
          <cell r="M809" t="str">
            <v>6504.00.90.15</v>
          </cell>
          <cell r="N809">
            <v>6505009090</v>
          </cell>
          <cell r="O809" t="str">
            <v>6505.00.40.00</v>
          </cell>
          <cell r="P809" t="str">
            <v>6505.00.90.90</v>
          </cell>
          <cell r="Q809">
            <v>0</v>
          </cell>
          <cell r="R809" t="str">
            <v>6505.00.90</v>
          </cell>
          <cell r="S809">
            <v>6507</v>
          </cell>
        </row>
        <row r="810">
          <cell r="A810" t="str">
            <v>HAIRW-SUE-CHKMATE</v>
          </cell>
          <cell r="B810" t="str">
            <v>5.061E+12</v>
          </cell>
          <cell r="C810" t="str">
            <v>CLOSED</v>
          </cell>
          <cell r="D810" t="str">
            <v>Seasonal</v>
          </cell>
          <cell r="E810">
            <v>60</v>
          </cell>
          <cell r="F810" t="str">
            <v>AW24</v>
          </cell>
          <cell r="G810" t="str">
            <v>XR Textile</v>
          </cell>
          <cell r="H810" t="str">
            <v>HAIRW-standard</v>
          </cell>
          <cell r="I810" t="str">
            <v>GRS Certified* 83% Post Consumer Recycled Polyester (RM0189) 17% Pre Consumer Recycled Polyamide (RM1084)</v>
          </cell>
          <cell r="M810" t="str">
            <v>6504.00.90.15</v>
          </cell>
          <cell r="N810">
            <v>6505009090</v>
          </cell>
          <cell r="O810" t="str">
            <v>6505.00.40.00</v>
          </cell>
          <cell r="P810" t="str">
            <v>6505.00.90.90</v>
          </cell>
          <cell r="Q810">
            <v>0</v>
          </cell>
          <cell r="R810" t="str">
            <v>6505.00.90</v>
          </cell>
          <cell r="S810">
            <v>0</v>
          </cell>
        </row>
        <row r="811">
          <cell r="A811" t="str">
            <v>HAIRW-SUE-MIDMONO</v>
          </cell>
          <cell r="B811" t="str">
            <v>5.0607E+12</v>
          </cell>
          <cell r="C811" t="str">
            <v>CLOSED</v>
          </cell>
          <cell r="D811" t="str">
            <v>Seasonal</v>
          </cell>
          <cell r="E811">
            <v>60</v>
          </cell>
          <cell r="F811" t="str">
            <v>AW23</v>
          </cell>
          <cell r="G811" t="str">
            <v>XR Textile</v>
          </cell>
          <cell r="H811" t="str">
            <v>HAIRW-standard</v>
          </cell>
          <cell r="I811" t="str">
            <v>GRS Certified* 83% Post Consumer Recycled Polyester (RM0189) 17% Pre Consumer Recycled Polyamide (RM1084)</v>
          </cell>
          <cell r="M811" t="str">
            <v>6504.00.90.15</v>
          </cell>
          <cell r="N811">
            <v>6505009090</v>
          </cell>
          <cell r="O811" t="str">
            <v>6505.00.40.00</v>
          </cell>
          <cell r="P811" t="str">
            <v>6505.00.90.90</v>
          </cell>
          <cell r="Q811">
            <v>0</v>
          </cell>
          <cell r="R811" t="str">
            <v>6505.00.90</v>
          </cell>
          <cell r="S811">
            <v>0</v>
          </cell>
        </row>
        <row r="812">
          <cell r="A812" t="str">
            <v>HAIRW-SUE-RAINFLOOR</v>
          </cell>
          <cell r="B812" t="str">
            <v>5.0607E+12</v>
          </cell>
          <cell r="C812" t="str">
            <v>CLOSED</v>
          </cell>
          <cell r="D812" t="str">
            <v>Seasonal</v>
          </cell>
          <cell r="E812">
            <v>60</v>
          </cell>
          <cell r="F812" t="str">
            <v>AW23</v>
          </cell>
          <cell r="G812" t="str">
            <v>XR Textile</v>
          </cell>
          <cell r="H812" t="str">
            <v>HAIRW-standard</v>
          </cell>
          <cell r="I812" t="str">
            <v>GRS Certified* 83% Post Consumer Recycled Polyester (RM0189) 17% Pre Consumer Recycled Polyamide (RM1084)</v>
          </cell>
          <cell r="M812" t="str">
            <v>6504.00.90.15</v>
          </cell>
          <cell r="N812">
            <v>6505009090</v>
          </cell>
          <cell r="O812" t="str">
            <v>6505.00.40.00</v>
          </cell>
          <cell r="P812" t="str">
            <v>6505.00.90.90</v>
          </cell>
          <cell r="Q812">
            <v>0</v>
          </cell>
          <cell r="R812" t="str">
            <v>6505.00.90</v>
          </cell>
          <cell r="S812">
            <v>0</v>
          </cell>
        </row>
        <row r="813">
          <cell r="A813" t="str">
            <v>HAIRW-SUE-SEAFOAM</v>
          </cell>
          <cell r="B813" t="str">
            <v>5.0607E+12</v>
          </cell>
          <cell r="C813" t="str">
            <v>CLOSED</v>
          </cell>
          <cell r="D813" t="str">
            <v>Seasonal</v>
          </cell>
          <cell r="E813">
            <v>60</v>
          </cell>
          <cell r="F813" t="str">
            <v>AW23</v>
          </cell>
          <cell r="G813" t="str">
            <v>XR Textile</v>
          </cell>
          <cell r="H813" t="str">
            <v>HAIRW-standard</v>
          </cell>
          <cell r="I813" t="str">
            <v>GRS Certified* 83% Post Consumer Recycled Polyester (RM0189) 17% Pre Consumer Recycled Polyamide (RM1084)</v>
          </cell>
          <cell r="M813" t="str">
            <v>6504.00.90.15</v>
          </cell>
          <cell r="N813">
            <v>6505009090</v>
          </cell>
          <cell r="O813" t="str">
            <v>6505.00.40.00</v>
          </cell>
          <cell r="P813" t="str">
            <v>6505.00.90.90</v>
          </cell>
          <cell r="Q813">
            <v>0</v>
          </cell>
          <cell r="R813" t="str">
            <v>6505.00.90</v>
          </cell>
          <cell r="S813">
            <v>0</v>
          </cell>
        </row>
        <row r="814">
          <cell r="A814" t="str">
            <v>HAIRW-SUM-RAINB-NB</v>
          </cell>
          <cell r="B814" t="str">
            <v>5.0607E+12</v>
          </cell>
          <cell r="C814" t="str">
            <v>CLOSED</v>
          </cell>
          <cell r="E814">
            <v>60</v>
          </cell>
          <cell r="G814" t="str">
            <v>XR Textile</v>
          </cell>
          <cell r="H814" t="str">
            <v>HAIRW-standard</v>
          </cell>
          <cell r="I814" t="str">
            <v>GRS Certified* 83% Post Consumer Recycled Polyester (RM0189) 17% Pre Consumer Recycled Polyamide (RM1084)</v>
          </cell>
          <cell r="M814" t="str">
            <v>6504.00.90.15</v>
          </cell>
          <cell r="N814">
            <v>6505009090</v>
          </cell>
          <cell r="O814" t="str">
            <v>6505.00.40.00</v>
          </cell>
          <cell r="P814" t="str">
            <v>6505.00.90.90</v>
          </cell>
          <cell r="Q814">
            <v>0</v>
          </cell>
          <cell r="R814" t="str">
            <v>6505.00.90</v>
          </cell>
          <cell r="S814">
            <v>0</v>
          </cell>
        </row>
        <row r="815">
          <cell r="A815" t="str">
            <v>HAIRW-SUM-UNICN</v>
          </cell>
          <cell r="B815" t="str">
            <v>5.0607E+12</v>
          </cell>
          <cell r="C815" t="str">
            <v>CLOSED</v>
          </cell>
          <cell r="D815" t="str">
            <v>Core</v>
          </cell>
          <cell r="E815">
            <v>60</v>
          </cell>
          <cell r="F815" t="str">
            <v>SS23</v>
          </cell>
          <cell r="G815" t="str">
            <v>XR Textile</v>
          </cell>
          <cell r="H815" t="str">
            <v>HAIRW-standard</v>
          </cell>
          <cell r="I815" t="str">
            <v>GRS Certified* 83% Post Consumer Recycled Polyester (RM0189) 17% Pre Consumer Recycled Polyamide (RM1084)</v>
          </cell>
          <cell r="M815" t="str">
            <v>6504.00.90.15</v>
          </cell>
          <cell r="N815">
            <v>6505009090</v>
          </cell>
          <cell r="O815" t="str">
            <v>6505.00.40.00</v>
          </cell>
          <cell r="P815" t="str">
            <v>6505.00.90.90</v>
          </cell>
          <cell r="Q815">
            <v>0</v>
          </cell>
          <cell r="R815" t="str">
            <v>6505.00.90</v>
          </cell>
          <cell r="S815">
            <v>0</v>
          </cell>
        </row>
        <row r="816">
          <cell r="A816" t="str">
            <v>HAIRW-WAF-SERENE</v>
          </cell>
          <cell r="B816" t="str">
            <v>5.061E+12</v>
          </cell>
          <cell r="C816" t="str">
            <v>CLOSED</v>
          </cell>
          <cell r="D816" t="str">
            <v>Seasonal</v>
          </cell>
          <cell r="E816">
            <v>60</v>
          </cell>
          <cell r="F816" t="str">
            <v>AW24</v>
          </cell>
          <cell r="G816" t="str">
            <v>XR Textile</v>
          </cell>
          <cell r="H816" t="str">
            <v>HAIRW-premium</v>
          </cell>
          <cell r="I816" t="str">
            <v>GRS Certified* 83% Post Consumer Recycled Polyester (RM0189) 17% Pre Consumer Recycled Polyamide (RM1084)</v>
          </cell>
          <cell r="M816" t="str">
            <v>6504.00.90.15</v>
          </cell>
          <cell r="N816">
            <v>6505009090</v>
          </cell>
          <cell r="O816" t="str">
            <v>6505.00.40.00</v>
          </cell>
          <cell r="P816" t="str">
            <v>6505.00.90.90</v>
          </cell>
          <cell r="Q816">
            <v>0</v>
          </cell>
          <cell r="R816" t="str">
            <v>6505.00.90</v>
          </cell>
          <cell r="S816">
            <v>6507</v>
          </cell>
        </row>
        <row r="817">
          <cell r="A817" t="str">
            <v>HAIRWRAP-CLA-LBEIGE</v>
          </cell>
          <cell r="B817" t="str">
            <v>5.0607E+12</v>
          </cell>
          <cell r="C817" t="str">
            <v>CLOSED</v>
          </cell>
          <cell r="E817">
            <v>60</v>
          </cell>
          <cell r="G817" t="str">
            <v>XR Textile</v>
          </cell>
          <cell r="H817" t="str">
            <v>HAIRW-standard</v>
          </cell>
          <cell r="I817" t="str">
            <v>GRS Certified* 83% Post Consumer Recycled Polyester (RM0189) 17% Pre Consumer Recycled Polyamide (RM1084)</v>
          </cell>
          <cell r="M817" t="str">
            <v>6504.00.90.15</v>
          </cell>
          <cell r="N817">
            <v>6505009090</v>
          </cell>
          <cell r="O817" t="str">
            <v>6505.00.40.00</v>
          </cell>
          <cell r="P817" t="str">
            <v>6505.00.90.90</v>
          </cell>
          <cell r="Q817">
            <v>0</v>
          </cell>
          <cell r="R817" t="str">
            <v>6505.00.90</v>
          </cell>
          <cell r="S817">
            <v>0</v>
          </cell>
        </row>
        <row r="818">
          <cell r="A818" t="str">
            <v>HAIRWRAP-CLA-LBLUE</v>
          </cell>
          <cell r="B818" t="str">
            <v>5.0607E+12</v>
          </cell>
          <cell r="C818" t="str">
            <v>CLOSED</v>
          </cell>
          <cell r="E818">
            <v>60</v>
          </cell>
          <cell r="G818" t="str">
            <v>XR Textile</v>
          </cell>
          <cell r="H818" t="str">
            <v>HAIRW-standard</v>
          </cell>
          <cell r="I818" t="str">
            <v>GRS Certified* 83% Post Consumer Recycled Polyester (RM0189) 17% Pre Consumer Recycled Polyamide (RM1084)</v>
          </cell>
          <cell r="M818" t="str">
            <v>6504.00.90.15</v>
          </cell>
          <cell r="N818">
            <v>6505009090</v>
          </cell>
          <cell r="O818" t="str">
            <v>6505.00.40.00</v>
          </cell>
          <cell r="P818" t="str">
            <v>6505.00.90.90</v>
          </cell>
          <cell r="Q818">
            <v>0</v>
          </cell>
          <cell r="R818" t="str">
            <v>6505.00.90</v>
          </cell>
          <cell r="S818">
            <v>0</v>
          </cell>
        </row>
        <row r="819">
          <cell r="A819" t="str">
            <v>HAIRWRAP-CLA-LGREEN</v>
          </cell>
          <cell r="B819" t="str">
            <v>5.0607E+12</v>
          </cell>
          <cell r="C819" t="str">
            <v>CLOSED</v>
          </cell>
          <cell r="D819" t="str">
            <v>Seasonal</v>
          </cell>
          <cell r="F819" t="str">
            <v>before AW20</v>
          </cell>
          <cell r="G819" t="str">
            <v>XR Textile</v>
          </cell>
          <cell r="H819" t="str">
            <v>HAIRW-standard</v>
          </cell>
          <cell r="I819" t="str">
            <v>GRS Certified* 83% Post Consumer Recycled Polyester (RM0189) 17% Pre Consumer Recycled Polyamide (RM1084)</v>
          </cell>
          <cell r="M819" t="str">
            <v>6504.00.90.15</v>
          </cell>
          <cell r="N819">
            <v>6505009090</v>
          </cell>
          <cell r="O819" t="str">
            <v>6505.00.40.00</v>
          </cell>
          <cell r="P819" t="str">
            <v>6505.00.90.90</v>
          </cell>
          <cell r="Q819">
            <v>0</v>
          </cell>
          <cell r="R819" t="str">
            <v>6505.00.90</v>
          </cell>
          <cell r="S819">
            <v>0</v>
          </cell>
        </row>
        <row r="820">
          <cell r="A820" t="str">
            <v>HAIRWRAP-CLA-LPINK</v>
          </cell>
          <cell r="B820" t="str">
            <v>5.0607E+12</v>
          </cell>
          <cell r="C820" t="str">
            <v>CLOSED</v>
          </cell>
          <cell r="E820">
            <v>60</v>
          </cell>
          <cell r="G820" t="str">
            <v>XR Textile</v>
          </cell>
          <cell r="H820" t="str">
            <v>HAIRW-standard</v>
          </cell>
          <cell r="I820" t="str">
            <v>GRS Certified* 83% Post Consumer Recycled Polyester (RM0189) 17% Pre Consumer Recycled Polyamide (RM1084)</v>
          </cell>
          <cell r="M820" t="str">
            <v>6504.00.90.15</v>
          </cell>
          <cell r="N820">
            <v>6505009090</v>
          </cell>
          <cell r="O820" t="str">
            <v>6505.00.40.00</v>
          </cell>
          <cell r="P820" t="str">
            <v>6505.00.90.90</v>
          </cell>
          <cell r="Q820">
            <v>0</v>
          </cell>
          <cell r="R820" t="str">
            <v>6505.00.90</v>
          </cell>
          <cell r="S820">
            <v>0</v>
          </cell>
        </row>
        <row r="821">
          <cell r="A821" t="str">
            <v>HAIRWRAP-STRIPE-BLUE</v>
          </cell>
          <cell r="B821" t="str">
            <v>6.5097E+11</v>
          </cell>
          <cell r="C821" t="str">
            <v>CLOSED</v>
          </cell>
          <cell r="D821" t="str">
            <v>Seasonal</v>
          </cell>
          <cell r="E821">
            <v>60</v>
          </cell>
          <cell r="F821" t="str">
            <v>before AW19</v>
          </cell>
          <cell r="G821" t="str">
            <v>XR Textile</v>
          </cell>
          <cell r="H821" t="str">
            <v>HAIRW-standard</v>
          </cell>
          <cell r="I821" t="str">
            <v>GRS Certified* 83% Post Consumer Recycled Polyester (RM0189) 17% Pre Consumer Recycled Polyamide (RM1084)</v>
          </cell>
          <cell r="M821" t="str">
            <v>6504.00.90.15</v>
          </cell>
          <cell r="N821">
            <v>6505009090</v>
          </cell>
          <cell r="O821" t="str">
            <v>6505.00.40.00</v>
          </cell>
          <cell r="P821" t="str">
            <v>6505.00.90.90</v>
          </cell>
          <cell r="Q821">
            <v>0</v>
          </cell>
          <cell r="R821" t="str">
            <v>6505.00.90</v>
          </cell>
          <cell r="S821">
            <v>0</v>
          </cell>
        </row>
        <row r="822">
          <cell r="A822" t="str">
            <v>HAIRWRAP-STRIPE-GREEN</v>
          </cell>
          <cell r="B822" t="str">
            <v>6.5097E+11</v>
          </cell>
          <cell r="C822" t="str">
            <v>CLOSED</v>
          </cell>
          <cell r="E822">
            <v>60</v>
          </cell>
          <cell r="F822" t="str">
            <v>before AW20</v>
          </cell>
          <cell r="G822" t="str">
            <v>XR Textile</v>
          </cell>
          <cell r="H822" t="str">
            <v>HAIRW-standard</v>
          </cell>
          <cell r="I822" t="str">
            <v>GRS Certified* 83% Post Consumer Recycled Polyester (RM0189) 17% Pre Consumer Recycled Polyamide (RM1084)</v>
          </cell>
          <cell r="M822" t="str">
            <v>6504.00.90.15</v>
          </cell>
          <cell r="N822">
            <v>6505009090</v>
          </cell>
          <cell r="O822" t="str">
            <v>6505.00.40.00</v>
          </cell>
          <cell r="P822" t="str">
            <v>6505.00.90.90</v>
          </cell>
          <cell r="Q822">
            <v>0</v>
          </cell>
          <cell r="R822" t="str">
            <v>6505.00.90</v>
          </cell>
          <cell r="S822">
            <v>0</v>
          </cell>
        </row>
        <row r="823">
          <cell r="A823" t="str">
            <v>HAIRWRAP-STRIPE-LIGHT-BLUE</v>
          </cell>
          <cell r="B823" t="str">
            <v>6.5097E+11</v>
          </cell>
          <cell r="C823" t="str">
            <v>CLOSED</v>
          </cell>
          <cell r="E823">
            <v>60</v>
          </cell>
          <cell r="G823" t="str">
            <v>XR Textile</v>
          </cell>
          <cell r="H823" t="str">
            <v>HAIRW-standard</v>
          </cell>
          <cell r="I823" t="str">
            <v>GRS Certified* 83% Post Consumer Recycled Polyester (RM0189) 17% Pre Consumer Recycled Polyamide (RM1084)</v>
          </cell>
          <cell r="M823" t="str">
            <v>6504.00.90.15</v>
          </cell>
          <cell r="N823">
            <v>6505009090</v>
          </cell>
          <cell r="O823" t="str">
            <v>6505.00.40.00</v>
          </cell>
          <cell r="P823" t="str">
            <v>6505.00.90.90</v>
          </cell>
          <cell r="Q823">
            <v>0</v>
          </cell>
          <cell r="R823" t="str">
            <v>6505.00.90</v>
          </cell>
          <cell r="S823">
            <v>0</v>
          </cell>
        </row>
        <row r="824">
          <cell r="A824" t="str">
            <v>HAIRWRAP-STRIPE-LIGHT-GREEN</v>
          </cell>
          <cell r="B824" t="str">
            <v>6.5097E+11</v>
          </cell>
          <cell r="C824" t="str">
            <v>CLOSED</v>
          </cell>
          <cell r="E824">
            <v>60</v>
          </cell>
          <cell r="F824" t="str">
            <v>before AW20</v>
          </cell>
          <cell r="G824" t="str">
            <v>XR Textile</v>
          </cell>
          <cell r="H824" t="str">
            <v>HAIRW-standard</v>
          </cell>
          <cell r="I824" t="str">
            <v>GRS Certified* 83% Post Consumer Recycled Polyester (RM0189) 17% Pre Consumer Recycled Polyamide (RM1084)</v>
          </cell>
          <cell r="M824" t="str">
            <v>6504.00.90.15</v>
          </cell>
          <cell r="N824">
            <v>6505009090</v>
          </cell>
          <cell r="O824" t="str">
            <v>6505.00.40.00</v>
          </cell>
          <cell r="P824" t="str">
            <v>6505.00.90.90</v>
          </cell>
          <cell r="Q824">
            <v>0</v>
          </cell>
          <cell r="R824" t="str">
            <v>6505.00.90</v>
          </cell>
          <cell r="S824">
            <v>0</v>
          </cell>
        </row>
        <row r="825">
          <cell r="A825" t="str">
            <v>HAIRWRAP-STRIPE-LIGHT-GREY</v>
          </cell>
          <cell r="B825" t="str">
            <v>6.5097E+11</v>
          </cell>
          <cell r="C825" t="str">
            <v>CLOSED</v>
          </cell>
          <cell r="F825" t="str">
            <v>before AW19</v>
          </cell>
          <cell r="G825" t="str">
            <v>XR Textile</v>
          </cell>
          <cell r="H825" t="str">
            <v>HAIRW-standard</v>
          </cell>
          <cell r="I825" t="str">
            <v>GRS Certified* 83% Post Consumer Recycled Polyester (RM0189) 17% Pre Consumer Recycled Polyamide (RM1084)</v>
          </cell>
          <cell r="M825" t="str">
            <v>6504.00.90.15</v>
          </cell>
          <cell r="N825">
            <v>6505009090</v>
          </cell>
          <cell r="O825" t="str">
            <v>6505.00.40.00</v>
          </cell>
          <cell r="P825" t="str">
            <v>6505.00.90.90</v>
          </cell>
          <cell r="Q825">
            <v>0</v>
          </cell>
          <cell r="R825" t="str">
            <v>6505.00.90</v>
          </cell>
          <cell r="S825">
            <v>0</v>
          </cell>
        </row>
        <row r="826">
          <cell r="A826" t="str">
            <v>HAIRWRAP-STRIPE-LIGHT-PINK</v>
          </cell>
          <cell r="B826" t="str">
            <v>6.5097E+11</v>
          </cell>
          <cell r="C826" t="str">
            <v>CLOSED</v>
          </cell>
          <cell r="E826">
            <v>60</v>
          </cell>
          <cell r="G826" t="str">
            <v>XR Textile</v>
          </cell>
          <cell r="H826" t="str">
            <v>HAIRW-standard</v>
          </cell>
          <cell r="I826" t="str">
            <v>GRS Certified* 83% Post Consumer Recycled Polyester (RM0189) 17% Pre Consumer Recycled Polyamide (RM1084)</v>
          </cell>
          <cell r="M826" t="str">
            <v>6504.00.90.15</v>
          </cell>
          <cell r="N826">
            <v>6505009090</v>
          </cell>
          <cell r="O826" t="str">
            <v>6505.00.40.00</v>
          </cell>
          <cell r="P826" t="str">
            <v>6505.00.90.90</v>
          </cell>
          <cell r="Q826">
            <v>0</v>
          </cell>
          <cell r="R826" t="str">
            <v>6505.00.90</v>
          </cell>
          <cell r="S826">
            <v>0</v>
          </cell>
        </row>
        <row r="827">
          <cell r="A827" t="str">
            <v>HAIRWRAP-STRIPE-LIT-BEIGE</v>
          </cell>
          <cell r="B827" t="str">
            <v>5.0607E+12</v>
          </cell>
          <cell r="C827" t="str">
            <v>CLOSED</v>
          </cell>
          <cell r="D827" t="str">
            <v>Seasonal</v>
          </cell>
          <cell r="F827" t="str">
            <v>before AW19</v>
          </cell>
          <cell r="G827" t="str">
            <v>XR Textile</v>
          </cell>
          <cell r="H827" t="str">
            <v>HAIRW-standard</v>
          </cell>
          <cell r="I827" t="str">
            <v>GRS Certified* 83% Post Consumer Recycled Polyester (RM0189) 17% Pre Consumer Recycled Polyamide (RM1084)</v>
          </cell>
          <cell r="M827" t="str">
            <v>6504.00.90.15</v>
          </cell>
          <cell r="N827">
            <v>6505009090</v>
          </cell>
          <cell r="O827" t="str">
            <v>6505.00.40.00</v>
          </cell>
          <cell r="P827" t="str">
            <v>6505.00.90.90</v>
          </cell>
          <cell r="Q827">
            <v>0</v>
          </cell>
          <cell r="R827" t="str">
            <v>6505.00.90</v>
          </cell>
          <cell r="S827">
            <v>0</v>
          </cell>
        </row>
        <row r="828">
          <cell r="A828" t="str">
            <v>HAIRWRAP-STRIPE-LIT-PURPLE</v>
          </cell>
          <cell r="B828" t="str">
            <v>5.0607E+12</v>
          </cell>
          <cell r="C828" t="str">
            <v>CLOSED</v>
          </cell>
          <cell r="E828">
            <v>60</v>
          </cell>
          <cell r="G828" t="str">
            <v>XR Textile</v>
          </cell>
          <cell r="H828" t="str">
            <v>HAIRW-standard</v>
          </cell>
          <cell r="I828" t="str">
            <v>GRS Certified* 83% Post Consumer Recycled Polyester (RM0189) 17% Pre Consumer Recycled Polyamide (RM1084)</v>
          </cell>
          <cell r="M828" t="str">
            <v>6504.00.90.15</v>
          </cell>
          <cell r="N828">
            <v>6505009090</v>
          </cell>
          <cell r="O828" t="str">
            <v>6505.00.40.00</v>
          </cell>
          <cell r="P828" t="str">
            <v>6505.00.90.90</v>
          </cell>
          <cell r="Q828">
            <v>0</v>
          </cell>
          <cell r="R828" t="str">
            <v>6505.00.90</v>
          </cell>
          <cell r="S828">
            <v>0</v>
          </cell>
        </row>
        <row r="829">
          <cell r="A829" t="str">
            <v>HAIRWRAP-STRIPE-RED</v>
          </cell>
          <cell r="B829" t="str">
            <v>6.5097E+11</v>
          </cell>
          <cell r="C829" t="str">
            <v>CLOSED</v>
          </cell>
          <cell r="D829" t="str">
            <v>Seasonal</v>
          </cell>
          <cell r="E829">
            <v>60</v>
          </cell>
          <cell r="F829" t="str">
            <v>before AW19</v>
          </cell>
          <cell r="G829" t="str">
            <v>XR Textile</v>
          </cell>
          <cell r="H829" t="str">
            <v>HAIRW-standard</v>
          </cell>
          <cell r="I829" t="str">
            <v>GRS Certified* 83% Post Consumer Recycled Polyester (RM0189) 17% Pre Consumer Recycled Polyamide (RM1084)</v>
          </cell>
          <cell r="M829" t="str">
            <v>6504.00.90.15</v>
          </cell>
          <cell r="N829">
            <v>6505009090</v>
          </cell>
          <cell r="O829" t="str">
            <v>6505.00.40.00</v>
          </cell>
          <cell r="P829" t="str">
            <v>6505.00.90.90</v>
          </cell>
          <cell r="Q829">
            <v>0</v>
          </cell>
          <cell r="R829" t="str">
            <v>6505.00.90</v>
          </cell>
          <cell r="S829">
            <v>0</v>
          </cell>
        </row>
        <row r="830">
          <cell r="A830" t="str">
            <v>HAIRWRAP-STRIPE-YELLOW</v>
          </cell>
          <cell r="B830" t="str">
            <v>6.5097E+11</v>
          </cell>
          <cell r="C830" t="str">
            <v>CLOSED</v>
          </cell>
          <cell r="D830" t="str">
            <v>Seasonal</v>
          </cell>
          <cell r="E830">
            <v>60</v>
          </cell>
          <cell r="F830" t="str">
            <v>before AW19</v>
          </cell>
          <cell r="G830" t="str">
            <v>XR Textile</v>
          </cell>
          <cell r="H830" t="str">
            <v>HAIRW-standard</v>
          </cell>
          <cell r="I830" t="str">
            <v>GRS Certified* 83% Post Consumer Recycled Polyester (RM0189) 17% Pre Consumer Recycled Polyamide (RM1084)</v>
          </cell>
          <cell r="M830" t="str">
            <v>6504.00.90.15</v>
          </cell>
          <cell r="N830">
            <v>6505009090</v>
          </cell>
          <cell r="O830" t="str">
            <v>6505.00.40.00</v>
          </cell>
          <cell r="P830" t="str">
            <v>6505.00.90.90</v>
          </cell>
          <cell r="Q830">
            <v>0</v>
          </cell>
          <cell r="R830" t="str">
            <v>6505.00.90</v>
          </cell>
          <cell r="S830">
            <v>0</v>
          </cell>
        </row>
        <row r="831">
          <cell r="A831" t="str">
            <v>HANGER-5PAK</v>
          </cell>
          <cell r="B831" t="str">
            <v>6.5097E+11</v>
          </cell>
          <cell r="C831" t="str">
            <v>CLOSED</v>
          </cell>
          <cell r="E831">
            <v>20</v>
          </cell>
          <cell r="F831" t="str">
            <v>before AW19</v>
          </cell>
          <cell r="G831" t="str">
            <v>XR Textile</v>
          </cell>
          <cell r="H831" t="str">
            <v>POS</v>
          </cell>
          <cell r="M831" t="str">
            <v>4819.10.0040</v>
          </cell>
          <cell r="N831">
            <v>4819100000</v>
          </cell>
          <cell r="O831">
            <v>4819100000</v>
          </cell>
          <cell r="P831">
            <v>48191000</v>
          </cell>
          <cell r="Q831">
            <v>0</v>
          </cell>
          <cell r="R831" t="str">
            <v>4819.10.00</v>
          </cell>
          <cell r="S831">
            <v>0</v>
          </cell>
        </row>
        <row r="832">
          <cell r="A832" t="str">
            <v>HEADW-CBH-NAVY</v>
          </cell>
          <cell r="B832" t="str">
            <v>5.0607E+12</v>
          </cell>
          <cell r="C832" t="str">
            <v>CLOSED</v>
          </cell>
          <cell r="E832">
            <v>50</v>
          </cell>
          <cell r="F832" t="str">
            <v>AW23</v>
          </cell>
          <cell r="G832" t="str">
            <v>XR Textile</v>
          </cell>
          <cell r="H832" t="str">
            <v>HEADW</v>
          </cell>
          <cell r="M832" t="str">
            <v>6504.00.90.15</v>
          </cell>
          <cell r="N832">
            <v>6505009090</v>
          </cell>
          <cell r="O832" t="str">
            <v>6505.00.40.00</v>
          </cell>
          <cell r="P832">
            <v>6217100090</v>
          </cell>
          <cell r="Q832">
            <v>0</v>
          </cell>
          <cell r="R832" t="str">
            <v>6505.00.90</v>
          </cell>
          <cell r="S832">
            <v>6507</v>
          </cell>
        </row>
        <row r="833">
          <cell r="A833" t="str">
            <v>HEADW-CLA-NAVY</v>
          </cell>
          <cell r="B833" t="str">
            <v>5.0607E+12</v>
          </cell>
          <cell r="C833" t="str">
            <v>CLOSED</v>
          </cell>
          <cell r="E833">
            <v>50</v>
          </cell>
          <cell r="F833" t="str">
            <v>AW23</v>
          </cell>
          <cell r="G833" t="str">
            <v>XR Textile</v>
          </cell>
          <cell r="H833" t="str">
            <v>HEADW</v>
          </cell>
          <cell r="M833" t="str">
            <v>6504.00.90.15</v>
          </cell>
          <cell r="N833">
            <v>6505009090</v>
          </cell>
          <cell r="O833" t="str">
            <v>6505.00.40.00</v>
          </cell>
          <cell r="P833">
            <v>6217100090</v>
          </cell>
          <cell r="Q833">
            <v>0</v>
          </cell>
          <cell r="R833" t="str">
            <v>6505.00.90</v>
          </cell>
          <cell r="S833">
            <v>6507</v>
          </cell>
        </row>
        <row r="834">
          <cell r="A834" t="str">
            <v>HEADW-CLA-WHITE</v>
          </cell>
          <cell r="B834" t="str">
            <v>5.0607E+12</v>
          </cell>
          <cell r="C834" t="str">
            <v>CLOSED</v>
          </cell>
          <cell r="E834">
            <v>50</v>
          </cell>
          <cell r="F834" t="str">
            <v>AW23</v>
          </cell>
          <cell r="G834" t="str">
            <v>XR Textile</v>
          </cell>
          <cell r="H834" t="str">
            <v>HEADW</v>
          </cell>
          <cell r="M834" t="str">
            <v>6504.00.90.15</v>
          </cell>
          <cell r="N834">
            <v>6505009090</v>
          </cell>
          <cell r="O834" t="str">
            <v>6505.00.40.00</v>
          </cell>
          <cell r="P834">
            <v>6217100090</v>
          </cell>
          <cell r="Q834">
            <v>0</v>
          </cell>
          <cell r="R834" t="str">
            <v>6505.00.90</v>
          </cell>
          <cell r="S834">
            <v>6507</v>
          </cell>
        </row>
        <row r="835">
          <cell r="A835" t="str">
            <v>HEADW-GEO-PINK</v>
          </cell>
          <cell r="B835" t="str">
            <v>5.0607E+12</v>
          </cell>
          <cell r="C835" t="str">
            <v>CLOSED</v>
          </cell>
          <cell r="E835">
            <v>50</v>
          </cell>
          <cell r="F835" t="str">
            <v>AW23</v>
          </cell>
          <cell r="G835" t="str">
            <v>XR Textile</v>
          </cell>
          <cell r="H835" t="str">
            <v>HEADW</v>
          </cell>
          <cell r="M835" t="str">
            <v>6504.00.90.15</v>
          </cell>
          <cell r="N835">
            <v>6505009090</v>
          </cell>
          <cell r="O835" t="str">
            <v>6505.00.40.00</v>
          </cell>
          <cell r="P835">
            <v>6217100090</v>
          </cell>
          <cell r="Q835">
            <v>0</v>
          </cell>
          <cell r="R835" t="str">
            <v>6505.00.90</v>
          </cell>
          <cell r="S835">
            <v>6507</v>
          </cell>
        </row>
        <row r="836">
          <cell r="A836" t="str">
            <v>HOODT-ANI-HD-FROG</v>
          </cell>
          <cell r="B836" t="str">
            <v>5.0607E+12</v>
          </cell>
          <cell r="C836" t="str">
            <v>CLOSED</v>
          </cell>
          <cell r="E836">
            <v>40</v>
          </cell>
          <cell r="F836" t="str">
            <v>SS22</v>
          </cell>
          <cell r="G836" t="str">
            <v>XR Textile</v>
          </cell>
          <cell r="H836" t="str">
            <v>HOODT</v>
          </cell>
          <cell r="M836" t="str">
            <v>6302.93.2000</v>
          </cell>
          <cell r="N836">
            <v>6302600090</v>
          </cell>
          <cell r="O836" t="str">
            <v>6302.93.00.00</v>
          </cell>
          <cell r="P836">
            <v>6302939000</v>
          </cell>
          <cell r="Q836">
            <v>0</v>
          </cell>
          <cell r="R836" t="str">
            <v>6302.39.00</v>
          </cell>
          <cell r="S836">
            <v>0</v>
          </cell>
        </row>
        <row r="837">
          <cell r="A837" t="str">
            <v>HOODT-ANI-HD-GIRAF</v>
          </cell>
          <cell r="B837" t="str">
            <v>5.0607E+12</v>
          </cell>
          <cell r="C837" t="str">
            <v>CLOSED</v>
          </cell>
          <cell r="E837">
            <v>40</v>
          </cell>
          <cell r="F837" t="str">
            <v>SS22</v>
          </cell>
          <cell r="G837" t="str">
            <v>XR Textile</v>
          </cell>
          <cell r="H837" t="str">
            <v>HOODT</v>
          </cell>
          <cell r="M837" t="str">
            <v>6302.93.2000</v>
          </cell>
          <cell r="N837">
            <v>6302600090</v>
          </cell>
          <cell r="O837" t="str">
            <v>6302.93.00.00</v>
          </cell>
          <cell r="P837">
            <v>6302939000</v>
          </cell>
          <cell r="Q837">
            <v>0</v>
          </cell>
          <cell r="R837" t="str">
            <v>6302.39.00</v>
          </cell>
          <cell r="S837">
            <v>0</v>
          </cell>
        </row>
        <row r="838">
          <cell r="A838" t="str">
            <v>HOODT-ANI-HD-KOALA</v>
          </cell>
          <cell r="B838" t="str">
            <v>5.0607E+12</v>
          </cell>
          <cell r="C838" t="str">
            <v>CLOSED</v>
          </cell>
          <cell r="E838">
            <v>40</v>
          </cell>
          <cell r="F838" t="str">
            <v>SS22</v>
          </cell>
          <cell r="G838" t="str">
            <v>XR Textile</v>
          </cell>
          <cell r="H838" t="str">
            <v>HOODT</v>
          </cell>
          <cell r="M838" t="str">
            <v>6302.93.2000</v>
          </cell>
          <cell r="N838">
            <v>6302600090</v>
          </cell>
          <cell r="O838" t="str">
            <v>6302.93.00.00</v>
          </cell>
          <cell r="P838">
            <v>6302939000</v>
          </cell>
          <cell r="Q838">
            <v>0</v>
          </cell>
          <cell r="R838" t="str">
            <v>6302.39.00</v>
          </cell>
          <cell r="S838">
            <v>0</v>
          </cell>
        </row>
        <row r="839">
          <cell r="A839" t="str">
            <v>HOODT-ANI-HD-PIG</v>
          </cell>
          <cell r="B839" t="str">
            <v>5.0607E+12</v>
          </cell>
          <cell r="C839" t="str">
            <v>CLOSED</v>
          </cell>
          <cell r="E839">
            <v>40</v>
          </cell>
          <cell r="F839" t="str">
            <v>SS22</v>
          </cell>
          <cell r="G839" t="str">
            <v>XR Textile</v>
          </cell>
          <cell r="H839" t="str">
            <v>HOODT</v>
          </cell>
          <cell r="M839" t="str">
            <v>6302.93.2000</v>
          </cell>
          <cell r="N839">
            <v>6302600090</v>
          </cell>
          <cell r="O839" t="str">
            <v>6302.93.00.00</v>
          </cell>
          <cell r="P839">
            <v>6302939000</v>
          </cell>
          <cell r="Q839">
            <v>0</v>
          </cell>
          <cell r="R839" t="str">
            <v>6302.39.00</v>
          </cell>
          <cell r="S839">
            <v>0</v>
          </cell>
        </row>
        <row r="840">
          <cell r="A840" t="str">
            <v>HOODT-ANI-SM-GIRAF</v>
          </cell>
          <cell r="B840" t="str">
            <v>5.0607E+12</v>
          </cell>
          <cell r="C840" t="str">
            <v>CLOSED</v>
          </cell>
          <cell r="E840">
            <v>40</v>
          </cell>
          <cell r="F840" t="str">
            <v>SS22</v>
          </cell>
          <cell r="G840" t="str">
            <v>XR Textile</v>
          </cell>
          <cell r="H840" t="str">
            <v>HOODT</v>
          </cell>
          <cell r="M840" t="str">
            <v>6302.93.2000</v>
          </cell>
          <cell r="N840">
            <v>6302600090</v>
          </cell>
          <cell r="O840" t="str">
            <v>6302.93.00.00</v>
          </cell>
          <cell r="P840">
            <v>6302939000</v>
          </cell>
          <cell r="Q840">
            <v>0</v>
          </cell>
          <cell r="R840" t="str">
            <v>6302.39.00</v>
          </cell>
          <cell r="S840">
            <v>0</v>
          </cell>
        </row>
        <row r="841">
          <cell r="A841" t="str">
            <v>HOODT-ANI-SM-KOALA</v>
          </cell>
          <cell r="B841" t="str">
            <v>5.0607E+12</v>
          </cell>
          <cell r="C841" t="str">
            <v>CLOSED</v>
          </cell>
          <cell r="E841">
            <v>40</v>
          </cell>
          <cell r="F841" t="str">
            <v>SS22</v>
          </cell>
          <cell r="G841" t="str">
            <v>XR Textile</v>
          </cell>
          <cell r="H841" t="str">
            <v>HOODT</v>
          </cell>
          <cell r="M841" t="str">
            <v>6302.93.2000</v>
          </cell>
          <cell r="N841">
            <v>6302600090</v>
          </cell>
          <cell r="O841" t="str">
            <v>6302.93.00.00</v>
          </cell>
          <cell r="P841">
            <v>6302939000</v>
          </cell>
          <cell r="Q841">
            <v>0</v>
          </cell>
          <cell r="R841" t="str">
            <v>6302.39.00</v>
          </cell>
          <cell r="S841">
            <v>0</v>
          </cell>
        </row>
        <row r="842">
          <cell r="A842" t="str">
            <v>HOODT-CLA-SM-LTBLU</v>
          </cell>
          <cell r="B842" t="str">
            <v>5.0607E+12</v>
          </cell>
          <cell r="C842" t="str">
            <v>CLOSED</v>
          </cell>
          <cell r="E842">
            <v>40</v>
          </cell>
          <cell r="F842" t="str">
            <v>SS22</v>
          </cell>
          <cell r="G842" t="str">
            <v>XR Textile</v>
          </cell>
          <cell r="H842" t="str">
            <v>HOODT</v>
          </cell>
          <cell r="M842" t="str">
            <v>6302.93.2000</v>
          </cell>
          <cell r="N842">
            <v>6302600090</v>
          </cell>
          <cell r="O842" t="str">
            <v>6302.93.00.00</v>
          </cell>
          <cell r="P842">
            <v>6302939000</v>
          </cell>
          <cell r="Q842">
            <v>0</v>
          </cell>
          <cell r="R842" t="str">
            <v>6302.39.00</v>
          </cell>
          <cell r="S842">
            <v>0</v>
          </cell>
        </row>
        <row r="843">
          <cell r="A843" t="str">
            <v>HOODT-CLA-SM-LTPNK</v>
          </cell>
          <cell r="B843" t="str">
            <v>5.0607E+12</v>
          </cell>
          <cell r="C843" t="str">
            <v>CLOSED</v>
          </cell>
          <cell r="E843">
            <v>40</v>
          </cell>
          <cell r="F843" t="str">
            <v>SS22</v>
          </cell>
          <cell r="G843" t="str">
            <v>XR Textile</v>
          </cell>
          <cell r="H843" t="str">
            <v>HOODT</v>
          </cell>
          <cell r="M843" t="str">
            <v>6302.93.2000</v>
          </cell>
          <cell r="N843">
            <v>6302600090</v>
          </cell>
          <cell r="O843" t="str">
            <v>6302.93.00.00</v>
          </cell>
          <cell r="P843">
            <v>6302939000</v>
          </cell>
          <cell r="Q843">
            <v>0</v>
          </cell>
          <cell r="R843" t="str">
            <v>6302.39.00</v>
          </cell>
          <cell r="S843">
            <v>0</v>
          </cell>
        </row>
        <row r="844">
          <cell r="A844" t="str">
            <v>HOODT-CLA-SM-WHITE</v>
          </cell>
          <cell r="B844" t="str">
            <v>5.0607E+12</v>
          </cell>
          <cell r="C844" t="str">
            <v>CLOSED</v>
          </cell>
          <cell r="E844">
            <v>40</v>
          </cell>
          <cell r="F844" t="str">
            <v>SS22</v>
          </cell>
          <cell r="G844" t="str">
            <v>XR Textile</v>
          </cell>
          <cell r="H844" t="str">
            <v>HOODT</v>
          </cell>
          <cell r="M844" t="str">
            <v>6302.93.2000</v>
          </cell>
          <cell r="N844">
            <v>6302600090</v>
          </cell>
          <cell r="O844" t="str">
            <v>6302.93.00.00</v>
          </cell>
          <cell r="P844">
            <v>6302939000</v>
          </cell>
          <cell r="Q844">
            <v>0</v>
          </cell>
          <cell r="R844" t="str">
            <v>6302.39.00</v>
          </cell>
          <cell r="S844">
            <v>0</v>
          </cell>
        </row>
        <row r="845">
          <cell r="A845" t="str">
            <v>MAKUP-CBH-3MIX</v>
          </cell>
          <cell r="B845" t="str">
            <v>5.0607E+12</v>
          </cell>
          <cell r="C845" t="str">
            <v>CLOSED</v>
          </cell>
          <cell r="E845">
            <v>100</v>
          </cell>
          <cell r="F845" t="str">
            <v>AW23</v>
          </cell>
          <cell r="G845" t="str">
            <v>Bright Eagle (Rebecca)</v>
          </cell>
          <cell r="H845" t="str">
            <v>MAKUP</v>
          </cell>
          <cell r="M845" t="str">
            <v>9616.20.00.00</v>
          </cell>
          <cell r="N845">
            <v>9616200000</v>
          </cell>
          <cell r="O845" t="str">
            <v>9616.20.00.00</v>
          </cell>
          <cell r="P845">
            <v>9616200000</v>
          </cell>
          <cell r="Q845">
            <v>0</v>
          </cell>
          <cell r="R845" t="str">
            <v>9616.20.00</v>
          </cell>
          <cell r="S845">
            <v>0</v>
          </cell>
        </row>
        <row r="846">
          <cell r="A846" t="str">
            <v>MAKUP-CLA-NAVY-NB</v>
          </cell>
          <cell r="B846" t="str">
            <v>5.0607E+12</v>
          </cell>
          <cell r="C846" t="str">
            <v>CLOSED</v>
          </cell>
          <cell r="E846">
            <v>100</v>
          </cell>
          <cell r="G846" t="str">
            <v>Bright Eagle (Rebecca)</v>
          </cell>
          <cell r="H846" t="str">
            <v>MAKUP</v>
          </cell>
          <cell r="M846" t="str">
            <v>9616.20.00.00</v>
          </cell>
          <cell r="N846">
            <v>9616200000</v>
          </cell>
          <cell r="O846" t="str">
            <v>9616.20.00.00</v>
          </cell>
          <cell r="P846">
            <v>9616200000</v>
          </cell>
          <cell r="Q846">
            <v>0</v>
          </cell>
          <cell r="R846" t="str">
            <v>9616.20.00</v>
          </cell>
          <cell r="S846">
            <v>0</v>
          </cell>
        </row>
        <row r="847">
          <cell r="A847" t="str">
            <v>MAKUP-GEO-3MIX</v>
          </cell>
          <cell r="B847" t="str">
            <v>5.0607E+12</v>
          </cell>
          <cell r="C847" t="str">
            <v>CLOSED</v>
          </cell>
          <cell r="E847">
            <v>100</v>
          </cell>
          <cell r="F847" t="str">
            <v>AW23</v>
          </cell>
          <cell r="G847" t="str">
            <v>Bright Eagle (Rebecca)</v>
          </cell>
          <cell r="H847" t="str">
            <v>MAKUP</v>
          </cell>
          <cell r="M847" t="str">
            <v>9616.20.00.00</v>
          </cell>
          <cell r="N847">
            <v>9616200000</v>
          </cell>
          <cell r="O847" t="str">
            <v>9616.20.00.00</v>
          </cell>
          <cell r="P847">
            <v>9616200000</v>
          </cell>
          <cell r="Q847">
            <v>0</v>
          </cell>
          <cell r="R847" t="str">
            <v>9616.20.00</v>
          </cell>
          <cell r="S847">
            <v>0</v>
          </cell>
        </row>
        <row r="848">
          <cell r="A848" t="str">
            <v>MAKUP-HOM-3PAK-LTBLU</v>
          </cell>
          <cell r="B848" t="str">
            <v>5.0607E+12</v>
          </cell>
          <cell r="C848" t="str">
            <v>CLOSED</v>
          </cell>
          <cell r="E848">
            <v>100</v>
          </cell>
          <cell r="F848" t="str">
            <v>AW20</v>
          </cell>
          <cell r="G848" t="str">
            <v>Bright Eagle (Rebecca)</v>
          </cell>
          <cell r="H848" t="str">
            <v>MAKUP</v>
          </cell>
          <cell r="M848" t="str">
            <v>9616.20.00.00</v>
          </cell>
          <cell r="N848">
            <v>9616200000</v>
          </cell>
          <cell r="O848" t="str">
            <v>9616.20.00.00</v>
          </cell>
          <cell r="P848">
            <v>9616200000</v>
          </cell>
          <cell r="Q848">
            <v>0</v>
          </cell>
          <cell r="R848" t="str">
            <v>9616.20.00</v>
          </cell>
          <cell r="S848">
            <v>0</v>
          </cell>
        </row>
        <row r="849">
          <cell r="A849" t="str">
            <v>MAKUP-HOM-3PAK-LTGRN</v>
          </cell>
          <cell r="B849" t="str">
            <v>5.0607E+12</v>
          </cell>
          <cell r="C849" t="str">
            <v>CLOSED</v>
          </cell>
          <cell r="E849">
            <v>100</v>
          </cell>
          <cell r="F849" t="str">
            <v>AW20</v>
          </cell>
          <cell r="G849" t="str">
            <v>Bright Eagle (Rebecca)</v>
          </cell>
          <cell r="H849" t="str">
            <v>MAKUP</v>
          </cell>
          <cell r="M849" t="str">
            <v>9616.20.00.00</v>
          </cell>
          <cell r="N849">
            <v>9616200000</v>
          </cell>
          <cell r="O849" t="str">
            <v>9616.20.00.00</v>
          </cell>
          <cell r="P849">
            <v>9616200000</v>
          </cell>
          <cell r="Q849">
            <v>0</v>
          </cell>
          <cell r="R849" t="str">
            <v>9616.20.00</v>
          </cell>
          <cell r="S849">
            <v>0</v>
          </cell>
        </row>
        <row r="850">
          <cell r="A850" t="str">
            <v>MAKUP-HOM-3PAK-LTPNK</v>
          </cell>
          <cell r="B850" t="str">
            <v>5.0607E+12</v>
          </cell>
          <cell r="C850" t="str">
            <v>CLOSED</v>
          </cell>
          <cell r="E850">
            <v>100</v>
          </cell>
          <cell r="F850" t="str">
            <v>AW20</v>
          </cell>
          <cell r="G850" t="str">
            <v>Bright Eagle (Rebecca)</v>
          </cell>
          <cell r="H850" t="str">
            <v>MAKUP</v>
          </cell>
          <cell r="M850" t="str">
            <v>9616.20.00.00</v>
          </cell>
          <cell r="N850">
            <v>9616200000</v>
          </cell>
          <cell r="O850" t="str">
            <v>9616.20.00.00</v>
          </cell>
          <cell r="P850">
            <v>9616200000</v>
          </cell>
          <cell r="Q850">
            <v>0</v>
          </cell>
          <cell r="R850" t="str">
            <v>9616.20.00</v>
          </cell>
          <cell r="S850">
            <v>0</v>
          </cell>
        </row>
        <row r="851">
          <cell r="A851" t="str">
            <v>MAKUP-HOM-3PAK-NAVY</v>
          </cell>
          <cell r="B851" t="str">
            <v>5.0607E+12</v>
          </cell>
          <cell r="C851" t="str">
            <v>CLOSED</v>
          </cell>
          <cell r="E851">
            <v>100</v>
          </cell>
          <cell r="F851" t="str">
            <v>AW20</v>
          </cell>
          <cell r="G851" t="str">
            <v>Bright Eagle (Rebecca)</v>
          </cell>
          <cell r="H851" t="str">
            <v>MAKUP</v>
          </cell>
          <cell r="M851" t="str">
            <v>9616.20.00.00</v>
          </cell>
          <cell r="N851">
            <v>9616200000</v>
          </cell>
          <cell r="O851" t="str">
            <v>9616.20.00.00</v>
          </cell>
          <cell r="P851">
            <v>9616200000</v>
          </cell>
          <cell r="Q851">
            <v>0</v>
          </cell>
          <cell r="R851" t="str">
            <v>9616.20.00</v>
          </cell>
          <cell r="S851">
            <v>0</v>
          </cell>
        </row>
        <row r="852">
          <cell r="A852" t="str">
            <v>MAKUP-HOM-3PAK-TERRA</v>
          </cell>
          <cell r="B852" t="str">
            <v>5.0607E+12</v>
          </cell>
          <cell r="C852" t="str">
            <v>CLOSED</v>
          </cell>
          <cell r="E852">
            <v>100</v>
          </cell>
          <cell r="F852" t="str">
            <v>AW20</v>
          </cell>
          <cell r="G852" t="str">
            <v>Bright Eagle (Rebecca)</v>
          </cell>
          <cell r="H852" t="str">
            <v>MAKUP</v>
          </cell>
          <cell r="M852" t="str">
            <v>9616.20.00.00</v>
          </cell>
          <cell r="N852">
            <v>9616200000</v>
          </cell>
          <cell r="O852" t="str">
            <v>9616.20.00.00</v>
          </cell>
          <cell r="P852">
            <v>9616200000</v>
          </cell>
          <cell r="Q852">
            <v>0</v>
          </cell>
          <cell r="R852" t="str">
            <v>9616.20.00</v>
          </cell>
          <cell r="S852">
            <v>0</v>
          </cell>
        </row>
        <row r="853">
          <cell r="A853" t="str">
            <v>MAKUP-RET-MONT</v>
          </cell>
          <cell r="B853" t="str">
            <v>5.0607E+12</v>
          </cell>
          <cell r="C853" t="str">
            <v>CLOSED</v>
          </cell>
          <cell r="E853">
            <v>100</v>
          </cell>
          <cell r="F853" t="str">
            <v>SS23</v>
          </cell>
          <cell r="G853" t="str">
            <v>Bright Eagle (Rebecca)</v>
          </cell>
          <cell r="H853" t="str">
            <v>MAKUP</v>
          </cell>
          <cell r="M853" t="str">
            <v>9616.20.00.00</v>
          </cell>
          <cell r="N853">
            <v>9616200000</v>
          </cell>
          <cell r="O853" t="str">
            <v>9616.20.00.00</v>
          </cell>
          <cell r="P853">
            <v>9616200000</v>
          </cell>
          <cell r="Q853">
            <v>0</v>
          </cell>
          <cell r="R853" t="str">
            <v>9616.20.00</v>
          </cell>
          <cell r="S853">
            <v>0</v>
          </cell>
        </row>
        <row r="854">
          <cell r="A854" t="str">
            <v>MAKUP-STD-LTPNK-NB</v>
          </cell>
          <cell r="B854" t="str">
            <v>5.0607E+12</v>
          </cell>
          <cell r="C854" t="str">
            <v>CLOSED</v>
          </cell>
          <cell r="E854">
            <v>100</v>
          </cell>
          <cell r="G854" t="str">
            <v>Bright Eagle (Rebecca)</v>
          </cell>
          <cell r="H854" t="str">
            <v>MAKUP</v>
          </cell>
          <cell r="M854" t="str">
            <v>9616.20.00.00</v>
          </cell>
          <cell r="N854">
            <v>9616200000</v>
          </cell>
          <cell r="O854" t="str">
            <v>9616.20.00.00</v>
          </cell>
          <cell r="P854">
            <v>9616200000</v>
          </cell>
          <cell r="Q854">
            <v>0</v>
          </cell>
          <cell r="R854" t="str">
            <v>9616.20.00</v>
          </cell>
          <cell r="S854">
            <v>0</v>
          </cell>
        </row>
        <row r="855">
          <cell r="A855" t="str">
            <v>MAKUP-STD-NAVY-NB</v>
          </cell>
          <cell r="B855" t="str">
            <v>5.0607E+12</v>
          </cell>
          <cell r="C855" t="str">
            <v>CLOSED</v>
          </cell>
          <cell r="E855">
            <v>100</v>
          </cell>
          <cell r="G855" t="str">
            <v>Bright Eagle (Rebecca)</v>
          </cell>
          <cell r="H855" t="str">
            <v>MAKUP</v>
          </cell>
          <cell r="M855" t="str">
            <v>9616.20.00.00</v>
          </cell>
          <cell r="N855">
            <v>9616200000</v>
          </cell>
          <cell r="O855" t="str">
            <v>9616.20.00.00</v>
          </cell>
          <cell r="P855">
            <v>9616200000</v>
          </cell>
          <cell r="Q855">
            <v>0</v>
          </cell>
          <cell r="R855" t="str">
            <v>9616.20.00</v>
          </cell>
          <cell r="S855">
            <v>0</v>
          </cell>
        </row>
        <row r="856">
          <cell r="A856" t="str">
            <v>MASK-CLA-LAR-BLACK</v>
          </cell>
          <cell r="B856" t="str">
            <v>5.0607E+12</v>
          </cell>
          <cell r="C856" t="str">
            <v>CLOSED</v>
          </cell>
          <cell r="M856" t="e">
            <v>#N/A</v>
          </cell>
          <cell r="N856" t="e">
            <v>#N/A</v>
          </cell>
          <cell r="O856" t="e">
            <v>#N/A</v>
          </cell>
          <cell r="P856" t="e">
            <v>#N/A</v>
          </cell>
          <cell r="Q856" t="e">
            <v>#N/A</v>
          </cell>
          <cell r="R856" t="e">
            <v>#N/A</v>
          </cell>
          <cell r="S856" t="e">
            <v>#N/A</v>
          </cell>
        </row>
        <row r="857">
          <cell r="A857" t="str">
            <v>MASK-CLA-LAR-BLUE</v>
          </cell>
          <cell r="B857" t="str">
            <v>5.0607E+12</v>
          </cell>
          <cell r="C857" t="str">
            <v>CLOSED</v>
          </cell>
          <cell r="M857" t="e">
            <v>#N/A</v>
          </cell>
          <cell r="N857" t="e">
            <v>#N/A</v>
          </cell>
          <cell r="O857" t="e">
            <v>#N/A</v>
          </cell>
          <cell r="P857" t="e">
            <v>#N/A</v>
          </cell>
          <cell r="Q857" t="e">
            <v>#N/A</v>
          </cell>
          <cell r="R857" t="e">
            <v>#N/A</v>
          </cell>
          <cell r="S857" t="e">
            <v>#N/A</v>
          </cell>
        </row>
        <row r="858">
          <cell r="A858" t="str">
            <v>MASK-CLA-LAR-GREEN</v>
          </cell>
          <cell r="B858" t="str">
            <v>5.0607E+12</v>
          </cell>
          <cell r="C858" t="str">
            <v>CLOSED</v>
          </cell>
          <cell r="M858" t="e">
            <v>#N/A</v>
          </cell>
          <cell r="N858" t="e">
            <v>#N/A</v>
          </cell>
          <cell r="O858" t="e">
            <v>#N/A</v>
          </cell>
          <cell r="P858" t="e">
            <v>#N/A</v>
          </cell>
          <cell r="Q858" t="e">
            <v>#N/A</v>
          </cell>
          <cell r="R858" t="e">
            <v>#N/A</v>
          </cell>
          <cell r="S858" t="e">
            <v>#N/A</v>
          </cell>
        </row>
        <row r="859">
          <cell r="A859" t="str">
            <v>MASK-CLA-LAR-LTBEIGE</v>
          </cell>
          <cell r="B859" t="str">
            <v>5.0607E+12</v>
          </cell>
          <cell r="C859" t="str">
            <v>CLOSED</v>
          </cell>
          <cell r="M859" t="e">
            <v>#N/A</v>
          </cell>
          <cell r="N859" t="e">
            <v>#N/A</v>
          </cell>
          <cell r="O859" t="e">
            <v>#N/A</v>
          </cell>
          <cell r="P859" t="e">
            <v>#N/A</v>
          </cell>
          <cell r="Q859" t="e">
            <v>#N/A</v>
          </cell>
          <cell r="R859" t="e">
            <v>#N/A</v>
          </cell>
          <cell r="S859" t="e">
            <v>#N/A</v>
          </cell>
        </row>
        <row r="860">
          <cell r="A860" t="str">
            <v>MASK-CLA-LAR-LTBLUE</v>
          </cell>
          <cell r="B860" t="str">
            <v>5.0607E+12</v>
          </cell>
          <cell r="C860" t="str">
            <v>CLOSED</v>
          </cell>
          <cell r="M860" t="e">
            <v>#N/A</v>
          </cell>
          <cell r="N860" t="e">
            <v>#N/A</v>
          </cell>
          <cell r="O860" t="e">
            <v>#N/A</v>
          </cell>
          <cell r="P860" t="e">
            <v>#N/A</v>
          </cell>
          <cell r="Q860" t="e">
            <v>#N/A</v>
          </cell>
          <cell r="R860" t="e">
            <v>#N/A</v>
          </cell>
          <cell r="S860" t="e">
            <v>#N/A</v>
          </cell>
        </row>
        <row r="861">
          <cell r="A861" t="str">
            <v>MASK-CLA-LAR-LTGREEN</v>
          </cell>
          <cell r="B861" t="str">
            <v>5.0607E+12</v>
          </cell>
          <cell r="C861" t="str">
            <v>CLOSED</v>
          </cell>
          <cell r="M861" t="e">
            <v>#N/A</v>
          </cell>
          <cell r="N861" t="e">
            <v>#N/A</v>
          </cell>
          <cell r="O861" t="e">
            <v>#N/A</v>
          </cell>
          <cell r="P861" t="e">
            <v>#N/A</v>
          </cell>
          <cell r="Q861" t="e">
            <v>#N/A</v>
          </cell>
          <cell r="R861" t="e">
            <v>#N/A</v>
          </cell>
          <cell r="S861" t="e">
            <v>#N/A</v>
          </cell>
        </row>
        <row r="862">
          <cell r="A862" t="str">
            <v>MASK-CLA-LAR-LTPINK</v>
          </cell>
          <cell r="B862" t="str">
            <v>5.0607E+12</v>
          </cell>
          <cell r="C862" t="str">
            <v>CLOSED</v>
          </cell>
          <cell r="M862" t="e">
            <v>#N/A</v>
          </cell>
          <cell r="N862" t="e">
            <v>#N/A</v>
          </cell>
          <cell r="O862" t="e">
            <v>#N/A</v>
          </cell>
          <cell r="P862" t="e">
            <v>#N/A</v>
          </cell>
          <cell r="Q862" t="e">
            <v>#N/A</v>
          </cell>
          <cell r="R862" t="e">
            <v>#N/A</v>
          </cell>
          <cell r="S862" t="e">
            <v>#N/A</v>
          </cell>
        </row>
        <row r="863">
          <cell r="A863" t="str">
            <v>MASK-CLA-LAR-ORANGE</v>
          </cell>
          <cell r="B863" t="str">
            <v>5.0607E+12</v>
          </cell>
          <cell r="C863" t="str">
            <v>CLOSED</v>
          </cell>
          <cell r="M863" t="e">
            <v>#N/A</v>
          </cell>
          <cell r="N863" t="e">
            <v>#N/A</v>
          </cell>
          <cell r="O863" t="e">
            <v>#N/A</v>
          </cell>
          <cell r="P863" t="e">
            <v>#N/A</v>
          </cell>
          <cell r="Q863" t="e">
            <v>#N/A</v>
          </cell>
          <cell r="R863" t="e">
            <v>#N/A</v>
          </cell>
          <cell r="S863" t="e">
            <v>#N/A</v>
          </cell>
        </row>
        <row r="864">
          <cell r="A864" t="str">
            <v>MASK-CLA-LAR-PINK</v>
          </cell>
          <cell r="B864" t="str">
            <v>5.0607E+12</v>
          </cell>
          <cell r="C864" t="str">
            <v>CLOSED</v>
          </cell>
          <cell r="M864" t="e">
            <v>#N/A</v>
          </cell>
          <cell r="N864" t="e">
            <v>#N/A</v>
          </cell>
          <cell r="O864" t="e">
            <v>#N/A</v>
          </cell>
          <cell r="P864" t="e">
            <v>#N/A</v>
          </cell>
          <cell r="Q864" t="e">
            <v>#N/A</v>
          </cell>
          <cell r="R864" t="e">
            <v>#N/A</v>
          </cell>
          <cell r="S864" t="e">
            <v>#N/A</v>
          </cell>
        </row>
        <row r="865">
          <cell r="A865" t="str">
            <v>MASK-CLA-LAR-PURPLE</v>
          </cell>
          <cell r="B865" t="str">
            <v>5.0607E+12</v>
          </cell>
          <cell r="C865" t="str">
            <v>CLOSED</v>
          </cell>
          <cell r="M865" t="e">
            <v>#N/A</v>
          </cell>
          <cell r="N865" t="e">
            <v>#N/A</v>
          </cell>
          <cell r="O865" t="e">
            <v>#N/A</v>
          </cell>
          <cell r="P865" t="e">
            <v>#N/A</v>
          </cell>
          <cell r="Q865" t="e">
            <v>#N/A</v>
          </cell>
          <cell r="R865" t="e">
            <v>#N/A</v>
          </cell>
          <cell r="S865" t="e">
            <v>#N/A</v>
          </cell>
        </row>
        <row r="866">
          <cell r="A866" t="str">
            <v>MASK-CLA-LAR-RED</v>
          </cell>
          <cell r="B866" t="str">
            <v>5.0607E+12</v>
          </cell>
          <cell r="C866" t="str">
            <v>CLOSED</v>
          </cell>
          <cell r="M866" t="e">
            <v>#N/A</v>
          </cell>
          <cell r="N866" t="e">
            <v>#N/A</v>
          </cell>
          <cell r="O866" t="e">
            <v>#N/A</v>
          </cell>
          <cell r="P866" t="e">
            <v>#N/A</v>
          </cell>
          <cell r="Q866" t="e">
            <v>#N/A</v>
          </cell>
          <cell r="R866" t="e">
            <v>#N/A</v>
          </cell>
          <cell r="S866" t="e">
            <v>#N/A</v>
          </cell>
        </row>
        <row r="867">
          <cell r="A867" t="str">
            <v>MASK-CLA-LAR-WHITE</v>
          </cell>
          <cell r="B867" t="str">
            <v>5.0607E+12</v>
          </cell>
          <cell r="C867" t="str">
            <v>CLOSED</v>
          </cell>
          <cell r="M867" t="e">
            <v>#N/A</v>
          </cell>
          <cell r="N867" t="e">
            <v>#N/A</v>
          </cell>
          <cell r="O867" t="e">
            <v>#N/A</v>
          </cell>
          <cell r="P867" t="e">
            <v>#N/A</v>
          </cell>
          <cell r="Q867" t="e">
            <v>#N/A</v>
          </cell>
          <cell r="R867" t="e">
            <v>#N/A</v>
          </cell>
          <cell r="S867" t="e">
            <v>#N/A</v>
          </cell>
        </row>
        <row r="868">
          <cell r="A868" t="str">
            <v>MASK-CLA-MED-BLACK</v>
          </cell>
          <cell r="B868" t="str">
            <v>5.0607E+12</v>
          </cell>
          <cell r="C868" t="str">
            <v>CLOSED</v>
          </cell>
          <cell r="M868" t="e">
            <v>#N/A</v>
          </cell>
          <cell r="N868" t="e">
            <v>#N/A</v>
          </cell>
          <cell r="O868" t="e">
            <v>#N/A</v>
          </cell>
          <cell r="P868" t="e">
            <v>#N/A</v>
          </cell>
          <cell r="Q868" t="e">
            <v>#N/A</v>
          </cell>
          <cell r="R868" t="e">
            <v>#N/A</v>
          </cell>
          <cell r="S868" t="e">
            <v>#N/A</v>
          </cell>
        </row>
        <row r="869">
          <cell r="A869" t="str">
            <v>MASK-CLA-MED-BLUE</v>
          </cell>
          <cell r="B869" t="str">
            <v>5.0607E+12</v>
          </cell>
          <cell r="C869" t="str">
            <v>CLOSED</v>
          </cell>
          <cell r="M869" t="e">
            <v>#N/A</v>
          </cell>
          <cell r="N869" t="e">
            <v>#N/A</v>
          </cell>
          <cell r="O869" t="e">
            <v>#N/A</v>
          </cell>
          <cell r="P869" t="e">
            <v>#N/A</v>
          </cell>
          <cell r="Q869" t="e">
            <v>#N/A</v>
          </cell>
          <cell r="R869" t="e">
            <v>#N/A</v>
          </cell>
          <cell r="S869" t="e">
            <v>#N/A</v>
          </cell>
        </row>
        <row r="870">
          <cell r="A870" t="str">
            <v>MASK-CLA-MED-GREEN</v>
          </cell>
          <cell r="B870" t="str">
            <v>5.0607E+12</v>
          </cell>
          <cell r="C870" t="str">
            <v>CLOSED</v>
          </cell>
          <cell r="M870" t="e">
            <v>#N/A</v>
          </cell>
          <cell r="N870" t="e">
            <v>#N/A</v>
          </cell>
          <cell r="O870" t="e">
            <v>#N/A</v>
          </cell>
          <cell r="P870" t="e">
            <v>#N/A</v>
          </cell>
          <cell r="Q870" t="e">
            <v>#N/A</v>
          </cell>
          <cell r="R870" t="e">
            <v>#N/A</v>
          </cell>
          <cell r="S870" t="e">
            <v>#N/A</v>
          </cell>
        </row>
        <row r="871">
          <cell r="A871" t="str">
            <v>MASK-CLA-MED-LTBEIGE</v>
          </cell>
          <cell r="B871" t="str">
            <v>5.0607E+12</v>
          </cell>
          <cell r="C871" t="str">
            <v>CLOSED</v>
          </cell>
          <cell r="M871" t="e">
            <v>#N/A</v>
          </cell>
          <cell r="N871" t="e">
            <v>#N/A</v>
          </cell>
          <cell r="O871" t="e">
            <v>#N/A</v>
          </cell>
          <cell r="P871" t="e">
            <v>#N/A</v>
          </cell>
          <cell r="Q871" t="e">
            <v>#N/A</v>
          </cell>
          <cell r="R871" t="e">
            <v>#N/A</v>
          </cell>
          <cell r="S871" t="e">
            <v>#N/A</v>
          </cell>
        </row>
        <row r="872">
          <cell r="A872" t="str">
            <v>MASK-CLA-MED-LTBLUE</v>
          </cell>
          <cell r="B872" t="str">
            <v>5.0607E+12</v>
          </cell>
          <cell r="C872" t="str">
            <v>CLOSED</v>
          </cell>
          <cell r="M872" t="e">
            <v>#N/A</v>
          </cell>
          <cell r="N872" t="e">
            <v>#N/A</v>
          </cell>
          <cell r="O872" t="e">
            <v>#N/A</v>
          </cell>
          <cell r="P872" t="e">
            <v>#N/A</v>
          </cell>
          <cell r="Q872" t="e">
            <v>#N/A</v>
          </cell>
          <cell r="R872" t="e">
            <v>#N/A</v>
          </cell>
          <cell r="S872" t="e">
            <v>#N/A</v>
          </cell>
        </row>
        <row r="873">
          <cell r="A873" t="str">
            <v>MASK-CLA-MED-LTGREEN</v>
          </cell>
          <cell r="B873" t="str">
            <v>5.0607E+12</v>
          </cell>
          <cell r="C873" t="str">
            <v>CLOSED</v>
          </cell>
          <cell r="M873" t="e">
            <v>#N/A</v>
          </cell>
          <cell r="N873" t="e">
            <v>#N/A</v>
          </cell>
          <cell r="O873" t="e">
            <v>#N/A</v>
          </cell>
          <cell r="P873" t="e">
            <v>#N/A</v>
          </cell>
          <cell r="Q873" t="e">
            <v>#N/A</v>
          </cell>
          <cell r="R873" t="e">
            <v>#N/A</v>
          </cell>
          <cell r="S873" t="e">
            <v>#N/A</v>
          </cell>
        </row>
        <row r="874">
          <cell r="A874" t="str">
            <v>MASK-CLA-MED-LTPINK</v>
          </cell>
          <cell r="B874" t="str">
            <v>5.0607E+12</v>
          </cell>
          <cell r="C874" t="str">
            <v>CLOSED</v>
          </cell>
          <cell r="M874" t="e">
            <v>#N/A</v>
          </cell>
          <cell r="N874" t="e">
            <v>#N/A</v>
          </cell>
          <cell r="O874" t="e">
            <v>#N/A</v>
          </cell>
          <cell r="P874" t="e">
            <v>#N/A</v>
          </cell>
          <cell r="Q874" t="e">
            <v>#N/A</v>
          </cell>
          <cell r="R874" t="e">
            <v>#N/A</v>
          </cell>
          <cell r="S874" t="e">
            <v>#N/A</v>
          </cell>
        </row>
        <row r="875">
          <cell r="A875" t="str">
            <v>MASK-CLA-MED-ORANGE</v>
          </cell>
          <cell r="B875" t="str">
            <v>5.0607E+12</v>
          </cell>
          <cell r="C875" t="str">
            <v>CLOSED</v>
          </cell>
          <cell r="M875" t="e">
            <v>#N/A</v>
          </cell>
          <cell r="N875" t="e">
            <v>#N/A</v>
          </cell>
          <cell r="O875" t="e">
            <v>#N/A</v>
          </cell>
          <cell r="P875" t="e">
            <v>#N/A</v>
          </cell>
          <cell r="Q875" t="e">
            <v>#N/A</v>
          </cell>
          <cell r="R875" t="e">
            <v>#N/A</v>
          </cell>
          <cell r="S875" t="e">
            <v>#N/A</v>
          </cell>
        </row>
        <row r="876">
          <cell r="A876" t="str">
            <v>MASK-CLA-MED-PINK</v>
          </cell>
          <cell r="B876" t="str">
            <v>5.0607E+12</v>
          </cell>
          <cell r="C876" t="str">
            <v>CLOSED</v>
          </cell>
          <cell r="M876" t="e">
            <v>#N/A</v>
          </cell>
          <cell r="N876" t="e">
            <v>#N/A</v>
          </cell>
          <cell r="O876" t="e">
            <v>#N/A</v>
          </cell>
          <cell r="P876" t="e">
            <v>#N/A</v>
          </cell>
          <cell r="Q876" t="e">
            <v>#N/A</v>
          </cell>
          <cell r="R876" t="e">
            <v>#N/A</v>
          </cell>
          <cell r="S876" t="e">
            <v>#N/A</v>
          </cell>
        </row>
        <row r="877">
          <cell r="A877" t="str">
            <v>MASK-CLA-MED-PURPLE</v>
          </cell>
          <cell r="B877" t="str">
            <v>5.0607E+12</v>
          </cell>
          <cell r="C877" t="str">
            <v>CLOSED</v>
          </cell>
          <cell r="M877" t="e">
            <v>#N/A</v>
          </cell>
          <cell r="N877" t="e">
            <v>#N/A</v>
          </cell>
          <cell r="O877" t="e">
            <v>#N/A</v>
          </cell>
          <cell r="P877" t="e">
            <v>#N/A</v>
          </cell>
          <cell r="Q877" t="e">
            <v>#N/A</v>
          </cell>
          <cell r="R877" t="e">
            <v>#N/A</v>
          </cell>
          <cell r="S877" t="e">
            <v>#N/A</v>
          </cell>
        </row>
        <row r="878">
          <cell r="A878" t="str">
            <v>MASK-CLA-MED-RED</v>
          </cell>
          <cell r="B878" t="str">
            <v>5.0607E+12</v>
          </cell>
          <cell r="C878" t="str">
            <v>CLOSED</v>
          </cell>
          <cell r="M878" t="e">
            <v>#N/A</v>
          </cell>
          <cell r="N878" t="e">
            <v>#N/A</v>
          </cell>
          <cell r="O878" t="e">
            <v>#N/A</v>
          </cell>
          <cell r="P878" t="e">
            <v>#N/A</v>
          </cell>
          <cell r="Q878" t="e">
            <v>#N/A</v>
          </cell>
          <cell r="R878" t="e">
            <v>#N/A</v>
          </cell>
          <cell r="S878" t="e">
            <v>#N/A</v>
          </cell>
        </row>
        <row r="879">
          <cell r="A879" t="str">
            <v>MASK-CLA-MED-WHITE</v>
          </cell>
          <cell r="B879" t="str">
            <v>5.0607E+12</v>
          </cell>
          <cell r="C879" t="str">
            <v>CLOSED</v>
          </cell>
          <cell r="M879" t="e">
            <v>#N/A</v>
          </cell>
          <cell r="N879" t="e">
            <v>#N/A</v>
          </cell>
          <cell r="O879" t="e">
            <v>#N/A</v>
          </cell>
          <cell r="P879" t="e">
            <v>#N/A</v>
          </cell>
          <cell r="Q879" t="e">
            <v>#N/A</v>
          </cell>
          <cell r="R879" t="e">
            <v>#N/A</v>
          </cell>
          <cell r="S879" t="e">
            <v>#N/A</v>
          </cell>
        </row>
        <row r="880">
          <cell r="A880" t="str">
            <v>MASK-ECO-LAR-BLUE</v>
          </cell>
          <cell r="B880" t="str">
            <v>6.5097E+11</v>
          </cell>
          <cell r="C880" t="str">
            <v>CLOSED</v>
          </cell>
          <cell r="M880" t="e">
            <v>#N/A</v>
          </cell>
          <cell r="N880" t="e">
            <v>#N/A</v>
          </cell>
          <cell r="O880" t="e">
            <v>#N/A</v>
          </cell>
          <cell r="P880" t="e">
            <v>#N/A</v>
          </cell>
          <cell r="Q880" t="e">
            <v>#N/A</v>
          </cell>
          <cell r="R880" t="e">
            <v>#N/A</v>
          </cell>
          <cell r="S880" t="e">
            <v>#N/A</v>
          </cell>
        </row>
        <row r="881">
          <cell r="A881" t="str">
            <v>MASK-ECO-LAR-GREEN</v>
          </cell>
          <cell r="B881" t="str">
            <v>6.5097E+11</v>
          </cell>
          <cell r="C881" t="str">
            <v>CLOSED</v>
          </cell>
          <cell r="M881" t="e">
            <v>#N/A</v>
          </cell>
          <cell r="N881" t="e">
            <v>#N/A</v>
          </cell>
          <cell r="O881" t="e">
            <v>#N/A</v>
          </cell>
          <cell r="P881" t="e">
            <v>#N/A</v>
          </cell>
          <cell r="Q881" t="e">
            <v>#N/A</v>
          </cell>
          <cell r="R881" t="e">
            <v>#N/A</v>
          </cell>
          <cell r="S881" t="e">
            <v>#N/A</v>
          </cell>
        </row>
        <row r="882">
          <cell r="A882" t="str">
            <v>MASK-ECO-LAR-GREY</v>
          </cell>
          <cell r="B882" t="str">
            <v>6.5097E+11</v>
          </cell>
          <cell r="C882" t="str">
            <v>CLOSED</v>
          </cell>
          <cell r="F882" t="str">
            <v>before AW19</v>
          </cell>
          <cell r="M882" t="e">
            <v>#N/A</v>
          </cell>
          <cell r="N882" t="e">
            <v>#N/A</v>
          </cell>
          <cell r="O882" t="e">
            <v>#N/A</v>
          </cell>
          <cell r="P882" t="e">
            <v>#N/A</v>
          </cell>
          <cell r="Q882" t="e">
            <v>#N/A</v>
          </cell>
          <cell r="R882" t="e">
            <v>#N/A</v>
          </cell>
          <cell r="S882" t="e">
            <v>#N/A</v>
          </cell>
        </row>
        <row r="883">
          <cell r="A883" t="str">
            <v>MASK-ECO-LAR-ORANGE</v>
          </cell>
          <cell r="B883" t="str">
            <v>6.5097E+11</v>
          </cell>
          <cell r="C883" t="str">
            <v>CLOSED</v>
          </cell>
          <cell r="M883" t="e">
            <v>#N/A</v>
          </cell>
          <cell r="N883" t="e">
            <v>#N/A</v>
          </cell>
          <cell r="O883" t="e">
            <v>#N/A</v>
          </cell>
          <cell r="P883" t="e">
            <v>#N/A</v>
          </cell>
          <cell r="Q883" t="e">
            <v>#N/A</v>
          </cell>
          <cell r="R883" t="e">
            <v>#N/A</v>
          </cell>
          <cell r="S883" t="e">
            <v>#N/A</v>
          </cell>
        </row>
        <row r="884">
          <cell r="A884" t="str">
            <v>MASK-ECO-LAR-RED</v>
          </cell>
          <cell r="B884" t="str">
            <v>6.5097E+11</v>
          </cell>
          <cell r="C884" t="str">
            <v>CLOSED</v>
          </cell>
          <cell r="M884" t="e">
            <v>#N/A</v>
          </cell>
          <cell r="N884" t="e">
            <v>#N/A</v>
          </cell>
          <cell r="O884" t="e">
            <v>#N/A</v>
          </cell>
          <cell r="P884" t="e">
            <v>#N/A</v>
          </cell>
          <cell r="Q884" t="e">
            <v>#N/A</v>
          </cell>
          <cell r="R884" t="e">
            <v>#N/A</v>
          </cell>
          <cell r="S884" t="e">
            <v>#N/A</v>
          </cell>
        </row>
        <row r="885">
          <cell r="A885" t="str">
            <v>PICNIC-BOT-LG-PALM</v>
          </cell>
          <cell r="B885" t="str">
            <v>5.0607E+12</v>
          </cell>
          <cell r="C885" t="str">
            <v>CLOSED</v>
          </cell>
          <cell r="E885">
            <v>16</v>
          </cell>
          <cell r="F885" t="str">
            <v>SS23</v>
          </cell>
          <cell r="G885" t="str">
            <v>XR Textile</v>
          </cell>
          <cell r="H885" t="str">
            <v>PICNIC</v>
          </cell>
          <cell r="I885" t="str">
            <v>GRS Certified** Upper: 83% Post Consumer Recycled Polyester (RM0189) 17% Pre Consumer Recycled Polyamide (RM1084) Reverse: 100% Post Consumer Recycled Polyester (RM0189)</v>
          </cell>
          <cell r="M885" t="str">
            <v>6301.40.0020</v>
          </cell>
          <cell r="N885">
            <v>6301409099</v>
          </cell>
          <cell r="O885" t="str">
            <v>6301.40.0020</v>
          </cell>
          <cell r="P885">
            <v>6301409099</v>
          </cell>
          <cell r="Q885">
            <v>0</v>
          </cell>
          <cell r="R885" t="str">
            <v>6301.40.00</v>
          </cell>
          <cell r="S885">
            <v>6301</v>
          </cell>
        </row>
        <row r="886">
          <cell r="A886" t="str">
            <v>PICNIC-BOT-XL-PALM</v>
          </cell>
          <cell r="B886" t="str">
            <v>5.0607E+12</v>
          </cell>
          <cell r="C886" t="str">
            <v>CLOSED</v>
          </cell>
          <cell r="E886">
            <v>12</v>
          </cell>
          <cell r="F886" t="str">
            <v>SS23</v>
          </cell>
          <cell r="G886" t="str">
            <v>XR Textile</v>
          </cell>
          <cell r="H886" t="str">
            <v>PICNIC</v>
          </cell>
          <cell r="I886" t="str">
            <v>GRS Certified** Upper: 83% Post Consumer Recycled Polyester (RM0189) 17% Pre Consumer Recycled Polyamide (RM1084) Reverse: 100% Post Consumer Recycled Polyester (RM0189)</v>
          </cell>
          <cell r="M886" t="str">
            <v>6301.40.0020</v>
          </cell>
          <cell r="N886">
            <v>6301409099</v>
          </cell>
          <cell r="O886" t="str">
            <v>6301.40.0020</v>
          </cell>
          <cell r="P886">
            <v>6301409099</v>
          </cell>
          <cell r="Q886">
            <v>0</v>
          </cell>
          <cell r="R886" t="str">
            <v>6301.40.00</v>
          </cell>
          <cell r="S886">
            <v>6301</v>
          </cell>
        </row>
        <row r="887">
          <cell r="A887" t="str">
            <v>PICNIC-CAB-LG-LTBGE</v>
          </cell>
          <cell r="B887" t="str">
            <v>5.0607E+12</v>
          </cell>
          <cell r="C887" t="str">
            <v>CLOSED</v>
          </cell>
          <cell r="E887">
            <v>16</v>
          </cell>
          <cell r="F887" t="str">
            <v>SS23</v>
          </cell>
          <cell r="G887" t="str">
            <v>XR Textile</v>
          </cell>
          <cell r="H887" t="str">
            <v>PICNIC</v>
          </cell>
          <cell r="I887" t="str">
            <v>GRS Certified** Upper: 83% Post Consumer Recycled Polyester (RM0189) 17% Pre Consumer Recycled Polyamide (RM1084) Reverse: 100% Post Consumer Recycled Polyester (RM0189)</v>
          </cell>
          <cell r="M887" t="str">
            <v>6301.40.0020</v>
          </cell>
          <cell r="N887">
            <v>6301409099</v>
          </cell>
          <cell r="O887" t="str">
            <v>6301.40.0020</v>
          </cell>
          <cell r="P887">
            <v>6301409099</v>
          </cell>
          <cell r="Q887">
            <v>0</v>
          </cell>
          <cell r="R887" t="str">
            <v>6301.40.00</v>
          </cell>
          <cell r="S887">
            <v>6301</v>
          </cell>
        </row>
        <row r="888">
          <cell r="A888" t="str">
            <v>PICNIC-CAB-XL-LTBGE</v>
          </cell>
          <cell r="B888" t="str">
            <v>5.0607E+12</v>
          </cell>
          <cell r="C888" t="str">
            <v>CLOSED</v>
          </cell>
          <cell r="E888">
            <v>12</v>
          </cell>
          <cell r="F888" t="str">
            <v>SS23</v>
          </cell>
          <cell r="G888" t="str">
            <v>XR Textile</v>
          </cell>
          <cell r="H888" t="str">
            <v>PICNIC</v>
          </cell>
          <cell r="I888" t="str">
            <v>GRS Certified** Upper: 83% Post Consumer Recycled Polyester (RM0189) 17% Pre Consumer Recycled Polyamide (RM1084) Reverse: 100% Post Consumer Recycled Polyester (RM0189)</v>
          </cell>
          <cell r="M888" t="str">
            <v>6301.40.0020</v>
          </cell>
          <cell r="N888">
            <v>6301409099</v>
          </cell>
          <cell r="O888" t="str">
            <v>6301.40.0020</v>
          </cell>
          <cell r="P888">
            <v>6301409099</v>
          </cell>
          <cell r="Q888">
            <v>0</v>
          </cell>
          <cell r="R888" t="str">
            <v>6301.40.00</v>
          </cell>
          <cell r="S888">
            <v>6301</v>
          </cell>
        </row>
        <row r="889">
          <cell r="A889" t="str">
            <v>PICNIC-GIN-LG-PINK</v>
          </cell>
          <cell r="B889" t="str">
            <v>5.0607E+12</v>
          </cell>
          <cell r="C889" t="str">
            <v>CLOSED</v>
          </cell>
          <cell r="E889">
            <v>16</v>
          </cell>
          <cell r="F889" t="str">
            <v>SS23</v>
          </cell>
          <cell r="G889" t="str">
            <v>XR Textile</v>
          </cell>
          <cell r="H889" t="str">
            <v>PICNIC</v>
          </cell>
          <cell r="I889" t="str">
            <v>GRS Certified** Upper: 83% Post Consumer Recycled Polyester (RM0189) 17% Pre Consumer Recycled Polyamide (RM1084) Reverse: 100% Post Consumer Recycled Polyester (RM0189)</v>
          </cell>
          <cell r="M889" t="str">
            <v>6301.40.0020</v>
          </cell>
          <cell r="N889">
            <v>6301409099</v>
          </cell>
          <cell r="O889" t="str">
            <v>6301.40.0020</v>
          </cell>
          <cell r="P889">
            <v>6301409099</v>
          </cell>
          <cell r="Q889">
            <v>0</v>
          </cell>
          <cell r="R889" t="str">
            <v>6301.40.00</v>
          </cell>
          <cell r="S889">
            <v>6301</v>
          </cell>
        </row>
        <row r="890">
          <cell r="A890" t="str">
            <v>PICNIC-GIN-XL-BLUE</v>
          </cell>
          <cell r="B890" t="str">
            <v>5.0607E+12</v>
          </cell>
          <cell r="C890" t="str">
            <v>CLOSED</v>
          </cell>
          <cell r="E890">
            <v>12</v>
          </cell>
          <cell r="F890" t="str">
            <v>SS23</v>
          </cell>
          <cell r="G890" t="str">
            <v>XR Textile</v>
          </cell>
          <cell r="H890" t="str">
            <v>PICNIC</v>
          </cell>
          <cell r="I890" t="str">
            <v>GRS Certified** Upper: 83% Post Consumer Recycled Polyester (RM0189) 17% Pre Consumer Recycled Polyamide (RM1084) Reverse: 100% Post Consumer Recycled Polyester (RM0189)</v>
          </cell>
          <cell r="M890" t="str">
            <v>6301.40.0020</v>
          </cell>
          <cell r="N890">
            <v>6301409099</v>
          </cell>
          <cell r="O890" t="str">
            <v>6301.40.0020</v>
          </cell>
          <cell r="P890">
            <v>6301409099</v>
          </cell>
          <cell r="Q890">
            <v>0</v>
          </cell>
          <cell r="R890" t="str">
            <v>6301.40.00</v>
          </cell>
          <cell r="S890">
            <v>6301</v>
          </cell>
        </row>
        <row r="891">
          <cell r="A891" t="str">
            <v>PICNIC-GIN-XL-PINK</v>
          </cell>
          <cell r="B891" t="str">
            <v>5.0607E+12</v>
          </cell>
          <cell r="C891" t="str">
            <v>CLOSED</v>
          </cell>
          <cell r="E891">
            <v>12</v>
          </cell>
          <cell r="F891" t="str">
            <v>SS23</v>
          </cell>
          <cell r="G891" t="str">
            <v>XR Textile</v>
          </cell>
          <cell r="H891" t="str">
            <v>PICNIC</v>
          </cell>
          <cell r="I891" t="str">
            <v>GRS Certified** Upper: 83% Post Consumer Recycled Polyester (RM0189) 17% Pre Consumer Recycled Polyamide (RM1084) Reverse: 100% Post Consumer Recycled Polyester (RM0189)</v>
          </cell>
          <cell r="M891" t="str">
            <v>6301.40.0020</v>
          </cell>
          <cell r="N891">
            <v>6301409099</v>
          </cell>
          <cell r="O891" t="str">
            <v>6301.40.0020</v>
          </cell>
          <cell r="P891">
            <v>6301409099</v>
          </cell>
          <cell r="Q891">
            <v>0</v>
          </cell>
          <cell r="R891" t="str">
            <v>6301.40.00</v>
          </cell>
          <cell r="S891">
            <v>6301</v>
          </cell>
        </row>
        <row r="892">
          <cell r="A892" t="str">
            <v>PICNIC-SGW-XL-GETWAV</v>
          </cell>
          <cell r="B892" t="str">
            <v>5.0607E+12</v>
          </cell>
          <cell r="C892" t="str">
            <v>CLOSED</v>
          </cell>
          <cell r="D892" t="str">
            <v>Seasonal</v>
          </cell>
          <cell r="E892">
            <v>12</v>
          </cell>
          <cell r="F892" t="str">
            <v>SS23</v>
          </cell>
          <cell r="G892" t="str">
            <v>XR Textile</v>
          </cell>
          <cell r="H892" t="str">
            <v>PICNIC</v>
          </cell>
          <cell r="I892" t="str">
            <v>GRS Certified** Upper: 83% Post Consumer Recycled Polyester (RM0189) 17% Pre Consumer Recycled Polyamide (RM1084) Reverse: 100% Post Consumer Recycled Polyester (RM0189)</v>
          </cell>
          <cell r="M892" t="str">
            <v>6301.40.0020</v>
          </cell>
          <cell r="N892">
            <v>6301409099</v>
          </cell>
          <cell r="O892" t="str">
            <v>6301.40.0020</v>
          </cell>
          <cell r="P892">
            <v>6301409099</v>
          </cell>
          <cell r="Q892">
            <v>0</v>
          </cell>
          <cell r="R892" t="str">
            <v>6301.40.00</v>
          </cell>
          <cell r="S892">
            <v>6301</v>
          </cell>
        </row>
        <row r="893">
          <cell r="A893" t="str">
            <v>PONCHA-CAB-LG-GREEN-R</v>
          </cell>
          <cell r="B893" t="str">
            <v>5.0607E+12</v>
          </cell>
          <cell r="C893" t="str">
            <v>CLOSED</v>
          </cell>
          <cell r="E893">
            <v>20</v>
          </cell>
          <cell r="F893" t="str">
            <v>before AW20</v>
          </cell>
          <cell r="G893" t="str">
            <v>XR Textile</v>
          </cell>
          <cell r="H893" t="str">
            <v>PONCHA</v>
          </cell>
          <cell r="I893" t="str">
            <v>GRS Certified* 83% Post Consumer Recycled Polyester (RM0189) 17% Pre Consumer Recycled Polyamide (RM1084)</v>
          </cell>
          <cell r="M893" t="str">
            <v>6101.90.90.30</v>
          </cell>
          <cell r="N893">
            <v>6101309000</v>
          </cell>
          <cell r="O893">
            <v>6112399000</v>
          </cell>
          <cell r="P893" t="str">
            <v>6211 4390 00</v>
          </cell>
          <cell r="Q893">
            <v>6117109000</v>
          </cell>
          <cell r="R893" t="str">
            <v>6112.39.00</v>
          </cell>
          <cell r="S893">
            <v>6202</v>
          </cell>
        </row>
        <row r="894">
          <cell r="A894" t="str">
            <v>PONCHA-CAB-LG-GREY-R</v>
          </cell>
          <cell r="B894" t="str">
            <v>5.0607E+12</v>
          </cell>
          <cell r="C894" t="str">
            <v>CLOSED</v>
          </cell>
          <cell r="E894">
            <v>20</v>
          </cell>
          <cell r="F894" t="str">
            <v>before AW20</v>
          </cell>
          <cell r="G894" t="str">
            <v>XR Textile</v>
          </cell>
          <cell r="H894" t="str">
            <v>PONCHA</v>
          </cell>
          <cell r="I894" t="str">
            <v>GRS Certified* 83% Post Consumer Recycled Polyester (RM0189) 17% Pre Consumer Recycled Polyamide (RM1084)</v>
          </cell>
          <cell r="M894" t="str">
            <v>6101.90.90.30</v>
          </cell>
          <cell r="N894">
            <v>6101309000</v>
          </cell>
          <cell r="O894">
            <v>6112399000</v>
          </cell>
          <cell r="P894" t="str">
            <v>6211 4390 00</v>
          </cell>
          <cell r="Q894">
            <v>6117109000</v>
          </cell>
          <cell r="R894" t="str">
            <v>6112.39.00</v>
          </cell>
          <cell r="S894">
            <v>6202</v>
          </cell>
        </row>
        <row r="895">
          <cell r="A895" t="str">
            <v>PONCHA-CAB-LG-PINK-R</v>
          </cell>
          <cell r="B895" t="str">
            <v>5.0607E+12</v>
          </cell>
          <cell r="C895" t="str">
            <v>CLOSED</v>
          </cell>
          <cell r="E895">
            <v>20</v>
          </cell>
          <cell r="F895" t="str">
            <v>before AW20</v>
          </cell>
          <cell r="G895" t="str">
            <v>XR Textile</v>
          </cell>
          <cell r="H895" t="str">
            <v>PONCHA</v>
          </cell>
          <cell r="I895" t="str">
            <v>GRS Certified* 83% Post Consumer Recycled Polyester (RM0189) 17% Pre Consumer Recycled Polyamide (RM1084)</v>
          </cell>
          <cell r="M895" t="str">
            <v>6101.90.90.30</v>
          </cell>
          <cell r="N895">
            <v>6101309000</v>
          </cell>
          <cell r="O895">
            <v>6112399000</v>
          </cell>
          <cell r="P895" t="str">
            <v>6211 4390 00</v>
          </cell>
          <cell r="Q895">
            <v>6117109000</v>
          </cell>
          <cell r="R895" t="str">
            <v>6112.39.00</v>
          </cell>
          <cell r="S895">
            <v>6202</v>
          </cell>
        </row>
        <row r="896">
          <cell r="A896" t="str">
            <v>PONCHA-CAB-LG-RED-R</v>
          </cell>
          <cell r="B896" t="str">
            <v>5.0607E+12</v>
          </cell>
          <cell r="C896" t="str">
            <v>CLOSED</v>
          </cell>
          <cell r="E896">
            <v>20</v>
          </cell>
          <cell r="F896" t="str">
            <v>before AW20</v>
          </cell>
          <cell r="G896" t="str">
            <v>XR Textile</v>
          </cell>
          <cell r="H896" t="str">
            <v>PONCHA</v>
          </cell>
          <cell r="I896" t="str">
            <v>GRS Certified* 83% Post Consumer Recycled Polyester (RM0189) 17% Pre Consumer Recycled Polyamide (RM1084)</v>
          </cell>
          <cell r="M896" t="str">
            <v>6101.90.90.30</v>
          </cell>
          <cell r="N896">
            <v>6101309000</v>
          </cell>
          <cell r="O896">
            <v>6112399000</v>
          </cell>
          <cell r="P896" t="str">
            <v>6211 4390 00</v>
          </cell>
          <cell r="Q896">
            <v>6117109000</v>
          </cell>
          <cell r="R896" t="str">
            <v>6112.39.00</v>
          </cell>
          <cell r="S896">
            <v>6202</v>
          </cell>
        </row>
        <row r="897">
          <cell r="A897" t="str">
            <v>PONCHA-CAB-LG-YELL-R</v>
          </cell>
          <cell r="B897" t="str">
            <v>5.0607E+12</v>
          </cell>
          <cell r="C897" t="str">
            <v>CLOSED</v>
          </cell>
          <cell r="E897">
            <v>20</v>
          </cell>
          <cell r="F897" t="str">
            <v>before AW20</v>
          </cell>
          <cell r="G897" t="str">
            <v>XR Textile</v>
          </cell>
          <cell r="H897" t="str">
            <v>PONCHA</v>
          </cell>
          <cell r="I897" t="str">
            <v>GRS Certified* 83% Post Consumer Recycled Polyester (RM0189) 17% Pre Consumer Recycled Polyamide (RM1084)</v>
          </cell>
          <cell r="M897" t="str">
            <v>6101.90.90.30</v>
          </cell>
          <cell r="N897">
            <v>6101309000</v>
          </cell>
          <cell r="O897">
            <v>6112399000</v>
          </cell>
          <cell r="P897" t="str">
            <v>6211 4390 00</v>
          </cell>
          <cell r="Q897">
            <v>6117109000</v>
          </cell>
          <cell r="R897" t="str">
            <v>6112.39.00</v>
          </cell>
          <cell r="S897">
            <v>6202</v>
          </cell>
        </row>
        <row r="898">
          <cell r="A898" t="str">
            <v>PONCHA-CAB-MD-GREEN-R</v>
          </cell>
          <cell r="B898" t="str">
            <v>5.0607E+12</v>
          </cell>
          <cell r="C898" t="str">
            <v>CLOSED</v>
          </cell>
          <cell r="E898">
            <v>20</v>
          </cell>
          <cell r="F898" t="str">
            <v>before AW20</v>
          </cell>
          <cell r="G898" t="str">
            <v>XR Textile</v>
          </cell>
          <cell r="H898" t="str">
            <v>PONCHA</v>
          </cell>
          <cell r="I898" t="str">
            <v>GRS Certified* 83% Post Consumer Recycled Polyester (RM0189) 17% Pre Consumer Recycled Polyamide (RM1084)</v>
          </cell>
          <cell r="M898" t="str">
            <v>6101.90.90.30</v>
          </cell>
          <cell r="N898">
            <v>6101309000</v>
          </cell>
          <cell r="O898">
            <v>6112399000</v>
          </cell>
          <cell r="P898" t="str">
            <v>6211 4390 00</v>
          </cell>
          <cell r="Q898">
            <v>6117109000</v>
          </cell>
          <cell r="R898" t="str">
            <v>6112.39.00</v>
          </cell>
          <cell r="S898">
            <v>6202</v>
          </cell>
        </row>
        <row r="899">
          <cell r="A899" t="str">
            <v>PONCHA-CAB-MD-GREY-R</v>
          </cell>
          <cell r="B899" t="str">
            <v>5.0607E+12</v>
          </cell>
          <cell r="C899" t="str">
            <v>CLOSED</v>
          </cell>
          <cell r="E899">
            <v>20</v>
          </cell>
          <cell r="F899" t="str">
            <v>before AW20</v>
          </cell>
          <cell r="G899" t="str">
            <v>XR Textile</v>
          </cell>
          <cell r="H899" t="str">
            <v>PONCHA</v>
          </cell>
          <cell r="I899" t="str">
            <v>GRS Certified* 83% Post Consumer Recycled Polyester (RM0189) 17% Pre Consumer Recycled Polyamide (RM1084)</v>
          </cell>
          <cell r="M899" t="str">
            <v>6101.90.90.30</v>
          </cell>
          <cell r="N899">
            <v>6101309000</v>
          </cell>
          <cell r="O899">
            <v>6112399000</v>
          </cell>
          <cell r="P899" t="str">
            <v>6211 4390 00</v>
          </cell>
          <cell r="Q899">
            <v>6117109000</v>
          </cell>
          <cell r="R899" t="str">
            <v>6112.39.00</v>
          </cell>
          <cell r="S899">
            <v>6202</v>
          </cell>
        </row>
        <row r="900">
          <cell r="A900" t="str">
            <v>PONCHA-CAB-MD-PINK-R</v>
          </cell>
          <cell r="B900" t="str">
            <v>5.0607E+12</v>
          </cell>
          <cell r="C900" t="str">
            <v>CLOSED</v>
          </cell>
          <cell r="E900">
            <v>20</v>
          </cell>
          <cell r="F900" t="str">
            <v>before AW20</v>
          </cell>
          <cell r="G900" t="str">
            <v>XR Textile</v>
          </cell>
          <cell r="H900" t="str">
            <v>PONCHA</v>
          </cell>
          <cell r="I900" t="str">
            <v>GRS Certified* 83% Post Consumer Recycled Polyester (RM0189) 17% Pre Consumer Recycled Polyamide (RM1084)</v>
          </cell>
          <cell r="M900" t="str">
            <v>6101.90.90.30</v>
          </cell>
          <cell r="N900">
            <v>6101309000</v>
          </cell>
          <cell r="O900">
            <v>6112399000</v>
          </cell>
          <cell r="P900" t="str">
            <v>6211 4390 00</v>
          </cell>
          <cell r="Q900">
            <v>6117109000</v>
          </cell>
          <cell r="R900" t="str">
            <v>6112.39.00</v>
          </cell>
          <cell r="S900">
            <v>6202</v>
          </cell>
        </row>
        <row r="901">
          <cell r="A901" t="str">
            <v>PONCHA-CAB-MD-RED-R</v>
          </cell>
          <cell r="B901" t="str">
            <v>5.0607E+12</v>
          </cell>
          <cell r="C901" t="str">
            <v>CLOSED</v>
          </cell>
          <cell r="E901">
            <v>20</v>
          </cell>
          <cell r="F901" t="str">
            <v>before AW20</v>
          </cell>
          <cell r="G901" t="str">
            <v>XR Textile</v>
          </cell>
          <cell r="H901" t="str">
            <v>PONCHA</v>
          </cell>
          <cell r="I901" t="str">
            <v>GRS Certified* 83% Post Consumer Recycled Polyester (RM0189) 17% Pre Consumer Recycled Polyamide (RM1084)</v>
          </cell>
          <cell r="M901" t="str">
            <v>6101.90.90.30</v>
          </cell>
          <cell r="N901">
            <v>6101309000</v>
          </cell>
          <cell r="O901">
            <v>6112399000</v>
          </cell>
          <cell r="P901" t="str">
            <v>6211 4390 00</v>
          </cell>
          <cell r="Q901">
            <v>6117109000</v>
          </cell>
          <cell r="R901" t="str">
            <v>6112.39.00</v>
          </cell>
          <cell r="S901">
            <v>6202</v>
          </cell>
        </row>
        <row r="902">
          <cell r="A902" t="str">
            <v>PONCHA-CAB-MD-YELL-R</v>
          </cell>
          <cell r="B902" t="str">
            <v>5.0607E+12</v>
          </cell>
          <cell r="C902" t="str">
            <v>CLOSED</v>
          </cell>
          <cell r="E902">
            <v>20</v>
          </cell>
          <cell r="F902" t="str">
            <v>before AW20</v>
          </cell>
          <cell r="G902" t="str">
            <v>XR Textile</v>
          </cell>
          <cell r="H902" t="str">
            <v>PONCHA</v>
          </cell>
          <cell r="I902" t="str">
            <v>GRS Certified* 83% Post Consumer Recycled Polyester (RM0189) 17% Pre Consumer Recycled Polyamide (RM1084)</v>
          </cell>
          <cell r="M902" t="str">
            <v>6101.90.90.30</v>
          </cell>
          <cell r="N902">
            <v>6101309000</v>
          </cell>
          <cell r="O902">
            <v>6112399000</v>
          </cell>
          <cell r="P902" t="str">
            <v>6211 4390 00</v>
          </cell>
          <cell r="Q902">
            <v>6117109000</v>
          </cell>
          <cell r="R902" t="str">
            <v>6112.39.00</v>
          </cell>
          <cell r="S902">
            <v>6202</v>
          </cell>
        </row>
        <row r="903">
          <cell r="A903" t="str">
            <v>PONCHA-CAB-SM-GREEN-R</v>
          </cell>
          <cell r="B903" t="str">
            <v>5.0607E+12</v>
          </cell>
          <cell r="C903" t="str">
            <v>CLOSED</v>
          </cell>
          <cell r="E903">
            <v>20</v>
          </cell>
          <cell r="F903" t="str">
            <v>before AW20</v>
          </cell>
          <cell r="G903" t="str">
            <v>XR Textile</v>
          </cell>
          <cell r="H903" t="str">
            <v>PONCHA</v>
          </cell>
          <cell r="I903" t="str">
            <v>GRS Certified* 83% Post Consumer Recycled Polyester (RM0189) 17% Pre Consumer Recycled Polyamide (RM1084)</v>
          </cell>
          <cell r="M903" t="str">
            <v>6101.90.90.30</v>
          </cell>
          <cell r="N903">
            <v>6101309000</v>
          </cell>
          <cell r="O903">
            <v>6112399000</v>
          </cell>
          <cell r="P903" t="str">
            <v>6211 4390 00</v>
          </cell>
          <cell r="Q903">
            <v>6117109000</v>
          </cell>
          <cell r="R903" t="str">
            <v>6112.39.00</v>
          </cell>
          <cell r="S903">
            <v>6202</v>
          </cell>
        </row>
        <row r="904">
          <cell r="A904" t="str">
            <v>PONCHA-CAB-SM-PINK-R</v>
          </cell>
          <cell r="B904" t="str">
            <v>5.0607E+12</v>
          </cell>
          <cell r="C904" t="str">
            <v>CLOSED</v>
          </cell>
          <cell r="E904">
            <v>20</v>
          </cell>
          <cell r="F904" t="str">
            <v>before AW20</v>
          </cell>
          <cell r="G904" t="str">
            <v>XR Textile</v>
          </cell>
          <cell r="H904" t="str">
            <v>PONCHA</v>
          </cell>
          <cell r="I904" t="str">
            <v>GRS Certified* 83% Post Consumer Recycled Polyester (RM0189) 17% Pre Consumer Recycled Polyamide (RM1084)</v>
          </cell>
          <cell r="M904" t="str">
            <v>6101.90.90.30</v>
          </cell>
          <cell r="N904">
            <v>6101309000</v>
          </cell>
          <cell r="O904">
            <v>6112399000</v>
          </cell>
          <cell r="P904" t="str">
            <v>6211 4390 00</v>
          </cell>
          <cell r="Q904">
            <v>6117109000</v>
          </cell>
          <cell r="R904" t="str">
            <v>6112.39.00</v>
          </cell>
          <cell r="S904">
            <v>6202</v>
          </cell>
        </row>
        <row r="905">
          <cell r="A905" t="str">
            <v>PONCHA-CAB-SM-RED-R</v>
          </cell>
          <cell r="B905" t="str">
            <v>5.0607E+12</v>
          </cell>
          <cell r="C905" t="str">
            <v>CLOSED</v>
          </cell>
          <cell r="E905">
            <v>20</v>
          </cell>
          <cell r="F905" t="str">
            <v>before AW20</v>
          </cell>
          <cell r="G905" t="str">
            <v>XR Textile</v>
          </cell>
          <cell r="H905" t="str">
            <v>PONCHA</v>
          </cell>
          <cell r="I905" t="str">
            <v>GRS Certified* 83% Post Consumer Recycled Polyester (RM0189) 17% Pre Consumer Recycled Polyamide (RM1084)</v>
          </cell>
          <cell r="M905" t="str">
            <v>6101.90.90.30</v>
          </cell>
          <cell r="N905">
            <v>6101309000</v>
          </cell>
          <cell r="O905">
            <v>6112399000</v>
          </cell>
          <cell r="P905" t="str">
            <v>6211 4390 00</v>
          </cell>
          <cell r="Q905">
            <v>6117109000</v>
          </cell>
          <cell r="R905" t="str">
            <v>6112.39.00</v>
          </cell>
          <cell r="S905">
            <v>6202</v>
          </cell>
        </row>
        <row r="906">
          <cell r="A906" t="str">
            <v>PONCHA-CAB-SM-YELL-R</v>
          </cell>
          <cell r="B906" t="str">
            <v>5.0607E+12</v>
          </cell>
          <cell r="C906" t="str">
            <v>CLOSED</v>
          </cell>
          <cell r="E906">
            <v>20</v>
          </cell>
          <cell r="F906" t="str">
            <v>before AW20</v>
          </cell>
          <cell r="G906" t="str">
            <v>XR Textile</v>
          </cell>
          <cell r="H906" t="str">
            <v>PONCHA</v>
          </cell>
          <cell r="I906" t="str">
            <v>GRS Certified* 83% Post Consumer Recycled Polyester (RM0189) 17% Pre Consumer Recycled Polyamide (RM1084)</v>
          </cell>
          <cell r="M906" t="str">
            <v>6101.90.90.30</v>
          </cell>
          <cell r="N906">
            <v>6101309000</v>
          </cell>
          <cell r="O906">
            <v>6112399000</v>
          </cell>
          <cell r="P906" t="str">
            <v>6211 4390 00</v>
          </cell>
          <cell r="Q906">
            <v>6117109000</v>
          </cell>
          <cell r="R906" t="str">
            <v>6112.39.00</v>
          </cell>
          <cell r="S906">
            <v>6202</v>
          </cell>
        </row>
        <row r="907">
          <cell r="A907" t="str">
            <v>PONCHA-CLA-LG-BLACK</v>
          </cell>
          <cell r="B907" t="str">
            <v>5.0607E+12</v>
          </cell>
          <cell r="C907" t="str">
            <v>CLOSED</v>
          </cell>
          <cell r="E907">
            <v>20</v>
          </cell>
          <cell r="F907" t="str">
            <v>SS22</v>
          </cell>
          <cell r="G907" t="str">
            <v>XR Textile</v>
          </cell>
          <cell r="H907" t="str">
            <v>PONCHA</v>
          </cell>
          <cell r="I907" t="str">
            <v>GRS Certified* 83% Post Consumer Recycled Polyester (RM0189) 17% Pre Consumer Recycled Polyamide (RM1084)</v>
          </cell>
          <cell r="M907" t="str">
            <v>6101.90.90.30</v>
          </cell>
          <cell r="N907">
            <v>6101309000</v>
          </cell>
          <cell r="O907">
            <v>6112399000</v>
          </cell>
          <cell r="P907" t="str">
            <v>6211 4390 00</v>
          </cell>
          <cell r="Q907">
            <v>6117109000</v>
          </cell>
          <cell r="R907" t="str">
            <v>6112.39.00</v>
          </cell>
          <cell r="S907">
            <v>6202</v>
          </cell>
        </row>
        <row r="908">
          <cell r="A908" t="str">
            <v>PONCHA-CLA-LG-DKGRN</v>
          </cell>
          <cell r="B908" t="str">
            <v>5.0607E+12</v>
          </cell>
          <cell r="C908" t="str">
            <v>CLOSED</v>
          </cell>
          <cell r="E908">
            <v>20</v>
          </cell>
          <cell r="F908" t="str">
            <v>SS22</v>
          </cell>
          <cell r="G908" t="str">
            <v>XR Textile</v>
          </cell>
          <cell r="H908" t="str">
            <v>PONCHA</v>
          </cell>
          <cell r="I908" t="str">
            <v>GRS Certified* 83% Post Consumer Recycled Polyester (RM0189) 17% Pre Consumer Recycled Polyamide (RM1084)</v>
          </cell>
          <cell r="M908" t="str">
            <v>6101.90.90.30</v>
          </cell>
          <cell r="N908">
            <v>6101309000</v>
          </cell>
          <cell r="O908">
            <v>6112399000</v>
          </cell>
          <cell r="P908" t="str">
            <v>6211 4390 00</v>
          </cell>
          <cell r="Q908">
            <v>6117109000</v>
          </cell>
          <cell r="R908" t="str">
            <v>6112.39.00</v>
          </cell>
          <cell r="S908">
            <v>6202</v>
          </cell>
        </row>
        <row r="909">
          <cell r="A909" t="str">
            <v>PONCHA-CLA-MD-DKGRN</v>
          </cell>
          <cell r="B909" t="str">
            <v>5.0607E+12</v>
          </cell>
          <cell r="C909" t="str">
            <v>CLOSED</v>
          </cell>
          <cell r="E909">
            <v>20</v>
          </cell>
          <cell r="F909" t="str">
            <v>SS22</v>
          </cell>
          <cell r="G909" t="str">
            <v>XR Textile</v>
          </cell>
          <cell r="H909" t="str">
            <v>PONCHA</v>
          </cell>
          <cell r="I909" t="str">
            <v>GRS Certified* 83% Post Consumer Recycled Polyester (RM0189) 17% Pre Consumer Recycled Polyamide (RM1084)</v>
          </cell>
          <cell r="M909" t="str">
            <v>6101.90.90.30</v>
          </cell>
          <cell r="N909">
            <v>6101309000</v>
          </cell>
          <cell r="O909">
            <v>6112399000</v>
          </cell>
          <cell r="P909" t="str">
            <v>6211 4390 00</v>
          </cell>
          <cell r="Q909">
            <v>6117109000</v>
          </cell>
          <cell r="R909" t="str">
            <v>6112.39.00</v>
          </cell>
          <cell r="S909">
            <v>6202</v>
          </cell>
        </row>
        <row r="910">
          <cell r="A910" t="str">
            <v>PONCHA-CLA-SM-DKGRN</v>
          </cell>
          <cell r="B910" t="str">
            <v>5.0607E+12</v>
          </cell>
          <cell r="C910" t="str">
            <v>CLOSED</v>
          </cell>
          <cell r="E910">
            <v>20</v>
          </cell>
          <cell r="F910" t="str">
            <v>SS22</v>
          </cell>
          <cell r="G910" t="str">
            <v>XR Textile</v>
          </cell>
          <cell r="H910" t="str">
            <v>PONCHA</v>
          </cell>
          <cell r="I910" t="str">
            <v>GRS Certified* 83% Post Consumer Recycled Polyester (RM0189) 17% Pre Consumer Recycled Polyamide (RM1084)</v>
          </cell>
          <cell r="M910" t="str">
            <v>6101.90.90.30</v>
          </cell>
          <cell r="N910">
            <v>6101309000</v>
          </cell>
          <cell r="O910">
            <v>6112399000</v>
          </cell>
          <cell r="P910" t="str">
            <v>6211 4390 00</v>
          </cell>
          <cell r="Q910">
            <v>6117109000</v>
          </cell>
          <cell r="R910" t="str">
            <v>6112.39.00</v>
          </cell>
          <cell r="S910">
            <v>6202</v>
          </cell>
        </row>
        <row r="911">
          <cell r="A911" t="str">
            <v>PONCHA-DES-LG-TERATROP</v>
          </cell>
          <cell r="B911" t="str">
            <v>5.061E+12</v>
          </cell>
          <cell r="C911" t="str">
            <v>CLOSED</v>
          </cell>
          <cell r="D911" t="str">
            <v>Seasonal</v>
          </cell>
          <cell r="E911">
            <v>20</v>
          </cell>
          <cell r="F911" t="str">
            <v>SS24</v>
          </cell>
          <cell r="G911" t="str">
            <v>XR Textile</v>
          </cell>
          <cell r="H911" t="str">
            <v>PONCHA</v>
          </cell>
          <cell r="I911" t="str">
            <v>GRS Certified* 83% Post Consumer Recycled Polyester (RM0189) 17% Pre Consumer Recycled Polyamide (RM1084)</v>
          </cell>
          <cell r="M911" t="str">
            <v>6101.90.90.30</v>
          </cell>
          <cell r="N911">
            <v>6101309000</v>
          </cell>
          <cell r="O911">
            <v>6112399000</v>
          </cell>
          <cell r="P911" t="str">
            <v>6211 4390 00</v>
          </cell>
          <cell r="Q911">
            <v>6117109000</v>
          </cell>
          <cell r="R911" t="str">
            <v>6112.39.00</v>
          </cell>
          <cell r="S911">
            <v>6202</v>
          </cell>
        </row>
        <row r="912">
          <cell r="A912" t="str">
            <v>PONCHA-DES-MD-TERATROP</v>
          </cell>
          <cell r="B912" t="str">
            <v>5.061E+12</v>
          </cell>
          <cell r="C912" t="str">
            <v>CLOSED</v>
          </cell>
          <cell r="D912" t="str">
            <v>Seasonal</v>
          </cell>
          <cell r="E912">
            <v>20</v>
          </cell>
          <cell r="F912" t="str">
            <v>SS24</v>
          </cell>
          <cell r="G912" t="str">
            <v>XR Textile</v>
          </cell>
          <cell r="H912" t="str">
            <v>PONCHA</v>
          </cell>
          <cell r="I912" t="str">
            <v>GRS Certified* 83% Post Consumer Recycled Polyester (RM0189) 17% Pre Consumer Recycled Polyamide (RM1084)</v>
          </cell>
          <cell r="M912" t="str">
            <v>6101.90.90.30</v>
          </cell>
          <cell r="N912">
            <v>6101309000</v>
          </cell>
          <cell r="O912">
            <v>6112399000</v>
          </cell>
          <cell r="P912" t="str">
            <v>6211 4390 00</v>
          </cell>
          <cell r="Q912">
            <v>6117109000</v>
          </cell>
          <cell r="R912" t="str">
            <v>6112.39.00</v>
          </cell>
          <cell r="S912">
            <v>6202</v>
          </cell>
        </row>
        <row r="913">
          <cell r="A913" t="str">
            <v>PONCHA-FST-LG-BRT-R</v>
          </cell>
          <cell r="B913" t="str">
            <v>5.0607E+12</v>
          </cell>
          <cell r="C913" t="str">
            <v>CLOSED</v>
          </cell>
          <cell r="E913">
            <v>20</v>
          </cell>
          <cell r="F913" t="str">
            <v>SS21</v>
          </cell>
          <cell r="G913" t="str">
            <v>XR Textile</v>
          </cell>
          <cell r="H913" t="str">
            <v>PONCHA</v>
          </cell>
          <cell r="I913" t="str">
            <v>GRS Certified* 83% Post Consumer Recycled Polyester (RM0189) 17% Pre Consumer Recycled Polyamide (RM1084)</v>
          </cell>
          <cell r="M913" t="str">
            <v>6101.90.90.30</v>
          </cell>
          <cell r="N913">
            <v>6101309000</v>
          </cell>
          <cell r="O913">
            <v>6112399000</v>
          </cell>
          <cell r="P913" t="str">
            <v>6211 4390 00</v>
          </cell>
          <cell r="Q913">
            <v>6117109000</v>
          </cell>
          <cell r="R913" t="str">
            <v>6112.39.00</v>
          </cell>
          <cell r="S913">
            <v>6202</v>
          </cell>
        </row>
        <row r="914">
          <cell r="A914" t="str">
            <v>PONCHA-FST-LG-GRN-R</v>
          </cell>
          <cell r="B914" t="str">
            <v>5.0607E+12</v>
          </cell>
          <cell r="C914" t="str">
            <v>CLOSED</v>
          </cell>
          <cell r="E914">
            <v>20</v>
          </cell>
          <cell r="F914" t="str">
            <v>SS21</v>
          </cell>
          <cell r="G914" t="str">
            <v>XR Textile</v>
          </cell>
          <cell r="H914" t="str">
            <v>PONCHA</v>
          </cell>
          <cell r="I914" t="str">
            <v>GRS Certified* 83% Post Consumer Recycled Polyester (RM0189) 17% Pre Consumer Recycled Polyamide (RM1084)</v>
          </cell>
          <cell r="M914" t="str">
            <v>6101.90.90.30</v>
          </cell>
          <cell r="N914">
            <v>6101309000</v>
          </cell>
          <cell r="O914">
            <v>6112399000</v>
          </cell>
          <cell r="P914" t="str">
            <v>6211 4390 00</v>
          </cell>
          <cell r="Q914">
            <v>6117109000</v>
          </cell>
          <cell r="R914" t="str">
            <v>6112.39.00</v>
          </cell>
          <cell r="S914">
            <v>6202</v>
          </cell>
        </row>
        <row r="915">
          <cell r="A915" t="str">
            <v>PONCHA-FST-LG-GRY-R</v>
          </cell>
          <cell r="B915" t="str">
            <v>5.0607E+12</v>
          </cell>
          <cell r="C915" t="str">
            <v>CLOSED</v>
          </cell>
          <cell r="E915">
            <v>20</v>
          </cell>
          <cell r="F915" t="str">
            <v>SS21</v>
          </cell>
          <cell r="G915" t="str">
            <v>XR Textile</v>
          </cell>
          <cell r="H915" t="str">
            <v>PONCHA</v>
          </cell>
          <cell r="I915" t="str">
            <v>GRS Certified* 83% Post Consumer Recycled Polyester (RM0189) 17% Pre Consumer Recycled Polyamide (RM1084)</v>
          </cell>
          <cell r="M915" t="str">
            <v>6101.90.90.30</v>
          </cell>
          <cell r="N915">
            <v>6101309000</v>
          </cell>
          <cell r="O915">
            <v>6112399000</v>
          </cell>
          <cell r="P915" t="str">
            <v>6211 4390 00</v>
          </cell>
          <cell r="Q915">
            <v>6117109000</v>
          </cell>
          <cell r="R915" t="str">
            <v>6112.39.00</v>
          </cell>
          <cell r="S915">
            <v>6202</v>
          </cell>
        </row>
        <row r="916">
          <cell r="A916" t="str">
            <v>PONCHA-FST-LG-NVY-R</v>
          </cell>
          <cell r="B916" t="str">
            <v>5.0607E+12</v>
          </cell>
          <cell r="C916" t="str">
            <v>CLOSED</v>
          </cell>
          <cell r="E916">
            <v>20</v>
          </cell>
          <cell r="F916" t="str">
            <v>SS21</v>
          </cell>
          <cell r="G916" t="str">
            <v>XR Textile</v>
          </cell>
          <cell r="H916" t="str">
            <v>PONCHA</v>
          </cell>
          <cell r="I916" t="str">
            <v>GRS Certified* 83% Post Consumer Recycled Polyester (RM0189) 17% Pre Consumer Recycled Polyamide (RM1084)</v>
          </cell>
          <cell r="M916" t="str">
            <v>6101.90.90.30</v>
          </cell>
          <cell r="N916">
            <v>6101309000</v>
          </cell>
          <cell r="O916">
            <v>6112399000</v>
          </cell>
          <cell r="P916" t="str">
            <v>6211 4390 00</v>
          </cell>
          <cell r="Q916">
            <v>6117109000</v>
          </cell>
          <cell r="R916" t="str">
            <v>6112.39.00</v>
          </cell>
          <cell r="S916">
            <v>6202</v>
          </cell>
        </row>
        <row r="917">
          <cell r="A917" t="str">
            <v>PONCHA-FST-LG-PNK-R</v>
          </cell>
          <cell r="B917" t="str">
            <v>5.0607E+12</v>
          </cell>
          <cell r="C917" t="str">
            <v>CLOSED</v>
          </cell>
          <cell r="E917">
            <v>20</v>
          </cell>
          <cell r="F917" t="str">
            <v>SS21</v>
          </cell>
          <cell r="G917" t="str">
            <v>XR Textile</v>
          </cell>
          <cell r="H917" t="str">
            <v>PONCHA</v>
          </cell>
          <cell r="I917" t="str">
            <v>GRS Certified* 83% Post Consumer Recycled Polyester (RM0189) 17% Pre Consumer Recycled Polyamide (RM1084)</v>
          </cell>
          <cell r="M917" t="str">
            <v>6101.90.90.30</v>
          </cell>
          <cell r="N917">
            <v>6101309000</v>
          </cell>
          <cell r="O917">
            <v>6112399000</v>
          </cell>
          <cell r="P917" t="str">
            <v>6211 4390 00</v>
          </cell>
          <cell r="Q917">
            <v>6117109000</v>
          </cell>
          <cell r="R917" t="str">
            <v>6112.39.00</v>
          </cell>
          <cell r="S917">
            <v>6202</v>
          </cell>
        </row>
        <row r="918">
          <cell r="A918" t="str">
            <v>PONCHA-FST-MD-BRT-R</v>
          </cell>
          <cell r="B918" t="str">
            <v>5.0607E+12</v>
          </cell>
          <cell r="C918" t="str">
            <v>CLOSED</v>
          </cell>
          <cell r="E918">
            <v>20</v>
          </cell>
          <cell r="F918" t="str">
            <v>SS21</v>
          </cell>
          <cell r="G918" t="str">
            <v>XR Textile</v>
          </cell>
          <cell r="H918" t="str">
            <v>PONCHA</v>
          </cell>
          <cell r="I918" t="str">
            <v>GRS Certified* 83% Post Consumer Recycled Polyester (RM0189) 17% Pre Consumer Recycled Polyamide (RM1084)</v>
          </cell>
          <cell r="M918" t="str">
            <v>6101.90.90.30</v>
          </cell>
          <cell r="N918">
            <v>6101309000</v>
          </cell>
          <cell r="O918">
            <v>6112399000</v>
          </cell>
          <cell r="P918" t="str">
            <v>6211 4390 00</v>
          </cell>
          <cell r="Q918">
            <v>6117109000</v>
          </cell>
          <cell r="R918" t="str">
            <v>6112.39.00</v>
          </cell>
          <cell r="S918">
            <v>6202</v>
          </cell>
        </row>
        <row r="919">
          <cell r="A919" t="str">
            <v>PONCHA-FST-MD-GRN-R</v>
          </cell>
          <cell r="B919" t="str">
            <v>5.0607E+12</v>
          </cell>
          <cell r="C919" t="str">
            <v>CLOSED</v>
          </cell>
          <cell r="E919">
            <v>20</v>
          </cell>
          <cell r="F919" t="str">
            <v>SS21</v>
          </cell>
          <cell r="G919" t="str">
            <v>XR Textile</v>
          </cell>
          <cell r="H919" t="str">
            <v>PONCHA</v>
          </cell>
          <cell r="I919" t="str">
            <v>GRS Certified* 83% Post Consumer Recycled Polyester (RM0189) 17% Pre Consumer Recycled Polyamide (RM1084)</v>
          </cell>
          <cell r="M919" t="str">
            <v>6101.90.90.30</v>
          </cell>
          <cell r="N919">
            <v>6101309000</v>
          </cell>
          <cell r="O919">
            <v>6112399000</v>
          </cell>
          <cell r="P919" t="str">
            <v>6211 4390 00</v>
          </cell>
          <cell r="Q919">
            <v>6117109000</v>
          </cell>
          <cell r="R919" t="str">
            <v>6112.39.00</v>
          </cell>
          <cell r="S919">
            <v>6202</v>
          </cell>
        </row>
        <row r="920">
          <cell r="A920" t="str">
            <v>PONCHA-FST-MD-GRY-R</v>
          </cell>
          <cell r="B920" t="str">
            <v>5.0607E+12</v>
          </cell>
          <cell r="C920" t="str">
            <v>CLOSED</v>
          </cell>
          <cell r="E920">
            <v>20</v>
          </cell>
          <cell r="F920" t="str">
            <v>SS21</v>
          </cell>
          <cell r="G920" t="str">
            <v>XR Textile</v>
          </cell>
          <cell r="H920" t="str">
            <v>PONCHA</v>
          </cell>
          <cell r="I920" t="str">
            <v>GRS Certified* 83% Post Consumer Recycled Polyester (RM0189) 17% Pre Consumer Recycled Polyamide (RM1084)</v>
          </cell>
          <cell r="M920" t="str">
            <v>6101.90.90.30</v>
          </cell>
          <cell r="N920">
            <v>6101309000</v>
          </cell>
          <cell r="O920">
            <v>6112399000</v>
          </cell>
          <cell r="P920" t="str">
            <v>6211 4390 00</v>
          </cell>
          <cell r="Q920">
            <v>6117109000</v>
          </cell>
          <cell r="R920" t="str">
            <v>6112.39.00</v>
          </cell>
          <cell r="S920">
            <v>6202</v>
          </cell>
        </row>
        <row r="921">
          <cell r="A921" t="str">
            <v>PONCHA-FST-MD-NVY-R</v>
          </cell>
          <cell r="B921" t="str">
            <v>5.0607E+12</v>
          </cell>
          <cell r="C921" t="str">
            <v>CLOSED</v>
          </cell>
          <cell r="E921">
            <v>20</v>
          </cell>
          <cell r="F921" t="str">
            <v>SS21</v>
          </cell>
          <cell r="G921" t="str">
            <v>XR Textile</v>
          </cell>
          <cell r="H921" t="str">
            <v>PONCHA</v>
          </cell>
          <cell r="I921" t="str">
            <v>GRS Certified* 83% Post Consumer Recycled Polyester (RM0189) 17% Pre Consumer Recycled Polyamide (RM1084)</v>
          </cell>
          <cell r="M921" t="str">
            <v>6101.90.90.30</v>
          </cell>
          <cell r="N921">
            <v>6101309000</v>
          </cell>
          <cell r="O921">
            <v>6112399000</v>
          </cell>
          <cell r="P921" t="str">
            <v>6211 4390 00</v>
          </cell>
          <cell r="Q921">
            <v>6117109000</v>
          </cell>
          <cell r="R921" t="str">
            <v>6112.39.00</v>
          </cell>
          <cell r="S921">
            <v>6202</v>
          </cell>
        </row>
        <row r="922">
          <cell r="A922" t="str">
            <v>PONCHA-FST-MD-PNK-R</v>
          </cell>
          <cell r="B922" t="str">
            <v>5.0607E+12</v>
          </cell>
          <cell r="C922" t="str">
            <v>CLOSED</v>
          </cell>
          <cell r="E922">
            <v>20</v>
          </cell>
          <cell r="F922" t="str">
            <v>SS21</v>
          </cell>
          <cell r="G922" t="str">
            <v>XR Textile</v>
          </cell>
          <cell r="H922" t="str">
            <v>PONCHA</v>
          </cell>
          <cell r="I922" t="str">
            <v>GRS Certified* 83% Post Consumer Recycled Polyester (RM0189) 17% Pre Consumer Recycled Polyamide (RM1084)</v>
          </cell>
          <cell r="M922" t="str">
            <v>6101.90.90.30</v>
          </cell>
          <cell r="N922">
            <v>6101309000</v>
          </cell>
          <cell r="O922">
            <v>6112399000</v>
          </cell>
          <cell r="P922" t="str">
            <v>6211 4390 00</v>
          </cell>
          <cell r="Q922">
            <v>6117109000</v>
          </cell>
          <cell r="R922" t="str">
            <v>6112.39.00</v>
          </cell>
          <cell r="S922">
            <v>6202</v>
          </cell>
        </row>
        <row r="923">
          <cell r="A923" t="str">
            <v>PONCHA-FST-SM-BRT-R</v>
          </cell>
          <cell r="B923" t="str">
            <v>5.0607E+12</v>
          </cell>
          <cell r="C923" t="str">
            <v>CLOSED</v>
          </cell>
          <cell r="E923">
            <v>20</v>
          </cell>
          <cell r="F923" t="str">
            <v>SS21</v>
          </cell>
          <cell r="G923" t="str">
            <v>XR Textile</v>
          </cell>
          <cell r="H923" t="str">
            <v>PONCHA</v>
          </cell>
          <cell r="I923" t="str">
            <v>GRS Certified* 83% Post Consumer Recycled Polyester (RM0189) 17% Pre Consumer Recycled Polyamide (RM1084)</v>
          </cell>
          <cell r="M923" t="str">
            <v>6101.90.90.30</v>
          </cell>
          <cell r="N923">
            <v>6101309000</v>
          </cell>
          <cell r="O923">
            <v>6112399000</v>
          </cell>
          <cell r="P923" t="str">
            <v>6211 4390 00</v>
          </cell>
          <cell r="Q923">
            <v>6117109000</v>
          </cell>
          <cell r="R923" t="str">
            <v>6112.39.00</v>
          </cell>
          <cell r="S923">
            <v>6202</v>
          </cell>
        </row>
        <row r="924">
          <cell r="A924" t="str">
            <v>PONCHA-FST-SM-GRN-R</v>
          </cell>
          <cell r="B924" t="str">
            <v>5.0607E+12</v>
          </cell>
          <cell r="C924" t="str">
            <v>CLOSED</v>
          </cell>
          <cell r="E924">
            <v>20</v>
          </cell>
          <cell r="F924" t="str">
            <v>SS21</v>
          </cell>
          <cell r="G924" t="str">
            <v>XR Textile</v>
          </cell>
          <cell r="H924" t="str">
            <v>PONCHA</v>
          </cell>
          <cell r="I924" t="str">
            <v>GRS Certified* 83% Post Consumer Recycled Polyester (RM0189) 17% Pre Consumer Recycled Polyamide (RM1084)</v>
          </cell>
          <cell r="M924" t="str">
            <v>6101.90.90.30</v>
          </cell>
          <cell r="N924">
            <v>6101309000</v>
          </cell>
          <cell r="O924">
            <v>6112399000</v>
          </cell>
          <cell r="P924" t="str">
            <v>6211 4390 00</v>
          </cell>
          <cell r="Q924">
            <v>6117109000</v>
          </cell>
          <cell r="R924" t="str">
            <v>6112.39.00</v>
          </cell>
          <cell r="S924">
            <v>6202</v>
          </cell>
        </row>
        <row r="925">
          <cell r="A925" t="str">
            <v>PONCHA-FST-SM-NVY-R</v>
          </cell>
          <cell r="B925" t="str">
            <v>5.0607E+12</v>
          </cell>
          <cell r="C925" t="str">
            <v>CLOSED</v>
          </cell>
          <cell r="E925">
            <v>20</v>
          </cell>
          <cell r="F925" t="str">
            <v>SS21</v>
          </cell>
          <cell r="G925" t="str">
            <v>XR Textile</v>
          </cell>
          <cell r="H925" t="str">
            <v>PONCHA</v>
          </cell>
          <cell r="I925" t="str">
            <v>GRS Certified* 83% Post Consumer Recycled Polyester (RM0189) 17% Pre Consumer Recycled Polyamide (RM1084)</v>
          </cell>
          <cell r="M925" t="str">
            <v>6101.90.90.30</v>
          </cell>
          <cell r="N925">
            <v>6101309000</v>
          </cell>
          <cell r="O925">
            <v>6112399000</v>
          </cell>
          <cell r="P925" t="str">
            <v>6211 4390 00</v>
          </cell>
          <cell r="Q925">
            <v>6117109000</v>
          </cell>
          <cell r="R925" t="str">
            <v>6112.39.00</v>
          </cell>
          <cell r="S925">
            <v>6202</v>
          </cell>
        </row>
        <row r="926">
          <cell r="A926" t="str">
            <v>PONCHA-FST-SM-PNK-R</v>
          </cell>
          <cell r="B926" t="str">
            <v>5.0607E+12</v>
          </cell>
          <cell r="C926" t="str">
            <v>CLOSED</v>
          </cell>
          <cell r="E926">
            <v>20</v>
          </cell>
          <cell r="F926" t="str">
            <v>SS21</v>
          </cell>
          <cell r="G926" t="str">
            <v>XR Textile</v>
          </cell>
          <cell r="H926" t="str">
            <v>PONCHA</v>
          </cell>
          <cell r="I926" t="str">
            <v>GRS Certified* 83% Post Consumer Recycled Polyester (RM0189) 17% Pre Consumer Recycled Polyamide (RM1084)</v>
          </cell>
          <cell r="M926" t="str">
            <v>6101.90.90.30</v>
          </cell>
          <cell r="N926">
            <v>6101309000</v>
          </cell>
          <cell r="O926">
            <v>6112399000</v>
          </cell>
          <cell r="P926" t="str">
            <v>6211 4390 00</v>
          </cell>
          <cell r="Q926">
            <v>6117109000</v>
          </cell>
          <cell r="R926" t="str">
            <v>6112.39.00</v>
          </cell>
          <cell r="S926">
            <v>6202</v>
          </cell>
        </row>
        <row r="927">
          <cell r="A927" t="str">
            <v>PONCHA-MAR-SM-BLUE</v>
          </cell>
          <cell r="B927" t="str">
            <v>5.0607E+12</v>
          </cell>
          <cell r="C927" t="str">
            <v>CLOSED</v>
          </cell>
          <cell r="E927">
            <v>20</v>
          </cell>
          <cell r="F927" t="str">
            <v>SS23</v>
          </cell>
          <cell r="G927" t="str">
            <v>XR Textile</v>
          </cell>
          <cell r="H927" t="str">
            <v>PONCHA</v>
          </cell>
          <cell r="I927" t="str">
            <v>GRS Certified* 83% Post Consumer Recycled Polyester (RM0189) 17% Pre Consumer Recycled Polyamide (RM1084)</v>
          </cell>
          <cell r="M927" t="str">
            <v>6101.90.90.30</v>
          </cell>
          <cell r="N927">
            <v>6101309000</v>
          </cell>
          <cell r="O927">
            <v>6112399000</v>
          </cell>
          <cell r="P927" t="str">
            <v>6211 4390 00</v>
          </cell>
          <cell r="Q927">
            <v>6117109000</v>
          </cell>
          <cell r="R927" t="str">
            <v>6112.39.00</v>
          </cell>
          <cell r="S927">
            <v>6202</v>
          </cell>
        </row>
        <row r="928">
          <cell r="A928" t="str">
            <v>PONCHA-MAR-SM-PINK</v>
          </cell>
          <cell r="B928" t="str">
            <v>5.0607E+12</v>
          </cell>
          <cell r="C928" t="str">
            <v>CLOSED</v>
          </cell>
          <cell r="E928">
            <v>20</v>
          </cell>
          <cell r="F928" t="str">
            <v>SS23</v>
          </cell>
          <cell r="G928" t="str">
            <v>XR Textile</v>
          </cell>
          <cell r="H928" t="str">
            <v>PONCHA</v>
          </cell>
          <cell r="I928" t="str">
            <v>GRS Certified* 83% Post Consumer Recycled Polyester (RM0189) 17% Pre Consumer Recycled Polyamide (RM1084)</v>
          </cell>
          <cell r="M928" t="str">
            <v>6101.90.90.30</v>
          </cell>
          <cell r="N928">
            <v>6101309000</v>
          </cell>
          <cell r="O928">
            <v>6112399000</v>
          </cell>
          <cell r="P928" t="str">
            <v>6211 4390 00</v>
          </cell>
          <cell r="Q928">
            <v>6117109000</v>
          </cell>
          <cell r="R928" t="str">
            <v>6112.39.00</v>
          </cell>
          <cell r="S928">
            <v>6202</v>
          </cell>
        </row>
        <row r="929">
          <cell r="A929" t="str">
            <v>PONCHA-SGW-LG-GETWAV</v>
          </cell>
          <cell r="B929" t="str">
            <v>5.0607E+12</v>
          </cell>
          <cell r="C929" t="str">
            <v>CLOSED</v>
          </cell>
          <cell r="D929" t="str">
            <v>Seasonal</v>
          </cell>
          <cell r="E929">
            <v>20</v>
          </cell>
          <cell r="F929" t="str">
            <v>SS23</v>
          </cell>
          <cell r="G929" t="str">
            <v>XR Textile</v>
          </cell>
          <cell r="H929" t="str">
            <v>PONCHA</v>
          </cell>
          <cell r="I929" t="str">
            <v>GRS Certified* 83% Post Consumer Recycled Polyester (RM0189) 17% Pre Consumer Recycled Polyamide (RM1084)</v>
          </cell>
          <cell r="M929" t="str">
            <v>6101.90.90.30</v>
          </cell>
          <cell r="N929">
            <v>6101309000</v>
          </cell>
          <cell r="O929">
            <v>6112399000</v>
          </cell>
          <cell r="P929" t="str">
            <v>6211 4390 00</v>
          </cell>
          <cell r="Q929">
            <v>6117109000</v>
          </cell>
          <cell r="R929" t="str">
            <v>6112.39.00</v>
          </cell>
          <cell r="S929">
            <v>6202</v>
          </cell>
        </row>
        <row r="930">
          <cell r="A930" t="str">
            <v>PONCHA-SGW-LG-RISSUN</v>
          </cell>
          <cell r="B930" t="str">
            <v>5.0607E+12</v>
          </cell>
          <cell r="C930" t="str">
            <v>CLOSED</v>
          </cell>
          <cell r="E930">
            <v>20</v>
          </cell>
          <cell r="F930" t="str">
            <v>SS23</v>
          </cell>
          <cell r="G930" t="str">
            <v>XR Textile</v>
          </cell>
          <cell r="H930" t="str">
            <v>PONCHA</v>
          </cell>
          <cell r="I930" t="str">
            <v>GRS Certified* 83% Post Consumer Recycled Polyester (RM0189) 17% Pre Consumer Recycled Polyamide (RM1084)</v>
          </cell>
          <cell r="M930" t="str">
            <v>6101.90.90.30</v>
          </cell>
          <cell r="N930">
            <v>6101309000</v>
          </cell>
          <cell r="O930">
            <v>6112399000</v>
          </cell>
          <cell r="P930" t="str">
            <v>6211 4390 00</v>
          </cell>
          <cell r="Q930">
            <v>6117109000</v>
          </cell>
          <cell r="R930" t="str">
            <v>6112.39.00</v>
          </cell>
          <cell r="S930">
            <v>6202</v>
          </cell>
        </row>
        <row r="931">
          <cell r="A931" t="str">
            <v>PONCHA-SGW-MD-GETWAV</v>
          </cell>
          <cell r="B931" t="str">
            <v>5.0607E+12</v>
          </cell>
          <cell r="C931" t="str">
            <v>CLOSED</v>
          </cell>
          <cell r="D931" t="str">
            <v>Seasonal</v>
          </cell>
          <cell r="E931">
            <v>20</v>
          </cell>
          <cell r="F931" t="str">
            <v>SS23</v>
          </cell>
          <cell r="G931" t="str">
            <v>XR Textile</v>
          </cell>
          <cell r="H931" t="str">
            <v>PONCHA</v>
          </cell>
          <cell r="I931" t="str">
            <v>GRS Certified* 83% Post Consumer Recycled Polyester (RM0189) 17% Pre Consumer Recycled Polyamide (RM1084)</v>
          </cell>
          <cell r="M931" t="str">
            <v>6101.90.90.30</v>
          </cell>
          <cell r="N931">
            <v>6101309000</v>
          </cell>
          <cell r="O931">
            <v>6112399000</v>
          </cell>
          <cell r="P931" t="str">
            <v>6211 4390 00</v>
          </cell>
          <cell r="Q931">
            <v>6117109000</v>
          </cell>
          <cell r="R931" t="str">
            <v>6112.39.00</v>
          </cell>
          <cell r="S931">
            <v>6202</v>
          </cell>
        </row>
        <row r="932">
          <cell r="A932" t="str">
            <v>PONCHA-SGW-MD-RISSUN</v>
          </cell>
          <cell r="B932" t="str">
            <v>5.0607E+12</v>
          </cell>
          <cell r="C932" t="str">
            <v>CLOSED</v>
          </cell>
          <cell r="E932">
            <v>20</v>
          </cell>
          <cell r="F932" t="str">
            <v>SS23</v>
          </cell>
          <cell r="G932" t="str">
            <v>XR Textile</v>
          </cell>
          <cell r="H932" t="str">
            <v>PONCHA</v>
          </cell>
          <cell r="I932" t="str">
            <v>GRS Certified* 83% Post Consumer Recycled Polyester (RM0189) 17% Pre Consumer Recycled Polyamide (RM1084)</v>
          </cell>
          <cell r="M932" t="str">
            <v>6101.90.90.30</v>
          </cell>
          <cell r="N932">
            <v>6101309000</v>
          </cell>
          <cell r="O932">
            <v>6112399000</v>
          </cell>
          <cell r="P932" t="str">
            <v>6211 4390 00</v>
          </cell>
          <cell r="Q932">
            <v>6117109000</v>
          </cell>
          <cell r="R932" t="str">
            <v>6112.39.00</v>
          </cell>
          <cell r="S932">
            <v>6202</v>
          </cell>
        </row>
        <row r="933">
          <cell r="A933" t="str">
            <v>PONCHA-SGW-SM-GETWAV</v>
          </cell>
          <cell r="B933" t="str">
            <v>5.0607E+12</v>
          </cell>
          <cell r="C933" t="str">
            <v>CLOSED</v>
          </cell>
          <cell r="E933">
            <v>20</v>
          </cell>
          <cell r="F933" t="str">
            <v>SS23</v>
          </cell>
          <cell r="G933" t="str">
            <v>XR Textile</v>
          </cell>
          <cell r="H933" t="str">
            <v>PONCHA</v>
          </cell>
          <cell r="I933" t="str">
            <v>GRS Certified* 83% Post Consumer Recycled Polyester (RM0189) 17% Pre Consumer Recycled Polyamide (RM1084)</v>
          </cell>
          <cell r="M933" t="str">
            <v>6101.90.90.30</v>
          </cell>
          <cell r="N933">
            <v>6101309000</v>
          </cell>
          <cell r="O933">
            <v>6112399000</v>
          </cell>
          <cell r="P933" t="str">
            <v>6211 4390 00</v>
          </cell>
          <cell r="Q933">
            <v>6117109000</v>
          </cell>
          <cell r="R933" t="str">
            <v>6112.39.00</v>
          </cell>
          <cell r="S933">
            <v>6202</v>
          </cell>
        </row>
        <row r="934">
          <cell r="A934" t="str">
            <v>PONCHA-SGW-SM-RISSUN</v>
          </cell>
          <cell r="B934" t="str">
            <v>5.0607E+12</v>
          </cell>
          <cell r="C934" t="str">
            <v>CLOSED</v>
          </cell>
          <cell r="E934">
            <v>20</v>
          </cell>
          <cell r="F934" t="str">
            <v>SS23</v>
          </cell>
          <cell r="G934" t="str">
            <v>XR Textile</v>
          </cell>
          <cell r="H934" t="str">
            <v>PONCHA</v>
          </cell>
          <cell r="I934" t="str">
            <v>GRS Certified* 83% Post Consumer Recycled Polyester (RM0189) 17% Pre Consumer Recycled Polyamide (RM1084)</v>
          </cell>
          <cell r="M934" t="str">
            <v>6101.90.90.30</v>
          </cell>
          <cell r="N934">
            <v>6101309000</v>
          </cell>
          <cell r="O934">
            <v>6112399000</v>
          </cell>
          <cell r="P934" t="str">
            <v>6211 4390 00</v>
          </cell>
          <cell r="Q934">
            <v>6117109000</v>
          </cell>
          <cell r="R934" t="str">
            <v>6112.39.00</v>
          </cell>
          <cell r="S934">
            <v>6202</v>
          </cell>
        </row>
        <row r="935">
          <cell r="A935" t="str">
            <v>PONCHA-SUM-MD-PCHSUN</v>
          </cell>
          <cell r="B935" t="str">
            <v>5.061E+12</v>
          </cell>
          <cell r="C935" t="str">
            <v>CLOSED</v>
          </cell>
          <cell r="D935" t="str">
            <v>Seasonal</v>
          </cell>
          <cell r="E935">
            <v>20</v>
          </cell>
          <cell r="F935" t="str">
            <v>SS24</v>
          </cell>
          <cell r="G935" t="str">
            <v>XR Textile</v>
          </cell>
          <cell r="H935" t="str">
            <v>PONCHA</v>
          </cell>
          <cell r="I935" t="str">
            <v>GRS Certified* 83% Post Consumer Recycled Polyester (RM0189) 17% Pre Consumer Recycled Polyamide (RM1084)</v>
          </cell>
          <cell r="M935" t="str">
            <v>6101.90.90.30</v>
          </cell>
          <cell r="N935">
            <v>6101309000</v>
          </cell>
          <cell r="O935">
            <v>6112399000</v>
          </cell>
          <cell r="P935" t="str">
            <v>6211 4390 00</v>
          </cell>
          <cell r="Q935">
            <v>6117109000</v>
          </cell>
          <cell r="R935" t="str">
            <v>6112.39.00</v>
          </cell>
          <cell r="S935">
            <v>6202</v>
          </cell>
        </row>
        <row r="936">
          <cell r="A936" t="str">
            <v>PONCHK-CAB-MD-BLUE-R</v>
          </cell>
          <cell r="B936" t="str">
            <v>5.0607E+12</v>
          </cell>
          <cell r="C936" t="str">
            <v>CLOSED</v>
          </cell>
          <cell r="D936" t="str">
            <v>Core</v>
          </cell>
          <cell r="E936">
            <v>30</v>
          </cell>
          <cell r="F936" t="str">
            <v>before AW20</v>
          </cell>
          <cell r="G936" t="str">
            <v>XR Textile</v>
          </cell>
          <cell r="H936" t="str">
            <v>PONCHK</v>
          </cell>
          <cell r="I936" t="str">
            <v>GRS Certified* 83% Post Consumer Recycled Polyester (RM0189) 17% Pre Consumer Recycled Polyamide (RM1084)</v>
          </cell>
          <cell r="M936" t="str">
            <v>6101.90.90.30</v>
          </cell>
          <cell r="N936">
            <v>6101309000</v>
          </cell>
          <cell r="O936">
            <v>6112399000</v>
          </cell>
          <cell r="P936" t="str">
            <v>6211 4390 00</v>
          </cell>
          <cell r="Q936">
            <v>6117109000</v>
          </cell>
          <cell r="R936" t="str">
            <v>6112.39.00</v>
          </cell>
          <cell r="S936">
            <v>6202</v>
          </cell>
        </row>
        <row r="937">
          <cell r="A937" t="str">
            <v>PONCHK-CAB-MD-GREEN-R</v>
          </cell>
          <cell r="B937" t="str">
            <v>5.0607E+12</v>
          </cell>
          <cell r="C937" t="str">
            <v>CLOSED</v>
          </cell>
          <cell r="E937">
            <v>30</v>
          </cell>
          <cell r="F937" t="str">
            <v>before AW20</v>
          </cell>
          <cell r="G937" t="str">
            <v>XR Textile</v>
          </cell>
          <cell r="H937" t="str">
            <v>PONCHK</v>
          </cell>
          <cell r="I937" t="str">
            <v>GRS Certified* 83% Post Consumer Recycled Polyester (RM0189) 17% Pre Consumer Recycled Polyamide (RM1084)</v>
          </cell>
          <cell r="M937" t="str">
            <v>6101.90.90.30</v>
          </cell>
          <cell r="N937">
            <v>6101309000</v>
          </cell>
          <cell r="O937">
            <v>6112399000</v>
          </cell>
          <cell r="P937" t="str">
            <v>6211 4390 00</v>
          </cell>
          <cell r="Q937">
            <v>6117109000</v>
          </cell>
          <cell r="R937" t="str">
            <v>6112.39.00</v>
          </cell>
          <cell r="S937">
            <v>6202</v>
          </cell>
        </row>
        <row r="938">
          <cell r="A938" t="str">
            <v>PONCHK-CAB-MD-GREY-R</v>
          </cell>
          <cell r="B938" t="str">
            <v>5.0607E+12</v>
          </cell>
          <cell r="C938" t="str">
            <v>CLOSED</v>
          </cell>
          <cell r="E938">
            <v>30</v>
          </cell>
          <cell r="F938" t="str">
            <v>before AW20</v>
          </cell>
          <cell r="G938" t="str">
            <v>XR Textile</v>
          </cell>
          <cell r="H938" t="str">
            <v>PONCHK</v>
          </cell>
          <cell r="I938" t="str">
            <v>GRS Certified* 83% Post Consumer Recycled Polyester (RM0189) 17% Pre Consumer Recycled Polyamide (RM1084)</v>
          </cell>
          <cell r="M938" t="str">
            <v>6101.90.90.30</v>
          </cell>
          <cell r="N938">
            <v>6101309000</v>
          </cell>
          <cell r="O938">
            <v>6112399000</v>
          </cell>
          <cell r="P938" t="str">
            <v>6211 4390 00</v>
          </cell>
          <cell r="Q938">
            <v>6117109000</v>
          </cell>
          <cell r="R938" t="str">
            <v>6112.39.00</v>
          </cell>
          <cell r="S938">
            <v>6202</v>
          </cell>
        </row>
        <row r="939">
          <cell r="A939" t="str">
            <v>PONCHK-CAB-MD-NAVY</v>
          </cell>
          <cell r="B939" t="str">
            <v>5.0607E+12</v>
          </cell>
          <cell r="C939" t="str">
            <v>CLOSED</v>
          </cell>
          <cell r="D939" t="str">
            <v>Core</v>
          </cell>
          <cell r="E939">
            <v>30</v>
          </cell>
          <cell r="F939" t="str">
            <v>SS23</v>
          </cell>
          <cell r="G939" t="str">
            <v>XR Textile</v>
          </cell>
          <cell r="H939" t="str">
            <v>PONCHK</v>
          </cell>
          <cell r="I939" t="str">
            <v>GRS Certified* 83% Post Consumer Recycled Polyester (RM0189) 17% Pre Consumer Recycled Polyamide (RM1084)</v>
          </cell>
          <cell r="M939" t="str">
            <v>6101.90.90.30</v>
          </cell>
          <cell r="N939">
            <v>6101309000</v>
          </cell>
          <cell r="O939">
            <v>6112399000</v>
          </cell>
          <cell r="P939" t="str">
            <v>6211 4390 00</v>
          </cell>
          <cell r="Q939">
            <v>6117109000</v>
          </cell>
          <cell r="R939" t="str">
            <v>6112.39.00</v>
          </cell>
          <cell r="S939">
            <v>6202</v>
          </cell>
        </row>
        <row r="940">
          <cell r="A940" t="str">
            <v>PONCHK-CAB-MD-PINK-R</v>
          </cell>
          <cell r="B940" t="str">
            <v>5.0607E+12</v>
          </cell>
          <cell r="C940" t="str">
            <v>CLOSED</v>
          </cell>
          <cell r="E940">
            <v>30</v>
          </cell>
          <cell r="F940" t="str">
            <v>before AW20</v>
          </cell>
          <cell r="G940" t="str">
            <v>XR Textile</v>
          </cell>
          <cell r="H940" t="str">
            <v>PONCHK</v>
          </cell>
          <cell r="I940" t="str">
            <v>GRS Certified* 83% Post Consumer Recycled Polyester (RM0189) 17% Pre Consumer Recycled Polyamide (RM1084)</v>
          </cell>
          <cell r="M940" t="str">
            <v>6101.90.90.30</v>
          </cell>
          <cell r="N940">
            <v>6101309000</v>
          </cell>
          <cell r="O940">
            <v>6112399000</v>
          </cell>
          <cell r="P940" t="str">
            <v>6211 4390 00</v>
          </cell>
          <cell r="Q940">
            <v>6117109000</v>
          </cell>
          <cell r="R940" t="str">
            <v>6112.39.00</v>
          </cell>
          <cell r="S940">
            <v>6202</v>
          </cell>
        </row>
        <row r="941">
          <cell r="A941" t="str">
            <v>PONCHK-CAB-MD-RED-R</v>
          </cell>
          <cell r="B941" t="str">
            <v>5.0607E+12</v>
          </cell>
          <cell r="C941" t="str">
            <v>CLOSED</v>
          </cell>
          <cell r="E941">
            <v>30</v>
          </cell>
          <cell r="F941" t="str">
            <v>before AW20</v>
          </cell>
          <cell r="G941" t="str">
            <v>XR Textile</v>
          </cell>
          <cell r="H941" t="str">
            <v>PONCHK</v>
          </cell>
          <cell r="I941" t="str">
            <v>GRS Certified* 83% Post Consumer Recycled Polyester (RM0189) 17% Pre Consumer Recycled Polyamide (RM1084)</v>
          </cell>
          <cell r="M941" t="str">
            <v>6101.90.90.30</v>
          </cell>
          <cell r="N941">
            <v>6101309000</v>
          </cell>
          <cell r="O941">
            <v>6112399000</v>
          </cell>
          <cell r="P941" t="str">
            <v>6211 4390 00</v>
          </cell>
          <cell r="Q941">
            <v>6117109000</v>
          </cell>
          <cell r="R941" t="str">
            <v>6112.39.00</v>
          </cell>
          <cell r="S941">
            <v>6202</v>
          </cell>
        </row>
        <row r="942">
          <cell r="A942" t="str">
            <v>PONCHK-CAB-MD-YELL-R</v>
          </cell>
          <cell r="B942" t="str">
            <v>5.0607E+12</v>
          </cell>
          <cell r="C942" t="str">
            <v>CLOSED</v>
          </cell>
          <cell r="E942">
            <v>30</v>
          </cell>
          <cell r="F942" t="str">
            <v>before AW20</v>
          </cell>
          <cell r="G942" t="str">
            <v>XR Textile</v>
          </cell>
          <cell r="H942" t="str">
            <v>PONCHK</v>
          </cell>
          <cell r="I942" t="str">
            <v>GRS Certified* 83% Post Consumer Recycled Polyester (RM0189) 17% Pre Consumer Recycled Polyamide (RM1084)</v>
          </cell>
          <cell r="M942" t="str">
            <v>6101.90.90.30</v>
          </cell>
          <cell r="N942">
            <v>6101309000</v>
          </cell>
          <cell r="O942">
            <v>6112399000</v>
          </cell>
          <cell r="P942" t="str">
            <v>6211 4390 00</v>
          </cell>
          <cell r="Q942">
            <v>6117109000</v>
          </cell>
          <cell r="R942" t="str">
            <v>6112.39.00</v>
          </cell>
          <cell r="S942">
            <v>6202</v>
          </cell>
        </row>
        <row r="943">
          <cell r="A943" t="str">
            <v>PONCHK-CAB-SM-BLUE-R</v>
          </cell>
          <cell r="B943" t="str">
            <v>5.0607E+12</v>
          </cell>
          <cell r="C943" t="str">
            <v>CLOSED</v>
          </cell>
          <cell r="D943" t="str">
            <v>Core</v>
          </cell>
          <cell r="E943">
            <v>30</v>
          </cell>
          <cell r="F943" t="str">
            <v>before AW20</v>
          </cell>
          <cell r="G943" t="str">
            <v>XR Textile</v>
          </cell>
          <cell r="H943" t="str">
            <v>PONCHK</v>
          </cell>
          <cell r="I943" t="str">
            <v>GRS Certified* 83% Post Consumer Recycled Polyester (RM0189) 17% Pre Consumer Recycled Polyamide (RM1084)</v>
          </cell>
          <cell r="M943" t="str">
            <v>6101.90.90.30</v>
          </cell>
          <cell r="N943">
            <v>6101309000</v>
          </cell>
          <cell r="O943">
            <v>6112399000</v>
          </cell>
          <cell r="P943" t="str">
            <v>6211 4390 00</v>
          </cell>
          <cell r="Q943">
            <v>6117109000</v>
          </cell>
          <cell r="R943" t="str">
            <v>6112.39.00</v>
          </cell>
          <cell r="S943">
            <v>6202</v>
          </cell>
        </row>
        <row r="944">
          <cell r="A944" t="str">
            <v>PONCHK-CAB-SM-GREEN-R</v>
          </cell>
          <cell r="B944" t="str">
            <v>5.0607E+12</v>
          </cell>
          <cell r="C944" t="str">
            <v>CLOSED</v>
          </cell>
          <cell r="E944">
            <v>30</v>
          </cell>
          <cell r="F944" t="str">
            <v>before AW20</v>
          </cell>
          <cell r="G944" t="str">
            <v>XR Textile</v>
          </cell>
          <cell r="H944" t="str">
            <v>PONCHK</v>
          </cell>
          <cell r="I944" t="str">
            <v>GRS Certified* 83% Post Consumer Recycled Polyester (RM0189) 17% Pre Consumer Recycled Polyamide (RM1084)</v>
          </cell>
          <cell r="M944" t="str">
            <v>6101.90.90.30</v>
          </cell>
          <cell r="N944">
            <v>6101309000</v>
          </cell>
          <cell r="O944">
            <v>6112399000</v>
          </cell>
          <cell r="P944" t="str">
            <v>6211 4390 00</v>
          </cell>
          <cell r="Q944">
            <v>6117109000</v>
          </cell>
          <cell r="R944" t="str">
            <v>6112.39.00</v>
          </cell>
          <cell r="S944">
            <v>6202</v>
          </cell>
        </row>
        <row r="945">
          <cell r="A945" t="str">
            <v>PONCHK-CAB-SM-GREY-R</v>
          </cell>
          <cell r="B945" t="str">
            <v>5.0607E+12</v>
          </cell>
          <cell r="C945" t="str">
            <v>CLOSED</v>
          </cell>
          <cell r="E945">
            <v>30</v>
          </cell>
          <cell r="F945" t="str">
            <v>before AW20</v>
          </cell>
          <cell r="G945" t="str">
            <v>XR Textile</v>
          </cell>
          <cell r="H945" t="str">
            <v>PONCHK</v>
          </cell>
          <cell r="I945" t="str">
            <v>GRS Certified* 83% Post Consumer Recycled Polyester (RM0189) 17% Pre Consumer Recycled Polyamide (RM1084)</v>
          </cell>
          <cell r="M945" t="str">
            <v>6101.90.90.30</v>
          </cell>
          <cell r="N945">
            <v>6101309000</v>
          </cell>
          <cell r="O945">
            <v>6112399000</v>
          </cell>
          <cell r="P945" t="str">
            <v>6211 4390 00</v>
          </cell>
          <cell r="Q945">
            <v>6117109000</v>
          </cell>
          <cell r="R945" t="str">
            <v>6112.39.00</v>
          </cell>
          <cell r="S945">
            <v>6202</v>
          </cell>
        </row>
        <row r="946">
          <cell r="A946" t="str">
            <v>PONCHK-CAB-SM-LTPNK</v>
          </cell>
          <cell r="B946" t="str">
            <v>5.0607E+12</v>
          </cell>
          <cell r="C946" t="str">
            <v>CLOSED</v>
          </cell>
          <cell r="D946" t="str">
            <v>Core</v>
          </cell>
          <cell r="E946">
            <v>30</v>
          </cell>
          <cell r="F946" t="str">
            <v>SS23</v>
          </cell>
          <cell r="G946" t="str">
            <v>XR Textile</v>
          </cell>
          <cell r="H946" t="str">
            <v>PONCHK</v>
          </cell>
          <cell r="I946" t="str">
            <v>GRS Certified* 83% Post Consumer Recycled Polyester (RM0189) 17% Pre Consumer Recycled Polyamide (RM1084)</v>
          </cell>
          <cell r="M946" t="str">
            <v>6101.90.90.30</v>
          </cell>
          <cell r="N946">
            <v>6101309000</v>
          </cell>
          <cell r="O946">
            <v>6112399000</v>
          </cell>
          <cell r="P946" t="str">
            <v>6211 4390 00</v>
          </cell>
          <cell r="Q946">
            <v>6117109000</v>
          </cell>
          <cell r="R946" t="str">
            <v>6112.39.00</v>
          </cell>
          <cell r="S946">
            <v>6202</v>
          </cell>
        </row>
        <row r="947">
          <cell r="A947" t="str">
            <v>PONCHK-CAB-SM-NAVY</v>
          </cell>
          <cell r="B947" t="str">
            <v>5.0607E+12</v>
          </cell>
          <cell r="C947" t="str">
            <v>CLOSED</v>
          </cell>
          <cell r="D947" t="str">
            <v>Core</v>
          </cell>
          <cell r="E947">
            <v>30</v>
          </cell>
          <cell r="F947" t="str">
            <v>SS23</v>
          </cell>
          <cell r="G947" t="str">
            <v>XR Textile</v>
          </cell>
          <cell r="H947" t="str">
            <v>PONCHK</v>
          </cell>
          <cell r="I947" t="str">
            <v>GRS Certified* 83% Post Consumer Recycled Polyester (RM0189) 17% Pre Consumer Recycled Polyamide (RM1084)</v>
          </cell>
          <cell r="M947" t="str">
            <v>6101.90.90.30</v>
          </cell>
          <cell r="N947">
            <v>6101309000</v>
          </cell>
          <cell r="O947">
            <v>6112399000</v>
          </cell>
          <cell r="P947" t="str">
            <v>6211 4390 00</v>
          </cell>
          <cell r="Q947">
            <v>6117109000</v>
          </cell>
          <cell r="R947" t="str">
            <v>6112.39.00</v>
          </cell>
          <cell r="S947">
            <v>6202</v>
          </cell>
        </row>
        <row r="948">
          <cell r="A948" t="str">
            <v>PONCHK-CAB-SM-PINK-R</v>
          </cell>
          <cell r="B948" t="str">
            <v>5.0607E+12</v>
          </cell>
          <cell r="C948" t="str">
            <v>CLOSED</v>
          </cell>
          <cell r="E948">
            <v>30</v>
          </cell>
          <cell r="F948" t="str">
            <v>before AW20</v>
          </cell>
          <cell r="G948" t="str">
            <v>XR Textile</v>
          </cell>
          <cell r="H948" t="str">
            <v>PONCHK</v>
          </cell>
          <cell r="I948" t="str">
            <v>GRS Certified* 83% Post Consumer Recycled Polyester (RM0189) 17% Pre Consumer Recycled Polyamide (RM1084)</v>
          </cell>
          <cell r="M948" t="str">
            <v>6101.90.90.30</v>
          </cell>
          <cell r="N948">
            <v>6101309000</v>
          </cell>
          <cell r="O948">
            <v>6112399000</v>
          </cell>
          <cell r="P948" t="str">
            <v>6211 4390 00</v>
          </cell>
          <cell r="Q948">
            <v>6117109000</v>
          </cell>
          <cell r="R948" t="str">
            <v>6112.39.00</v>
          </cell>
          <cell r="S948">
            <v>6202</v>
          </cell>
        </row>
        <row r="949">
          <cell r="A949" t="str">
            <v>PONCHK-CAB-SM-RED-R</v>
          </cell>
          <cell r="B949" t="str">
            <v>5.0607E+12</v>
          </cell>
          <cell r="C949" t="str">
            <v>CLOSED</v>
          </cell>
          <cell r="E949">
            <v>30</v>
          </cell>
          <cell r="F949" t="str">
            <v>before AW20</v>
          </cell>
          <cell r="G949" t="str">
            <v>XR Textile</v>
          </cell>
          <cell r="H949" t="str">
            <v>PONCHK</v>
          </cell>
          <cell r="I949" t="str">
            <v>GRS Certified* 83% Post Consumer Recycled Polyester (RM0189) 17% Pre Consumer Recycled Polyamide (RM1084)</v>
          </cell>
          <cell r="M949" t="str">
            <v>6101.90.90.30</v>
          </cell>
          <cell r="N949">
            <v>6101309000</v>
          </cell>
          <cell r="O949">
            <v>6112399000</v>
          </cell>
          <cell r="P949" t="str">
            <v>6211 4390 00</v>
          </cell>
          <cell r="Q949">
            <v>6117109000</v>
          </cell>
          <cell r="R949" t="str">
            <v>6112.39.00</v>
          </cell>
          <cell r="S949">
            <v>6202</v>
          </cell>
        </row>
        <row r="950">
          <cell r="A950" t="str">
            <v>PONCHK-CAB-SM-YELL-R</v>
          </cell>
          <cell r="B950" t="str">
            <v>5.0607E+12</v>
          </cell>
          <cell r="C950" t="str">
            <v>CLOSED</v>
          </cell>
          <cell r="E950">
            <v>30</v>
          </cell>
          <cell r="F950" t="str">
            <v>before AW20</v>
          </cell>
          <cell r="G950" t="str">
            <v>XR Textile</v>
          </cell>
          <cell r="H950" t="str">
            <v>PONCHK</v>
          </cell>
          <cell r="I950" t="str">
            <v>GRS Certified* 83% Post Consumer Recycled Polyester (RM0189) 17% Pre Consumer Recycled Polyamide (RM1084)</v>
          </cell>
          <cell r="M950" t="str">
            <v>6101.90.90.30</v>
          </cell>
          <cell r="N950">
            <v>6101309000</v>
          </cell>
          <cell r="O950">
            <v>6112399000</v>
          </cell>
          <cell r="P950" t="str">
            <v>6211 4390 00</v>
          </cell>
          <cell r="Q950">
            <v>6117109000</v>
          </cell>
          <cell r="R950" t="str">
            <v>6112.39.00</v>
          </cell>
          <cell r="S950">
            <v>6202</v>
          </cell>
        </row>
        <row r="951">
          <cell r="A951" t="str">
            <v>PONCHK-CAB-XS-BLUE-R</v>
          </cell>
          <cell r="B951" t="str">
            <v>5.0607E+12</v>
          </cell>
          <cell r="C951" t="str">
            <v>CLOSED</v>
          </cell>
          <cell r="E951">
            <v>30</v>
          </cell>
          <cell r="F951" t="str">
            <v>before AW20</v>
          </cell>
          <cell r="G951" t="str">
            <v>XR Textile</v>
          </cell>
          <cell r="H951" t="str">
            <v>PONCHK</v>
          </cell>
          <cell r="I951" t="str">
            <v>GRS Certified* 83% Post Consumer Recycled Polyester (RM0189) 17% Pre Consumer Recycled Polyamide (RM1084)</v>
          </cell>
          <cell r="M951" t="str">
            <v>6101.90.90.30</v>
          </cell>
          <cell r="N951">
            <v>6101309000</v>
          </cell>
          <cell r="O951">
            <v>6112399000</v>
          </cell>
          <cell r="P951" t="str">
            <v>6211 4390 00</v>
          </cell>
          <cell r="Q951">
            <v>6117109000</v>
          </cell>
          <cell r="R951" t="str">
            <v>6112.39.00</v>
          </cell>
          <cell r="S951">
            <v>6202</v>
          </cell>
        </row>
        <row r="952">
          <cell r="A952" t="str">
            <v>PONCHK-CAB-XS-GREEN-R</v>
          </cell>
          <cell r="B952" t="str">
            <v>5.0607E+12</v>
          </cell>
          <cell r="C952" t="str">
            <v>CLOSED</v>
          </cell>
          <cell r="E952">
            <v>30</v>
          </cell>
          <cell r="F952" t="str">
            <v>before AW20</v>
          </cell>
          <cell r="G952" t="str">
            <v>XR Textile</v>
          </cell>
          <cell r="H952" t="str">
            <v>PONCHK</v>
          </cell>
          <cell r="I952" t="str">
            <v>GRS Certified* 83% Post Consumer Recycled Polyester (RM0189) 17% Pre Consumer Recycled Polyamide (RM1084)</v>
          </cell>
          <cell r="M952" t="str">
            <v>6101.90.90.30</v>
          </cell>
          <cell r="N952">
            <v>6101309000</v>
          </cell>
          <cell r="O952">
            <v>6112399000</v>
          </cell>
          <cell r="P952" t="str">
            <v>6211 4390 00</v>
          </cell>
          <cell r="Q952">
            <v>6117109000</v>
          </cell>
          <cell r="R952" t="str">
            <v>6112.39.00</v>
          </cell>
          <cell r="S952">
            <v>6202</v>
          </cell>
        </row>
        <row r="953">
          <cell r="A953" t="str">
            <v>PONCHK-CAB-XS-GREY-R</v>
          </cell>
          <cell r="B953" t="str">
            <v>5.0607E+12</v>
          </cell>
          <cell r="C953" t="str">
            <v>CLOSED</v>
          </cell>
          <cell r="E953">
            <v>30</v>
          </cell>
          <cell r="F953" t="str">
            <v>before AW20</v>
          </cell>
          <cell r="G953" t="str">
            <v>XR Textile</v>
          </cell>
          <cell r="H953" t="str">
            <v>PONCHK</v>
          </cell>
          <cell r="I953" t="str">
            <v>GRS Certified* 83% Post Consumer Recycled Polyester (RM0189) 17% Pre Consumer Recycled Polyamide (RM1084)</v>
          </cell>
          <cell r="M953" t="str">
            <v>6101.90.90.30</v>
          </cell>
          <cell r="N953">
            <v>6101309000</v>
          </cell>
          <cell r="O953">
            <v>6112399000</v>
          </cell>
          <cell r="P953" t="str">
            <v>6211 4390 00</v>
          </cell>
          <cell r="Q953">
            <v>6117109000</v>
          </cell>
          <cell r="R953" t="str">
            <v>6112.39.00</v>
          </cell>
          <cell r="S953">
            <v>6202</v>
          </cell>
        </row>
        <row r="954">
          <cell r="A954" t="str">
            <v>PONCHK-CAB-XS-PINK-R</v>
          </cell>
          <cell r="B954" t="str">
            <v>5.0607E+12</v>
          </cell>
          <cell r="C954" t="str">
            <v>CLOSED</v>
          </cell>
          <cell r="E954">
            <v>30</v>
          </cell>
          <cell r="F954" t="str">
            <v>before AW20</v>
          </cell>
          <cell r="G954" t="str">
            <v>XR Textile</v>
          </cell>
          <cell r="H954" t="str">
            <v>PONCHK</v>
          </cell>
          <cell r="I954" t="str">
            <v>GRS Certified* 83% Post Consumer Recycled Polyester (RM0189) 17% Pre Consumer Recycled Polyamide (RM1084)</v>
          </cell>
          <cell r="M954" t="str">
            <v>6101.90.90.30</v>
          </cell>
          <cell r="N954">
            <v>6101309000</v>
          </cell>
          <cell r="O954">
            <v>6112399000</v>
          </cell>
          <cell r="P954" t="str">
            <v>6211 4390 00</v>
          </cell>
          <cell r="Q954">
            <v>6117109000</v>
          </cell>
          <cell r="R954" t="str">
            <v>6112.39.00</v>
          </cell>
          <cell r="S954">
            <v>6202</v>
          </cell>
        </row>
        <row r="955">
          <cell r="A955" t="str">
            <v>PONCHK-CAB-XS-RED-R</v>
          </cell>
          <cell r="B955" t="str">
            <v>5.0607E+12</v>
          </cell>
          <cell r="C955" t="str">
            <v>CLOSED</v>
          </cell>
          <cell r="E955">
            <v>30</v>
          </cell>
          <cell r="F955" t="str">
            <v>before AW20</v>
          </cell>
          <cell r="G955" t="str">
            <v>XR Textile</v>
          </cell>
          <cell r="H955" t="str">
            <v>PONCHK</v>
          </cell>
          <cell r="I955" t="str">
            <v>GRS Certified* 83% Post Consumer Recycled Polyester (RM0189) 17% Pre Consumer Recycled Polyamide (RM1084)</v>
          </cell>
          <cell r="M955" t="str">
            <v>6101.90.90.30</v>
          </cell>
          <cell r="N955">
            <v>6101309000</v>
          </cell>
          <cell r="O955">
            <v>6112399000</v>
          </cell>
          <cell r="P955" t="str">
            <v>6211 4390 00</v>
          </cell>
          <cell r="Q955">
            <v>6117109000</v>
          </cell>
          <cell r="R955" t="str">
            <v>6112.39.00</v>
          </cell>
          <cell r="S955">
            <v>6202</v>
          </cell>
        </row>
        <row r="956">
          <cell r="A956" t="str">
            <v>PONCHK-CAB-XS-YELL-R</v>
          </cell>
          <cell r="B956" t="str">
            <v>5.0607E+12</v>
          </cell>
          <cell r="C956" t="str">
            <v>CLOSED</v>
          </cell>
          <cell r="E956">
            <v>30</v>
          </cell>
          <cell r="F956" t="str">
            <v>before AW20</v>
          </cell>
          <cell r="G956" t="str">
            <v>XR Textile</v>
          </cell>
          <cell r="H956" t="str">
            <v>PONCHK</v>
          </cell>
          <cell r="I956" t="str">
            <v>GRS Certified* 83% Post Consumer Recycled Polyester (RM0189) 17% Pre Consumer Recycled Polyamide (RM1084)</v>
          </cell>
          <cell r="M956" t="str">
            <v>6101.90.90.30</v>
          </cell>
          <cell r="N956">
            <v>6101309000</v>
          </cell>
          <cell r="O956">
            <v>6112399000</v>
          </cell>
          <cell r="P956" t="str">
            <v>6211 4390 00</v>
          </cell>
          <cell r="Q956">
            <v>6117109000</v>
          </cell>
          <cell r="R956" t="str">
            <v>6112.39.00</v>
          </cell>
          <cell r="S956">
            <v>6202</v>
          </cell>
        </row>
        <row r="957">
          <cell r="A957" t="str">
            <v>PONCHK-JUN-MD-FLAMG-R</v>
          </cell>
          <cell r="B957" t="str">
            <v>5.0607E+12</v>
          </cell>
          <cell r="C957" t="str">
            <v>CLOSED</v>
          </cell>
          <cell r="E957">
            <v>30</v>
          </cell>
          <cell r="F957" t="str">
            <v>SS21</v>
          </cell>
          <cell r="G957" t="str">
            <v>XR Textile</v>
          </cell>
          <cell r="H957" t="str">
            <v>PONCHK</v>
          </cell>
          <cell r="I957" t="str">
            <v>GRS Certified* 83% Post Consumer Recycled Polyester (RM0189) 17% Pre Consumer Recycled Polyamide (RM1084)</v>
          </cell>
          <cell r="M957" t="str">
            <v>6101.90.90.30</v>
          </cell>
          <cell r="N957">
            <v>6101309000</v>
          </cell>
          <cell r="O957">
            <v>6112399000</v>
          </cell>
          <cell r="P957" t="str">
            <v>6211 4390 00</v>
          </cell>
          <cell r="Q957">
            <v>6117109000</v>
          </cell>
          <cell r="R957" t="str">
            <v>6112.39.00</v>
          </cell>
          <cell r="S957">
            <v>6202</v>
          </cell>
        </row>
        <row r="958">
          <cell r="A958" t="str">
            <v>PONCHK-JUN-MD-MONKY-R</v>
          </cell>
          <cell r="B958" t="str">
            <v>5.0607E+12</v>
          </cell>
          <cell r="C958" t="str">
            <v>CLOSED</v>
          </cell>
          <cell r="E958">
            <v>30</v>
          </cell>
          <cell r="F958" t="str">
            <v>SS21</v>
          </cell>
          <cell r="G958" t="str">
            <v>XR Textile</v>
          </cell>
          <cell r="H958" t="str">
            <v>PONCHK</v>
          </cell>
          <cell r="I958" t="str">
            <v>GRS Certified* 83% Post Consumer Recycled Polyester (RM0189) 17% Pre Consumer Recycled Polyamide (RM1084)</v>
          </cell>
          <cell r="M958" t="str">
            <v>6101.90.90.30</v>
          </cell>
          <cell r="N958">
            <v>6101309000</v>
          </cell>
          <cell r="O958">
            <v>6112399000</v>
          </cell>
          <cell r="P958" t="str">
            <v>6211 4390 00</v>
          </cell>
          <cell r="Q958">
            <v>6117109000</v>
          </cell>
          <cell r="R958" t="str">
            <v>6112.39.00</v>
          </cell>
          <cell r="S958">
            <v>6202</v>
          </cell>
        </row>
        <row r="959">
          <cell r="A959" t="str">
            <v>PONCHK-JUN-MD-TIGER-R</v>
          </cell>
          <cell r="B959" t="str">
            <v>5.0607E+12</v>
          </cell>
          <cell r="C959" t="str">
            <v>CLOSED</v>
          </cell>
          <cell r="E959">
            <v>30</v>
          </cell>
          <cell r="F959" t="str">
            <v>SS21</v>
          </cell>
          <cell r="G959" t="str">
            <v>XR Textile</v>
          </cell>
          <cell r="H959" t="str">
            <v>PONCHK</v>
          </cell>
          <cell r="I959" t="str">
            <v>GRS Certified* 83% Post Consumer Recycled Polyester (RM0189) 17% Pre Consumer Recycled Polyamide (RM1084)</v>
          </cell>
          <cell r="M959" t="str">
            <v>6101.90.90.30</v>
          </cell>
          <cell r="N959">
            <v>6101309000</v>
          </cell>
          <cell r="O959">
            <v>6112399000</v>
          </cell>
          <cell r="P959" t="str">
            <v>6211 4390 00</v>
          </cell>
          <cell r="Q959">
            <v>6117109000</v>
          </cell>
          <cell r="R959" t="str">
            <v>6112.39.00</v>
          </cell>
          <cell r="S959">
            <v>6202</v>
          </cell>
        </row>
        <row r="960">
          <cell r="A960" t="str">
            <v>PONCHK-JUN-MD-TOUCN-R</v>
          </cell>
          <cell r="B960" t="str">
            <v>5.0607E+12</v>
          </cell>
          <cell r="C960" t="str">
            <v>CLOSED</v>
          </cell>
          <cell r="E960">
            <v>30</v>
          </cell>
          <cell r="F960" t="str">
            <v>SS21</v>
          </cell>
          <cell r="G960" t="str">
            <v>XR Textile</v>
          </cell>
          <cell r="H960" t="str">
            <v>PONCHK</v>
          </cell>
          <cell r="I960" t="str">
            <v>GRS Certified* 83% Post Consumer Recycled Polyester (RM0189) 17% Pre Consumer Recycled Polyamide (RM1084)</v>
          </cell>
          <cell r="M960" t="str">
            <v>6101.90.90.30</v>
          </cell>
          <cell r="N960">
            <v>6101309000</v>
          </cell>
          <cell r="O960">
            <v>6112399000</v>
          </cell>
          <cell r="P960" t="str">
            <v>6211 4390 00</v>
          </cell>
          <cell r="Q960">
            <v>6117109000</v>
          </cell>
          <cell r="R960" t="str">
            <v>6112.39.00</v>
          </cell>
          <cell r="S960">
            <v>6202</v>
          </cell>
        </row>
        <row r="961">
          <cell r="A961" t="str">
            <v>PONCHK-JUN-SM-FLAMG-R</v>
          </cell>
          <cell r="B961" t="str">
            <v>5.0607E+12</v>
          </cell>
          <cell r="C961" t="str">
            <v>CLOSED</v>
          </cell>
          <cell r="E961">
            <v>30</v>
          </cell>
          <cell r="F961" t="str">
            <v>SS21</v>
          </cell>
          <cell r="G961" t="str">
            <v>XR Textile</v>
          </cell>
          <cell r="H961" t="str">
            <v>PONCHK</v>
          </cell>
          <cell r="I961" t="str">
            <v>GRS Certified* 83% Post Consumer Recycled Polyester (RM0189) 17% Pre Consumer Recycled Polyamide (RM1084)</v>
          </cell>
          <cell r="M961" t="str">
            <v>6101.90.90.30</v>
          </cell>
          <cell r="N961">
            <v>6101309000</v>
          </cell>
          <cell r="O961">
            <v>6112399000</v>
          </cell>
          <cell r="P961" t="str">
            <v>6211 4390 00</v>
          </cell>
          <cell r="Q961">
            <v>6117109000</v>
          </cell>
          <cell r="R961" t="str">
            <v>6112.39.00</v>
          </cell>
          <cell r="S961">
            <v>6202</v>
          </cell>
        </row>
        <row r="962">
          <cell r="A962" t="str">
            <v>PONCHK-JUN-SM-MONKY-R</v>
          </cell>
          <cell r="B962" t="str">
            <v>5.0607E+12</v>
          </cell>
          <cell r="C962" t="str">
            <v>CLOSED</v>
          </cell>
          <cell r="E962">
            <v>30</v>
          </cell>
          <cell r="F962" t="str">
            <v>SS21</v>
          </cell>
          <cell r="G962" t="str">
            <v>XR Textile</v>
          </cell>
          <cell r="H962" t="str">
            <v>PONCHK</v>
          </cell>
          <cell r="I962" t="str">
            <v>GRS Certified* 83% Post Consumer Recycled Polyester (RM0189) 17% Pre Consumer Recycled Polyamide (RM1084)</v>
          </cell>
          <cell r="M962" t="str">
            <v>6101.90.90.30</v>
          </cell>
          <cell r="N962">
            <v>6101309000</v>
          </cell>
          <cell r="O962">
            <v>6112399000</v>
          </cell>
          <cell r="P962" t="str">
            <v>6211 4390 00</v>
          </cell>
          <cell r="Q962">
            <v>6117109000</v>
          </cell>
          <cell r="R962" t="str">
            <v>6112.39.00</v>
          </cell>
          <cell r="S962">
            <v>6202</v>
          </cell>
        </row>
        <row r="963">
          <cell r="A963" t="str">
            <v>PONCHK-JUN-SM-TIGER-R</v>
          </cell>
          <cell r="B963" t="str">
            <v>5.0607E+12</v>
          </cell>
          <cell r="C963" t="str">
            <v>CLOSED</v>
          </cell>
          <cell r="E963">
            <v>30</v>
          </cell>
          <cell r="F963" t="str">
            <v>SS21</v>
          </cell>
          <cell r="G963" t="str">
            <v>XR Textile</v>
          </cell>
          <cell r="H963" t="str">
            <v>PONCHK</v>
          </cell>
          <cell r="I963" t="str">
            <v>GRS Certified* 83% Post Consumer Recycled Polyester (RM0189) 17% Pre Consumer Recycled Polyamide (RM1084)</v>
          </cell>
          <cell r="M963" t="str">
            <v>6101.90.90.30</v>
          </cell>
          <cell r="N963">
            <v>6101309000</v>
          </cell>
          <cell r="O963">
            <v>6112399000</v>
          </cell>
          <cell r="P963" t="str">
            <v>6211 4390 00</v>
          </cell>
          <cell r="Q963">
            <v>6117109000</v>
          </cell>
          <cell r="R963" t="str">
            <v>6112.39.00</v>
          </cell>
          <cell r="S963">
            <v>6202</v>
          </cell>
        </row>
        <row r="964">
          <cell r="A964" t="str">
            <v>PONCHK-JUN-SM-TOUCN-R</v>
          </cell>
          <cell r="B964" t="str">
            <v>5.0607E+12</v>
          </cell>
          <cell r="C964" t="str">
            <v>CLOSED</v>
          </cell>
          <cell r="E964">
            <v>30</v>
          </cell>
          <cell r="F964" t="str">
            <v>SS21</v>
          </cell>
          <cell r="G964" t="str">
            <v>XR Textile</v>
          </cell>
          <cell r="H964" t="str">
            <v>PONCHK</v>
          </cell>
          <cell r="I964" t="str">
            <v>GRS Certified* 83% Post Consumer Recycled Polyester (RM0189) 17% Pre Consumer Recycled Polyamide (RM1084)</v>
          </cell>
          <cell r="M964" t="str">
            <v>6101.90.90.30</v>
          </cell>
          <cell r="N964">
            <v>6101309000</v>
          </cell>
          <cell r="O964">
            <v>6112399000</v>
          </cell>
          <cell r="P964" t="str">
            <v>6211 4390 00</v>
          </cell>
          <cell r="Q964">
            <v>6117109000</v>
          </cell>
          <cell r="R964" t="str">
            <v>6112.39.00</v>
          </cell>
          <cell r="S964">
            <v>6202</v>
          </cell>
        </row>
        <row r="965">
          <cell r="A965" t="str">
            <v>PONCHK-JUN-XS-FLAMG-R</v>
          </cell>
          <cell r="B965" t="str">
            <v>5.0607E+12</v>
          </cell>
          <cell r="C965" t="str">
            <v>CLOSED</v>
          </cell>
          <cell r="E965">
            <v>30</v>
          </cell>
          <cell r="F965" t="str">
            <v>SS21</v>
          </cell>
          <cell r="G965" t="str">
            <v>XR Textile</v>
          </cell>
          <cell r="H965" t="str">
            <v>PONCHK</v>
          </cell>
          <cell r="I965" t="str">
            <v>GRS Certified* 83% Post Consumer Recycled Polyester (RM0189) 17% Pre Consumer Recycled Polyamide (RM1084)</v>
          </cell>
          <cell r="M965" t="str">
            <v>6101.90.90.30</v>
          </cell>
          <cell r="N965">
            <v>6101309000</v>
          </cell>
          <cell r="O965">
            <v>6112399000</v>
          </cell>
          <cell r="P965" t="str">
            <v>6211 4390 00</v>
          </cell>
          <cell r="Q965">
            <v>6117109000</v>
          </cell>
          <cell r="R965" t="str">
            <v>6112.39.00</v>
          </cell>
          <cell r="S965">
            <v>6202</v>
          </cell>
        </row>
        <row r="966">
          <cell r="A966" t="str">
            <v>PONCHK-JUN-XS-MONKY-R</v>
          </cell>
          <cell r="B966" t="str">
            <v>5.0607E+12</v>
          </cell>
          <cell r="C966" t="str">
            <v>CLOSED</v>
          </cell>
          <cell r="E966">
            <v>30</v>
          </cell>
          <cell r="F966" t="str">
            <v>SS21</v>
          </cell>
          <cell r="G966" t="str">
            <v>XR Textile</v>
          </cell>
          <cell r="H966" t="str">
            <v>PONCHK</v>
          </cell>
          <cell r="I966" t="str">
            <v>GRS Certified* 83% Post Consumer Recycled Polyester (RM0189) 17% Pre Consumer Recycled Polyamide (RM1084)</v>
          </cell>
          <cell r="M966" t="str">
            <v>6101.90.90.30</v>
          </cell>
          <cell r="N966">
            <v>6101309000</v>
          </cell>
          <cell r="O966">
            <v>6112399000</v>
          </cell>
          <cell r="P966" t="str">
            <v>6211 4390 00</v>
          </cell>
          <cell r="Q966">
            <v>6117109000</v>
          </cell>
          <cell r="R966" t="str">
            <v>6112.39.00</v>
          </cell>
          <cell r="S966">
            <v>6202</v>
          </cell>
        </row>
        <row r="967">
          <cell r="A967" t="str">
            <v>PONCHK-JUN-XS-TIGER-R</v>
          </cell>
          <cell r="B967" t="str">
            <v>5.0607E+12</v>
          </cell>
          <cell r="C967" t="str">
            <v>CLOSED</v>
          </cell>
          <cell r="E967">
            <v>30</v>
          </cell>
          <cell r="F967" t="str">
            <v>SS21</v>
          </cell>
          <cell r="G967" t="str">
            <v>XR Textile</v>
          </cell>
          <cell r="H967" t="str">
            <v>PONCHK</v>
          </cell>
          <cell r="I967" t="str">
            <v>GRS Certified* 83% Post Consumer Recycled Polyester (RM0189) 17% Pre Consumer Recycled Polyamide (RM1084)</v>
          </cell>
          <cell r="M967" t="str">
            <v>6101.90.90.30</v>
          </cell>
          <cell r="N967">
            <v>6101309000</v>
          </cell>
          <cell r="O967">
            <v>6112399000</v>
          </cell>
          <cell r="P967" t="str">
            <v>6211 4390 00</v>
          </cell>
          <cell r="Q967">
            <v>6117109000</v>
          </cell>
          <cell r="R967" t="str">
            <v>6112.39.00</v>
          </cell>
          <cell r="S967">
            <v>6202</v>
          </cell>
        </row>
        <row r="968">
          <cell r="A968" t="str">
            <v>PONCHK-JUN-XS-TOUCN-R</v>
          </cell>
          <cell r="B968" t="str">
            <v>5.0607E+12</v>
          </cell>
          <cell r="C968" t="str">
            <v>CLOSED</v>
          </cell>
          <cell r="E968">
            <v>30</v>
          </cell>
          <cell r="F968" t="str">
            <v>SS21</v>
          </cell>
          <cell r="G968" t="str">
            <v>XR Textile</v>
          </cell>
          <cell r="H968" t="str">
            <v>PONCHK</v>
          </cell>
          <cell r="I968" t="str">
            <v>GRS Certified* 83% Post Consumer Recycled Polyester (RM0189) 17% Pre Consumer Recycled Polyamide (RM1084)</v>
          </cell>
          <cell r="M968" t="str">
            <v>6101.90.90.30</v>
          </cell>
          <cell r="N968">
            <v>6101309000</v>
          </cell>
          <cell r="O968">
            <v>6112399000</v>
          </cell>
          <cell r="P968" t="str">
            <v>6211 4390 00</v>
          </cell>
          <cell r="Q968">
            <v>6117109000</v>
          </cell>
          <cell r="R968" t="str">
            <v>6112.39.00</v>
          </cell>
          <cell r="S968">
            <v>6202</v>
          </cell>
        </row>
        <row r="969">
          <cell r="A969" t="str">
            <v>PONCHK-KID-MD-CAMO</v>
          </cell>
          <cell r="B969" t="str">
            <v>5.0607E+12</v>
          </cell>
          <cell r="C969" t="str">
            <v>CLOSED</v>
          </cell>
          <cell r="D969" t="str">
            <v>Seasonal</v>
          </cell>
          <cell r="E969">
            <v>30</v>
          </cell>
          <cell r="F969" t="str">
            <v>SS23</v>
          </cell>
          <cell r="G969" t="str">
            <v>XR Textile</v>
          </cell>
          <cell r="H969" t="str">
            <v>PONCHK</v>
          </cell>
          <cell r="I969" t="str">
            <v>GRS Certified* 83% Post Consumer Recycled Polyester (RM0189) 17% Pre Consumer Recycled Polyamide (RM1084)</v>
          </cell>
          <cell r="M969" t="str">
            <v>6101.90.90.30</v>
          </cell>
          <cell r="N969">
            <v>6101309000</v>
          </cell>
          <cell r="O969">
            <v>6112399000</v>
          </cell>
          <cell r="P969" t="str">
            <v>6211 4390 00</v>
          </cell>
          <cell r="Q969">
            <v>6117109000</v>
          </cell>
          <cell r="R969" t="str">
            <v>6112.39.00</v>
          </cell>
          <cell r="S969">
            <v>6202</v>
          </cell>
        </row>
        <row r="970">
          <cell r="A970" t="str">
            <v>PONCHK-KID-MD-CAMO-NS</v>
          </cell>
          <cell r="B970" t="str">
            <v>5.061E+12</v>
          </cell>
          <cell r="C970" t="str">
            <v>CLOSED</v>
          </cell>
          <cell r="D970" t="str">
            <v>Seasonal</v>
          </cell>
          <cell r="E970">
            <v>30</v>
          </cell>
          <cell r="F970" t="str">
            <v>SS24</v>
          </cell>
          <cell r="G970" t="str">
            <v>XR Textile</v>
          </cell>
          <cell r="H970" t="str">
            <v>PONCHK</v>
          </cell>
          <cell r="I970" t="str">
            <v>GRS Certified* 83% Post Consumer Recycled Polyester (RM0189) 17% Pre Consumer Recycled Polyamide (RM1084)</v>
          </cell>
          <cell r="M970" t="str">
            <v>6101.90.90.30</v>
          </cell>
          <cell r="N970">
            <v>6101309000</v>
          </cell>
          <cell r="O970">
            <v>6112399000</v>
          </cell>
          <cell r="P970" t="str">
            <v>6211 4390 00</v>
          </cell>
          <cell r="Q970">
            <v>6117109000</v>
          </cell>
          <cell r="R970" t="str">
            <v>6112.39.00</v>
          </cell>
          <cell r="S970">
            <v>6202</v>
          </cell>
        </row>
        <row r="971">
          <cell r="A971" t="str">
            <v>PONCHK-KID-MD-CROC</v>
          </cell>
          <cell r="B971" t="str">
            <v>5.061E+12</v>
          </cell>
          <cell r="C971" t="str">
            <v>CLOSED</v>
          </cell>
          <cell r="D971" t="str">
            <v>Seasonal</v>
          </cell>
          <cell r="E971">
            <v>30</v>
          </cell>
          <cell r="F971" t="str">
            <v>SS24</v>
          </cell>
          <cell r="G971" t="str">
            <v>XR Textile</v>
          </cell>
          <cell r="H971" t="str">
            <v>PONCHK</v>
          </cell>
          <cell r="I971" t="str">
            <v>GRS Certified* 83% Post Consumer Recycled Polyester (RM0189) 17% Pre Consumer Recycled Polyamide (RM1084)</v>
          </cell>
          <cell r="M971" t="str">
            <v>6101.90.90.30</v>
          </cell>
          <cell r="N971">
            <v>6101309000</v>
          </cell>
          <cell r="O971">
            <v>6112399000</v>
          </cell>
          <cell r="P971" t="str">
            <v>6211 4390 00</v>
          </cell>
          <cell r="Q971">
            <v>6117109000</v>
          </cell>
          <cell r="R971" t="str">
            <v>6112.39.00</v>
          </cell>
          <cell r="S971">
            <v>6202</v>
          </cell>
        </row>
        <row r="972">
          <cell r="A972" t="str">
            <v>PONCHK-KID-MD-DOODMOOD</v>
          </cell>
          <cell r="B972" t="str">
            <v>5.061E+12</v>
          </cell>
          <cell r="C972" t="str">
            <v>CLOSED</v>
          </cell>
          <cell r="D972" t="str">
            <v>Seasonal</v>
          </cell>
          <cell r="E972">
            <v>30</v>
          </cell>
          <cell r="F972" t="str">
            <v>SS24</v>
          </cell>
          <cell r="G972" t="str">
            <v>XR Textile</v>
          </cell>
          <cell r="H972" t="str">
            <v>PONCHK</v>
          </cell>
          <cell r="I972" t="str">
            <v>GRS Certified* 83% Post Consumer Recycled Polyester (RM0189) 17% Pre Consumer Recycled Polyamide (RM1084)</v>
          </cell>
          <cell r="M972" t="str">
            <v>6101.90.90.30</v>
          </cell>
          <cell r="N972">
            <v>6101309000</v>
          </cell>
          <cell r="O972">
            <v>6112399000</v>
          </cell>
          <cell r="P972" t="str">
            <v>6211 4390 00</v>
          </cell>
          <cell r="Q972">
            <v>6117109000</v>
          </cell>
          <cell r="R972" t="str">
            <v>6112.39.00</v>
          </cell>
          <cell r="S972">
            <v>6202</v>
          </cell>
        </row>
        <row r="973">
          <cell r="A973" t="str">
            <v>PONCHK-KID-MD-FIVEDAY</v>
          </cell>
          <cell r="B973" t="str">
            <v>5.061E+12</v>
          </cell>
          <cell r="C973" t="str">
            <v>CLOSED</v>
          </cell>
          <cell r="D973" t="str">
            <v>Seasonal</v>
          </cell>
          <cell r="E973">
            <v>30</v>
          </cell>
          <cell r="F973" t="str">
            <v>SS24</v>
          </cell>
          <cell r="G973" t="str">
            <v>XR Textile</v>
          </cell>
          <cell r="H973" t="str">
            <v>PONCHK</v>
          </cell>
          <cell r="I973" t="str">
            <v>GRS Certified* 83% Post Consumer Recycled Polyester (RM0189) 17% Pre Consumer Recycled Polyamide (RM1084)</v>
          </cell>
          <cell r="M973" t="str">
            <v>6101.90.90.30</v>
          </cell>
          <cell r="N973">
            <v>6101309000</v>
          </cell>
          <cell r="O973">
            <v>6112399000</v>
          </cell>
          <cell r="P973" t="str">
            <v>6211 4390 00</v>
          </cell>
          <cell r="Q973">
            <v>6117109000</v>
          </cell>
          <cell r="R973" t="str">
            <v>6112.39.00</v>
          </cell>
          <cell r="S973">
            <v>6202</v>
          </cell>
        </row>
        <row r="974">
          <cell r="A974" t="str">
            <v>PONCHK-KID-MD-FLAM</v>
          </cell>
          <cell r="B974" t="str">
            <v>5.061E+12</v>
          </cell>
          <cell r="C974" t="str">
            <v>CLOSED</v>
          </cell>
          <cell r="D974" t="str">
            <v>Seasonal</v>
          </cell>
          <cell r="E974">
            <v>30</v>
          </cell>
          <cell r="F974" t="str">
            <v>SS24</v>
          </cell>
          <cell r="G974" t="str">
            <v>XR Textile</v>
          </cell>
          <cell r="H974" t="str">
            <v>PONCHK</v>
          </cell>
          <cell r="I974" t="str">
            <v>GRS Certified* 83% Post Consumer Recycled Polyester (RM0189) 17% Pre Consumer Recycled Polyamide (RM1084)</v>
          </cell>
          <cell r="M974" t="str">
            <v>6101.90.90.30</v>
          </cell>
          <cell r="N974">
            <v>6101309000</v>
          </cell>
          <cell r="O974">
            <v>6112399000</v>
          </cell>
          <cell r="P974" t="str">
            <v>6211 4390 00</v>
          </cell>
          <cell r="Q974">
            <v>6117109000</v>
          </cell>
          <cell r="R974" t="str">
            <v>6112.39.00</v>
          </cell>
          <cell r="S974">
            <v>6202</v>
          </cell>
        </row>
        <row r="975">
          <cell r="A975" t="str">
            <v>PONCHK-KID-MD-LEOP</v>
          </cell>
          <cell r="B975" t="str">
            <v>5.0607E+12</v>
          </cell>
          <cell r="C975" t="str">
            <v>CLOSED</v>
          </cell>
          <cell r="E975">
            <v>30</v>
          </cell>
          <cell r="F975" t="str">
            <v>SS23</v>
          </cell>
          <cell r="G975" t="str">
            <v>XR Textile</v>
          </cell>
          <cell r="H975" t="str">
            <v>PONCHK</v>
          </cell>
          <cell r="I975" t="str">
            <v>GRS Certified* 83% Post Consumer Recycled Polyester (RM0189) 17% Pre Consumer Recycled Polyamide (RM1084)</v>
          </cell>
          <cell r="M975" t="str">
            <v>6101.90.90.30</v>
          </cell>
          <cell r="N975">
            <v>6101309000</v>
          </cell>
          <cell r="O975">
            <v>6112399000</v>
          </cell>
          <cell r="P975" t="str">
            <v>6211 4390 00</v>
          </cell>
          <cell r="Q975">
            <v>6117109000</v>
          </cell>
          <cell r="R975" t="str">
            <v>6112.39.00</v>
          </cell>
          <cell r="S975">
            <v>6202</v>
          </cell>
        </row>
        <row r="976">
          <cell r="A976" t="str">
            <v>PONCHK-KID-MD-POWER</v>
          </cell>
          <cell r="B976" t="str">
            <v>5.0607E+12</v>
          </cell>
          <cell r="C976" t="str">
            <v>CLOSED</v>
          </cell>
          <cell r="D976" t="str">
            <v>Seasonal</v>
          </cell>
          <cell r="E976">
            <v>30</v>
          </cell>
          <cell r="F976" t="str">
            <v>SS23</v>
          </cell>
          <cell r="G976" t="str">
            <v>XR Textile</v>
          </cell>
          <cell r="H976" t="str">
            <v>PONCHK</v>
          </cell>
          <cell r="I976" t="str">
            <v>GRS Certified* 83% Post Consumer Recycled Polyester (RM0189) 17% Pre Consumer Recycled Polyamide (RM1084)</v>
          </cell>
          <cell r="M976" t="str">
            <v>6101.90.90.30</v>
          </cell>
          <cell r="N976">
            <v>6101309000</v>
          </cell>
          <cell r="O976">
            <v>6112399000</v>
          </cell>
          <cell r="P976" t="str">
            <v>6211 4390 00</v>
          </cell>
          <cell r="Q976">
            <v>6117109000</v>
          </cell>
          <cell r="R976" t="str">
            <v>6112.39.00</v>
          </cell>
          <cell r="S976">
            <v>6202</v>
          </cell>
        </row>
        <row r="977">
          <cell r="A977" t="str">
            <v>PONCHK-KID-MD-POWER-NS</v>
          </cell>
          <cell r="B977" t="str">
            <v>5.061E+12</v>
          </cell>
          <cell r="C977" t="str">
            <v>CLOSED</v>
          </cell>
          <cell r="D977" t="str">
            <v>Seasonal</v>
          </cell>
          <cell r="E977">
            <v>30</v>
          </cell>
          <cell r="F977" t="str">
            <v>SS24</v>
          </cell>
          <cell r="G977" t="str">
            <v>XR Textile</v>
          </cell>
          <cell r="H977" t="str">
            <v>PONCHK</v>
          </cell>
          <cell r="I977" t="str">
            <v>GRS Certified* 83% Post Consumer Recycled Polyester (RM0189) 17% Pre Consumer Recycled Polyamide (RM1084)</v>
          </cell>
        </row>
        <row r="978">
          <cell r="A978" t="str">
            <v>PONCHK-KID-MD-RAINB</v>
          </cell>
          <cell r="B978" t="str">
            <v>5.0607E+12</v>
          </cell>
          <cell r="C978" t="str">
            <v>CLOSED</v>
          </cell>
          <cell r="E978">
            <v>30</v>
          </cell>
          <cell r="F978" t="str">
            <v>SS23</v>
          </cell>
          <cell r="G978" t="str">
            <v>XR Textile</v>
          </cell>
          <cell r="H978" t="str">
            <v>PONCHK</v>
          </cell>
          <cell r="I978" t="str">
            <v>GRS Certified* 83% Post Consumer Recycled Polyester (RM0189) 17% Pre Consumer Recycled Polyamide (RM1084)</v>
          </cell>
        </row>
        <row r="979">
          <cell r="A979" t="str">
            <v>PONCHK-KID-MD-SQUIG</v>
          </cell>
          <cell r="B979" t="str">
            <v>5.0607E+12</v>
          </cell>
          <cell r="C979" t="str">
            <v>CLOSED</v>
          </cell>
          <cell r="E979">
            <v>30</v>
          </cell>
          <cell r="F979" t="str">
            <v>SS23</v>
          </cell>
          <cell r="G979" t="str">
            <v>XR Textile</v>
          </cell>
          <cell r="H979" t="str">
            <v>PONCHK</v>
          </cell>
          <cell r="I979" t="str">
            <v>GRS Certified* 83% Post Consumer Recycled Polyester (RM0189) 17% Pre Consumer Recycled Polyamide (RM1084)</v>
          </cell>
        </row>
        <row r="980">
          <cell r="A980" t="str">
            <v>PONCHK-KID-SM-CAMO</v>
          </cell>
          <cell r="B980" t="str">
            <v>5.0607E+12</v>
          </cell>
          <cell r="C980" t="str">
            <v>CLOSED</v>
          </cell>
          <cell r="D980" t="str">
            <v>Seasonal</v>
          </cell>
          <cell r="E980">
            <v>30</v>
          </cell>
          <cell r="F980" t="str">
            <v>SS23</v>
          </cell>
          <cell r="G980" t="str">
            <v>XR Textile</v>
          </cell>
          <cell r="H980" t="str">
            <v>PONCHK</v>
          </cell>
          <cell r="I980" t="str">
            <v>GRS Certified* 83% Post Consumer Recycled Polyester (RM0189) 17% Pre Consumer Recycled Polyamide (RM1084)</v>
          </cell>
        </row>
        <row r="981">
          <cell r="A981" t="str">
            <v>PONCHK-KID-SM-DOODMOOD</v>
          </cell>
          <cell r="B981" t="str">
            <v>5.061E+12</v>
          </cell>
          <cell r="C981" t="str">
            <v>CLOSED</v>
          </cell>
          <cell r="D981" t="str">
            <v>Seasonal</v>
          </cell>
          <cell r="E981">
            <v>30</v>
          </cell>
          <cell r="F981" t="str">
            <v>SS24</v>
          </cell>
          <cell r="G981" t="str">
            <v>XR Textile</v>
          </cell>
          <cell r="H981" t="str">
            <v>PONCHK</v>
          </cell>
          <cell r="I981" t="str">
            <v>GRS Certified* 83% Post Consumer Recycled Polyester (RM0189) 17% Pre Consumer Recycled Polyamide (RM1084)</v>
          </cell>
        </row>
        <row r="982">
          <cell r="A982" t="str">
            <v>PONCHK-KID-SM-LEOP</v>
          </cell>
          <cell r="B982" t="str">
            <v>5.0607E+12</v>
          </cell>
          <cell r="C982" t="str">
            <v>CLOSED</v>
          </cell>
          <cell r="E982">
            <v>30</v>
          </cell>
          <cell r="F982" t="str">
            <v>SS23</v>
          </cell>
          <cell r="G982" t="str">
            <v>XR Textile</v>
          </cell>
          <cell r="H982" t="str">
            <v>PONCHK</v>
          </cell>
          <cell r="I982" t="str">
            <v>GRS Certified* 83% Post Consumer Recycled Polyester (RM0189) 17% Pre Consumer Recycled Polyamide (RM1084)</v>
          </cell>
        </row>
        <row r="983">
          <cell r="A983" t="str">
            <v>PONCHK-KID-SM-POWER</v>
          </cell>
          <cell r="B983" t="str">
            <v>5.0607E+12</v>
          </cell>
          <cell r="C983" t="str">
            <v>CLOSED</v>
          </cell>
          <cell r="D983" t="str">
            <v>Seasonal</v>
          </cell>
          <cell r="E983">
            <v>30</v>
          </cell>
          <cell r="F983" t="str">
            <v>SS23</v>
          </cell>
          <cell r="G983" t="str">
            <v>XR Textile</v>
          </cell>
          <cell r="H983" t="str">
            <v>PONCHK</v>
          </cell>
          <cell r="I983" t="str">
            <v>GRS Certified* 83% Post Consumer Recycled Polyester (RM0189) 17% Pre Consumer Recycled Polyamide (RM1084)</v>
          </cell>
        </row>
        <row r="984">
          <cell r="A984" t="str">
            <v>PONCHK-KID-SM-RAINB</v>
          </cell>
          <cell r="B984" t="str">
            <v>5.0607E+12</v>
          </cell>
          <cell r="C984" t="str">
            <v>CLOSED</v>
          </cell>
          <cell r="E984">
            <v>30</v>
          </cell>
          <cell r="F984" t="str">
            <v>SS23</v>
          </cell>
          <cell r="G984" t="str">
            <v>XR Textile</v>
          </cell>
          <cell r="H984" t="str">
            <v>PONCHK</v>
          </cell>
          <cell r="I984" t="str">
            <v>GRS Certified* 83% Post Consumer Recycled Polyester (RM0189) 17% Pre Consumer Recycled Polyamide (RM1084)</v>
          </cell>
        </row>
        <row r="985">
          <cell r="A985" t="str">
            <v>PONCHK-KID-SM-SQUIG</v>
          </cell>
          <cell r="B985" t="str">
            <v>5.0607E+12</v>
          </cell>
          <cell r="C985" t="str">
            <v>CLOSED</v>
          </cell>
          <cell r="E985">
            <v>30</v>
          </cell>
          <cell r="F985" t="str">
            <v>SS23</v>
          </cell>
          <cell r="G985" t="str">
            <v>XR Textile</v>
          </cell>
          <cell r="H985" t="str">
            <v>PONCHK</v>
          </cell>
          <cell r="I985" t="str">
            <v>GRS Certified* 83% Post Consumer Recycled Polyester (RM0189) 17% Pre Consumer Recycled Polyamide (RM1084)</v>
          </cell>
        </row>
        <row r="986">
          <cell r="A986" t="str">
            <v>PONCHK-KID-XS-CAMO</v>
          </cell>
          <cell r="B986" t="str">
            <v>5.0607E+12</v>
          </cell>
          <cell r="C986" t="str">
            <v>CLOSED</v>
          </cell>
          <cell r="E986">
            <v>30</v>
          </cell>
          <cell r="F986" t="str">
            <v>SS23</v>
          </cell>
          <cell r="G986" t="str">
            <v>XR Textile</v>
          </cell>
          <cell r="H986" t="str">
            <v>PONCHK</v>
          </cell>
          <cell r="I986" t="str">
            <v>GRS Certified* 83% Post Consumer Recycled Polyester (RM0189) 17% Pre Consumer Recycled Polyamide (RM1084)</v>
          </cell>
        </row>
        <row r="987">
          <cell r="A987" t="str">
            <v>PONCHK-KID-XS-RAINB</v>
          </cell>
          <cell r="B987" t="str">
            <v>5.0607E+12</v>
          </cell>
          <cell r="C987" t="str">
            <v>CLOSED</v>
          </cell>
          <cell r="E987">
            <v>30</v>
          </cell>
          <cell r="F987" t="str">
            <v>SS23</v>
          </cell>
          <cell r="G987" t="str">
            <v>XR Textile</v>
          </cell>
          <cell r="H987" t="str">
            <v>PONCHK</v>
          </cell>
          <cell r="I987" t="str">
            <v>GRS Certified* 83% Post Consumer Recycled Polyester (RM0189) 17% Pre Consumer Recycled Polyamide (RM1084)</v>
          </cell>
        </row>
        <row r="988">
          <cell r="A988" t="str">
            <v>PONCHK-KID-XS-SQUIG</v>
          </cell>
          <cell r="B988" t="str">
            <v>5.0607E+12</v>
          </cell>
          <cell r="C988" t="str">
            <v>CLOSED</v>
          </cell>
          <cell r="E988">
            <v>30</v>
          </cell>
          <cell r="F988" t="str">
            <v>SS23</v>
          </cell>
          <cell r="G988" t="str">
            <v>XR Textile</v>
          </cell>
          <cell r="H988" t="str">
            <v>PONCHK</v>
          </cell>
          <cell r="I988" t="str">
            <v>GRS Certified* 83% Post Consumer Recycled Polyester (RM0189) 17% Pre Consumer Recycled Polyamide (RM1084)</v>
          </cell>
        </row>
        <row r="989">
          <cell r="A989" t="str">
            <v>PONCHK-SUM-SM-UNICN</v>
          </cell>
          <cell r="B989" t="str">
            <v>5.0607E+12</v>
          </cell>
          <cell r="C989" t="str">
            <v>CLOSED</v>
          </cell>
          <cell r="D989" t="str">
            <v>Seasonal</v>
          </cell>
          <cell r="E989">
            <v>30</v>
          </cell>
          <cell r="F989" t="str">
            <v>SS23</v>
          </cell>
          <cell r="G989" t="str">
            <v>XR Textile</v>
          </cell>
          <cell r="H989" t="str">
            <v>PONCHK</v>
          </cell>
          <cell r="I989" t="str">
            <v>GRS Certified* 83% Post Consumer Recycled Polyester (RM0189) 17% Pre Consumer Recycled Polyamide (RM1084)</v>
          </cell>
        </row>
        <row r="990">
          <cell r="A990" t="str">
            <v>PONCHOADULT-LAR-BLUE</v>
          </cell>
          <cell r="B990" t="str">
            <v>6.5097E+11</v>
          </cell>
          <cell r="C990" t="str">
            <v>CLOSED</v>
          </cell>
          <cell r="E990">
            <v>20</v>
          </cell>
          <cell r="F990" t="str">
            <v>before AW19</v>
          </cell>
          <cell r="G990" t="str">
            <v>XR Textile</v>
          </cell>
          <cell r="H990" t="str">
            <v>PONCHA</v>
          </cell>
          <cell r="I990" t="str">
            <v>GRS Certified* 83% Post Consumer Recycled Polyester (RM0189) 17% Pre Consumer Recycled Polyamide (RM1084)</v>
          </cell>
        </row>
        <row r="991">
          <cell r="A991" t="str">
            <v>PONCHOADULT-LAR-GREEN</v>
          </cell>
          <cell r="B991" t="str">
            <v>6.5097E+11</v>
          </cell>
          <cell r="C991" t="str">
            <v>CLOSED</v>
          </cell>
          <cell r="E991">
            <v>20</v>
          </cell>
          <cell r="G991" t="str">
            <v>XR Textile</v>
          </cell>
          <cell r="H991" t="str">
            <v>PONCHA</v>
          </cell>
          <cell r="I991" t="str">
            <v>GRS Certified* 83% Post Consumer Recycled Polyester (RM0189) 17% Pre Consumer Recycled Polyamide (RM1084)</v>
          </cell>
        </row>
        <row r="992">
          <cell r="A992" t="str">
            <v>PONCHOADULT-LAR-PINK</v>
          </cell>
          <cell r="B992" t="str">
            <v>6.5097E+11</v>
          </cell>
          <cell r="C992" t="str">
            <v>CLOSED</v>
          </cell>
          <cell r="E992">
            <v>20</v>
          </cell>
          <cell r="G992" t="str">
            <v>XR Textile</v>
          </cell>
          <cell r="H992" t="str">
            <v>PONCHA</v>
          </cell>
          <cell r="I992" t="str">
            <v>GRS Certified* 83% Post Consumer Recycled Polyester (RM0189) 17% Pre Consumer Recycled Polyamide (RM1084)</v>
          </cell>
        </row>
        <row r="993">
          <cell r="A993" t="str">
            <v>PONCHOADULT-LAR-RED</v>
          </cell>
          <cell r="B993" t="str">
            <v>6.5097E+11</v>
          </cell>
          <cell r="C993" t="str">
            <v>CLOSED</v>
          </cell>
          <cell r="E993">
            <v>20</v>
          </cell>
          <cell r="G993" t="str">
            <v>XR Textile</v>
          </cell>
          <cell r="H993" t="str">
            <v>PONCHA</v>
          </cell>
          <cell r="I993" t="str">
            <v>GRS Certified* 83% Post Consumer Recycled Polyester (RM0189) 17% Pre Consumer Recycled Polyamide (RM1084)</v>
          </cell>
        </row>
        <row r="994">
          <cell r="A994" t="str">
            <v>PONCHOADULT-LAR-YELLOW</v>
          </cell>
          <cell r="B994" t="str">
            <v>6.5097E+11</v>
          </cell>
          <cell r="C994" t="str">
            <v>CLOSED</v>
          </cell>
          <cell r="E994">
            <v>20</v>
          </cell>
          <cell r="G994" t="str">
            <v>XR Textile</v>
          </cell>
          <cell r="H994" t="str">
            <v>PONCHA</v>
          </cell>
          <cell r="I994" t="str">
            <v>GRS Certified* 83% Post Consumer Recycled Polyester (RM0189) 17% Pre Consumer Recycled Polyamide (RM1084)</v>
          </cell>
        </row>
        <row r="995">
          <cell r="A995" t="str">
            <v>PONCHOADULT-MED-BLUE</v>
          </cell>
          <cell r="B995" t="str">
            <v>6.5097E+11</v>
          </cell>
          <cell r="C995" t="str">
            <v>CLOSED</v>
          </cell>
          <cell r="E995">
            <v>20</v>
          </cell>
          <cell r="F995" t="str">
            <v>before AW20</v>
          </cell>
          <cell r="G995" t="str">
            <v>XR Textile</v>
          </cell>
          <cell r="H995" t="str">
            <v>PONCHA</v>
          </cell>
          <cell r="I995" t="str">
            <v>GRS Certified* 83% Post Consumer Recycled Polyester (RM0189) 17% Pre Consumer Recycled Polyamide (RM1084)</v>
          </cell>
        </row>
        <row r="996">
          <cell r="A996" t="str">
            <v>PONCHOADULT-MED-GREEN</v>
          </cell>
          <cell r="B996" t="str">
            <v>6.5097E+11</v>
          </cell>
          <cell r="C996" t="str">
            <v>CLOSED</v>
          </cell>
          <cell r="E996">
            <v>20</v>
          </cell>
          <cell r="F996" t="str">
            <v>before AW20</v>
          </cell>
          <cell r="G996" t="str">
            <v>XR Textile</v>
          </cell>
          <cell r="H996" t="str">
            <v>PONCHA</v>
          </cell>
          <cell r="I996" t="str">
            <v>GRS Certified* 83% Post Consumer Recycled Polyester (RM0189) 17% Pre Consumer Recycled Polyamide (RM1084)</v>
          </cell>
        </row>
        <row r="997">
          <cell r="A997" t="str">
            <v>PONCHOADULT-MED-GREY</v>
          </cell>
          <cell r="B997" t="str">
            <v>6.5097E+11</v>
          </cell>
          <cell r="C997" t="str">
            <v>CLOSED</v>
          </cell>
          <cell r="E997">
            <v>20</v>
          </cell>
          <cell r="F997" t="str">
            <v>before AW19</v>
          </cell>
          <cell r="G997" t="str">
            <v>XR Textile</v>
          </cell>
          <cell r="H997" t="str">
            <v>PONCHA</v>
          </cell>
          <cell r="I997" t="str">
            <v>GRS Certified* 83% Post Consumer Recycled Polyester (RM0189) 17% Pre Consumer Recycled Polyamide (RM1084)</v>
          </cell>
        </row>
        <row r="998">
          <cell r="A998" t="str">
            <v>PONCHOADULT-MED-PINK</v>
          </cell>
          <cell r="B998" t="str">
            <v>6.5097E+11</v>
          </cell>
          <cell r="C998" t="str">
            <v>CLOSED</v>
          </cell>
          <cell r="E998">
            <v>20</v>
          </cell>
          <cell r="G998" t="str">
            <v>XR Textile</v>
          </cell>
          <cell r="H998" t="str">
            <v>PONCHA</v>
          </cell>
          <cell r="I998" t="str">
            <v>GRS Certified* 83% Post Consumer Recycled Polyester (RM0189) 17% Pre Consumer Recycled Polyamide (RM1084)</v>
          </cell>
        </row>
        <row r="999">
          <cell r="A999" t="str">
            <v>PONCHOADULT-MED-RED</v>
          </cell>
          <cell r="B999" t="str">
            <v>6.5097E+11</v>
          </cell>
          <cell r="C999" t="str">
            <v>CLOSED</v>
          </cell>
          <cell r="E999">
            <v>20</v>
          </cell>
          <cell r="F999" t="str">
            <v>before AW19</v>
          </cell>
          <cell r="G999" t="str">
            <v>XR Textile</v>
          </cell>
          <cell r="H999" t="str">
            <v>PONCHA</v>
          </cell>
          <cell r="I999" t="str">
            <v>GRS Certified* 83% Post Consumer Recycled Polyester (RM0189) 17% Pre Consumer Recycled Polyamide (RM1084)</v>
          </cell>
        </row>
        <row r="1000">
          <cell r="A1000" t="str">
            <v>PONCHOADULT-MED-YELLOW</v>
          </cell>
          <cell r="B1000" t="str">
            <v>6.5097E+11</v>
          </cell>
          <cell r="C1000" t="str">
            <v>CLOSED</v>
          </cell>
          <cell r="E1000">
            <v>20</v>
          </cell>
          <cell r="G1000" t="str">
            <v>XR Textile</v>
          </cell>
          <cell r="H1000" t="str">
            <v>PONCHA</v>
          </cell>
          <cell r="I1000" t="str">
            <v>GRS Certified* 83% Post Consumer Recycled Polyester (RM0189) 17% Pre Consumer Recycled Polyamide (RM1084)</v>
          </cell>
        </row>
        <row r="1001">
          <cell r="A1001" t="str">
            <v>PONCHOADULT-SML-BLUE</v>
          </cell>
          <cell r="B1001" t="str">
            <v>5.0607E+12</v>
          </cell>
          <cell r="C1001" t="str">
            <v>CLOSED</v>
          </cell>
          <cell r="E1001">
            <v>20</v>
          </cell>
          <cell r="G1001" t="str">
            <v>XR Textile</v>
          </cell>
          <cell r="H1001" t="str">
            <v>PONCHA</v>
          </cell>
          <cell r="I1001" t="str">
            <v>GRS Certified* 83% Post Consumer Recycled Polyester (RM0189) 17% Pre Consumer Recycled Polyamide (RM1084)</v>
          </cell>
        </row>
        <row r="1002">
          <cell r="A1002" t="str">
            <v>PONCHOADULT-SML-GREEN</v>
          </cell>
          <cell r="B1002" t="str">
            <v>5.0607E+12</v>
          </cell>
          <cell r="C1002" t="str">
            <v>CLOSED</v>
          </cell>
          <cell r="E1002">
            <v>20</v>
          </cell>
          <cell r="G1002" t="str">
            <v>XR Textile</v>
          </cell>
          <cell r="H1002" t="str">
            <v>PONCHA</v>
          </cell>
          <cell r="I1002" t="str">
            <v>GRS Certified* 83% Post Consumer Recycled Polyester (RM0189) 17% Pre Consumer Recycled Polyamide (RM1084)</v>
          </cell>
        </row>
        <row r="1003">
          <cell r="A1003" t="str">
            <v>PONCHOADULT-SML-GREY</v>
          </cell>
          <cell r="B1003" t="str">
            <v>5.0607E+12</v>
          </cell>
          <cell r="C1003" t="str">
            <v>CLOSED</v>
          </cell>
          <cell r="E1003">
            <v>20</v>
          </cell>
          <cell r="G1003" t="str">
            <v>XR Textile</v>
          </cell>
          <cell r="H1003" t="str">
            <v>PONCHA</v>
          </cell>
          <cell r="I1003" t="str">
            <v>GRS Certified* 83% Post Consumer Recycled Polyester (RM0189) 17% Pre Consumer Recycled Polyamide (RM1084)</v>
          </cell>
        </row>
        <row r="1004">
          <cell r="A1004" t="str">
            <v>PONCHOADULT-SML-PINK</v>
          </cell>
          <cell r="B1004" t="str">
            <v>5.0607E+12</v>
          </cell>
          <cell r="C1004" t="str">
            <v>CLOSED</v>
          </cell>
          <cell r="E1004">
            <v>20</v>
          </cell>
          <cell r="G1004" t="str">
            <v>XR Textile</v>
          </cell>
          <cell r="H1004" t="str">
            <v>PONCHA</v>
          </cell>
          <cell r="I1004" t="str">
            <v>GRS Certified* 83% Post Consumer Recycled Polyester (RM0189) 17% Pre Consumer Recycled Polyamide (RM1084)</v>
          </cell>
        </row>
        <row r="1005">
          <cell r="A1005" t="str">
            <v>PONCHOADULT-SML-RED</v>
          </cell>
          <cell r="B1005" t="str">
            <v>5.0607E+12</v>
          </cell>
          <cell r="C1005" t="str">
            <v>CLOSED</v>
          </cell>
          <cell r="E1005">
            <v>20</v>
          </cell>
          <cell r="G1005" t="str">
            <v>XR Textile</v>
          </cell>
          <cell r="H1005" t="str">
            <v>PONCHA</v>
          </cell>
          <cell r="I1005" t="str">
            <v>GRS Certified* 83% Post Consumer Recycled Polyester (RM0189) 17% Pre Consumer Recycled Polyamide (RM1084)</v>
          </cell>
        </row>
        <row r="1006">
          <cell r="A1006" t="str">
            <v>PONCHOADULT-SML-YELLOW</v>
          </cell>
          <cell r="B1006" t="str">
            <v>5.0607E+12</v>
          </cell>
          <cell r="C1006" t="str">
            <v>CLOSED</v>
          </cell>
          <cell r="E1006">
            <v>20</v>
          </cell>
          <cell r="G1006" t="str">
            <v>XR Textile</v>
          </cell>
          <cell r="H1006" t="str">
            <v>PONCHA</v>
          </cell>
          <cell r="I1006" t="str">
            <v>GRS Certified* 83% Post Consumer Recycled Polyester (RM0189) 17% Pre Consumer Recycled Polyamide (RM1084)</v>
          </cell>
        </row>
        <row r="1007">
          <cell r="A1007" t="str">
            <v>PONCHOKIDS-MED-BLUE</v>
          </cell>
          <cell r="B1007" t="str">
            <v>5.0607E+12</v>
          </cell>
          <cell r="C1007" t="str">
            <v>CLOSED</v>
          </cell>
          <cell r="E1007">
            <v>30</v>
          </cell>
          <cell r="G1007" t="str">
            <v>XR Textile</v>
          </cell>
          <cell r="H1007" t="str">
            <v>PONCHK</v>
          </cell>
          <cell r="I1007" t="str">
            <v>GRS Certified* 83% Post Consumer Recycled Polyester (RM0189) 17% Pre Consumer Recycled Polyamide (RM1084)</v>
          </cell>
        </row>
        <row r="1008">
          <cell r="A1008" t="str">
            <v>PONCHOKIDS-MED-GREY</v>
          </cell>
          <cell r="B1008" t="str">
            <v>5.0607E+12</v>
          </cell>
          <cell r="C1008" t="str">
            <v>CLOSED</v>
          </cell>
          <cell r="E1008">
            <v>30</v>
          </cell>
          <cell r="G1008" t="str">
            <v>XR Textile</v>
          </cell>
          <cell r="H1008" t="str">
            <v>PONCHK</v>
          </cell>
          <cell r="I1008" t="str">
            <v>GRS Certified* 83% Post Consumer Recycled Polyester (RM0189) 17% Pre Consumer Recycled Polyamide (RM1084)</v>
          </cell>
        </row>
        <row r="1009">
          <cell r="A1009" t="str">
            <v>PONCHOKIDS-MED-RED</v>
          </cell>
          <cell r="B1009" t="str">
            <v>5.0607E+12</v>
          </cell>
          <cell r="C1009" t="str">
            <v>CLOSED</v>
          </cell>
          <cell r="E1009">
            <v>30</v>
          </cell>
          <cell r="G1009" t="str">
            <v>XR Textile</v>
          </cell>
          <cell r="H1009" t="str">
            <v>PONCHK</v>
          </cell>
          <cell r="I1009" t="str">
            <v>GRS Certified* 83% Post Consumer Recycled Polyester (RM0189) 17% Pre Consumer Recycled Polyamide (RM1084)</v>
          </cell>
        </row>
        <row r="1010">
          <cell r="A1010" t="str">
            <v>PONCHOKIDS-SML-BLUE</v>
          </cell>
          <cell r="B1010" t="str">
            <v>6.5097E+11</v>
          </cell>
          <cell r="C1010" t="str">
            <v>CLOSED</v>
          </cell>
          <cell r="E1010">
            <v>30</v>
          </cell>
          <cell r="G1010" t="str">
            <v>XR Textile</v>
          </cell>
          <cell r="H1010" t="str">
            <v>PONCHK</v>
          </cell>
          <cell r="I1010" t="str">
            <v>GRS Certified* 83% Post Consumer Recycled Polyester (RM0189) 17% Pre Consumer Recycled Polyamide (RM1084)</v>
          </cell>
        </row>
        <row r="1011">
          <cell r="A1011" t="str">
            <v>PONCHOKIDS-SML-GREY</v>
          </cell>
          <cell r="B1011" t="str">
            <v>6.5097E+11</v>
          </cell>
          <cell r="C1011" t="str">
            <v>CLOSED</v>
          </cell>
          <cell r="E1011">
            <v>30</v>
          </cell>
          <cell r="F1011" t="str">
            <v>before AW20</v>
          </cell>
          <cell r="G1011" t="str">
            <v>XR Textile</v>
          </cell>
          <cell r="H1011" t="str">
            <v>PONCHK</v>
          </cell>
          <cell r="I1011" t="str">
            <v>GRS Certified* 83% Post Consumer Recycled Polyester (RM0189) 17% Pre Consumer Recycled Polyamide (RM1084)</v>
          </cell>
        </row>
        <row r="1012">
          <cell r="A1012" t="str">
            <v>PONCHOKIDS-SML-PINK</v>
          </cell>
          <cell r="B1012" t="str">
            <v>6.5097E+11</v>
          </cell>
          <cell r="C1012" t="str">
            <v>CLOSED</v>
          </cell>
          <cell r="E1012">
            <v>20</v>
          </cell>
          <cell r="F1012" t="str">
            <v>before AW19</v>
          </cell>
          <cell r="G1012" t="str">
            <v>XR Textile</v>
          </cell>
          <cell r="H1012" t="str">
            <v>PONCHK</v>
          </cell>
          <cell r="I1012" t="str">
            <v>GRS Certified* 83% Post Consumer Recycled Polyester (RM0189) 17% Pre Consumer Recycled Polyamide (RM1084)</v>
          </cell>
        </row>
        <row r="1013">
          <cell r="A1013" t="str">
            <v>PONCHOKIDS-SML-PURPLE</v>
          </cell>
          <cell r="B1013" t="str">
            <v>6.5097E+11</v>
          </cell>
          <cell r="C1013" t="str">
            <v>CLOSED</v>
          </cell>
          <cell r="E1013">
            <v>30</v>
          </cell>
          <cell r="G1013" t="str">
            <v>XR Textile</v>
          </cell>
          <cell r="H1013" t="str">
            <v>PONCHK</v>
          </cell>
          <cell r="I1013" t="str">
            <v>GRS Certified* 83% Post Consumer Recycled Polyester (RM0189) 17% Pre Consumer Recycled Polyamide (RM1084)</v>
          </cell>
        </row>
        <row r="1014">
          <cell r="A1014" t="str">
            <v>PONCHOKIDS-SML-RED</v>
          </cell>
          <cell r="B1014" t="str">
            <v>6.5097E+11</v>
          </cell>
          <cell r="C1014" t="str">
            <v>CLOSED</v>
          </cell>
          <cell r="E1014">
            <v>20</v>
          </cell>
          <cell r="F1014" t="str">
            <v>before AW19</v>
          </cell>
          <cell r="G1014" t="str">
            <v>XR Textile</v>
          </cell>
          <cell r="H1014" t="str">
            <v>PONCHK</v>
          </cell>
          <cell r="I1014" t="str">
            <v>GRS Certified* 83% Post Consumer Recycled Polyester (RM0189) 17% Pre Consumer Recycled Polyamide (RM1084)</v>
          </cell>
        </row>
        <row r="1015">
          <cell r="A1015" t="str">
            <v>PONCHOKIDS-SML-YELLOW</v>
          </cell>
          <cell r="B1015" t="str">
            <v>6.5097E+11</v>
          </cell>
          <cell r="C1015" t="str">
            <v>CLOSED</v>
          </cell>
          <cell r="E1015">
            <v>20</v>
          </cell>
          <cell r="F1015" t="str">
            <v>before AW19</v>
          </cell>
          <cell r="G1015" t="str">
            <v>XR Textile</v>
          </cell>
          <cell r="H1015" t="str">
            <v>PONCHK</v>
          </cell>
          <cell r="I1015" t="str">
            <v>GRS Certified* 83% Post Consumer Recycled Polyester (RM0189) 17% Pre Consumer Recycled Polyamide (RM1084)</v>
          </cell>
        </row>
        <row r="1016">
          <cell r="A1016" t="str">
            <v>PONCHOKIDS-XSM-BLUE</v>
          </cell>
          <cell r="B1016" t="str">
            <v>6.5097E+11</v>
          </cell>
          <cell r="C1016" t="str">
            <v>CLOSED</v>
          </cell>
          <cell r="E1016">
            <v>30</v>
          </cell>
          <cell r="F1016" t="str">
            <v>before AW20</v>
          </cell>
          <cell r="G1016" t="str">
            <v>XR Textile</v>
          </cell>
          <cell r="H1016" t="str">
            <v>PONCHK</v>
          </cell>
          <cell r="I1016" t="str">
            <v>GRS Certified* 83% Post Consumer Recycled Polyester (RM0189) 17% Pre Consumer Recycled Polyamide (RM1084)</v>
          </cell>
        </row>
        <row r="1017">
          <cell r="A1017" t="str">
            <v>PONCHOKIDS-XSM-GREEN</v>
          </cell>
          <cell r="B1017" t="str">
            <v>6.5097E+11</v>
          </cell>
          <cell r="C1017" t="str">
            <v>CLOSED</v>
          </cell>
          <cell r="F1017" t="str">
            <v>before AW19</v>
          </cell>
          <cell r="G1017" t="str">
            <v>XR Textile</v>
          </cell>
          <cell r="H1017" t="str">
            <v>PONCHK</v>
          </cell>
          <cell r="I1017" t="str">
            <v>GRS Certified* 83% Post Consumer Recycled Polyester (RM0189) 17% Pre Consumer Recycled Polyamide (RM1084)</v>
          </cell>
        </row>
        <row r="1018">
          <cell r="A1018" t="str">
            <v>PONCHOKIDS-XSM-GREY</v>
          </cell>
          <cell r="B1018" t="str">
            <v>6.5097E+11</v>
          </cell>
          <cell r="C1018" t="str">
            <v>CLOSED</v>
          </cell>
          <cell r="F1018" t="str">
            <v>before AW19</v>
          </cell>
          <cell r="G1018" t="str">
            <v>XR Textile</v>
          </cell>
          <cell r="H1018" t="str">
            <v>PONCHK</v>
          </cell>
          <cell r="I1018" t="str">
            <v>GRS Certified* 83% Post Consumer Recycled Polyester (RM0189) 17% Pre Consumer Recycled Polyamide (RM1084)</v>
          </cell>
        </row>
        <row r="1019">
          <cell r="A1019" t="str">
            <v>PONCHOKIDS-XSM-PINK</v>
          </cell>
          <cell r="B1019" t="str">
            <v>6.5097E+11</v>
          </cell>
          <cell r="C1019" t="str">
            <v>CLOSED</v>
          </cell>
          <cell r="E1019">
            <v>30</v>
          </cell>
          <cell r="F1019" t="str">
            <v>before AW20</v>
          </cell>
          <cell r="G1019" t="str">
            <v>XR Textile</v>
          </cell>
          <cell r="H1019" t="str">
            <v>PONCHK</v>
          </cell>
          <cell r="I1019" t="str">
            <v>GRS Certified* 83% Post Consumer Recycled Polyester (RM0189) 17% Pre Consumer Recycled Polyamide (RM1084)</v>
          </cell>
        </row>
        <row r="1020">
          <cell r="A1020" t="str">
            <v>PONCHOKIDS-XSM-RED</v>
          </cell>
          <cell r="B1020" t="str">
            <v>6.5097E+11</v>
          </cell>
          <cell r="C1020" t="str">
            <v>CLOSED</v>
          </cell>
          <cell r="F1020" t="str">
            <v>before AW19</v>
          </cell>
          <cell r="G1020" t="str">
            <v>XR Textile</v>
          </cell>
          <cell r="H1020" t="str">
            <v>PONCHK</v>
          </cell>
          <cell r="I1020" t="str">
            <v>GRS Certified* 83% Post Consumer Recycled Polyester (RM0189) 17% Pre Consumer Recycled Polyamide (RM1084)</v>
          </cell>
        </row>
        <row r="1021">
          <cell r="A1021" t="str">
            <v>PONCHOKIDS-XSM-YELLOW</v>
          </cell>
          <cell r="B1021" t="str">
            <v>6.5097E+11</v>
          </cell>
          <cell r="C1021" t="str">
            <v>CLOSED</v>
          </cell>
          <cell r="F1021" t="str">
            <v>before AW19</v>
          </cell>
          <cell r="G1021" t="str">
            <v>XR Textile</v>
          </cell>
          <cell r="H1021" t="str">
            <v>PONCHK</v>
          </cell>
          <cell r="I1021" t="str">
            <v>GRS Certified* 83% Post Consumer Recycled Polyester (RM0189) 17% Pre Consumer Recycled Polyamide (RM1084)</v>
          </cell>
        </row>
        <row r="1022">
          <cell r="A1022" t="str">
            <v>POS-DIS-PREM-EXRS</v>
          </cell>
          <cell r="B1022" t="str">
            <v>8.0101E+10</v>
          </cell>
          <cell r="C1022" t="str">
            <v>CLOSED</v>
          </cell>
          <cell r="D1022" t="str">
            <v>Non-Core</v>
          </cell>
          <cell r="E1022">
            <v>1</v>
          </cell>
          <cell r="F1022" t="str">
            <v>SS24</v>
          </cell>
          <cell r="G1022" t="str">
            <v>Forming Reality</v>
          </cell>
          <cell r="H1022" t="str">
            <v>POS</v>
          </cell>
        </row>
        <row r="1023">
          <cell r="A1023" t="str">
            <v>POS-DIS-PREM-PEG-BOARD</v>
          </cell>
          <cell r="B1023" t="str">
            <v>8.0101E+10</v>
          </cell>
          <cell r="C1023" t="str">
            <v>CLOSED</v>
          </cell>
          <cell r="D1023" t="str">
            <v>Non-Core</v>
          </cell>
          <cell r="E1023">
            <v>1</v>
          </cell>
          <cell r="F1023" t="str">
            <v>SS24</v>
          </cell>
          <cell r="G1023" t="str">
            <v>Forming Reality</v>
          </cell>
          <cell r="H1023" t="str">
            <v>POS</v>
          </cell>
        </row>
        <row r="1024">
          <cell r="A1024" t="str">
            <v>POS-DIS-PREM-WOOD-BASKET</v>
          </cell>
          <cell r="B1024" t="str">
            <v>8.0101E+10</v>
          </cell>
          <cell r="C1024" t="str">
            <v>CLOSED</v>
          </cell>
          <cell r="D1024" t="str">
            <v>Non-Core</v>
          </cell>
          <cell r="E1024">
            <v>1</v>
          </cell>
          <cell r="F1024" t="str">
            <v>SS24</v>
          </cell>
          <cell r="G1024" t="str">
            <v>Forming Reality</v>
          </cell>
          <cell r="H1024" t="str">
            <v>POS</v>
          </cell>
        </row>
        <row r="1025">
          <cell r="A1025" t="str">
            <v>POS-DISPLAY-LG-FR-22</v>
          </cell>
          <cell r="B1025" t="str">
            <v>6.5097E+11</v>
          </cell>
          <cell r="C1025" t="str">
            <v>CLOSED</v>
          </cell>
          <cell r="D1025" t="str">
            <v>Non-Core</v>
          </cell>
          <cell r="E1025">
            <v>1</v>
          </cell>
          <cell r="F1025" t="str">
            <v>SS22</v>
          </cell>
          <cell r="G1025" t="str">
            <v>XR Textile</v>
          </cell>
          <cell r="H1025" t="str">
            <v>POS</v>
          </cell>
        </row>
        <row r="1026">
          <cell r="A1026" t="str">
            <v>POS-DISPLAY-LG-R</v>
          </cell>
          <cell r="B1026" t="str">
            <v>6.5097E+11</v>
          </cell>
          <cell r="C1026" t="str">
            <v>CLOSED</v>
          </cell>
          <cell r="D1026" t="str">
            <v>Non-Core</v>
          </cell>
          <cell r="E1026">
            <v>1</v>
          </cell>
          <cell r="F1026" t="str">
            <v>SS21</v>
          </cell>
          <cell r="G1026" t="str">
            <v>XR Textile</v>
          </cell>
          <cell r="H1026" t="str">
            <v>POS</v>
          </cell>
        </row>
        <row r="1027">
          <cell r="A1027" t="str">
            <v>POS-DISPLAY-SM-FR-22</v>
          </cell>
          <cell r="B1027" t="str">
            <v>6.5097E+11</v>
          </cell>
          <cell r="C1027" t="str">
            <v>CLOSED</v>
          </cell>
          <cell r="D1027" t="str">
            <v>Non-Core</v>
          </cell>
          <cell r="E1027">
            <v>1</v>
          </cell>
          <cell r="F1027" t="str">
            <v>SS22</v>
          </cell>
          <cell r="G1027" t="str">
            <v>XR Textile</v>
          </cell>
          <cell r="H1027" t="str">
            <v>POS</v>
          </cell>
        </row>
        <row r="1028">
          <cell r="A1028" t="str">
            <v>POS-DISPLAY-SM-R</v>
          </cell>
          <cell r="B1028" t="str">
            <v>6.5097E+11</v>
          </cell>
          <cell r="C1028" t="str">
            <v>CLOSED</v>
          </cell>
          <cell r="D1028" t="str">
            <v>Non-Core</v>
          </cell>
          <cell r="E1028">
            <v>1</v>
          </cell>
          <cell r="F1028" t="str">
            <v>SS21</v>
          </cell>
          <cell r="G1028" t="str">
            <v>XR Textile</v>
          </cell>
          <cell r="H1028" t="str">
            <v>POS</v>
          </cell>
        </row>
        <row r="1029">
          <cell r="A1029" t="str">
            <v>PP-TOWLB-DES-LG-4SETE</v>
          </cell>
          <cell r="B1029" t="str">
            <v>5.061E+12</v>
          </cell>
          <cell r="C1029" t="str">
            <v>CLOSED</v>
          </cell>
          <cell r="E1029">
            <v>10</v>
          </cell>
          <cell r="G1029" t="str">
            <v>XR Textile</v>
          </cell>
          <cell r="H1029" t="str">
            <v>TOWLB</v>
          </cell>
          <cell r="I1029" t="str">
            <v>GRS Certified* 83% Post Consumer Recycled Polyester (RM0189) 17% Pre Consumer Recycled Polyamide (RM1084)</v>
          </cell>
        </row>
        <row r="1030">
          <cell r="A1030" t="str">
            <v>PP-TOWLB-SUM-XL-6SETA</v>
          </cell>
          <cell r="B1030" t="str">
            <v>5.061E+12</v>
          </cell>
          <cell r="C1030" t="str">
            <v>CLOSED</v>
          </cell>
          <cell r="E1030">
            <v>5</v>
          </cell>
          <cell r="G1030" t="str">
            <v>XR Textile</v>
          </cell>
          <cell r="H1030" t="str">
            <v>TOWLB</v>
          </cell>
          <cell r="I1030" t="str">
            <v>GRS Certified* 83% Post Consumer Recycled Polyester (RM0189) 17% Pre Consumer Recycled Polyamide (RM1084)</v>
          </cell>
        </row>
        <row r="1031">
          <cell r="A1031" t="str">
            <v>ROBE-CBH-MD-NAVY</v>
          </cell>
          <cell r="B1031" t="str">
            <v>5.0607E+12</v>
          </cell>
          <cell r="C1031" t="str">
            <v>CLOSED</v>
          </cell>
          <cell r="E1031">
            <v>10</v>
          </cell>
          <cell r="F1031" t="str">
            <v>AW23</v>
          </cell>
          <cell r="G1031" t="str">
            <v>XR Textile</v>
          </cell>
          <cell r="H1031" t="str">
            <v>ROBE</v>
          </cell>
        </row>
        <row r="1032">
          <cell r="A1032" t="str">
            <v>ROBE-CLA-MD-WHITE</v>
          </cell>
          <cell r="B1032" t="str">
            <v>5.0607E+12</v>
          </cell>
          <cell r="C1032" t="str">
            <v>CLOSED</v>
          </cell>
          <cell r="E1032">
            <v>10</v>
          </cell>
          <cell r="F1032" t="str">
            <v>AW22</v>
          </cell>
          <cell r="G1032" t="str">
            <v>XR Textile</v>
          </cell>
          <cell r="H1032" t="str">
            <v>ROBE</v>
          </cell>
        </row>
        <row r="1033">
          <cell r="A1033" t="str">
            <v>ROBE-GEO-MD-PINK</v>
          </cell>
          <cell r="B1033" t="str">
            <v>5.0607E+12</v>
          </cell>
          <cell r="C1033" t="str">
            <v>CLOSED</v>
          </cell>
          <cell r="E1033">
            <v>10</v>
          </cell>
          <cell r="F1033" t="str">
            <v>AW23</v>
          </cell>
          <cell r="G1033" t="str">
            <v>XR Textile</v>
          </cell>
          <cell r="H1033" t="str">
            <v>ROBE</v>
          </cell>
        </row>
        <row r="1034">
          <cell r="A1034" t="str">
            <v>ROBE-RET-MD-MONT</v>
          </cell>
          <cell r="B1034" t="str">
            <v>5.0607E+12</v>
          </cell>
          <cell r="C1034" t="str">
            <v>CLOSED</v>
          </cell>
          <cell r="E1034">
            <v>10</v>
          </cell>
          <cell r="F1034" t="str">
            <v>AW22</v>
          </cell>
          <cell r="G1034" t="str">
            <v>XR Textile</v>
          </cell>
          <cell r="H1034" t="str">
            <v>ROBE</v>
          </cell>
        </row>
        <row r="1035">
          <cell r="A1035" t="str">
            <v>ROBE-RET-MD-SINH</v>
          </cell>
          <cell r="B1035" t="str">
            <v>5.0607E+12</v>
          </cell>
          <cell r="C1035" t="str">
            <v>CLOSED</v>
          </cell>
          <cell r="E1035">
            <v>10</v>
          </cell>
          <cell r="F1035" t="str">
            <v>AW22</v>
          </cell>
          <cell r="G1035" t="str">
            <v>XR Textile</v>
          </cell>
          <cell r="H1035" t="str">
            <v>ROBE</v>
          </cell>
        </row>
        <row r="1036">
          <cell r="A1036" t="str">
            <v>ROUND-CROSS-ORANGE</v>
          </cell>
          <cell r="B1036" t="str">
            <v>6.3739E+11</v>
          </cell>
          <cell r="C1036" t="str">
            <v>CLOSED</v>
          </cell>
          <cell r="F1036" t="str">
            <v>before AW19</v>
          </cell>
          <cell r="G1036" t="str">
            <v>XR Textile</v>
          </cell>
          <cell r="H1036" t="str">
            <v>TOWLB</v>
          </cell>
          <cell r="I1036" t="str">
            <v>GRS Certified* 83% Post Consumer Recycled Polyester (RM0189) 17% Pre Consumer Recycled Polyamide (RM1084)</v>
          </cell>
        </row>
        <row r="1037">
          <cell r="A1037" t="str">
            <v>ROUND-CROSS-RED</v>
          </cell>
          <cell r="B1037" t="str">
            <v>6.3739E+11</v>
          </cell>
          <cell r="C1037" t="str">
            <v>CLOSED</v>
          </cell>
          <cell r="F1037" t="str">
            <v>before AW19</v>
          </cell>
          <cell r="G1037" t="str">
            <v>XR Textile</v>
          </cell>
          <cell r="H1037" t="str">
            <v>TOWLB</v>
          </cell>
          <cell r="I1037" t="str">
            <v>GRS Certified* 83% Post Consumer Recycled Polyester (RM0189) 17% Pre Consumer Recycled Polyamide (RM1084)</v>
          </cell>
        </row>
        <row r="1038">
          <cell r="A1038" t="str">
            <v>ROUND-MAZE-PINK</v>
          </cell>
          <cell r="B1038" t="str">
            <v>6.3739E+11</v>
          </cell>
          <cell r="C1038" t="str">
            <v>CLOSED</v>
          </cell>
          <cell r="F1038" t="str">
            <v>before AW19</v>
          </cell>
          <cell r="G1038" t="str">
            <v>XR Textile</v>
          </cell>
          <cell r="H1038" t="str">
            <v>TOWLB</v>
          </cell>
          <cell r="I1038" t="str">
            <v>GRS Certified* 83% Post Consumer Recycled Polyester (RM0189) 17% Pre Consumer Recycled Polyamide (RM1084)</v>
          </cell>
        </row>
        <row r="1039">
          <cell r="A1039" t="str">
            <v>ROUND-STRIPE-BLUE</v>
          </cell>
          <cell r="B1039" t="str">
            <v>6.5097E+11</v>
          </cell>
          <cell r="C1039" t="str">
            <v>CLOSED</v>
          </cell>
          <cell r="E1039">
            <v>20</v>
          </cell>
          <cell r="G1039" t="str">
            <v>XR Textile</v>
          </cell>
          <cell r="H1039" t="str">
            <v>TOWLB</v>
          </cell>
          <cell r="I1039" t="str">
            <v>GRS Certified* 83% Post Consumer Recycled Polyester (RM0189) 17% Pre Consumer Recycled Polyamide (RM1084)</v>
          </cell>
        </row>
        <row r="1040">
          <cell r="A1040" t="str">
            <v>ROUND-STRIPE-GREEN</v>
          </cell>
          <cell r="B1040" t="str">
            <v>6.5097E+11</v>
          </cell>
          <cell r="C1040" t="str">
            <v>CLOSED</v>
          </cell>
          <cell r="E1040">
            <v>20</v>
          </cell>
          <cell r="G1040" t="str">
            <v>XR Textile</v>
          </cell>
          <cell r="H1040" t="str">
            <v>TOWLB</v>
          </cell>
          <cell r="I1040" t="str">
            <v>GRS Certified* 83% Post Consumer Recycled Polyester (RM0189) 17% Pre Consumer Recycled Polyamide (RM1084)</v>
          </cell>
        </row>
        <row r="1041">
          <cell r="A1041" t="str">
            <v>ROUND-STRIPE-GREY</v>
          </cell>
          <cell r="B1041" t="str">
            <v>6.5097E+11</v>
          </cell>
          <cell r="C1041" t="str">
            <v>CLOSED</v>
          </cell>
          <cell r="E1041">
            <v>20</v>
          </cell>
          <cell r="G1041" t="str">
            <v>XR Textile</v>
          </cell>
          <cell r="H1041" t="str">
            <v>TOWLB</v>
          </cell>
          <cell r="I1041" t="str">
            <v>GRS Certified* 83% Post Consumer Recycled Polyester (RM0189) 17% Pre Consumer Recycled Polyamide (RM1084)</v>
          </cell>
        </row>
        <row r="1042">
          <cell r="A1042" t="str">
            <v>ROUND-STRIPE-PINK</v>
          </cell>
          <cell r="B1042" t="str">
            <v>6.5097E+11</v>
          </cell>
          <cell r="C1042" t="str">
            <v>CLOSED</v>
          </cell>
          <cell r="E1042">
            <v>20</v>
          </cell>
          <cell r="G1042" t="str">
            <v>XR Textile</v>
          </cell>
          <cell r="H1042" t="str">
            <v>TOWLB</v>
          </cell>
          <cell r="I1042" t="str">
            <v>GRS Certified* 83% Post Consumer Recycled Polyester (RM0189) 17% Pre Consumer Recycled Polyamide (RM1084)</v>
          </cell>
        </row>
        <row r="1043">
          <cell r="A1043" t="str">
            <v>ROUND-STRIPE-RED</v>
          </cell>
          <cell r="B1043" t="str">
            <v>6.5097E+11</v>
          </cell>
          <cell r="C1043" t="str">
            <v>CLOSED</v>
          </cell>
          <cell r="E1043">
            <v>20</v>
          </cell>
          <cell r="G1043" t="str">
            <v>XR Textile</v>
          </cell>
          <cell r="H1043" t="str">
            <v>TOWLB</v>
          </cell>
          <cell r="I1043" t="str">
            <v>GRS Certified* 83% Post Consumer Recycled Polyester (RM0189) 17% Pre Consumer Recycled Polyamide (RM1084)</v>
          </cell>
        </row>
        <row r="1044">
          <cell r="A1044" t="str">
            <v>S18-CLASSIC-SML-ORANGE</v>
          </cell>
          <cell r="C1044" t="str">
            <v>CLOSED</v>
          </cell>
          <cell r="E1044">
            <v>50</v>
          </cell>
          <cell r="F1044" t="str">
            <v>before AW19</v>
          </cell>
        </row>
        <row r="1045">
          <cell r="A1045" t="str">
            <v>SANDBAG-LTPNK</v>
          </cell>
          <cell r="B1045" t="str">
            <v>5.0607E+12</v>
          </cell>
          <cell r="C1045" t="str">
            <v>CLOSED</v>
          </cell>
        </row>
        <row r="1046">
          <cell r="A1046" t="str">
            <v>SHORTS-BOT-LG-BANA</v>
          </cell>
          <cell r="B1046" t="str">
            <v>5.0607E+12</v>
          </cell>
          <cell r="C1046" t="str">
            <v>CLOSED</v>
          </cell>
          <cell r="E1046">
            <v>30</v>
          </cell>
          <cell r="F1046" t="str">
            <v>SS21</v>
          </cell>
          <cell r="G1046" t="str">
            <v>Shaoxing Garment (Belinda)</v>
          </cell>
          <cell r="H1046" t="str">
            <v>SHORTS</v>
          </cell>
        </row>
        <row r="1047">
          <cell r="A1047" t="str">
            <v>SHORTS-BOT-LG-PARA</v>
          </cell>
          <cell r="B1047" t="str">
            <v>5.0607E+12</v>
          </cell>
          <cell r="C1047" t="str">
            <v>CLOSED</v>
          </cell>
          <cell r="E1047">
            <v>30</v>
          </cell>
          <cell r="F1047" t="str">
            <v>SS21</v>
          </cell>
          <cell r="G1047" t="str">
            <v>Shaoxing Garment (Belinda)</v>
          </cell>
          <cell r="H1047" t="str">
            <v>SHORTS</v>
          </cell>
        </row>
        <row r="1048">
          <cell r="A1048" t="str">
            <v>SHORTS-BOT-MD-BANA</v>
          </cell>
          <cell r="B1048" t="str">
            <v>5.0607E+12</v>
          </cell>
          <cell r="C1048" t="str">
            <v>CLOSED</v>
          </cell>
          <cell r="E1048">
            <v>30</v>
          </cell>
          <cell r="F1048" t="str">
            <v>SS21</v>
          </cell>
          <cell r="G1048" t="str">
            <v>Shaoxing Garment (Belinda)</v>
          </cell>
          <cell r="H1048" t="str">
            <v>SHORTS</v>
          </cell>
        </row>
        <row r="1049">
          <cell r="A1049" t="str">
            <v>SHORTS-BOT-MD-PALM</v>
          </cell>
          <cell r="B1049" t="str">
            <v>5.0607E+12</v>
          </cell>
          <cell r="C1049" t="str">
            <v>CLOSED</v>
          </cell>
          <cell r="E1049">
            <v>30</v>
          </cell>
          <cell r="F1049" t="str">
            <v>SS21</v>
          </cell>
          <cell r="G1049" t="str">
            <v>Shaoxing Garment (Belinda)</v>
          </cell>
          <cell r="H1049" t="str">
            <v>SHORTS</v>
          </cell>
        </row>
        <row r="1050">
          <cell r="A1050" t="str">
            <v>SHORTS-BOT-MD-PARA</v>
          </cell>
          <cell r="B1050" t="str">
            <v>5.0607E+12</v>
          </cell>
          <cell r="C1050" t="str">
            <v>CLOSED</v>
          </cell>
          <cell r="E1050">
            <v>30</v>
          </cell>
          <cell r="F1050" t="str">
            <v>SS21</v>
          </cell>
          <cell r="G1050" t="str">
            <v>Shaoxing Garment (Belinda)</v>
          </cell>
          <cell r="H1050" t="str">
            <v>SHORTS</v>
          </cell>
        </row>
        <row r="1051">
          <cell r="A1051" t="str">
            <v>SHORTS-BOT-SM-BANA</v>
          </cell>
          <cell r="B1051" t="str">
            <v>5.0607E+12</v>
          </cell>
          <cell r="C1051" t="str">
            <v>CLOSED</v>
          </cell>
          <cell r="E1051">
            <v>30</v>
          </cell>
          <cell r="F1051" t="str">
            <v>SS21</v>
          </cell>
          <cell r="G1051" t="str">
            <v>Shaoxing Garment (Belinda)</v>
          </cell>
          <cell r="H1051" t="str">
            <v>SHORTS</v>
          </cell>
        </row>
        <row r="1052">
          <cell r="A1052" t="str">
            <v>SHORTS-BOT-SM-PARA</v>
          </cell>
          <cell r="B1052" t="str">
            <v>5.0607E+12</v>
          </cell>
          <cell r="C1052" t="str">
            <v>CLOSED</v>
          </cell>
          <cell r="E1052">
            <v>30</v>
          </cell>
          <cell r="F1052" t="str">
            <v>SS21</v>
          </cell>
          <cell r="G1052" t="str">
            <v>Shaoxing Garment (Belinda)</v>
          </cell>
          <cell r="H1052" t="str">
            <v>SHORTS</v>
          </cell>
        </row>
        <row r="1053">
          <cell r="A1053" t="str">
            <v>SHORTS-BOT-XL-BANA</v>
          </cell>
          <cell r="B1053" t="str">
            <v>5.0607E+12</v>
          </cell>
          <cell r="C1053" t="str">
            <v>CLOSED</v>
          </cell>
          <cell r="E1053">
            <v>30</v>
          </cell>
          <cell r="F1053" t="str">
            <v>SS21</v>
          </cell>
          <cell r="G1053" t="str">
            <v>Shaoxing Garment (Belinda)</v>
          </cell>
          <cell r="H1053" t="str">
            <v>SHORTS</v>
          </cell>
        </row>
        <row r="1054">
          <cell r="A1054" t="str">
            <v>SHORTS-BOT-XL-PARA</v>
          </cell>
          <cell r="B1054" t="str">
            <v>5.0607E+12</v>
          </cell>
          <cell r="C1054" t="str">
            <v>CLOSED</v>
          </cell>
          <cell r="E1054">
            <v>30</v>
          </cell>
          <cell r="F1054" t="str">
            <v>SS21</v>
          </cell>
          <cell r="G1054" t="str">
            <v>Shaoxing Garment (Belinda)</v>
          </cell>
          <cell r="H1054" t="str">
            <v>SHORTS</v>
          </cell>
        </row>
        <row r="1055">
          <cell r="A1055" t="str">
            <v>SHORTS-CAB-LG-BLUE</v>
          </cell>
          <cell r="B1055" t="str">
            <v>5.0607E+12</v>
          </cell>
          <cell r="C1055" t="str">
            <v>CLOSED</v>
          </cell>
          <cell r="E1055">
            <v>30</v>
          </cell>
          <cell r="F1055" t="str">
            <v>before AW20</v>
          </cell>
          <cell r="G1055" t="str">
            <v>Shaoxing Garment (Belinda)</v>
          </cell>
          <cell r="H1055" t="str">
            <v>SHORTS</v>
          </cell>
        </row>
        <row r="1056">
          <cell r="A1056" t="str">
            <v>SHORTS-CAB-LG-RAIN</v>
          </cell>
          <cell r="B1056" t="str">
            <v>5.0607E+12</v>
          </cell>
          <cell r="C1056" t="str">
            <v>CLOSED</v>
          </cell>
          <cell r="E1056">
            <v>30</v>
          </cell>
          <cell r="F1056" t="str">
            <v>before AW20</v>
          </cell>
          <cell r="G1056" t="str">
            <v>Shaoxing Garment (Belinda)</v>
          </cell>
          <cell r="H1056" t="str">
            <v>SHORTS</v>
          </cell>
        </row>
        <row r="1057">
          <cell r="A1057" t="str">
            <v>SHORTS-CAB-LG-RED</v>
          </cell>
          <cell r="B1057" t="str">
            <v>5.0607E+12</v>
          </cell>
          <cell r="C1057" t="str">
            <v>CLOSED</v>
          </cell>
          <cell r="E1057">
            <v>30</v>
          </cell>
          <cell r="F1057" t="str">
            <v>before AW20</v>
          </cell>
          <cell r="G1057" t="str">
            <v>Shaoxing Garment (Belinda)</v>
          </cell>
          <cell r="H1057" t="str">
            <v>SHORTS</v>
          </cell>
        </row>
        <row r="1058">
          <cell r="A1058" t="str">
            <v>SHORTS-CAB-MD-BLUE</v>
          </cell>
          <cell r="B1058" t="str">
            <v>5.0607E+12</v>
          </cell>
          <cell r="C1058" t="str">
            <v>CLOSED</v>
          </cell>
          <cell r="E1058">
            <v>30</v>
          </cell>
          <cell r="F1058" t="str">
            <v>before AW20</v>
          </cell>
          <cell r="G1058" t="str">
            <v>Shaoxing Garment (Belinda)</v>
          </cell>
          <cell r="H1058" t="str">
            <v>SHORTS</v>
          </cell>
        </row>
        <row r="1059">
          <cell r="A1059" t="str">
            <v>SHORTS-CAB-MD-RAIN</v>
          </cell>
          <cell r="B1059" t="str">
            <v>5.0607E+12</v>
          </cell>
          <cell r="C1059" t="str">
            <v>CLOSED</v>
          </cell>
          <cell r="E1059">
            <v>30</v>
          </cell>
          <cell r="F1059" t="str">
            <v>before AW20</v>
          </cell>
          <cell r="G1059" t="str">
            <v>Shaoxing Garment (Belinda)</v>
          </cell>
          <cell r="H1059" t="str">
            <v>SHORTS</v>
          </cell>
        </row>
        <row r="1060">
          <cell r="A1060" t="str">
            <v>SHORTS-CAB-MD-RED</v>
          </cell>
          <cell r="B1060" t="str">
            <v>5.0607E+12</v>
          </cell>
          <cell r="C1060" t="str">
            <v>CLOSED</v>
          </cell>
          <cell r="E1060">
            <v>30</v>
          </cell>
          <cell r="F1060" t="str">
            <v>before AW20</v>
          </cell>
          <cell r="G1060" t="str">
            <v>Shaoxing Garment (Belinda)</v>
          </cell>
          <cell r="H1060" t="str">
            <v>SHORTS</v>
          </cell>
        </row>
        <row r="1061">
          <cell r="A1061" t="str">
            <v>SHORTS-CAB-SM-BLUE</v>
          </cell>
          <cell r="B1061" t="str">
            <v>5.0607E+12</v>
          </cell>
          <cell r="C1061" t="str">
            <v>CLOSED</v>
          </cell>
          <cell r="E1061">
            <v>30</v>
          </cell>
          <cell r="F1061" t="str">
            <v>before AW20</v>
          </cell>
          <cell r="G1061" t="str">
            <v>Shaoxing Garment (Belinda)</v>
          </cell>
          <cell r="H1061" t="str">
            <v>SHORTS</v>
          </cell>
        </row>
        <row r="1062">
          <cell r="A1062" t="str">
            <v>SHORTS-CAB-SM-RAIN</v>
          </cell>
          <cell r="B1062" t="str">
            <v>5.0607E+12</v>
          </cell>
          <cell r="C1062" t="str">
            <v>CLOSED</v>
          </cell>
          <cell r="E1062">
            <v>30</v>
          </cell>
          <cell r="F1062" t="str">
            <v>before AW20</v>
          </cell>
          <cell r="G1062" t="str">
            <v>Shaoxing Garment (Belinda)</v>
          </cell>
          <cell r="H1062" t="str">
            <v>SHORTS</v>
          </cell>
        </row>
        <row r="1063">
          <cell r="A1063" t="str">
            <v>SHORTS-CAB-XL-BLUE</v>
          </cell>
          <cell r="B1063" t="str">
            <v>5.0607E+12</v>
          </cell>
          <cell r="C1063" t="str">
            <v>CLOSED</v>
          </cell>
          <cell r="E1063">
            <v>30</v>
          </cell>
          <cell r="F1063" t="str">
            <v>before AW20</v>
          </cell>
          <cell r="G1063" t="str">
            <v>Shaoxing Garment (Belinda)</v>
          </cell>
          <cell r="H1063" t="str">
            <v>SHORTS</v>
          </cell>
        </row>
        <row r="1064">
          <cell r="A1064" t="str">
            <v>SHORTS-CAB-XL-RAIN</v>
          </cell>
          <cell r="B1064" t="str">
            <v>5.0607E+12</v>
          </cell>
          <cell r="C1064" t="str">
            <v>CLOSED</v>
          </cell>
          <cell r="E1064">
            <v>30</v>
          </cell>
          <cell r="F1064" t="str">
            <v>before AW20</v>
          </cell>
          <cell r="G1064" t="str">
            <v>Shaoxing Garment (Belinda)</v>
          </cell>
          <cell r="H1064" t="str">
            <v>SHORTS</v>
          </cell>
        </row>
        <row r="1065">
          <cell r="A1065" t="str">
            <v>SHORTS-CAB-XL-RED</v>
          </cell>
          <cell r="B1065" t="str">
            <v>5.0607E+12</v>
          </cell>
          <cell r="C1065" t="str">
            <v>CLOSED</v>
          </cell>
          <cell r="E1065">
            <v>30</v>
          </cell>
          <cell r="F1065" t="str">
            <v>before AW20</v>
          </cell>
          <cell r="G1065" t="str">
            <v>Shaoxing Garment (Belinda)</v>
          </cell>
          <cell r="H1065" t="str">
            <v>SHORTS</v>
          </cell>
        </row>
        <row r="1066">
          <cell r="A1066" t="str">
            <v>SHORTS-PIN-LG-BLACK</v>
          </cell>
          <cell r="B1066" t="str">
            <v>5.0607E+12</v>
          </cell>
          <cell r="C1066" t="str">
            <v>CLOSED</v>
          </cell>
          <cell r="E1066">
            <v>30</v>
          </cell>
          <cell r="F1066" t="str">
            <v>SS21</v>
          </cell>
          <cell r="G1066" t="str">
            <v>Shaoxing Garment (Belinda)</v>
          </cell>
          <cell r="H1066" t="str">
            <v>SHORTS</v>
          </cell>
        </row>
        <row r="1067">
          <cell r="A1067" t="str">
            <v>SHORTS-PIN-LG-BRIT</v>
          </cell>
          <cell r="B1067" t="str">
            <v>5.0607E+12</v>
          </cell>
          <cell r="C1067" t="str">
            <v>CLOSED</v>
          </cell>
          <cell r="E1067">
            <v>30</v>
          </cell>
          <cell r="F1067" t="str">
            <v>SS21</v>
          </cell>
          <cell r="G1067" t="str">
            <v>Shaoxing Garment (Belinda)</v>
          </cell>
          <cell r="H1067" t="str">
            <v>SHORTS</v>
          </cell>
        </row>
        <row r="1068">
          <cell r="A1068" t="str">
            <v>SHORTS-PIN-LG-KHAKI</v>
          </cell>
          <cell r="B1068" t="str">
            <v>5.0607E+12</v>
          </cell>
          <cell r="C1068" t="str">
            <v>CLOSED</v>
          </cell>
          <cell r="E1068">
            <v>30</v>
          </cell>
          <cell r="F1068" t="str">
            <v>SS21</v>
          </cell>
          <cell r="G1068" t="str">
            <v>Shaoxing Garment (Belinda)</v>
          </cell>
          <cell r="H1068" t="str">
            <v>SHORTS</v>
          </cell>
        </row>
        <row r="1069">
          <cell r="A1069" t="str">
            <v>SHORTS-PIN-LG-LTBLU</v>
          </cell>
          <cell r="B1069" t="str">
            <v>5.0607E+12</v>
          </cell>
          <cell r="C1069" t="str">
            <v>CLOSED</v>
          </cell>
          <cell r="E1069">
            <v>30</v>
          </cell>
          <cell r="F1069" t="str">
            <v>SS21</v>
          </cell>
          <cell r="G1069" t="str">
            <v>Shaoxing Garment (Belinda)</v>
          </cell>
          <cell r="H1069" t="str">
            <v>SHORTS</v>
          </cell>
        </row>
        <row r="1070">
          <cell r="A1070" t="str">
            <v>SHORTS-PIN-LG-NAVY</v>
          </cell>
          <cell r="B1070" t="str">
            <v>5.0607E+12</v>
          </cell>
          <cell r="C1070" t="str">
            <v>CLOSED</v>
          </cell>
          <cell r="E1070">
            <v>30</v>
          </cell>
          <cell r="F1070" t="str">
            <v>SS21</v>
          </cell>
          <cell r="G1070" t="str">
            <v>Shaoxing Garment (Belinda)</v>
          </cell>
          <cell r="H1070" t="str">
            <v>SHORTS</v>
          </cell>
        </row>
        <row r="1071">
          <cell r="A1071" t="str">
            <v>SHORTS-PIN-LG-ORNG</v>
          </cell>
          <cell r="B1071" t="str">
            <v>5.0607E+12</v>
          </cell>
          <cell r="C1071" t="str">
            <v>CLOSED</v>
          </cell>
          <cell r="E1071">
            <v>30</v>
          </cell>
          <cell r="F1071" t="str">
            <v>SS21</v>
          </cell>
          <cell r="G1071" t="str">
            <v>Shaoxing Garment (Belinda)</v>
          </cell>
          <cell r="H1071" t="str">
            <v>SHORTS</v>
          </cell>
        </row>
        <row r="1072">
          <cell r="A1072" t="str">
            <v>SHORTS-PIN-MD-BLACK</v>
          </cell>
          <cell r="B1072" t="str">
            <v>5.0607E+12</v>
          </cell>
          <cell r="C1072" t="str">
            <v>CLOSED</v>
          </cell>
          <cell r="E1072">
            <v>30</v>
          </cell>
          <cell r="F1072" t="str">
            <v>SS21</v>
          </cell>
          <cell r="G1072" t="str">
            <v>Shaoxing Garment (Belinda)</v>
          </cell>
          <cell r="H1072" t="str">
            <v>SHORTS</v>
          </cell>
        </row>
        <row r="1073">
          <cell r="A1073" t="str">
            <v>SHORTS-PIN-MD-BRIT</v>
          </cell>
          <cell r="B1073" t="str">
            <v>5.0607E+12</v>
          </cell>
          <cell r="C1073" t="str">
            <v>CLOSED</v>
          </cell>
          <cell r="E1073">
            <v>30</v>
          </cell>
          <cell r="F1073" t="str">
            <v>SS21</v>
          </cell>
          <cell r="G1073" t="str">
            <v>Shaoxing Garment (Belinda)</v>
          </cell>
          <cell r="H1073" t="str">
            <v>SHORTS</v>
          </cell>
        </row>
        <row r="1074">
          <cell r="A1074" t="str">
            <v>SHORTS-PIN-MD-KHAKI</v>
          </cell>
          <cell r="B1074" t="str">
            <v>5.0607E+12</v>
          </cell>
          <cell r="C1074" t="str">
            <v>CLOSED</v>
          </cell>
          <cell r="E1074">
            <v>30</v>
          </cell>
          <cell r="F1074" t="str">
            <v>SS21</v>
          </cell>
          <cell r="G1074" t="str">
            <v>Shaoxing Garment (Belinda)</v>
          </cell>
          <cell r="H1074" t="str">
            <v>SHORTS</v>
          </cell>
        </row>
        <row r="1075">
          <cell r="A1075" t="str">
            <v>SHORTS-PIN-MD-LTBLU</v>
          </cell>
          <cell r="B1075" t="str">
            <v>5.0607E+12</v>
          </cell>
          <cell r="C1075" t="str">
            <v>CLOSED</v>
          </cell>
          <cell r="E1075">
            <v>30</v>
          </cell>
          <cell r="F1075" t="str">
            <v>SS21</v>
          </cell>
          <cell r="G1075" t="str">
            <v>Shaoxing Garment (Belinda)</v>
          </cell>
          <cell r="H1075" t="str">
            <v>SHORTS</v>
          </cell>
        </row>
        <row r="1076">
          <cell r="A1076" t="str">
            <v>SHORTS-PIN-MD-NAVY</v>
          </cell>
          <cell r="B1076" t="str">
            <v>5.0607E+12</v>
          </cell>
          <cell r="C1076" t="str">
            <v>CLOSED</v>
          </cell>
          <cell r="E1076">
            <v>30</v>
          </cell>
          <cell r="F1076" t="str">
            <v>SS21</v>
          </cell>
          <cell r="G1076" t="str">
            <v>Shaoxing Garment (Belinda)</v>
          </cell>
          <cell r="H1076" t="str">
            <v>SHORTS</v>
          </cell>
        </row>
        <row r="1077">
          <cell r="A1077" t="str">
            <v>SHORTS-PIN-MD-ORNG</v>
          </cell>
          <cell r="B1077" t="str">
            <v>5.0607E+12</v>
          </cell>
          <cell r="C1077" t="str">
            <v>CLOSED</v>
          </cell>
          <cell r="E1077">
            <v>30</v>
          </cell>
          <cell r="F1077" t="str">
            <v>SS21</v>
          </cell>
          <cell r="G1077" t="str">
            <v>Shaoxing Garment (Belinda)</v>
          </cell>
          <cell r="H1077" t="str">
            <v>SHORTS</v>
          </cell>
        </row>
        <row r="1078">
          <cell r="A1078" t="str">
            <v>SHORTS-PIN-SM-BRIT</v>
          </cell>
          <cell r="B1078" t="str">
            <v>5.0607E+12</v>
          </cell>
          <cell r="C1078" t="str">
            <v>CLOSED</v>
          </cell>
          <cell r="E1078">
            <v>30</v>
          </cell>
          <cell r="F1078" t="str">
            <v>SS21</v>
          </cell>
          <cell r="G1078" t="str">
            <v>Shaoxing Garment (Belinda)</v>
          </cell>
          <cell r="H1078" t="str">
            <v>SHORTS</v>
          </cell>
        </row>
        <row r="1079">
          <cell r="A1079" t="str">
            <v>SHORTS-PIN-SM-KHAKI</v>
          </cell>
          <cell r="B1079" t="str">
            <v>5.0607E+12</v>
          </cell>
          <cell r="C1079" t="str">
            <v>CLOSED</v>
          </cell>
          <cell r="E1079">
            <v>30</v>
          </cell>
          <cell r="F1079" t="str">
            <v>SS21</v>
          </cell>
          <cell r="G1079" t="str">
            <v>Shaoxing Garment (Belinda)</v>
          </cell>
          <cell r="H1079" t="str">
            <v>SHORTS</v>
          </cell>
        </row>
        <row r="1080">
          <cell r="A1080" t="str">
            <v>SHORTS-PIN-SM-LTBLU</v>
          </cell>
          <cell r="B1080" t="str">
            <v>5.0607E+12</v>
          </cell>
          <cell r="C1080" t="str">
            <v>CLOSED</v>
          </cell>
          <cell r="E1080">
            <v>30</v>
          </cell>
          <cell r="F1080" t="str">
            <v>SS21</v>
          </cell>
          <cell r="G1080" t="str">
            <v>Shaoxing Garment (Belinda)</v>
          </cell>
          <cell r="H1080" t="str">
            <v>SHORTS</v>
          </cell>
        </row>
        <row r="1081">
          <cell r="A1081" t="str">
            <v>SHORTS-PIN-SM-NAVY</v>
          </cell>
          <cell r="B1081" t="str">
            <v>5.0607E+12</v>
          </cell>
          <cell r="C1081" t="str">
            <v>CLOSED</v>
          </cell>
          <cell r="E1081">
            <v>30</v>
          </cell>
          <cell r="F1081" t="str">
            <v>SS21</v>
          </cell>
          <cell r="G1081" t="str">
            <v>Shaoxing Garment (Belinda)</v>
          </cell>
          <cell r="H1081" t="str">
            <v>SHORTS</v>
          </cell>
        </row>
        <row r="1082">
          <cell r="A1082" t="str">
            <v>SHORTS-PIN-SM-ORNG</v>
          </cell>
          <cell r="B1082" t="str">
            <v>5.0607E+12</v>
          </cell>
          <cell r="C1082" t="str">
            <v>CLOSED</v>
          </cell>
          <cell r="E1082">
            <v>30</v>
          </cell>
          <cell r="F1082" t="str">
            <v>SS21</v>
          </cell>
          <cell r="G1082" t="str">
            <v>Shaoxing Garment (Belinda)</v>
          </cell>
          <cell r="H1082" t="str">
            <v>SHORTS</v>
          </cell>
        </row>
        <row r="1083">
          <cell r="A1083" t="str">
            <v>SHORTS-PIN-XL-BLACK</v>
          </cell>
          <cell r="B1083" t="str">
            <v>5.0607E+12</v>
          </cell>
          <cell r="C1083" t="str">
            <v>CLOSED</v>
          </cell>
          <cell r="E1083">
            <v>30</v>
          </cell>
          <cell r="F1083" t="str">
            <v>SS21</v>
          </cell>
          <cell r="G1083" t="str">
            <v>Shaoxing Garment (Belinda)</v>
          </cell>
          <cell r="H1083" t="str">
            <v>SHORTS</v>
          </cell>
        </row>
        <row r="1084">
          <cell r="A1084" t="str">
            <v>SHORTS-PIN-XL-BRIT</v>
          </cell>
          <cell r="B1084" t="str">
            <v>5.0607E+12</v>
          </cell>
          <cell r="C1084" t="str">
            <v>CLOSED</v>
          </cell>
          <cell r="E1084">
            <v>30</v>
          </cell>
          <cell r="F1084" t="str">
            <v>SS21</v>
          </cell>
          <cell r="G1084" t="str">
            <v>Shaoxing Garment (Belinda)</v>
          </cell>
          <cell r="H1084" t="str">
            <v>SHORTS</v>
          </cell>
        </row>
        <row r="1085">
          <cell r="A1085" t="str">
            <v>SHORTS-PIN-XL-KHAKI</v>
          </cell>
          <cell r="B1085" t="str">
            <v>5.0607E+12</v>
          </cell>
          <cell r="C1085" t="str">
            <v>CLOSED</v>
          </cell>
          <cell r="E1085">
            <v>30</v>
          </cell>
          <cell r="F1085" t="str">
            <v>SS21</v>
          </cell>
          <cell r="G1085" t="str">
            <v>Shaoxing Garment (Belinda)</v>
          </cell>
          <cell r="H1085" t="str">
            <v>SHORTS</v>
          </cell>
        </row>
        <row r="1086">
          <cell r="A1086" t="str">
            <v>SHORTS-PIN-XL-LTBLU</v>
          </cell>
          <cell r="B1086" t="str">
            <v>5.0607E+12</v>
          </cell>
          <cell r="C1086" t="str">
            <v>CLOSED</v>
          </cell>
          <cell r="E1086">
            <v>30</v>
          </cell>
          <cell r="F1086" t="str">
            <v>SS21</v>
          </cell>
          <cell r="G1086" t="str">
            <v>Shaoxing Garment (Belinda)</v>
          </cell>
          <cell r="H1086" t="str">
            <v>SHORTS</v>
          </cell>
        </row>
        <row r="1087">
          <cell r="A1087" t="str">
            <v>SHORTS-PIN-XL-NAVY</v>
          </cell>
          <cell r="B1087" t="str">
            <v>5.0607E+12</v>
          </cell>
          <cell r="C1087" t="str">
            <v>CLOSED</v>
          </cell>
          <cell r="E1087">
            <v>30</v>
          </cell>
          <cell r="F1087" t="str">
            <v>SS21</v>
          </cell>
          <cell r="G1087" t="str">
            <v>Shaoxing Garment (Belinda)</v>
          </cell>
          <cell r="H1087" t="str">
            <v>SHORTS</v>
          </cell>
        </row>
        <row r="1088">
          <cell r="A1088" t="str">
            <v>SHORTS-PIN-XL-ORNG</v>
          </cell>
          <cell r="B1088" t="str">
            <v>5.0607E+12</v>
          </cell>
          <cell r="C1088" t="str">
            <v>CLOSED</v>
          </cell>
          <cell r="E1088">
            <v>30</v>
          </cell>
          <cell r="F1088" t="str">
            <v>SS21</v>
          </cell>
          <cell r="G1088" t="str">
            <v>Shaoxing Garment (Belinda)</v>
          </cell>
          <cell r="H1088" t="str">
            <v>SHORTS</v>
          </cell>
        </row>
        <row r="1089">
          <cell r="A1089" t="str">
            <v>SHORTSSTRIPE-LAR-BLUE</v>
          </cell>
          <cell r="B1089" t="str">
            <v>6.5097E+11</v>
          </cell>
          <cell r="C1089" t="str">
            <v>CLOSED</v>
          </cell>
          <cell r="E1089">
            <v>30</v>
          </cell>
          <cell r="F1089" t="str">
            <v>before AW19</v>
          </cell>
          <cell r="G1089" t="str">
            <v>Shaoxing Garment (Belinda)</v>
          </cell>
          <cell r="H1089" t="str">
            <v>SHORTS</v>
          </cell>
        </row>
        <row r="1090">
          <cell r="A1090" t="str">
            <v>SHORTSSTRIPE-LAR-BLUENAVY</v>
          </cell>
          <cell r="B1090" t="str">
            <v>6.5097E+11</v>
          </cell>
          <cell r="C1090" t="str">
            <v>CLOSED</v>
          </cell>
          <cell r="E1090">
            <v>30</v>
          </cell>
          <cell r="G1090" t="str">
            <v>Shaoxing Garment (Belinda)</v>
          </cell>
          <cell r="H1090" t="str">
            <v>SHORTS</v>
          </cell>
        </row>
        <row r="1091">
          <cell r="A1091" t="str">
            <v>SHORTSSTRIPE-LAR-GREEN</v>
          </cell>
          <cell r="B1091" t="str">
            <v>6.5097E+11</v>
          </cell>
          <cell r="C1091" t="str">
            <v>CLOSED</v>
          </cell>
          <cell r="E1091">
            <v>30</v>
          </cell>
          <cell r="F1091" t="str">
            <v>before AW19</v>
          </cell>
          <cell r="G1091" t="str">
            <v>Shaoxing Garment (Belinda)</v>
          </cell>
          <cell r="H1091" t="str">
            <v>SHORTS</v>
          </cell>
        </row>
        <row r="1092">
          <cell r="A1092" t="str">
            <v>SHORTSSTRIPE-LAR-ORANGE</v>
          </cell>
          <cell r="B1092" t="str">
            <v>6.5097E+11</v>
          </cell>
          <cell r="C1092" t="str">
            <v>CLOSED</v>
          </cell>
          <cell r="E1092">
            <v>30</v>
          </cell>
          <cell r="F1092" t="str">
            <v>before AW19</v>
          </cell>
          <cell r="G1092" t="str">
            <v>Shaoxing Garment (Belinda)</v>
          </cell>
          <cell r="H1092" t="str">
            <v>SHORTS</v>
          </cell>
        </row>
        <row r="1093">
          <cell r="A1093" t="str">
            <v>SHORTSSTRIPE-LAR-PINK</v>
          </cell>
          <cell r="B1093" t="str">
            <v>6.5097E+11</v>
          </cell>
          <cell r="C1093" t="str">
            <v>CLOSED</v>
          </cell>
          <cell r="E1093">
            <v>30</v>
          </cell>
          <cell r="F1093" t="str">
            <v>before AW19</v>
          </cell>
          <cell r="G1093" t="str">
            <v>Shaoxing Garment (Belinda)</v>
          </cell>
          <cell r="H1093" t="str">
            <v>SHORTS</v>
          </cell>
        </row>
        <row r="1094">
          <cell r="A1094" t="str">
            <v>SHORTSSTRIPE-LAR-RAINBOW</v>
          </cell>
          <cell r="B1094" t="str">
            <v>6.5097E+11</v>
          </cell>
          <cell r="C1094" t="str">
            <v>CLOSED</v>
          </cell>
          <cell r="E1094">
            <v>30</v>
          </cell>
          <cell r="F1094" t="str">
            <v>before AW20</v>
          </cell>
          <cell r="G1094" t="str">
            <v>Shaoxing Garment (Belinda)</v>
          </cell>
          <cell r="H1094" t="str">
            <v>SHORTS</v>
          </cell>
        </row>
        <row r="1095">
          <cell r="A1095" t="str">
            <v>SHORTSSTRIPE-LAR-RED</v>
          </cell>
          <cell r="B1095" t="str">
            <v>6.5097E+11</v>
          </cell>
          <cell r="C1095" t="str">
            <v>CLOSED</v>
          </cell>
          <cell r="E1095">
            <v>30</v>
          </cell>
          <cell r="F1095" t="str">
            <v>before AW19</v>
          </cell>
          <cell r="G1095" t="str">
            <v>Shaoxing Garment (Belinda)</v>
          </cell>
          <cell r="H1095" t="str">
            <v>SHORTS</v>
          </cell>
        </row>
        <row r="1096">
          <cell r="A1096" t="str">
            <v>SHORTSSTRIPE-LAR-YELLOW</v>
          </cell>
          <cell r="B1096" t="str">
            <v>6.5097E+11</v>
          </cell>
          <cell r="C1096" t="str">
            <v>CLOSED</v>
          </cell>
          <cell r="E1096">
            <v>30</v>
          </cell>
          <cell r="F1096" t="str">
            <v>before AW19</v>
          </cell>
          <cell r="G1096" t="str">
            <v>Shaoxing Garment (Belinda)</v>
          </cell>
          <cell r="H1096" t="str">
            <v>SHORTS</v>
          </cell>
        </row>
        <row r="1097">
          <cell r="A1097" t="str">
            <v>SHORTSSTRIPE-MED-BLUE</v>
          </cell>
          <cell r="B1097" t="str">
            <v>6.5097E+11</v>
          </cell>
          <cell r="C1097" t="str">
            <v>CLOSED</v>
          </cell>
          <cell r="E1097">
            <v>30</v>
          </cell>
          <cell r="G1097" t="str">
            <v>Shaoxing Garment (Belinda)</v>
          </cell>
          <cell r="H1097" t="str">
            <v>SHORTS</v>
          </cell>
        </row>
        <row r="1098">
          <cell r="A1098" t="str">
            <v>SHORTSSTRIPE-MED-BLUENAVY</v>
          </cell>
          <cell r="B1098" t="str">
            <v>6.5097E+11</v>
          </cell>
          <cell r="C1098" t="str">
            <v>CLOSED</v>
          </cell>
          <cell r="E1098">
            <v>30</v>
          </cell>
          <cell r="G1098" t="str">
            <v>Shaoxing Garment (Belinda)</v>
          </cell>
          <cell r="H1098" t="str">
            <v>SHORTS</v>
          </cell>
        </row>
        <row r="1099">
          <cell r="A1099" t="str">
            <v>SHORTSSTRIPE-MED-GREEN</v>
          </cell>
          <cell r="B1099" t="str">
            <v>6.5097E+11</v>
          </cell>
          <cell r="C1099" t="str">
            <v>CLOSED</v>
          </cell>
          <cell r="E1099">
            <v>30</v>
          </cell>
          <cell r="F1099" t="str">
            <v>before AW19</v>
          </cell>
          <cell r="G1099" t="str">
            <v>Shaoxing Garment (Belinda)</v>
          </cell>
          <cell r="H1099" t="str">
            <v>SHORTS</v>
          </cell>
        </row>
        <row r="1100">
          <cell r="A1100" t="str">
            <v>SHORTSSTRIPE-MED-ORANGE</v>
          </cell>
          <cell r="B1100" t="str">
            <v>6.5097E+11</v>
          </cell>
          <cell r="C1100" t="str">
            <v>CLOSED</v>
          </cell>
          <cell r="E1100">
            <v>30</v>
          </cell>
          <cell r="F1100" t="str">
            <v>before AW19</v>
          </cell>
          <cell r="G1100" t="str">
            <v>Shaoxing Garment (Belinda)</v>
          </cell>
          <cell r="H1100" t="str">
            <v>SHORTS</v>
          </cell>
        </row>
        <row r="1101">
          <cell r="A1101" t="str">
            <v>SHORTSSTRIPE-MED-PINK</v>
          </cell>
          <cell r="B1101" t="str">
            <v>6.5097E+11</v>
          </cell>
          <cell r="C1101" t="str">
            <v>CLOSED</v>
          </cell>
          <cell r="E1101">
            <v>30</v>
          </cell>
          <cell r="F1101" t="str">
            <v>before AW19</v>
          </cell>
          <cell r="G1101" t="str">
            <v>Shaoxing Garment (Belinda)</v>
          </cell>
          <cell r="H1101" t="str">
            <v>SHORTS</v>
          </cell>
        </row>
        <row r="1102">
          <cell r="A1102" t="str">
            <v>SHORTSSTRIPE-MED-YELLOW</v>
          </cell>
          <cell r="B1102" t="str">
            <v>6.5097E+11</v>
          </cell>
          <cell r="C1102" t="str">
            <v>CLOSED</v>
          </cell>
          <cell r="E1102">
            <v>30</v>
          </cell>
          <cell r="F1102" t="str">
            <v>before AW19</v>
          </cell>
          <cell r="G1102" t="str">
            <v>Shaoxing Garment (Belinda)</v>
          </cell>
          <cell r="H1102" t="str">
            <v>SHORTS</v>
          </cell>
        </row>
        <row r="1103">
          <cell r="A1103" t="str">
            <v>SHORTSSTRIPE-SML-BLUENAVY</v>
          </cell>
          <cell r="B1103" t="str">
            <v>6.5097E+11</v>
          </cell>
          <cell r="C1103" t="str">
            <v>CLOSED</v>
          </cell>
          <cell r="E1103">
            <v>30</v>
          </cell>
          <cell r="F1103" t="str">
            <v>before AW19</v>
          </cell>
          <cell r="G1103" t="str">
            <v>Shaoxing Garment (Belinda)</v>
          </cell>
          <cell r="H1103" t="str">
            <v>SHORTS</v>
          </cell>
        </row>
        <row r="1104">
          <cell r="A1104" t="str">
            <v>SHORTSSTRIPE-SML-GREEN</v>
          </cell>
          <cell r="B1104" t="str">
            <v>6.5097E+11</v>
          </cell>
          <cell r="C1104" t="str">
            <v>CLOSED</v>
          </cell>
          <cell r="E1104">
            <v>30</v>
          </cell>
          <cell r="F1104" t="str">
            <v>before AW20</v>
          </cell>
          <cell r="G1104" t="str">
            <v>Shaoxing Garment (Belinda)</v>
          </cell>
          <cell r="H1104" t="str">
            <v>SHORTS</v>
          </cell>
        </row>
        <row r="1105">
          <cell r="A1105" t="str">
            <v>SHORTSSTRIPE-SML-ORANGE</v>
          </cell>
          <cell r="B1105" t="str">
            <v>6.5097E+11</v>
          </cell>
          <cell r="C1105" t="str">
            <v>CLOSED</v>
          </cell>
          <cell r="E1105">
            <v>30</v>
          </cell>
          <cell r="F1105" t="str">
            <v>before AW19</v>
          </cell>
          <cell r="G1105" t="str">
            <v>Shaoxing Garment (Belinda)</v>
          </cell>
          <cell r="H1105" t="str">
            <v>SHORTS</v>
          </cell>
        </row>
        <row r="1106">
          <cell r="A1106" t="str">
            <v>SHORTSSTRIPE-SML-PINK</v>
          </cell>
          <cell r="B1106" t="str">
            <v>6.5097E+11</v>
          </cell>
          <cell r="C1106" t="str">
            <v>CLOSED</v>
          </cell>
          <cell r="E1106">
            <v>30</v>
          </cell>
          <cell r="F1106" t="str">
            <v>before AW19</v>
          </cell>
          <cell r="G1106" t="str">
            <v>Shaoxing Garment (Belinda)</v>
          </cell>
          <cell r="H1106" t="str">
            <v>SHORTS</v>
          </cell>
        </row>
        <row r="1107">
          <cell r="A1107" t="str">
            <v>SHORTSSTRIPE-XLG-BLUENAVY</v>
          </cell>
          <cell r="B1107" t="str">
            <v>6.5097E+11</v>
          </cell>
          <cell r="C1107" t="str">
            <v>CLOSED</v>
          </cell>
          <cell r="E1107">
            <v>30</v>
          </cell>
          <cell r="F1107" t="str">
            <v>before AW19</v>
          </cell>
          <cell r="G1107" t="str">
            <v>Shaoxing Garment (Belinda)</v>
          </cell>
          <cell r="H1107" t="str">
            <v>SHORTS</v>
          </cell>
        </row>
        <row r="1108">
          <cell r="A1108" t="str">
            <v>SHORTSSTRIPE-XLG-GREEN</v>
          </cell>
          <cell r="B1108" t="str">
            <v>6.5097E+11</v>
          </cell>
          <cell r="C1108" t="str">
            <v>CLOSED</v>
          </cell>
          <cell r="E1108">
            <v>30</v>
          </cell>
          <cell r="F1108" t="str">
            <v>before AW19</v>
          </cell>
          <cell r="G1108" t="str">
            <v>Shaoxing Garment (Belinda)</v>
          </cell>
          <cell r="H1108" t="str">
            <v>SHORTS</v>
          </cell>
        </row>
        <row r="1109">
          <cell r="A1109" t="str">
            <v>SHORTSSTRIPE-XLG-ORANGE</v>
          </cell>
          <cell r="B1109" t="str">
            <v>6.5097E+11</v>
          </cell>
          <cell r="C1109" t="str">
            <v>CLOSED</v>
          </cell>
          <cell r="E1109">
            <v>30</v>
          </cell>
          <cell r="F1109" t="str">
            <v>before AW19</v>
          </cell>
          <cell r="G1109" t="str">
            <v>Shaoxing Garment (Belinda)</v>
          </cell>
          <cell r="H1109" t="str">
            <v>SHORTS</v>
          </cell>
        </row>
        <row r="1110">
          <cell r="A1110" t="str">
            <v>SHORTSSTRIPE-XLG-PINK</v>
          </cell>
          <cell r="B1110" t="str">
            <v>6.5097E+11</v>
          </cell>
          <cell r="C1110" t="str">
            <v>CLOSED</v>
          </cell>
          <cell r="E1110">
            <v>30</v>
          </cell>
          <cell r="F1110" t="str">
            <v>before AW19</v>
          </cell>
          <cell r="G1110" t="str">
            <v>Shaoxing Garment (Belinda)</v>
          </cell>
          <cell r="H1110" t="str">
            <v>SHORTS</v>
          </cell>
        </row>
        <row r="1111">
          <cell r="A1111" t="str">
            <v>SHORTSSTRIPE-XLG-RAINBOW</v>
          </cell>
          <cell r="B1111" t="str">
            <v>6.5097E+11</v>
          </cell>
          <cell r="C1111" t="str">
            <v>CLOSED</v>
          </cell>
          <cell r="E1111">
            <v>30</v>
          </cell>
          <cell r="F1111" t="str">
            <v>before AW19</v>
          </cell>
          <cell r="G1111" t="str">
            <v>Shaoxing Garment (Belinda)</v>
          </cell>
          <cell r="H1111" t="str">
            <v>SHORTS</v>
          </cell>
        </row>
        <row r="1112">
          <cell r="A1112" t="str">
            <v>SHORTSSTRIPE-XLG-RED</v>
          </cell>
          <cell r="B1112" t="str">
            <v>6.5097E+11</v>
          </cell>
          <cell r="C1112" t="str">
            <v>CLOSED</v>
          </cell>
          <cell r="E1112">
            <v>30</v>
          </cell>
          <cell r="F1112" t="str">
            <v>before AW19</v>
          </cell>
          <cell r="G1112" t="str">
            <v>Shaoxing Garment (Belinda)</v>
          </cell>
          <cell r="H1112" t="str">
            <v>SHORTS</v>
          </cell>
        </row>
        <row r="1113">
          <cell r="A1113" t="str">
            <v>SHORTSSTRIPE-XLG-YELLOW</v>
          </cell>
          <cell r="B1113" t="str">
            <v>6.5097E+11</v>
          </cell>
          <cell r="C1113" t="str">
            <v>CLOSED</v>
          </cell>
          <cell r="E1113">
            <v>30</v>
          </cell>
          <cell r="F1113" t="str">
            <v>before AW19</v>
          </cell>
          <cell r="G1113" t="str">
            <v>Shaoxing Garment (Belinda)</v>
          </cell>
          <cell r="H1113" t="str">
            <v>SHORTS</v>
          </cell>
        </row>
        <row r="1114">
          <cell r="A1114" t="str">
            <v>SUMMER-LAR-BLUERED</v>
          </cell>
          <cell r="B1114" t="str">
            <v>6.3739E+11</v>
          </cell>
          <cell r="C1114" t="str">
            <v>CLOSED</v>
          </cell>
          <cell r="E1114">
            <v>40</v>
          </cell>
          <cell r="G1114" t="str">
            <v>XR Textile</v>
          </cell>
          <cell r="H1114" t="str">
            <v>TOWLB</v>
          </cell>
          <cell r="I1114" t="str">
            <v>GRS Certified* 83% Post Consumer Recycled Polyester (RM0189) 17% Pre Consumer Recycled Polyamide (RM1084)</v>
          </cell>
        </row>
        <row r="1115">
          <cell r="A1115" t="str">
            <v>SUMMER-LAR-BLUEYELLOW</v>
          </cell>
          <cell r="B1115" t="str">
            <v>6.5097E+11</v>
          </cell>
          <cell r="C1115" t="str">
            <v>CLOSED</v>
          </cell>
          <cell r="E1115">
            <v>40</v>
          </cell>
          <cell r="G1115" t="str">
            <v>XR Textile</v>
          </cell>
          <cell r="H1115" t="str">
            <v>TOWLB</v>
          </cell>
          <cell r="I1115" t="str">
            <v>GRS Certified* 83% Post Consumer Recycled Polyester (RM0189) 17% Pre Consumer Recycled Polyamide (RM1084)</v>
          </cell>
        </row>
        <row r="1116">
          <cell r="A1116" t="str">
            <v>SUMMER-LAR-GREENORANGE</v>
          </cell>
          <cell r="B1116" t="str">
            <v>6.5097E+11</v>
          </cell>
          <cell r="C1116" t="str">
            <v>CLOSED</v>
          </cell>
          <cell r="E1116">
            <v>40</v>
          </cell>
          <cell r="G1116" t="str">
            <v>XR Textile</v>
          </cell>
          <cell r="H1116" t="str">
            <v>TOWLB</v>
          </cell>
          <cell r="I1116" t="str">
            <v>GRS Certified* 83% Post Consumer Recycled Polyester (RM0189) 17% Pre Consumer Recycled Polyamide (RM1084)</v>
          </cell>
        </row>
        <row r="1117">
          <cell r="A1117" t="str">
            <v>SUMMER-LAR-GREENYELLOW</v>
          </cell>
          <cell r="B1117" t="str">
            <v>6.3739E+11</v>
          </cell>
          <cell r="C1117" t="str">
            <v>CLOSED</v>
          </cell>
          <cell r="E1117">
            <v>40</v>
          </cell>
          <cell r="G1117" t="str">
            <v>XR Textile</v>
          </cell>
          <cell r="H1117" t="str">
            <v>TOWLB</v>
          </cell>
          <cell r="I1117" t="str">
            <v>GRS Certified* 83% Post Consumer Recycled Polyester (RM0189) 17% Pre Consumer Recycled Polyamide (RM1084)</v>
          </cell>
        </row>
        <row r="1118">
          <cell r="A1118" t="str">
            <v>SUMMER-LAR-LIGHT-BLUEGREEN</v>
          </cell>
          <cell r="B1118" t="str">
            <v>5.0607E+12</v>
          </cell>
          <cell r="C1118" t="str">
            <v>CLOSED</v>
          </cell>
          <cell r="E1118">
            <v>40</v>
          </cell>
          <cell r="F1118" t="str">
            <v>before AW19</v>
          </cell>
          <cell r="G1118" t="str">
            <v>XR Textile</v>
          </cell>
          <cell r="H1118" t="str">
            <v>TOWLB</v>
          </cell>
          <cell r="I1118" t="str">
            <v>GRS Certified* 83% Post Consumer Recycled Polyester (RM0189) 17% Pre Consumer Recycled Polyamide (RM1084)</v>
          </cell>
        </row>
        <row r="1119">
          <cell r="A1119" t="str">
            <v>SUMMER-LAR-LIGHT-RAINBOW</v>
          </cell>
          <cell r="B1119" t="str">
            <v>6.5097E+11</v>
          </cell>
          <cell r="C1119" t="str">
            <v>CLOSED</v>
          </cell>
          <cell r="E1119">
            <v>40</v>
          </cell>
          <cell r="F1119" t="str">
            <v>before AW19</v>
          </cell>
          <cell r="G1119" t="str">
            <v>XR Textile</v>
          </cell>
          <cell r="H1119" t="str">
            <v>TOWLB</v>
          </cell>
          <cell r="I1119" t="str">
            <v>GRS Certified* 83% Post Consumer Recycled Polyester (RM0189) 17% Pre Consumer Recycled Polyamide (RM1084)</v>
          </cell>
        </row>
        <row r="1120">
          <cell r="A1120" t="str">
            <v>SUMMER-LAR-LT-GREENPURPLE</v>
          </cell>
          <cell r="B1120" t="str">
            <v>5.0607E+12</v>
          </cell>
          <cell r="C1120" t="str">
            <v>CLOSED</v>
          </cell>
          <cell r="E1120">
            <v>40</v>
          </cell>
          <cell r="G1120" t="str">
            <v>XR Textile</v>
          </cell>
          <cell r="H1120" t="str">
            <v>TOWLB</v>
          </cell>
          <cell r="I1120" t="str">
            <v>GRS Certified* 83% Post Consumer Recycled Polyester (RM0189) 17% Pre Consumer Recycled Polyamide (RM1084)</v>
          </cell>
        </row>
        <row r="1121">
          <cell r="A1121" t="str">
            <v>SUMMER-LAR-LT-PINKORANGE</v>
          </cell>
          <cell r="B1121" t="str">
            <v>5.0607E+12</v>
          </cell>
          <cell r="C1121" t="str">
            <v>CLOSED</v>
          </cell>
          <cell r="E1121">
            <v>40</v>
          </cell>
          <cell r="G1121" t="str">
            <v>XR Textile</v>
          </cell>
          <cell r="H1121" t="str">
            <v>TOWLB</v>
          </cell>
          <cell r="I1121" t="str">
            <v>GRS Certified* 83% Post Consumer Recycled Polyester (RM0189) 17% Pre Consumer Recycled Polyamide (RM1084)</v>
          </cell>
        </row>
        <row r="1122">
          <cell r="A1122" t="str">
            <v>SUMMER-LAR-PINKPURPLE</v>
          </cell>
          <cell r="B1122" t="str">
            <v>5.0607E+12</v>
          </cell>
          <cell r="C1122" t="str">
            <v>CLOSED</v>
          </cell>
          <cell r="E1122">
            <v>40</v>
          </cell>
          <cell r="G1122" t="str">
            <v>XR Textile</v>
          </cell>
          <cell r="H1122" t="str">
            <v>TOWLB</v>
          </cell>
          <cell r="I1122" t="str">
            <v>GRS Certified* 83% Post Consumer Recycled Polyester (RM0189) 17% Pre Consumer Recycled Polyamide (RM1084)</v>
          </cell>
        </row>
        <row r="1123">
          <cell r="A1123" t="str">
            <v>SUMMER-XLG-BLUEYELLOW</v>
          </cell>
          <cell r="B1123" t="str">
            <v>6.5097E+11</v>
          </cell>
          <cell r="C1123" t="str">
            <v>CLOSED</v>
          </cell>
          <cell r="E1123">
            <v>30</v>
          </cell>
          <cell r="F1123" t="str">
            <v>before AW19</v>
          </cell>
          <cell r="G1123" t="str">
            <v>XR Textile</v>
          </cell>
          <cell r="H1123" t="str">
            <v>TOWLB</v>
          </cell>
          <cell r="I1123" t="str">
            <v>GRS Certified* 83% Post Consumer Recycled Polyester (RM0189) 17% Pre Consumer Recycled Polyamide (RM1084)</v>
          </cell>
        </row>
        <row r="1124">
          <cell r="A1124" t="str">
            <v>SUMMER-XLG-GREENORANGE</v>
          </cell>
          <cell r="B1124" t="str">
            <v>6.5097E+11</v>
          </cell>
          <cell r="C1124" t="str">
            <v>CLOSED</v>
          </cell>
          <cell r="E1124">
            <v>30</v>
          </cell>
          <cell r="G1124" t="str">
            <v>XR Textile</v>
          </cell>
          <cell r="H1124" t="str">
            <v>TOWLB</v>
          </cell>
          <cell r="I1124" t="str">
            <v>GRS Certified* 83% Post Consumer Recycled Polyester (RM0189) 17% Pre Consumer Recycled Polyamide (RM1084)</v>
          </cell>
        </row>
        <row r="1125">
          <cell r="A1125" t="str">
            <v>SUMMER-XLG-GREENYELLOW</v>
          </cell>
          <cell r="B1125" t="str">
            <v>6.3739E+11</v>
          </cell>
          <cell r="C1125" t="str">
            <v>CLOSED</v>
          </cell>
          <cell r="E1125">
            <v>30</v>
          </cell>
          <cell r="G1125" t="str">
            <v>XR Textile</v>
          </cell>
          <cell r="H1125" t="str">
            <v>TOWLB</v>
          </cell>
          <cell r="I1125" t="str">
            <v>GRS Certified* 83% Post Consumer Recycled Polyester (RM0189) 17% Pre Consumer Recycled Polyamide (RM1084)</v>
          </cell>
        </row>
        <row r="1126">
          <cell r="A1126" t="str">
            <v>SUMMER-XLG-LIGHT-BLUEGREEN</v>
          </cell>
          <cell r="B1126" t="str">
            <v>5.0607E+12</v>
          </cell>
          <cell r="C1126" t="str">
            <v>CLOSED</v>
          </cell>
          <cell r="E1126">
            <v>30</v>
          </cell>
          <cell r="G1126" t="str">
            <v>XR Textile</v>
          </cell>
          <cell r="H1126" t="str">
            <v>TOWLB</v>
          </cell>
          <cell r="I1126" t="str">
            <v>GRS Certified* 83% Post Consumer Recycled Polyester (RM0189) 17% Pre Consumer Recycled Polyamide (RM1084)</v>
          </cell>
        </row>
        <row r="1127">
          <cell r="A1127" t="str">
            <v>SUMMER-XLG-LIGHT-RAINBOW</v>
          </cell>
          <cell r="B1127" t="str">
            <v>6.5097E+11</v>
          </cell>
          <cell r="C1127" t="str">
            <v>CLOSED</v>
          </cell>
          <cell r="E1127">
            <v>30</v>
          </cell>
          <cell r="G1127" t="str">
            <v>XR Textile</v>
          </cell>
          <cell r="H1127" t="str">
            <v>TOWLB</v>
          </cell>
          <cell r="I1127" t="str">
            <v>GRS Certified* 83% Post Consumer Recycled Polyester (RM0189) 17% Pre Consumer Recycled Polyamide (RM1084)</v>
          </cell>
        </row>
        <row r="1128">
          <cell r="A1128" t="str">
            <v>SUMMER-XLG-LT-GREENPURPLE</v>
          </cell>
          <cell r="B1128" t="str">
            <v>5.0607E+12</v>
          </cell>
          <cell r="C1128" t="str">
            <v>CLOSED</v>
          </cell>
          <cell r="E1128">
            <v>30</v>
          </cell>
          <cell r="F1128" t="str">
            <v>before AW20</v>
          </cell>
          <cell r="G1128" t="str">
            <v>XR Textile</v>
          </cell>
          <cell r="H1128" t="str">
            <v>TOWLB</v>
          </cell>
          <cell r="I1128" t="str">
            <v>GRS Certified* 83% Post Consumer Recycled Polyester (RM0189) 17% Pre Consumer Recycled Polyamide (RM1084)</v>
          </cell>
        </row>
        <row r="1129">
          <cell r="A1129" t="str">
            <v>SUMMER-XLG-LT-PINKORANGE</v>
          </cell>
          <cell r="B1129" t="str">
            <v>5.0607E+12</v>
          </cell>
          <cell r="C1129" t="str">
            <v>CLOSED</v>
          </cell>
          <cell r="E1129">
            <v>30</v>
          </cell>
          <cell r="G1129" t="str">
            <v>XR Textile</v>
          </cell>
          <cell r="H1129" t="str">
            <v>TOWLB</v>
          </cell>
          <cell r="I1129" t="str">
            <v>GRS Certified* 83% Post Consumer Recycled Polyester (RM0189) 17% Pre Consumer Recycled Polyamide (RM1084)</v>
          </cell>
        </row>
        <row r="1130">
          <cell r="A1130" t="str">
            <v>SUMMER-XLG-PINKPURPLE</v>
          </cell>
          <cell r="B1130" t="str">
            <v>5.0607E+12</v>
          </cell>
          <cell r="C1130" t="str">
            <v>CLOSED</v>
          </cell>
          <cell r="E1130">
            <v>30</v>
          </cell>
          <cell r="G1130" t="str">
            <v>XR Textile</v>
          </cell>
          <cell r="H1130" t="str">
            <v>TOWLB</v>
          </cell>
          <cell r="I1130" t="str">
            <v>GRS Certified* 83% Post Consumer Recycled Polyester (RM0189) 17% Pre Consumer Recycled Polyamide (RM1084)</v>
          </cell>
        </row>
        <row r="1131">
          <cell r="A1131" t="str">
            <v>SUMMER-XLG-RAINBOW</v>
          </cell>
          <cell r="B1131" t="str">
            <v>6.3739E+11</v>
          </cell>
          <cell r="C1131" t="str">
            <v>CLOSED</v>
          </cell>
          <cell r="E1131">
            <v>30</v>
          </cell>
          <cell r="F1131" t="str">
            <v>before AW19</v>
          </cell>
          <cell r="G1131" t="str">
            <v>XR Textile</v>
          </cell>
          <cell r="H1131" t="str">
            <v>TOWLB</v>
          </cell>
          <cell r="I1131" t="str">
            <v>GRS Certified* 83% Post Consumer Recycled Polyester (RM0189) 17% Pre Consumer Recycled Polyamide (RM1084)</v>
          </cell>
        </row>
        <row r="1132">
          <cell r="A1132" t="str">
            <v>SWAY-LAR-ARCTIC</v>
          </cell>
          <cell r="B1132" t="str">
            <v>5.0607E+12</v>
          </cell>
          <cell r="C1132" t="str">
            <v>CLOSED</v>
          </cell>
          <cell r="E1132">
            <v>40</v>
          </cell>
          <cell r="G1132" t="str">
            <v>XR Textile</v>
          </cell>
          <cell r="H1132" t="str">
            <v>TOWLB</v>
          </cell>
          <cell r="I1132" t="str">
            <v>GRS Certified* 83% Post Consumer Recycled Polyester (RM0189) 17% Pre Consumer Recycled Polyamide (RM1084)</v>
          </cell>
        </row>
        <row r="1133">
          <cell r="A1133" t="str">
            <v>SWAY-LAR-ATLANTIC</v>
          </cell>
          <cell r="B1133" t="str">
            <v>5.0607E+12</v>
          </cell>
          <cell r="C1133" t="str">
            <v>CLOSED</v>
          </cell>
          <cell r="E1133">
            <v>40</v>
          </cell>
          <cell r="G1133" t="str">
            <v>XR Textile</v>
          </cell>
          <cell r="H1133" t="str">
            <v>TOWLB</v>
          </cell>
          <cell r="I1133" t="str">
            <v>GRS Certified* 83% Post Consumer Recycled Polyester (RM0189) 17% Pre Consumer Recycled Polyamide (RM1084)</v>
          </cell>
        </row>
        <row r="1134">
          <cell r="A1134" t="str">
            <v>SWAY-LAR-INDIAN</v>
          </cell>
          <cell r="B1134" t="str">
            <v>5.0607E+12</v>
          </cell>
          <cell r="C1134" t="str">
            <v>CLOSED</v>
          </cell>
          <cell r="E1134">
            <v>40</v>
          </cell>
          <cell r="G1134" t="str">
            <v>XR Textile</v>
          </cell>
          <cell r="H1134" t="str">
            <v>TOWLB</v>
          </cell>
          <cell r="I1134" t="str">
            <v>GRS Certified* 83% Post Consumer Recycled Polyester (RM0189) 17% Pre Consumer Recycled Polyamide (RM1084)</v>
          </cell>
        </row>
        <row r="1135">
          <cell r="A1135" t="str">
            <v>SWAY-LAR-PACIFIC</v>
          </cell>
          <cell r="B1135" t="str">
            <v>5.0607E+12</v>
          </cell>
          <cell r="C1135" t="str">
            <v>CLOSED</v>
          </cell>
          <cell r="E1135">
            <v>40</v>
          </cell>
          <cell r="G1135" t="str">
            <v>XR Textile</v>
          </cell>
          <cell r="H1135" t="str">
            <v>TOWLB</v>
          </cell>
          <cell r="I1135" t="str">
            <v>GRS Certified* 83% Post Consumer Recycled Polyester (RM0189) 17% Pre Consumer Recycled Polyamide (RM1084)</v>
          </cell>
        </row>
        <row r="1136">
          <cell r="A1136" t="str">
            <v>SWAY-XLG-ATLANTIC</v>
          </cell>
          <cell r="B1136" t="str">
            <v>5.0607E+12</v>
          </cell>
          <cell r="C1136" t="str">
            <v>CLOSED</v>
          </cell>
          <cell r="E1136">
            <v>30</v>
          </cell>
          <cell r="G1136" t="str">
            <v>XR Textile</v>
          </cell>
          <cell r="H1136" t="str">
            <v>TOWLB</v>
          </cell>
          <cell r="I1136" t="str">
            <v>GRS Certified* 83% Post Consumer Recycled Polyester (RM0189) 17% Pre Consumer Recycled Polyamide (RM1084)</v>
          </cell>
        </row>
        <row r="1137">
          <cell r="A1137" t="str">
            <v>SWAY-XLG-INDIAN</v>
          </cell>
          <cell r="B1137" t="str">
            <v>5.0607E+12</v>
          </cell>
          <cell r="C1137" t="str">
            <v>CLOSED</v>
          </cell>
          <cell r="E1137">
            <v>30</v>
          </cell>
          <cell r="G1137" t="str">
            <v>XR Textile</v>
          </cell>
          <cell r="H1137" t="str">
            <v>TOWLB</v>
          </cell>
          <cell r="I1137" t="str">
            <v>GRS Certified* 83% Post Consumer Recycled Polyester (RM0189) 17% Pre Consumer Recycled Polyamide (RM1084)</v>
          </cell>
        </row>
        <row r="1138">
          <cell r="A1138" t="str">
            <v>SWAY-XLG-PACIFIC</v>
          </cell>
          <cell r="B1138" t="str">
            <v>5.0607E+12</v>
          </cell>
          <cell r="C1138" t="str">
            <v>CLOSED</v>
          </cell>
          <cell r="E1138">
            <v>30</v>
          </cell>
          <cell r="F1138" t="str">
            <v>before AW19</v>
          </cell>
          <cell r="G1138" t="str">
            <v>XR Textile</v>
          </cell>
          <cell r="H1138" t="str">
            <v>TOWLB</v>
          </cell>
          <cell r="I1138" t="str">
            <v>GRS Certified* 83% Post Consumer Recycled Polyester (RM0189) 17% Pre Consumer Recycled Polyamide (RM1084)</v>
          </cell>
        </row>
        <row r="1139">
          <cell r="A1139" t="str">
            <v>TANGT-HAIRW-BLACK</v>
          </cell>
          <cell r="B1139" t="str">
            <v>8.0101E+10</v>
          </cell>
          <cell r="C1139" t="str">
            <v>CLOSED</v>
          </cell>
          <cell r="E1139">
            <v>30</v>
          </cell>
          <cell r="F1139" t="str">
            <v>AW21</v>
          </cell>
          <cell r="G1139" t="str">
            <v>XR Textile</v>
          </cell>
          <cell r="H1139" t="str">
            <v>HAIRW-standard</v>
          </cell>
          <cell r="I1139" t="str">
            <v>GRS Certified* 83% Post Consumer Recycled Polyester (RM0189) 17% Pre Consumer Recycled Polyamide (RM1084)</v>
          </cell>
        </row>
        <row r="1140">
          <cell r="A1140" t="str">
            <v>TANGT-HAIRW-LTGRN</v>
          </cell>
          <cell r="B1140" t="str">
            <v>8.0101E+10</v>
          </cell>
          <cell r="C1140" t="str">
            <v>CLOSED</v>
          </cell>
          <cell r="E1140">
            <v>30</v>
          </cell>
          <cell r="F1140" t="str">
            <v>AW21</v>
          </cell>
          <cell r="G1140" t="str">
            <v>XR Textile</v>
          </cell>
          <cell r="H1140" t="str">
            <v>HAIRW-standard</v>
          </cell>
          <cell r="I1140" t="str">
            <v>GRS Certified* 83% Post Consumer Recycled Polyester (RM0189) 17% Pre Consumer Recycled Polyamide (RM1084)</v>
          </cell>
        </row>
        <row r="1141">
          <cell r="A1141" t="str">
            <v>TANGT-HAIRW-LTPNK</v>
          </cell>
          <cell r="B1141" t="str">
            <v>8.0101E+10</v>
          </cell>
          <cell r="C1141" t="str">
            <v>CLOSED</v>
          </cell>
          <cell r="E1141">
            <v>30</v>
          </cell>
          <cell r="F1141" t="str">
            <v>AW21</v>
          </cell>
          <cell r="G1141" t="str">
            <v>XR Textile</v>
          </cell>
          <cell r="H1141" t="str">
            <v>HAIRW-standard</v>
          </cell>
          <cell r="I1141" t="str">
            <v>GRS Certified* 83% Post Consumer Recycled Polyester (RM0189) 17% Pre Consumer Recycled Polyamide (RM1084)</v>
          </cell>
        </row>
        <row r="1142">
          <cell r="A1142" t="str">
            <v>TANGT-HAIRW-LTPPL</v>
          </cell>
          <cell r="B1142" t="str">
            <v>8.0101E+10</v>
          </cell>
          <cell r="C1142" t="str">
            <v>CLOSED</v>
          </cell>
          <cell r="E1142">
            <v>30</v>
          </cell>
          <cell r="F1142" t="str">
            <v>AW21</v>
          </cell>
          <cell r="G1142" t="str">
            <v>XR Textile</v>
          </cell>
          <cell r="H1142" t="str">
            <v>HAIRW-standard</v>
          </cell>
          <cell r="I1142" t="str">
            <v>GRS Certified* 83% Post Consumer Recycled Polyester (RM0189) 17% Pre Consumer Recycled Polyamide (RM1084)</v>
          </cell>
        </row>
        <row r="1143">
          <cell r="A1143" t="str">
            <v>TEATWL-MD-BLISS</v>
          </cell>
          <cell r="B1143" t="str">
            <v>5.0607E+12</v>
          </cell>
          <cell r="C1143" t="str">
            <v>CLOSED</v>
          </cell>
          <cell r="D1143" t="str">
            <v>Seasonal</v>
          </cell>
          <cell r="E1143">
            <v>50</v>
          </cell>
          <cell r="F1143" t="str">
            <v>AW23</v>
          </cell>
          <cell r="G1143" t="str">
            <v>XR Textile</v>
          </cell>
          <cell r="H1143" t="str">
            <v>TEATWL</v>
          </cell>
          <cell r="I1143" t="str">
            <v>GRS Certified* 83% Post Consumer Recycled Polyester (RM0189) 17% Pre Consumer Recycled Polyamide (RM1084)</v>
          </cell>
        </row>
        <row r="1144">
          <cell r="A1144" t="str">
            <v>TEATWL-MD-BLUJAM</v>
          </cell>
          <cell r="B1144" t="str">
            <v>5.0607E+12</v>
          </cell>
          <cell r="C1144" t="str">
            <v>CLOSED</v>
          </cell>
          <cell r="D1144" t="str">
            <v>Seasonal</v>
          </cell>
          <cell r="E1144">
            <v>50</v>
          </cell>
          <cell r="F1144" t="str">
            <v>AW23</v>
          </cell>
          <cell r="G1144" t="str">
            <v>XR Textile</v>
          </cell>
          <cell r="H1144" t="str">
            <v>TEATWL</v>
          </cell>
          <cell r="I1144" t="str">
            <v>GRS Certified* 83% Post Consumer Recycled Polyester (RM0189) 17% Pre Consumer Recycled Polyamide (RM1084)</v>
          </cell>
        </row>
        <row r="1145">
          <cell r="A1145" t="str">
            <v>TEATWL-MD-FRTSLD</v>
          </cell>
          <cell r="B1145" t="str">
            <v>5.0607E+12</v>
          </cell>
          <cell r="C1145" t="str">
            <v>CLOSED</v>
          </cell>
          <cell r="D1145" t="str">
            <v>Seasonal</v>
          </cell>
          <cell r="E1145">
            <v>50</v>
          </cell>
          <cell r="F1145" t="str">
            <v>AW23</v>
          </cell>
          <cell r="G1145" t="str">
            <v>XR Textile</v>
          </cell>
          <cell r="H1145" t="str">
            <v>TEATWL</v>
          </cell>
          <cell r="I1145" t="str">
            <v>GRS Certified* 83% Post Consumer Recycled Polyester (RM0189) 17% Pre Consumer Recycled Polyamide (RM1084)</v>
          </cell>
        </row>
        <row r="1146">
          <cell r="A1146" t="str">
            <v>TEATWL-MD-PATCHP</v>
          </cell>
          <cell r="B1146" t="str">
            <v>5.061E+12</v>
          </cell>
          <cell r="C1146" t="str">
            <v>CLOSED</v>
          </cell>
          <cell r="D1146" t="str">
            <v>Seasonal</v>
          </cell>
          <cell r="E1146">
            <v>50</v>
          </cell>
          <cell r="F1146" t="str">
            <v>AW24</v>
          </cell>
          <cell r="G1146" t="str">
            <v>XR Textile</v>
          </cell>
          <cell r="H1146" t="str">
            <v>TEATWL</v>
          </cell>
          <cell r="I1146" t="str">
            <v>GRS Certified* 83% Post Consumer Recycled Polyester (RM0189) 17% Pre Consumer Recycled Polyamide (RM1084)</v>
          </cell>
        </row>
        <row r="1147">
          <cell r="A1147" t="str">
            <v>TEATWL-MD-ZEST</v>
          </cell>
          <cell r="B1147" t="str">
            <v>5.0607E+12</v>
          </cell>
          <cell r="C1147" t="str">
            <v>CLOSED</v>
          </cell>
          <cell r="D1147" t="str">
            <v>Seasonal</v>
          </cell>
          <cell r="E1147">
            <v>50</v>
          </cell>
          <cell r="F1147" t="str">
            <v>AW23</v>
          </cell>
          <cell r="G1147" t="str">
            <v>XR Textile</v>
          </cell>
          <cell r="H1147" t="str">
            <v>TEATWL</v>
          </cell>
          <cell r="I1147" t="str">
            <v>GRS Certified* 83% Post Consumer Recycled Polyester (RM0189) 17% Pre Consumer Recycled Polyamide (RM1084)</v>
          </cell>
        </row>
        <row r="1148">
          <cell r="A1148" t="str">
            <v>TOWLB-ANI-LG-COW</v>
          </cell>
          <cell r="B1148" t="str">
            <v>5.0607E+12</v>
          </cell>
          <cell r="C1148" t="str">
            <v>CLOSED</v>
          </cell>
          <cell r="E1148">
            <v>40</v>
          </cell>
          <cell r="F1148" t="str">
            <v>SS22</v>
          </cell>
          <cell r="G1148" t="str">
            <v>XR Textile</v>
          </cell>
          <cell r="H1148" t="str">
            <v>TOWLB</v>
          </cell>
          <cell r="I1148" t="str">
            <v>GRS Certified* 83% Post Consumer Recycled Polyester (RM0189) 17% Pre Consumer Recycled Polyamide (RM1084)</v>
          </cell>
        </row>
        <row r="1149">
          <cell r="A1149" t="str">
            <v>TOWLB-ANI-LG-DALMA</v>
          </cell>
          <cell r="B1149" t="str">
            <v>5.0607E+12</v>
          </cell>
          <cell r="C1149" t="str">
            <v>CLOSED</v>
          </cell>
          <cell r="E1149">
            <v>40</v>
          </cell>
          <cell r="F1149" t="str">
            <v>SS22</v>
          </cell>
          <cell r="G1149" t="str">
            <v>XR Textile</v>
          </cell>
          <cell r="H1149" t="str">
            <v>TOWLB</v>
          </cell>
          <cell r="I1149" t="str">
            <v>GRS Certified* 83% Post Consumer Recycled Polyester (RM0189) 17% Pre Consumer Recycled Polyamide (RM1084)</v>
          </cell>
        </row>
        <row r="1150">
          <cell r="A1150" t="str">
            <v>TOWLB-ANI-LG-LEOPD</v>
          </cell>
          <cell r="B1150" t="str">
            <v>5.0607E+12</v>
          </cell>
          <cell r="C1150" t="str">
            <v>CLOSED</v>
          </cell>
          <cell r="E1150">
            <v>40</v>
          </cell>
          <cell r="F1150" t="str">
            <v>SS22</v>
          </cell>
          <cell r="G1150" t="str">
            <v>XR Textile</v>
          </cell>
          <cell r="H1150" t="str">
            <v>TOWLB</v>
          </cell>
          <cell r="I1150" t="str">
            <v>GRS Certified* 83% Post Consumer Recycled Polyester (RM0189) 17% Pre Consumer Recycled Polyamide (RM1084)</v>
          </cell>
        </row>
        <row r="1151">
          <cell r="A1151" t="str">
            <v>TOWLB-ANI-LG-SNAKE</v>
          </cell>
          <cell r="B1151" t="str">
            <v>5.0607E+12</v>
          </cell>
          <cell r="C1151" t="str">
            <v>CLOSED</v>
          </cell>
          <cell r="E1151">
            <v>40</v>
          </cell>
          <cell r="F1151" t="str">
            <v>SS22</v>
          </cell>
          <cell r="G1151" t="str">
            <v>XR Textile</v>
          </cell>
          <cell r="H1151" t="str">
            <v>TOWLB</v>
          </cell>
          <cell r="I1151" t="str">
            <v>GRS Certified* 83% Post Consumer Recycled Polyester (RM0189) 17% Pre Consumer Recycled Polyamide (RM1084)</v>
          </cell>
        </row>
        <row r="1152">
          <cell r="A1152" t="str">
            <v>TOWLB-ANI-LG-TIGER</v>
          </cell>
          <cell r="B1152" t="str">
            <v>5.0607E+12</v>
          </cell>
          <cell r="C1152" t="str">
            <v>CLOSED</v>
          </cell>
          <cell r="E1152">
            <v>40</v>
          </cell>
          <cell r="F1152" t="str">
            <v>SS22</v>
          </cell>
          <cell r="G1152" t="str">
            <v>XR Textile</v>
          </cell>
          <cell r="H1152" t="str">
            <v>TOWLB</v>
          </cell>
          <cell r="I1152" t="str">
            <v>GRS Certified* 83% Post Consumer Recycled Polyester (RM0189) 17% Pre Consumer Recycled Polyamide (RM1084)</v>
          </cell>
        </row>
        <row r="1153">
          <cell r="A1153" t="str">
            <v>TOWLB-ANI-XL-COW</v>
          </cell>
          <cell r="B1153" t="str">
            <v>5.0607E+12</v>
          </cell>
          <cell r="C1153" t="str">
            <v>CLOSED</v>
          </cell>
          <cell r="E1153">
            <v>30</v>
          </cell>
          <cell r="F1153" t="str">
            <v>SS22</v>
          </cell>
          <cell r="G1153" t="str">
            <v>XR Textile</v>
          </cell>
          <cell r="H1153" t="str">
            <v>TOWLB</v>
          </cell>
          <cell r="I1153" t="str">
            <v>GRS Certified* 83% Post Consumer Recycled Polyester (RM0189) 17% Pre Consumer Recycled Polyamide (RM1084)</v>
          </cell>
        </row>
        <row r="1154">
          <cell r="A1154" t="str">
            <v>TOWLB-ANI-XL-DALMA</v>
          </cell>
          <cell r="B1154" t="str">
            <v>5.0607E+12</v>
          </cell>
          <cell r="C1154" t="str">
            <v>CLOSED</v>
          </cell>
          <cell r="E1154">
            <v>30</v>
          </cell>
          <cell r="F1154" t="str">
            <v>SS22</v>
          </cell>
          <cell r="G1154" t="str">
            <v>XR Textile</v>
          </cell>
          <cell r="H1154" t="str">
            <v>TOWLB</v>
          </cell>
          <cell r="I1154" t="str">
            <v>GRS Certified* 83% Post Consumer Recycled Polyester (RM0189) 17% Pre Consumer Recycled Polyamide (RM1084)</v>
          </cell>
        </row>
        <row r="1155">
          <cell r="A1155" t="str">
            <v>TOWLB-ANI-XL-LEOPD</v>
          </cell>
          <cell r="B1155" t="str">
            <v>5.0607E+12</v>
          </cell>
          <cell r="C1155" t="str">
            <v>CLOSED</v>
          </cell>
          <cell r="E1155">
            <v>30</v>
          </cell>
          <cell r="F1155" t="str">
            <v>SS22</v>
          </cell>
          <cell r="G1155" t="str">
            <v>XR Textile</v>
          </cell>
          <cell r="H1155" t="str">
            <v>TOWLB</v>
          </cell>
          <cell r="I1155" t="str">
            <v>GRS Certified* 83% Post Consumer Recycled Polyester (RM0189) 17% Pre Consumer Recycled Polyamide (RM1084)</v>
          </cell>
        </row>
        <row r="1156">
          <cell r="A1156" t="str">
            <v>TOWLB-ANI-XL-SNAKE</v>
          </cell>
          <cell r="B1156" t="str">
            <v>5.0607E+12</v>
          </cell>
          <cell r="C1156" t="str">
            <v>CLOSED</v>
          </cell>
          <cell r="E1156">
            <v>30</v>
          </cell>
          <cell r="F1156" t="str">
            <v>SS22</v>
          </cell>
          <cell r="G1156" t="str">
            <v>XR Textile</v>
          </cell>
          <cell r="H1156" t="str">
            <v>TOWLB</v>
          </cell>
          <cell r="I1156" t="str">
            <v>GRS Certified* 83% Post Consumer Recycled Polyester (RM0189) 17% Pre Consumer Recycled Polyamide (RM1084)</v>
          </cell>
        </row>
        <row r="1157">
          <cell r="A1157" t="str">
            <v>TOWLB-ANI-XL-TIGER</v>
          </cell>
          <cell r="B1157" t="str">
            <v>5.0607E+12</v>
          </cell>
          <cell r="C1157" t="str">
            <v>CLOSED</v>
          </cell>
          <cell r="E1157">
            <v>30</v>
          </cell>
          <cell r="F1157" t="str">
            <v>SS22</v>
          </cell>
          <cell r="G1157" t="str">
            <v>XR Textile</v>
          </cell>
          <cell r="H1157" t="str">
            <v>TOWLB</v>
          </cell>
          <cell r="I1157" t="str">
            <v>GRS Certified* 83% Post Consumer Recycled Polyester (RM0189) 17% Pre Consumer Recycled Polyamide (RM1084)</v>
          </cell>
        </row>
        <row r="1158">
          <cell r="A1158" t="str">
            <v>TOWLB-BOH-LG-FRESP-R</v>
          </cell>
          <cell r="B1158" t="str">
            <v>5.0607E+12</v>
          </cell>
          <cell r="C1158" t="str">
            <v>CLOSED</v>
          </cell>
          <cell r="E1158">
            <v>40</v>
          </cell>
          <cell r="F1158" t="str">
            <v>before AW20</v>
          </cell>
          <cell r="G1158" t="str">
            <v>XR Textile</v>
          </cell>
          <cell r="H1158" t="str">
            <v>TOWLB</v>
          </cell>
          <cell r="I1158" t="str">
            <v>GRS Certified* 83% Post Consumer Recycled Polyester (RM0189) 17% Pre Consumer Recycled Polyamide (RM1084)</v>
          </cell>
        </row>
        <row r="1159">
          <cell r="A1159" t="str">
            <v>TOWLB-BOH-LG-LOSTN-R</v>
          </cell>
          <cell r="B1159" t="str">
            <v>5.0607E+12</v>
          </cell>
          <cell r="C1159" t="str">
            <v>CLOSED</v>
          </cell>
          <cell r="E1159">
            <v>40</v>
          </cell>
          <cell r="F1159" t="str">
            <v>before AW20</v>
          </cell>
          <cell r="G1159" t="str">
            <v>XR Textile</v>
          </cell>
          <cell r="H1159" t="str">
            <v>TOWLB</v>
          </cell>
          <cell r="I1159" t="str">
            <v>GRS Certified* 83% Post Consumer Recycled Polyester (RM0189) 17% Pre Consumer Recycled Polyamide (RM1084)</v>
          </cell>
        </row>
        <row r="1160">
          <cell r="A1160" t="str">
            <v>TOWLB-BOH-LG-RECKX-R</v>
          </cell>
          <cell r="B1160" t="str">
            <v>5.0607E+12</v>
          </cell>
          <cell r="C1160" t="str">
            <v>CLOSED</v>
          </cell>
          <cell r="E1160">
            <v>40</v>
          </cell>
          <cell r="F1160" t="str">
            <v>before AW20</v>
          </cell>
          <cell r="G1160" t="str">
            <v>XR Textile</v>
          </cell>
          <cell r="H1160" t="str">
            <v>TOWLB</v>
          </cell>
          <cell r="I1160" t="str">
            <v>GRS Certified* 83% Post Consumer Recycled Polyester (RM0189) 17% Pre Consumer Recycled Polyamide (RM1084)</v>
          </cell>
        </row>
        <row r="1161">
          <cell r="A1161" t="str">
            <v>TOWLB-BOH-XL-FRESP-R</v>
          </cell>
          <cell r="B1161" t="str">
            <v>5.0607E+12</v>
          </cell>
          <cell r="C1161" t="str">
            <v>CLOSED</v>
          </cell>
          <cell r="E1161">
            <v>30</v>
          </cell>
          <cell r="F1161" t="str">
            <v>before AW20</v>
          </cell>
          <cell r="G1161" t="str">
            <v>XR Textile</v>
          </cell>
          <cell r="H1161" t="str">
            <v>TOWLB</v>
          </cell>
          <cell r="I1161" t="str">
            <v>GRS Certified* 83% Post Consumer Recycled Polyester (RM0189) 17% Pre Consumer Recycled Polyamide (RM1084)</v>
          </cell>
        </row>
        <row r="1162">
          <cell r="A1162" t="str">
            <v>TOWLB-BOH-XL-LOSTN-R</v>
          </cell>
          <cell r="B1162" t="str">
            <v>5.0607E+12</v>
          </cell>
          <cell r="C1162" t="str">
            <v>CLOSED</v>
          </cell>
          <cell r="E1162">
            <v>30</v>
          </cell>
          <cell r="F1162" t="str">
            <v>before AW20</v>
          </cell>
          <cell r="G1162" t="str">
            <v>XR Textile</v>
          </cell>
          <cell r="H1162" t="str">
            <v>TOWLB</v>
          </cell>
          <cell r="I1162" t="str">
            <v>GRS Certified* 83% Post Consumer Recycled Polyester (RM0189) 17% Pre Consumer Recycled Polyamide (RM1084)</v>
          </cell>
        </row>
        <row r="1163">
          <cell r="A1163" t="str">
            <v>TOWLB-BOH-XL-RECKX-R</v>
          </cell>
          <cell r="B1163" t="str">
            <v>5.0607E+12</v>
          </cell>
          <cell r="C1163" t="str">
            <v>CLOSED</v>
          </cell>
          <cell r="E1163">
            <v>30</v>
          </cell>
          <cell r="F1163" t="str">
            <v>before AW20</v>
          </cell>
          <cell r="G1163" t="str">
            <v>XR Textile</v>
          </cell>
          <cell r="H1163" t="str">
            <v>TOWLB</v>
          </cell>
          <cell r="I1163" t="str">
            <v>GRS Certified* 83% Post Consumer Recycled Polyester (RM0189) 17% Pre Consumer Recycled Polyamide (RM1084)</v>
          </cell>
        </row>
        <row r="1164">
          <cell r="A1164" t="str">
            <v>TOWLB-BOT-LG-BANA</v>
          </cell>
          <cell r="B1164" t="str">
            <v>5.0607E+12</v>
          </cell>
          <cell r="C1164" t="str">
            <v>CLOSED</v>
          </cell>
          <cell r="E1164">
            <v>40</v>
          </cell>
          <cell r="F1164" t="str">
            <v>SS21</v>
          </cell>
          <cell r="G1164" t="str">
            <v>XR Textile</v>
          </cell>
          <cell r="H1164" t="str">
            <v>TOWLB</v>
          </cell>
          <cell r="I1164" t="str">
            <v>GRS Certified* 83% Post Consumer Recycled Polyester (RM0189) 17% Pre Consumer Recycled Polyamide (RM1084)</v>
          </cell>
        </row>
        <row r="1165">
          <cell r="A1165" t="str">
            <v>TOWLB-BOT-LG-HIBI</v>
          </cell>
          <cell r="B1165" t="str">
            <v>5.0607E+12</v>
          </cell>
          <cell r="C1165" t="str">
            <v>CLOSED</v>
          </cell>
          <cell r="E1165">
            <v>40</v>
          </cell>
          <cell r="F1165" t="str">
            <v>SS21</v>
          </cell>
          <cell r="G1165" t="str">
            <v>XR Textile</v>
          </cell>
          <cell r="H1165" t="str">
            <v>TOWLB</v>
          </cell>
          <cell r="I1165" t="str">
            <v>GRS Certified* 83% Post Consumer Recycled Polyester (RM0189) 17% Pre Consumer Recycled Polyamide (RM1084)</v>
          </cell>
        </row>
        <row r="1166">
          <cell r="A1166" t="str">
            <v>TOWLB-BOT-LG-ORCH</v>
          </cell>
          <cell r="B1166" t="str">
            <v>5.0607E+12</v>
          </cell>
          <cell r="C1166" t="str">
            <v>CLOSED</v>
          </cell>
          <cell r="E1166">
            <v>40</v>
          </cell>
          <cell r="F1166" t="str">
            <v>SS21</v>
          </cell>
          <cell r="G1166" t="str">
            <v>XR Textile</v>
          </cell>
          <cell r="H1166" t="str">
            <v>TOWLB</v>
          </cell>
          <cell r="I1166" t="str">
            <v>GRS Certified* 83% Post Consumer Recycled Polyester (RM0189) 17% Pre Consumer Recycled Polyamide (RM1084)</v>
          </cell>
        </row>
        <row r="1167">
          <cell r="A1167" t="str">
            <v>TOWLB-BOT-LG-PALM</v>
          </cell>
          <cell r="B1167" t="str">
            <v>5.0607E+12</v>
          </cell>
          <cell r="C1167" t="str">
            <v>CLOSED</v>
          </cell>
          <cell r="E1167">
            <v>40</v>
          </cell>
          <cell r="F1167" t="str">
            <v>SS21</v>
          </cell>
          <cell r="G1167" t="str">
            <v>XR Textile</v>
          </cell>
          <cell r="H1167" t="str">
            <v>TOWLB</v>
          </cell>
          <cell r="I1167" t="str">
            <v>GRS Certified* 83% Post Consumer Recycled Polyester (RM0189) 17% Pre Consumer Recycled Polyamide (RM1084)</v>
          </cell>
        </row>
        <row r="1168">
          <cell r="A1168" t="str">
            <v>TOWLB-BOT-LG-PARA</v>
          </cell>
          <cell r="B1168" t="str">
            <v>5.0607E+12</v>
          </cell>
          <cell r="C1168" t="str">
            <v>CLOSED</v>
          </cell>
          <cell r="E1168">
            <v>40</v>
          </cell>
          <cell r="F1168" t="str">
            <v>SS21</v>
          </cell>
          <cell r="G1168" t="str">
            <v>XR Textile</v>
          </cell>
          <cell r="H1168" t="str">
            <v>TOWLB</v>
          </cell>
          <cell r="I1168" t="str">
            <v>GRS Certified* 83% Post Consumer Recycled Polyester (RM0189) 17% Pre Consumer Recycled Polyamide (RM1084)</v>
          </cell>
        </row>
        <row r="1169">
          <cell r="A1169" t="str">
            <v>TOWLB-BOT-XL-BANA</v>
          </cell>
          <cell r="B1169" t="str">
            <v>5.0607E+12</v>
          </cell>
          <cell r="C1169" t="str">
            <v>CLOSED</v>
          </cell>
          <cell r="E1169">
            <v>30</v>
          </cell>
          <cell r="F1169" t="str">
            <v>SS21</v>
          </cell>
          <cell r="G1169" t="str">
            <v>XR Textile</v>
          </cell>
          <cell r="H1169" t="str">
            <v>TOWLB</v>
          </cell>
          <cell r="I1169" t="str">
            <v>GRS Certified* 83% Post Consumer Recycled Polyester (RM0189) 17% Pre Consumer Recycled Polyamide (RM1084)</v>
          </cell>
        </row>
        <row r="1170">
          <cell r="A1170" t="str">
            <v>TOWLB-BOT-XL-HIBI</v>
          </cell>
          <cell r="B1170" t="str">
            <v>5.0607E+12</v>
          </cell>
          <cell r="C1170" t="str">
            <v>CLOSED</v>
          </cell>
          <cell r="E1170">
            <v>30</v>
          </cell>
          <cell r="F1170" t="str">
            <v>SS21</v>
          </cell>
          <cell r="G1170" t="str">
            <v>XR Textile</v>
          </cell>
          <cell r="H1170" t="str">
            <v>TOWLB</v>
          </cell>
          <cell r="I1170" t="str">
            <v>GRS Certified* 83% Post Consumer Recycled Polyester (RM0189) 17% Pre Consumer Recycled Polyamide (RM1084)</v>
          </cell>
        </row>
        <row r="1171">
          <cell r="A1171" t="str">
            <v>TOWLB-BOT-XL-ORCH</v>
          </cell>
          <cell r="B1171" t="str">
            <v>5.0607E+12</v>
          </cell>
          <cell r="C1171" t="str">
            <v>CLOSED</v>
          </cell>
          <cell r="E1171">
            <v>30</v>
          </cell>
          <cell r="F1171" t="str">
            <v>SS21</v>
          </cell>
          <cell r="G1171" t="str">
            <v>XR Textile</v>
          </cell>
          <cell r="H1171" t="str">
            <v>TOWLB</v>
          </cell>
          <cell r="I1171" t="str">
            <v>GRS Certified* 83% Post Consumer Recycled Polyester (RM0189) 17% Pre Consumer Recycled Polyamide (RM1084)</v>
          </cell>
        </row>
        <row r="1172">
          <cell r="A1172" t="str">
            <v>TOWLB-BOT-XL-PARA</v>
          </cell>
          <cell r="B1172" t="str">
            <v>5.0607E+12</v>
          </cell>
          <cell r="C1172" t="str">
            <v>CLOSED</v>
          </cell>
          <cell r="E1172">
            <v>30</v>
          </cell>
          <cell r="F1172" t="str">
            <v>SS21</v>
          </cell>
          <cell r="G1172" t="str">
            <v>XR Textile</v>
          </cell>
          <cell r="H1172" t="str">
            <v>TOWLB</v>
          </cell>
          <cell r="I1172" t="str">
            <v>GRS Certified* 83% Post Consumer Recycled Polyester (RM0189) 17% Pre Consumer Recycled Polyamide (RM1084)</v>
          </cell>
        </row>
        <row r="1173">
          <cell r="A1173" t="str">
            <v>TOWLB-BTBOX-LG-BOAT</v>
          </cell>
          <cell r="B1173" t="str">
            <v>7.815E+11</v>
          </cell>
          <cell r="C1173" t="str">
            <v>CLOSED</v>
          </cell>
          <cell r="E1173">
            <v>40</v>
          </cell>
          <cell r="G1173" t="str">
            <v>XR Textile</v>
          </cell>
          <cell r="H1173" t="str">
            <v>TOWLB</v>
          </cell>
          <cell r="I1173" t="str">
            <v>GRS Certified* 83% Post Consumer Recycled Polyester (RM0189) 17% Pre Consumer Recycled Polyamide (RM1084)</v>
          </cell>
        </row>
        <row r="1174">
          <cell r="A1174" t="str">
            <v>TOWLB-BTBOX-LG-CAMERA</v>
          </cell>
          <cell r="B1174" t="str">
            <v>7.815E+11</v>
          </cell>
          <cell r="C1174" t="str">
            <v>CLOSED</v>
          </cell>
          <cell r="E1174">
            <v>40</v>
          </cell>
          <cell r="G1174" t="str">
            <v>XR Textile</v>
          </cell>
          <cell r="H1174" t="str">
            <v>TOWLB</v>
          </cell>
          <cell r="I1174" t="str">
            <v>GRS Certified* 83% Post Consumer Recycled Polyester (RM0189) 17% Pre Consumer Recycled Polyamide (RM1084)</v>
          </cell>
        </row>
        <row r="1175">
          <cell r="A1175" t="str">
            <v>TOWLB-BTBOX-LG-CROC</v>
          </cell>
          <cell r="B1175" t="str">
            <v>7.815E+11</v>
          </cell>
          <cell r="C1175" t="str">
            <v>CLOSED</v>
          </cell>
          <cell r="E1175">
            <v>40</v>
          </cell>
          <cell r="G1175" t="str">
            <v>XR Textile</v>
          </cell>
          <cell r="H1175" t="str">
            <v>TOWLB</v>
          </cell>
          <cell r="I1175" t="str">
            <v>GRS Certified* 83% Post Consumer Recycled Polyester (RM0189) 17% Pre Consumer Recycled Polyamide (RM1084)</v>
          </cell>
        </row>
        <row r="1176">
          <cell r="A1176" t="str">
            <v>TOWLB-BTBOX-LG-FISH</v>
          </cell>
          <cell r="B1176" t="str">
            <v>7.815E+11</v>
          </cell>
          <cell r="C1176" t="str">
            <v>CLOSED</v>
          </cell>
          <cell r="E1176">
            <v>40</v>
          </cell>
          <cell r="G1176" t="str">
            <v>XR Textile</v>
          </cell>
          <cell r="H1176" t="str">
            <v>TOWLB</v>
          </cell>
          <cell r="I1176" t="str">
            <v>GRS Certified* 83% Post Consumer Recycled Polyester (RM0189) 17% Pre Consumer Recycled Polyamide (RM1084)</v>
          </cell>
        </row>
        <row r="1177">
          <cell r="A1177" t="str">
            <v>TOWLB-BTBOX-LG-STRAWBERRY</v>
          </cell>
          <cell r="B1177" t="str">
            <v>7.815E+11</v>
          </cell>
          <cell r="C1177" t="str">
            <v>CLOSED</v>
          </cell>
          <cell r="E1177">
            <v>40</v>
          </cell>
          <cell r="G1177" t="str">
            <v>XR Textile</v>
          </cell>
          <cell r="H1177" t="str">
            <v>TOWLB</v>
          </cell>
          <cell r="I1177" t="str">
            <v>GRS Certified* 83% Post Consumer Recycled Polyester (RM0189) 17% Pre Consumer Recycled Polyamide (RM1084)</v>
          </cell>
        </row>
        <row r="1178">
          <cell r="A1178" t="str">
            <v>TOWLB-BTBOX-LG-TURTLE</v>
          </cell>
          <cell r="B1178" t="str">
            <v>7.815E+11</v>
          </cell>
          <cell r="C1178" t="str">
            <v>CLOSED</v>
          </cell>
          <cell r="E1178">
            <v>40</v>
          </cell>
          <cell r="G1178" t="str">
            <v>XR Textile</v>
          </cell>
          <cell r="H1178" t="str">
            <v>TOWLB</v>
          </cell>
          <cell r="I1178" t="str">
            <v>GRS Certified* 83% Post Consumer Recycled Polyester (RM0189) 17% Pre Consumer Recycled Polyamide (RM1084)</v>
          </cell>
        </row>
        <row r="1179">
          <cell r="A1179" t="str">
            <v>TOWLB-CAB-LG-LTGRE-R</v>
          </cell>
          <cell r="B1179" t="str">
            <v>5.0607E+12</v>
          </cell>
          <cell r="C1179" t="str">
            <v>CLOSED</v>
          </cell>
          <cell r="E1179">
            <v>40</v>
          </cell>
          <cell r="F1179" t="str">
            <v>before AW20</v>
          </cell>
          <cell r="G1179" t="str">
            <v>XR Textile</v>
          </cell>
          <cell r="H1179" t="str">
            <v>TOWLB</v>
          </cell>
          <cell r="I1179" t="str">
            <v>GRS Certified* 83% Post Consumer Recycled Polyester (RM0189) 17% Pre Consumer Recycled Polyamide (RM1084)</v>
          </cell>
        </row>
        <row r="1180">
          <cell r="A1180" t="str">
            <v>TOWLB-CAB-LG-LTPCH-R</v>
          </cell>
          <cell r="B1180" t="str">
            <v>5.0607E+12</v>
          </cell>
          <cell r="C1180" t="str">
            <v>CLOSED</v>
          </cell>
          <cell r="E1180">
            <v>40</v>
          </cell>
          <cell r="F1180" t="str">
            <v>before AW20</v>
          </cell>
          <cell r="G1180" t="str">
            <v>XR Textile</v>
          </cell>
          <cell r="H1180" t="str">
            <v>TOWLB</v>
          </cell>
          <cell r="I1180" t="str">
            <v>GRS Certified* 83% Post Consumer Recycled Polyester (RM0189) 17% Pre Consumer Recycled Polyamide (RM1084)</v>
          </cell>
        </row>
        <row r="1181">
          <cell r="A1181" t="str">
            <v>TOWLB-CAB-LG-LTRED-R</v>
          </cell>
          <cell r="B1181" t="str">
            <v>5.0607E+12</v>
          </cell>
          <cell r="C1181" t="str">
            <v>CLOSED</v>
          </cell>
          <cell r="E1181">
            <v>40</v>
          </cell>
          <cell r="F1181" t="str">
            <v>before AW20</v>
          </cell>
          <cell r="G1181" t="str">
            <v>XR Textile</v>
          </cell>
          <cell r="H1181" t="str">
            <v>TOWLB</v>
          </cell>
          <cell r="I1181" t="str">
            <v>GRS Certified* 83% Post Consumer Recycled Polyester (RM0189) 17% Pre Consumer Recycled Polyamide (RM1084)</v>
          </cell>
        </row>
        <row r="1182">
          <cell r="A1182" t="str">
            <v>TOWLB-CAB-LG-PURPL-R</v>
          </cell>
          <cell r="B1182" t="str">
            <v>5.0607E+12</v>
          </cell>
          <cell r="C1182" t="str">
            <v>CLOSED</v>
          </cell>
          <cell r="E1182">
            <v>40</v>
          </cell>
          <cell r="F1182" t="str">
            <v>before AW20</v>
          </cell>
          <cell r="G1182" t="str">
            <v>XR Textile</v>
          </cell>
          <cell r="H1182" t="str">
            <v>TOWLB</v>
          </cell>
          <cell r="I1182" t="str">
            <v>GRS Certified* 83% Post Consumer Recycled Polyester (RM0189) 17% Pre Consumer Recycled Polyamide (RM1084)</v>
          </cell>
        </row>
        <row r="1183">
          <cell r="A1183" t="str">
            <v>TOWLB-CAB-MD-LTGRY</v>
          </cell>
          <cell r="B1183" t="str">
            <v>5.0607E+12</v>
          </cell>
          <cell r="C1183" t="str">
            <v>CLOSED</v>
          </cell>
          <cell r="E1183">
            <v>50</v>
          </cell>
          <cell r="F1183" t="str">
            <v>SS22</v>
          </cell>
          <cell r="G1183" t="str">
            <v>XR Textile</v>
          </cell>
          <cell r="H1183" t="str">
            <v>TOWLB</v>
          </cell>
          <cell r="I1183" t="str">
            <v>GRS Certified* 83% Post Consumer Recycled Polyester (RM0189) 17% Pre Consumer Recycled Polyamide (RM1084)</v>
          </cell>
        </row>
        <row r="1184">
          <cell r="A1184" t="str">
            <v>TOWLB-CAB-XL-LTGRE-R</v>
          </cell>
          <cell r="B1184" t="str">
            <v>5.0607E+12</v>
          </cell>
          <cell r="C1184" t="str">
            <v>CLOSED</v>
          </cell>
          <cell r="E1184">
            <v>30</v>
          </cell>
          <cell r="F1184" t="str">
            <v>before AW20</v>
          </cell>
          <cell r="G1184" t="str">
            <v>XR Textile</v>
          </cell>
          <cell r="H1184" t="str">
            <v>TOWLB</v>
          </cell>
          <cell r="I1184" t="str">
            <v>GRS Certified* 83% Post Consumer Recycled Polyester (RM0189) 17% Pre Consumer Recycled Polyamide (RM1084)</v>
          </cell>
        </row>
        <row r="1185">
          <cell r="A1185" t="str">
            <v>TOWLB-CAB-XL-LTPCH-R</v>
          </cell>
          <cell r="B1185" t="str">
            <v>5.0607E+12</v>
          </cell>
          <cell r="C1185" t="str">
            <v>CLOSED</v>
          </cell>
          <cell r="E1185">
            <v>30</v>
          </cell>
          <cell r="F1185" t="str">
            <v>before AW20</v>
          </cell>
          <cell r="G1185" t="str">
            <v>XR Textile</v>
          </cell>
          <cell r="H1185" t="str">
            <v>TOWLB</v>
          </cell>
          <cell r="I1185" t="str">
            <v>GRS Certified* 83% Post Consumer Recycled Polyester (RM0189) 17% Pre Consumer Recycled Polyamide (RM1084)</v>
          </cell>
        </row>
        <row r="1186">
          <cell r="A1186" t="str">
            <v>TOWLB-CAB-XL-LTRED-R</v>
          </cell>
          <cell r="B1186" t="str">
            <v>5.0607E+12</v>
          </cell>
          <cell r="C1186" t="str">
            <v>CLOSED</v>
          </cell>
          <cell r="E1186">
            <v>30</v>
          </cell>
          <cell r="F1186" t="str">
            <v>before AW20</v>
          </cell>
          <cell r="G1186" t="str">
            <v>XR Textile</v>
          </cell>
          <cell r="H1186" t="str">
            <v>TOWLB</v>
          </cell>
          <cell r="I1186" t="str">
            <v>GRS Certified* 83% Post Consumer Recycled Polyester (RM0189) 17% Pre Consumer Recycled Polyamide (RM1084)</v>
          </cell>
        </row>
        <row r="1187">
          <cell r="A1187" t="str">
            <v>TOWLB-CAB-XL-PURPL-R</v>
          </cell>
          <cell r="B1187" t="str">
            <v>5.0607E+12</v>
          </cell>
          <cell r="C1187" t="str">
            <v>CLOSED</v>
          </cell>
          <cell r="E1187">
            <v>30</v>
          </cell>
          <cell r="F1187" t="str">
            <v>before AW20</v>
          </cell>
          <cell r="G1187" t="str">
            <v>XR Textile</v>
          </cell>
          <cell r="H1187" t="str">
            <v>TOWLB</v>
          </cell>
          <cell r="I1187" t="str">
            <v>GRS Certified* 83% Post Consumer Recycled Polyester (RM0189) 17% Pre Consumer Recycled Polyamide (RM1084)</v>
          </cell>
        </row>
        <row r="1188">
          <cell r="A1188" t="str">
            <v>TOWLB-CEL-LG-CONF</v>
          </cell>
          <cell r="B1188" t="str">
            <v>5.0607E+12</v>
          </cell>
          <cell r="C1188" t="str">
            <v>CLOSED</v>
          </cell>
          <cell r="E1188">
            <v>40</v>
          </cell>
          <cell r="F1188" t="str">
            <v>SS22</v>
          </cell>
          <cell r="G1188" t="str">
            <v>XR Textile</v>
          </cell>
          <cell r="H1188" t="str">
            <v>TOWLB</v>
          </cell>
          <cell r="I1188" t="str">
            <v>GRS Certified* 83% Post Consumer Recycled Polyester (RM0189) 17% Pre Consumer Recycled Polyamide (RM1084)</v>
          </cell>
        </row>
        <row r="1189">
          <cell r="A1189" t="str">
            <v>TOWLB-CEL-LG-CUPS</v>
          </cell>
          <cell r="B1189" t="str">
            <v>5.0607E+12</v>
          </cell>
          <cell r="C1189" t="str">
            <v>CLOSED</v>
          </cell>
          <cell r="E1189">
            <v>40</v>
          </cell>
          <cell r="F1189" t="str">
            <v>SS22</v>
          </cell>
          <cell r="G1189" t="str">
            <v>XR Textile</v>
          </cell>
          <cell r="H1189" t="str">
            <v>TOWLB</v>
          </cell>
          <cell r="I1189" t="str">
            <v>GRS Certified* 83% Post Consumer Recycled Polyester (RM0189) 17% Pre Consumer Recycled Polyamide (RM1084)</v>
          </cell>
        </row>
        <row r="1190">
          <cell r="A1190" t="str">
            <v>TOWLB-CEL-LG-DISB</v>
          </cell>
          <cell r="B1190" t="str">
            <v>5.0607E+12</v>
          </cell>
          <cell r="C1190" t="str">
            <v>CLOSED</v>
          </cell>
          <cell r="E1190">
            <v>40</v>
          </cell>
          <cell r="F1190" t="str">
            <v>SS22</v>
          </cell>
          <cell r="G1190" t="str">
            <v>XR Textile</v>
          </cell>
          <cell r="H1190" t="str">
            <v>TOWLB</v>
          </cell>
          <cell r="I1190" t="str">
            <v>GRS Certified* 83% Post Consumer Recycled Polyester (RM0189) 17% Pre Consumer Recycled Polyamide (RM1084)</v>
          </cell>
        </row>
        <row r="1191">
          <cell r="A1191" t="str">
            <v>TOWLB-CEL-LG-HUND</v>
          </cell>
          <cell r="B1191" t="str">
            <v>5.0607E+12</v>
          </cell>
          <cell r="C1191" t="str">
            <v>CLOSED</v>
          </cell>
          <cell r="E1191">
            <v>40</v>
          </cell>
          <cell r="F1191" t="str">
            <v>SS22</v>
          </cell>
          <cell r="G1191" t="str">
            <v>XR Textile</v>
          </cell>
          <cell r="H1191" t="str">
            <v>TOWLB</v>
          </cell>
          <cell r="I1191" t="str">
            <v>GRS Certified* 83% Post Consumer Recycled Polyester (RM0189) 17% Pre Consumer Recycled Polyamide (RM1084)</v>
          </cell>
        </row>
        <row r="1192">
          <cell r="A1192" t="str">
            <v>TOWLB-CEL-LG-JIGJ</v>
          </cell>
          <cell r="B1192" t="str">
            <v>5.0607E+12</v>
          </cell>
          <cell r="C1192" t="str">
            <v>CLOSED</v>
          </cell>
          <cell r="E1192">
            <v>40</v>
          </cell>
          <cell r="F1192" t="str">
            <v>SS22</v>
          </cell>
          <cell r="G1192" t="str">
            <v>XR Textile</v>
          </cell>
          <cell r="H1192" t="str">
            <v>TOWLB</v>
          </cell>
          <cell r="I1192" t="str">
            <v>GRS Certified* 83% Post Consumer Recycled Polyester (RM0189) 17% Pre Consumer Recycled Polyamide (RM1084)</v>
          </cell>
        </row>
        <row r="1193">
          <cell r="A1193" t="str">
            <v>TOWLB-CEL-XL-CONF</v>
          </cell>
          <cell r="B1193" t="str">
            <v>5.0607E+12</v>
          </cell>
          <cell r="C1193" t="str">
            <v>CLOSED</v>
          </cell>
          <cell r="E1193">
            <v>30</v>
          </cell>
          <cell r="F1193" t="str">
            <v>SS22</v>
          </cell>
          <cell r="G1193" t="str">
            <v>XR Textile</v>
          </cell>
          <cell r="H1193" t="str">
            <v>TOWLB</v>
          </cell>
          <cell r="I1193" t="str">
            <v>GRS Certified* 83% Post Consumer Recycled Polyester (RM0189) 17% Pre Consumer Recycled Polyamide (RM1084)</v>
          </cell>
        </row>
        <row r="1194">
          <cell r="A1194" t="str">
            <v>TOWLB-CEL-XL-CUPS</v>
          </cell>
          <cell r="B1194" t="str">
            <v>5.0607E+12</v>
          </cell>
          <cell r="C1194" t="str">
            <v>CLOSED</v>
          </cell>
          <cell r="E1194">
            <v>30</v>
          </cell>
          <cell r="F1194" t="str">
            <v>SS22</v>
          </cell>
          <cell r="G1194" t="str">
            <v>XR Textile</v>
          </cell>
          <cell r="H1194" t="str">
            <v>TOWLB</v>
          </cell>
          <cell r="I1194" t="str">
            <v>GRS Certified* 83% Post Consumer Recycled Polyester (RM0189) 17% Pre Consumer Recycled Polyamide (RM1084)</v>
          </cell>
        </row>
        <row r="1195">
          <cell r="A1195" t="str">
            <v>TOWLB-CEL-XL-DISB</v>
          </cell>
          <cell r="B1195" t="str">
            <v>5.0607E+12</v>
          </cell>
          <cell r="C1195" t="str">
            <v>CLOSED</v>
          </cell>
          <cell r="E1195">
            <v>30</v>
          </cell>
          <cell r="F1195" t="str">
            <v>SS22</v>
          </cell>
          <cell r="G1195" t="str">
            <v>XR Textile</v>
          </cell>
          <cell r="H1195" t="str">
            <v>TOWLB</v>
          </cell>
          <cell r="I1195" t="str">
            <v>GRS Certified* 83% Post Consumer Recycled Polyester (RM0189) 17% Pre Consumer Recycled Polyamide (RM1084)</v>
          </cell>
        </row>
        <row r="1196">
          <cell r="A1196" t="str">
            <v>TOWLB-CEL-XL-HUND</v>
          </cell>
          <cell r="B1196" t="str">
            <v>5.0607E+12</v>
          </cell>
          <cell r="C1196" t="str">
            <v>CLOSED</v>
          </cell>
          <cell r="E1196">
            <v>30</v>
          </cell>
          <cell r="F1196" t="str">
            <v>SS22</v>
          </cell>
          <cell r="G1196" t="str">
            <v>XR Textile</v>
          </cell>
          <cell r="H1196" t="str">
            <v>TOWLB</v>
          </cell>
          <cell r="I1196" t="str">
            <v>GRS Certified* 83% Post Consumer Recycled Polyester (RM0189) 17% Pre Consumer Recycled Polyamide (RM1084)</v>
          </cell>
        </row>
        <row r="1197">
          <cell r="A1197" t="str">
            <v>TOWLB-CEL-XL-JIGJ</v>
          </cell>
          <cell r="B1197" t="str">
            <v>5.0607E+12</v>
          </cell>
          <cell r="C1197" t="str">
            <v>CLOSED</v>
          </cell>
          <cell r="E1197">
            <v>30</v>
          </cell>
          <cell r="F1197" t="str">
            <v>SS22</v>
          </cell>
          <cell r="G1197" t="str">
            <v>XR Textile</v>
          </cell>
          <cell r="H1197" t="str">
            <v>TOWLB</v>
          </cell>
          <cell r="I1197" t="str">
            <v>GRS Certified* 83% Post Consumer Recycled Polyester (RM0189) 17% Pre Consumer Recycled Polyamide (RM1084)</v>
          </cell>
        </row>
        <row r="1198">
          <cell r="A1198" t="str">
            <v>TOWLB-DES-LG-LIFELEM</v>
          </cell>
          <cell r="B1198" t="str">
            <v>5.061E+12</v>
          </cell>
          <cell r="C1198" t="str">
            <v>CLOSED</v>
          </cell>
          <cell r="E1198">
            <v>40</v>
          </cell>
          <cell r="F1198" t="str">
            <v>SS24</v>
          </cell>
          <cell r="G1198" t="str">
            <v>XR Textile</v>
          </cell>
          <cell r="H1198" t="str">
            <v>TOWLB</v>
          </cell>
          <cell r="I1198" t="str">
            <v>GRS Certified* 83% Post Consumer Recycled Polyester (RM0189) 17% Pre Consumer Recycled Polyamide (RM1084)</v>
          </cell>
        </row>
        <row r="1199">
          <cell r="A1199" t="str">
            <v>TOWLB-DES-LG-PALMBCH</v>
          </cell>
          <cell r="B1199" t="str">
            <v>5.061E+12</v>
          </cell>
          <cell r="C1199" t="str">
            <v>CLOSED</v>
          </cell>
          <cell r="D1199" t="str">
            <v>Seasonal</v>
          </cell>
          <cell r="E1199">
            <v>40</v>
          </cell>
          <cell r="F1199" t="str">
            <v>SS24</v>
          </cell>
          <cell r="G1199" t="str">
            <v>XR Textile</v>
          </cell>
          <cell r="H1199" t="str">
            <v>TOWLB</v>
          </cell>
          <cell r="I1199" t="str">
            <v>GRS Certified* 83% Post Consumer Recycled Polyester (RM0189) 17% Pre Consumer Recycled Polyamide (RM1084)</v>
          </cell>
        </row>
        <row r="1200">
          <cell r="A1200" t="str">
            <v>TOWLB-DES-LG-TERATROP</v>
          </cell>
          <cell r="B1200" t="str">
            <v>5.061E+12</v>
          </cell>
          <cell r="C1200" t="str">
            <v>CLOSED</v>
          </cell>
          <cell r="E1200">
            <v>40</v>
          </cell>
          <cell r="F1200" t="str">
            <v>SS24</v>
          </cell>
          <cell r="G1200" t="str">
            <v>XR Textile</v>
          </cell>
          <cell r="H1200" t="str">
            <v>TOWLB</v>
          </cell>
          <cell r="I1200" t="str">
            <v>GRS Certified* 83% Post Consumer Recycled Polyester (RM0189) 17% Pre Consumer Recycled Polyamide (RM1084)</v>
          </cell>
        </row>
        <row r="1201">
          <cell r="A1201" t="str">
            <v>TOWLB-DES-XL-MARINDRM</v>
          </cell>
          <cell r="B1201" t="str">
            <v>5.061E+12</v>
          </cell>
          <cell r="C1201" t="str">
            <v>CLOSED</v>
          </cell>
          <cell r="D1201" t="str">
            <v>Seasonal</v>
          </cell>
          <cell r="E1201">
            <v>30</v>
          </cell>
          <cell r="F1201" t="str">
            <v>SS24</v>
          </cell>
          <cell r="G1201" t="str">
            <v>XR Textile</v>
          </cell>
          <cell r="H1201" t="str">
            <v>TOWLB</v>
          </cell>
          <cell r="I1201" t="str">
            <v>GRS Certified* 83% Post Consumer Recycled Polyester (RM0189) 17% Pre Consumer Recycled Polyamide (RM1084)</v>
          </cell>
        </row>
        <row r="1202">
          <cell r="A1202" t="str">
            <v>TOWLB-DES-XL-PALMBCH</v>
          </cell>
          <cell r="B1202" t="str">
            <v>5.061E+12</v>
          </cell>
          <cell r="C1202" t="str">
            <v>CLOSED</v>
          </cell>
          <cell r="D1202" t="str">
            <v>Seasonal</v>
          </cell>
          <cell r="E1202">
            <v>30</v>
          </cell>
          <cell r="F1202" t="str">
            <v>SS24</v>
          </cell>
          <cell r="G1202" t="str">
            <v>XR Textile</v>
          </cell>
          <cell r="H1202" t="str">
            <v>TOWLB</v>
          </cell>
          <cell r="I1202" t="str">
            <v>GRS Certified* 83% Post Consumer Recycled Polyester (RM0189) 17% Pre Consumer Recycled Polyamide (RM1084)</v>
          </cell>
        </row>
        <row r="1203">
          <cell r="A1203" t="str">
            <v>TOWLB-DES-XL-SEAFOAM</v>
          </cell>
          <cell r="B1203" t="str">
            <v>5.061E+12</v>
          </cell>
          <cell r="C1203" t="str">
            <v>CLOSED</v>
          </cell>
          <cell r="D1203" t="str">
            <v>Seasonal</v>
          </cell>
          <cell r="E1203">
            <v>30</v>
          </cell>
          <cell r="F1203" t="str">
            <v>SS24</v>
          </cell>
          <cell r="G1203" t="str">
            <v>XR Textile</v>
          </cell>
          <cell r="H1203" t="str">
            <v>TOWLB</v>
          </cell>
          <cell r="I1203" t="str">
            <v>GRS Certified* 83% Post Consumer Recycled Polyester (RM0189) 17% Pre Consumer Recycled Polyamide (RM1084)</v>
          </cell>
        </row>
        <row r="1204">
          <cell r="A1204" t="str">
            <v>TOWLB-DES-XL-TERATROP</v>
          </cell>
          <cell r="B1204" t="str">
            <v>5.061E+12</v>
          </cell>
          <cell r="C1204" t="str">
            <v>CLOSED</v>
          </cell>
          <cell r="E1204">
            <v>30</v>
          </cell>
          <cell r="F1204" t="str">
            <v>SS24</v>
          </cell>
          <cell r="G1204" t="str">
            <v>XR Textile</v>
          </cell>
          <cell r="H1204" t="str">
            <v>TOWLB</v>
          </cell>
          <cell r="I1204" t="str">
            <v>GRS Certified* 83% Post Consumer Recycled Polyester (RM0189) 17% Pre Consumer Recycled Polyamide (RM1084)</v>
          </cell>
        </row>
        <row r="1205">
          <cell r="A1205" t="str">
            <v>TOWLB-DOB-LG-CARNIV</v>
          </cell>
          <cell r="B1205" t="str">
            <v>5.0607E+12</v>
          </cell>
          <cell r="C1205" t="str">
            <v>CLOSED</v>
          </cell>
          <cell r="E1205">
            <v>40</v>
          </cell>
          <cell r="F1205" t="str">
            <v>SS23</v>
          </cell>
          <cell r="G1205" t="str">
            <v>XR Textile</v>
          </cell>
          <cell r="H1205" t="str">
            <v>TOWLB</v>
          </cell>
          <cell r="I1205" t="str">
            <v>GRS Certified* 83% Post Consumer Recycled Polyester (RM0189) 17% Pre Consumer Recycled Polyamide (RM1084)</v>
          </cell>
        </row>
        <row r="1206">
          <cell r="A1206" t="str">
            <v>TOWLB-DOB-LG-DISCOV</v>
          </cell>
          <cell r="B1206" t="str">
            <v>5.0607E+12</v>
          </cell>
          <cell r="C1206" t="str">
            <v>CLOSED</v>
          </cell>
          <cell r="E1206">
            <v>40</v>
          </cell>
          <cell r="F1206" t="str">
            <v>SS23</v>
          </cell>
          <cell r="G1206" t="str">
            <v>XR Textile</v>
          </cell>
          <cell r="H1206" t="str">
            <v>TOWLB</v>
          </cell>
          <cell r="I1206" t="str">
            <v>GRS Certified* 83% Post Consumer Recycled Polyester (RM0189) 17% Pre Consumer Recycled Polyamide (RM1084)</v>
          </cell>
        </row>
        <row r="1207">
          <cell r="A1207" t="str">
            <v>TOWLB-DOB-LG-LEOPD</v>
          </cell>
          <cell r="B1207" t="str">
            <v>5.0607E+12</v>
          </cell>
          <cell r="C1207" t="str">
            <v>CLOSED</v>
          </cell>
          <cell r="E1207">
            <v>40</v>
          </cell>
          <cell r="F1207" t="str">
            <v>before AW20</v>
          </cell>
          <cell r="G1207" t="str">
            <v>XR Textile</v>
          </cell>
          <cell r="H1207" t="str">
            <v>TOWLB</v>
          </cell>
          <cell r="I1207" t="str">
            <v>GRS Certified* 83% Post Consumer Recycled Polyester (RM0189) 17% Pre Consumer Recycled Polyamide (RM1084)</v>
          </cell>
        </row>
        <row r="1208">
          <cell r="A1208" t="str">
            <v>TOWLB-DOB-LG-PANDA</v>
          </cell>
          <cell r="B1208" t="str">
            <v>5.0607E+12</v>
          </cell>
          <cell r="C1208" t="str">
            <v>CLOSED</v>
          </cell>
          <cell r="E1208">
            <v>40</v>
          </cell>
          <cell r="F1208" t="str">
            <v>before AW20</v>
          </cell>
          <cell r="G1208" t="str">
            <v>XR Textile</v>
          </cell>
          <cell r="H1208" t="str">
            <v>TOWLB</v>
          </cell>
          <cell r="I1208" t="str">
            <v>GRS Certified* 83% Post Consumer Recycled Polyester (RM0189) 17% Pre Consumer Recycled Polyamide (RM1084)</v>
          </cell>
        </row>
        <row r="1209">
          <cell r="A1209" t="str">
            <v>TOWLB-DOB-LG-RFA</v>
          </cell>
          <cell r="B1209" t="str">
            <v>5.0607E+12</v>
          </cell>
          <cell r="C1209" t="str">
            <v>CLOSED</v>
          </cell>
          <cell r="E1209">
            <v>40</v>
          </cell>
          <cell r="F1209" t="str">
            <v>SS22</v>
          </cell>
          <cell r="G1209" t="str">
            <v>XR Textile</v>
          </cell>
          <cell r="H1209" t="str">
            <v>TOWLB</v>
          </cell>
          <cell r="I1209" t="str">
            <v>GRS Certified* 83% Post Consumer Recycled Polyester (RM0189) 17% Pre Consumer Recycled Polyamide (RM1084)</v>
          </cell>
        </row>
        <row r="1210">
          <cell r="A1210" t="str">
            <v>TOWLB-DOB-LG-SMILE</v>
          </cell>
          <cell r="B1210" t="str">
            <v>5.0607E+12</v>
          </cell>
          <cell r="C1210" t="str">
            <v>CLOSED</v>
          </cell>
          <cell r="E1210">
            <v>40</v>
          </cell>
          <cell r="F1210" t="str">
            <v>SS22</v>
          </cell>
          <cell r="G1210" t="str">
            <v>XR Textile</v>
          </cell>
          <cell r="H1210" t="str">
            <v>TOWLB</v>
          </cell>
          <cell r="I1210" t="str">
            <v>GRS Certified* 83% Post Consumer Recycled Polyester (RM0189) 17% Pre Consumer Recycled Polyamide (RM1084)</v>
          </cell>
        </row>
        <row r="1211">
          <cell r="A1211" t="str">
            <v>TOWLB-DOB-LG-STONEWALL</v>
          </cell>
          <cell r="B1211" t="str">
            <v>5.061E+12</v>
          </cell>
          <cell r="C1211" t="str">
            <v>CLOSED</v>
          </cell>
          <cell r="D1211" t="str">
            <v>Seasonal</v>
          </cell>
          <cell r="E1211">
            <v>40</v>
          </cell>
          <cell r="F1211" t="str">
            <v>SS24</v>
          </cell>
          <cell r="G1211" t="str">
            <v>XR Textile</v>
          </cell>
          <cell r="H1211" t="str">
            <v>TOWLB</v>
          </cell>
          <cell r="I1211" t="str">
            <v>GRS Certified* 83% Post Consumer Recycled Polyester (RM0189) 17% Pre Consumer Recycled Polyamide (RM1084)</v>
          </cell>
        </row>
        <row r="1212">
          <cell r="A1212" t="str">
            <v>TOWLB-DOB-MD-SMILE</v>
          </cell>
          <cell r="B1212" t="str">
            <v>5.0607E+12</v>
          </cell>
          <cell r="C1212" t="str">
            <v>CLOSED</v>
          </cell>
          <cell r="E1212">
            <v>50</v>
          </cell>
          <cell r="F1212" t="str">
            <v>SS22</v>
          </cell>
          <cell r="G1212" t="str">
            <v>XR Textile</v>
          </cell>
          <cell r="H1212" t="str">
            <v>TOWLB</v>
          </cell>
          <cell r="I1212" t="str">
            <v>GRS Certified* 83% Post Consumer Recycled Polyester (RM0189) 17% Pre Consumer Recycled Polyamide (RM1084)</v>
          </cell>
        </row>
        <row r="1213">
          <cell r="A1213" t="str">
            <v>TOWLB-DOB-XL-CARNIV</v>
          </cell>
          <cell r="B1213" t="str">
            <v>5.0607E+12</v>
          </cell>
          <cell r="C1213" t="str">
            <v>CLOSED</v>
          </cell>
          <cell r="E1213">
            <v>30</v>
          </cell>
          <cell r="F1213" t="str">
            <v>SS23</v>
          </cell>
          <cell r="G1213" t="str">
            <v>XR Textile</v>
          </cell>
          <cell r="H1213" t="str">
            <v>TOWLB</v>
          </cell>
          <cell r="I1213" t="str">
            <v>GRS Certified* 83% Post Consumer Recycled Polyester (RM0189) 17% Pre Consumer Recycled Polyamide (RM1084)</v>
          </cell>
        </row>
        <row r="1214">
          <cell r="A1214" t="str">
            <v>TOWLB-DOB-XL-DISCOV</v>
          </cell>
          <cell r="B1214" t="str">
            <v>5.0607E+12</v>
          </cell>
          <cell r="C1214" t="str">
            <v>CLOSED</v>
          </cell>
          <cell r="E1214">
            <v>30</v>
          </cell>
          <cell r="F1214" t="str">
            <v>SS23</v>
          </cell>
          <cell r="G1214" t="str">
            <v>XR Textile</v>
          </cell>
          <cell r="H1214" t="str">
            <v>TOWLB</v>
          </cell>
          <cell r="I1214" t="str">
            <v>GRS Certified* 83% Post Consumer Recycled Polyester (RM0189) 17% Pre Consumer Recycled Polyamide (RM1084)</v>
          </cell>
        </row>
        <row r="1215">
          <cell r="A1215" t="str">
            <v>TOWLB-DOB-XL-LEOPD</v>
          </cell>
          <cell r="B1215" t="str">
            <v>5.0607E+12</v>
          </cell>
          <cell r="C1215" t="str">
            <v>CLOSED</v>
          </cell>
          <cell r="E1215">
            <v>30</v>
          </cell>
          <cell r="F1215" t="str">
            <v>before AW20</v>
          </cell>
          <cell r="G1215" t="str">
            <v>XR Textile</v>
          </cell>
          <cell r="H1215" t="str">
            <v>TOWLB</v>
          </cell>
          <cell r="I1215" t="str">
            <v>GRS Certified* 83% Post Consumer Recycled Polyester (RM0189) 17% Pre Consumer Recycled Polyamide (RM1084)</v>
          </cell>
        </row>
        <row r="1216">
          <cell r="A1216" t="str">
            <v>TOWLB-DOB-XL-PANDA</v>
          </cell>
          <cell r="B1216" t="str">
            <v>5.0607E+12</v>
          </cell>
          <cell r="C1216" t="str">
            <v>CLOSED</v>
          </cell>
          <cell r="E1216">
            <v>30</v>
          </cell>
          <cell r="F1216" t="str">
            <v>before AW20</v>
          </cell>
          <cell r="G1216" t="str">
            <v>XR Textile</v>
          </cell>
          <cell r="H1216" t="str">
            <v>TOWLB</v>
          </cell>
          <cell r="I1216" t="str">
            <v>GRS Certified* 83% Post Consumer Recycled Polyester (RM0189) 17% Pre Consumer Recycled Polyamide (RM1084)</v>
          </cell>
        </row>
        <row r="1217">
          <cell r="A1217" t="str">
            <v>TOWLB-DOB-XL-RFA</v>
          </cell>
          <cell r="B1217" t="str">
            <v>5.0607E+12</v>
          </cell>
          <cell r="C1217" t="str">
            <v>CLOSED</v>
          </cell>
          <cell r="E1217">
            <v>30</v>
          </cell>
          <cell r="F1217" t="str">
            <v>SS22</v>
          </cell>
          <cell r="G1217" t="str">
            <v>XR Textile</v>
          </cell>
          <cell r="H1217" t="str">
            <v>TOWLB</v>
          </cell>
          <cell r="I1217" t="str">
            <v>GRS Certified* 83% Post Consumer Recycled Polyester (RM0189) 17% Pre Consumer Recycled Polyamide (RM1084)</v>
          </cell>
        </row>
        <row r="1218">
          <cell r="A1218" t="str">
            <v>TOWLB-DOB-XL-SMILE</v>
          </cell>
          <cell r="B1218" t="str">
            <v>5.0607E+12</v>
          </cell>
          <cell r="C1218" t="str">
            <v>CLOSED</v>
          </cell>
          <cell r="E1218">
            <v>30</v>
          </cell>
          <cell r="F1218" t="str">
            <v>SS22</v>
          </cell>
          <cell r="G1218" t="str">
            <v>XR Textile</v>
          </cell>
          <cell r="H1218" t="str">
            <v>TOWLB</v>
          </cell>
          <cell r="I1218" t="str">
            <v>GRS Certified* 83% Post Consumer Recycled Polyester (RM0189) 17% Pre Consumer Recycled Polyamide (RM1084)</v>
          </cell>
        </row>
        <row r="1219">
          <cell r="A1219" t="str">
            <v>TOWLB-FLO-LG-BLOOM</v>
          </cell>
          <cell r="B1219" t="str">
            <v>5.0607E+12</v>
          </cell>
          <cell r="C1219" t="str">
            <v>CLOSED</v>
          </cell>
          <cell r="E1219">
            <v>40</v>
          </cell>
          <cell r="F1219" t="str">
            <v>SS23</v>
          </cell>
          <cell r="G1219" t="str">
            <v>XR Textile</v>
          </cell>
          <cell r="H1219" t="str">
            <v>TOWLB</v>
          </cell>
          <cell r="I1219" t="str">
            <v>GRS Certified* 83% Post Consumer Recycled Polyester (RM0189) 17% Pre Consumer Recycled Polyamide (RM1084)</v>
          </cell>
        </row>
        <row r="1220">
          <cell r="A1220" t="str">
            <v>TOWLB-FLO-LG-DAISY</v>
          </cell>
          <cell r="B1220" t="str">
            <v>5.0607E+12</v>
          </cell>
          <cell r="C1220" t="str">
            <v>CLOSED</v>
          </cell>
          <cell r="E1220">
            <v>40</v>
          </cell>
          <cell r="F1220" t="str">
            <v>SS23</v>
          </cell>
          <cell r="G1220" t="str">
            <v>XR Textile</v>
          </cell>
          <cell r="H1220" t="str">
            <v>TOWLB</v>
          </cell>
          <cell r="I1220" t="str">
            <v>GRS Certified* 83% Post Consumer Recycled Polyester (RM0189) 17% Pre Consumer Recycled Polyamide (RM1084)</v>
          </cell>
        </row>
        <row r="1221">
          <cell r="A1221" t="str">
            <v>TOWLB-FLO-LG-PALM</v>
          </cell>
          <cell r="B1221" t="str">
            <v>5.0607E+12</v>
          </cell>
          <cell r="C1221" t="str">
            <v>CLOSED</v>
          </cell>
          <cell r="E1221">
            <v>40</v>
          </cell>
          <cell r="F1221" t="str">
            <v>SS23</v>
          </cell>
          <cell r="G1221" t="str">
            <v>XR Textile</v>
          </cell>
          <cell r="H1221" t="str">
            <v>TOWLB</v>
          </cell>
          <cell r="I1221" t="str">
            <v>GRS Certified* 83% Post Consumer Recycled Polyester (RM0189) 17% Pre Consumer Recycled Polyamide (RM1084)</v>
          </cell>
        </row>
        <row r="1222">
          <cell r="A1222" t="str">
            <v>TOWLB-FLO-LG-SUNFL</v>
          </cell>
          <cell r="B1222" t="str">
            <v>5.0607E+12</v>
          </cell>
          <cell r="C1222" t="str">
            <v>CLOSED</v>
          </cell>
          <cell r="E1222">
            <v>40</v>
          </cell>
          <cell r="F1222" t="str">
            <v>SS23</v>
          </cell>
          <cell r="G1222" t="str">
            <v>XR Textile</v>
          </cell>
          <cell r="H1222" t="str">
            <v>TOWLB</v>
          </cell>
          <cell r="I1222" t="str">
            <v>GRS Certified* 83% Post Consumer Recycled Polyester (RM0189) 17% Pre Consumer Recycled Polyamide (RM1084)</v>
          </cell>
        </row>
        <row r="1223">
          <cell r="A1223" t="str">
            <v>TOWLB-FLO-XL-BLOOM</v>
          </cell>
          <cell r="B1223" t="str">
            <v>5.0607E+12</v>
          </cell>
          <cell r="C1223" t="str">
            <v>CLOSED</v>
          </cell>
          <cell r="E1223">
            <v>30</v>
          </cell>
          <cell r="F1223" t="str">
            <v>SS23</v>
          </cell>
          <cell r="G1223" t="str">
            <v>XR Textile</v>
          </cell>
          <cell r="H1223" t="str">
            <v>TOWLB</v>
          </cell>
          <cell r="I1223" t="str">
            <v>GRS Certified* 83% Post Consumer Recycled Polyester (RM0189) 17% Pre Consumer Recycled Polyamide (RM1084)</v>
          </cell>
        </row>
        <row r="1224">
          <cell r="A1224" t="str">
            <v>TOWLB-FLO-XL-DAISY</v>
          </cell>
          <cell r="B1224" t="str">
            <v>5.0607E+12</v>
          </cell>
          <cell r="C1224" t="str">
            <v>CLOSED</v>
          </cell>
          <cell r="E1224">
            <v>30</v>
          </cell>
          <cell r="F1224" t="str">
            <v>SS23</v>
          </cell>
          <cell r="G1224" t="str">
            <v>XR Textile</v>
          </cell>
          <cell r="H1224" t="str">
            <v>TOWLB</v>
          </cell>
          <cell r="I1224" t="str">
            <v>GRS Certified* 83% Post Consumer Recycled Polyester (RM0189) 17% Pre Consumer Recycled Polyamide (RM1084)</v>
          </cell>
        </row>
        <row r="1225">
          <cell r="A1225" t="str">
            <v>TOWLB-FLO-XL-PALM</v>
          </cell>
          <cell r="B1225" t="str">
            <v>5.0607E+12</v>
          </cell>
          <cell r="C1225" t="str">
            <v>CLOSED</v>
          </cell>
          <cell r="E1225">
            <v>30</v>
          </cell>
          <cell r="F1225" t="str">
            <v>SS23</v>
          </cell>
          <cell r="G1225" t="str">
            <v>XR Textile</v>
          </cell>
          <cell r="H1225" t="str">
            <v>TOWLB</v>
          </cell>
          <cell r="I1225" t="str">
            <v>GRS Certified* 83% Post Consumer Recycled Polyester (RM0189) 17% Pre Consumer Recycled Polyamide (RM1084)</v>
          </cell>
        </row>
        <row r="1226">
          <cell r="A1226" t="str">
            <v>TOWLB-FLO-XL-SUNFL</v>
          </cell>
          <cell r="B1226" t="str">
            <v>5.0607E+12</v>
          </cell>
          <cell r="C1226" t="str">
            <v>CLOSED</v>
          </cell>
          <cell r="E1226">
            <v>30</v>
          </cell>
          <cell r="F1226" t="str">
            <v>SS23</v>
          </cell>
          <cell r="G1226" t="str">
            <v>XR Textile</v>
          </cell>
          <cell r="H1226" t="str">
            <v>TOWLB</v>
          </cell>
          <cell r="I1226" t="str">
            <v>GRS Certified* 83% Post Consumer Recycled Polyester (RM0189) 17% Pre Consumer Recycled Polyamide (RM1084)</v>
          </cell>
        </row>
        <row r="1227">
          <cell r="A1227" t="str">
            <v>TOWLB-JUN-LG-ELEPH-R</v>
          </cell>
          <cell r="B1227" t="str">
            <v>5.0607E+12</v>
          </cell>
          <cell r="C1227" t="str">
            <v>CLOSED</v>
          </cell>
          <cell r="E1227">
            <v>40</v>
          </cell>
          <cell r="F1227" t="str">
            <v>before AW20</v>
          </cell>
          <cell r="G1227" t="str">
            <v>XR Textile</v>
          </cell>
          <cell r="H1227" t="str">
            <v>TOWLB</v>
          </cell>
          <cell r="I1227" t="str">
            <v>GRS Certified* 83% Post Consumer Recycled Polyester (RM0189) 17% Pre Consumer Recycled Polyamide (RM1084)</v>
          </cell>
        </row>
        <row r="1228">
          <cell r="A1228" t="str">
            <v>TOWLB-JUN-LG-FLAMG-R</v>
          </cell>
          <cell r="B1228" t="str">
            <v>5.0607E+12</v>
          </cell>
          <cell r="C1228" t="str">
            <v>CLOSED</v>
          </cell>
          <cell r="E1228">
            <v>40</v>
          </cell>
          <cell r="F1228" t="str">
            <v>before AW20</v>
          </cell>
          <cell r="G1228" t="str">
            <v>XR Textile</v>
          </cell>
          <cell r="H1228" t="str">
            <v>TOWLB</v>
          </cell>
          <cell r="I1228" t="str">
            <v>GRS Certified* 83% Post Consumer Recycled Polyester (RM0189) 17% Pre Consumer Recycled Polyamide (RM1084)</v>
          </cell>
        </row>
        <row r="1229">
          <cell r="A1229" t="str">
            <v>TOWLB-JUN-LG-MONKY-R</v>
          </cell>
          <cell r="B1229" t="str">
            <v>5.0607E+12</v>
          </cell>
          <cell r="C1229" t="str">
            <v>CLOSED</v>
          </cell>
          <cell r="E1229">
            <v>40</v>
          </cell>
          <cell r="F1229" t="str">
            <v>before AW20</v>
          </cell>
          <cell r="G1229" t="str">
            <v>XR Textile</v>
          </cell>
          <cell r="H1229" t="str">
            <v>TOWLB</v>
          </cell>
          <cell r="I1229" t="str">
            <v>GRS Certified* 83% Post Consumer Recycled Polyester (RM0189) 17% Pre Consumer Recycled Polyamide (RM1084)</v>
          </cell>
        </row>
        <row r="1230">
          <cell r="A1230" t="str">
            <v>TOWLB-JUN-LG-TIGER-R</v>
          </cell>
          <cell r="B1230" t="str">
            <v>5.0607E+12</v>
          </cell>
          <cell r="C1230" t="str">
            <v>CLOSED</v>
          </cell>
          <cell r="E1230">
            <v>40</v>
          </cell>
          <cell r="F1230" t="str">
            <v>before AW20</v>
          </cell>
          <cell r="G1230" t="str">
            <v>XR Textile</v>
          </cell>
          <cell r="H1230" t="str">
            <v>TOWLB</v>
          </cell>
          <cell r="I1230" t="str">
            <v>GRS Certified* 83% Post Consumer Recycled Polyester (RM0189) 17% Pre Consumer Recycled Polyamide (RM1084)</v>
          </cell>
        </row>
        <row r="1231">
          <cell r="A1231" t="str">
            <v>TOWLB-JUN-LG-TOUCN-R</v>
          </cell>
          <cell r="B1231" t="str">
            <v>5.0607E+12</v>
          </cell>
          <cell r="C1231" t="str">
            <v>CLOSED</v>
          </cell>
          <cell r="E1231">
            <v>40</v>
          </cell>
          <cell r="F1231" t="str">
            <v>before AW20</v>
          </cell>
          <cell r="G1231" t="str">
            <v>XR Textile</v>
          </cell>
          <cell r="H1231" t="str">
            <v>TOWLB</v>
          </cell>
          <cell r="I1231" t="str">
            <v>GRS Certified* 83% Post Consumer Recycled Polyester (RM0189) 17% Pre Consumer Recycled Polyamide (RM1084)</v>
          </cell>
        </row>
        <row r="1232">
          <cell r="A1232" t="str">
            <v>TOWLB-JUN-XL-ELEPH-R</v>
          </cell>
          <cell r="B1232" t="str">
            <v>5.0607E+12</v>
          </cell>
          <cell r="C1232" t="str">
            <v>CLOSED</v>
          </cell>
          <cell r="E1232">
            <v>30</v>
          </cell>
          <cell r="F1232" t="str">
            <v>before AW20</v>
          </cell>
          <cell r="G1232" t="str">
            <v>XR Textile</v>
          </cell>
          <cell r="H1232" t="str">
            <v>TOWLB</v>
          </cell>
          <cell r="I1232" t="str">
            <v>GRS Certified* 83% Post Consumer Recycled Polyester (RM0189) 17% Pre Consumer Recycled Polyamide (RM1084)</v>
          </cell>
        </row>
        <row r="1233">
          <cell r="A1233" t="str">
            <v>TOWLB-JUN-XL-FLAMG-R</v>
          </cell>
          <cell r="B1233" t="str">
            <v>5.0607E+12</v>
          </cell>
          <cell r="C1233" t="str">
            <v>CLOSED</v>
          </cell>
          <cell r="E1233">
            <v>30</v>
          </cell>
          <cell r="F1233" t="str">
            <v>before AW20</v>
          </cell>
          <cell r="G1233" t="str">
            <v>XR Textile</v>
          </cell>
          <cell r="H1233" t="str">
            <v>TOWLB</v>
          </cell>
          <cell r="I1233" t="str">
            <v>GRS Certified* 83% Post Consumer Recycled Polyester (RM0189) 17% Pre Consumer Recycled Polyamide (RM1084)</v>
          </cell>
        </row>
        <row r="1234">
          <cell r="A1234" t="str">
            <v>TOWLB-JUN-XL-TIGER-R</v>
          </cell>
          <cell r="B1234" t="str">
            <v>5.0607E+12</v>
          </cell>
          <cell r="C1234" t="str">
            <v>CLOSED</v>
          </cell>
          <cell r="E1234">
            <v>30</v>
          </cell>
          <cell r="F1234" t="str">
            <v>before AW20</v>
          </cell>
          <cell r="G1234" t="str">
            <v>XR Textile</v>
          </cell>
          <cell r="H1234" t="str">
            <v>TOWLB</v>
          </cell>
          <cell r="I1234" t="str">
            <v>GRS Certified* 83% Post Consumer Recycled Polyester (RM0189) 17% Pre Consumer Recycled Polyamide (RM1084)</v>
          </cell>
        </row>
        <row r="1235">
          <cell r="A1235" t="str">
            <v>TOWLB-JUN-XL-TOUCN-R</v>
          </cell>
          <cell r="B1235" t="str">
            <v>5.0607E+12</v>
          </cell>
          <cell r="C1235" t="str">
            <v>CLOSED</v>
          </cell>
          <cell r="E1235">
            <v>30</v>
          </cell>
          <cell r="F1235" t="str">
            <v>before AW20</v>
          </cell>
          <cell r="G1235" t="str">
            <v>XR Textile</v>
          </cell>
          <cell r="H1235" t="str">
            <v>TOWLB</v>
          </cell>
          <cell r="I1235" t="str">
            <v>GRS Certified* 83% Post Consumer Recycled Polyester (RM0189) 17% Pre Consumer Recycled Polyamide (RM1084)</v>
          </cell>
        </row>
        <row r="1236">
          <cell r="A1236" t="str">
            <v>TOWLB-KID-LG-BEACH</v>
          </cell>
          <cell r="B1236" t="str">
            <v>5.0607E+12</v>
          </cell>
          <cell r="C1236" t="str">
            <v>CLOSED</v>
          </cell>
          <cell r="E1236">
            <v>40</v>
          </cell>
          <cell r="F1236" t="str">
            <v>SS22</v>
          </cell>
          <cell r="G1236" t="str">
            <v>XR Textile</v>
          </cell>
          <cell r="H1236" t="str">
            <v>TOWLB-KIDS</v>
          </cell>
          <cell r="I1236" t="str">
            <v>GRS Certified* 83% Post Consumer Recycled Polyester (RM0189) 17% Pre Consumer Recycled Polyamide (RM1084)</v>
          </cell>
        </row>
        <row r="1237">
          <cell r="A1237" t="str">
            <v>TOWLB-KID-LG-CROC</v>
          </cell>
          <cell r="B1237" t="str">
            <v>6.5097E+11</v>
          </cell>
          <cell r="C1237" t="str">
            <v>CLOSED</v>
          </cell>
          <cell r="E1237">
            <v>40</v>
          </cell>
          <cell r="F1237" t="str">
            <v>SS23</v>
          </cell>
          <cell r="G1237" t="str">
            <v>XR Textile</v>
          </cell>
          <cell r="H1237" t="str">
            <v>TOWLB-KIDS</v>
          </cell>
          <cell r="I1237" t="str">
            <v>GRS Certified* 83% Post Consumer Recycled Polyester (RM0189) 17% Pre Consumer Recycled Polyamide (RM1084)</v>
          </cell>
        </row>
        <row r="1238">
          <cell r="A1238" t="str">
            <v>TOWLB-KID-LG-CROC-FBA</v>
          </cell>
          <cell r="B1238" t="str">
            <v>5.061E+12</v>
          </cell>
          <cell r="C1238" t="str">
            <v>CLOSED</v>
          </cell>
          <cell r="E1238">
            <v>40</v>
          </cell>
          <cell r="F1238" t="str">
            <v>SS23</v>
          </cell>
          <cell r="G1238" t="str">
            <v>XR Textile</v>
          </cell>
          <cell r="H1238" t="str">
            <v>TOWLB-KIDS</v>
          </cell>
          <cell r="I1238" t="str">
            <v>GRS Certified* 83% Post Consumer Recycled Polyester (RM0189) 17% Pre Consumer Recycled Polyamide (RM1084)</v>
          </cell>
        </row>
        <row r="1239">
          <cell r="A1239" t="str">
            <v>TOWLB-KID-LG-FIVEDAY</v>
          </cell>
          <cell r="B1239" t="str">
            <v>5.061E+12</v>
          </cell>
          <cell r="C1239" t="str">
            <v>CLOSED</v>
          </cell>
          <cell r="D1239" t="str">
            <v>Seasonal</v>
          </cell>
          <cell r="E1239">
            <v>40</v>
          </cell>
          <cell r="F1239" t="str">
            <v>SS24</v>
          </cell>
          <cell r="G1239" t="str">
            <v>XR Textile</v>
          </cell>
          <cell r="H1239" t="str">
            <v>TOWLB-KIDS</v>
          </cell>
          <cell r="I1239" t="str">
            <v>GRS Certified* 83% Post Consumer Recycled Polyester (RM0189) 17% Pre Consumer Recycled Polyamide (RM1084)</v>
          </cell>
        </row>
        <row r="1240">
          <cell r="A1240" t="str">
            <v>TOWLB-KID-LG-FLAM</v>
          </cell>
          <cell r="B1240" t="str">
            <v>6.5097E+11</v>
          </cell>
          <cell r="C1240" t="str">
            <v>CLOSED</v>
          </cell>
          <cell r="E1240">
            <v>40</v>
          </cell>
          <cell r="F1240" t="str">
            <v>SS23</v>
          </cell>
          <cell r="G1240" t="str">
            <v>XR Textile</v>
          </cell>
          <cell r="H1240" t="str">
            <v>TOWLB-KIDS</v>
          </cell>
          <cell r="I1240" t="str">
            <v>GRS Certified* 83% Post Consumer Recycled Polyester (RM0189) 17% Pre Consumer Recycled Polyamide (RM1084)</v>
          </cell>
        </row>
        <row r="1241">
          <cell r="A1241" t="str">
            <v>TOWLB-KID-LG-FLAM-FBA</v>
          </cell>
          <cell r="B1241" t="str">
            <v>5.061E+12</v>
          </cell>
          <cell r="C1241" t="str">
            <v>CLOSED</v>
          </cell>
          <cell r="E1241">
            <v>40</v>
          </cell>
          <cell r="F1241" t="str">
            <v>SS23</v>
          </cell>
          <cell r="G1241" t="str">
            <v>XR Textile</v>
          </cell>
          <cell r="H1241" t="str">
            <v>TOWLB-KIDS</v>
          </cell>
          <cell r="I1241" t="str">
            <v>GRS Certified* 83% Post Consumer Recycled Polyester (RM0189) 17% Pre Consumer Recycled Polyamide (RM1084)</v>
          </cell>
        </row>
        <row r="1242">
          <cell r="A1242" t="str">
            <v>TOWLB-KID-LG-LEOP</v>
          </cell>
          <cell r="B1242" t="str">
            <v>5.0607E+12</v>
          </cell>
          <cell r="C1242" t="str">
            <v>CLOSED</v>
          </cell>
          <cell r="E1242">
            <v>40</v>
          </cell>
          <cell r="F1242" t="str">
            <v>SS23</v>
          </cell>
          <cell r="G1242" t="str">
            <v>XR Textile</v>
          </cell>
          <cell r="H1242" t="str">
            <v>TOWLB-KIDS</v>
          </cell>
          <cell r="I1242" t="str">
            <v>GRS Certified* 83% Post Consumer Recycled Polyester (RM0189) 17% Pre Consumer Recycled Polyamide (RM1084)</v>
          </cell>
        </row>
        <row r="1243">
          <cell r="A1243" t="str">
            <v>TOWLB-KID-LG-PEACH</v>
          </cell>
          <cell r="B1243" t="str">
            <v>5.0607E+12</v>
          </cell>
          <cell r="C1243" t="str">
            <v>CLOSED</v>
          </cell>
          <cell r="E1243">
            <v>40</v>
          </cell>
          <cell r="F1243" t="str">
            <v>SS22</v>
          </cell>
          <cell r="G1243" t="str">
            <v>XR Textile</v>
          </cell>
          <cell r="H1243" t="str">
            <v>TOWLB-KIDS</v>
          </cell>
          <cell r="I1243" t="str">
            <v>GRS Certified* 83% Post Consumer Recycled Polyester (RM0189) 17% Pre Consumer Recycled Polyamide (RM1084)</v>
          </cell>
        </row>
        <row r="1244">
          <cell r="A1244" t="str">
            <v>TOWLB-KID-LG-POWER</v>
          </cell>
          <cell r="B1244" t="str">
            <v>5.0607E+12</v>
          </cell>
          <cell r="C1244" t="str">
            <v>CLOSED</v>
          </cell>
          <cell r="E1244">
            <v>40</v>
          </cell>
          <cell r="F1244" t="str">
            <v>SS23</v>
          </cell>
          <cell r="G1244" t="str">
            <v>XR Textile</v>
          </cell>
          <cell r="H1244" t="str">
            <v>TOWLB-KIDS</v>
          </cell>
          <cell r="I1244" t="str">
            <v>GRS Certified* 83% Post Consumer Recycled Polyester (RM0189) 17% Pre Consumer Recycled Polyamide (RM1084)</v>
          </cell>
        </row>
        <row r="1245">
          <cell r="A1245" t="str">
            <v>TOWLB-KID-LG-REEF</v>
          </cell>
          <cell r="B1245" t="str">
            <v>5.0607E+12</v>
          </cell>
          <cell r="C1245" t="str">
            <v>CLOSED</v>
          </cell>
          <cell r="E1245">
            <v>40</v>
          </cell>
          <cell r="F1245" t="str">
            <v>SS23</v>
          </cell>
          <cell r="G1245" t="str">
            <v>XR Textile</v>
          </cell>
          <cell r="H1245" t="str">
            <v>TOWLB-KIDS</v>
          </cell>
          <cell r="I1245" t="str">
            <v>GRS Certified* 83% Post Consumer Recycled Polyester (RM0189) 17% Pre Consumer Recycled Polyamide (RM1084)</v>
          </cell>
        </row>
        <row r="1246">
          <cell r="A1246" t="str">
            <v>TOWLB-KID-LG-SQUIG</v>
          </cell>
          <cell r="B1246" t="str">
            <v>5.0607E+12</v>
          </cell>
          <cell r="C1246" t="str">
            <v>CLOSED</v>
          </cell>
          <cell r="E1246">
            <v>40</v>
          </cell>
          <cell r="F1246" t="str">
            <v>SS22</v>
          </cell>
          <cell r="G1246" t="str">
            <v>XR Textile</v>
          </cell>
          <cell r="H1246" t="str">
            <v>TOWLB-KIDS</v>
          </cell>
          <cell r="I1246" t="str">
            <v>GRS Certified* 83% Post Consumer Recycled Polyester (RM0189) 17% Pre Consumer Recycled Polyamide (RM1084)</v>
          </cell>
        </row>
        <row r="1247">
          <cell r="A1247" t="str">
            <v>TOWLB-KID-LG-SUNS</v>
          </cell>
          <cell r="B1247" t="str">
            <v>5.0607E+12</v>
          </cell>
          <cell r="C1247" t="str">
            <v>CLOSED</v>
          </cell>
          <cell r="E1247">
            <v>40</v>
          </cell>
          <cell r="F1247" t="str">
            <v>SS22</v>
          </cell>
          <cell r="G1247" t="str">
            <v>XR Textile</v>
          </cell>
          <cell r="H1247" t="str">
            <v>TOWLB-KIDS</v>
          </cell>
          <cell r="I1247" t="str">
            <v>GRS Certified* 83% Post Consumer Recycled Polyester (RM0189) 17% Pre Consumer Recycled Polyamide (RM1084)</v>
          </cell>
        </row>
        <row r="1248">
          <cell r="A1248" t="str">
            <v>TOWLB-KID-LG-TUTTI</v>
          </cell>
          <cell r="B1248" t="str">
            <v>5.0607E+12</v>
          </cell>
          <cell r="C1248" t="str">
            <v>CLOSED</v>
          </cell>
          <cell r="E1248">
            <v>40</v>
          </cell>
          <cell r="F1248" t="str">
            <v>SS22</v>
          </cell>
          <cell r="G1248" t="str">
            <v>XR Textile</v>
          </cell>
          <cell r="H1248" t="str">
            <v>TOWLB-KIDS</v>
          </cell>
          <cell r="I1248" t="str">
            <v>GRS Certified* 83% Post Consumer Recycled Polyester (RM0189) 17% Pre Consumer Recycled Polyamide (RM1084)</v>
          </cell>
        </row>
        <row r="1249">
          <cell r="A1249" t="str">
            <v>TOWLB-KID-MD-BEACH</v>
          </cell>
          <cell r="B1249" t="str">
            <v>5.0607E+12</v>
          </cell>
          <cell r="C1249" t="str">
            <v>CLOSED</v>
          </cell>
          <cell r="E1249">
            <v>50</v>
          </cell>
          <cell r="F1249" t="str">
            <v>SS22</v>
          </cell>
          <cell r="G1249" t="str">
            <v>XR Textile</v>
          </cell>
          <cell r="H1249" t="str">
            <v>TOWLB-KIDS</v>
          </cell>
          <cell r="I1249" t="str">
            <v>GRS Certified* 83% Post Consumer Recycled Polyester (RM0189) 17% Pre Consumer Recycled Polyamide (RM1084)</v>
          </cell>
        </row>
        <row r="1250">
          <cell r="A1250" t="str">
            <v>TOWLB-KID-MD-BOAT</v>
          </cell>
          <cell r="B1250" t="str">
            <v>5.0607E+12</v>
          </cell>
          <cell r="C1250" t="str">
            <v>CLOSED</v>
          </cell>
          <cell r="E1250">
            <v>50</v>
          </cell>
          <cell r="F1250" t="str">
            <v>SS22</v>
          </cell>
          <cell r="G1250" t="str">
            <v>XR Textile</v>
          </cell>
          <cell r="H1250" t="str">
            <v>TOWLB-KIDS</v>
          </cell>
          <cell r="I1250" t="str">
            <v>GRS Certified* 83% Post Consumer Recycled Polyester (RM0189) 17% Pre Consumer Recycled Polyamide (RM1084)</v>
          </cell>
        </row>
        <row r="1251">
          <cell r="A1251" t="str">
            <v>TOWLB-KID-MD-DOODMOOD</v>
          </cell>
          <cell r="B1251" t="str">
            <v>5.061E+12</v>
          </cell>
          <cell r="C1251" t="str">
            <v>CLOSED</v>
          </cell>
          <cell r="D1251" t="str">
            <v>Seasonal</v>
          </cell>
          <cell r="E1251">
            <v>50</v>
          </cell>
          <cell r="F1251" t="str">
            <v>SS24</v>
          </cell>
          <cell r="G1251" t="str">
            <v>XR Textile</v>
          </cell>
          <cell r="H1251" t="str">
            <v>TOWLB-KIDS</v>
          </cell>
          <cell r="I1251" t="str">
            <v>GRS Certified* 83% Post Consumer Recycled Polyester (RM0189) 17% Pre Consumer Recycled Polyamide (RM1084)</v>
          </cell>
        </row>
        <row r="1252">
          <cell r="A1252" t="str">
            <v>TOWLB-KID-MD-FIVEDAY</v>
          </cell>
          <cell r="B1252" t="str">
            <v>5.061E+12</v>
          </cell>
          <cell r="C1252" t="str">
            <v>CLOSED</v>
          </cell>
          <cell r="D1252" t="str">
            <v>Seasonal</v>
          </cell>
          <cell r="E1252">
            <v>50</v>
          </cell>
          <cell r="F1252" t="str">
            <v>SS24</v>
          </cell>
          <cell r="G1252" t="str">
            <v>XR Textile</v>
          </cell>
          <cell r="H1252" t="str">
            <v>TOWLB-KIDS</v>
          </cell>
          <cell r="I1252" t="str">
            <v>GRS Certified* 83% Post Consumer Recycled Polyester (RM0189) 17% Pre Consumer Recycled Polyamide (RM1084)</v>
          </cell>
        </row>
        <row r="1253">
          <cell r="A1253" t="str">
            <v>TOWLB-KID-MD-LEOP</v>
          </cell>
          <cell r="B1253" t="str">
            <v>5.0607E+12</v>
          </cell>
          <cell r="C1253" t="str">
            <v>CLOSED</v>
          </cell>
          <cell r="E1253">
            <v>50</v>
          </cell>
          <cell r="F1253" t="str">
            <v>SS23</v>
          </cell>
          <cell r="G1253" t="str">
            <v>XR Textile</v>
          </cell>
          <cell r="H1253" t="str">
            <v>TOWLB-KIDS</v>
          </cell>
          <cell r="I1253" t="str">
            <v>GRS Certified* 83% Post Consumer Recycled Polyester (RM0189) 17% Pre Consumer Recycled Polyamide (RM1084)</v>
          </cell>
        </row>
        <row r="1254">
          <cell r="A1254" t="str">
            <v>TOWLB-KID-MD-PEACH</v>
          </cell>
          <cell r="B1254" t="str">
            <v>5.0607E+12</v>
          </cell>
          <cell r="C1254" t="str">
            <v>CLOSED</v>
          </cell>
          <cell r="E1254">
            <v>50</v>
          </cell>
          <cell r="F1254" t="str">
            <v>SS22</v>
          </cell>
          <cell r="G1254" t="str">
            <v>XR Textile</v>
          </cell>
          <cell r="H1254" t="str">
            <v>TOWLB-KIDS</v>
          </cell>
          <cell r="I1254" t="str">
            <v>GRS Certified* 83% Post Consumer Recycled Polyester (RM0189) 17% Pre Consumer Recycled Polyamide (RM1084)</v>
          </cell>
        </row>
        <row r="1255">
          <cell r="A1255" t="str">
            <v>TOWLB-KID-MD-POWER</v>
          </cell>
          <cell r="B1255" t="str">
            <v>5.0607E+12</v>
          </cell>
          <cell r="C1255" t="str">
            <v>CLOSED</v>
          </cell>
          <cell r="E1255">
            <v>50</v>
          </cell>
          <cell r="F1255" t="str">
            <v>SS23</v>
          </cell>
          <cell r="G1255" t="str">
            <v>XR Textile</v>
          </cell>
          <cell r="H1255" t="str">
            <v>TOWLB-KIDS</v>
          </cell>
          <cell r="I1255" t="str">
            <v>GRS Certified* 83% Post Consumer Recycled Polyester (RM0189) 17% Pre Consumer Recycled Polyamide (RM1084)</v>
          </cell>
        </row>
        <row r="1256">
          <cell r="A1256" t="str">
            <v>TOWLB-KID-MD-REEF</v>
          </cell>
          <cell r="B1256" t="str">
            <v>5.0607E+12</v>
          </cell>
          <cell r="C1256" t="str">
            <v>CLOSED</v>
          </cell>
          <cell r="E1256">
            <v>50</v>
          </cell>
          <cell r="F1256" t="str">
            <v>SS23</v>
          </cell>
          <cell r="G1256" t="str">
            <v>XR Textile</v>
          </cell>
          <cell r="H1256" t="str">
            <v>TOWLB-KIDS</v>
          </cell>
          <cell r="I1256" t="str">
            <v>GRS Certified* 83% Post Consumer Recycled Polyester (RM0189) 17% Pre Consumer Recycled Polyamide (RM1084)</v>
          </cell>
        </row>
        <row r="1257">
          <cell r="A1257" t="str">
            <v>TOWLB-KID-MD-SQUIG</v>
          </cell>
          <cell r="B1257" t="str">
            <v>5.0607E+12</v>
          </cell>
          <cell r="C1257" t="str">
            <v>CLOSED</v>
          </cell>
          <cell r="E1257">
            <v>50</v>
          </cell>
          <cell r="F1257" t="str">
            <v>SS22</v>
          </cell>
          <cell r="G1257" t="str">
            <v>XR Textile</v>
          </cell>
          <cell r="H1257" t="str">
            <v>TOWLB-KIDS</v>
          </cell>
          <cell r="I1257" t="str">
            <v>GRS Certified* 83% Post Consumer Recycled Polyester (RM0189) 17% Pre Consumer Recycled Polyamide (RM1084)</v>
          </cell>
        </row>
        <row r="1258">
          <cell r="A1258" t="str">
            <v>TOWLB-KID-MD-TUTTI</v>
          </cell>
          <cell r="B1258" t="str">
            <v>5.0607E+12</v>
          </cell>
          <cell r="C1258" t="str">
            <v>CLOSED</v>
          </cell>
          <cell r="E1258">
            <v>50</v>
          </cell>
          <cell r="F1258" t="str">
            <v>SS22</v>
          </cell>
          <cell r="G1258" t="str">
            <v>XR Textile</v>
          </cell>
          <cell r="H1258" t="str">
            <v>TOWLB-KIDS</v>
          </cell>
          <cell r="I1258" t="str">
            <v>GRS Certified* 83% Post Consumer Recycled Polyester (RM0189) 17% Pre Consumer Recycled Polyamide (RM1084)</v>
          </cell>
        </row>
        <row r="1259">
          <cell r="A1259" t="str">
            <v>TOWLB-MBL-LG-LIFE</v>
          </cell>
          <cell r="B1259" t="str">
            <v>5.0607E+12</v>
          </cell>
          <cell r="C1259" t="str">
            <v>CLOSED</v>
          </cell>
          <cell r="E1259">
            <v>40</v>
          </cell>
          <cell r="F1259" t="str">
            <v>SS22</v>
          </cell>
          <cell r="G1259" t="str">
            <v>XR Textile</v>
          </cell>
          <cell r="H1259" t="str">
            <v>TOWLB</v>
          </cell>
          <cell r="I1259" t="str">
            <v>GRS Certified* 83% Post Consumer Recycled Polyester (RM0189) 17% Pre Consumer Recycled Polyamide (RM1084)</v>
          </cell>
        </row>
        <row r="1260">
          <cell r="A1260" t="str">
            <v>TOWLB-MBL-LG-MUSE</v>
          </cell>
          <cell r="B1260" t="str">
            <v>5.0607E+12</v>
          </cell>
          <cell r="C1260" t="str">
            <v>CLOSED</v>
          </cell>
          <cell r="E1260">
            <v>40</v>
          </cell>
          <cell r="F1260" t="str">
            <v>SS22</v>
          </cell>
          <cell r="G1260" t="str">
            <v>XR Textile</v>
          </cell>
          <cell r="H1260" t="str">
            <v>TOWLB</v>
          </cell>
          <cell r="I1260" t="str">
            <v>GRS Certified* 83% Post Consumer Recycled Polyester (RM0189) 17% Pre Consumer Recycled Polyamide (RM1084)</v>
          </cell>
        </row>
        <row r="1261">
          <cell r="A1261" t="str">
            <v>TOWLB-MBL-LG-NOTH</v>
          </cell>
          <cell r="B1261" t="str">
            <v>5.0607E+12</v>
          </cell>
          <cell r="C1261" t="str">
            <v>CLOSED</v>
          </cell>
          <cell r="E1261">
            <v>40</v>
          </cell>
          <cell r="F1261" t="str">
            <v>SS22</v>
          </cell>
          <cell r="G1261" t="str">
            <v>XR Textile</v>
          </cell>
          <cell r="H1261" t="str">
            <v>TOWLB</v>
          </cell>
          <cell r="I1261" t="str">
            <v>GRS Certified* 83% Post Consumer Recycled Polyester (RM0189) 17% Pre Consumer Recycled Polyamide (RM1084)</v>
          </cell>
        </row>
        <row r="1262">
          <cell r="A1262" t="str">
            <v>TOWLB-MBL-XL-LIFE</v>
          </cell>
          <cell r="B1262" t="str">
            <v>5.0607E+12</v>
          </cell>
          <cell r="C1262" t="str">
            <v>CLOSED</v>
          </cell>
          <cell r="E1262">
            <v>30</v>
          </cell>
          <cell r="F1262" t="str">
            <v>SS22</v>
          </cell>
          <cell r="G1262" t="str">
            <v>XR Textile</v>
          </cell>
          <cell r="H1262" t="str">
            <v>TOWLB</v>
          </cell>
          <cell r="I1262" t="str">
            <v>GRS Certified* 83% Post Consumer Recycled Polyester (RM0189) 17% Pre Consumer Recycled Polyamide (RM1084)</v>
          </cell>
        </row>
        <row r="1263">
          <cell r="A1263" t="str">
            <v>TOWLB-MBL-XL-MUSE</v>
          </cell>
          <cell r="B1263" t="str">
            <v>5.0607E+12</v>
          </cell>
          <cell r="C1263" t="str">
            <v>CLOSED</v>
          </cell>
          <cell r="E1263">
            <v>30</v>
          </cell>
          <cell r="F1263" t="str">
            <v>SS22</v>
          </cell>
          <cell r="G1263" t="str">
            <v>XR Textile</v>
          </cell>
          <cell r="H1263" t="str">
            <v>TOWLB</v>
          </cell>
          <cell r="I1263" t="str">
            <v>GRS Certified* 83% Post Consumer Recycled Polyester (RM0189) 17% Pre Consumer Recycled Polyamide (RM1084)</v>
          </cell>
        </row>
        <row r="1264">
          <cell r="A1264" t="str">
            <v>TOWLB-MBL-XL-NOTH</v>
          </cell>
          <cell r="B1264" t="str">
            <v>5.0607E+12</v>
          </cell>
          <cell r="C1264" t="str">
            <v>CLOSED</v>
          </cell>
          <cell r="E1264">
            <v>30</v>
          </cell>
          <cell r="F1264" t="str">
            <v>SS22</v>
          </cell>
          <cell r="G1264" t="str">
            <v>XR Textile</v>
          </cell>
          <cell r="H1264" t="str">
            <v>TOWLB</v>
          </cell>
          <cell r="I1264" t="str">
            <v>GRS Certified* 83% Post Consumer Recycled Polyester (RM0189) 17% Pre Consumer Recycled Polyamide (RM1084)</v>
          </cell>
        </row>
        <row r="1265">
          <cell r="A1265" t="str">
            <v>TOWLB-RND-BLUE-R</v>
          </cell>
          <cell r="B1265" t="str">
            <v>5.0607E+12</v>
          </cell>
          <cell r="C1265" t="str">
            <v>CLOSED</v>
          </cell>
          <cell r="E1265">
            <v>20</v>
          </cell>
          <cell r="F1265" t="str">
            <v>before AW20</v>
          </cell>
          <cell r="G1265" t="str">
            <v>XR Textile</v>
          </cell>
          <cell r="H1265" t="str">
            <v>TOWLB</v>
          </cell>
          <cell r="I1265" t="str">
            <v>GRS Certified* 83% Post Consumer Recycled Polyester (RM0189) 17% Pre Consumer Recycled Polyamide (RM1084)</v>
          </cell>
        </row>
        <row r="1266">
          <cell r="A1266" t="str">
            <v>TOWLB-RND-GREEN-R</v>
          </cell>
          <cell r="B1266" t="str">
            <v>5.0607E+12</v>
          </cell>
          <cell r="C1266" t="str">
            <v>CLOSED</v>
          </cell>
          <cell r="E1266">
            <v>20</v>
          </cell>
          <cell r="F1266" t="str">
            <v>before AW20</v>
          </cell>
          <cell r="G1266" t="str">
            <v>XR Textile</v>
          </cell>
          <cell r="H1266" t="str">
            <v>TOWLB</v>
          </cell>
          <cell r="I1266" t="str">
            <v>GRS Certified* 83% Post Consumer Recycled Polyester (RM0189) 17% Pre Consumer Recycled Polyamide (RM1084)</v>
          </cell>
        </row>
        <row r="1267">
          <cell r="A1267" t="str">
            <v>TOWLB-RND-GREY-R</v>
          </cell>
          <cell r="B1267" t="str">
            <v>5.0607E+12</v>
          </cell>
          <cell r="C1267" t="str">
            <v>CLOSED</v>
          </cell>
          <cell r="E1267">
            <v>20</v>
          </cell>
          <cell r="F1267" t="str">
            <v>before AW20</v>
          </cell>
          <cell r="G1267" t="str">
            <v>XR Textile</v>
          </cell>
          <cell r="H1267" t="str">
            <v>TOWLB</v>
          </cell>
          <cell r="I1267" t="str">
            <v>GRS Certified* 83% Post Consumer Recycled Polyester (RM0189) 17% Pre Consumer Recycled Polyamide (RM1084)</v>
          </cell>
        </row>
        <row r="1268">
          <cell r="A1268" t="str">
            <v>TOWLB-RND-LTPNK</v>
          </cell>
          <cell r="B1268" t="str">
            <v>5.0607E+12</v>
          </cell>
          <cell r="C1268" t="str">
            <v>CLOSED</v>
          </cell>
          <cell r="E1268">
            <v>20</v>
          </cell>
          <cell r="F1268" t="str">
            <v>SS22</v>
          </cell>
          <cell r="G1268" t="str">
            <v>XR Textile</v>
          </cell>
          <cell r="H1268" t="str">
            <v>TOWLB</v>
          </cell>
          <cell r="I1268" t="str">
            <v>GRS Certified* 83% Post Consumer Recycled Polyester (RM0189) 17% Pre Consumer Recycled Polyamide (RM1084)</v>
          </cell>
        </row>
        <row r="1269">
          <cell r="A1269" t="str">
            <v>TOWLB-RND-NAVY</v>
          </cell>
          <cell r="B1269" t="str">
            <v>5.0607E+12</v>
          </cell>
          <cell r="C1269" t="str">
            <v>CLOSED</v>
          </cell>
          <cell r="E1269">
            <v>20</v>
          </cell>
          <cell r="F1269" t="str">
            <v>SS22</v>
          </cell>
          <cell r="G1269" t="str">
            <v>XR Textile</v>
          </cell>
          <cell r="H1269" t="str">
            <v>TOWLB</v>
          </cell>
          <cell r="I1269" t="str">
            <v>GRS Certified* 83% Post Consumer Recycled Polyester (RM0189) 17% Pre Consumer Recycled Polyamide (RM1084)</v>
          </cell>
        </row>
        <row r="1270">
          <cell r="A1270" t="str">
            <v>TOWLB-RND-PINK-R</v>
          </cell>
          <cell r="B1270" t="str">
            <v>5.0607E+12</v>
          </cell>
          <cell r="C1270" t="str">
            <v>CLOSED</v>
          </cell>
          <cell r="E1270">
            <v>20</v>
          </cell>
          <cell r="F1270" t="str">
            <v>before AW20</v>
          </cell>
          <cell r="G1270" t="str">
            <v>XR Textile</v>
          </cell>
          <cell r="H1270" t="str">
            <v>TOWLB</v>
          </cell>
          <cell r="I1270" t="str">
            <v>GRS Certified* 83% Post Consumer Recycled Polyester (RM0189) 17% Pre Consumer Recycled Polyamide (RM1084)</v>
          </cell>
        </row>
        <row r="1271">
          <cell r="A1271" t="str">
            <v>TOWLB-RND-RAINB-R</v>
          </cell>
          <cell r="B1271" t="str">
            <v>5.0607E+12</v>
          </cell>
          <cell r="C1271" t="str">
            <v>CLOSED</v>
          </cell>
          <cell r="E1271">
            <v>20</v>
          </cell>
          <cell r="F1271" t="str">
            <v>before AW20</v>
          </cell>
          <cell r="G1271" t="str">
            <v>XR Textile</v>
          </cell>
          <cell r="H1271" t="str">
            <v>TOWLB</v>
          </cell>
          <cell r="I1271" t="str">
            <v>GRS Certified* 83% Post Consumer Recycled Polyester (RM0189) 17% Pre Consumer Recycled Polyamide (RM1084)</v>
          </cell>
        </row>
        <row r="1272">
          <cell r="A1272" t="str">
            <v>TOWLB-RND-RED-R</v>
          </cell>
          <cell r="B1272" t="str">
            <v>5.0607E+12</v>
          </cell>
          <cell r="C1272" t="str">
            <v>CLOSED</v>
          </cell>
          <cell r="E1272">
            <v>20</v>
          </cell>
          <cell r="F1272" t="str">
            <v>before AW20</v>
          </cell>
          <cell r="G1272" t="str">
            <v>XR Textile</v>
          </cell>
          <cell r="H1272" t="str">
            <v>TOWLB</v>
          </cell>
          <cell r="I1272" t="str">
            <v>GRS Certified* 83% Post Consumer Recycled Polyester (RM0189) 17% Pre Consumer Recycled Polyamide (RM1084)</v>
          </cell>
        </row>
        <row r="1273">
          <cell r="A1273" t="str">
            <v>TOWLB-RND-UNICN</v>
          </cell>
          <cell r="B1273" t="str">
            <v>5.0607E+12</v>
          </cell>
          <cell r="C1273" t="str">
            <v>CLOSED</v>
          </cell>
          <cell r="E1273">
            <v>20</v>
          </cell>
          <cell r="F1273" t="str">
            <v>SS22</v>
          </cell>
          <cell r="G1273" t="str">
            <v>XR Textile</v>
          </cell>
          <cell r="H1273" t="str">
            <v>TOWLB</v>
          </cell>
          <cell r="I1273" t="str">
            <v>GRS Certified* 83% Post Consumer Recycled Polyester (RM0189) 17% Pre Consumer Recycled Polyamide (RM1084)</v>
          </cell>
        </row>
        <row r="1274">
          <cell r="A1274" t="str">
            <v>TOWLB-SGW-LG-CHEVR</v>
          </cell>
          <cell r="B1274" t="str">
            <v>5.0607E+12</v>
          </cell>
          <cell r="C1274" t="str">
            <v>CLOSED</v>
          </cell>
          <cell r="E1274">
            <v>40</v>
          </cell>
          <cell r="F1274" t="str">
            <v>SS23</v>
          </cell>
          <cell r="G1274" t="str">
            <v>XR Textile</v>
          </cell>
          <cell r="H1274" t="str">
            <v>TOWLB</v>
          </cell>
          <cell r="I1274" t="str">
            <v>GRS Certified* 83% Post Consumer Recycled Polyester (RM0189) 17% Pre Consumer Recycled Polyamide (RM1084)</v>
          </cell>
        </row>
        <row r="1275">
          <cell r="A1275" t="str">
            <v>TOWLB-SGW-LG-GETWAV</v>
          </cell>
          <cell r="B1275" t="str">
            <v>5.0607E+12</v>
          </cell>
          <cell r="C1275" t="str">
            <v>CLOSED</v>
          </cell>
          <cell r="D1275" t="str">
            <v>Seasonal</v>
          </cell>
          <cell r="E1275">
            <v>40</v>
          </cell>
          <cell r="F1275" t="str">
            <v>SS23</v>
          </cell>
          <cell r="G1275" t="str">
            <v>XR Textile</v>
          </cell>
          <cell r="H1275" t="str">
            <v>TOWLB</v>
          </cell>
          <cell r="I1275" t="str">
            <v>GRS Certified* 83% Post Consumer Recycled Polyester (RM0189) 17% Pre Consumer Recycled Polyamide (RM1084)</v>
          </cell>
        </row>
        <row r="1276">
          <cell r="A1276" t="str">
            <v>TOWLB-SGW-LG-GROOVY</v>
          </cell>
          <cell r="B1276" t="str">
            <v>5.0607E+12</v>
          </cell>
          <cell r="C1276" t="str">
            <v>CLOSED</v>
          </cell>
          <cell r="E1276">
            <v>40</v>
          </cell>
          <cell r="F1276" t="str">
            <v>SS23</v>
          </cell>
          <cell r="G1276" t="str">
            <v>XR Textile</v>
          </cell>
          <cell r="H1276" t="str">
            <v>TOWLB</v>
          </cell>
          <cell r="I1276" t="str">
            <v>GRS Certified* 83% Post Consumer Recycled Polyester (RM0189) 17% Pre Consumer Recycled Polyamide (RM1084)</v>
          </cell>
        </row>
        <row r="1277">
          <cell r="A1277" t="str">
            <v>TOWLB-SGW-LG-RISSUN</v>
          </cell>
          <cell r="B1277" t="str">
            <v>5.0607E+12</v>
          </cell>
          <cell r="C1277" t="str">
            <v>CLOSED</v>
          </cell>
          <cell r="E1277">
            <v>40</v>
          </cell>
          <cell r="F1277" t="str">
            <v>SS23</v>
          </cell>
          <cell r="G1277" t="str">
            <v>XR Textile</v>
          </cell>
          <cell r="H1277" t="str">
            <v>TOWLB</v>
          </cell>
          <cell r="I1277" t="str">
            <v>GRS Certified* 83% Post Consumer Recycled Polyester (RM0189) 17% Pre Consumer Recycled Polyamide (RM1084)</v>
          </cell>
        </row>
        <row r="1278">
          <cell r="A1278" t="str">
            <v>TOWLB-SGW-XL-CHEVR</v>
          </cell>
          <cell r="B1278" t="str">
            <v>5.0607E+12</v>
          </cell>
          <cell r="C1278" t="str">
            <v>CLOSED</v>
          </cell>
          <cell r="E1278">
            <v>30</v>
          </cell>
          <cell r="F1278" t="str">
            <v>SS23</v>
          </cell>
          <cell r="G1278" t="str">
            <v>XR Textile</v>
          </cell>
          <cell r="H1278" t="str">
            <v>TOWLB</v>
          </cell>
          <cell r="I1278" t="str">
            <v>GRS Certified* 83% Post Consumer Recycled Polyester (RM0189) 17% Pre Consumer Recycled Polyamide (RM1084)</v>
          </cell>
        </row>
        <row r="1279">
          <cell r="A1279" t="str">
            <v>TOWLB-SGW-XL-GETWAV</v>
          </cell>
          <cell r="B1279" t="str">
            <v>5.0607E+12</v>
          </cell>
          <cell r="C1279" t="str">
            <v>CLOSED</v>
          </cell>
          <cell r="D1279" t="str">
            <v>Seasonal</v>
          </cell>
          <cell r="E1279">
            <v>30</v>
          </cell>
          <cell r="F1279" t="str">
            <v>SS23</v>
          </cell>
          <cell r="G1279" t="str">
            <v>XR Textile</v>
          </cell>
          <cell r="H1279" t="str">
            <v>TOWLB</v>
          </cell>
          <cell r="I1279" t="str">
            <v>GRS Certified* 83% Post Consumer Recycled Polyester (RM0189) 17% Pre Consumer Recycled Polyamide (RM1084)</v>
          </cell>
        </row>
        <row r="1280">
          <cell r="A1280" t="str">
            <v>TOWLB-SGW-XL-GROOVY</v>
          </cell>
          <cell r="B1280" t="str">
            <v>5.0607E+12</v>
          </cell>
          <cell r="C1280" t="str">
            <v>CLOSED</v>
          </cell>
          <cell r="E1280">
            <v>30</v>
          </cell>
          <cell r="F1280" t="str">
            <v>SS23</v>
          </cell>
          <cell r="G1280" t="str">
            <v>XR Textile</v>
          </cell>
          <cell r="H1280" t="str">
            <v>TOWLB</v>
          </cell>
          <cell r="I1280" t="str">
            <v>GRS Certified* 83% Post Consumer Recycled Polyester (RM0189) 17% Pre Consumer Recycled Polyamide (RM1084)</v>
          </cell>
        </row>
        <row r="1281">
          <cell r="A1281" t="str">
            <v>TOWLB-SGW-XL-RISSUN</v>
          </cell>
          <cell r="B1281" t="str">
            <v>5.0607E+12</v>
          </cell>
          <cell r="C1281" t="str">
            <v>CLOSED</v>
          </cell>
          <cell r="E1281">
            <v>30</v>
          </cell>
          <cell r="F1281" t="str">
            <v>SS23</v>
          </cell>
          <cell r="G1281" t="str">
            <v>XR Textile</v>
          </cell>
          <cell r="H1281" t="str">
            <v>TOWLB</v>
          </cell>
          <cell r="I1281" t="str">
            <v>GRS Certified* 83% Post Consumer Recycled Polyester (RM0189) 17% Pre Consumer Recycled Polyamide (RM1084)</v>
          </cell>
        </row>
        <row r="1282">
          <cell r="A1282" t="str">
            <v>TOWLB-SUM-LG-DSKDWN</v>
          </cell>
          <cell r="B1282" t="str">
            <v>5.0607E+12</v>
          </cell>
          <cell r="C1282" t="str">
            <v>CLOSED</v>
          </cell>
          <cell r="D1282" t="str">
            <v>Seasonal</v>
          </cell>
          <cell r="E1282">
            <v>40</v>
          </cell>
          <cell r="F1282" t="str">
            <v>SS23</v>
          </cell>
          <cell r="G1282" t="str">
            <v>XR Textile</v>
          </cell>
          <cell r="H1282" t="str">
            <v>TOWLB</v>
          </cell>
          <cell r="I1282" t="str">
            <v>GRS Certified* 83% Post Consumer Recycled Polyester (RM0189) 17% Pre Consumer Recycled Polyamide (RM1084)</v>
          </cell>
        </row>
        <row r="1283">
          <cell r="A1283" t="str">
            <v>TOWLB-SUM-LG-ENDLS-R</v>
          </cell>
          <cell r="B1283" t="str">
            <v>5.0607E+12</v>
          </cell>
          <cell r="C1283" t="str">
            <v>CLOSED</v>
          </cell>
          <cell r="D1283" t="str">
            <v>Seasonal</v>
          </cell>
          <cell r="E1283">
            <v>40</v>
          </cell>
          <cell r="F1283" t="str">
            <v>before AW20</v>
          </cell>
          <cell r="G1283" t="str">
            <v>XR Textile</v>
          </cell>
          <cell r="H1283" t="str">
            <v>TOWLB</v>
          </cell>
          <cell r="I1283" t="str">
            <v>GRS Certified* 83% Post Consumer Recycled Polyester (RM0189) 17% Pre Consumer Recycled Polyamide (RM1084)</v>
          </cell>
        </row>
        <row r="1284">
          <cell r="A1284" t="str">
            <v>TOWLB-SUM-LG-ENDRVR</v>
          </cell>
          <cell r="B1284" t="str">
            <v>5.0607E+12</v>
          </cell>
          <cell r="C1284" t="str">
            <v>CLOSED</v>
          </cell>
          <cell r="D1284" t="str">
            <v>Seasonal</v>
          </cell>
          <cell r="E1284">
            <v>40</v>
          </cell>
          <cell r="F1284" t="str">
            <v>SS23</v>
          </cell>
          <cell r="G1284" t="str">
            <v>XR Textile</v>
          </cell>
          <cell r="H1284" t="str">
            <v>TOWLB</v>
          </cell>
          <cell r="I1284" t="str">
            <v>GRS Certified* 83% Post Consumer Recycled Polyester (RM0189) 17% Pre Consumer Recycled Polyamide (RM1084)</v>
          </cell>
        </row>
        <row r="1285">
          <cell r="A1285" t="str">
            <v>TOWLB-SUM-LG-LAVDR-R</v>
          </cell>
          <cell r="B1285" t="str">
            <v>5.0607E+12</v>
          </cell>
          <cell r="C1285" t="str">
            <v>CLOSED</v>
          </cell>
          <cell r="D1285" t="str">
            <v>Seasonal</v>
          </cell>
          <cell r="E1285">
            <v>40</v>
          </cell>
          <cell r="F1285" t="str">
            <v>before AW20</v>
          </cell>
          <cell r="G1285" t="str">
            <v>XR Textile</v>
          </cell>
          <cell r="H1285" t="str">
            <v>TOWLB</v>
          </cell>
          <cell r="I1285" t="str">
            <v>GRS Certified* 83% Post Consumer Recycled Polyester (RM0189) 17% Pre Consumer Recycled Polyamide (RM1084)</v>
          </cell>
        </row>
        <row r="1286">
          <cell r="A1286" t="str">
            <v>TOWLB-SUM-LG-PCHSUN</v>
          </cell>
          <cell r="B1286" t="str">
            <v>5.0607E+12</v>
          </cell>
          <cell r="C1286" t="str">
            <v>CLOSED</v>
          </cell>
          <cell r="D1286" t="str">
            <v>Seasonal</v>
          </cell>
          <cell r="E1286">
            <v>40</v>
          </cell>
          <cell r="F1286" t="str">
            <v>SS23</v>
          </cell>
          <cell r="G1286" t="str">
            <v>XR Textile</v>
          </cell>
          <cell r="H1286" t="str">
            <v>TOWLB</v>
          </cell>
          <cell r="I1286" t="str">
            <v>GRS Certified* 83% Post Consumer Recycled Polyester (RM0189) 17% Pre Consumer Recycled Polyamide (RM1084)</v>
          </cell>
        </row>
        <row r="1287">
          <cell r="A1287" t="str">
            <v>TOWLB-SUM-LG-PEACH-R</v>
          </cell>
          <cell r="B1287" t="str">
            <v>5.0607E+12</v>
          </cell>
          <cell r="C1287" t="str">
            <v>CLOSED</v>
          </cell>
          <cell r="D1287" t="str">
            <v>Seasonal</v>
          </cell>
          <cell r="E1287">
            <v>40</v>
          </cell>
          <cell r="F1287" t="str">
            <v>before AW20</v>
          </cell>
          <cell r="G1287" t="str">
            <v>XR Textile</v>
          </cell>
          <cell r="H1287" t="str">
            <v>TOWLB</v>
          </cell>
          <cell r="I1287" t="str">
            <v>GRS Certified* 83% Post Consumer Recycled Polyester (RM0189) 17% Pre Consumer Recycled Polyamide (RM1084)</v>
          </cell>
        </row>
        <row r="1288">
          <cell r="A1288" t="str">
            <v>TOWLB-SUM-LG-POOL-R</v>
          </cell>
          <cell r="B1288" t="str">
            <v>5.0607E+12</v>
          </cell>
          <cell r="C1288" t="str">
            <v>CLOSED</v>
          </cell>
          <cell r="D1288" t="str">
            <v>Seasonal</v>
          </cell>
          <cell r="E1288">
            <v>40</v>
          </cell>
          <cell r="F1288" t="str">
            <v>before AW20</v>
          </cell>
          <cell r="G1288" t="str">
            <v>XR Textile</v>
          </cell>
          <cell r="H1288" t="str">
            <v>TOWLB</v>
          </cell>
          <cell r="I1288" t="str">
            <v>GRS Certified* 83% Post Consumer Recycled Polyester (RM0189) 17% Pre Consumer Recycled Polyamide (RM1084)</v>
          </cell>
        </row>
        <row r="1289">
          <cell r="A1289" t="str">
            <v>TOWLB-SUM-LG-SUNST-R</v>
          </cell>
          <cell r="B1289" t="str">
            <v>5.0607E+12</v>
          </cell>
          <cell r="C1289" t="str">
            <v>CLOSED</v>
          </cell>
          <cell r="D1289" t="str">
            <v>Seasonal</v>
          </cell>
          <cell r="E1289">
            <v>40</v>
          </cell>
          <cell r="F1289" t="str">
            <v>before AW20</v>
          </cell>
          <cell r="G1289" t="str">
            <v>XR Textile</v>
          </cell>
          <cell r="H1289" t="str">
            <v>TOWLB</v>
          </cell>
          <cell r="I1289" t="str">
            <v>GRS Certified* 83% Post Consumer Recycled Polyester (RM0189) 17% Pre Consumer Recycled Polyamide (RM1084)</v>
          </cell>
        </row>
        <row r="1290">
          <cell r="A1290" t="str">
            <v>TOWLB-SUM-XL-ENDLS-R</v>
          </cell>
          <cell r="B1290" t="str">
            <v>5.0607E+12</v>
          </cell>
          <cell r="C1290" t="str">
            <v>CLOSED</v>
          </cell>
          <cell r="D1290" t="str">
            <v>Seasonal</v>
          </cell>
          <cell r="E1290">
            <v>30</v>
          </cell>
          <cell r="F1290" t="str">
            <v>before AW20</v>
          </cell>
          <cell r="G1290" t="str">
            <v>XR Textile</v>
          </cell>
          <cell r="H1290" t="str">
            <v>TOWLB</v>
          </cell>
          <cell r="I1290" t="str">
            <v>GRS Certified* 83% Post Consumer Recycled Polyester (RM0189) 17% Pre Consumer Recycled Polyamide (RM1084)</v>
          </cell>
        </row>
        <row r="1291">
          <cell r="A1291" t="str">
            <v>TOWLB-SUM-XL-ENDRVR</v>
          </cell>
          <cell r="B1291" t="str">
            <v>5.0607E+12</v>
          </cell>
          <cell r="C1291" t="str">
            <v>CLOSED</v>
          </cell>
          <cell r="D1291" t="str">
            <v>Seasonal</v>
          </cell>
          <cell r="E1291">
            <v>30</v>
          </cell>
          <cell r="F1291" t="str">
            <v>SS23</v>
          </cell>
          <cell r="G1291" t="str">
            <v>XR Textile</v>
          </cell>
          <cell r="H1291" t="str">
            <v>TOWLB</v>
          </cell>
          <cell r="I1291" t="str">
            <v>GRS Certified* 83% Post Consumer Recycled Polyester (RM0189) 17% Pre Consumer Recycled Polyamide (RM1084)</v>
          </cell>
        </row>
        <row r="1292">
          <cell r="A1292" t="str">
            <v>TOWLB-SUM-XL-LAVDR-R</v>
          </cell>
          <cell r="B1292" t="str">
            <v>5.0607E+12</v>
          </cell>
          <cell r="C1292" t="str">
            <v>CLOSED</v>
          </cell>
          <cell r="D1292" t="str">
            <v>Seasonal</v>
          </cell>
          <cell r="E1292">
            <v>30</v>
          </cell>
          <cell r="F1292" t="str">
            <v>before AW20</v>
          </cell>
          <cell r="G1292" t="str">
            <v>XR Textile</v>
          </cell>
          <cell r="H1292" t="str">
            <v>TOWLB</v>
          </cell>
          <cell r="I1292" t="str">
            <v>GRS Certified* 83% Post Consumer Recycled Polyester (RM0189) 17% Pre Consumer Recycled Polyamide (RM1084)</v>
          </cell>
        </row>
        <row r="1293">
          <cell r="A1293" t="str">
            <v>TOWLB-SUM-XL-PEACH-R</v>
          </cell>
          <cell r="B1293" t="str">
            <v>5.0607E+12</v>
          </cell>
          <cell r="C1293" t="str">
            <v>CLOSED</v>
          </cell>
          <cell r="D1293" t="str">
            <v>Seasonal</v>
          </cell>
          <cell r="E1293">
            <v>30</v>
          </cell>
          <cell r="F1293" t="str">
            <v>before AW20</v>
          </cell>
          <cell r="G1293" t="str">
            <v>XR Textile</v>
          </cell>
          <cell r="H1293" t="str">
            <v>TOWLB</v>
          </cell>
          <cell r="I1293" t="str">
            <v>GRS Certified* 83% Post Consumer Recycled Polyester (RM0189) 17% Pre Consumer Recycled Polyamide (RM1084)</v>
          </cell>
        </row>
        <row r="1294">
          <cell r="A1294" t="str">
            <v>TOWLB-SUM-XL-POOL-R</v>
          </cell>
          <cell r="B1294" t="str">
            <v>5.0607E+12</v>
          </cell>
          <cell r="C1294" t="str">
            <v>CLOSED</v>
          </cell>
          <cell r="D1294" t="str">
            <v>Seasonal</v>
          </cell>
          <cell r="E1294">
            <v>30</v>
          </cell>
          <cell r="F1294" t="str">
            <v>before AW20</v>
          </cell>
          <cell r="G1294" t="str">
            <v>XR Textile</v>
          </cell>
          <cell r="H1294" t="str">
            <v>TOWLB</v>
          </cell>
          <cell r="I1294" t="str">
            <v>GRS Certified* 83% Post Consumer Recycled Polyester (RM0189) 17% Pre Consumer Recycled Polyamide (RM1084)</v>
          </cell>
        </row>
        <row r="1295">
          <cell r="A1295" t="str">
            <v>TOWLB-SUM-XL-SUNST-R</v>
          </cell>
          <cell r="B1295" t="str">
            <v>5.0607E+12</v>
          </cell>
          <cell r="C1295" t="str">
            <v>CLOSED</v>
          </cell>
          <cell r="D1295" t="str">
            <v>Seasonal</v>
          </cell>
          <cell r="E1295">
            <v>30</v>
          </cell>
          <cell r="F1295" t="str">
            <v>before AW20</v>
          </cell>
          <cell r="G1295" t="str">
            <v>XR Textile</v>
          </cell>
          <cell r="H1295" t="str">
            <v>TOWLB</v>
          </cell>
          <cell r="I1295" t="str">
            <v>GRS Certified* 83% Post Consumer Recycled Polyester (RM0189) 17% Pre Consumer Recycled Polyamide (RM1084)</v>
          </cell>
        </row>
        <row r="1296">
          <cell r="A1296" t="str">
            <v>TOWLB-TED-LG-BLUE</v>
          </cell>
          <cell r="B1296" t="str">
            <v>5.0607E+12</v>
          </cell>
          <cell r="C1296" t="str">
            <v>CLOSED</v>
          </cell>
          <cell r="E1296">
            <v>40</v>
          </cell>
          <cell r="F1296" t="str">
            <v>before AW20</v>
          </cell>
          <cell r="G1296" t="str">
            <v>XR Textile</v>
          </cell>
          <cell r="H1296" t="str">
            <v>TOWLB</v>
          </cell>
          <cell r="I1296" t="str">
            <v>GRS Certified* 83% Post Consumer Recycled Polyester (RM0189) 17% Pre Consumer Recycled Polyamide (RM1084)</v>
          </cell>
        </row>
        <row r="1297">
          <cell r="A1297" t="str">
            <v>TOWLB-TED-LG-GREEN</v>
          </cell>
          <cell r="B1297" t="str">
            <v>5.0607E+12</v>
          </cell>
          <cell r="C1297" t="str">
            <v>CLOSED</v>
          </cell>
          <cell r="E1297">
            <v>40</v>
          </cell>
          <cell r="F1297" t="str">
            <v>before AW20</v>
          </cell>
          <cell r="G1297" t="str">
            <v>XR Textile</v>
          </cell>
          <cell r="H1297" t="str">
            <v>TOWLB</v>
          </cell>
          <cell r="I1297" t="str">
            <v>GRS Certified* 83% Post Consumer Recycled Polyester (RM0189) 17% Pre Consumer Recycled Polyamide (RM1084)</v>
          </cell>
        </row>
        <row r="1298">
          <cell r="A1298" t="str">
            <v>TOWLB-TED-LG-PINK</v>
          </cell>
          <cell r="B1298" t="str">
            <v>5.0607E+12</v>
          </cell>
          <cell r="C1298" t="str">
            <v>CLOSED</v>
          </cell>
          <cell r="E1298">
            <v>40</v>
          </cell>
          <cell r="F1298" t="str">
            <v>before AW20</v>
          </cell>
          <cell r="G1298" t="str">
            <v>XR Textile</v>
          </cell>
          <cell r="H1298" t="str">
            <v>TOWLB</v>
          </cell>
          <cell r="I1298" t="str">
            <v>GRS Certified* 83% Post Consumer Recycled Polyester (RM0189) 17% Pre Consumer Recycled Polyamide (RM1084)</v>
          </cell>
        </row>
        <row r="1299">
          <cell r="A1299" t="str">
            <v>TOWLB-TED-XL-BLUE</v>
          </cell>
          <cell r="B1299" t="str">
            <v>5.0607E+12</v>
          </cell>
          <cell r="C1299" t="str">
            <v>CLOSED</v>
          </cell>
          <cell r="E1299">
            <v>30</v>
          </cell>
          <cell r="F1299" t="str">
            <v>before AW20</v>
          </cell>
          <cell r="G1299" t="str">
            <v>XR Textile</v>
          </cell>
          <cell r="H1299" t="str">
            <v>TOWLB</v>
          </cell>
          <cell r="I1299" t="str">
            <v>GRS Certified* 83% Post Consumer Recycled Polyester (RM0189) 17% Pre Consumer Recycled Polyamide (RM1084)</v>
          </cell>
        </row>
        <row r="1300">
          <cell r="A1300" t="str">
            <v>TOWLB-TED-XL-GREEN</v>
          </cell>
          <cell r="B1300" t="str">
            <v>5.0607E+12</v>
          </cell>
          <cell r="C1300" t="str">
            <v>CLOSED</v>
          </cell>
          <cell r="E1300">
            <v>30</v>
          </cell>
          <cell r="F1300" t="str">
            <v>before AW20</v>
          </cell>
          <cell r="G1300" t="str">
            <v>XR Textile</v>
          </cell>
          <cell r="H1300" t="str">
            <v>TOWLB</v>
          </cell>
          <cell r="I1300" t="str">
            <v>GRS Certified* 83% Post Consumer Recycled Polyester (RM0189) 17% Pre Consumer Recycled Polyamide (RM1084)</v>
          </cell>
        </row>
        <row r="1301">
          <cell r="A1301" t="str">
            <v>TOWLB-TED-XL-PINK</v>
          </cell>
          <cell r="B1301" t="str">
            <v>5.0607E+12</v>
          </cell>
          <cell r="C1301" t="str">
            <v>CLOSED</v>
          </cell>
          <cell r="E1301">
            <v>30</v>
          </cell>
          <cell r="F1301" t="str">
            <v>before AW20</v>
          </cell>
          <cell r="G1301" t="str">
            <v>XR Textile</v>
          </cell>
          <cell r="H1301" t="str">
            <v>TOWLB</v>
          </cell>
          <cell r="I1301" t="str">
            <v>GRS Certified* 83% Post Consumer Recycled Polyester (RM0189) 17% Pre Consumer Recycled Polyamide (RM1084)</v>
          </cell>
        </row>
        <row r="1302">
          <cell r="A1302" t="str">
            <v>TOWLB-TYD-LG-BLUE</v>
          </cell>
          <cell r="B1302" t="str">
            <v>6.5097E+11</v>
          </cell>
          <cell r="C1302" t="str">
            <v>CLOSED</v>
          </cell>
          <cell r="E1302">
            <v>40</v>
          </cell>
          <cell r="F1302" t="str">
            <v>SS23</v>
          </cell>
          <cell r="G1302" t="str">
            <v>XR Textile</v>
          </cell>
          <cell r="H1302" t="str">
            <v>TOWLB</v>
          </cell>
          <cell r="I1302" t="str">
            <v>GRS Certified* 83% Post Consumer Recycled Polyester (RM0189) 17% Pre Consumer Recycled Polyamide (RM1084)</v>
          </cell>
        </row>
        <row r="1303">
          <cell r="A1303" t="str">
            <v>TOWLB-TYD-LG-GREEN</v>
          </cell>
          <cell r="B1303" t="str">
            <v>6.5097E+11</v>
          </cell>
          <cell r="C1303" t="str">
            <v>CLOSED</v>
          </cell>
          <cell r="E1303">
            <v>40</v>
          </cell>
          <cell r="F1303" t="str">
            <v>SS23</v>
          </cell>
          <cell r="G1303" t="str">
            <v>XR Textile</v>
          </cell>
          <cell r="H1303" t="str">
            <v>TOWLB</v>
          </cell>
          <cell r="I1303" t="str">
            <v>GRS Certified* 83% Post Consumer Recycled Polyester (RM0189) 17% Pre Consumer Recycled Polyamide (RM1084)</v>
          </cell>
        </row>
        <row r="1304">
          <cell r="A1304" t="str">
            <v>TOWLB-TYD-LG-NAVY</v>
          </cell>
          <cell r="B1304" t="str">
            <v>6.5097E+11</v>
          </cell>
          <cell r="C1304" t="str">
            <v>CLOSED</v>
          </cell>
          <cell r="E1304">
            <v>40</v>
          </cell>
          <cell r="F1304" t="str">
            <v>SS23</v>
          </cell>
          <cell r="G1304" t="str">
            <v>XR Textile</v>
          </cell>
          <cell r="H1304" t="str">
            <v>TOWLB</v>
          </cell>
          <cell r="I1304" t="str">
            <v>GRS Certified* 83% Post Consumer Recycled Polyester (RM0189) 17% Pre Consumer Recycled Polyamide (RM1084)</v>
          </cell>
        </row>
        <row r="1305">
          <cell r="A1305" t="str">
            <v>TOWLB-TYD-LG-PINK</v>
          </cell>
          <cell r="B1305" t="str">
            <v>6.5097E+11</v>
          </cell>
          <cell r="C1305" t="str">
            <v>CLOSED</v>
          </cell>
          <cell r="E1305">
            <v>40</v>
          </cell>
          <cell r="F1305" t="str">
            <v>SS23</v>
          </cell>
          <cell r="G1305" t="str">
            <v>XR Textile</v>
          </cell>
          <cell r="H1305" t="str">
            <v>TOWLB</v>
          </cell>
          <cell r="I1305" t="str">
            <v>GRS Certified* 83% Post Consumer Recycled Polyester (RM0189) 17% Pre Consumer Recycled Polyamide (RM1084)</v>
          </cell>
        </row>
        <row r="1306">
          <cell r="A1306" t="str">
            <v>TOWLB-TYD-XL-BLUE</v>
          </cell>
          <cell r="B1306" t="str">
            <v>6.5097E+11</v>
          </cell>
          <cell r="C1306" t="str">
            <v>CLOSED</v>
          </cell>
          <cell r="E1306">
            <v>30</v>
          </cell>
          <cell r="F1306" t="str">
            <v>SS23</v>
          </cell>
          <cell r="G1306" t="str">
            <v>XR Textile</v>
          </cell>
          <cell r="H1306" t="str">
            <v>TOWLB</v>
          </cell>
          <cell r="I1306" t="str">
            <v>GRS Certified* 83% Post Consumer Recycled Polyester (RM0189) 17% Pre Consumer Recycled Polyamide (RM1084)</v>
          </cell>
        </row>
        <row r="1307">
          <cell r="A1307" t="str">
            <v>TOWLB-TYD-XL-GREEN</v>
          </cell>
          <cell r="B1307" t="str">
            <v>6.5097E+11</v>
          </cell>
          <cell r="C1307" t="str">
            <v>CLOSED</v>
          </cell>
          <cell r="E1307">
            <v>30</v>
          </cell>
          <cell r="F1307" t="str">
            <v>SS23</v>
          </cell>
          <cell r="G1307" t="str">
            <v>XR Textile</v>
          </cell>
          <cell r="H1307" t="str">
            <v>TOWLB</v>
          </cell>
          <cell r="I1307" t="str">
            <v>GRS Certified* 83% Post Consumer Recycled Polyester (RM0189) 17% Pre Consumer Recycled Polyamide (RM1084)</v>
          </cell>
        </row>
        <row r="1308">
          <cell r="A1308" t="str">
            <v>TOWLB-TYD-XL-NAVY</v>
          </cell>
          <cell r="B1308" t="str">
            <v>6.5097E+11</v>
          </cell>
          <cell r="C1308" t="str">
            <v>CLOSED</v>
          </cell>
          <cell r="E1308">
            <v>30</v>
          </cell>
          <cell r="F1308" t="str">
            <v>SS23</v>
          </cell>
          <cell r="G1308" t="str">
            <v>XR Textile</v>
          </cell>
          <cell r="H1308" t="str">
            <v>TOWLB</v>
          </cell>
          <cell r="I1308" t="str">
            <v>GRS Certified* 83% Post Consumer Recycled Polyester (RM0189) 17% Pre Consumer Recycled Polyamide (RM1084)</v>
          </cell>
        </row>
        <row r="1309">
          <cell r="A1309" t="str">
            <v>TOWLB-TYD-XL-PINK</v>
          </cell>
          <cell r="B1309" t="str">
            <v>6.5097E+11</v>
          </cell>
          <cell r="C1309" t="str">
            <v>CLOSED</v>
          </cell>
          <cell r="E1309">
            <v>30</v>
          </cell>
          <cell r="F1309" t="str">
            <v>SS23</v>
          </cell>
          <cell r="G1309" t="str">
            <v>XR Textile</v>
          </cell>
          <cell r="H1309" t="str">
            <v>TOWLB</v>
          </cell>
          <cell r="I1309" t="str">
            <v>GRS Certified* 83% Post Consumer Recycled Polyester (RM0189) 17% Pre Consumer Recycled Polyamide (RM1084)</v>
          </cell>
        </row>
        <row r="1310">
          <cell r="A1310" t="str">
            <v>TOWLF-CLA-LG-BLUE-R</v>
          </cell>
          <cell r="B1310" t="str">
            <v>5.0607E+12</v>
          </cell>
          <cell r="C1310" t="str">
            <v>CLOSED</v>
          </cell>
          <cell r="E1310">
            <v>40</v>
          </cell>
          <cell r="F1310" t="str">
            <v>before AW20</v>
          </cell>
          <cell r="G1310" t="str">
            <v>XR Textile</v>
          </cell>
          <cell r="H1310" t="str">
            <v>TOWLF</v>
          </cell>
          <cell r="I1310" t="str">
            <v>GRS Certified* 83% Post Consumer Recycled Polyester (RM0189) 17% Pre Consumer Recycled Polyamide (RM1084)</v>
          </cell>
        </row>
        <row r="1311">
          <cell r="A1311" t="str">
            <v>TOWLF-CLA-LG-GREEN-R</v>
          </cell>
          <cell r="B1311" t="str">
            <v>5.0607E+12</v>
          </cell>
          <cell r="C1311" t="str">
            <v>CLOSED</v>
          </cell>
          <cell r="E1311">
            <v>40</v>
          </cell>
          <cell r="F1311" t="str">
            <v>before AW20</v>
          </cell>
          <cell r="G1311" t="str">
            <v>XR Textile</v>
          </cell>
          <cell r="H1311" t="str">
            <v>TOWLF</v>
          </cell>
          <cell r="I1311" t="str">
            <v>GRS Certified* 83% Post Consumer Recycled Polyester (RM0189) 17% Pre Consumer Recycled Polyamide (RM1084)</v>
          </cell>
        </row>
        <row r="1312">
          <cell r="A1312" t="str">
            <v>TOWLF-CLA-LG-PINK-R</v>
          </cell>
          <cell r="B1312" t="str">
            <v>5.0607E+12</v>
          </cell>
          <cell r="C1312" t="str">
            <v>CLOSED</v>
          </cell>
          <cell r="E1312">
            <v>40</v>
          </cell>
          <cell r="G1312" t="str">
            <v>XR Textile</v>
          </cell>
          <cell r="H1312" t="str">
            <v>TOWLF</v>
          </cell>
          <cell r="I1312" t="str">
            <v>GRS Certified* 83% Post Consumer Recycled Polyester (RM0189) 17% Pre Consumer Recycled Polyamide (RM1084)</v>
          </cell>
        </row>
        <row r="1313">
          <cell r="A1313" t="str">
            <v>TOWLF-CLA-LG-PURPL-R</v>
          </cell>
          <cell r="B1313" t="str">
            <v>5.0607E+12</v>
          </cell>
          <cell r="C1313" t="str">
            <v>CLOSED</v>
          </cell>
          <cell r="E1313">
            <v>40</v>
          </cell>
          <cell r="F1313" t="str">
            <v>before AW20</v>
          </cell>
          <cell r="G1313" t="str">
            <v>XR Textile</v>
          </cell>
          <cell r="H1313" t="str">
            <v>TOWLF</v>
          </cell>
          <cell r="I1313" t="str">
            <v>GRS Certified* 83% Post Consumer Recycled Polyester (RM0189) 17% Pre Consumer Recycled Polyamide (RM1084)</v>
          </cell>
        </row>
        <row r="1314">
          <cell r="A1314" t="str">
            <v>TOWLF-CLA-LG-RED-R</v>
          </cell>
          <cell r="B1314" t="str">
            <v>5.0607E+12</v>
          </cell>
          <cell r="C1314" t="str">
            <v>CLOSED</v>
          </cell>
          <cell r="E1314">
            <v>40</v>
          </cell>
          <cell r="F1314" t="str">
            <v>before AW20</v>
          </cell>
          <cell r="G1314" t="str">
            <v>XR Textile</v>
          </cell>
          <cell r="H1314" t="str">
            <v>TOWLF</v>
          </cell>
          <cell r="I1314" t="str">
            <v>GRS Certified* 83% Post Consumer Recycled Polyester (RM0189) 17% Pre Consumer Recycled Polyamide (RM1084)</v>
          </cell>
        </row>
        <row r="1315">
          <cell r="A1315" t="str">
            <v>TOWLF-CLA-SM-BLUE-R</v>
          </cell>
          <cell r="B1315" t="str">
            <v>5.0607E+12</v>
          </cell>
          <cell r="C1315" t="str">
            <v>CLOSED</v>
          </cell>
          <cell r="E1315">
            <v>50</v>
          </cell>
          <cell r="F1315" t="str">
            <v>before AW20</v>
          </cell>
          <cell r="G1315" t="str">
            <v>XR Textile</v>
          </cell>
          <cell r="H1315" t="str">
            <v>TOWLF</v>
          </cell>
          <cell r="I1315" t="str">
            <v>GRS Certified* 83% Post Consumer Recycled Polyester (RM0189) 17% Pre Consumer Recycled Polyamide (RM1084)</v>
          </cell>
        </row>
        <row r="1316">
          <cell r="A1316" t="str">
            <v>TOWLF-CLA-SM-GREEN-R</v>
          </cell>
          <cell r="B1316" t="str">
            <v>5.0607E+12</v>
          </cell>
          <cell r="C1316" t="str">
            <v>CLOSED</v>
          </cell>
          <cell r="E1316">
            <v>50</v>
          </cell>
          <cell r="F1316" t="str">
            <v>before AW20</v>
          </cell>
          <cell r="G1316" t="str">
            <v>XR Textile</v>
          </cell>
          <cell r="H1316" t="str">
            <v>TOWLF</v>
          </cell>
          <cell r="I1316" t="str">
            <v>GRS Certified* 83% Post Consumer Recycled Polyester (RM0189) 17% Pre Consumer Recycled Polyamide (RM1084)</v>
          </cell>
        </row>
        <row r="1317">
          <cell r="A1317" t="str">
            <v>TOWLF-CLA-SM-PINK-R</v>
          </cell>
          <cell r="B1317" t="str">
            <v>5.0607E+12</v>
          </cell>
          <cell r="C1317" t="str">
            <v>CLOSED</v>
          </cell>
          <cell r="E1317">
            <v>50</v>
          </cell>
          <cell r="F1317" t="str">
            <v>before AW20</v>
          </cell>
          <cell r="G1317" t="str">
            <v>XR Textile</v>
          </cell>
          <cell r="H1317" t="str">
            <v>TOWLF</v>
          </cell>
          <cell r="I1317" t="str">
            <v>GRS Certified* 83% Post Consumer Recycled Polyester (RM0189) 17% Pre Consumer Recycled Polyamide (RM1084)</v>
          </cell>
        </row>
        <row r="1318">
          <cell r="A1318" t="str">
            <v>TOWLF-CLA-SM-PURPL-R</v>
          </cell>
          <cell r="B1318" t="str">
            <v>5.0607E+12</v>
          </cell>
          <cell r="C1318" t="str">
            <v>CLOSED</v>
          </cell>
          <cell r="E1318">
            <v>50</v>
          </cell>
          <cell r="F1318" t="str">
            <v>before AW20</v>
          </cell>
          <cell r="G1318" t="str">
            <v>XR Textile</v>
          </cell>
          <cell r="H1318" t="str">
            <v>TOWLF</v>
          </cell>
          <cell r="I1318" t="str">
            <v>GRS Certified* 83% Post Consumer Recycled Polyester (RM0189) 17% Pre Consumer Recycled Polyamide (RM1084)</v>
          </cell>
        </row>
        <row r="1319">
          <cell r="A1319" t="str">
            <v>TOWLF-CLA-SM-RED-R</v>
          </cell>
          <cell r="B1319" t="str">
            <v>5.0607E+12</v>
          </cell>
          <cell r="C1319" t="str">
            <v>CLOSED</v>
          </cell>
          <cell r="E1319">
            <v>50</v>
          </cell>
          <cell r="F1319" t="str">
            <v>before AW20</v>
          </cell>
          <cell r="G1319" t="str">
            <v>XR Textile</v>
          </cell>
          <cell r="H1319" t="str">
            <v>TOWLF</v>
          </cell>
          <cell r="I1319" t="str">
            <v>GRS Certified* 83% Post Consumer Recycled Polyester (RM0189) 17% Pre Consumer Recycled Polyamide (RM1084)</v>
          </cell>
        </row>
        <row r="1320">
          <cell r="A1320" t="str">
            <v>TOWLF-CLA-XL-BLUE-R</v>
          </cell>
          <cell r="B1320" t="str">
            <v>5.0607E+12</v>
          </cell>
          <cell r="C1320" t="str">
            <v>CLOSED</v>
          </cell>
          <cell r="E1320">
            <v>30</v>
          </cell>
          <cell r="F1320" t="str">
            <v>before AW20</v>
          </cell>
          <cell r="G1320" t="str">
            <v>XR Textile</v>
          </cell>
          <cell r="H1320" t="str">
            <v>TOWLF</v>
          </cell>
          <cell r="I1320" t="str">
            <v>GRS Certified* 83% Post Consumer Recycled Polyester (RM0189) 17% Pre Consumer Recycled Polyamide (RM1084)</v>
          </cell>
        </row>
        <row r="1321">
          <cell r="A1321" t="str">
            <v>TOWLF-CLA-XL-GREEN-R</v>
          </cell>
          <cell r="B1321" t="str">
            <v>5.0607E+12</v>
          </cell>
          <cell r="C1321" t="str">
            <v>CLOSED</v>
          </cell>
          <cell r="E1321">
            <v>30</v>
          </cell>
          <cell r="F1321" t="str">
            <v>before AW20</v>
          </cell>
          <cell r="G1321" t="str">
            <v>XR Textile</v>
          </cell>
          <cell r="H1321" t="str">
            <v>TOWLF</v>
          </cell>
          <cell r="I1321" t="str">
            <v>GRS Certified* 83% Post Consumer Recycled Polyester (RM0189) 17% Pre Consumer Recycled Polyamide (RM1084)</v>
          </cell>
        </row>
        <row r="1322">
          <cell r="A1322" t="str">
            <v>TOWLF-CLA-XL-PINK-R</v>
          </cell>
          <cell r="B1322" t="str">
            <v>5.0607E+12</v>
          </cell>
          <cell r="C1322" t="str">
            <v>CLOSED</v>
          </cell>
          <cell r="E1322">
            <v>30</v>
          </cell>
          <cell r="F1322" t="str">
            <v>before AW20</v>
          </cell>
          <cell r="G1322" t="str">
            <v>XR Textile</v>
          </cell>
          <cell r="H1322" t="str">
            <v>TOWLF</v>
          </cell>
          <cell r="I1322" t="str">
            <v>GRS Certified* 83% Post Consumer Recycled Polyester (RM0189) 17% Pre Consumer Recycled Polyamide (RM1084)</v>
          </cell>
        </row>
        <row r="1323">
          <cell r="A1323" t="str">
            <v>TOWLF-CLA-XL-PURPL-R</v>
          </cell>
          <cell r="B1323" t="str">
            <v>5.0607E+12</v>
          </cell>
          <cell r="C1323" t="str">
            <v>CLOSED</v>
          </cell>
          <cell r="E1323">
            <v>30</v>
          </cell>
          <cell r="F1323" t="str">
            <v>before AW20</v>
          </cell>
          <cell r="G1323" t="str">
            <v>XR Textile</v>
          </cell>
          <cell r="H1323" t="str">
            <v>TOWLF</v>
          </cell>
          <cell r="I1323" t="str">
            <v>GRS Certified* 83% Post Consumer Recycled Polyester (RM0189) 17% Pre Consumer Recycled Polyamide (RM1084)</v>
          </cell>
        </row>
        <row r="1324">
          <cell r="A1324" t="str">
            <v>TOWLF-CLA-XL-RED-R</v>
          </cell>
          <cell r="B1324" t="str">
            <v>5.0607E+12</v>
          </cell>
          <cell r="C1324" t="str">
            <v>CLOSED</v>
          </cell>
          <cell r="E1324">
            <v>30</v>
          </cell>
          <cell r="F1324" t="str">
            <v>before AW20</v>
          </cell>
          <cell r="G1324" t="str">
            <v>XR Textile</v>
          </cell>
          <cell r="H1324" t="str">
            <v>TOWLF</v>
          </cell>
          <cell r="I1324" t="str">
            <v>GRS Certified* 83% Post Consumer Recycled Polyester (RM0189) 17% Pre Consumer Recycled Polyamide (RM1084)</v>
          </cell>
        </row>
        <row r="1325">
          <cell r="A1325" t="str">
            <v>TOWLF-ESS-SM-BLUE-R</v>
          </cell>
          <cell r="B1325" t="str">
            <v>5.0607E+12</v>
          </cell>
          <cell r="C1325" t="str">
            <v>CLOSED</v>
          </cell>
          <cell r="D1325" t="str">
            <v>Core</v>
          </cell>
          <cell r="E1325">
            <v>50</v>
          </cell>
          <cell r="F1325" t="str">
            <v>before AW20</v>
          </cell>
          <cell r="G1325" t="str">
            <v>XR Textile</v>
          </cell>
          <cell r="H1325" t="str">
            <v>TOWLF</v>
          </cell>
          <cell r="I1325" t="str">
            <v>GRS Certified* 83% Post Consumer Recycled Polyester (RM0189) 17% Pre Consumer Recycled Polyamide (RM1084)</v>
          </cell>
        </row>
        <row r="1326">
          <cell r="A1326" t="str">
            <v>TOWLF-ESS-SM-DKBLU</v>
          </cell>
          <cell r="B1326" t="str">
            <v>5.0607E+12</v>
          </cell>
          <cell r="C1326" t="str">
            <v>CLOSED</v>
          </cell>
          <cell r="D1326" t="str">
            <v>Core</v>
          </cell>
          <cell r="E1326">
            <v>50</v>
          </cell>
          <cell r="F1326" t="str">
            <v>SS23</v>
          </cell>
          <cell r="G1326" t="str">
            <v>XR Textile</v>
          </cell>
          <cell r="H1326" t="str">
            <v>TOWLF</v>
          </cell>
          <cell r="I1326" t="str">
            <v>GRS Certified* 83% Post Consumer Recycled Polyester (RM0189) 17% Pre Consumer Recycled Polyamide (RM1084)</v>
          </cell>
        </row>
        <row r="1327">
          <cell r="A1327" t="str">
            <v>TOWLF-ESS-SM-GREEN-R</v>
          </cell>
          <cell r="B1327" t="str">
            <v>5.0607E+12</v>
          </cell>
          <cell r="C1327" t="str">
            <v>CLOSED</v>
          </cell>
          <cell r="D1327" t="str">
            <v>Core</v>
          </cell>
          <cell r="E1327">
            <v>50</v>
          </cell>
          <cell r="F1327" t="str">
            <v>before AW20</v>
          </cell>
          <cell r="G1327" t="str">
            <v>XR Textile</v>
          </cell>
          <cell r="H1327" t="str">
            <v>TOWLF</v>
          </cell>
          <cell r="I1327" t="str">
            <v>GRS Certified* 83% Post Consumer Recycled Polyester (RM0189) 17% Pre Consumer Recycled Polyamide (RM1084)</v>
          </cell>
        </row>
        <row r="1328">
          <cell r="A1328" t="str">
            <v>TOWLF-ESS-SM-GREY-R</v>
          </cell>
          <cell r="B1328" t="str">
            <v>5.0607E+12</v>
          </cell>
          <cell r="C1328" t="str">
            <v>CLOSED</v>
          </cell>
          <cell r="D1328" t="str">
            <v>Core</v>
          </cell>
          <cell r="E1328">
            <v>50</v>
          </cell>
          <cell r="F1328" t="str">
            <v>before AW20</v>
          </cell>
          <cell r="G1328" t="str">
            <v>XR Textile</v>
          </cell>
          <cell r="H1328" t="str">
            <v>TOWLF</v>
          </cell>
          <cell r="I1328" t="str">
            <v>GRS Certified* 83% Post Consumer Recycled Polyester (RM0189) 17% Pre Consumer Recycled Polyamide (RM1084)</v>
          </cell>
        </row>
        <row r="1329">
          <cell r="A1329" t="str">
            <v>TOWLF-ESS-SM-LTPPL</v>
          </cell>
          <cell r="B1329" t="str">
            <v>5.0607E+12</v>
          </cell>
          <cell r="C1329" t="str">
            <v>CLOSED</v>
          </cell>
          <cell r="D1329" t="str">
            <v>Core</v>
          </cell>
          <cell r="E1329">
            <v>50</v>
          </cell>
          <cell r="F1329" t="str">
            <v>SS22</v>
          </cell>
          <cell r="G1329" t="str">
            <v>XR Textile</v>
          </cell>
          <cell r="H1329" t="str">
            <v>TOWLF</v>
          </cell>
          <cell r="I1329" t="str">
            <v>GRS Certified* 83% Post Consumer Recycled Polyester (RM0189) 17% Pre Consumer Recycled Polyamide (RM1084)</v>
          </cell>
        </row>
        <row r="1330">
          <cell r="A1330" t="str">
            <v>TOWLF-ESS-SM-PINK-R</v>
          </cell>
          <cell r="B1330" t="str">
            <v>5.0607E+12</v>
          </cell>
          <cell r="C1330" t="str">
            <v>CLOSED</v>
          </cell>
          <cell r="D1330" t="str">
            <v>Core</v>
          </cell>
          <cell r="E1330">
            <v>50</v>
          </cell>
          <cell r="F1330" t="str">
            <v>before AW20</v>
          </cell>
          <cell r="G1330" t="str">
            <v>XR Textile</v>
          </cell>
          <cell r="H1330" t="str">
            <v>TOWLF</v>
          </cell>
          <cell r="I1330" t="str">
            <v>GRS Certified* 83% Post Consumer Recycled Polyester (RM0189) 17% Pre Consumer Recycled Polyamide (RM1084)</v>
          </cell>
        </row>
        <row r="1331">
          <cell r="A1331" t="str">
            <v>TOWLH-GEO-LG-NAVY</v>
          </cell>
          <cell r="B1331" t="str">
            <v>5.0607E+12</v>
          </cell>
          <cell r="C1331" t="str">
            <v>CLOSED</v>
          </cell>
          <cell r="E1331">
            <v>20</v>
          </cell>
          <cell r="F1331" t="str">
            <v>AW23</v>
          </cell>
          <cell r="G1331" t="str">
            <v>XR Textile</v>
          </cell>
          <cell r="H1331" t="str">
            <v>TOWLH</v>
          </cell>
          <cell r="I1331" t="str">
            <v>GRS Certified* 83% Post Consumer Recycled Polyester (RM0189) 17% Pre Consumer Recycled Polyamide (RM1084)</v>
          </cell>
        </row>
        <row r="1332">
          <cell r="A1332" t="str">
            <v>TOWLH-GEO-SM-PARAD</v>
          </cell>
          <cell r="B1332" t="str">
            <v>5.0607E+12</v>
          </cell>
          <cell r="C1332" t="str">
            <v>CLOSED</v>
          </cell>
          <cell r="E1332">
            <v>50</v>
          </cell>
          <cell r="F1332" t="str">
            <v>AW23</v>
          </cell>
          <cell r="G1332" t="str">
            <v>XR Textile</v>
          </cell>
          <cell r="H1332" t="str">
            <v>TOWLH</v>
          </cell>
          <cell r="I1332" t="str">
            <v>GRS Certified* 83% Post Consumer Recycled Polyester (RM0189) 17% Pre Consumer Recycled Polyamide (RM1084)</v>
          </cell>
        </row>
        <row r="1333">
          <cell r="A1333" t="str">
            <v>TOWLH-GEO-SM-SAGE</v>
          </cell>
          <cell r="B1333" t="str">
            <v>5.0607E+12</v>
          </cell>
          <cell r="C1333" t="str">
            <v>CLOSED</v>
          </cell>
          <cell r="E1333">
            <v>50</v>
          </cell>
          <cell r="F1333" t="str">
            <v>AW23</v>
          </cell>
          <cell r="G1333" t="str">
            <v>XR Textile</v>
          </cell>
          <cell r="H1333" t="str">
            <v>TOWLH</v>
          </cell>
          <cell r="I1333" t="str">
            <v>GRS Certified* 83% Post Consumer Recycled Polyester (RM0189) 17% Pre Consumer Recycled Polyamide (RM1084)</v>
          </cell>
        </row>
        <row r="1334">
          <cell r="A1334" t="str">
            <v>TOWLH-HID-LG-BLACK</v>
          </cell>
          <cell r="B1334" t="str">
            <v>5.0607E+12</v>
          </cell>
          <cell r="C1334" t="str">
            <v>CLOSED</v>
          </cell>
          <cell r="E1334">
            <v>20</v>
          </cell>
          <cell r="F1334" t="str">
            <v>AW22</v>
          </cell>
          <cell r="G1334" t="str">
            <v>XR Textile</v>
          </cell>
          <cell r="H1334" t="str">
            <v>TOWLH</v>
          </cell>
          <cell r="I1334" t="str">
            <v>GRS Certified* 83% Post Consumer Recycled Polyester (RM0189) 17% Pre Consumer Recycled Polyamide (RM1084)</v>
          </cell>
        </row>
        <row r="1335">
          <cell r="A1335" t="str">
            <v>TOWLH-HID-LG-BLUE</v>
          </cell>
          <cell r="B1335" t="str">
            <v>5.0607E+12</v>
          </cell>
          <cell r="C1335" t="str">
            <v>CLOSED</v>
          </cell>
          <cell r="E1335">
            <v>20</v>
          </cell>
          <cell r="F1335" t="str">
            <v>AW22</v>
          </cell>
          <cell r="G1335" t="str">
            <v>XR Textile</v>
          </cell>
          <cell r="H1335" t="str">
            <v>TOWLH</v>
          </cell>
          <cell r="I1335" t="str">
            <v>GRS Certified* 83% Post Consumer Recycled Polyester (RM0189) 17% Pre Consumer Recycled Polyamide (RM1084)</v>
          </cell>
        </row>
        <row r="1336">
          <cell r="A1336" t="str">
            <v>TOWLH-HID-LG-GREEN</v>
          </cell>
          <cell r="B1336" t="str">
            <v>5.0607E+12</v>
          </cell>
          <cell r="C1336" t="str">
            <v>CLOSED</v>
          </cell>
          <cell r="E1336">
            <v>20</v>
          </cell>
          <cell r="F1336" t="str">
            <v>AW22</v>
          </cell>
          <cell r="G1336" t="str">
            <v>XR Textile</v>
          </cell>
          <cell r="H1336" t="str">
            <v>TOWLH</v>
          </cell>
          <cell r="I1336" t="str">
            <v>GRS Certified* 83% Post Consumer Recycled Polyester (RM0189) 17% Pre Consumer Recycled Polyamide (RM1084)</v>
          </cell>
        </row>
        <row r="1337">
          <cell r="A1337" t="str">
            <v>TOWLH-HID-SM-BLACK</v>
          </cell>
          <cell r="B1337" t="str">
            <v>5.0607E+12</v>
          </cell>
          <cell r="C1337" t="str">
            <v>CLOSED</v>
          </cell>
          <cell r="E1337">
            <v>50</v>
          </cell>
          <cell r="F1337" t="str">
            <v>AW22</v>
          </cell>
          <cell r="G1337" t="str">
            <v>XR Textile</v>
          </cell>
          <cell r="H1337" t="str">
            <v>TOWLH</v>
          </cell>
          <cell r="I1337" t="str">
            <v>GRS Certified* 83% Post Consumer Recycled Polyester (RM0189) 17% Pre Consumer Recycled Polyamide (RM1084)</v>
          </cell>
        </row>
        <row r="1338">
          <cell r="A1338" t="str">
            <v>TOWLH-HID-SM-BLUE</v>
          </cell>
          <cell r="B1338" t="str">
            <v>5.0607E+12</v>
          </cell>
          <cell r="C1338" t="str">
            <v>CLOSED</v>
          </cell>
          <cell r="E1338">
            <v>50</v>
          </cell>
          <cell r="F1338" t="str">
            <v>AW22</v>
          </cell>
          <cell r="G1338" t="str">
            <v>XR Textile</v>
          </cell>
          <cell r="H1338" t="str">
            <v>TOWLH</v>
          </cell>
          <cell r="I1338" t="str">
            <v>GRS Certified* 83% Post Consumer Recycled Polyester (RM0189) 17% Pre Consumer Recycled Polyamide (RM1084)</v>
          </cell>
        </row>
        <row r="1339">
          <cell r="A1339" t="str">
            <v>TOWLH-HID-XL-BLACK</v>
          </cell>
          <cell r="B1339" t="str">
            <v>5.0607E+12</v>
          </cell>
          <cell r="C1339" t="str">
            <v>CLOSED</v>
          </cell>
          <cell r="E1339">
            <v>20</v>
          </cell>
          <cell r="F1339" t="str">
            <v>AW22</v>
          </cell>
          <cell r="G1339" t="str">
            <v>XR Textile</v>
          </cell>
          <cell r="H1339" t="str">
            <v>TOWLH</v>
          </cell>
          <cell r="I1339" t="str">
            <v>GRS Certified* 83% Post Consumer Recycled Polyester (RM0189) 17% Pre Consumer Recycled Polyamide (RM1084)</v>
          </cell>
        </row>
        <row r="1340">
          <cell r="A1340" t="str">
            <v>TOWLH-HID-XL-BLUE</v>
          </cell>
          <cell r="B1340" t="str">
            <v>5.0607E+12</v>
          </cell>
          <cell r="C1340" t="str">
            <v>CLOSED</v>
          </cell>
          <cell r="E1340">
            <v>20</v>
          </cell>
          <cell r="F1340" t="str">
            <v>AW22</v>
          </cell>
          <cell r="G1340" t="str">
            <v>XR Textile</v>
          </cell>
          <cell r="H1340" t="str">
            <v>TOWLH</v>
          </cell>
          <cell r="I1340" t="str">
            <v>GRS Certified* 83% Post Consumer Recycled Polyester (RM0189) 17% Pre Consumer Recycled Polyamide (RM1084)</v>
          </cell>
        </row>
        <row r="1341">
          <cell r="A1341" t="str">
            <v>TOWLH-HID-XL-GREEN</v>
          </cell>
          <cell r="B1341" t="str">
            <v>5.0607E+12</v>
          </cell>
          <cell r="C1341" t="str">
            <v>CLOSED</v>
          </cell>
          <cell r="E1341">
            <v>20</v>
          </cell>
          <cell r="F1341" t="str">
            <v>AW22</v>
          </cell>
          <cell r="G1341" t="str">
            <v>XR Textile</v>
          </cell>
          <cell r="H1341" t="str">
            <v>TOWLH</v>
          </cell>
          <cell r="I1341" t="str">
            <v>GRS Certified* 83% Post Consumer Recycled Polyester (RM0189) 17% Pre Consumer Recycled Polyamide (RM1084)</v>
          </cell>
        </row>
        <row r="1342">
          <cell r="A1342" t="str">
            <v>TOWLH-HOM-LG-LTBLU</v>
          </cell>
          <cell r="B1342" t="str">
            <v>5.0607E+12</v>
          </cell>
          <cell r="C1342" t="str">
            <v>CLOSED</v>
          </cell>
          <cell r="E1342">
            <v>20</v>
          </cell>
          <cell r="F1342" t="str">
            <v>before AW20</v>
          </cell>
          <cell r="G1342" t="str">
            <v>XR Textile</v>
          </cell>
          <cell r="H1342" t="str">
            <v>TOWLH</v>
          </cell>
          <cell r="I1342" t="str">
            <v>GRS Certified* 83% Post Consumer Recycled Polyester (RM0189) 17% Pre Consumer Recycled Polyamide (RM1084)</v>
          </cell>
        </row>
        <row r="1343">
          <cell r="A1343" t="str">
            <v>TOWLH-HOM-LG-LTBLU-R</v>
          </cell>
          <cell r="B1343" t="str">
            <v>5.0607E+12</v>
          </cell>
          <cell r="C1343" t="str">
            <v>CLOSED</v>
          </cell>
          <cell r="E1343">
            <v>20</v>
          </cell>
          <cell r="F1343" t="str">
            <v>AW20</v>
          </cell>
          <cell r="G1343" t="str">
            <v>XR Textile</v>
          </cell>
          <cell r="H1343" t="str">
            <v>TOWLH</v>
          </cell>
          <cell r="I1343" t="str">
            <v>GRS Certified* 83% Post Consumer Recycled Polyester (RM0189) 17% Pre Consumer Recycled Polyamide (RM1084)</v>
          </cell>
        </row>
        <row r="1344">
          <cell r="A1344" t="str">
            <v>TOWLH-HOM-LG-LTGRN</v>
          </cell>
          <cell r="B1344" t="str">
            <v>5.0607E+12</v>
          </cell>
          <cell r="C1344" t="str">
            <v>CLOSED</v>
          </cell>
          <cell r="E1344">
            <v>20</v>
          </cell>
          <cell r="F1344" t="str">
            <v>before AW20</v>
          </cell>
          <cell r="G1344" t="str">
            <v>XR Textile</v>
          </cell>
          <cell r="H1344" t="str">
            <v>TOWLH</v>
          </cell>
          <cell r="I1344" t="str">
            <v>GRS Certified* 83% Post Consumer Recycled Polyester (RM0189) 17% Pre Consumer Recycled Polyamide (RM1084)</v>
          </cell>
        </row>
        <row r="1345">
          <cell r="A1345" t="str">
            <v>TOWLH-HOM-LG-LTGRN-R</v>
          </cell>
          <cell r="B1345" t="str">
            <v>5.0607E+12</v>
          </cell>
          <cell r="C1345" t="str">
            <v>CLOSED</v>
          </cell>
          <cell r="E1345">
            <v>20</v>
          </cell>
          <cell r="F1345" t="str">
            <v>AW20</v>
          </cell>
          <cell r="G1345" t="str">
            <v>XR Textile</v>
          </cell>
          <cell r="H1345" t="str">
            <v>TOWLH</v>
          </cell>
          <cell r="I1345" t="str">
            <v>GRS Certified* 83% Post Consumer Recycled Polyester (RM0189) 17% Pre Consumer Recycled Polyamide (RM1084)</v>
          </cell>
        </row>
        <row r="1346">
          <cell r="A1346" t="str">
            <v>TOWLH-HOM-LG-LTPNK</v>
          </cell>
          <cell r="B1346" t="str">
            <v>5.0607E+12</v>
          </cell>
          <cell r="C1346" t="str">
            <v>CLOSED</v>
          </cell>
          <cell r="E1346">
            <v>20</v>
          </cell>
          <cell r="F1346" t="str">
            <v>before AW20</v>
          </cell>
          <cell r="G1346" t="str">
            <v>XR Textile</v>
          </cell>
          <cell r="H1346" t="str">
            <v>TOWLH</v>
          </cell>
          <cell r="I1346" t="str">
            <v>GRS Certified* 83% Post Consumer Recycled Polyester (RM0189) 17% Pre Consumer Recycled Polyamide (RM1084)</v>
          </cell>
        </row>
        <row r="1347">
          <cell r="A1347" t="str">
            <v>TOWLH-HOM-LG-LTPNK-R</v>
          </cell>
          <cell r="B1347" t="str">
            <v>5.0607E+12</v>
          </cell>
          <cell r="C1347" t="str">
            <v>CLOSED</v>
          </cell>
          <cell r="E1347">
            <v>20</v>
          </cell>
          <cell r="F1347" t="str">
            <v>AW20</v>
          </cell>
          <cell r="G1347" t="str">
            <v>XR Textile</v>
          </cell>
          <cell r="H1347" t="str">
            <v>TOWLH</v>
          </cell>
          <cell r="I1347" t="str">
            <v>GRS Certified* 83% Post Consumer Recycled Polyester (RM0189) 17% Pre Consumer Recycled Polyamide (RM1084)</v>
          </cell>
        </row>
        <row r="1348">
          <cell r="A1348" t="str">
            <v>TOWLH-HOM-LG-NAVY</v>
          </cell>
          <cell r="B1348" t="str">
            <v>5.0607E+12</v>
          </cell>
          <cell r="C1348" t="str">
            <v>CLOSED</v>
          </cell>
          <cell r="E1348">
            <v>20</v>
          </cell>
          <cell r="F1348" t="str">
            <v>before AW20</v>
          </cell>
          <cell r="G1348" t="str">
            <v>XR Textile</v>
          </cell>
          <cell r="H1348" t="str">
            <v>TOWLH</v>
          </cell>
          <cell r="I1348" t="str">
            <v>GRS Certified* 83% Post Consumer Recycled Polyester (RM0189) 17% Pre Consumer Recycled Polyamide (RM1084)</v>
          </cell>
        </row>
        <row r="1349">
          <cell r="A1349" t="str">
            <v>TOWLH-HOM-LG-NAVY-R</v>
          </cell>
          <cell r="B1349" t="str">
            <v>5.0607E+12</v>
          </cell>
          <cell r="C1349" t="str">
            <v>CLOSED</v>
          </cell>
          <cell r="E1349">
            <v>20</v>
          </cell>
          <cell r="F1349" t="str">
            <v>AW20</v>
          </cell>
          <cell r="G1349" t="str">
            <v>XR Textile</v>
          </cell>
          <cell r="H1349" t="str">
            <v>TOWLH</v>
          </cell>
          <cell r="I1349" t="str">
            <v>GRS Certified* 83% Post Consumer Recycled Polyester (RM0189) 17% Pre Consumer Recycled Polyamide (RM1084)</v>
          </cell>
        </row>
        <row r="1350">
          <cell r="A1350" t="str">
            <v>TOWLH-HOM-LG-TERRA</v>
          </cell>
          <cell r="B1350" t="str">
            <v>5.0607E+12</v>
          </cell>
          <cell r="C1350" t="str">
            <v>CLOSED</v>
          </cell>
          <cell r="E1350">
            <v>20</v>
          </cell>
          <cell r="F1350" t="str">
            <v>before AW20</v>
          </cell>
          <cell r="G1350" t="str">
            <v>XR Textile</v>
          </cell>
          <cell r="H1350" t="str">
            <v>TOWLH</v>
          </cell>
          <cell r="I1350" t="str">
            <v>GRS Certified* 83% Post Consumer Recycled Polyester (RM0189) 17% Pre Consumer Recycled Polyamide (RM1084)</v>
          </cell>
        </row>
        <row r="1351">
          <cell r="A1351" t="str">
            <v>TOWLH-HOM-LG-TERRA-R</v>
          </cell>
          <cell r="B1351" t="str">
            <v>5.0607E+12</v>
          </cell>
          <cell r="C1351" t="str">
            <v>CLOSED</v>
          </cell>
          <cell r="E1351">
            <v>20</v>
          </cell>
          <cell r="F1351" t="str">
            <v>AW20</v>
          </cell>
          <cell r="G1351" t="str">
            <v>XR Textile</v>
          </cell>
          <cell r="H1351" t="str">
            <v>TOWLH</v>
          </cell>
          <cell r="I1351" t="str">
            <v>GRS Certified* 83% Post Consumer Recycled Polyester (RM0189) 17% Pre Consumer Recycled Polyamide (RM1084)</v>
          </cell>
        </row>
        <row r="1352">
          <cell r="A1352" t="str">
            <v>TOWLH-HOM-LG-WHITE</v>
          </cell>
          <cell r="B1352" t="str">
            <v>5.0607E+12</v>
          </cell>
          <cell r="C1352" t="str">
            <v>CLOSED</v>
          </cell>
          <cell r="E1352">
            <v>20</v>
          </cell>
          <cell r="F1352" t="str">
            <v>before AW20</v>
          </cell>
          <cell r="G1352" t="str">
            <v>XR Textile</v>
          </cell>
          <cell r="H1352" t="str">
            <v>TOWLH</v>
          </cell>
          <cell r="I1352" t="str">
            <v>GRS Certified* 83% Post Consumer Recycled Polyester (RM0189) 17% Pre Consumer Recycled Polyamide (RM1084)</v>
          </cell>
        </row>
        <row r="1353">
          <cell r="A1353" t="str">
            <v>TOWLH-HOM-LG-WHITE-R</v>
          </cell>
          <cell r="B1353" t="str">
            <v>5.0607E+12</v>
          </cell>
          <cell r="C1353" t="str">
            <v>CLOSED</v>
          </cell>
          <cell r="E1353">
            <v>20</v>
          </cell>
          <cell r="F1353" t="str">
            <v>AW20</v>
          </cell>
          <cell r="G1353" t="str">
            <v>XR Textile</v>
          </cell>
          <cell r="H1353" t="str">
            <v>TOWLH</v>
          </cell>
          <cell r="I1353" t="str">
            <v>GRS Certified* 83% Post Consumer Recycled Polyester (RM0189) 17% Pre Consumer Recycled Polyamide (RM1084)</v>
          </cell>
        </row>
        <row r="1354">
          <cell r="A1354" t="str">
            <v>TOWLH-HOM-SM-LTBLU</v>
          </cell>
          <cell r="B1354" t="str">
            <v>5.0607E+12</v>
          </cell>
          <cell r="C1354" t="str">
            <v>CLOSED</v>
          </cell>
          <cell r="E1354">
            <v>50</v>
          </cell>
          <cell r="F1354" t="str">
            <v>AW20</v>
          </cell>
          <cell r="G1354" t="str">
            <v>XR Textile</v>
          </cell>
          <cell r="H1354" t="str">
            <v>TOWLH</v>
          </cell>
          <cell r="I1354" t="str">
            <v>GRS Certified* 83% Post Consumer Recycled Polyester (RM0189) 17% Pre Consumer Recycled Polyamide (RM1084)</v>
          </cell>
        </row>
        <row r="1355">
          <cell r="A1355" t="str">
            <v>TOWLH-HOM-SM-LTGRN</v>
          </cell>
          <cell r="B1355" t="str">
            <v>5.0607E+12</v>
          </cell>
          <cell r="C1355" t="str">
            <v>CLOSED</v>
          </cell>
          <cell r="E1355">
            <v>50</v>
          </cell>
          <cell r="F1355" t="str">
            <v>AW20</v>
          </cell>
          <cell r="G1355" t="str">
            <v>XR Textile</v>
          </cell>
          <cell r="H1355" t="str">
            <v>TOWLH</v>
          </cell>
          <cell r="I1355" t="str">
            <v>GRS Certified* 83% Post Consumer Recycled Polyester (RM0189) 17% Pre Consumer Recycled Polyamide (RM1084)</v>
          </cell>
        </row>
        <row r="1356">
          <cell r="A1356" t="str">
            <v>TOWLH-HOM-SM-LTPNK</v>
          </cell>
          <cell r="B1356" t="str">
            <v>5.0607E+12</v>
          </cell>
          <cell r="C1356" t="str">
            <v>CLOSED</v>
          </cell>
          <cell r="E1356">
            <v>50</v>
          </cell>
          <cell r="F1356" t="str">
            <v>AW20</v>
          </cell>
          <cell r="G1356" t="str">
            <v>XR Textile</v>
          </cell>
          <cell r="H1356" t="str">
            <v>TOWLH</v>
          </cell>
          <cell r="I1356" t="str">
            <v>GRS Certified* 83% Post Consumer Recycled Polyester (RM0189) 17% Pre Consumer Recycled Polyamide (RM1084)</v>
          </cell>
        </row>
        <row r="1357">
          <cell r="A1357" t="str">
            <v>TOWLH-HOM-SM-NAVY</v>
          </cell>
          <cell r="B1357" t="str">
            <v>5.0607E+12</v>
          </cell>
          <cell r="C1357" t="str">
            <v>CLOSED</v>
          </cell>
          <cell r="E1357">
            <v>50</v>
          </cell>
          <cell r="F1357" t="str">
            <v>AW20</v>
          </cell>
          <cell r="G1357" t="str">
            <v>XR Textile</v>
          </cell>
          <cell r="H1357" t="str">
            <v>TOWLH</v>
          </cell>
          <cell r="I1357" t="str">
            <v>GRS Certified* 83% Post Consumer Recycled Polyester (RM0189) 17% Pre Consumer Recycled Polyamide (RM1084)</v>
          </cell>
        </row>
        <row r="1358">
          <cell r="A1358" t="str">
            <v>TOWLH-HOM-SM-WHITE</v>
          </cell>
          <cell r="B1358" t="str">
            <v>5.0607E+12</v>
          </cell>
          <cell r="C1358" t="str">
            <v>CLOSED</v>
          </cell>
          <cell r="E1358">
            <v>50</v>
          </cell>
          <cell r="F1358" t="str">
            <v>AW20</v>
          </cell>
          <cell r="G1358" t="str">
            <v>XR Textile</v>
          </cell>
          <cell r="H1358" t="str">
            <v>TOWLH</v>
          </cell>
          <cell r="I1358" t="str">
            <v>GRS Certified* 83% Post Consumer Recycled Polyester (RM0189) 17% Pre Consumer Recycled Polyamide (RM1084)</v>
          </cell>
        </row>
        <row r="1359">
          <cell r="A1359" t="str">
            <v>TOWLH-HOM-XL-LTBLU</v>
          </cell>
          <cell r="B1359" t="str">
            <v>5.0607E+12</v>
          </cell>
          <cell r="C1359" t="str">
            <v>CLOSED</v>
          </cell>
          <cell r="E1359">
            <v>20</v>
          </cell>
          <cell r="F1359" t="str">
            <v>before AW20</v>
          </cell>
          <cell r="G1359" t="str">
            <v>XR Textile</v>
          </cell>
          <cell r="H1359" t="str">
            <v>TOWLH</v>
          </cell>
          <cell r="I1359" t="str">
            <v>GRS Certified* 83% Post Consumer Recycled Polyester (RM0189) 17% Pre Consumer Recycled Polyamide (RM1084)</v>
          </cell>
        </row>
        <row r="1360">
          <cell r="A1360" t="str">
            <v>TOWLH-HOM-XL-LTBLU-R</v>
          </cell>
          <cell r="B1360" t="str">
            <v>5.0607E+12</v>
          </cell>
          <cell r="C1360" t="str">
            <v>CLOSED</v>
          </cell>
          <cell r="E1360">
            <v>20</v>
          </cell>
          <cell r="F1360" t="str">
            <v>AW20</v>
          </cell>
          <cell r="G1360" t="str">
            <v>XR Textile</v>
          </cell>
          <cell r="H1360" t="str">
            <v>TOWLH</v>
          </cell>
          <cell r="I1360" t="str">
            <v>GRS Certified* 83% Post Consumer Recycled Polyester (RM0189) 17% Pre Consumer Recycled Polyamide (RM1084)</v>
          </cell>
        </row>
        <row r="1361">
          <cell r="A1361" t="str">
            <v>TOWLH-HOM-XL-LTGRN</v>
          </cell>
          <cell r="B1361" t="str">
            <v>5.0607E+12</v>
          </cell>
          <cell r="C1361" t="str">
            <v>CLOSED</v>
          </cell>
          <cell r="E1361">
            <v>20</v>
          </cell>
          <cell r="F1361" t="str">
            <v>before AW20</v>
          </cell>
          <cell r="G1361" t="str">
            <v>XR Textile</v>
          </cell>
          <cell r="H1361" t="str">
            <v>TOWLH</v>
          </cell>
          <cell r="I1361" t="str">
            <v>GRS Certified* 83% Post Consumer Recycled Polyester (RM0189) 17% Pre Consumer Recycled Polyamide (RM1084)</v>
          </cell>
        </row>
        <row r="1362">
          <cell r="A1362" t="str">
            <v>TOWLH-HOM-XL-LTGRN-R</v>
          </cell>
          <cell r="B1362" t="str">
            <v>5.0607E+12</v>
          </cell>
          <cell r="C1362" t="str">
            <v>CLOSED</v>
          </cell>
          <cell r="E1362">
            <v>20</v>
          </cell>
          <cell r="F1362" t="str">
            <v>AW20</v>
          </cell>
          <cell r="G1362" t="str">
            <v>XR Textile</v>
          </cell>
          <cell r="H1362" t="str">
            <v>TOWLH</v>
          </cell>
          <cell r="I1362" t="str">
            <v>GRS Certified* 83% Post Consumer Recycled Polyester (RM0189) 17% Pre Consumer Recycled Polyamide (RM1084)</v>
          </cell>
        </row>
        <row r="1363">
          <cell r="A1363" t="str">
            <v>TOWLH-HOM-XL-LTPNK</v>
          </cell>
          <cell r="B1363" t="str">
            <v>5.0607E+12</v>
          </cell>
          <cell r="C1363" t="str">
            <v>CLOSED</v>
          </cell>
          <cell r="E1363">
            <v>20</v>
          </cell>
          <cell r="F1363" t="str">
            <v>before AW20</v>
          </cell>
          <cell r="G1363" t="str">
            <v>XR Textile</v>
          </cell>
          <cell r="H1363" t="str">
            <v>TOWLH</v>
          </cell>
          <cell r="I1363" t="str">
            <v>GRS Certified* 83% Post Consumer Recycled Polyester (RM0189) 17% Pre Consumer Recycled Polyamide (RM1084)</v>
          </cell>
        </row>
        <row r="1364">
          <cell r="A1364" t="str">
            <v>TOWLH-HOM-XL-LTPNK-R</v>
          </cell>
          <cell r="B1364" t="str">
            <v>5.0607E+12</v>
          </cell>
          <cell r="C1364" t="str">
            <v>CLOSED</v>
          </cell>
          <cell r="E1364">
            <v>20</v>
          </cell>
          <cell r="F1364" t="str">
            <v>AW20</v>
          </cell>
          <cell r="G1364" t="str">
            <v>XR Textile</v>
          </cell>
          <cell r="H1364" t="str">
            <v>TOWLH</v>
          </cell>
          <cell r="I1364" t="str">
            <v>GRS Certified* 83% Post Consumer Recycled Polyester (RM0189) 17% Pre Consumer Recycled Polyamide (RM1084)</v>
          </cell>
        </row>
        <row r="1365">
          <cell r="A1365" t="str">
            <v>TOWLH-HOM-XL-NAVY</v>
          </cell>
          <cell r="B1365" t="str">
            <v>5.0607E+12</v>
          </cell>
          <cell r="C1365" t="str">
            <v>CLOSED</v>
          </cell>
          <cell r="E1365">
            <v>20</v>
          </cell>
          <cell r="F1365" t="str">
            <v>before AW20</v>
          </cell>
          <cell r="G1365" t="str">
            <v>XR Textile</v>
          </cell>
          <cell r="H1365" t="str">
            <v>TOWLH</v>
          </cell>
          <cell r="I1365" t="str">
            <v>GRS Certified* 83% Post Consumer Recycled Polyester (RM0189) 17% Pre Consumer Recycled Polyamide (RM1084)</v>
          </cell>
        </row>
        <row r="1366">
          <cell r="A1366" t="str">
            <v>TOWLH-HOM-XL-NAVY-R</v>
          </cell>
          <cell r="B1366" t="str">
            <v>5.0607E+12</v>
          </cell>
          <cell r="C1366" t="str">
            <v>CLOSED</v>
          </cell>
          <cell r="E1366">
            <v>20</v>
          </cell>
          <cell r="F1366" t="str">
            <v>AW20</v>
          </cell>
          <cell r="G1366" t="str">
            <v>XR Textile</v>
          </cell>
          <cell r="H1366" t="str">
            <v>TOWLH</v>
          </cell>
          <cell r="I1366" t="str">
            <v>GRS Certified* 83% Post Consumer Recycled Polyester (RM0189) 17% Pre Consumer Recycled Polyamide (RM1084)</v>
          </cell>
        </row>
        <row r="1367">
          <cell r="A1367" t="str">
            <v>TOWLH-HOM-XL-TERRA</v>
          </cell>
          <cell r="B1367" t="str">
            <v>5.0607E+12</v>
          </cell>
          <cell r="C1367" t="str">
            <v>CLOSED</v>
          </cell>
          <cell r="E1367">
            <v>20</v>
          </cell>
          <cell r="F1367" t="str">
            <v>before AW20</v>
          </cell>
          <cell r="G1367" t="str">
            <v>XR Textile</v>
          </cell>
          <cell r="H1367" t="str">
            <v>TOWLH</v>
          </cell>
          <cell r="I1367" t="str">
            <v>GRS Certified* 83% Post Consumer Recycled Polyester (RM0189) 17% Pre Consumer Recycled Polyamide (RM1084)</v>
          </cell>
        </row>
        <row r="1368">
          <cell r="A1368" t="str">
            <v>TOWLH-HOM-XL-TERRA-R</v>
          </cell>
          <cell r="B1368" t="str">
            <v>5.0607E+12</v>
          </cell>
          <cell r="C1368" t="str">
            <v>CLOSED</v>
          </cell>
          <cell r="E1368">
            <v>20</v>
          </cell>
          <cell r="F1368" t="str">
            <v>AW20</v>
          </cell>
          <cell r="G1368" t="str">
            <v>XR Textile</v>
          </cell>
          <cell r="H1368" t="str">
            <v>TOWLH</v>
          </cell>
          <cell r="I1368" t="str">
            <v>GRS Certified* 83% Post Consumer Recycled Polyester (RM0189) 17% Pre Consumer Recycled Polyamide (RM1084)</v>
          </cell>
        </row>
        <row r="1369">
          <cell r="A1369" t="str">
            <v>TOWLH-HOM-XL-WHITE</v>
          </cell>
          <cell r="B1369" t="str">
            <v>5.0607E+12</v>
          </cell>
          <cell r="C1369" t="str">
            <v>CLOSED</v>
          </cell>
          <cell r="E1369">
            <v>20</v>
          </cell>
          <cell r="F1369" t="str">
            <v>before AW20</v>
          </cell>
          <cell r="G1369" t="str">
            <v>XR Textile</v>
          </cell>
          <cell r="H1369" t="str">
            <v>TOWLH</v>
          </cell>
          <cell r="I1369" t="str">
            <v>GRS Certified* 83% Post Consumer Recycled Polyester (RM0189) 17% Pre Consumer Recycled Polyamide (RM1084)</v>
          </cell>
        </row>
        <row r="1370">
          <cell r="A1370" t="str">
            <v>TOWLH-HOM-XL-WHITE-R</v>
          </cell>
          <cell r="B1370" t="str">
            <v>5.0607E+12</v>
          </cell>
          <cell r="C1370" t="str">
            <v>CLOSED</v>
          </cell>
          <cell r="E1370">
            <v>20</v>
          </cell>
          <cell r="F1370" t="str">
            <v>AW20</v>
          </cell>
          <cell r="G1370" t="str">
            <v>XR Textile</v>
          </cell>
          <cell r="H1370" t="str">
            <v>TOWLH</v>
          </cell>
          <cell r="I1370" t="str">
            <v>GRS Certified* 83% Post Consumer Recycled Polyester (RM0189) 17% Pre Consumer Recycled Polyamide (RM1084)</v>
          </cell>
        </row>
        <row r="1371">
          <cell r="A1371" t="str">
            <v>TOWLH-NAT-LG-DPBLU-C</v>
          </cell>
          <cell r="B1371" t="str">
            <v>5.0607E+12</v>
          </cell>
          <cell r="C1371" t="str">
            <v>CLOSED</v>
          </cell>
        </row>
        <row r="1372">
          <cell r="A1372" t="str">
            <v>TOWLH-NAT-LG-HONEY-C</v>
          </cell>
          <cell r="B1372" t="str">
            <v>5.0607E+12</v>
          </cell>
          <cell r="C1372" t="str">
            <v>CLOSED</v>
          </cell>
        </row>
        <row r="1373">
          <cell r="A1373" t="str">
            <v>TOWLH-NAT-LG-POWBLU-C</v>
          </cell>
          <cell r="B1373" t="str">
            <v>5.0607E+12</v>
          </cell>
          <cell r="C1373" t="str">
            <v>CLOSED</v>
          </cell>
        </row>
        <row r="1374">
          <cell r="A1374" t="str">
            <v>TOWLH-NAT-LG-SNWHIT-C</v>
          </cell>
          <cell r="B1374" t="str">
            <v>5.0607E+12</v>
          </cell>
          <cell r="C1374" t="str">
            <v>CLOSED</v>
          </cell>
        </row>
        <row r="1375">
          <cell r="A1375" t="str">
            <v>TOWLH-NAT-LG-WAVNAV-C</v>
          </cell>
          <cell r="B1375" t="str">
            <v>5.0607E+12</v>
          </cell>
          <cell r="C1375" t="str">
            <v>CLOSED</v>
          </cell>
        </row>
        <row r="1376">
          <cell r="A1376" t="str">
            <v>TOWLH-RET-LG-SANT</v>
          </cell>
          <cell r="B1376" t="str">
            <v>5.0607E+12</v>
          </cell>
          <cell r="C1376" t="str">
            <v>CLOSED</v>
          </cell>
          <cell r="E1376">
            <v>20</v>
          </cell>
          <cell r="F1376" t="str">
            <v>AW21</v>
          </cell>
          <cell r="G1376" t="str">
            <v>XR Textile</v>
          </cell>
          <cell r="H1376" t="str">
            <v>TOWLH</v>
          </cell>
          <cell r="I1376" t="str">
            <v>GRS Certified* 83% Post Consumer Recycled Polyester (RM0189) 17% Pre Consumer Recycled Polyamide (RM1084)</v>
          </cell>
        </row>
        <row r="1377">
          <cell r="A1377" t="str">
            <v>TOWLH-RET-LG-SAPO</v>
          </cell>
          <cell r="B1377" t="str">
            <v>5.0607E+12</v>
          </cell>
          <cell r="C1377" t="str">
            <v>CLOSED</v>
          </cell>
          <cell r="E1377">
            <v>20</v>
          </cell>
          <cell r="F1377" t="str">
            <v>AW21</v>
          </cell>
          <cell r="G1377" t="str">
            <v>XR Textile</v>
          </cell>
          <cell r="H1377" t="str">
            <v>TOWLH</v>
          </cell>
          <cell r="I1377" t="str">
            <v>GRS Certified* 83% Post Consumer Recycled Polyester (RM0189) 17% Pre Consumer Recycled Polyamide (RM1084)</v>
          </cell>
        </row>
        <row r="1378">
          <cell r="A1378" t="str">
            <v>TOWLH-RET-SM-CONG</v>
          </cell>
          <cell r="B1378" t="str">
            <v>5.0607E+12</v>
          </cell>
          <cell r="C1378" t="str">
            <v>CLOSED</v>
          </cell>
          <cell r="E1378">
            <v>50</v>
          </cell>
          <cell r="F1378" t="str">
            <v>AW21</v>
          </cell>
          <cell r="G1378" t="str">
            <v>XR Textile</v>
          </cell>
          <cell r="H1378" t="str">
            <v>TOWLH</v>
          </cell>
          <cell r="I1378" t="str">
            <v>GRS Certified* 83% Post Consumer Recycled Polyester (RM0189) 17% Pre Consumer Recycled Polyamide (RM1084)</v>
          </cell>
        </row>
        <row r="1379">
          <cell r="A1379" t="str">
            <v>TOWLH-RET-SM-MONT</v>
          </cell>
          <cell r="B1379" t="str">
            <v>5.0607E+12</v>
          </cell>
          <cell r="C1379" t="str">
            <v>CLOSED</v>
          </cell>
          <cell r="E1379">
            <v>50</v>
          </cell>
          <cell r="F1379" t="str">
            <v>AW21</v>
          </cell>
          <cell r="G1379" t="str">
            <v>XR Textile</v>
          </cell>
          <cell r="H1379" t="str">
            <v>TOWLH</v>
          </cell>
          <cell r="I1379" t="str">
            <v>GRS Certified* 83% Post Consumer Recycled Polyester (RM0189) 17% Pre Consumer Recycled Polyamide (RM1084)</v>
          </cell>
        </row>
        <row r="1380">
          <cell r="A1380" t="str">
            <v>TOWLH-RET-XL-CONG</v>
          </cell>
          <cell r="B1380" t="str">
            <v>5.0607E+12</v>
          </cell>
          <cell r="C1380" t="str">
            <v>CLOSED</v>
          </cell>
          <cell r="E1380">
            <v>20</v>
          </cell>
          <cell r="F1380" t="str">
            <v>AW21</v>
          </cell>
          <cell r="G1380" t="str">
            <v>XR Textile</v>
          </cell>
          <cell r="H1380" t="str">
            <v>TOWLH</v>
          </cell>
          <cell r="I1380" t="str">
            <v>GRS Certified* 83% Post Consumer Recycled Polyester (RM0189) 17% Pre Consumer Recycled Polyamide (RM1084)</v>
          </cell>
        </row>
        <row r="1381">
          <cell r="A1381" t="str">
            <v>TOWLH-RET-XL-MONT</v>
          </cell>
          <cell r="B1381" t="str">
            <v>5.0607E+12</v>
          </cell>
          <cell r="C1381" t="str">
            <v>CLOSED</v>
          </cell>
          <cell r="E1381">
            <v>20</v>
          </cell>
          <cell r="F1381" t="str">
            <v>AW21</v>
          </cell>
          <cell r="G1381" t="str">
            <v>XR Textile</v>
          </cell>
          <cell r="H1381" t="str">
            <v>TOWLH</v>
          </cell>
          <cell r="I1381" t="str">
            <v>GRS Certified* 83% Post Consumer Recycled Polyester (RM0189) 17% Pre Consumer Recycled Polyamide (RM1084)</v>
          </cell>
        </row>
        <row r="1382">
          <cell r="A1382" t="str">
            <v>TOWLH-RET-XL-SANT</v>
          </cell>
          <cell r="B1382" t="str">
            <v>5.0607E+12</v>
          </cell>
          <cell r="C1382" t="str">
            <v>CLOSED</v>
          </cell>
          <cell r="E1382">
            <v>20</v>
          </cell>
          <cell r="F1382" t="str">
            <v>AW21</v>
          </cell>
          <cell r="G1382" t="str">
            <v>XR Textile</v>
          </cell>
          <cell r="H1382" t="str">
            <v>TOWLH</v>
          </cell>
          <cell r="I1382" t="str">
            <v>GRS Certified* 83% Post Consumer Recycled Polyester (RM0189) 17% Pre Consumer Recycled Polyamide (RM1084)</v>
          </cell>
        </row>
        <row r="1383">
          <cell r="A1383" t="str">
            <v>TOWLH-RET-XL-SAPO</v>
          </cell>
          <cell r="B1383" t="str">
            <v>5.0607E+12</v>
          </cell>
          <cell r="C1383" t="str">
            <v>CLOSED</v>
          </cell>
          <cell r="E1383">
            <v>20</v>
          </cell>
          <cell r="F1383" t="str">
            <v>AW21</v>
          </cell>
          <cell r="G1383" t="str">
            <v>XR Textile</v>
          </cell>
          <cell r="H1383" t="str">
            <v>TOWLH</v>
          </cell>
          <cell r="I1383" t="str">
            <v>GRS Certified* 83% Post Consumer Recycled Polyester (RM0189) 17% Pre Consumer Recycled Polyamide (RM1084)</v>
          </cell>
        </row>
        <row r="1384">
          <cell r="A1384" t="str">
            <v>WHOLESALE-BROCHURE-DNB</v>
          </cell>
          <cell r="C1384" t="str">
            <v>CLOSED</v>
          </cell>
          <cell r="F1384" t="str">
            <v>before AW20</v>
          </cell>
          <cell r="G1384" t="str">
            <v>MQ Print (Sherry)</v>
          </cell>
          <cell r="H1384" t="str">
            <v>WHOLESALE_COMPONENTS</v>
          </cell>
        </row>
        <row r="1385">
          <cell r="A1385" t="str">
            <v>WHOLESALE-BROCHURE-FR</v>
          </cell>
          <cell r="B1385" t="str">
            <v>6.5097E+11</v>
          </cell>
          <cell r="C1385" t="str">
            <v>CLOSED</v>
          </cell>
          <cell r="F1385" t="str">
            <v>before AW20</v>
          </cell>
          <cell r="G1385" t="str">
            <v>MQ Print (Sherry)</v>
          </cell>
          <cell r="H1385" t="str">
            <v>WHOLESALE_COMPONENTS</v>
          </cell>
        </row>
        <row r="1386">
          <cell r="A1386" t="str">
            <v>WHOLESALE-BROCHURE-UK</v>
          </cell>
          <cell r="B1386" t="str">
            <v>6.5097E+11</v>
          </cell>
          <cell r="C1386" t="str">
            <v>CLOSED</v>
          </cell>
          <cell r="F1386" t="str">
            <v>before AW20</v>
          </cell>
          <cell r="G1386" t="str">
            <v>MQ Print (Sherry)</v>
          </cell>
          <cell r="H1386" t="str">
            <v>WHOLESALE_COMPONENTS</v>
          </cell>
        </row>
        <row r="1387">
          <cell r="A1387" t="str">
            <v>WHOLESALE-BROCHURE-US</v>
          </cell>
          <cell r="B1387" t="str">
            <v>6.5097E+11</v>
          </cell>
          <cell r="C1387" t="str">
            <v>CLOSED</v>
          </cell>
          <cell r="F1387" t="str">
            <v>before AW20</v>
          </cell>
          <cell r="G1387" t="str">
            <v>MQ Print (Sherry)</v>
          </cell>
          <cell r="H1387" t="str">
            <v>WHOLESALE_COMPONENTS</v>
          </cell>
        </row>
        <row r="1388">
          <cell r="A1388" t="str">
            <v>WHOLESALE-POSDISPLAY-LAR</v>
          </cell>
          <cell r="B1388" t="str">
            <v>6.5097E+11</v>
          </cell>
          <cell r="C1388" t="str">
            <v>CLOSED</v>
          </cell>
          <cell r="E1388">
            <v>1</v>
          </cell>
          <cell r="F1388" t="str">
            <v>before AW19</v>
          </cell>
        </row>
        <row r="1389">
          <cell r="A1389" t="str">
            <v>WHOLESALE-POSDISPLAY-SML</v>
          </cell>
          <cell r="B1389" t="str">
            <v>6.5097E+11</v>
          </cell>
          <cell r="C1389" t="str">
            <v>CLOSED</v>
          </cell>
          <cell r="E1389">
            <v>1</v>
          </cell>
          <cell r="F1389" t="str">
            <v>before AW19</v>
          </cell>
        </row>
        <row r="1390">
          <cell r="A1390" t="str">
            <v>WHOLESALE-PRICELIST-DNB</v>
          </cell>
          <cell r="C1390" t="str">
            <v>CLOSED</v>
          </cell>
          <cell r="F1390" t="str">
            <v>before AW20</v>
          </cell>
        </row>
        <row r="1391">
          <cell r="A1391" t="str">
            <v>WS-POS-EASEL-HOODT-FR-2023</v>
          </cell>
          <cell r="B1391" t="str">
            <v>8.0101E+10</v>
          </cell>
          <cell r="C1391" t="str">
            <v>CLOSED</v>
          </cell>
          <cell r="D1391" t="str">
            <v>Non-Core</v>
          </cell>
          <cell r="E1391">
            <v>100</v>
          </cell>
          <cell r="F1391" t="str">
            <v>SS23</v>
          </cell>
          <cell r="G1391" t="str">
            <v>MQ Print (Sherry)</v>
          </cell>
          <cell r="H1391" t="str">
            <v>WHOLESALE_COMPONENTS</v>
          </cell>
        </row>
        <row r="1392">
          <cell r="A1392" t="str">
            <v>WS-POS-EASEL-MAKUP-2023</v>
          </cell>
          <cell r="B1392" t="str">
            <v>8.0101E+10</v>
          </cell>
          <cell r="C1392" t="str">
            <v>CLOSED</v>
          </cell>
          <cell r="D1392" t="str">
            <v>Non-Core</v>
          </cell>
          <cell r="E1392">
            <v>100</v>
          </cell>
          <cell r="F1392" t="str">
            <v>SS23</v>
          </cell>
          <cell r="G1392" t="str">
            <v>MQ Print (Sherry)</v>
          </cell>
          <cell r="H1392" t="str">
            <v>WHOLESALE_COMPONENTS</v>
          </cell>
        </row>
        <row r="1393">
          <cell r="A1393" t="str">
            <v>WS-POS-EASEL-MAKUP-FR-2023</v>
          </cell>
          <cell r="B1393" t="str">
            <v>8.0101E+10</v>
          </cell>
          <cell r="C1393" t="str">
            <v>CLOSED</v>
          </cell>
          <cell r="D1393" t="str">
            <v>Non-Core</v>
          </cell>
          <cell r="E1393">
            <v>100</v>
          </cell>
          <cell r="F1393" t="str">
            <v>SS23</v>
          </cell>
          <cell r="G1393" t="str">
            <v>MQ Print (Sherry)</v>
          </cell>
          <cell r="H1393" t="str">
            <v>WHOLESALE_COMPONENTS</v>
          </cell>
        </row>
        <row r="1394">
          <cell r="A1394" t="str">
            <v>WS-POS-EASEL-MAKUP-STD-2023</v>
          </cell>
          <cell r="B1394" t="str">
            <v>8.0101E+10</v>
          </cell>
          <cell r="C1394" t="str">
            <v>CLOSED</v>
          </cell>
          <cell r="D1394" t="str">
            <v>Non-Core</v>
          </cell>
          <cell r="E1394">
            <v>100</v>
          </cell>
          <cell r="F1394" t="str">
            <v>SS23</v>
          </cell>
          <cell r="G1394" t="str">
            <v>MQ Print (Sherry)</v>
          </cell>
          <cell r="H1394" t="str">
            <v>WHOLESALE_COMPONENTS</v>
          </cell>
        </row>
        <row r="1395">
          <cell r="A1395" t="str">
            <v>WS-POS-EASEL-ROBE-2023</v>
          </cell>
          <cell r="B1395" t="str">
            <v>6.5097E+11</v>
          </cell>
          <cell r="C1395" t="str">
            <v>CLOSED</v>
          </cell>
          <cell r="D1395" t="str">
            <v>Non-Core</v>
          </cell>
          <cell r="E1395">
            <v>100</v>
          </cell>
          <cell r="F1395" t="str">
            <v>SS23</v>
          </cell>
          <cell r="G1395" t="str">
            <v>MQ Print (Sherry)</v>
          </cell>
          <cell r="H1395" t="str">
            <v>WHOLESALE_COMPONENTS</v>
          </cell>
        </row>
        <row r="1396">
          <cell r="A1396" t="str">
            <v>WS-POS-EASEL-ROBE-FR-2023</v>
          </cell>
          <cell r="B1396" t="str">
            <v>8.0101E+10</v>
          </cell>
          <cell r="C1396" t="str">
            <v>CLOSED</v>
          </cell>
          <cell r="D1396" t="str">
            <v>Non-Core</v>
          </cell>
          <cell r="E1396">
            <v>100</v>
          </cell>
          <cell r="F1396" t="str">
            <v>SS23</v>
          </cell>
          <cell r="G1396" t="str">
            <v>MQ Print (Sherry)</v>
          </cell>
          <cell r="H1396" t="str">
            <v>WHOLESALE_COMPONENTS</v>
          </cell>
        </row>
        <row r="1397">
          <cell r="A1397" t="str">
            <v>WS-POS-EASEL-TOWLB-KID-2023</v>
          </cell>
          <cell r="B1397" t="str">
            <v>6.5097E+11</v>
          </cell>
          <cell r="C1397" t="str">
            <v>CLOSED</v>
          </cell>
          <cell r="D1397" t="str">
            <v>Non-Core</v>
          </cell>
          <cell r="E1397">
            <v>100</v>
          </cell>
          <cell r="F1397" t="str">
            <v>SS23</v>
          </cell>
          <cell r="G1397" t="str">
            <v>MQ Print (Sherry)</v>
          </cell>
          <cell r="H1397" t="str">
            <v>WHOLESALE_COMPONENTS</v>
          </cell>
        </row>
        <row r="1398">
          <cell r="A1398" t="str">
            <v>WS-POS-EASEL-TOWLH-FR-2023</v>
          </cell>
          <cell r="B1398" t="str">
            <v>8.0101E+10</v>
          </cell>
          <cell r="C1398" t="str">
            <v>CLOSED</v>
          </cell>
          <cell r="D1398" t="str">
            <v>Non-Core</v>
          </cell>
          <cell r="E1398">
            <v>100</v>
          </cell>
          <cell r="F1398" t="str">
            <v>SS23</v>
          </cell>
          <cell r="G1398" t="str">
            <v>MQ Print (Sherry)</v>
          </cell>
          <cell r="H1398" t="str">
            <v>WHOLESALE_COMPONENTS</v>
          </cell>
        </row>
        <row r="1399">
          <cell r="A1399" t="str">
            <v>CROSSDOCK-1</v>
          </cell>
          <cell r="B1399" t="str">
            <v>6.5097E+11</v>
          </cell>
          <cell r="C1399" t="str">
            <v>NON STOCKED</v>
          </cell>
          <cell r="E1399">
            <v>1</v>
          </cell>
          <cell r="F1399" t="str">
            <v>before AW20</v>
          </cell>
          <cell r="G1399" t="str">
            <v>XR Textile</v>
          </cell>
          <cell r="H1399" t="str">
            <v>TOWLB</v>
          </cell>
          <cell r="I1399" t="str">
            <v>GRS Certified* 83% Post Consumer Recycled Polyester (RM0189) 17% Pre Consumer Recycled Polyamide (RM1084)</v>
          </cell>
        </row>
        <row r="1400">
          <cell r="A1400" t="str">
            <v>CROSSDOCK-2</v>
          </cell>
          <cell r="B1400" t="str">
            <v>6.5097E+11</v>
          </cell>
          <cell r="C1400" t="str">
            <v>NON STOCKED</v>
          </cell>
          <cell r="E1400">
            <v>1</v>
          </cell>
          <cell r="F1400" t="str">
            <v>before AW20</v>
          </cell>
          <cell r="G1400" t="str">
            <v>XR Textile</v>
          </cell>
          <cell r="H1400" t="str">
            <v>TOWLB</v>
          </cell>
          <cell r="I1400" t="str">
            <v>GRS Certified* 83% Post Consumer Recycled Polyester (RM0189) 17% Pre Consumer Recycled Polyamide (RM1084)</v>
          </cell>
        </row>
        <row r="1401">
          <cell r="A1401" t="str">
            <v>CROSSDOCK-3</v>
          </cell>
          <cell r="B1401" t="str">
            <v>6.5097E+11</v>
          </cell>
          <cell r="C1401" t="str">
            <v>NON STOCKED</v>
          </cell>
          <cell r="E1401">
            <v>1</v>
          </cell>
          <cell r="F1401" t="str">
            <v>before AW20</v>
          </cell>
          <cell r="G1401" t="str">
            <v>XR Textile</v>
          </cell>
          <cell r="H1401" t="str">
            <v>TOWLB</v>
          </cell>
          <cell r="I1401" t="str">
            <v>GRS Certified* 83% Post Consumer Recycled Polyester (RM0189) 17% Pre Consumer Recycled Polyamide (RM1084)</v>
          </cell>
        </row>
        <row r="1402">
          <cell r="A1402" t="str">
            <v>CROSSDOCK-4</v>
          </cell>
          <cell r="B1402" t="str">
            <v>6.5097E+11</v>
          </cell>
          <cell r="C1402" t="str">
            <v>NON STOCKED</v>
          </cell>
          <cell r="E1402">
            <v>1</v>
          </cell>
          <cell r="F1402" t="str">
            <v>before AW20</v>
          </cell>
          <cell r="G1402" t="str">
            <v>XR Textile</v>
          </cell>
          <cell r="H1402" t="str">
            <v>TOWLB</v>
          </cell>
          <cell r="I1402" t="str">
            <v>GRS Certified* 83% Post Consumer Recycled Polyester (RM0189) 17% Pre Consumer Recycled Polyamide (RM1084)</v>
          </cell>
        </row>
        <row r="1403">
          <cell r="A1403" t="str">
            <v>CROSSDOCK-5</v>
          </cell>
          <cell r="B1403" t="str">
            <v>6.5097E+11</v>
          </cell>
          <cell r="C1403" t="str">
            <v>NON STOCKED</v>
          </cell>
          <cell r="E1403">
            <v>1</v>
          </cell>
          <cell r="F1403" t="str">
            <v>before AW20</v>
          </cell>
          <cell r="G1403" t="str">
            <v>XR Textile</v>
          </cell>
          <cell r="H1403" t="str">
            <v>TOWLB</v>
          </cell>
          <cell r="I1403" t="str">
            <v>GRS Certified* 83% Post Consumer Recycled Polyester (RM0189) 17% Pre Consumer Recycled Polyamide (RM1084)</v>
          </cell>
        </row>
        <row r="1404">
          <cell r="A1404" t="str">
            <v>CROSSDOCK-6</v>
          </cell>
          <cell r="B1404" t="str">
            <v>6.5097E+11</v>
          </cell>
          <cell r="C1404" t="str">
            <v>NON STOCKED</v>
          </cell>
          <cell r="E1404">
            <v>1</v>
          </cell>
          <cell r="F1404" t="str">
            <v>before AW20</v>
          </cell>
          <cell r="G1404" t="str">
            <v>XR Textile</v>
          </cell>
          <cell r="H1404" t="str">
            <v>TOWLB</v>
          </cell>
          <cell r="I1404" t="str">
            <v>GRS Certified* 83% Post Consumer Recycled Polyester (RM0189) 17% Pre Consumer Recycled Polyamide (RM1084)</v>
          </cell>
        </row>
        <row r="1405">
          <cell r="A1405" t="str">
            <v>CROSSDOCK-7</v>
          </cell>
          <cell r="B1405" t="str">
            <v>6.5097E+11</v>
          </cell>
          <cell r="C1405" t="str">
            <v>NON STOCKED</v>
          </cell>
          <cell r="E1405">
            <v>1</v>
          </cell>
          <cell r="F1405" t="str">
            <v>before AW20</v>
          </cell>
          <cell r="G1405" t="str">
            <v>XR Textile</v>
          </cell>
          <cell r="H1405" t="str">
            <v>TOWLB</v>
          </cell>
          <cell r="I1405" t="str">
            <v>GRS Certified* 83% Post Consumer Recycled Polyester (RM0189) 17% Pre Consumer Recycled Polyamide (RM1084)</v>
          </cell>
        </row>
        <row r="1406">
          <cell r="A1406" t="str">
            <v>CROSSDOCK-8</v>
          </cell>
          <cell r="B1406" t="str">
            <v>6.5097E+11</v>
          </cell>
          <cell r="C1406" t="str">
            <v>NON STOCKED</v>
          </cell>
          <cell r="E1406">
            <v>1</v>
          </cell>
          <cell r="F1406" t="str">
            <v>before AW20</v>
          </cell>
          <cell r="G1406" t="str">
            <v>XR Textile</v>
          </cell>
          <cell r="H1406" t="str">
            <v>TOWLB</v>
          </cell>
          <cell r="I1406" t="str">
            <v>GRS Certified* 83% Post Consumer Recycled Polyester (RM0189) 17% Pre Consumer Recycled Polyamide (RM1084)</v>
          </cell>
        </row>
        <row r="1407">
          <cell r="A1407" t="str">
            <v>CROSSDOCK-9</v>
          </cell>
          <cell r="B1407" t="str">
            <v>6.5097E+11</v>
          </cell>
          <cell r="C1407" t="str">
            <v>NON STOCKED</v>
          </cell>
          <cell r="E1407">
            <v>1</v>
          </cell>
          <cell r="F1407" t="str">
            <v>before AW20</v>
          </cell>
          <cell r="G1407" t="str">
            <v>XR Textile</v>
          </cell>
          <cell r="H1407" t="str">
            <v>TOWLB</v>
          </cell>
          <cell r="I1407" t="str">
            <v>GRS Certified* 83% Post Consumer Recycled Polyester (RM0189) 17% Pre Consumer Recycled Polyamide (RM1084)</v>
          </cell>
        </row>
        <row r="1408">
          <cell r="A1408" t="str">
            <v>CROSSDOCK-10</v>
          </cell>
          <cell r="B1408" t="str">
            <v>8.0101E+10</v>
          </cell>
          <cell r="C1408" t="str">
            <v>NON STOCKED</v>
          </cell>
          <cell r="E1408">
            <v>1</v>
          </cell>
          <cell r="F1408" t="str">
            <v>before AW20</v>
          </cell>
          <cell r="G1408" t="str">
            <v>XR Textile</v>
          </cell>
          <cell r="H1408" t="str">
            <v>TOWLB</v>
          </cell>
          <cell r="I1408" t="str">
            <v>GRS Certified* 83% Post Consumer Recycled Polyester (RM0189) 17% Pre Consumer Recycled Polyamide (RM1084)</v>
          </cell>
        </row>
        <row r="1409">
          <cell r="A1409" t="str">
            <v>CROSSDOCK-11</v>
          </cell>
          <cell r="B1409" t="str">
            <v>8.0101E+10</v>
          </cell>
          <cell r="C1409" t="str">
            <v>NON STOCKED</v>
          </cell>
          <cell r="E1409">
            <v>1</v>
          </cell>
          <cell r="F1409" t="str">
            <v>before AW20</v>
          </cell>
          <cell r="G1409" t="str">
            <v>XR Textile</v>
          </cell>
          <cell r="H1409" t="str">
            <v>TOWLB</v>
          </cell>
          <cell r="I1409" t="str">
            <v>GRS Certified* 83% Post Consumer Recycled Polyester (RM0189) 17% Pre Consumer Recycled Polyamide (RM1084)</v>
          </cell>
        </row>
        <row r="1410">
          <cell r="A1410" t="str">
            <v>CROSSDOCK-12</v>
          </cell>
          <cell r="B1410" t="str">
            <v>8.0101E+10</v>
          </cell>
          <cell r="C1410" t="str">
            <v>NON STOCKED</v>
          </cell>
          <cell r="E1410">
            <v>1</v>
          </cell>
          <cell r="F1410" t="str">
            <v>before AW20</v>
          </cell>
          <cell r="G1410" t="str">
            <v>XR Textile</v>
          </cell>
          <cell r="H1410" t="str">
            <v>TOWLB</v>
          </cell>
          <cell r="I1410" t="str">
            <v>GRS Certified* 83% Post Consumer Recycled Polyester (RM0189) 17% Pre Consumer Recycled Polyamide (RM1084)</v>
          </cell>
        </row>
        <row r="1411">
          <cell r="A1411" t="str">
            <v>CROSSDOCK-13</v>
          </cell>
          <cell r="B1411" t="str">
            <v>8.0101E+10</v>
          </cell>
          <cell r="C1411" t="str">
            <v>NON STOCKED</v>
          </cell>
          <cell r="E1411">
            <v>1</v>
          </cell>
          <cell r="F1411" t="str">
            <v>before AW20</v>
          </cell>
          <cell r="G1411" t="str">
            <v>XR Textile</v>
          </cell>
          <cell r="H1411" t="str">
            <v>TOWLB</v>
          </cell>
          <cell r="I1411" t="str">
            <v>GRS Certified* 83% Post Consumer Recycled Polyester (RM0189) 17% Pre Consumer Recycled Polyamide (RM1084)</v>
          </cell>
        </row>
        <row r="1412">
          <cell r="A1412" t="str">
            <v>CROSSDOCK-14</v>
          </cell>
          <cell r="B1412" t="str">
            <v>8.0101E+10</v>
          </cell>
          <cell r="C1412" t="str">
            <v>NON STOCKED</v>
          </cell>
          <cell r="E1412">
            <v>1</v>
          </cell>
          <cell r="F1412" t="str">
            <v>before AW20</v>
          </cell>
          <cell r="G1412" t="str">
            <v>XR Textile</v>
          </cell>
          <cell r="H1412" t="str">
            <v>TOWLB</v>
          </cell>
          <cell r="I1412" t="str">
            <v>GRS Certified* 83% Post Consumer Recycled Polyester (RM0189) 17% Pre Consumer Recycled Polyamide (RM1084)</v>
          </cell>
        </row>
        <row r="1413">
          <cell r="A1413" t="str">
            <v>CROSSDOCK-15</v>
          </cell>
          <cell r="B1413" t="str">
            <v>8.0101E+10</v>
          </cell>
          <cell r="C1413" t="str">
            <v>NON STOCKED</v>
          </cell>
          <cell r="E1413">
            <v>1</v>
          </cell>
          <cell r="F1413" t="str">
            <v>before AW20</v>
          </cell>
          <cell r="G1413" t="str">
            <v>XR Textile</v>
          </cell>
          <cell r="H1413" t="str">
            <v>TOWLB</v>
          </cell>
          <cell r="I1413" t="str">
            <v>GRS Certified* 83% Post Consumer Recycled Polyester (RM0189) 17% Pre Consumer Recycled Polyamide (RM1084)</v>
          </cell>
        </row>
        <row r="1414">
          <cell r="A1414" t="str">
            <v>CROSSDOCK-16</v>
          </cell>
          <cell r="B1414" t="str">
            <v>8.0101E+10</v>
          </cell>
          <cell r="C1414" t="str">
            <v>NON STOCKED</v>
          </cell>
          <cell r="E1414">
            <v>1</v>
          </cell>
          <cell r="F1414" t="str">
            <v>before AW20</v>
          </cell>
          <cell r="G1414" t="str">
            <v>XR Textile</v>
          </cell>
          <cell r="H1414" t="str">
            <v>TOWLB</v>
          </cell>
          <cell r="I1414" t="str">
            <v>GRS Certified* 83% Post Consumer Recycled Polyester (RM0189) 17% Pre Consumer Recycled Polyamide (RM1084)</v>
          </cell>
        </row>
        <row r="1415">
          <cell r="A1415" t="str">
            <v>CROSSDOCK-17</v>
          </cell>
          <cell r="B1415" t="str">
            <v>8.0101E+10</v>
          </cell>
          <cell r="C1415" t="str">
            <v>NON STOCKED</v>
          </cell>
          <cell r="E1415">
            <v>1</v>
          </cell>
          <cell r="F1415" t="str">
            <v>before AW20</v>
          </cell>
          <cell r="G1415" t="str">
            <v>XR Textile</v>
          </cell>
          <cell r="H1415" t="str">
            <v>TOWLB</v>
          </cell>
          <cell r="I1415" t="str">
            <v>GRS Certified* 83% Post Consumer Recycled Polyester (RM0189) 17% Pre Consumer Recycled Polyamide (RM1084)</v>
          </cell>
        </row>
        <row r="1416">
          <cell r="A1416" t="str">
            <v>CROSSDOCK-18</v>
          </cell>
          <cell r="B1416" t="str">
            <v>8.0101E+10</v>
          </cell>
          <cell r="C1416" t="str">
            <v>NON STOCKED</v>
          </cell>
          <cell r="E1416">
            <v>1</v>
          </cell>
          <cell r="F1416" t="str">
            <v>before AW20</v>
          </cell>
          <cell r="G1416" t="str">
            <v>XR Textile</v>
          </cell>
          <cell r="H1416" t="str">
            <v>TOWLB</v>
          </cell>
          <cell r="I1416" t="str">
            <v>GRS Certified* 83% Post Consumer Recycled Polyester (RM0189) 17% Pre Consumer Recycled Polyamide (RM1084)</v>
          </cell>
        </row>
        <row r="1417">
          <cell r="A1417" t="str">
            <v>CROSSDOCK-19</v>
          </cell>
          <cell r="B1417" t="str">
            <v>8.0101E+10</v>
          </cell>
          <cell r="C1417" t="str">
            <v>NON STOCKED</v>
          </cell>
          <cell r="E1417">
            <v>1</v>
          </cell>
          <cell r="F1417" t="str">
            <v>before AW20</v>
          </cell>
          <cell r="G1417" t="str">
            <v>XR Textile</v>
          </cell>
          <cell r="H1417" t="str">
            <v>TOWLB</v>
          </cell>
          <cell r="I1417" t="str">
            <v>GRS Certified* 83% Post Consumer Recycled Polyester (RM0189) 17% Pre Consumer Recycled Polyamide (RM1084)</v>
          </cell>
        </row>
        <row r="1418">
          <cell r="A1418" t="str">
            <v>CROSSDOCK-20</v>
          </cell>
          <cell r="B1418" t="str">
            <v>8.0101E+10</v>
          </cell>
          <cell r="C1418" t="str">
            <v>NON STOCKED</v>
          </cell>
          <cell r="E1418">
            <v>1</v>
          </cell>
          <cell r="F1418" t="str">
            <v>before AW20</v>
          </cell>
          <cell r="G1418" t="str">
            <v>XR Textile</v>
          </cell>
          <cell r="H1418" t="str">
            <v>TOWLB</v>
          </cell>
          <cell r="I1418" t="str">
            <v>GRS Certified* 83% Post Consumer Recycled Polyester (RM0189) 17% Pre Consumer Recycled Polyamide (RM1084)</v>
          </cell>
        </row>
        <row r="1419">
          <cell r="A1419" t="str">
            <v>CUSTOM-ORDER</v>
          </cell>
          <cell r="B1419" t="str">
            <v>8.0101E+10</v>
          </cell>
          <cell r="C1419" t="str">
            <v>NON STOCKED</v>
          </cell>
        </row>
        <row r="1420">
          <cell r="A1420" t="str">
            <v>POS-SM-TOWLB-24</v>
          </cell>
          <cell r="B1420" t="str">
            <v>5.0607E+12</v>
          </cell>
          <cell r="C1420" t="str">
            <v>NON STOCKED</v>
          </cell>
          <cell r="D1420" t="str">
            <v>Non-Core</v>
          </cell>
          <cell r="E1420">
            <v>1</v>
          </cell>
          <cell r="F1420" t="str">
            <v>SS24</v>
          </cell>
          <cell r="G1420" t="str">
            <v>XR Textile</v>
          </cell>
          <cell r="H1420" t="str">
            <v>POS</v>
          </cell>
        </row>
        <row r="1421">
          <cell r="A1421" t="str">
            <v>PP01BS-C</v>
          </cell>
          <cell r="B1421" t="str">
            <v>9.36E+12</v>
          </cell>
          <cell r="C1421" t="str">
            <v>NON STOCKED</v>
          </cell>
          <cell r="F1421" t="str">
            <v>AW24</v>
          </cell>
        </row>
        <row r="1422">
          <cell r="A1422" t="str">
            <v>SHIP-ON-ACCOUNT-FEDEX</v>
          </cell>
          <cell r="B1422" t="str">
            <v>8.0101E+10</v>
          </cell>
          <cell r="C1422" t="str">
            <v>NON STOCKED</v>
          </cell>
        </row>
        <row r="1423">
          <cell r="A1423" t="str">
            <v>SHIP-ON-ACCOUNT-UPS</v>
          </cell>
          <cell r="B1423" t="str">
            <v>8.0101E+10</v>
          </cell>
          <cell r="C1423" t="str">
            <v>NON STOCKED</v>
          </cell>
        </row>
        <row r="1424">
          <cell r="A1424" t="str">
            <v>threshold-first</v>
          </cell>
          <cell r="C1424" t="str">
            <v>NON STOCKED</v>
          </cell>
          <cell r="F1424" t="str">
            <v>before AW20</v>
          </cell>
        </row>
        <row r="1425">
          <cell r="A1425" t="str">
            <v>threshold-second</v>
          </cell>
          <cell r="C1425" t="str">
            <v>NON STOCKED</v>
          </cell>
          <cell r="F1425" t="str">
            <v>before AW20</v>
          </cell>
        </row>
        <row r="1426">
          <cell r="A1426" t="str">
            <v>TOWLB-DES-LG-SERENE</v>
          </cell>
          <cell r="B1426" t="str">
            <v>5.061E+12</v>
          </cell>
          <cell r="C1426" t="str">
            <v>NON STOCKED</v>
          </cell>
          <cell r="D1426" t="str">
            <v>Seasonal</v>
          </cell>
          <cell r="E1426">
            <v>40</v>
          </cell>
          <cell r="F1426" t="str">
            <v>SS25</v>
          </cell>
          <cell r="G1426" t="str">
            <v>XR Textile</v>
          </cell>
          <cell r="H1426" t="str">
            <v>TOWLB</v>
          </cell>
          <cell r="I1426" t="str">
            <v>GRS Certified* 83% Post Consumer Recycled Polyester (RM0189) 17% Pre Consumer Recycled Polyamide (RM1084)</v>
          </cell>
        </row>
        <row r="1427">
          <cell r="A1427" t="str">
            <v>TOWLB-DES-XL-SERENE</v>
          </cell>
          <cell r="B1427" t="str">
            <v>5.061E+12</v>
          </cell>
          <cell r="C1427" t="str">
            <v>NON STOCKED</v>
          </cell>
          <cell r="D1427" t="str">
            <v>Seasonal</v>
          </cell>
          <cell r="E1427">
            <v>30</v>
          </cell>
          <cell r="F1427" t="str">
            <v>SS25</v>
          </cell>
          <cell r="G1427" t="str">
            <v>XR Textile</v>
          </cell>
          <cell r="H1427" t="str">
            <v>TOWLB</v>
          </cell>
          <cell r="I1427" t="str">
            <v>GRS Certified* 83% Post Consumer Recycled Polyester (RM0189) 17% Pre Consumer Recycled Polyamide (RM1084)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95"/>
  <sheetViews>
    <sheetView showGridLines="0" tabSelected="1" topLeftCell="B7" zoomScale="115" zoomScaleNormal="115" workbookViewId="0">
      <selection activeCell="G14" sqref="G14"/>
    </sheetView>
  </sheetViews>
  <sheetFormatPr baseColWidth="10" defaultColWidth="12.6640625" defaultRowHeight="15.75" customHeight="1" outlineLevelCol="1"/>
  <cols>
    <col min="1" max="1" width="22.83203125" customWidth="1"/>
    <col min="2" max="2" width="20.5" customWidth="1"/>
    <col min="3" max="3" width="17.33203125" customWidth="1"/>
    <col min="4" max="4" width="88.5" customWidth="1"/>
    <col min="5" max="5" width="20.6640625" customWidth="1"/>
    <col min="6" max="6" width="11" customWidth="1"/>
    <col min="7" max="7" width="22.33203125" customWidth="1"/>
    <col min="8" max="8" width="16" customWidth="1"/>
    <col min="9" max="9" width="5.33203125" customWidth="1" collapsed="1"/>
    <col min="10" max="13" width="12.6640625" hidden="1" customWidth="1" outlineLevel="1"/>
  </cols>
  <sheetData>
    <row r="1" spans="1:13" s="11" customFormat="1" ht="33.75" customHeight="1">
      <c r="A1" s="44" t="s">
        <v>0</v>
      </c>
      <c r="B1" s="45"/>
      <c r="C1" s="45"/>
      <c r="D1" s="45"/>
      <c r="E1" s="45"/>
      <c r="F1" s="45"/>
      <c r="G1" s="45"/>
      <c r="H1" s="46"/>
    </row>
    <row r="2" spans="1:13" s="11" customFormat="1" ht="55" customHeight="1">
      <c r="A2" s="47" t="s">
        <v>1</v>
      </c>
      <c r="B2" s="48"/>
      <c r="C2" s="48"/>
      <c r="D2" s="48"/>
      <c r="E2" s="48"/>
      <c r="F2" s="48"/>
      <c r="G2" s="48"/>
      <c r="H2" s="49"/>
      <c r="J2" s="32" t="s">
        <v>2</v>
      </c>
      <c r="L2" s="33" t="s">
        <v>3</v>
      </c>
      <c r="M2" s="33" t="s">
        <v>2</v>
      </c>
    </row>
    <row r="3" spans="1:13" ht="20">
      <c r="A3" s="50" t="s">
        <v>4</v>
      </c>
      <c r="B3" s="51"/>
      <c r="C3" s="51"/>
      <c r="D3" s="51"/>
      <c r="E3" s="51"/>
      <c r="F3" s="51"/>
      <c r="G3" s="51"/>
      <c r="H3" s="52"/>
      <c r="J3" s="10" t="str">
        <f t="array" ref="J3">INDEX($M$3:$M$15,MATCH($F$6,L$3:L$15,0))</f>
        <v>hs_code_uk</v>
      </c>
      <c r="L3" s="34" t="s">
        <v>5</v>
      </c>
      <c r="M3" s="35" t="s">
        <v>6</v>
      </c>
    </row>
    <row r="4" spans="1:13" ht="16">
      <c r="A4" s="12" t="s">
        <v>7</v>
      </c>
      <c r="B4" s="53" t="s">
        <v>8</v>
      </c>
      <c r="C4" s="51"/>
      <c r="D4" s="51"/>
      <c r="E4" s="13" t="s">
        <v>9</v>
      </c>
      <c r="F4" s="54" t="s">
        <v>10</v>
      </c>
      <c r="G4" s="51"/>
      <c r="H4" s="52"/>
      <c r="L4" s="34" t="s">
        <v>11</v>
      </c>
      <c r="M4" s="35" t="s">
        <v>12</v>
      </c>
    </row>
    <row r="5" spans="1:13" ht="34" customHeight="1">
      <c r="A5" s="62" t="s">
        <v>13</v>
      </c>
      <c r="B5" s="70" t="str">
        <f>_xlfn.IFNA(INDEX(Country!$C$3:$O$3,MATCH($F$6,Country!$C$2:$O$2,0)),"")</f>
        <v>Dock &amp; Bay LTD
3rd Floor 86-90 Paul Street, 
London, England, EC2A 4NE
Attn: Ben Muller
ben@dockandbay.com
+61 404 637 403
Tax number: GB212507156</v>
      </c>
      <c r="C5" s="71"/>
      <c r="D5" s="71"/>
      <c r="E5" s="14" t="s">
        <v>14</v>
      </c>
      <c r="F5" s="58" t="s">
        <v>15</v>
      </c>
      <c r="G5" s="51"/>
      <c r="H5" s="52"/>
      <c r="L5" s="34" t="s">
        <v>16</v>
      </c>
      <c r="M5" s="35" t="s">
        <v>17</v>
      </c>
    </row>
    <row r="6" spans="1:13" ht="34" customHeight="1">
      <c r="A6" s="63"/>
      <c r="B6" s="72"/>
      <c r="C6" s="73"/>
      <c r="D6" s="73"/>
      <c r="E6" s="36" t="s">
        <v>18</v>
      </c>
      <c r="F6" s="76" t="s">
        <v>11</v>
      </c>
      <c r="G6" s="77"/>
      <c r="H6" s="78"/>
      <c r="L6" s="34" t="s">
        <v>19</v>
      </c>
      <c r="M6" s="35" t="s">
        <v>20</v>
      </c>
    </row>
    <row r="7" spans="1:13" ht="34" customHeight="1">
      <c r="A7" s="63"/>
      <c r="B7" s="72"/>
      <c r="C7" s="73"/>
      <c r="D7" s="73"/>
      <c r="E7" s="14" t="s">
        <v>21</v>
      </c>
      <c r="F7" s="58" t="s">
        <v>22</v>
      </c>
      <c r="G7" s="51"/>
      <c r="H7" s="52"/>
      <c r="L7" s="34" t="s">
        <v>23</v>
      </c>
      <c r="M7" s="35" t="s">
        <v>17</v>
      </c>
    </row>
    <row r="8" spans="1:13" ht="34" customHeight="1">
      <c r="A8" s="64"/>
      <c r="B8" s="74"/>
      <c r="C8" s="75"/>
      <c r="D8" s="75"/>
      <c r="E8" s="14" t="s">
        <v>24</v>
      </c>
      <c r="F8" s="58" t="s">
        <v>25</v>
      </c>
      <c r="G8" s="51"/>
      <c r="H8" s="52"/>
      <c r="L8" s="34" t="s">
        <v>26</v>
      </c>
      <c r="M8" s="35" t="s">
        <v>6</v>
      </c>
    </row>
    <row r="9" spans="1:13" ht="55.5" customHeight="1">
      <c r="A9" s="62" t="s">
        <v>27</v>
      </c>
      <c r="B9" s="70" t="str">
        <f>_xlfn.IFNA(INDEX(Country!$C$4:$O$4,MATCH($F$6,Country!$C$2:$O$2,0)),"")</f>
        <v>ILG c/o Dock &amp; Bay
Unit 2 Space Gatwick
Faraday Road
Crawley
RH10 9BJ Ph: 07960 100 293
Attn: Aaron Hale 
aaronh@ilguk.com</v>
      </c>
      <c r="C9" s="71"/>
      <c r="D9" s="71"/>
      <c r="E9" s="15" t="s">
        <v>28</v>
      </c>
      <c r="F9" s="58" t="s">
        <v>29</v>
      </c>
      <c r="G9" s="51"/>
      <c r="H9" s="52"/>
      <c r="L9" s="34" t="s">
        <v>30</v>
      </c>
      <c r="M9" s="35" t="s">
        <v>17</v>
      </c>
    </row>
    <row r="10" spans="1:13" ht="55.5" customHeight="1">
      <c r="A10" s="64"/>
      <c r="B10" s="74"/>
      <c r="C10" s="75"/>
      <c r="D10" s="75"/>
      <c r="E10" s="12" t="s">
        <v>31</v>
      </c>
      <c r="F10" s="79"/>
      <c r="G10" s="51"/>
      <c r="H10" s="52"/>
      <c r="L10" s="34" t="s">
        <v>32</v>
      </c>
      <c r="M10" s="35" t="s">
        <v>17</v>
      </c>
    </row>
    <row r="11" spans="1:13" ht="15">
      <c r="A11" s="82" t="s">
        <v>33</v>
      </c>
      <c r="B11" s="83" t="s">
        <v>34</v>
      </c>
      <c r="C11" s="84" t="s">
        <v>35</v>
      </c>
      <c r="D11" s="84" t="s">
        <v>36</v>
      </c>
      <c r="E11" s="84" t="s">
        <v>2</v>
      </c>
      <c r="F11" s="82" t="s">
        <v>37</v>
      </c>
      <c r="G11" s="82" t="s">
        <v>38</v>
      </c>
      <c r="H11" s="85" t="s">
        <v>39</v>
      </c>
      <c r="L11" s="34" t="s">
        <v>40</v>
      </c>
      <c r="M11" s="35" t="s">
        <v>6</v>
      </c>
    </row>
    <row r="12" spans="1:13" ht="15">
      <c r="A12" s="64"/>
      <c r="B12" s="64"/>
      <c r="C12" s="64"/>
      <c r="D12" s="64"/>
      <c r="E12" s="64"/>
      <c r="F12" s="64"/>
      <c r="G12" s="64"/>
      <c r="H12" s="64"/>
      <c r="L12" s="34" t="s">
        <v>41</v>
      </c>
      <c r="M12" s="35" t="s">
        <v>6</v>
      </c>
    </row>
    <row r="13" spans="1:13" ht="15">
      <c r="A13" s="16" t="s">
        <v>42</v>
      </c>
      <c r="B13" s="19" t="str">
        <f>IFERROR(IF(ISNUMBER(SEARCH("GRS Certified",VLOOKUP(A13,[1]SKU_LOOKUP!A:I,9,FALSE))),"GRS",""),"")</f>
        <v/>
      </c>
      <c r="C13" s="37" t="str">
        <f>IFERROR(IF(ISNUMBER(SEARCH("GRS Certified",VLOOKUP(A13,[1]SKU_LOOKUP!A:I,9,FALSE))),100%,""),"")</f>
        <v/>
      </c>
      <c r="D13" s="18" t="str">
        <f>_xlfn.IFNA(INDEX(SKU_LOOKUP!M2:M2556,MATCH(Invoice!A13,SKU_LOOKUP!A2:A2556,0)),"")</f>
        <v>Small Dry Bag 80% polyester, 20% polyurethane (PU)</v>
      </c>
      <c r="E13" s="38">
        <f>_xlfn.IFNA(INDEX([1]SKU_LOOKUP!$M$2:$S950,MATCH($A13,[1]SKU_LOOKUP!$A$2:$A950,0),MATCH($J$3,[1]SKU_LOOKUP!$M$1:$S$1,0)),"")</f>
        <v>4202220000</v>
      </c>
      <c r="F13" s="19">
        <v>400</v>
      </c>
      <c r="G13" s="19">
        <v>2.73</v>
      </c>
      <c r="H13" s="39">
        <f>F13*G13</f>
        <v>1092</v>
      </c>
      <c r="L13" s="34" t="s">
        <v>43</v>
      </c>
      <c r="M13" s="35" t="s">
        <v>20</v>
      </c>
    </row>
    <row r="14" spans="1:13" ht="13">
      <c r="A14" s="16" t="s">
        <v>44</v>
      </c>
      <c r="B14" s="19" t="str">
        <f>IFERROR(IF(ISNUMBER(SEARCH("GRS Certified",VLOOKUP(A14,[1]SKU_LOOKUP!A:I,9,FALSE))),"GRS",""),"")</f>
        <v/>
      </c>
      <c r="C14" s="37" t="str">
        <f>IFERROR(IF(ISNUMBER(SEARCH("GRS Certified",VLOOKUP(A14,[1]SKU_LOOKUP!A:I,9,FALSE))),100%,""),"")</f>
        <v/>
      </c>
      <c r="D14" s="18" t="str">
        <f>_xlfn.IFNA(INDEX(SKU_LOOKUP!M3:M2557,MATCH(Invoice!A14,SKU_LOOKUP!A3:A2557,0)),"")</f>
        <v>Small Dry Bag 80% polyester, 20% polyurethane (PU)</v>
      </c>
      <c r="E14" s="38">
        <f>_xlfn.IFNA(INDEX([1]SKU_LOOKUP!$M$2:$S951,MATCH($A14,[1]SKU_LOOKUP!$A$2:$A951,0),MATCH($J$3,[1]SKU_LOOKUP!$M$1:$S$1,0)),"")</f>
        <v>4202220000</v>
      </c>
      <c r="F14" s="19">
        <v>500</v>
      </c>
      <c r="G14" s="19">
        <v>2.73</v>
      </c>
      <c r="H14" s="39">
        <f>F14*G14</f>
        <v>1365</v>
      </c>
      <c r="L14" s="34"/>
      <c r="M14" s="34"/>
    </row>
    <row r="15" spans="1:13" ht="13">
      <c r="A15" s="20"/>
      <c r="B15" s="19" t="str">
        <f>IFERROR(IF(ISNUMBER(SEARCH("GRS Certified",VLOOKUP(A15,[1]SKU_LOOKUP!A:I,9,FALSE))),"GRS",""),"")</f>
        <v/>
      </c>
      <c r="C15" s="37" t="str">
        <f>IFERROR(IF(ISNUMBER(SEARCH("GRS Certified",VLOOKUP(A15,[1]SKU_LOOKUP!A:I,9,FALSE))),100%,""),"")</f>
        <v/>
      </c>
      <c r="D15" s="18" t="str">
        <f>_xlfn.IFNA(INDEX(SKU_LOOKUP!M9:M2563,MATCH(Invoice!A15,SKU_LOOKUP!A9:A2563,0)),"")</f>
        <v/>
      </c>
      <c r="E15" s="38" t="str">
        <f>_xlfn.IFNA(INDEX([1]SKU_LOOKUP!$M$2:$S957,MATCH($A15,[1]SKU_LOOKUP!$A$2:$A957,0),MATCH($J$3,[1]SKU_LOOKUP!$M$1:$S$1,0)),"")</f>
        <v/>
      </c>
      <c r="F15" s="19"/>
      <c r="G15" s="19"/>
      <c r="H15" s="39">
        <f t="shared" ref="H15:H34" si="0">F15*G15</f>
        <v>0</v>
      </c>
      <c r="L15" s="34"/>
      <c r="M15" s="34"/>
    </row>
    <row r="16" spans="1:13" ht="13">
      <c r="A16" s="20"/>
      <c r="B16" s="19" t="str">
        <f>IFERROR(IF(ISNUMBER(SEARCH("GRS Certified",VLOOKUP(A16,[1]SKU_LOOKUP!A:I,9,FALSE))),"GRS",""),"")</f>
        <v/>
      </c>
      <c r="C16" s="37" t="str">
        <f>IFERROR(IF(ISNUMBER(SEARCH("GRS Certified",VLOOKUP(A16,[1]SKU_LOOKUP!A:I,9,FALSE))),100%,""),"")</f>
        <v/>
      </c>
      <c r="D16" s="18" t="str">
        <f>_xlfn.IFNA(INDEX(SKU_LOOKUP!M10:M2564,MATCH(Invoice!A16,SKU_LOOKUP!A10:A2564,0)),"")</f>
        <v/>
      </c>
      <c r="E16" s="38" t="str">
        <f>_xlfn.IFNA(INDEX([1]SKU_LOOKUP!$M$2:$S958,MATCH($A16,[1]SKU_LOOKUP!$A$2:$A958,0),MATCH($J$3,[1]SKU_LOOKUP!$M$1:$S$1,0)),"")</f>
        <v/>
      </c>
      <c r="F16" s="19"/>
      <c r="G16" s="19"/>
      <c r="H16" s="39">
        <f t="shared" si="0"/>
        <v>0</v>
      </c>
    </row>
    <row r="17" spans="1:8" ht="13">
      <c r="A17" s="20"/>
      <c r="B17" s="19" t="str">
        <f>IFERROR(IF(ISNUMBER(SEARCH("GRS Certified",VLOOKUP(A17,[1]SKU_LOOKUP!A:I,9,FALSE))),"GRS",""),"")</f>
        <v/>
      </c>
      <c r="C17" s="37" t="str">
        <f>IFERROR(IF(ISNUMBER(SEARCH("GRS Certified",VLOOKUP(A17,[1]SKU_LOOKUP!A:I,9,FALSE))),100%,""),"")</f>
        <v/>
      </c>
      <c r="D17" s="18" t="str">
        <f>_xlfn.IFNA(INDEX(SKU_LOOKUP!M11:M2565,MATCH(Invoice!A17,SKU_LOOKUP!A11:A2565,0)),"")</f>
        <v/>
      </c>
      <c r="E17" s="38" t="str">
        <f>_xlfn.IFNA(INDEX([1]SKU_LOOKUP!$M$2:$S959,MATCH($A17,[1]SKU_LOOKUP!$A$2:$A959,0),MATCH($J$3,[1]SKU_LOOKUP!$M$1:$S$1,0)),"")</f>
        <v/>
      </c>
      <c r="F17" s="19"/>
      <c r="G17" s="19"/>
      <c r="H17" s="39">
        <f t="shared" si="0"/>
        <v>0</v>
      </c>
    </row>
    <row r="18" spans="1:8" ht="13">
      <c r="A18" s="20"/>
      <c r="B18" s="19" t="str">
        <f>IFERROR(IF(ISNUMBER(SEARCH("GRS Certified",VLOOKUP(A18,[1]SKU_LOOKUP!A:I,9,FALSE))),"GRS",""),"")</f>
        <v/>
      </c>
      <c r="C18" s="37" t="str">
        <f>IFERROR(IF(ISNUMBER(SEARCH("GRS Certified",VLOOKUP(A18,[1]SKU_LOOKUP!A:I,9,FALSE))),100%,""),"")</f>
        <v/>
      </c>
      <c r="D18" s="18" t="str">
        <f>_xlfn.IFNA(INDEX(SKU_LOOKUP!M12:M2566,MATCH(Invoice!A18,SKU_LOOKUP!A12:A2566,0)),"")</f>
        <v/>
      </c>
      <c r="E18" s="38" t="str">
        <f>_xlfn.IFNA(INDEX([1]SKU_LOOKUP!$M$2:$S960,MATCH($A18,[1]SKU_LOOKUP!$A$2:$A960,0),MATCH($J$3,[1]SKU_LOOKUP!$M$1:$S$1,0)),"")</f>
        <v/>
      </c>
      <c r="F18" s="19"/>
      <c r="G18" s="19"/>
      <c r="H18" s="39">
        <f t="shared" si="0"/>
        <v>0</v>
      </c>
    </row>
    <row r="19" spans="1:8" ht="13">
      <c r="A19" s="20"/>
      <c r="B19" s="19" t="str">
        <f>IFERROR(IF(ISNUMBER(SEARCH("GRS Certified",VLOOKUP(A19,[1]SKU_LOOKUP!A:I,9,FALSE))),"GRS",""),"")</f>
        <v/>
      </c>
      <c r="C19" s="37" t="str">
        <f>IFERROR(IF(ISNUMBER(SEARCH("GRS Certified",VLOOKUP(A19,[1]SKU_LOOKUP!A:I,9,FALSE))),100%,""),"")</f>
        <v/>
      </c>
      <c r="D19" s="18" t="str">
        <f>_xlfn.IFNA(INDEX(SKU_LOOKUP!M13:M2567,MATCH(Invoice!A19,SKU_LOOKUP!A13:A2567,0)),"")</f>
        <v/>
      </c>
      <c r="E19" s="38" t="str">
        <f>_xlfn.IFNA(INDEX([1]SKU_LOOKUP!$M$2:$S961,MATCH($A19,[1]SKU_LOOKUP!$A$2:$A961,0),MATCH($J$3,[1]SKU_LOOKUP!$M$1:$S$1,0)),"")</f>
        <v/>
      </c>
      <c r="F19" s="19"/>
      <c r="G19" s="19"/>
      <c r="H19" s="39">
        <f t="shared" si="0"/>
        <v>0</v>
      </c>
    </row>
    <row r="20" spans="1:8" ht="13">
      <c r="A20" s="20"/>
      <c r="B20" s="19" t="str">
        <f>IFERROR(IF(ISNUMBER(SEARCH("GRS Certified",VLOOKUP(A20,[1]SKU_LOOKUP!A:I,9,FALSE))),"GRS",""),"")</f>
        <v/>
      </c>
      <c r="C20" s="37" t="str">
        <f>IFERROR(IF(ISNUMBER(SEARCH("GRS Certified",VLOOKUP(A20,[1]SKU_LOOKUP!A:I,9,FALSE))),100%,""),"")</f>
        <v/>
      </c>
      <c r="D20" s="18" t="str">
        <f>_xlfn.IFNA(INDEX(SKU_LOOKUP!M14:M2568,MATCH(Invoice!A20,SKU_LOOKUP!A14:A2568,0)),"")</f>
        <v/>
      </c>
      <c r="E20" s="38" t="str">
        <f>_xlfn.IFNA(INDEX([1]SKU_LOOKUP!$M$2:$S962,MATCH($A20,[1]SKU_LOOKUP!$A$2:$A962,0),MATCH($J$3,[1]SKU_LOOKUP!$M$1:$S$1,0)),"")</f>
        <v/>
      </c>
      <c r="F20" s="19"/>
      <c r="G20" s="19"/>
      <c r="H20" s="39">
        <f t="shared" si="0"/>
        <v>0</v>
      </c>
    </row>
    <row r="21" spans="1:8" ht="13">
      <c r="A21" s="20"/>
      <c r="B21" s="19" t="str">
        <f>IFERROR(IF(ISNUMBER(SEARCH("GRS Certified",VLOOKUP(A21,[1]SKU_LOOKUP!A:I,9,FALSE))),"GRS",""),"")</f>
        <v/>
      </c>
      <c r="C21" s="37" t="str">
        <f>IFERROR(IF(ISNUMBER(SEARCH("GRS Certified",VLOOKUP(A21,[1]SKU_LOOKUP!A:I,9,FALSE))),100%,""),"")</f>
        <v/>
      </c>
      <c r="D21" s="18" t="str">
        <f>_xlfn.IFNA(INDEX(SKU_LOOKUP!M15:M2569,MATCH(Invoice!A21,SKU_LOOKUP!A15:A2569,0)),"")</f>
        <v/>
      </c>
      <c r="E21" s="38" t="str">
        <f>_xlfn.IFNA(INDEX([1]SKU_LOOKUP!$M$2:$S963,MATCH($A21,[1]SKU_LOOKUP!$A$2:$A963,0),MATCH($J$3,[1]SKU_LOOKUP!$M$1:$S$1,0)),"")</f>
        <v/>
      </c>
      <c r="F21" s="19"/>
      <c r="G21" s="19"/>
      <c r="H21" s="39">
        <f t="shared" si="0"/>
        <v>0</v>
      </c>
    </row>
    <row r="22" spans="1:8" ht="13">
      <c r="A22" s="20"/>
      <c r="B22" s="19" t="str">
        <f>IFERROR(IF(ISNUMBER(SEARCH("GRS Certified",VLOOKUP(A22,[1]SKU_LOOKUP!A:I,9,FALSE))),"GRS",""),"")</f>
        <v/>
      </c>
      <c r="C22" s="37" t="str">
        <f>IFERROR(IF(ISNUMBER(SEARCH("GRS Certified",VLOOKUP(A22,[1]SKU_LOOKUP!A:I,9,FALSE))),100%,""),"")</f>
        <v/>
      </c>
      <c r="D22" s="18" t="str">
        <f>_xlfn.IFNA(INDEX(SKU_LOOKUP!M16:M2570,MATCH(Invoice!A22,SKU_LOOKUP!A16:A2570,0)),"")</f>
        <v/>
      </c>
      <c r="E22" s="38" t="str">
        <f>_xlfn.IFNA(INDEX([1]SKU_LOOKUP!$M$2:$S964,MATCH($A22,[1]SKU_LOOKUP!$A$2:$A964,0),MATCH($J$3,[1]SKU_LOOKUP!$M$1:$S$1,0)),"")</f>
        <v/>
      </c>
      <c r="F22" s="19"/>
      <c r="G22" s="19"/>
      <c r="H22" s="39">
        <f t="shared" si="0"/>
        <v>0</v>
      </c>
    </row>
    <row r="23" spans="1:8" ht="13">
      <c r="A23" s="20"/>
      <c r="B23" s="19" t="str">
        <f>IFERROR(IF(ISNUMBER(SEARCH("GRS Certified",VLOOKUP(A23,[1]SKU_LOOKUP!A:I,9,FALSE))),"GRS",""),"")</f>
        <v/>
      </c>
      <c r="C23" s="37" t="str">
        <f>IFERROR(IF(ISNUMBER(SEARCH("GRS Certified",VLOOKUP(A23,[1]SKU_LOOKUP!A:I,9,FALSE))),100%,""),"")</f>
        <v/>
      </c>
      <c r="D23" s="18" t="str">
        <f>_xlfn.IFNA(INDEX(SKU_LOOKUP!M17:M2571,MATCH(Invoice!A23,SKU_LOOKUP!A17:A2571,0)),"")</f>
        <v/>
      </c>
      <c r="E23" s="38" t="str">
        <f>_xlfn.IFNA(INDEX([1]SKU_LOOKUP!$M$2:$S965,MATCH($A23,[1]SKU_LOOKUP!$A$2:$A965,0),MATCH($J$3,[1]SKU_LOOKUP!$M$1:$S$1,0)),"")</f>
        <v/>
      </c>
      <c r="F23" s="19"/>
      <c r="G23" s="19"/>
      <c r="H23" s="39">
        <f t="shared" si="0"/>
        <v>0</v>
      </c>
    </row>
    <row r="24" spans="1:8" ht="13">
      <c r="A24" s="20"/>
      <c r="B24" s="19" t="str">
        <f>IFERROR(IF(ISNUMBER(SEARCH("GRS Certified",VLOOKUP(A24,[1]SKU_LOOKUP!A:I,9,FALSE))),"GRS",""),"")</f>
        <v/>
      </c>
      <c r="C24" s="37" t="str">
        <f>IFERROR(IF(ISNUMBER(SEARCH("GRS Certified",VLOOKUP(A24,[1]SKU_LOOKUP!A:I,9,FALSE))),100%,""),"")</f>
        <v/>
      </c>
      <c r="D24" s="18" t="str">
        <f>_xlfn.IFNA(INDEX(SKU_LOOKUP!M18:M2572,MATCH(Invoice!A24,SKU_LOOKUP!A18:A2572,0)),"")</f>
        <v/>
      </c>
      <c r="E24" s="38" t="str">
        <f>_xlfn.IFNA(INDEX([1]SKU_LOOKUP!$M$2:$S966,MATCH($A24,[1]SKU_LOOKUP!$A$2:$A966,0),MATCH($J$3,[1]SKU_LOOKUP!$M$1:$S$1,0)),"")</f>
        <v/>
      </c>
      <c r="F24" s="19"/>
      <c r="G24" s="19"/>
      <c r="H24" s="39">
        <f t="shared" si="0"/>
        <v>0</v>
      </c>
    </row>
    <row r="25" spans="1:8" ht="13">
      <c r="A25" s="20"/>
      <c r="B25" s="19" t="str">
        <f>IFERROR(IF(ISNUMBER(SEARCH("GRS Certified",VLOOKUP(A25,[1]SKU_LOOKUP!A:I,9,FALSE))),"GRS",""),"")</f>
        <v/>
      </c>
      <c r="C25" s="37" t="str">
        <f>IFERROR(IF(ISNUMBER(SEARCH("GRS Certified",VLOOKUP(A25,[1]SKU_LOOKUP!A:I,9,FALSE))),100%,""),"")</f>
        <v/>
      </c>
      <c r="D25" s="18" t="str">
        <f>_xlfn.IFNA(INDEX(SKU_LOOKUP!M19:M2573,MATCH(Invoice!A25,SKU_LOOKUP!A19:A2573,0)),"")</f>
        <v/>
      </c>
      <c r="E25" s="38" t="str">
        <f>_xlfn.IFNA(INDEX([1]SKU_LOOKUP!$M$2:$S967,MATCH($A25,[1]SKU_LOOKUP!$A$2:$A967,0),MATCH($J$3,[1]SKU_LOOKUP!$M$1:$S$1,0)),"")</f>
        <v/>
      </c>
      <c r="F25" s="19"/>
      <c r="G25" s="19"/>
      <c r="H25" s="39">
        <f t="shared" si="0"/>
        <v>0</v>
      </c>
    </row>
    <row r="26" spans="1:8" ht="13">
      <c r="A26" s="20"/>
      <c r="B26" s="19" t="str">
        <f>IFERROR(IF(ISNUMBER(SEARCH("GRS Certified",VLOOKUP(A26,[1]SKU_LOOKUP!A:I,9,FALSE))),"GRS",""),"")</f>
        <v/>
      </c>
      <c r="C26" s="37" t="str">
        <f>IFERROR(IF(ISNUMBER(SEARCH("GRS Certified",VLOOKUP(A26,[1]SKU_LOOKUP!A:I,9,FALSE))),100%,""),"")</f>
        <v/>
      </c>
      <c r="D26" s="18" t="str">
        <f>_xlfn.IFNA(INDEX(SKU_LOOKUP!M20:M2574,MATCH(Invoice!A26,SKU_LOOKUP!A20:A2574,0)),"")</f>
        <v/>
      </c>
      <c r="E26" s="38" t="str">
        <f>_xlfn.IFNA(INDEX([1]SKU_LOOKUP!$M$2:$S968,MATCH($A26,[1]SKU_LOOKUP!$A$2:$A968,0),MATCH($J$3,[1]SKU_LOOKUP!$M$1:$S$1,0)),"")</f>
        <v/>
      </c>
      <c r="F26" s="19"/>
      <c r="G26" s="19"/>
      <c r="H26" s="39">
        <f t="shared" si="0"/>
        <v>0</v>
      </c>
    </row>
    <row r="27" spans="1:8" ht="13">
      <c r="A27" s="20"/>
      <c r="B27" s="19" t="str">
        <f>IFERROR(IF(ISNUMBER(SEARCH("GRS Certified",VLOOKUP(A27,[1]SKU_LOOKUP!A:I,9,FALSE))),"GRS",""),"")</f>
        <v/>
      </c>
      <c r="C27" s="37" t="str">
        <f>IFERROR(IF(ISNUMBER(SEARCH("GRS Certified",VLOOKUP(A27,[1]SKU_LOOKUP!A:I,9,FALSE))),100%,""),"")</f>
        <v/>
      </c>
      <c r="D27" s="18" t="str">
        <f>_xlfn.IFNA(INDEX(SKU_LOOKUP!M21:M2575,MATCH(Invoice!A27,SKU_LOOKUP!A21:A2575,0)),"")</f>
        <v/>
      </c>
      <c r="E27" s="38" t="str">
        <f>_xlfn.IFNA(INDEX([1]SKU_LOOKUP!$M$2:$S969,MATCH($A27,[1]SKU_LOOKUP!$A$2:$A969,0),MATCH($J$3,[1]SKU_LOOKUP!$M$1:$S$1,0)),"")</f>
        <v/>
      </c>
      <c r="F27" s="19"/>
      <c r="G27" s="19"/>
      <c r="H27" s="39">
        <f t="shared" si="0"/>
        <v>0</v>
      </c>
    </row>
    <row r="28" spans="1:8" ht="13">
      <c r="A28" s="20"/>
      <c r="B28" s="19" t="str">
        <f>IFERROR(IF(ISNUMBER(SEARCH("GRS Certified",VLOOKUP(A28,[1]SKU_LOOKUP!A:I,9,FALSE))),"GRS",""),"")</f>
        <v/>
      </c>
      <c r="C28" s="37" t="str">
        <f>IFERROR(IF(ISNUMBER(SEARCH("GRS Certified",VLOOKUP(A28,[1]SKU_LOOKUP!A:I,9,FALSE))),100%,""),"")</f>
        <v/>
      </c>
      <c r="D28" s="18" t="str">
        <f>_xlfn.IFNA(INDEX(SKU_LOOKUP!M22:M2576,MATCH(Invoice!A28,SKU_LOOKUP!A22:A2576,0)),"")</f>
        <v/>
      </c>
      <c r="E28" s="38" t="str">
        <f>_xlfn.IFNA(INDEX([1]SKU_LOOKUP!$M$2:$S970,MATCH($A28,[1]SKU_LOOKUP!$A$2:$A970,0),MATCH($J$3,[1]SKU_LOOKUP!$M$1:$S$1,0)),"")</f>
        <v/>
      </c>
      <c r="F28" s="19"/>
      <c r="G28" s="19"/>
      <c r="H28" s="39">
        <f t="shared" si="0"/>
        <v>0</v>
      </c>
    </row>
    <row r="29" spans="1:8" ht="13">
      <c r="A29" s="20"/>
      <c r="B29" s="19" t="str">
        <f>IFERROR(IF(ISNUMBER(SEARCH("GRS Certified",VLOOKUP(A29,[1]SKU_LOOKUP!A:I,9,FALSE))),"GRS",""),"")</f>
        <v/>
      </c>
      <c r="C29" s="37" t="str">
        <f>IFERROR(IF(ISNUMBER(SEARCH("GRS Certified",VLOOKUP(A29,[1]SKU_LOOKUP!A:I,9,FALSE))),100%,""),"")</f>
        <v/>
      </c>
      <c r="D29" s="18" t="str">
        <f>_xlfn.IFNA(INDEX(SKU_LOOKUP!M23:M2577,MATCH(Invoice!A29,SKU_LOOKUP!A23:A2577,0)),"")</f>
        <v/>
      </c>
      <c r="E29" s="38" t="str">
        <f>_xlfn.IFNA(INDEX([1]SKU_LOOKUP!$M$2:$S971,MATCH($A29,[1]SKU_LOOKUP!$A$2:$A971,0),MATCH($J$3,[1]SKU_LOOKUP!$M$1:$S$1,0)),"")</f>
        <v/>
      </c>
      <c r="F29" s="19"/>
      <c r="G29" s="19"/>
      <c r="H29" s="39">
        <f t="shared" si="0"/>
        <v>0</v>
      </c>
    </row>
    <row r="30" spans="1:8" ht="13">
      <c r="A30" s="20"/>
      <c r="B30" s="19" t="str">
        <f>IFERROR(IF(ISNUMBER(SEARCH("GRS Certified",VLOOKUP(A30,[1]SKU_LOOKUP!A:I,9,FALSE))),"GRS",""),"")</f>
        <v/>
      </c>
      <c r="C30" s="37" t="str">
        <f>IFERROR(IF(ISNUMBER(SEARCH("GRS Certified",VLOOKUP(A30,[1]SKU_LOOKUP!A:I,9,FALSE))),100%,""),"")</f>
        <v/>
      </c>
      <c r="D30" s="18" t="str">
        <f>_xlfn.IFNA(INDEX(SKU_LOOKUP!M24:M2578,MATCH(Invoice!A30,SKU_LOOKUP!A24:A2578,0)),"")</f>
        <v/>
      </c>
      <c r="E30" s="38" t="str">
        <f>_xlfn.IFNA(INDEX([1]SKU_LOOKUP!$M$2:$S972,MATCH($A30,[1]SKU_LOOKUP!$A$2:$A972,0),MATCH($J$3,[1]SKU_LOOKUP!$M$1:$S$1,0)),"")</f>
        <v/>
      </c>
      <c r="F30" s="19"/>
      <c r="G30" s="19"/>
      <c r="H30" s="39">
        <f t="shared" si="0"/>
        <v>0</v>
      </c>
    </row>
    <row r="31" spans="1:8" ht="13">
      <c r="A31" s="20"/>
      <c r="B31" s="19" t="str">
        <f>IFERROR(IF(ISNUMBER(SEARCH("GRS Certified",VLOOKUP(A31,[1]SKU_LOOKUP!A:I,9,FALSE))),"GRS",""),"")</f>
        <v/>
      </c>
      <c r="C31" s="37" t="str">
        <f>IFERROR(IF(ISNUMBER(SEARCH("GRS Certified",VLOOKUP(A31,[1]SKU_LOOKUP!A:I,9,FALSE))),100%,""),"")</f>
        <v/>
      </c>
      <c r="D31" s="18" t="str">
        <f>_xlfn.IFNA(INDEX(SKU_LOOKUP!M25:M2579,MATCH(Invoice!A31,SKU_LOOKUP!A25:A2579,0)),"")</f>
        <v/>
      </c>
      <c r="E31" s="38" t="str">
        <f>_xlfn.IFNA(INDEX([1]SKU_LOOKUP!$M$2:$S973,MATCH($A31,[1]SKU_LOOKUP!$A$2:$A973,0),MATCH($J$3,[1]SKU_LOOKUP!$M$1:$S$1,0)),"")</f>
        <v/>
      </c>
      <c r="F31" s="19"/>
      <c r="G31" s="19"/>
      <c r="H31" s="39">
        <f t="shared" si="0"/>
        <v>0</v>
      </c>
    </row>
    <row r="32" spans="1:8" ht="13">
      <c r="A32" s="20"/>
      <c r="B32" s="19" t="str">
        <f>IFERROR(IF(ISNUMBER(SEARCH("GRS Certified",VLOOKUP(A32,[1]SKU_LOOKUP!A:I,9,FALSE))),"GRS",""),"")</f>
        <v/>
      </c>
      <c r="C32" s="37" t="str">
        <f>IFERROR(IF(ISNUMBER(SEARCH("GRS Certified",VLOOKUP(A32,[1]SKU_LOOKUP!A:I,9,FALSE))),100%,""),"")</f>
        <v/>
      </c>
      <c r="D32" s="18" t="str">
        <f>_xlfn.IFNA(INDEX(SKU_LOOKUP!M26:M2580,MATCH(Invoice!A32,SKU_LOOKUP!A26:A2580,0)),"")</f>
        <v/>
      </c>
      <c r="E32" s="38" t="str">
        <f>_xlfn.IFNA(INDEX([1]SKU_LOOKUP!$M$2:$S974,MATCH($A32,[1]SKU_LOOKUP!$A$2:$A974,0),MATCH($J$3,[1]SKU_LOOKUP!$M$1:$S$1,0)),"")</f>
        <v/>
      </c>
      <c r="F32" s="19"/>
      <c r="G32" s="19"/>
      <c r="H32" s="39">
        <f t="shared" si="0"/>
        <v>0</v>
      </c>
    </row>
    <row r="33" spans="1:9" ht="13">
      <c r="A33" s="20"/>
      <c r="B33" s="19" t="str">
        <f>IFERROR(IF(ISNUMBER(SEARCH("GRS Certified",VLOOKUP(A33,[1]SKU_LOOKUP!A:I,9,FALSE))),"GRS",""),"")</f>
        <v/>
      </c>
      <c r="C33" s="37" t="str">
        <f>IFERROR(IF(ISNUMBER(SEARCH("GRS Certified",VLOOKUP(A33,[1]SKU_LOOKUP!A:I,9,FALSE))),100%,""),"")</f>
        <v/>
      </c>
      <c r="D33" s="18" t="str">
        <f>_xlfn.IFNA(INDEX(SKU_LOOKUP!M27:M2581,MATCH(Invoice!A33,SKU_LOOKUP!A27:A2581,0)),"")</f>
        <v/>
      </c>
      <c r="E33" s="38" t="str">
        <f>_xlfn.IFNA(INDEX([1]SKU_LOOKUP!$M$2:$S975,MATCH($A33,[1]SKU_LOOKUP!$A$2:$A975,0),MATCH($J$3,[1]SKU_LOOKUP!$M$1:$S$1,0)),"")</f>
        <v/>
      </c>
      <c r="F33" s="19"/>
      <c r="G33" s="19"/>
      <c r="H33" s="39">
        <f t="shared" si="0"/>
        <v>0</v>
      </c>
    </row>
    <row r="34" spans="1:9" ht="13">
      <c r="A34" s="20"/>
      <c r="B34" s="19" t="str">
        <f>IFERROR(IF(ISNUMBER(SEARCH("GRS Certified",VLOOKUP(A34,[1]SKU_LOOKUP!A:I,9,FALSE))),"GRS",""),"")</f>
        <v/>
      </c>
      <c r="C34" s="37" t="str">
        <f>IFERROR(IF(ISNUMBER(SEARCH("GRS Certified",VLOOKUP(A34,[1]SKU_LOOKUP!A:I,9,FALSE))),100%,""),"")</f>
        <v/>
      </c>
      <c r="D34" s="18" t="str">
        <f>_xlfn.IFNA(INDEX(SKU_LOOKUP!M28:M2582,MATCH(Invoice!A34,SKU_LOOKUP!A28:A2582,0)),"")</f>
        <v/>
      </c>
      <c r="E34" s="38" t="str">
        <f>_xlfn.IFNA(INDEX([1]SKU_LOOKUP!$M$2:$S976,MATCH($A34,[1]SKU_LOOKUP!$A$2:$A976,0),MATCH($J$3,[1]SKU_LOOKUP!$M$1:$S$1,0)),"")</f>
        <v/>
      </c>
      <c r="F34" s="19"/>
      <c r="G34" s="19"/>
      <c r="H34" s="39">
        <f t="shared" si="0"/>
        <v>0</v>
      </c>
    </row>
    <row r="35" spans="1:9" ht="13">
      <c r="A35" s="80" t="s">
        <v>45</v>
      </c>
      <c r="B35" s="51"/>
      <c r="C35" s="51"/>
      <c r="D35" s="52"/>
      <c r="E35" s="40" t="s">
        <v>46</v>
      </c>
      <c r="F35" s="41">
        <f>SUM(F13:F34)</f>
        <v>900</v>
      </c>
      <c r="G35" s="41"/>
      <c r="H35" s="41">
        <f>SUM(H13:H34)</f>
        <v>2457</v>
      </c>
    </row>
    <row r="36" spans="1:9" ht="27.75" customHeight="1">
      <c r="A36" s="81" t="s">
        <v>47</v>
      </c>
      <c r="B36" s="61"/>
      <c r="C36" s="61"/>
      <c r="D36" s="61"/>
      <c r="E36" s="61"/>
      <c r="F36" s="61"/>
      <c r="G36" s="61"/>
      <c r="H36" s="61"/>
    </row>
    <row r="37" spans="1:9" ht="13">
      <c r="A37" s="42"/>
      <c r="B37" s="43"/>
      <c r="C37" s="43"/>
      <c r="D37" s="43"/>
      <c r="E37" s="43"/>
      <c r="F37" s="43"/>
      <c r="G37" s="43"/>
      <c r="H37" s="43"/>
    </row>
    <row r="38" spans="1:9" ht="13">
      <c r="A38" s="23" t="s">
        <v>48</v>
      </c>
      <c r="B38" s="24"/>
      <c r="C38" s="25"/>
      <c r="D38" s="25"/>
      <c r="E38" s="25"/>
      <c r="F38" s="25"/>
      <c r="G38" s="24" t="s">
        <v>48</v>
      </c>
      <c r="H38" s="25"/>
    </row>
    <row r="39" spans="1:9" ht="13">
      <c r="A39" s="23" t="s">
        <v>49</v>
      </c>
      <c r="B39" s="25"/>
      <c r="C39" s="25"/>
      <c r="D39" s="25"/>
      <c r="E39" s="25"/>
      <c r="F39" s="25"/>
      <c r="G39" s="24" t="s">
        <v>49</v>
      </c>
      <c r="H39" s="25"/>
      <c r="I39" s="29"/>
    </row>
    <row r="40" spans="1:9" ht="13">
      <c r="A40" s="25"/>
      <c r="B40" s="25"/>
      <c r="C40" s="25"/>
      <c r="D40" s="25"/>
      <c r="E40" s="25"/>
      <c r="F40" s="25"/>
      <c r="G40" s="25"/>
      <c r="H40" s="25"/>
      <c r="I40" s="25"/>
    </row>
    <row r="41" spans="1:9" ht="13">
      <c r="A41" s="25"/>
      <c r="B41" s="25"/>
      <c r="C41" s="25"/>
      <c r="D41" s="25"/>
      <c r="E41" s="25"/>
      <c r="F41" s="25"/>
      <c r="G41" s="25"/>
      <c r="H41" s="25"/>
      <c r="I41" s="25"/>
    </row>
    <row r="42" spans="1:9" ht="13">
      <c r="A42" s="25"/>
      <c r="B42" s="25"/>
      <c r="C42" s="25"/>
      <c r="D42" s="25"/>
      <c r="E42" s="25"/>
      <c r="F42" s="25"/>
      <c r="G42" s="25"/>
      <c r="H42" s="25"/>
      <c r="I42" s="25"/>
    </row>
    <row r="43" spans="1:9" ht="13">
      <c r="A43" s="25"/>
      <c r="B43" s="25"/>
      <c r="C43" s="25"/>
      <c r="D43" s="25"/>
      <c r="E43" s="25"/>
      <c r="F43" s="25"/>
      <c r="G43" s="25"/>
      <c r="H43" s="25"/>
      <c r="I43" s="25"/>
    </row>
    <row r="44" spans="1:9" ht="13">
      <c r="A44" s="25"/>
      <c r="B44" s="25"/>
      <c r="C44" s="25"/>
      <c r="D44" s="25"/>
      <c r="E44" s="25"/>
      <c r="F44" s="25"/>
      <c r="G44" s="25"/>
      <c r="H44" s="25"/>
      <c r="I44" s="25"/>
    </row>
    <row r="45" spans="1:9" ht="13">
      <c r="A45" s="25"/>
      <c r="B45" s="25"/>
      <c r="C45" s="25"/>
      <c r="D45" s="25"/>
      <c r="E45" s="25"/>
      <c r="F45" s="25"/>
      <c r="G45" s="25"/>
      <c r="H45" s="25"/>
      <c r="I45" s="25"/>
    </row>
    <row r="46" spans="1:9" ht="13">
      <c r="A46" s="25"/>
      <c r="B46" s="25"/>
      <c r="C46" s="25"/>
      <c r="D46" s="25"/>
      <c r="E46" s="25"/>
      <c r="F46" s="25"/>
      <c r="G46" s="25"/>
      <c r="H46" s="25"/>
      <c r="I46" s="25"/>
    </row>
    <row r="47" spans="1:9" ht="13">
      <c r="A47" s="25"/>
      <c r="B47" s="25"/>
      <c r="C47" s="25"/>
      <c r="D47" s="25"/>
      <c r="E47" s="25"/>
      <c r="F47" s="25"/>
      <c r="G47" s="25"/>
      <c r="H47" s="25"/>
      <c r="I47" s="25"/>
    </row>
    <row r="48" spans="1:9" ht="13">
      <c r="A48" s="25"/>
      <c r="B48" s="25"/>
      <c r="C48" s="25"/>
      <c r="D48" s="25"/>
      <c r="E48" s="25"/>
      <c r="F48" s="25"/>
      <c r="G48" s="25"/>
      <c r="H48" s="25"/>
      <c r="I48" s="25"/>
    </row>
    <row r="49" spans="1:9" ht="13">
      <c r="A49" s="25"/>
      <c r="B49" s="25"/>
      <c r="C49" s="25"/>
      <c r="D49" s="25"/>
      <c r="E49" s="25"/>
      <c r="F49" s="25"/>
      <c r="G49" s="25"/>
      <c r="H49" s="25"/>
      <c r="I49" s="25"/>
    </row>
    <row r="50" spans="1:9" ht="13">
      <c r="A50" s="25"/>
      <c r="B50" s="25"/>
      <c r="C50" s="25"/>
      <c r="D50" s="25"/>
      <c r="E50" s="25"/>
      <c r="F50" s="25"/>
      <c r="G50" s="25"/>
      <c r="H50" s="25"/>
      <c r="I50" s="25"/>
    </row>
    <row r="51" spans="1:9" ht="13">
      <c r="A51" s="25"/>
      <c r="B51" s="25"/>
      <c r="C51" s="25"/>
      <c r="D51" s="25"/>
      <c r="E51" s="25"/>
      <c r="F51" s="25"/>
      <c r="G51" s="25"/>
      <c r="H51" s="25"/>
      <c r="I51" s="25"/>
    </row>
    <row r="52" spans="1:9" ht="13">
      <c r="A52" s="25"/>
      <c r="B52" s="25"/>
      <c r="C52" s="25"/>
      <c r="D52" s="25"/>
      <c r="E52" s="25"/>
      <c r="F52" s="25"/>
      <c r="G52" s="25"/>
      <c r="H52" s="25"/>
      <c r="I52" s="25"/>
    </row>
    <row r="53" spans="1:9" ht="13">
      <c r="A53" s="25"/>
      <c r="B53" s="25"/>
      <c r="C53" s="25"/>
      <c r="D53" s="25"/>
      <c r="E53" s="25"/>
      <c r="F53" s="25"/>
      <c r="G53" s="25"/>
      <c r="H53" s="25"/>
      <c r="I53" s="25"/>
    </row>
    <row r="54" spans="1:9" ht="13">
      <c r="A54" s="25"/>
      <c r="B54" s="25"/>
      <c r="C54" s="25"/>
      <c r="D54" s="25"/>
      <c r="E54" s="25"/>
      <c r="F54" s="25"/>
      <c r="G54" s="25"/>
      <c r="H54" s="25"/>
      <c r="I54" s="25"/>
    </row>
    <row r="55" spans="1:9" ht="13">
      <c r="A55" s="25"/>
      <c r="B55" s="25"/>
      <c r="C55" s="25"/>
      <c r="D55" s="25"/>
      <c r="E55" s="25"/>
      <c r="F55" s="25"/>
      <c r="G55" s="25"/>
      <c r="H55" s="25"/>
      <c r="I55" s="25"/>
    </row>
    <row r="56" spans="1:9" ht="13">
      <c r="A56" s="25"/>
      <c r="B56" s="25"/>
      <c r="C56" s="25"/>
      <c r="D56" s="25"/>
      <c r="E56" s="25"/>
      <c r="F56" s="25"/>
      <c r="G56" s="25"/>
      <c r="H56" s="25"/>
      <c r="I56" s="25"/>
    </row>
    <row r="57" spans="1:9" ht="13">
      <c r="A57" s="25"/>
      <c r="B57" s="25"/>
      <c r="C57" s="25"/>
      <c r="D57" s="25"/>
      <c r="E57" s="25"/>
      <c r="F57" s="25"/>
      <c r="G57" s="25"/>
      <c r="H57" s="25"/>
      <c r="I57" s="25"/>
    </row>
    <row r="58" spans="1:9" ht="13">
      <c r="A58" s="25"/>
      <c r="B58" s="25"/>
      <c r="C58" s="25"/>
      <c r="D58" s="25"/>
      <c r="E58" s="25"/>
      <c r="F58" s="25"/>
      <c r="G58" s="25"/>
      <c r="H58" s="25"/>
      <c r="I58" s="25"/>
    </row>
    <row r="59" spans="1:9" ht="13">
      <c r="A59" s="25"/>
      <c r="B59" s="25"/>
      <c r="C59" s="25"/>
      <c r="D59" s="25"/>
      <c r="E59" s="25"/>
      <c r="F59" s="25"/>
      <c r="G59" s="25"/>
      <c r="H59" s="25"/>
      <c r="I59" s="25"/>
    </row>
    <row r="60" spans="1:9" ht="13">
      <c r="A60" s="25"/>
      <c r="B60" s="25"/>
      <c r="C60" s="25"/>
      <c r="D60" s="25"/>
      <c r="E60" s="25"/>
      <c r="F60" s="25"/>
      <c r="G60" s="25"/>
      <c r="H60" s="25"/>
      <c r="I60" s="25"/>
    </row>
    <row r="61" spans="1:9" ht="13">
      <c r="A61" s="25"/>
      <c r="B61" s="25"/>
      <c r="C61" s="25"/>
      <c r="D61" s="25"/>
      <c r="E61" s="25"/>
      <c r="F61" s="25"/>
      <c r="G61" s="25"/>
      <c r="H61" s="25"/>
      <c r="I61" s="25"/>
    </row>
    <row r="62" spans="1:9" ht="13">
      <c r="A62" s="25"/>
      <c r="B62" s="25"/>
      <c r="C62" s="25"/>
      <c r="D62" s="25"/>
      <c r="E62" s="25"/>
      <c r="F62" s="25"/>
      <c r="G62" s="25"/>
      <c r="H62" s="25"/>
      <c r="I62" s="25"/>
    </row>
    <row r="63" spans="1:9" ht="13">
      <c r="A63" s="25"/>
      <c r="B63" s="25"/>
      <c r="C63" s="25"/>
      <c r="D63" s="25"/>
      <c r="E63" s="25"/>
      <c r="F63" s="25"/>
      <c r="G63" s="25"/>
      <c r="H63" s="25"/>
      <c r="I63" s="25"/>
    </row>
    <row r="64" spans="1:9" ht="13">
      <c r="A64" s="25"/>
      <c r="B64" s="25"/>
      <c r="C64" s="25"/>
      <c r="D64" s="25"/>
      <c r="E64" s="25"/>
      <c r="F64" s="25"/>
      <c r="G64" s="25"/>
      <c r="H64" s="25"/>
      <c r="I64" s="25"/>
    </row>
    <row r="65" spans="1:9" ht="13">
      <c r="A65" s="25"/>
      <c r="B65" s="25"/>
      <c r="C65" s="25"/>
      <c r="D65" s="25"/>
      <c r="E65" s="25"/>
      <c r="F65" s="25"/>
      <c r="G65" s="25"/>
      <c r="H65" s="25"/>
      <c r="I65" s="25"/>
    </row>
    <row r="66" spans="1:9" ht="13">
      <c r="A66" s="25"/>
      <c r="B66" s="25"/>
      <c r="C66" s="25"/>
      <c r="D66" s="25"/>
      <c r="E66" s="25"/>
      <c r="F66" s="25"/>
      <c r="G66" s="25"/>
      <c r="H66" s="25"/>
      <c r="I66" s="25"/>
    </row>
    <row r="67" spans="1:9" ht="13">
      <c r="A67" s="25"/>
      <c r="B67" s="25"/>
      <c r="C67" s="25"/>
      <c r="D67" s="25"/>
      <c r="E67" s="25"/>
      <c r="F67" s="25"/>
      <c r="G67" s="25"/>
      <c r="H67" s="25"/>
      <c r="I67" s="25"/>
    </row>
    <row r="68" spans="1:9" ht="13">
      <c r="A68" s="25"/>
      <c r="B68" s="25"/>
      <c r="C68" s="25"/>
      <c r="D68" s="25"/>
      <c r="E68" s="25"/>
      <c r="F68" s="25"/>
      <c r="G68" s="25"/>
      <c r="H68" s="25"/>
      <c r="I68" s="25"/>
    </row>
    <row r="69" spans="1:9" ht="13">
      <c r="A69" s="25"/>
      <c r="B69" s="25"/>
      <c r="C69" s="25"/>
      <c r="D69" s="25"/>
      <c r="E69" s="25"/>
      <c r="F69" s="25"/>
      <c r="G69" s="25"/>
      <c r="H69" s="25"/>
      <c r="I69" s="25"/>
    </row>
    <row r="70" spans="1:9" ht="13">
      <c r="A70" s="25"/>
      <c r="B70" s="25"/>
      <c r="C70" s="25"/>
      <c r="D70" s="25"/>
      <c r="E70" s="25"/>
      <c r="F70" s="25"/>
      <c r="G70" s="25"/>
      <c r="H70" s="25"/>
      <c r="I70" s="25"/>
    </row>
    <row r="71" spans="1:9" ht="13">
      <c r="A71" s="25"/>
      <c r="B71" s="25"/>
      <c r="C71" s="25"/>
      <c r="D71" s="25"/>
      <c r="E71" s="25"/>
      <c r="F71" s="25"/>
      <c r="G71" s="25"/>
      <c r="H71" s="25"/>
      <c r="I71" s="25"/>
    </row>
    <row r="72" spans="1:9" ht="13">
      <c r="A72" s="25"/>
      <c r="B72" s="25"/>
      <c r="C72" s="25"/>
      <c r="D72" s="25"/>
      <c r="E72" s="25"/>
      <c r="F72" s="25"/>
      <c r="G72" s="25"/>
      <c r="H72" s="25"/>
      <c r="I72" s="25"/>
    </row>
    <row r="73" spans="1:9" ht="13">
      <c r="A73" s="25"/>
      <c r="B73" s="25"/>
      <c r="C73" s="25"/>
      <c r="D73" s="25"/>
      <c r="E73" s="25"/>
      <c r="F73" s="25"/>
      <c r="G73" s="25"/>
      <c r="H73" s="25"/>
      <c r="I73" s="25"/>
    </row>
    <row r="74" spans="1:9" ht="13">
      <c r="A74" s="25"/>
      <c r="B74" s="25"/>
      <c r="C74" s="25"/>
      <c r="D74" s="25"/>
      <c r="E74" s="25"/>
      <c r="F74" s="25"/>
      <c r="G74" s="25"/>
      <c r="H74" s="25"/>
      <c r="I74" s="25"/>
    </row>
    <row r="75" spans="1:9" ht="13">
      <c r="A75" s="25"/>
      <c r="B75" s="25"/>
      <c r="C75" s="25"/>
      <c r="D75" s="25"/>
      <c r="E75" s="25"/>
      <c r="F75" s="25"/>
      <c r="G75" s="25"/>
      <c r="H75" s="25"/>
      <c r="I75" s="25"/>
    </row>
    <row r="76" spans="1:9" ht="13">
      <c r="A76" s="25"/>
      <c r="B76" s="25"/>
      <c r="C76" s="25"/>
      <c r="D76" s="25"/>
      <c r="E76" s="25"/>
      <c r="F76" s="25"/>
      <c r="G76" s="25"/>
      <c r="H76" s="25"/>
      <c r="I76" s="25"/>
    </row>
    <row r="77" spans="1:9" ht="13">
      <c r="A77" s="25"/>
      <c r="B77" s="25"/>
      <c r="C77" s="25"/>
      <c r="D77" s="25"/>
      <c r="E77" s="25"/>
      <c r="F77" s="25"/>
      <c r="G77" s="25"/>
      <c r="H77" s="25"/>
      <c r="I77" s="25"/>
    </row>
    <row r="78" spans="1:9" ht="13">
      <c r="A78" s="25"/>
      <c r="B78" s="25"/>
      <c r="C78" s="25"/>
      <c r="D78" s="25"/>
      <c r="E78" s="25"/>
      <c r="F78" s="25"/>
      <c r="G78" s="25"/>
      <c r="H78" s="25"/>
      <c r="I78" s="25"/>
    </row>
    <row r="79" spans="1:9" ht="13">
      <c r="A79" s="25"/>
      <c r="B79" s="25"/>
      <c r="C79" s="25"/>
      <c r="D79" s="25"/>
      <c r="E79" s="25"/>
      <c r="F79" s="25"/>
      <c r="G79" s="25"/>
      <c r="H79" s="25"/>
      <c r="I79" s="25"/>
    </row>
    <row r="80" spans="1:9" ht="13">
      <c r="A80" s="25"/>
      <c r="B80" s="25"/>
      <c r="C80" s="25"/>
      <c r="D80" s="25"/>
      <c r="E80" s="25"/>
      <c r="F80" s="25"/>
      <c r="G80" s="25"/>
      <c r="H80" s="25"/>
      <c r="I80" s="25"/>
    </row>
    <row r="81" spans="1:9" ht="13">
      <c r="A81" s="25"/>
      <c r="B81" s="25"/>
      <c r="C81" s="25"/>
      <c r="D81" s="25"/>
      <c r="E81" s="25"/>
      <c r="F81" s="25"/>
      <c r="G81" s="25"/>
      <c r="H81" s="25"/>
      <c r="I81" s="25"/>
    </row>
    <row r="82" spans="1:9" ht="13">
      <c r="A82" s="25"/>
      <c r="B82" s="25"/>
      <c r="C82" s="25"/>
      <c r="D82" s="25"/>
      <c r="E82" s="25"/>
      <c r="F82" s="25"/>
      <c r="G82" s="25"/>
      <c r="H82" s="25"/>
      <c r="I82" s="25"/>
    </row>
    <row r="83" spans="1:9" ht="13">
      <c r="A83" s="25"/>
      <c r="B83" s="25"/>
      <c r="C83" s="25"/>
      <c r="D83" s="25"/>
      <c r="E83" s="25"/>
      <c r="F83" s="25"/>
      <c r="G83" s="25"/>
      <c r="H83" s="25"/>
      <c r="I83" s="25"/>
    </row>
    <row r="84" spans="1:9" ht="13">
      <c r="A84" s="25"/>
      <c r="B84" s="25"/>
      <c r="C84" s="25"/>
      <c r="D84" s="25"/>
      <c r="E84" s="25"/>
      <c r="F84" s="25"/>
      <c r="G84" s="25"/>
      <c r="H84" s="25"/>
      <c r="I84" s="25"/>
    </row>
    <row r="85" spans="1:9" ht="13">
      <c r="A85" s="25"/>
      <c r="B85" s="25"/>
      <c r="C85" s="25"/>
      <c r="D85" s="25"/>
      <c r="E85" s="25"/>
      <c r="F85" s="25"/>
      <c r="G85" s="25"/>
      <c r="H85" s="25"/>
      <c r="I85" s="25"/>
    </row>
    <row r="86" spans="1:9" ht="13">
      <c r="A86" s="25"/>
      <c r="B86" s="25"/>
      <c r="C86" s="25"/>
      <c r="D86" s="25"/>
      <c r="E86" s="25"/>
      <c r="F86" s="25"/>
      <c r="G86" s="25"/>
      <c r="H86" s="25"/>
      <c r="I86" s="25"/>
    </row>
    <row r="87" spans="1:9" ht="13">
      <c r="A87" s="25"/>
      <c r="B87" s="25"/>
      <c r="C87" s="25"/>
      <c r="D87" s="25"/>
      <c r="E87" s="25"/>
      <c r="F87" s="25"/>
      <c r="G87" s="25"/>
      <c r="H87" s="25"/>
      <c r="I87" s="25"/>
    </row>
    <row r="88" spans="1:9" ht="13">
      <c r="A88" s="25"/>
      <c r="B88" s="25"/>
      <c r="C88" s="25"/>
      <c r="D88" s="25"/>
      <c r="E88" s="25"/>
      <c r="F88" s="25"/>
      <c r="G88" s="25"/>
      <c r="H88" s="25"/>
      <c r="I88" s="25"/>
    </row>
    <row r="89" spans="1:9" ht="13">
      <c r="A89" s="25"/>
      <c r="B89" s="25"/>
      <c r="C89" s="25"/>
      <c r="D89" s="25"/>
      <c r="E89" s="25"/>
      <c r="F89" s="25"/>
      <c r="G89" s="25"/>
      <c r="H89" s="25"/>
      <c r="I89" s="25"/>
    </row>
    <row r="90" spans="1:9" ht="13">
      <c r="A90" s="25"/>
      <c r="B90" s="25"/>
      <c r="C90" s="25"/>
      <c r="D90" s="25"/>
      <c r="E90" s="25"/>
      <c r="F90" s="25"/>
      <c r="G90" s="25"/>
      <c r="H90" s="25"/>
      <c r="I90" s="25"/>
    </row>
    <row r="91" spans="1:9" ht="13">
      <c r="A91" s="25"/>
      <c r="B91" s="25"/>
      <c r="C91" s="25"/>
      <c r="D91" s="25"/>
      <c r="E91" s="25"/>
      <c r="F91" s="25"/>
      <c r="G91" s="25"/>
      <c r="H91" s="25"/>
      <c r="I91" s="25"/>
    </row>
    <row r="92" spans="1:9" ht="13">
      <c r="A92" s="25"/>
      <c r="B92" s="25"/>
      <c r="C92" s="25"/>
      <c r="D92" s="25"/>
      <c r="E92" s="25"/>
      <c r="F92" s="25"/>
      <c r="G92" s="25"/>
      <c r="H92" s="25"/>
      <c r="I92" s="25"/>
    </row>
    <row r="93" spans="1:9" ht="13">
      <c r="A93" s="25"/>
      <c r="B93" s="25"/>
      <c r="C93" s="25"/>
      <c r="D93" s="25"/>
      <c r="E93" s="25"/>
      <c r="F93" s="25"/>
      <c r="G93" s="25"/>
      <c r="H93" s="25"/>
      <c r="I93" s="25"/>
    </row>
    <row r="94" spans="1:9" ht="13">
      <c r="A94" s="25"/>
      <c r="B94" s="25"/>
      <c r="C94" s="25"/>
      <c r="D94" s="25"/>
      <c r="E94" s="25"/>
      <c r="F94" s="25"/>
      <c r="G94" s="25"/>
      <c r="H94" s="25"/>
      <c r="I94" s="25"/>
    </row>
    <row r="95" spans="1:9" ht="13">
      <c r="A95" s="25"/>
      <c r="B95" s="25"/>
      <c r="C95" s="25"/>
      <c r="D95" s="25"/>
      <c r="E95" s="25"/>
      <c r="F95" s="25"/>
      <c r="G95" s="25"/>
      <c r="H95" s="25"/>
      <c r="I95" s="25"/>
    </row>
  </sheetData>
  <mergeCells count="25">
    <mergeCell ref="F10:H10"/>
    <mergeCell ref="A35:D35"/>
    <mergeCell ref="A36:H36"/>
    <mergeCell ref="A5:A8"/>
    <mergeCell ref="A9:A10"/>
    <mergeCell ref="A11:A12"/>
    <mergeCell ref="B11:B12"/>
    <mergeCell ref="C11:C12"/>
    <mergeCell ref="D11:D12"/>
    <mergeCell ref="E11:E12"/>
    <mergeCell ref="F11:F12"/>
    <mergeCell ref="G11:G12"/>
    <mergeCell ref="H11:H12"/>
    <mergeCell ref="B5:D8"/>
    <mergeCell ref="B9:D10"/>
    <mergeCell ref="F5:H5"/>
    <mergeCell ref="F6:H6"/>
    <mergeCell ref="F7:H7"/>
    <mergeCell ref="F8:H8"/>
    <mergeCell ref="F9:H9"/>
    <mergeCell ref="A1:H1"/>
    <mergeCell ref="A2:H2"/>
    <mergeCell ref="A3:H3"/>
    <mergeCell ref="B4:D4"/>
    <mergeCell ref="F4:H4"/>
  </mergeCells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Country!$C$2:$O$2</xm:f>
          </x14:formula1>
          <xm:sqref>F6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37"/>
  <sheetViews>
    <sheetView showGridLines="0" topLeftCell="B7" zoomScale="115" zoomScaleNormal="115" workbookViewId="0">
      <selection activeCell="I12" sqref="I12"/>
    </sheetView>
  </sheetViews>
  <sheetFormatPr baseColWidth="10" defaultColWidth="12.6640625" defaultRowHeight="15.75" customHeight="1"/>
  <cols>
    <col min="1" max="1" width="23.83203125" customWidth="1"/>
    <col min="3" max="3" width="88.5" customWidth="1"/>
    <col min="5" max="5" width="17.5" customWidth="1"/>
  </cols>
  <sheetData>
    <row r="1" spans="1:8" s="11" customFormat="1" ht="41" customHeight="1">
      <c r="A1" s="44" t="s">
        <v>50</v>
      </c>
      <c r="B1" s="45"/>
      <c r="C1" s="45"/>
      <c r="D1" s="45"/>
      <c r="E1" s="45"/>
      <c r="F1" s="45"/>
      <c r="G1" s="45"/>
      <c r="H1" s="46"/>
    </row>
    <row r="2" spans="1:8" s="11" customFormat="1" ht="60" customHeight="1">
      <c r="A2" s="47" t="s">
        <v>1</v>
      </c>
      <c r="B2" s="48"/>
      <c r="C2" s="48"/>
      <c r="D2" s="48"/>
      <c r="E2" s="48"/>
      <c r="F2" s="48"/>
      <c r="G2" s="48"/>
      <c r="H2" s="49"/>
    </row>
    <row r="3" spans="1:8" ht="20">
      <c r="A3" s="50" t="s">
        <v>51</v>
      </c>
      <c r="B3" s="51"/>
      <c r="C3" s="51"/>
      <c r="D3" s="51"/>
      <c r="E3" s="51"/>
      <c r="F3" s="51"/>
      <c r="G3" s="51"/>
      <c r="H3" s="52"/>
    </row>
    <row r="4" spans="1:8" ht="16">
      <c r="A4" s="12" t="s">
        <v>7</v>
      </c>
      <c r="B4" s="53" t="s">
        <v>8</v>
      </c>
      <c r="C4" s="51"/>
      <c r="D4" s="51"/>
      <c r="E4" s="13" t="s">
        <v>9</v>
      </c>
      <c r="F4" s="54" t="s">
        <v>10</v>
      </c>
      <c r="G4" s="51"/>
      <c r="H4" s="52"/>
    </row>
    <row r="5" spans="1:8" ht="35" customHeight="1">
      <c r="A5" s="62" t="s">
        <v>13</v>
      </c>
      <c r="B5" s="70" t="str">
        <f>Invoice!B5</f>
        <v>Dock &amp; Bay LTD
3rd Floor 86-90 Paul Street, 
London, England, EC2A 4NE
Attn: Ben Muller
ben@dockandbay.com
+61 404 637 403
Tax number: GB212507156</v>
      </c>
      <c r="C5" s="71"/>
      <c r="D5" s="71"/>
      <c r="E5" s="62" t="s">
        <v>14</v>
      </c>
      <c r="F5" s="55" t="str">
        <f>Invoice!F5</f>
        <v>TT</v>
      </c>
      <c r="G5" s="56"/>
      <c r="H5" s="57"/>
    </row>
    <row r="6" spans="1:8" ht="35" customHeight="1">
      <c r="A6" s="63"/>
      <c r="B6" s="72"/>
      <c r="C6" s="73"/>
      <c r="D6" s="73"/>
      <c r="E6" s="64"/>
      <c r="F6" s="67"/>
      <c r="G6" s="68"/>
      <c r="H6" s="69"/>
    </row>
    <row r="7" spans="1:8" ht="35" customHeight="1">
      <c r="A7" s="63"/>
      <c r="B7" s="72"/>
      <c r="C7" s="73"/>
      <c r="D7" s="73"/>
      <c r="E7" s="14" t="s">
        <v>21</v>
      </c>
      <c r="F7" s="55" t="str">
        <f>Invoice!F7</f>
        <v>FOB</v>
      </c>
      <c r="G7" s="56"/>
      <c r="H7" s="57"/>
    </row>
    <row r="8" spans="1:8" ht="35" customHeight="1">
      <c r="A8" s="64"/>
      <c r="B8" s="74"/>
      <c r="C8" s="75"/>
      <c r="D8" s="75"/>
      <c r="E8" s="14" t="s">
        <v>24</v>
      </c>
      <c r="F8" s="67"/>
      <c r="G8" s="68"/>
      <c r="H8" s="69"/>
    </row>
    <row r="9" spans="1:8" ht="57" customHeight="1">
      <c r="A9" s="62" t="s">
        <v>27</v>
      </c>
      <c r="B9" s="70" t="str">
        <f>Invoice!B9</f>
        <v>ILG c/o Dock &amp; Bay
Unit 2 Space Gatwick
Faraday Road
Crawley
RH10 9BJ Ph: 07960 100 293
Attn: Aaron Hale 
aaronh@ilguk.com</v>
      </c>
      <c r="C9" s="71"/>
      <c r="D9" s="71"/>
      <c r="E9" s="15" t="s">
        <v>28</v>
      </c>
      <c r="F9" s="55" t="str">
        <f>Invoice!F9</f>
        <v>Xiamen Gaoqi International Airport, China</v>
      </c>
      <c r="G9" s="56"/>
      <c r="H9" s="57"/>
    </row>
    <row r="10" spans="1:8" ht="57" customHeight="1">
      <c r="A10" s="64"/>
      <c r="B10" s="74"/>
      <c r="C10" s="75"/>
      <c r="D10" s="75"/>
      <c r="E10" s="12" t="s">
        <v>31</v>
      </c>
      <c r="F10" s="58"/>
      <c r="G10" s="51"/>
      <c r="H10" s="52"/>
    </row>
    <row r="11" spans="1:8" ht="12" customHeight="1">
      <c r="A11" s="65" t="s">
        <v>33</v>
      </c>
      <c r="B11" s="66" t="s">
        <v>52</v>
      </c>
      <c r="C11" s="65" t="s">
        <v>36</v>
      </c>
      <c r="D11" s="66" t="s">
        <v>53</v>
      </c>
      <c r="E11" s="66" t="s">
        <v>37</v>
      </c>
      <c r="F11" s="66" t="s">
        <v>54</v>
      </c>
      <c r="G11" s="66" t="s">
        <v>55</v>
      </c>
      <c r="H11" s="66" t="s">
        <v>56</v>
      </c>
    </row>
    <row r="12" spans="1:8" ht="12" customHeight="1">
      <c r="A12" s="64"/>
      <c r="B12" s="64"/>
      <c r="C12" s="64"/>
      <c r="D12" s="64"/>
      <c r="E12" s="64"/>
      <c r="F12" s="64"/>
      <c r="G12" s="64"/>
      <c r="H12" s="64"/>
    </row>
    <row r="13" spans="1:8" ht="13">
      <c r="A13" s="16" t="s">
        <v>42</v>
      </c>
      <c r="B13" s="17" t="s">
        <v>57</v>
      </c>
      <c r="C13" s="18" t="s">
        <v>58</v>
      </c>
      <c r="D13" s="17">
        <v>4</v>
      </c>
      <c r="E13" s="19">
        <v>400</v>
      </c>
      <c r="F13" s="17">
        <v>56.8</v>
      </c>
      <c r="G13" s="19">
        <v>400</v>
      </c>
      <c r="H13" s="17">
        <v>0</v>
      </c>
    </row>
    <row r="14" spans="1:8" ht="13">
      <c r="A14" s="16" t="s">
        <v>44</v>
      </c>
      <c r="B14" s="17" t="s">
        <v>57</v>
      </c>
      <c r="C14" s="18" t="str">
        <f>_xlfn.IFNA(INDEX(SKU_LOOKUP!M2:M2557,MATCH('Packing List'!A14,SKU_LOOKUP!A3:A2557,0)),"")</f>
        <v>Small Dry Bag 80% polyester, 20% polyurethane (PU)</v>
      </c>
      <c r="D14" s="17">
        <v>5</v>
      </c>
      <c r="E14" s="19">
        <v>500</v>
      </c>
      <c r="F14" s="17">
        <v>71</v>
      </c>
      <c r="G14" s="19">
        <v>500</v>
      </c>
      <c r="H14" s="17">
        <v>0</v>
      </c>
    </row>
    <row r="15" spans="1:8" ht="13">
      <c r="A15" s="20">
        <f>Invoice!A15</f>
        <v>0</v>
      </c>
      <c r="B15" s="17"/>
      <c r="C15" s="18" t="str">
        <f>_xlfn.IFNA(INDEX(SKU_LOOKUP!M8:M2563,MATCH('Packing List'!A15,SKU_LOOKUP!A9:A2563,0)),"")</f>
        <v/>
      </c>
      <c r="D15" s="17"/>
      <c r="E15" s="17"/>
      <c r="F15" s="17"/>
      <c r="G15" s="17"/>
      <c r="H15" s="17"/>
    </row>
    <row r="16" spans="1:8" ht="13">
      <c r="A16" s="20">
        <f>Invoice!A16</f>
        <v>0</v>
      </c>
      <c r="B16" s="17"/>
      <c r="C16" s="18" t="str">
        <f>_xlfn.IFNA(INDEX(SKU_LOOKUP!M9:M2564,MATCH('Packing List'!A16,SKU_LOOKUP!A10:A2564,0)),"")</f>
        <v/>
      </c>
      <c r="D16" s="17"/>
      <c r="E16" s="17"/>
      <c r="F16" s="17"/>
      <c r="G16" s="17"/>
      <c r="H16" s="17"/>
    </row>
    <row r="17" spans="1:8" ht="13">
      <c r="A17" s="20">
        <f>Invoice!A17</f>
        <v>0</v>
      </c>
      <c r="B17" s="17"/>
      <c r="C17" s="18" t="str">
        <f>_xlfn.IFNA(INDEX(SKU_LOOKUP!M10:M2565,MATCH('Packing List'!A17,SKU_LOOKUP!A11:A2565,0)),"")</f>
        <v/>
      </c>
      <c r="D17" s="17"/>
      <c r="E17" s="17"/>
      <c r="F17" s="17"/>
      <c r="G17" s="17"/>
      <c r="H17" s="17"/>
    </row>
    <row r="18" spans="1:8" ht="13">
      <c r="A18" s="20">
        <f>Invoice!A18</f>
        <v>0</v>
      </c>
      <c r="B18" s="17"/>
      <c r="C18" s="18" t="str">
        <f>_xlfn.IFNA(INDEX(SKU_LOOKUP!M11:M2566,MATCH('Packing List'!A18,SKU_LOOKUP!A12:A2566,0)),"")</f>
        <v/>
      </c>
      <c r="D18" s="17"/>
      <c r="E18" s="17"/>
      <c r="F18" s="17"/>
      <c r="G18" s="17"/>
      <c r="H18" s="17"/>
    </row>
    <row r="19" spans="1:8" ht="13">
      <c r="A19" s="20">
        <f>Invoice!A19</f>
        <v>0</v>
      </c>
      <c r="B19" s="17"/>
      <c r="C19" s="18" t="str">
        <f>_xlfn.IFNA(INDEX(SKU_LOOKUP!M12:M2567,MATCH('Packing List'!A19,SKU_LOOKUP!A13:A2567,0)),"")</f>
        <v/>
      </c>
      <c r="D19" s="17"/>
      <c r="E19" s="17"/>
      <c r="F19" s="17"/>
      <c r="G19" s="17"/>
      <c r="H19" s="17"/>
    </row>
    <row r="20" spans="1:8" ht="13">
      <c r="A20" s="20">
        <f>Invoice!A20</f>
        <v>0</v>
      </c>
      <c r="B20" s="17"/>
      <c r="C20" s="18" t="str">
        <f>_xlfn.IFNA(INDEX(SKU_LOOKUP!M13:M2568,MATCH('Packing List'!A20,SKU_LOOKUP!A14:A2568,0)),"")</f>
        <v/>
      </c>
      <c r="D20" s="17"/>
      <c r="E20" s="17"/>
      <c r="F20" s="17"/>
      <c r="G20" s="17"/>
      <c r="H20" s="17"/>
    </row>
    <row r="21" spans="1:8" ht="13">
      <c r="A21" s="20">
        <f>Invoice!A21</f>
        <v>0</v>
      </c>
      <c r="B21" s="17"/>
      <c r="C21" s="18" t="str">
        <f>_xlfn.IFNA(INDEX(SKU_LOOKUP!M14:M2569,MATCH('Packing List'!A21,SKU_LOOKUP!A15:A2569,0)),"")</f>
        <v/>
      </c>
      <c r="D21" s="17"/>
      <c r="E21" s="17"/>
      <c r="F21" s="17"/>
      <c r="G21" s="17"/>
      <c r="H21" s="17"/>
    </row>
    <row r="22" spans="1:8" ht="13">
      <c r="A22" s="20">
        <f>Invoice!A22</f>
        <v>0</v>
      </c>
      <c r="B22" s="17"/>
      <c r="C22" s="18" t="str">
        <f>_xlfn.IFNA(INDEX(SKU_LOOKUP!M15:M2570,MATCH('Packing List'!A22,SKU_LOOKUP!A16:A2570,0)),"")</f>
        <v/>
      </c>
      <c r="D22" s="17"/>
      <c r="E22" s="17"/>
      <c r="F22" s="17"/>
      <c r="G22" s="17"/>
      <c r="H22" s="17"/>
    </row>
    <row r="23" spans="1:8" ht="13">
      <c r="A23" s="20">
        <f>Invoice!A23</f>
        <v>0</v>
      </c>
      <c r="B23" s="17"/>
      <c r="C23" s="18" t="str">
        <f>_xlfn.IFNA(INDEX(SKU_LOOKUP!M16:M2571,MATCH('Packing List'!A23,SKU_LOOKUP!A17:A2571,0)),"")</f>
        <v/>
      </c>
      <c r="D23" s="17"/>
      <c r="E23" s="17"/>
      <c r="F23" s="17"/>
      <c r="G23" s="17"/>
      <c r="H23" s="17"/>
    </row>
    <row r="24" spans="1:8" ht="13">
      <c r="A24" s="20">
        <f>Invoice!A24</f>
        <v>0</v>
      </c>
      <c r="B24" s="17"/>
      <c r="C24" s="18" t="str">
        <f>_xlfn.IFNA(INDEX(SKU_LOOKUP!M17:M2572,MATCH('Packing List'!A24,SKU_LOOKUP!A18:A2572,0)),"")</f>
        <v/>
      </c>
      <c r="D24" s="17"/>
      <c r="E24" s="17"/>
      <c r="F24" s="17"/>
      <c r="G24" s="17"/>
      <c r="H24" s="17"/>
    </row>
    <row r="25" spans="1:8" ht="13">
      <c r="A25" s="20">
        <f>Invoice!A25</f>
        <v>0</v>
      </c>
      <c r="B25" s="17"/>
      <c r="C25" s="18" t="str">
        <f>_xlfn.IFNA(INDEX(SKU_LOOKUP!M18:M2573,MATCH('Packing List'!A25,SKU_LOOKUP!A19:A2573,0)),"")</f>
        <v/>
      </c>
      <c r="D25" s="17"/>
      <c r="E25" s="17"/>
      <c r="F25" s="17"/>
      <c r="G25" s="17"/>
      <c r="H25" s="17"/>
    </row>
    <row r="26" spans="1:8" ht="13">
      <c r="A26" s="20">
        <f>Invoice!A26</f>
        <v>0</v>
      </c>
      <c r="B26" s="17"/>
      <c r="C26" s="18" t="str">
        <f>_xlfn.IFNA(INDEX(SKU_LOOKUP!M19:M2574,MATCH('Packing List'!A26,SKU_LOOKUP!A20:A2574,0)),"")</f>
        <v/>
      </c>
      <c r="D26" s="17"/>
      <c r="E26" s="17"/>
      <c r="F26" s="17"/>
      <c r="G26" s="17"/>
      <c r="H26" s="17"/>
    </row>
    <row r="27" spans="1:8" ht="13">
      <c r="A27" s="20">
        <f>Invoice!A27</f>
        <v>0</v>
      </c>
      <c r="B27" s="17"/>
      <c r="C27" s="18" t="str">
        <f>_xlfn.IFNA(INDEX(SKU_LOOKUP!M20:M2575,MATCH('Packing List'!A27,SKU_LOOKUP!A21:A2575,0)),"")</f>
        <v/>
      </c>
      <c r="D27" s="17"/>
      <c r="E27" s="17"/>
      <c r="F27" s="17"/>
      <c r="G27" s="17"/>
      <c r="H27" s="17"/>
    </row>
    <row r="28" spans="1:8" ht="13">
      <c r="A28" s="20">
        <f>Invoice!A28</f>
        <v>0</v>
      </c>
      <c r="B28" s="17"/>
      <c r="C28" s="18" t="str">
        <f>_xlfn.IFNA(INDEX(SKU_LOOKUP!M21:M2576,MATCH('Packing List'!A28,SKU_LOOKUP!A22:A2576,0)),"")</f>
        <v/>
      </c>
      <c r="D28" s="17"/>
      <c r="E28" s="17"/>
      <c r="F28" s="17"/>
      <c r="G28" s="17"/>
      <c r="H28" s="17"/>
    </row>
    <row r="29" spans="1:8" ht="13">
      <c r="A29" s="20">
        <f>Invoice!A29</f>
        <v>0</v>
      </c>
      <c r="B29" s="17"/>
      <c r="C29" s="18" t="str">
        <f>_xlfn.IFNA(INDEX(SKU_LOOKUP!M22:M2577,MATCH('Packing List'!A29,SKU_LOOKUP!A23:A2577,0)),"")</f>
        <v/>
      </c>
      <c r="D29" s="17"/>
      <c r="E29" s="17"/>
      <c r="F29" s="17"/>
      <c r="G29" s="17"/>
      <c r="H29" s="17"/>
    </row>
    <row r="30" spans="1:8" ht="13">
      <c r="A30" s="20">
        <f>Invoice!A30</f>
        <v>0</v>
      </c>
      <c r="B30" s="17"/>
      <c r="C30" s="18" t="str">
        <f>_xlfn.IFNA(INDEX(SKU_LOOKUP!M23:M2578,MATCH('Packing List'!A30,SKU_LOOKUP!A24:A2578,0)),"")</f>
        <v/>
      </c>
      <c r="D30" s="17"/>
      <c r="E30" s="17"/>
      <c r="F30" s="17"/>
      <c r="G30" s="17"/>
      <c r="H30" s="17"/>
    </row>
    <row r="31" spans="1:8" ht="13">
      <c r="A31" s="20">
        <f>Invoice!A31</f>
        <v>0</v>
      </c>
      <c r="B31" s="17"/>
      <c r="C31" s="18" t="str">
        <f>_xlfn.IFNA(INDEX(SKU_LOOKUP!M24:M2579,MATCH('Packing List'!A31,SKU_LOOKUP!A25:A2579,0)),"")</f>
        <v/>
      </c>
      <c r="D31" s="17"/>
      <c r="E31" s="17"/>
      <c r="F31" s="17"/>
      <c r="G31" s="17"/>
      <c r="H31" s="17"/>
    </row>
    <row r="32" spans="1:8" ht="13">
      <c r="A32" s="20">
        <f>Invoice!A32</f>
        <v>0</v>
      </c>
      <c r="B32" s="17"/>
      <c r="C32" s="18" t="str">
        <f>_xlfn.IFNA(INDEX(SKU_LOOKUP!M25:M2580,MATCH('Packing List'!A32,SKU_LOOKUP!A26:A2580,0)),"")</f>
        <v/>
      </c>
      <c r="D32" s="17"/>
      <c r="E32" s="17"/>
      <c r="F32" s="17"/>
      <c r="G32" s="17"/>
      <c r="H32" s="17"/>
    </row>
    <row r="33" spans="1:8" ht="13">
      <c r="A33" s="20">
        <f>Invoice!A33</f>
        <v>0</v>
      </c>
      <c r="B33" s="17"/>
      <c r="C33" s="18" t="str">
        <f>_xlfn.IFNA(INDEX(SKU_LOOKUP!M26:M2581,MATCH('Packing List'!A33,SKU_LOOKUP!A27:A2581,0)),"")</f>
        <v/>
      </c>
      <c r="D33" s="17"/>
      <c r="E33" s="17"/>
      <c r="F33" s="17"/>
      <c r="G33" s="17"/>
      <c r="H33" s="17"/>
    </row>
    <row r="34" spans="1:8" ht="13">
      <c r="A34" s="20">
        <f>Invoice!A34</f>
        <v>0</v>
      </c>
      <c r="B34" s="17"/>
      <c r="C34" s="18" t="str">
        <f>_xlfn.IFNA(INDEX(SKU_LOOKUP!M27:M2582,MATCH('Packing List'!A34,SKU_LOOKUP!A28:A2582,0)),"")</f>
        <v/>
      </c>
      <c r="D34" s="17"/>
      <c r="E34" s="17"/>
      <c r="F34" s="17"/>
      <c r="G34" s="17"/>
      <c r="H34" s="17"/>
    </row>
    <row r="35" spans="1:8" ht="14">
      <c r="A35" s="59" t="s">
        <v>45</v>
      </c>
      <c r="B35" s="52"/>
      <c r="C35" s="21" t="s">
        <v>46</v>
      </c>
      <c r="D35" s="22">
        <f>SUM(D13:D34)</f>
        <v>9</v>
      </c>
      <c r="E35" s="22">
        <f>SUM(E13:E34)</f>
        <v>900</v>
      </c>
      <c r="F35" s="22">
        <f>SUM(F13:F34)</f>
        <v>127.8</v>
      </c>
      <c r="G35" s="22">
        <f>SUM(G13:G34)</f>
        <v>900</v>
      </c>
      <c r="H35" s="22">
        <f>SUM(H13:H34)</f>
        <v>0</v>
      </c>
    </row>
    <row r="36" spans="1:8" ht="14">
      <c r="A36" s="23" t="s">
        <v>48</v>
      </c>
      <c r="B36" s="24"/>
      <c r="C36" s="25"/>
      <c r="D36" s="25"/>
      <c r="E36" s="60" t="s">
        <v>48</v>
      </c>
      <c r="F36" s="61"/>
      <c r="G36" s="27"/>
      <c r="H36" s="28"/>
    </row>
    <row r="37" spans="1:8" ht="16">
      <c r="A37" s="23" t="s">
        <v>49</v>
      </c>
      <c r="B37" s="25"/>
      <c r="C37" s="25"/>
      <c r="D37" s="29"/>
      <c r="E37" s="26" t="s">
        <v>49</v>
      </c>
      <c r="F37" s="25"/>
      <c r="G37" s="30"/>
      <c r="H37" s="31"/>
    </row>
  </sheetData>
  <mergeCells count="24">
    <mergeCell ref="F7:H8"/>
    <mergeCell ref="B5:D8"/>
    <mergeCell ref="B9:D10"/>
    <mergeCell ref="F9:H9"/>
    <mergeCell ref="F10:H10"/>
    <mergeCell ref="A35:B35"/>
    <mergeCell ref="E36:F36"/>
    <mergeCell ref="A5:A8"/>
    <mergeCell ref="A9:A10"/>
    <mergeCell ref="A11:A12"/>
    <mergeCell ref="B11:B12"/>
    <mergeCell ref="C11:C12"/>
    <mergeCell ref="D11:D12"/>
    <mergeCell ref="E5:E6"/>
    <mergeCell ref="E11:E12"/>
    <mergeCell ref="F11:F12"/>
    <mergeCell ref="G11:G12"/>
    <mergeCell ref="H11:H12"/>
    <mergeCell ref="F5:H6"/>
    <mergeCell ref="A1:H1"/>
    <mergeCell ref="A2:H2"/>
    <mergeCell ref="A3:H3"/>
    <mergeCell ref="B4:D4"/>
    <mergeCell ref="F4:H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71"/>
  <sheetViews>
    <sheetView workbookViewId="0">
      <selection activeCell="C13" sqref="C13"/>
    </sheetView>
  </sheetViews>
  <sheetFormatPr baseColWidth="10" defaultColWidth="12.6640625" defaultRowHeight="15.75" customHeight="1"/>
  <cols>
    <col min="1" max="1" width="32.5" customWidth="1"/>
    <col min="2" max="2" width="24" customWidth="1"/>
    <col min="3" max="3" width="114.6640625" customWidth="1"/>
    <col min="8" max="8" width="11.83203125" customWidth="1"/>
    <col min="9" max="9" width="14.6640625" customWidth="1"/>
  </cols>
  <sheetData>
    <row r="1" spans="1:15" ht="15.75" customHeight="1">
      <c r="A1" s="10" t="s">
        <v>33</v>
      </c>
      <c r="B1" s="10" t="s">
        <v>59</v>
      </c>
      <c r="C1" s="10" t="s">
        <v>60</v>
      </c>
      <c r="D1" s="10" t="s">
        <v>61</v>
      </c>
      <c r="E1" s="10" t="s">
        <v>6</v>
      </c>
      <c r="F1" s="10" t="s">
        <v>12</v>
      </c>
      <c r="G1" s="10" t="s">
        <v>62</v>
      </c>
      <c r="H1" s="10" t="s">
        <v>17</v>
      </c>
      <c r="I1" s="10" t="s">
        <v>63</v>
      </c>
      <c r="J1" s="10" t="s">
        <v>20</v>
      </c>
      <c r="K1" s="10" t="s">
        <v>64</v>
      </c>
      <c r="N1" s="10" t="s">
        <v>3</v>
      </c>
      <c r="O1" s="10" t="s">
        <v>2</v>
      </c>
    </row>
    <row r="2" spans="1:15" ht="15">
      <c r="A2" t="s">
        <v>65</v>
      </c>
      <c r="B2" t="s">
        <v>66</v>
      </c>
      <c r="C2" t="s">
        <v>67</v>
      </c>
      <c r="D2" s="10">
        <v>420292</v>
      </c>
      <c r="E2" s="10" t="s">
        <v>68</v>
      </c>
      <c r="F2" s="10">
        <v>4202220000</v>
      </c>
      <c r="H2" s="10">
        <v>42022290</v>
      </c>
      <c r="J2" s="10" t="s">
        <v>69</v>
      </c>
      <c r="K2" s="10">
        <v>42029100</v>
      </c>
      <c r="N2" s="10" t="s">
        <v>5</v>
      </c>
      <c r="O2" s="9" t="s">
        <v>6</v>
      </c>
    </row>
    <row r="3" spans="1:15" ht="15">
      <c r="A3" t="s">
        <v>70</v>
      </c>
      <c r="B3" t="s">
        <v>71</v>
      </c>
      <c r="C3" t="s">
        <v>72</v>
      </c>
      <c r="D3" s="10">
        <v>420292</v>
      </c>
      <c r="E3" s="10" t="s">
        <v>68</v>
      </c>
      <c r="F3" s="10">
        <v>4202220000</v>
      </c>
      <c r="H3" s="10">
        <v>42022290</v>
      </c>
      <c r="J3" s="10" t="s">
        <v>69</v>
      </c>
      <c r="N3" s="10" t="s">
        <v>11</v>
      </c>
      <c r="O3" s="9" t="s">
        <v>12</v>
      </c>
    </row>
    <row r="4" spans="1:15" ht="15">
      <c r="A4" t="s">
        <v>73</v>
      </c>
      <c r="B4" t="s">
        <v>74</v>
      </c>
      <c r="C4" t="s">
        <v>75</v>
      </c>
      <c r="D4" s="10">
        <v>420292</v>
      </c>
      <c r="E4" s="10" t="s">
        <v>68</v>
      </c>
      <c r="F4" s="10">
        <v>4202220000</v>
      </c>
      <c r="H4" s="10">
        <v>42022290</v>
      </c>
      <c r="J4" s="10" t="s">
        <v>69</v>
      </c>
      <c r="N4" s="10" t="s">
        <v>16</v>
      </c>
      <c r="O4" s="9" t="s">
        <v>17</v>
      </c>
    </row>
    <row r="5" spans="1:15" ht="15">
      <c r="A5" t="s">
        <v>76</v>
      </c>
      <c r="B5" t="s">
        <v>74</v>
      </c>
      <c r="C5" t="s">
        <v>58</v>
      </c>
      <c r="D5" s="10">
        <v>420292</v>
      </c>
      <c r="E5" s="10" t="s">
        <v>68</v>
      </c>
      <c r="F5" s="10">
        <v>4202220000</v>
      </c>
      <c r="H5" s="10">
        <v>42022290</v>
      </c>
      <c r="J5" s="10" t="s">
        <v>69</v>
      </c>
      <c r="N5" s="10" t="s">
        <v>19</v>
      </c>
      <c r="O5" s="9" t="s">
        <v>20</v>
      </c>
    </row>
    <row r="6" spans="1:15" ht="15.75" customHeight="1">
      <c r="A6" t="s">
        <v>77</v>
      </c>
      <c r="B6" t="s">
        <v>78</v>
      </c>
      <c r="C6" t="s">
        <v>79</v>
      </c>
      <c r="D6" s="10">
        <v>420292</v>
      </c>
      <c r="E6" s="10" t="s">
        <v>80</v>
      </c>
      <c r="F6" s="10">
        <v>4202921900</v>
      </c>
      <c r="G6" s="10" t="s">
        <v>81</v>
      </c>
      <c r="H6" s="10" t="s">
        <v>82</v>
      </c>
      <c r="J6" s="10" t="s">
        <v>83</v>
      </c>
      <c r="K6" s="10">
        <v>42029100</v>
      </c>
    </row>
    <row r="7" spans="1:15" ht="15.75" customHeight="1">
      <c r="A7" t="s">
        <v>84</v>
      </c>
      <c r="B7" t="s">
        <v>85</v>
      </c>
      <c r="C7" t="s">
        <v>86</v>
      </c>
      <c r="D7" s="10">
        <v>420292</v>
      </c>
      <c r="E7" s="10">
        <v>4202929100</v>
      </c>
      <c r="F7" s="10">
        <v>4202220000</v>
      </c>
      <c r="H7" s="10">
        <v>4202929100</v>
      </c>
    </row>
    <row r="8" spans="1:15" ht="15.75" customHeight="1">
      <c r="A8" s="10" t="s">
        <v>87</v>
      </c>
      <c r="B8" s="10" t="s">
        <v>88</v>
      </c>
      <c r="C8" s="10" t="s">
        <v>89</v>
      </c>
      <c r="D8" s="10">
        <v>3926.9</v>
      </c>
      <c r="E8" s="10" t="s">
        <v>90</v>
      </c>
      <c r="F8" s="10">
        <v>63079098990</v>
      </c>
      <c r="G8" s="10" t="s">
        <v>91</v>
      </c>
      <c r="H8" s="10" t="s">
        <v>91</v>
      </c>
      <c r="J8" s="10" t="s">
        <v>92</v>
      </c>
    </row>
    <row r="9" spans="1:15" ht="15.75" customHeight="1">
      <c r="A9" s="10" t="s">
        <v>93</v>
      </c>
      <c r="B9" s="10" t="s">
        <v>94</v>
      </c>
      <c r="C9" s="10" t="s">
        <v>95</v>
      </c>
      <c r="D9" s="10">
        <v>731029</v>
      </c>
      <c r="E9" s="10" t="s">
        <v>96</v>
      </c>
      <c r="F9" s="10">
        <v>7310299000</v>
      </c>
      <c r="G9" s="10" t="s">
        <v>96</v>
      </c>
      <c r="H9" s="10">
        <v>73102191</v>
      </c>
      <c r="J9" s="10" t="s">
        <v>97</v>
      </c>
    </row>
    <row r="10" spans="1:15" ht="15.75" customHeight="1">
      <c r="A10" s="10" t="s">
        <v>98</v>
      </c>
      <c r="B10" s="10" t="s">
        <v>99</v>
      </c>
      <c r="C10" s="10" t="s">
        <v>100</v>
      </c>
      <c r="D10" s="10">
        <v>630293</v>
      </c>
      <c r="E10" s="10" t="s">
        <v>101</v>
      </c>
      <c r="F10" s="10">
        <v>6302939000</v>
      </c>
      <c r="G10" s="10">
        <v>6302939000</v>
      </c>
      <c r="H10" s="10">
        <v>6302939000</v>
      </c>
      <c r="J10" s="10" t="s">
        <v>102</v>
      </c>
    </row>
    <row r="11" spans="1:15" ht="15.75" customHeight="1">
      <c r="A11" s="10" t="s">
        <v>103</v>
      </c>
      <c r="B11" s="10" t="s">
        <v>104</v>
      </c>
      <c r="C11" s="10" t="s">
        <v>105</v>
      </c>
      <c r="D11" s="10">
        <v>630293</v>
      </c>
      <c r="E11" s="10" t="s">
        <v>101</v>
      </c>
      <c r="F11" s="10">
        <v>6302600090</v>
      </c>
      <c r="G11" s="10" t="s">
        <v>106</v>
      </c>
      <c r="H11" s="10">
        <v>6302939000</v>
      </c>
      <c r="J11" s="10" t="s">
        <v>107</v>
      </c>
      <c r="K11" s="10">
        <v>6507</v>
      </c>
    </row>
    <row r="12" spans="1:15" ht="15.75" customHeight="1">
      <c r="A12" s="10" t="s">
        <v>108</v>
      </c>
      <c r="B12" s="10" t="s">
        <v>109</v>
      </c>
      <c r="C12" s="10" t="s">
        <v>110</v>
      </c>
      <c r="D12" s="10">
        <v>630790</v>
      </c>
      <c r="E12" s="10" t="s">
        <v>111</v>
      </c>
      <c r="F12" s="10">
        <v>6307909891</v>
      </c>
    </row>
    <row r="13" spans="1:15" ht="15.75" customHeight="1">
      <c r="A13" s="10" t="s">
        <v>112</v>
      </c>
      <c r="B13" s="10" t="s">
        <v>113</v>
      </c>
      <c r="C13" s="10" t="s">
        <v>114</v>
      </c>
      <c r="D13" s="10">
        <v>650500</v>
      </c>
      <c r="E13" s="10" t="s">
        <v>115</v>
      </c>
      <c r="F13" s="10">
        <v>6505009090</v>
      </c>
      <c r="G13" s="10" t="s">
        <v>116</v>
      </c>
      <c r="H13" s="10" t="s">
        <v>117</v>
      </c>
      <c r="J13" s="10" t="s">
        <v>118</v>
      </c>
    </row>
    <row r="14" spans="1:15" ht="15.75" customHeight="1">
      <c r="A14" s="10" t="s">
        <v>119</v>
      </c>
      <c r="B14" s="10" t="s">
        <v>113</v>
      </c>
      <c r="C14" s="10" t="s">
        <v>120</v>
      </c>
      <c r="D14" s="10">
        <v>650500</v>
      </c>
      <c r="E14" s="10" t="s">
        <v>115</v>
      </c>
      <c r="F14" s="10">
        <v>6505009090</v>
      </c>
      <c r="G14" s="10" t="s">
        <v>116</v>
      </c>
      <c r="H14" s="10" t="s">
        <v>117</v>
      </c>
      <c r="J14" s="10" t="s">
        <v>118</v>
      </c>
    </row>
    <row r="15" spans="1:15" ht="15.75" customHeight="1">
      <c r="A15" s="10" t="s">
        <v>121</v>
      </c>
      <c r="B15" s="10" t="s">
        <v>122</v>
      </c>
      <c r="C15" s="10" t="s">
        <v>120</v>
      </c>
      <c r="D15" s="10">
        <v>650500</v>
      </c>
      <c r="E15" s="10" t="s">
        <v>115</v>
      </c>
      <c r="F15" s="10">
        <v>6505009090</v>
      </c>
      <c r="G15" s="10" t="s">
        <v>116</v>
      </c>
      <c r="H15" s="10" t="s">
        <v>117</v>
      </c>
      <c r="J15" s="10" t="s">
        <v>118</v>
      </c>
    </row>
    <row r="16" spans="1:15" ht="15.75" customHeight="1">
      <c r="A16" s="10" t="s">
        <v>123</v>
      </c>
      <c r="B16" s="10" t="s">
        <v>124</v>
      </c>
      <c r="C16" s="10" t="s">
        <v>125</v>
      </c>
      <c r="D16" s="10">
        <v>650500</v>
      </c>
      <c r="E16" s="10" t="s">
        <v>115</v>
      </c>
      <c r="F16" s="10">
        <v>6505009090</v>
      </c>
      <c r="G16" s="10" t="s">
        <v>116</v>
      </c>
      <c r="H16" s="10" t="s">
        <v>117</v>
      </c>
      <c r="J16" s="10" t="s">
        <v>118</v>
      </c>
    </row>
    <row r="17" spans="1:11" ht="15.75" customHeight="1">
      <c r="A17" s="10" t="s">
        <v>126</v>
      </c>
      <c r="B17" s="10" t="s">
        <v>127</v>
      </c>
      <c r="C17" s="10" t="s">
        <v>128</v>
      </c>
      <c r="D17" s="10">
        <v>650500</v>
      </c>
      <c r="E17" s="10" t="s">
        <v>115</v>
      </c>
      <c r="F17" s="10">
        <v>6505009090</v>
      </c>
      <c r="G17" s="10" t="s">
        <v>116</v>
      </c>
      <c r="H17" s="10" t="s">
        <v>117</v>
      </c>
      <c r="J17" s="10" t="s">
        <v>118</v>
      </c>
      <c r="K17" s="10">
        <v>6507</v>
      </c>
    </row>
    <row r="18" spans="1:11" ht="15.75" customHeight="1">
      <c r="A18" s="10" t="s">
        <v>129</v>
      </c>
      <c r="B18" s="10" t="s">
        <v>130</v>
      </c>
      <c r="C18" s="10" t="s">
        <v>131</v>
      </c>
      <c r="D18" s="10">
        <v>650500</v>
      </c>
      <c r="E18" s="10" t="s">
        <v>115</v>
      </c>
      <c r="F18" s="10">
        <v>6505009090</v>
      </c>
      <c r="G18" s="10" t="s">
        <v>116</v>
      </c>
      <c r="H18" s="10" t="s">
        <v>117</v>
      </c>
      <c r="J18" s="10" t="s">
        <v>118</v>
      </c>
    </row>
    <row r="19" spans="1:11" ht="15.75" customHeight="1">
      <c r="A19" s="10" t="s">
        <v>132</v>
      </c>
      <c r="B19" s="10" t="s">
        <v>133</v>
      </c>
      <c r="C19" s="10" t="s">
        <v>134</v>
      </c>
      <c r="D19" s="10">
        <v>961620</v>
      </c>
      <c r="E19" s="10" t="s">
        <v>135</v>
      </c>
      <c r="F19" s="10">
        <v>9616200000</v>
      </c>
      <c r="G19" s="10" t="s">
        <v>135</v>
      </c>
      <c r="H19" s="10">
        <v>9616200000</v>
      </c>
      <c r="J19" s="10" t="s">
        <v>136</v>
      </c>
    </row>
    <row r="20" spans="1:11" ht="15.75" customHeight="1">
      <c r="A20" s="10" t="s">
        <v>137</v>
      </c>
      <c r="B20" s="10" t="s">
        <v>138</v>
      </c>
      <c r="C20" s="10" t="s">
        <v>139</v>
      </c>
      <c r="D20" s="10">
        <v>630140</v>
      </c>
      <c r="E20" s="10" t="s">
        <v>140</v>
      </c>
      <c r="F20" s="10">
        <v>6301409099</v>
      </c>
      <c r="G20" s="10" t="s">
        <v>140</v>
      </c>
      <c r="H20" s="10">
        <v>6301409099</v>
      </c>
      <c r="J20" s="10" t="s">
        <v>141</v>
      </c>
      <c r="K20" s="10">
        <v>6301</v>
      </c>
    </row>
    <row r="21" spans="1:11" ht="15.75" customHeight="1">
      <c r="A21" s="10" t="s">
        <v>142</v>
      </c>
      <c r="B21" s="10" t="s">
        <v>143</v>
      </c>
      <c r="C21" s="10" t="s">
        <v>144</v>
      </c>
      <c r="D21" s="10">
        <v>610130</v>
      </c>
      <c r="E21" s="10" t="s">
        <v>145</v>
      </c>
      <c r="F21" s="10">
        <v>6101309000</v>
      </c>
      <c r="G21" s="10">
        <v>6112399000</v>
      </c>
      <c r="H21" s="10" t="s">
        <v>146</v>
      </c>
      <c r="I21" s="10">
        <v>6117109000</v>
      </c>
      <c r="J21" s="10" t="s">
        <v>147</v>
      </c>
      <c r="K21" s="10">
        <v>6202</v>
      </c>
    </row>
    <row r="22" spans="1:11" ht="15.75" customHeight="1">
      <c r="A22" s="10" t="s">
        <v>148</v>
      </c>
      <c r="B22" s="10" t="s">
        <v>149</v>
      </c>
      <c r="C22" s="10" t="s">
        <v>144</v>
      </c>
      <c r="D22" s="10">
        <v>610130</v>
      </c>
      <c r="E22" s="10" t="s">
        <v>145</v>
      </c>
      <c r="F22" s="10">
        <v>6101309000</v>
      </c>
      <c r="G22" s="10">
        <v>6112399000</v>
      </c>
      <c r="H22" s="10" t="s">
        <v>146</v>
      </c>
      <c r="I22" s="10">
        <v>6117109000</v>
      </c>
      <c r="J22" s="10" t="s">
        <v>147</v>
      </c>
      <c r="K22" s="10">
        <v>6202</v>
      </c>
    </row>
    <row r="23" spans="1:11" ht="15.75" customHeight="1">
      <c r="A23" s="10" t="s">
        <v>150</v>
      </c>
      <c r="B23" s="10" t="s">
        <v>151</v>
      </c>
      <c r="C23" s="10" t="s">
        <v>152</v>
      </c>
      <c r="D23" s="10">
        <v>610892</v>
      </c>
      <c r="E23" s="10" t="s">
        <v>153</v>
      </c>
      <c r="F23" s="10">
        <v>6208110000</v>
      </c>
      <c r="G23" s="10" t="s">
        <v>154</v>
      </c>
      <c r="H23" s="10">
        <v>6208990099</v>
      </c>
      <c r="J23" s="10" t="s">
        <v>155</v>
      </c>
      <c r="K23" s="10">
        <v>62089200</v>
      </c>
    </row>
    <row r="24" spans="1:11" ht="15.75" customHeight="1">
      <c r="A24" s="10" t="s">
        <v>156</v>
      </c>
      <c r="B24" s="10" t="s">
        <v>157</v>
      </c>
      <c r="D24" s="10">
        <v>621111</v>
      </c>
      <c r="E24" s="10" t="s">
        <v>158</v>
      </c>
      <c r="F24" s="10">
        <v>6112311000</v>
      </c>
      <c r="G24" s="10">
        <v>6112311000</v>
      </c>
      <c r="H24" s="10">
        <v>61123110</v>
      </c>
      <c r="J24" s="10" t="s">
        <v>147</v>
      </c>
      <c r="K24" s="10">
        <v>61123100</v>
      </c>
    </row>
    <row r="25" spans="1:11" ht="15.75" customHeight="1">
      <c r="A25" s="10" t="s">
        <v>159</v>
      </c>
      <c r="B25" s="10" t="s">
        <v>160</v>
      </c>
      <c r="C25" s="10" t="s">
        <v>161</v>
      </c>
      <c r="D25" s="10">
        <v>630253</v>
      </c>
      <c r="E25" s="10" t="s">
        <v>162</v>
      </c>
      <c r="F25" s="10">
        <v>6302531000</v>
      </c>
      <c r="G25" s="10">
        <v>6302531000</v>
      </c>
      <c r="H25" s="10">
        <v>63029310</v>
      </c>
      <c r="J25" s="10" t="s">
        <v>163</v>
      </c>
    </row>
    <row r="26" spans="1:11" ht="15.75" customHeight="1">
      <c r="A26" s="10" t="s">
        <v>164</v>
      </c>
      <c r="B26" s="10" t="s">
        <v>165</v>
      </c>
      <c r="C26" s="10" t="s">
        <v>166</v>
      </c>
      <c r="D26" s="10">
        <v>630293</v>
      </c>
      <c r="E26" s="10" t="s">
        <v>101</v>
      </c>
      <c r="F26" s="10">
        <v>6302600090</v>
      </c>
      <c r="G26" s="10" t="s">
        <v>106</v>
      </c>
      <c r="H26" s="10">
        <v>63029390</v>
      </c>
      <c r="J26" s="10" t="s">
        <v>107</v>
      </c>
      <c r="K26" s="10">
        <v>63029120</v>
      </c>
    </row>
    <row r="27" spans="1:11" ht="15.75" customHeight="1">
      <c r="A27" s="10" t="s">
        <v>167</v>
      </c>
      <c r="B27" s="10" t="s">
        <v>168</v>
      </c>
      <c r="C27" s="10" t="s">
        <v>166</v>
      </c>
      <c r="D27" s="10">
        <v>630293</v>
      </c>
      <c r="E27" s="10" t="s">
        <v>101</v>
      </c>
      <c r="F27" s="10">
        <v>6302600090</v>
      </c>
      <c r="G27" s="10" t="s">
        <v>106</v>
      </c>
      <c r="H27" s="10">
        <v>6302939000</v>
      </c>
      <c r="J27" s="10" t="s">
        <v>107</v>
      </c>
      <c r="K27" s="10">
        <v>63029120</v>
      </c>
    </row>
    <row r="28" spans="1:11" ht="15.75" customHeight="1">
      <c r="A28" s="10" t="s">
        <v>169</v>
      </c>
      <c r="B28" s="10" t="s">
        <v>170</v>
      </c>
      <c r="C28" s="10" t="s">
        <v>171</v>
      </c>
      <c r="D28" s="10">
        <v>630293</v>
      </c>
      <c r="E28" s="10" t="s">
        <v>101</v>
      </c>
      <c r="F28" s="10">
        <v>6302600090</v>
      </c>
      <c r="G28" s="10" t="s">
        <v>106</v>
      </c>
      <c r="H28" s="10">
        <v>6302939000</v>
      </c>
      <c r="J28" s="10" t="s">
        <v>107</v>
      </c>
      <c r="K28" s="10">
        <v>63029120</v>
      </c>
    </row>
    <row r="29" spans="1:11" ht="15.75" customHeight="1">
      <c r="A29" s="10" t="s">
        <v>172</v>
      </c>
      <c r="B29" s="10" t="s">
        <v>173</v>
      </c>
      <c r="C29" s="10" t="s">
        <v>174</v>
      </c>
      <c r="D29" s="10">
        <v>630293</v>
      </c>
      <c r="E29" s="10" t="s">
        <v>101</v>
      </c>
      <c r="F29" s="10">
        <v>6302600090</v>
      </c>
      <c r="G29" s="10" t="s">
        <v>106</v>
      </c>
      <c r="H29" s="10">
        <v>6302939000</v>
      </c>
      <c r="J29" s="10" t="s">
        <v>107</v>
      </c>
      <c r="K29" s="10">
        <v>63029120</v>
      </c>
    </row>
    <row r="30" spans="1:11" ht="15.75" customHeight="1">
      <c r="A30" s="10" t="s">
        <v>175</v>
      </c>
      <c r="B30" s="10" t="s">
        <v>176</v>
      </c>
    </row>
    <row r="31" spans="1:11" ht="15.75" customHeight="1">
      <c r="A31" s="10" t="s">
        <v>177</v>
      </c>
      <c r="B31" s="10" t="s">
        <v>178</v>
      </c>
    </row>
    <row r="32" spans="1:11" ht="15.75" customHeight="1">
      <c r="A32" s="10" t="s">
        <v>179</v>
      </c>
      <c r="B32" s="10" t="s">
        <v>180</v>
      </c>
    </row>
    <row r="33" spans="1:10" ht="15.75" customHeight="1">
      <c r="A33" s="10" t="s">
        <v>181</v>
      </c>
      <c r="B33" s="10" t="s">
        <v>182</v>
      </c>
    </row>
    <row r="34" spans="1:10" ht="15.75" customHeight="1">
      <c r="A34" s="10" t="s">
        <v>183</v>
      </c>
      <c r="B34" s="10" t="s">
        <v>184</v>
      </c>
    </row>
    <row r="35" spans="1:10" ht="15.75" customHeight="1">
      <c r="A35" s="10" t="s">
        <v>185</v>
      </c>
      <c r="B35" s="10" t="s">
        <v>186</v>
      </c>
    </row>
    <row r="36" spans="1:10" ht="15.75" customHeight="1">
      <c r="A36" s="10" t="s">
        <v>187</v>
      </c>
      <c r="B36" s="10" t="s">
        <v>188</v>
      </c>
    </row>
    <row r="37" spans="1:10" ht="15.75" customHeight="1">
      <c r="A37" s="10" t="s">
        <v>189</v>
      </c>
      <c r="B37" s="10" t="s">
        <v>190</v>
      </c>
    </row>
    <row r="38" spans="1:10" ht="15.75" customHeight="1">
      <c r="A38" s="10" t="s">
        <v>191</v>
      </c>
      <c r="B38" s="10" t="s">
        <v>192</v>
      </c>
    </row>
    <row r="39" spans="1:10" ht="15.75" customHeight="1">
      <c r="A39" s="10" t="s">
        <v>193</v>
      </c>
      <c r="B39" s="10" t="s">
        <v>194</v>
      </c>
    </row>
    <row r="40" spans="1:10" ht="15.75" customHeight="1">
      <c r="A40" s="10" t="s">
        <v>195</v>
      </c>
      <c r="B40" s="10" t="s">
        <v>196</v>
      </c>
    </row>
    <row r="41" spans="1:10" ht="15.75" customHeight="1">
      <c r="A41" s="10" t="s">
        <v>197</v>
      </c>
      <c r="B41" s="10" t="s">
        <v>198</v>
      </c>
    </row>
    <row r="42" spans="1:10" ht="15.75" customHeight="1">
      <c r="A42" s="10" t="s">
        <v>199</v>
      </c>
      <c r="B42" s="10" t="s">
        <v>200</v>
      </c>
      <c r="D42" s="10">
        <v>650500</v>
      </c>
      <c r="E42" s="10" t="s">
        <v>115</v>
      </c>
      <c r="F42" s="10">
        <v>6505009090</v>
      </c>
      <c r="G42" s="10" t="s">
        <v>116</v>
      </c>
      <c r="H42" s="10" t="s">
        <v>117</v>
      </c>
      <c r="J42" s="10" t="s">
        <v>118</v>
      </c>
    </row>
    <row r="43" spans="1:10" ht="15.75" customHeight="1">
      <c r="A43" s="10" t="s">
        <v>201</v>
      </c>
      <c r="B43" s="10" t="s">
        <v>202</v>
      </c>
    </row>
    <row r="44" spans="1:10" ht="15.75" customHeight="1">
      <c r="A44" s="10" t="s">
        <v>203</v>
      </c>
      <c r="B44" s="10" t="s">
        <v>204</v>
      </c>
    </row>
    <row r="45" spans="1:10" ht="13">
      <c r="A45" s="10" t="s">
        <v>205</v>
      </c>
      <c r="B45" s="10" t="s">
        <v>206</v>
      </c>
    </row>
    <row r="46" spans="1:10" ht="13">
      <c r="A46" s="10" t="s">
        <v>207</v>
      </c>
      <c r="B46" s="10" t="s">
        <v>208</v>
      </c>
    </row>
    <row r="47" spans="1:10" ht="13">
      <c r="A47" s="10" t="s">
        <v>209</v>
      </c>
      <c r="B47" s="10" t="s">
        <v>210</v>
      </c>
    </row>
    <row r="48" spans="1:10" ht="13">
      <c r="A48" s="10" t="s">
        <v>211</v>
      </c>
      <c r="B48" s="10" t="s">
        <v>212</v>
      </c>
    </row>
    <row r="49" spans="1:10" ht="13">
      <c r="A49" s="10" t="s">
        <v>213</v>
      </c>
      <c r="B49" s="10" t="s">
        <v>214</v>
      </c>
    </row>
    <row r="50" spans="1:10" ht="13">
      <c r="A50" s="10" t="s">
        <v>215</v>
      </c>
      <c r="B50" s="10" t="s">
        <v>216</v>
      </c>
    </row>
    <row r="51" spans="1:10" ht="13">
      <c r="A51" s="10" t="s">
        <v>217</v>
      </c>
      <c r="B51" s="10" t="s">
        <v>216</v>
      </c>
    </row>
    <row r="52" spans="1:10" ht="13">
      <c r="A52" s="10" t="s">
        <v>218</v>
      </c>
      <c r="B52" s="10" t="s">
        <v>219</v>
      </c>
    </row>
    <row r="53" spans="1:10" ht="13">
      <c r="A53" s="10" t="s">
        <v>220</v>
      </c>
      <c r="B53" s="10" t="s">
        <v>221</v>
      </c>
    </row>
    <row r="54" spans="1:10" ht="13">
      <c r="A54" s="10" t="s">
        <v>222</v>
      </c>
      <c r="B54" s="10" t="s">
        <v>223</v>
      </c>
    </row>
    <row r="55" spans="1:10" ht="13">
      <c r="A55" s="10" t="s">
        <v>224</v>
      </c>
      <c r="B55" s="10" t="s">
        <v>225</v>
      </c>
    </row>
    <row r="56" spans="1:10" ht="13">
      <c r="A56" s="10" t="s">
        <v>226</v>
      </c>
      <c r="B56" s="10" t="s">
        <v>227</v>
      </c>
    </row>
    <row r="57" spans="1:10" ht="13">
      <c r="A57" s="10" t="s">
        <v>228</v>
      </c>
      <c r="F57" s="10">
        <v>3923290000</v>
      </c>
    </row>
    <row r="58" spans="1:10" ht="13">
      <c r="A58" s="10" t="s">
        <v>229</v>
      </c>
      <c r="B58" s="10" t="s">
        <v>230</v>
      </c>
      <c r="E58" s="10" t="s">
        <v>231</v>
      </c>
    </row>
    <row r="59" spans="1:10" ht="13">
      <c r="A59" s="10" t="s">
        <v>232</v>
      </c>
    </row>
    <row r="60" spans="1:10" ht="13">
      <c r="A60" s="10" t="s">
        <v>233</v>
      </c>
      <c r="B60" s="10" t="s">
        <v>230</v>
      </c>
      <c r="E60" s="10" t="s">
        <v>234</v>
      </c>
      <c r="F60" s="10">
        <v>4901100000</v>
      </c>
      <c r="G60" s="10" t="s">
        <v>235</v>
      </c>
      <c r="H60" s="10">
        <v>49011000</v>
      </c>
    </row>
    <row r="61" spans="1:10" ht="13">
      <c r="A61" s="10" t="s">
        <v>236</v>
      </c>
      <c r="B61" s="10" t="s">
        <v>236</v>
      </c>
      <c r="C61" s="10" t="s">
        <v>237</v>
      </c>
      <c r="E61" s="10" t="s">
        <v>238</v>
      </c>
      <c r="F61" s="10">
        <v>6305339000</v>
      </c>
      <c r="G61" s="10" t="s">
        <v>238</v>
      </c>
      <c r="H61" s="10">
        <v>63053390</v>
      </c>
      <c r="J61" s="10" t="s">
        <v>239</v>
      </c>
    </row>
    <row r="62" spans="1:10" ht="13">
      <c r="A62" s="10" t="s">
        <v>240</v>
      </c>
      <c r="B62" s="10" t="s">
        <v>241</v>
      </c>
      <c r="C62" s="10" t="s">
        <v>242</v>
      </c>
      <c r="D62" s="10">
        <v>481910</v>
      </c>
      <c r="E62" s="10" t="s">
        <v>243</v>
      </c>
      <c r="F62" s="10">
        <v>4819100000</v>
      </c>
      <c r="G62" s="10">
        <v>4819100000</v>
      </c>
      <c r="H62" s="10">
        <v>48191000</v>
      </c>
      <c r="J62" s="10" t="s">
        <v>244</v>
      </c>
    </row>
    <row r="63" spans="1:10" ht="13">
      <c r="A63" s="10" t="s">
        <v>245</v>
      </c>
      <c r="B63" s="10" t="s">
        <v>246</v>
      </c>
      <c r="C63" s="10" t="s">
        <v>247</v>
      </c>
      <c r="D63" s="10">
        <v>940320</v>
      </c>
      <c r="E63" s="10" t="s">
        <v>248</v>
      </c>
      <c r="F63" s="10">
        <v>9403208000</v>
      </c>
      <c r="G63" s="10">
        <v>9403200070</v>
      </c>
      <c r="H63" s="10">
        <v>94032080</v>
      </c>
      <c r="J63" s="10" t="s">
        <v>249</v>
      </c>
    </row>
    <row r="64" spans="1:10" ht="13">
      <c r="A64" s="10" t="s">
        <v>250</v>
      </c>
      <c r="B64" s="10" t="s">
        <v>251</v>
      </c>
      <c r="C64" s="10" t="s">
        <v>243</v>
      </c>
      <c r="E64" s="10" t="s">
        <v>243</v>
      </c>
      <c r="F64" s="10">
        <v>4819100000</v>
      </c>
      <c r="G64" s="10">
        <v>4819100090</v>
      </c>
      <c r="H64" s="10">
        <v>48191000</v>
      </c>
      <c r="J64" s="10" t="s">
        <v>244</v>
      </c>
    </row>
    <row r="65" spans="1:11" ht="13">
      <c r="A65" s="10" t="s">
        <v>252</v>
      </c>
      <c r="B65" s="10" t="s">
        <v>253</v>
      </c>
      <c r="C65" s="10" t="s">
        <v>254</v>
      </c>
      <c r="E65" s="10" t="s">
        <v>255</v>
      </c>
      <c r="F65" s="10">
        <v>5806390090</v>
      </c>
      <c r="G65" s="10">
        <v>580639</v>
      </c>
      <c r="H65" s="10">
        <v>58063900</v>
      </c>
      <c r="J65" s="10" t="s">
        <v>256</v>
      </c>
    </row>
    <row r="66" spans="1:11" ht="13">
      <c r="A66" s="10" t="s">
        <v>257</v>
      </c>
      <c r="B66" s="10" t="s">
        <v>258</v>
      </c>
      <c r="C66" s="10" t="s">
        <v>237</v>
      </c>
      <c r="D66" s="10">
        <v>481910</v>
      </c>
      <c r="E66" s="10" t="s">
        <v>259</v>
      </c>
      <c r="F66" s="10">
        <v>4819100000</v>
      </c>
      <c r="G66" s="10" t="s">
        <v>259</v>
      </c>
      <c r="H66" s="10">
        <v>4817100000</v>
      </c>
      <c r="J66" s="10" t="s">
        <v>244</v>
      </c>
      <c r="K66" s="10">
        <v>4817</v>
      </c>
    </row>
    <row r="67" spans="1:11" ht="13">
      <c r="A67" s="10" t="s">
        <v>260</v>
      </c>
      <c r="B67" s="10" t="s">
        <v>261</v>
      </c>
      <c r="D67" s="10">
        <v>481910</v>
      </c>
      <c r="E67" s="10" t="s">
        <v>243</v>
      </c>
      <c r="F67" s="10">
        <v>4819100000</v>
      </c>
      <c r="G67" s="10">
        <v>4819100000</v>
      </c>
      <c r="H67" s="10">
        <v>48191000</v>
      </c>
      <c r="J67" s="10" t="s">
        <v>244</v>
      </c>
    </row>
    <row r="68" spans="1:11" ht="13">
      <c r="A68" s="10" t="s">
        <v>262</v>
      </c>
      <c r="B68" s="10" t="s">
        <v>263</v>
      </c>
      <c r="E68" s="10">
        <v>4202220000</v>
      </c>
      <c r="F68" s="10">
        <v>4202220000</v>
      </c>
      <c r="J68" s="10" t="s">
        <v>69</v>
      </c>
    </row>
    <row r="69" spans="1:11" ht="13">
      <c r="A69" s="10" t="s">
        <v>264</v>
      </c>
      <c r="B69" s="10" t="s">
        <v>265</v>
      </c>
      <c r="D69" s="10">
        <v>650500</v>
      </c>
      <c r="E69" s="10" t="s">
        <v>115</v>
      </c>
      <c r="F69" s="10">
        <v>6505009090</v>
      </c>
      <c r="G69" s="10" t="s">
        <v>116</v>
      </c>
      <c r="H69" s="10">
        <v>6217100090</v>
      </c>
      <c r="J69" s="10" t="s">
        <v>118</v>
      </c>
      <c r="K69" s="10">
        <v>6507</v>
      </c>
    </row>
    <row r="70" spans="1:11" ht="13">
      <c r="A70" s="10" t="s">
        <v>266</v>
      </c>
      <c r="B70" s="10" t="s">
        <v>267</v>
      </c>
      <c r="D70" s="10">
        <v>630293</v>
      </c>
      <c r="E70" s="10" t="s">
        <v>101</v>
      </c>
      <c r="F70" s="10">
        <v>6302600090</v>
      </c>
      <c r="G70" s="10" t="s">
        <v>106</v>
      </c>
      <c r="H70" s="10">
        <v>6302939000</v>
      </c>
      <c r="J70" s="10" t="s">
        <v>107</v>
      </c>
    </row>
    <row r="71" spans="1:11" ht="13">
      <c r="A71" s="10" t="s">
        <v>268</v>
      </c>
      <c r="B71" s="10" t="s">
        <v>269</v>
      </c>
      <c r="D71" s="10">
        <v>630293</v>
      </c>
      <c r="E71" s="10" t="s">
        <v>101</v>
      </c>
      <c r="F71" s="10">
        <v>6302600090</v>
      </c>
      <c r="G71" s="10" t="s">
        <v>106</v>
      </c>
      <c r="H71" s="10">
        <v>6302939000</v>
      </c>
      <c r="J71" s="10" t="s">
        <v>107</v>
      </c>
    </row>
  </sheetData>
  <sheetProtection algorithmName="SHA-512" hashValue="mdeRANV8nGapf5N79spbHy5VF/1pOIeuTTtwau+JbVR55ldg+7oLKIWnuLQq2AuVQl9rOe9pjWXLAY4RvVWaoQ==" saltValue="6pVj3N74NHJWW7KRtNUYUA==" spinCount="100000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Q2556"/>
  <sheetViews>
    <sheetView workbookViewId="0">
      <selection activeCell="C13" sqref="C13"/>
    </sheetView>
  </sheetViews>
  <sheetFormatPr baseColWidth="10" defaultColWidth="12.6640625" defaultRowHeight="15.75" customHeight="1"/>
  <cols>
    <col min="1" max="1" width="19.6640625" customWidth="1"/>
    <col min="13" max="13" width="137.33203125" customWidth="1"/>
  </cols>
  <sheetData>
    <row r="1" spans="1:17" ht="15.75" customHeight="1">
      <c r="A1" s="6" t="s">
        <v>33</v>
      </c>
      <c r="B1" s="7" t="s">
        <v>270</v>
      </c>
      <c r="C1" s="7" t="s">
        <v>271</v>
      </c>
      <c r="D1" s="7" t="s">
        <v>272</v>
      </c>
      <c r="E1" s="7" t="s">
        <v>273</v>
      </c>
      <c r="F1" s="8" t="s">
        <v>6</v>
      </c>
      <c r="G1" s="8" t="s">
        <v>12</v>
      </c>
      <c r="H1" s="8" t="s">
        <v>62</v>
      </c>
      <c r="I1" s="8" t="s">
        <v>17</v>
      </c>
      <c r="J1" s="8" t="s">
        <v>63</v>
      </c>
      <c r="K1" s="8" t="s">
        <v>20</v>
      </c>
      <c r="L1" s="8" t="s">
        <v>64</v>
      </c>
      <c r="M1" s="8" t="s">
        <v>60</v>
      </c>
      <c r="N1" s="9"/>
      <c r="O1" s="9"/>
      <c r="P1" s="9"/>
      <c r="Q1" s="9"/>
    </row>
    <row r="2" spans="1:17" ht="15.75" customHeight="1">
      <c r="A2" s="7" t="s">
        <v>274</v>
      </c>
      <c r="B2" s="7" t="s">
        <v>77</v>
      </c>
      <c r="C2" s="7" t="s">
        <v>275</v>
      </c>
      <c r="D2" s="7" t="s">
        <v>78</v>
      </c>
      <c r="E2" s="7" t="s">
        <v>276</v>
      </c>
      <c r="F2" s="8" t="str">
        <f>_xlfn.IFNA(INDEX('HS Codes'!$D$2:$K2556,MATCH($B2,'HS Codes'!$A$2:$A2556,0),MATCH(F$1,'HS Codes'!$D$1:$K$1,0)),"")</f>
        <v>4202.92.91.00</v>
      </c>
      <c r="G2" s="8">
        <f>_xlfn.IFNA(INDEX('HS Codes'!$D$2:$K2556,MATCH($B2,'HS Codes'!$A$2:$A2556,0),MATCH(G$1,'HS Codes'!$D$1:$K$1,0)),"")</f>
        <v>4202921900</v>
      </c>
      <c r="H2" s="8" t="str">
        <f>_xlfn.IFNA(INDEX('HS Codes'!$D$2:$K2556,MATCH($B2,'HS Codes'!$A$2:$A2556,0),MATCH(H$1,'HS Codes'!$D$1:$K$1,0)),"")</f>
        <v>4202.92.90.00</v>
      </c>
      <c r="I2" s="8" t="str">
        <f>_xlfn.IFNA(INDEX('HS Codes'!$D$2:$K2556,MATCH($B2,'HS Codes'!$A$2:$A2556,0),MATCH(I$1,'HS Codes'!$D$1:$K$1,0)),"")</f>
        <v>4202 9298 90</v>
      </c>
      <c r="J2" s="8">
        <f>_xlfn.IFNA(INDEX('HS Codes'!$D$2:$K2556,MATCH($B2,'HS Codes'!$A$2:$A2556,0),MATCH(J$1,'HS Codes'!$D$1:$K$1,0)),"")</f>
        <v>0</v>
      </c>
      <c r="K2" s="8" t="str">
        <f>_xlfn.IFNA(INDEX('HS Codes'!$D$2:$K2556,MATCH($B2,'HS Codes'!$A$2:$A2556,0),MATCH(K$1,'HS Codes'!$D$1:$K$1,0)),"")</f>
        <v>4202.92.90</v>
      </c>
      <c r="L2" s="8">
        <f>_xlfn.IFNA(INDEX('HS Codes'!$D$2:$K2556,MATCH($B2,'HS Codes'!$A$2:$A2556,0),MATCH(L$1,'HS Codes'!$D$1:$K$1,0)),"")</f>
        <v>42029100</v>
      </c>
      <c r="M2" s="8" t="str">
        <f>_xlfn.IFNA(INDEX('HS Codes'!$C$2:$C2556,MATCH($B2,'HS Codes'!$A$2:$A2556,0)),"")</f>
        <v>Shopping Bag 100% recycled polyester</v>
      </c>
      <c r="N2" s="9"/>
      <c r="O2" s="9"/>
      <c r="P2" s="9"/>
      <c r="Q2" s="9"/>
    </row>
    <row r="3" spans="1:17" ht="15.75" customHeight="1">
      <c r="A3" s="7" t="s">
        <v>277</v>
      </c>
      <c r="B3" s="7" t="s">
        <v>103</v>
      </c>
      <c r="C3" s="7" t="s">
        <v>278</v>
      </c>
      <c r="D3" s="7" t="s">
        <v>104</v>
      </c>
      <c r="E3" s="7" t="s">
        <v>279</v>
      </c>
      <c r="F3" s="8" t="str">
        <f>_xlfn.IFNA(INDEX('HS Codes'!$D$2:$K2557,MATCH($B3,'HS Codes'!$A$2:$A2557,0),MATCH(F$1,'HS Codes'!$D$1:$K$1,0)),"")</f>
        <v>6302.93.2000</v>
      </c>
      <c r="G3" s="8">
        <f>_xlfn.IFNA(INDEX('HS Codes'!$D$2:$K2557,MATCH($B3,'HS Codes'!$A$2:$A2557,0),MATCH(G$1,'HS Codes'!$D$1:$K$1,0)),"")</f>
        <v>6302600090</v>
      </c>
      <c r="H3" s="8" t="str">
        <f>_xlfn.IFNA(INDEX('HS Codes'!$D$2:$K2557,MATCH($B3,'HS Codes'!$A$2:$A2557,0),MATCH(H$1,'HS Codes'!$D$1:$K$1,0)),"")</f>
        <v>6302.93.00.00</v>
      </c>
      <c r="I3" s="8">
        <f>_xlfn.IFNA(INDEX('HS Codes'!$D$2:$K2557,MATCH($B3,'HS Codes'!$A$2:$A2557,0),MATCH(I$1,'HS Codes'!$D$1:$K$1,0)),"")</f>
        <v>6302939000</v>
      </c>
      <c r="J3" s="8">
        <f>_xlfn.IFNA(INDEX('HS Codes'!$D$2:$K2557,MATCH($B3,'HS Codes'!$A$2:$A2557,0),MATCH(J$1,'HS Codes'!$D$1:$K$1,0)),"")</f>
        <v>0</v>
      </c>
      <c r="K3" s="8" t="str">
        <f>_xlfn.IFNA(INDEX('HS Codes'!$D$2:$K2557,MATCH($B3,'HS Codes'!$A$2:$A2557,0),MATCH(K$1,'HS Codes'!$D$1:$K$1,0)),"")</f>
        <v>6302.39.00</v>
      </c>
      <c r="L3" s="8">
        <f>_xlfn.IFNA(INDEX('HS Codes'!$D$2:$K2557,MATCH($B3,'HS Codes'!$A$2:$A2557,0),MATCH(L$1,'HS Codes'!$D$1:$K$1,0)),"")</f>
        <v>6507</v>
      </c>
      <c r="M3" s="8" t="str">
        <f>_xlfn.IFNA(INDEX('HS Codes'!$C$2:$C2557,MATCH($B3,'HS Codes'!$A$2:$A2557,0)),"")</f>
        <v>Pet Towel - Toilet Linen 100% recycled 220 GSM/83% polyester/17% polyamide includes cotton on the packing pouch drawstring</v>
      </c>
      <c r="N3" s="9"/>
      <c r="O3" s="9"/>
      <c r="P3" s="9"/>
      <c r="Q3" s="9"/>
    </row>
    <row r="4" spans="1:17" ht="15.75" customHeight="1">
      <c r="A4" s="7" t="s">
        <v>280</v>
      </c>
      <c r="B4" s="7" t="s">
        <v>137</v>
      </c>
      <c r="C4" s="7" t="s">
        <v>281</v>
      </c>
      <c r="D4" s="7" t="s">
        <v>138</v>
      </c>
      <c r="E4" s="7" t="s">
        <v>138</v>
      </c>
      <c r="F4" s="8" t="str">
        <f>_xlfn.IFNA(INDEX('HS Codes'!$D$2:$K2558,MATCH($B4,'HS Codes'!$A$2:$A2558,0),MATCH(F$1,'HS Codes'!$D$1:$K$1,0)),"")</f>
        <v>6301.40.0020</v>
      </c>
      <c r="G4" s="8">
        <f>_xlfn.IFNA(INDEX('HS Codes'!$D$2:$K2558,MATCH($B4,'HS Codes'!$A$2:$A2558,0),MATCH(G$1,'HS Codes'!$D$1:$K$1,0)),"")</f>
        <v>6301409099</v>
      </c>
      <c r="H4" s="8" t="str">
        <f>_xlfn.IFNA(INDEX('HS Codes'!$D$2:$K2558,MATCH($B4,'HS Codes'!$A$2:$A2558,0),MATCH(H$1,'HS Codes'!$D$1:$K$1,0)),"")</f>
        <v>6301.40.0020</v>
      </c>
      <c r="I4" s="8">
        <f>_xlfn.IFNA(INDEX('HS Codes'!$D$2:$K2558,MATCH($B4,'HS Codes'!$A$2:$A2558,0),MATCH(I$1,'HS Codes'!$D$1:$K$1,0)),"")</f>
        <v>6301409099</v>
      </c>
      <c r="J4" s="8">
        <f>_xlfn.IFNA(INDEX('HS Codes'!$D$2:$K2558,MATCH($B4,'HS Codes'!$A$2:$A2558,0),MATCH(J$1,'HS Codes'!$D$1:$K$1,0)),"")</f>
        <v>0</v>
      </c>
      <c r="K4" s="8" t="str">
        <f>_xlfn.IFNA(INDEX('HS Codes'!$D$2:$K2558,MATCH($B4,'HS Codes'!$A$2:$A2558,0),MATCH(K$1,'HS Codes'!$D$1:$K$1,0)),"")</f>
        <v>6301.40.00</v>
      </c>
      <c r="L4" s="8">
        <f>_xlfn.IFNA(INDEX('HS Codes'!$D$2:$K2558,MATCH($B4,'HS Codes'!$A$2:$A2558,0),MATCH(L$1,'HS Codes'!$D$1:$K$1,0)),"")</f>
        <v>6301</v>
      </c>
      <c r="M4" s="8" t="str">
        <f>_xlfn.IFNA(INDEX('HS Codes'!$C$2:$C2558,MATCH($B4,'HS Codes'!$A$2:$A2558,0)),"")</f>
        <v>Travelling Rug 100% recycled. BOTTOM: 100% polyester. TOP: 220 GSM/83% polyester/17% polyamide includes cotton on the packing pouch drawstring</v>
      </c>
      <c r="N4" s="9"/>
      <c r="O4" s="9"/>
      <c r="P4" s="9"/>
      <c r="Q4" s="9"/>
    </row>
    <row r="5" spans="1:17" ht="15.75" customHeight="1">
      <c r="A5" s="7" t="s">
        <v>282</v>
      </c>
      <c r="B5" s="7" t="s">
        <v>150</v>
      </c>
      <c r="C5" s="7"/>
      <c r="D5" s="7" t="s">
        <v>151</v>
      </c>
      <c r="E5" s="7" t="s">
        <v>151</v>
      </c>
      <c r="F5" s="8" t="str">
        <f>_xlfn.IFNA(INDEX('HS Codes'!$D$2:$K2559,MATCH($B5,'HS Codes'!$A$2:$A2559,0),MATCH(F$1,'HS Codes'!$D$1:$K$1,0)),"")</f>
        <v>6208.92.0010</v>
      </c>
      <c r="G5" s="8">
        <f>_xlfn.IFNA(INDEX('HS Codes'!$D$2:$K2559,MATCH($B5,'HS Codes'!$A$2:$A2559,0),MATCH(G$1,'HS Codes'!$D$1:$K$1,0)),"")</f>
        <v>6208110000</v>
      </c>
      <c r="H5" s="8" t="str">
        <f>_xlfn.IFNA(INDEX('HS Codes'!$D$2:$K2559,MATCH($B5,'HS Codes'!$A$2:$A2559,0),MATCH(H$1,'HS Codes'!$D$1:$K$1,0)),"")</f>
        <v>6208.92.00.00</v>
      </c>
      <c r="I5" s="8">
        <f>_xlfn.IFNA(INDEX('HS Codes'!$D$2:$K2559,MATCH($B5,'HS Codes'!$A$2:$A2559,0),MATCH(I$1,'HS Codes'!$D$1:$K$1,0)),"")</f>
        <v>6208990099</v>
      </c>
      <c r="J5" s="8">
        <f>_xlfn.IFNA(INDEX('HS Codes'!$D$2:$K2559,MATCH($B5,'HS Codes'!$A$2:$A2559,0),MATCH(J$1,'HS Codes'!$D$1:$K$1,0)),"")</f>
        <v>0</v>
      </c>
      <c r="K5" s="8" t="str">
        <f>_xlfn.IFNA(INDEX('HS Codes'!$D$2:$K2559,MATCH($B5,'HS Codes'!$A$2:$A2559,0),MATCH(K$1,'HS Codes'!$D$1:$K$1,0)),"")</f>
        <v>6208.11.00</v>
      </c>
      <c r="L5" s="8">
        <f>_xlfn.IFNA(INDEX('HS Codes'!$D$2:$K2559,MATCH($B5,'HS Codes'!$A$2:$A2559,0),MATCH(L$1,'HS Codes'!$D$1:$K$1,0)),"")</f>
        <v>62089200</v>
      </c>
      <c r="M5" s="8" t="str">
        <f>_xlfn.IFNA(INDEX('HS Codes'!$C$2:$C2559,MATCH($B5,'HS Codes'!$A$2:$A2559,0)),"")</f>
        <v>Bathrobe 100% recycled 220 GSM/83% polyester/17% polyamide includes cotton on the packing pouch drawstring</v>
      </c>
      <c r="N5" s="9"/>
      <c r="O5" s="9"/>
      <c r="P5" s="9"/>
      <c r="Q5" s="9"/>
    </row>
    <row r="6" spans="1:17" ht="15.75" customHeight="1">
      <c r="A6" s="7" t="s">
        <v>283</v>
      </c>
      <c r="B6" s="7" t="s">
        <v>65</v>
      </c>
      <c r="C6" s="7"/>
      <c r="D6" s="7" t="s">
        <v>66</v>
      </c>
      <c r="E6" s="7" t="s">
        <v>284</v>
      </c>
      <c r="F6" s="8" t="str">
        <f>_xlfn.IFNA(INDEX('HS Codes'!$D$2:$K2560,MATCH($B6,'HS Codes'!$A$2:$A2560,0),MATCH(F$1,'HS Codes'!$D$1:$K$1,0)),"")</f>
        <v>4202.92.9100</v>
      </c>
      <c r="G6" s="8">
        <f>_xlfn.IFNA(INDEX('HS Codes'!$D$2:$K2560,MATCH($B6,'HS Codes'!$A$2:$A2560,0),MATCH(G$1,'HS Codes'!$D$1:$K$1,0)),"")</f>
        <v>4202220000</v>
      </c>
      <c r="H6" s="8">
        <f>_xlfn.IFNA(INDEX('HS Codes'!$D$2:$K2560,MATCH($B6,'HS Codes'!$A$2:$A2560,0),MATCH(H$1,'HS Codes'!$D$1:$K$1,0)),"")</f>
        <v>0</v>
      </c>
      <c r="I6" s="8">
        <f>_xlfn.IFNA(INDEX('HS Codes'!$D$2:$K2560,MATCH($B6,'HS Codes'!$A$2:$A2560,0),MATCH(I$1,'HS Codes'!$D$1:$K$1,0)),"")</f>
        <v>42022290</v>
      </c>
      <c r="J6" s="8">
        <f>_xlfn.IFNA(INDEX('HS Codes'!$D$2:$K2560,MATCH($B6,'HS Codes'!$A$2:$A2560,0),MATCH(J$1,'HS Codes'!$D$1:$K$1,0)),"")</f>
        <v>0</v>
      </c>
      <c r="K6" s="8" t="str">
        <f>_xlfn.IFNA(INDEX('HS Codes'!$D$2:$K2560,MATCH($B6,'HS Codes'!$A$2:$A2560,0),MATCH(K$1,'HS Codes'!$D$1:$K$1,0)),"")</f>
        <v>4202.22.00</v>
      </c>
      <c r="L6" s="8">
        <f>_xlfn.IFNA(INDEX('HS Codes'!$D$2:$K2560,MATCH($B6,'HS Codes'!$A$2:$A2560,0),MATCH(L$1,'HS Codes'!$D$1:$K$1,0)),"")</f>
        <v>42029100</v>
      </c>
      <c r="M6" s="8" t="str">
        <f>_xlfn.IFNA(INDEX('HS Codes'!$C$2:$C2560,MATCH($B6,'HS Codes'!$A$2:$A2560,0)),"")</f>
        <v>Beach Bag made from 100% polyester</v>
      </c>
      <c r="N6" s="9"/>
      <c r="O6" s="9"/>
      <c r="P6" s="9"/>
      <c r="Q6" s="9"/>
    </row>
    <row r="7" spans="1:17" ht="15.75" customHeight="1">
      <c r="A7" s="7" t="s">
        <v>285</v>
      </c>
      <c r="B7" s="7" t="s">
        <v>65</v>
      </c>
      <c r="C7" s="7"/>
      <c r="D7" s="7" t="s">
        <v>66</v>
      </c>
      <c r="E7" s="7" t="s">
        <v>284</v>
      </c>
      <c r="F7" s="8" t="str">
        <f>_xlfn.IFNA(INDEX('HS Codes'!$D$2:$K2561,MATCH($B7,'HS Codes'!$A$2:$A2561,0),MATCH(F$1,'HS Codes'!$D$1:$K$1,0)),"")</f>
        <v>4202.92.9100</v>
      </c>
      <c r="G7" s="8">
        <f>_xlfn.IFNA(INDEX('HS Codes'!$D$2:$K2561,MATCH($B7,'HS Codes'!$A$2:$A2561,0),MATCH(G$1,'HS Codes'!$D$1:$K$1,0)),"")</f>
        <v>4202220000</v>
      </c>
      <c r="H7" s="8">
        <f>_xlfn.IFNA(INDEX('HS Codes'!$D$2:$K2561,MATCH($B7,'HS Codes'!$A$2:$A2561,0),MATCH(H$1,'HS Codes'!$D$1:$K$1,0)),"")</f>
        <v>0</v>
      </c>
      <c r="I7" s="8">
        <f>_xlfn.IFNA(INDEX('HS Codes'!$D$2:$K2561,MATCH($B7,'HS Codes'!$A$2:$A2561,0),MATCH(I$1,'HS Codes'!$D$1:$K$1,0)),"")</f>
        <v>42022290</v>
      </c>
      <c r="J7" s="8">
        <f>_xlfn.IFNA(INDEX('HS Codes'!$D$2:$K2561,MATCH($B7,'HS Codes'!$A$2:$A2561,0),MATCH(J$1,'HS Codes'!$D$1:$K$1,0)),"")</f>
        <v>0</v>
      </c>
      <c r="K7" s="8" t="str">
        <f>_xlfn.IFNA(INDEX('HS Codes'!$D$2:$K2561,MATCH($B7,'HS Codes'!$A$2:$A2561,0),MATCH(K$1,'HS Codes'!$D$1:$K$1,0)),"")</f>
        <v>4202.22.00</v>
      </c>
      <c r="L7" s="8">
        <f>_xlfn.IFNA(INDEX('HS Codes'!$D$2:$K2561,MATCH($B7,'HS Codes'!$A$2:$A2561,0),MATCH(L$1,'HS Codes'!$D$1:$K$1,0)),"")</f>
        <v>42029100</v>
      </c>
      <c r="M7" s="8" t="str">
        <f>_xlfn.IFNA(INDEX('HS Codes'!$C$2:$C2561,MATCH($B7,'HS Codes'!$A$2:$A2561,0)),"")</f>
        <v>Beach Bag made from 100% polyester</v>
      </c>
      <c r="N7" s="9"/>
      <c r="O7" s="9"/>
      <c r="P7" s="9"/>
      <c r="Q7" s="9"/>
    </row>
    <row r="8" spans="1:17" ht="15.75" customHeight="1">
      <c r="A8" s="7" t="s">
        <v>286</v>
      </c>
      <c r="B8" s="7" t="s">
        <v>65</v>
      </c>
      <c r="C8" s="7"/>
      <c r="D8" s="7" t="s">
        <v>66</v>
      </c>
      <c r="E8" s="7" t="s">
        <v>284</v>
      </c>
      <c r="F8" s="8" t="str">
        <f>_xlfn.IFNA(INDEX('HS Codes'!$D$2:$K2562,MATCH($B8,'HS Codes'!$A$2:$A2562,0),MATCH(F$1,'HS Codes'!$D$1:$K$1,0)),"")</f>
        <v>4202.92.9100</v>
      </c>
      <c r="G8" s="8">
        <f>_xlfn.IFNA(INDEX('HS Codes'!$D$2:$K2562,MATCH($B8,'HS Codes'!$A$2:$A2562,0),MATCH(G$1,'HS Codes'!$D$1:$K$1,0)),"")</f>
        <v>4202220000</v>
      </c>
      <c r="H8" s="8">
        <f>_xlfn.IFNA(INDEX('HS Codes'!$D$2:$K2562,MATCH($B8,'HS Codes'!$A$2:$A2562,0),MATCH(H$1,'HS Codes'!$D$1:$K$1,0)),"")</f>
        <v>0</v>
      </c>
      <c r="I8" s="8">
        <f>_xlfn.IFNA(INDEX('HS Codes'!$D$2:$K2562,MATCH($B8,'HS Codes'!$A$2:$A2562,0),MATCH(I$1,'HS Codes'!$D$1:$K$1,0)),"")</f>
        <v>42022290</v>
      </c>
      <c r="J8" s="8">
        <f>_xlfn.IFNA(INDEX('HS Codes'!$D$2:$K2562,MATCH($B8,'HS Codes'!$A$2:$A2562,0),MATCH(J$1,'HS Codes'!$D$1:$K$1,0)),"")</f>
        <v>0</v>
      </c>
      <c r="K8" s="8" t="str">
        <f>_xlfn.IFNA(INDEX('HS Codes'!$D$2:$K2562,MATCH($B8,'HS Codes'!$A$2:$A2562,0),MATCH(K$1,'HS Codes'!$D$1:$K$1,0)),"")</f>
        <v>4202.22.00</v>
      </c>
      <c r="L8" s="8">
        <f>_xlfn.IFNA(INDEX('HS Codes'!$D$2:$K2562,MATCH($B8,'HS Codes'!$A$2:$A2562,0),MATCH(L$1,'HS Codes'!$D$1:$K$1,0)),"")</f>
        <v>42029100</v>
      </c>
      <c r="M8" s="8" t="str">
        <f>_xlfn.IFNA(INDEX('HS Codes'!$C$2:$C2562,MATCH($B8,'HS Codes'!$A$2:$A2562,0)),"")</f>
        <v>Beach Bag made from 100% polyester</v>
      </c>
      <c r="N8" s="9"/>
      <c r="O8" s="9"/>
      <c r="P8" s="9"/>
      <c r="Q8" s="9"/>
    </row>
    <row r="9" spans="1:17" ht="15.75" customHeight="1">
      <c r="A9" s="7" t="s">
        <v>287</v>
      </c>
      <c r="B9" s="7" t="s">
        <v>70</v>
      </c>
      <c r="C9" s="7"/>
      <c r="D9" s="7" t="s">
        <v>71</v>
      </c>
      <c r="E9" s="7" t="s">
        <v>288</v>
      </c>
      <c r="F9" s="8" t="str">
        <f>_xlfn.IFNA(INDEX('HS Codes'!$D$2:$K2563,MATCH($B9,'HS Codes'!$A$2:$A2563,0),MATCH(F$1,'HS Codes'!$D$1:$K$1,0)),"")</f>
        <v>4202.92.9100</v>
      </c>
      <c r="G9" s="8">
        <f>_xlfn.IFNA(INDEX('HS Codes'!$D$2:$K2563,MATCH($B9,'HS Codes'!$A$2:$A2563,0),MATCH(G$1,'HS Codes'!$D$1:$K$1,0)),"")</f>
        <v>4202220000</v>
      </c>
      <c r="H9" s="8">
        <f>_xlfn.IFNA(INDEX('HS Codes'!$D$2:$K2563,MATCH($B9,'HS Codes'!$A$2:$A2563,0),MATCH(H$1,'HS Codes'!$D$1:$K$1,0)),"")</f>
        <v>0</v>
      </c>
      <c r="I9" s="8">
        <f>_xlfn.IFNA(INDEX('HS Codes'!$D$2:$K2563,MATCH($B9,'HS Codes'!$A$2:$A2563,0),MATCH(I$1,'HS Codes'!$D$1:$K$1,0)),"")</f>
        <v>42022290</v>
      </c>
      <c r="J9" s="8">
        <f>_xlfn.IFNA(INDEX('HS Codes'!$D$2:$K2563,MATCH($B9,'HS Codes'!$A$2:$A2563,0),MATCH(J$1,'HS Codes'!$D$1:$K$1,0)),"")</f>
        <v>0</v>
      </c>
      <c r="K9" s="8" t="str">
        <f>_xlfn.IFNA(INDEX('HS Codes'!$D$2:$K2563,MATCH($B9,'HS Codes'!$A$2:$A2563,0),MATCH(K$1,'HS Codes'!$D$1:$K$1,0)),"")</f>
        <v>4202.22.00</v>
      </c>
      <c r="L9" s="8">
        <f>_xlfn.IFNA(INDEX('HS Codes'!$D$2:$K2563,MATCH($B9,'HS Codes'!$A$2:$A2563,0),MATCH(L$1,'HS Codes'!$D$1:$K$1,0)),"")</f>
        <v>0</v>
      </c>
      <c r="M9" s="8" t="str">
        <f>_xlfn.IFNA(INDEX('HS Codes'!$C$2:$C2563,MATCH($B9,'HS Codes'!$A$2:$A2563,0)),"")</f>
        <v>Insulated Food or Beverage Bag Outer: 80% polyester, 20% PEVA</v>
      </c>
      <c r="N9" s="9"/>
      <c r="O9" s="9"/>
      <c r="P9" s="9"/>
      <c r="Q9" s="9"/>
    </row>
    <row r="10" spans="1:17" ht="15.75" customHeight="1">
      <c r="A10" s="7" t="s">
        <v>289</v>
      </c>
      <c r="B10" s="7" t="s">
        <v>70</v>
      </c>
      <c r="C10" s="7"/>
      <c r="D10" s="7" t="s">
        <v>71</v>
      </c>
      <c r="E10" s="7" t="s">
        <v>288</v>
      </c>
      <c r="F10" s="8" t="str">
        <f>_xlfn.IFNA(INDEX('HS Codes'!$D$2:$K2564,MATCH($B10,'HS Codes'!$A$2:$A2564,0),MATCH(F$1,'HS Codes'!$D$1:$K$1,0)),"")</f>
        <v>4202.92.9100</v>
      </c>
      <c r="G10" s="8">
        <f>_xlfn.IFNA(INDEX('HS Codes'!$D$2:$K2564,MATCH($B10,'HS Codes'!$A$2:$A2564,0),MATCH(G$1,'HS Codes'!$D$1:$K$1,0)),"")</f>
        <v>4202220000</v>
      </c>
      <c r="H10" s="8">
        <f>_xlfn.IFNA(INDEX('HS Codes'!$D$2:$K2564,MATCH($B10,'HS Codes'!$A$2:$A2564,0),MATCH(H$1,'HS Codes'!$D$1:$K$1,0)),"")</f>
        <v>0</v>
      </c>
      <c r="I10" s="8">
        <f>_xlfn.IFNA(INDEX('HS Codes'!$D$2:$K2564,MATCH($B10,'HS Codes'!$A$2:$A2564,0),MATCH(I$1,'HS Codes'!$D$1:$K$1,0)),"")</f>
        <v>42022290</v>
      </c>
      <c r="J10" s="8">
        <f>_xlfn.IFNA(INDEX('HS Codes'!$D$2:$K2564,MATCH($B10,'HS Codes'!$A$2:$A2564,0),MATCH(J$1,'HS Codes'!$D$1:$K$1,0)),"")</f>
        <v>0</v>
      </c>
      <c r="K10" s="8" t="str">
        <f>_xlfn.IFNA(INDEX('HS Codes'!$D$2:$K2564,MATCH($B10,'HS Codes'!$A$2:$A2564,0),MATCH(K$1,'HS Codes'!$D$1:$K$1,0)),"")</f>
        <v>4202.22.00</v>
      </c>
      <c r="L10" s="8">
        <f>_xlfn.IFNA(INDEX('HS Codes'!$D$2:$K2564,MATCH($B10,'HS Codes'!$A$2:$A2564,0),MATCH(L$1,'HS Codes'!$D$1:$K$1,0)),"")</f>
        <v>0</v>
      </c>
      <c r="M10" s="8" t="str">
        <f>_xlfn.IFNA(INDEX('HS Codes'!$C$2:$C2564,MATCH($B10,'HS Codes'!$A$2:$A2564,0)),"")</f>
        <v>Insulated Food or Beverage Bag Outer: 80% polyester, 20% PEVA</v>
      </c>
      <c r="N10" s="9"/>
      <c r="O10" s="9"/>
      <c r="P10" s="9"/>
      <c r="Q10" s="9"/>
    </row>
    <row r="11" spans="1:17" ht="15.75" customHeight="1">
      <c r="A11" s="7" t="s">
        <v>290</v>
      </c>
      <c r="B11" s="7" t="s">
        <v>70</v>
      </c>
      <c r="C11" s="7"/>
      <c r="D11" s="7" t="s">
        <v>71</v>
      </c>
      <c r="E11" s="7" t="s">
        <v>288</v>
      </c>
      <c r="F11" s="8" t="str">
        <f>_xlfn.IFNA(INDEX('HS Codes'!$D$2:$K2565,MATCH($B11,'HS Codes'!$A$2:$A2565,0),MATCH(F$1,'HS Codes'!$D$1:$K$1,0)),"")</f>
        <v>4202.92.9100</v>
      </c>
      <c r="G11" s="8">
        <f>_xlfn.IFNA(INDEX('HS Codes'!$D$2:$K2565,MATCH($B11,'HS Codes'!$A$2:$A2565,0),MATCH(G$1,'HS Codes'!$D$1:$K$1,0)),"")</f>
        <v>4202220000</v>
      </c>
      <c r="H11" s="8">
        <f>_xlfn.IFNA(INDEX('HS Codes'!$D$2:$K2565,MATCH($B11,'HS Codes'!$A$2:$A2565,0),MATCH(H$1,'HS Codes'!$D$1:$K$1,0)),"")</f>
        <v>0</v>
      </c>
      <c r="I11" s="8">
        <f>_xlfn.IFNA(INDEX('HS Codes'!$D$2:$K2565,MATCH($B11,'HS Codes'!$A$2:$A2565,0),MATCH(I$1,'HS Codes'!$D$1:$K$1,0)),"")</f>
        <v>42022290</v>
      </c>
      <c r="J11" s="8">
        <f>_xlfn.IFNA(INDEX('HS Codes'!$D$2:$K2565,MATCH($B11,'HS Codes'!$A$2:$A2565,0),MATCH(J$1,'HS Codes'!$D$1:$K$1,0)),"")</f>
        <v>0</v>
      </c>
      <c r="K11" s="8" t="str">
        <f>_xlfn.IFNA(INDEX('HS Codes'!$D$2:$K2565,MATCH($B11,'HS Codes'!$A$2:$A2565,0),MATCH(K$1,'HS Codes'!$D$1:$K$1,0)),"")</f>
        <v>4202.22.00</v>
      </c>
      <c r="L11" s="8">
        <f>_xlfn.IFNA(INDEX('HS Codes'!$D$2:$K2565,MATCH($B11,'HS Codes'!$A$2:$A2565,0),MATCH(L$1,'HS Codes'!$D$1:$K$1,0)),"")</f>
        <v>0</v>
      </c>
      <c r="M11" s="8" t="str">
        <f>_xlfn.IFNA(INDEX('HS Codes'!$C$2:$C2565,MATCH($B11,'HS Codes'!$A$2:$A2565,0)),"")</f>
        <v>Insulated Food or Beverage Bag Outer: 80% polyester, 20% PEVA</v>
      </c>
      <c r="N11" s="9"/>
      <c r="O11" s="9"/>
      <c r="P11" s="9"/>
      <c r="Q11" s="9"/>
    </row>
    <row r="12" spans="1:17" ht="15.75" customHeight="1">
      <c r="A12" s="7" t="s">
        <v>291</v>
      </c>
      <c r="B12" s="7" t="s">
        <v>73</v>
      </c>
      <c r="C12" s="7"/>
      <c r="D12" s="7" t="s">
        <v>74</v>
      </c>
      <c r="E12" s="7" t="s">
        <v>292</v>
      </c>
      <c r="F12" s="8" t="str">
        <f>_xlfn.IFNA(INDEX('HS Codes'!$D$2:$K2566,MATCH($B12,'HS Codes'!$A$2:$A2566,0),MATCH(F$1,'HS Codes'!$D$1:$K$1,0)),"")</f>
        <v>4202.92.9100</v>
      </c>
      <c r="G12" s="8">
        <f>_xlfn.IFNA(INDEX('HS Codes'!$D$2:$K2566,MATCH($B12,'HS Codes'!$A$2:$A2566,0),MATCH(G$1,'HS Codes'!$D$1:$K$1,0)),"")</f>
        <v>4202220000</v>
      </c>
      <c r="H12" s="8">
        <f>_xlfn.IFNA(INDEX('HS Codes'!$D$2:$K2566,MATCH($B12,'HS Codes'!$A$2:$A2566,0),MATCH(H$1,'HS Codes'!$D$1:$K$1,0)),"")</f>
        <v>0</v>
      </c>
      <c r="I12" s="8">
        <f>_xlfn.IFNA(INDEX('HS Codes'!$D$2:$K2566,MATCH($B12,'HS Codes'!$A$2:$A2566,0),MATCH(I$1,'HS Codes'!$D$1:$K$1,0)),"")</f>
        <v>42022290</v>
      </c>
      <c r="J12" s="8">
        <f>_xlfn.IFNA(INDEX('HS Codes'!$D$2:$K2566,MATCH($B12,'HS Codes'!$A$2:$A2566,0),MATCH(J$1,'HS Codes'!$D$1:$K$1,0)),"")</f>
        <v>0</v>
      </c>
      <c r="K12" s="8" t="str">
        <f>_xlfn.IFNA(INDEX('HS Codes'!$D$2:$K2566,MATCH($B12,'HS Codes'!$A$2:$A2566,0),MATCH(K$1,'HS Codes'!$D$1:$K$1,0)),"")</f>
        <v>4202.22.00</v>
      </c>
      <c r="L12" s="8">
        <f>_xlfn.IFNA(INDEX('HS Codes'!$D$2:$K2566,MATCH($B12,'HS Codes'!$A$2:$A2566,0),MATCH(L$1,'HS Codes'!$D$1:$K$1,0)),"")</f>
        <v>0</v>
      </c>
      <c r="M12" s="8" t="str">
        <f>_xlfn.IFNA(INDEX('HS Codes'!$C$2:$C2566,MATCH($B12,'HS Codes'!$A$2:$A2566,0)),"")</f>
        <v>Medium Dry Bag 80% TPU, 20% polyester</v>
      </c>
      <c r="N12" s="9"/>
      <c r="O12" s="9"/>
      <c r="P12" s="9"/>
      <c r="Q12" s="9"/>
    </row>
    <row r="13" spans="1:17" ht="15.75" customHeight="1">
      <c r="A13" s="7" t="s">
        <v>293</v>
      </c>
      <c r="B13" s="7" t="s">
        <v>73</v>
      </c>
      <c r="C13" s="7"/>
      <c r="D13" s="7" t="s">
        <v>74</v>
      </c>
      <c r="E13" s="7" t="s">
        <v>292</v>
      </c>
      <c r="F13" s="8" t="str">
        <f>_xlfn.IFNA(INDEX('HS Codes'!$D$2:$K2567,MATCH($B13,'HS Codes'!$A$2:$A2567,0),MATCH(F$1,'HS Codes'!$D$1:$K$1,0)),"")</f>
        <v>4202.92.9100</v>
      </c>
      <c r="G13" s="8">
        <f>_xlfn.IFNA(INDEX('HS Codes'!$D$2:$K2567,MATCH($B13,'HS Codes'!$A$2:$A2567,0),MATCH(G$1,'HS Codes'!$D$1:$K$1,0)),"")</f>
        <v>4202220000</v>
      </c>
      <c r="H13" s="8">
        <f>_xlfn.IFNA(INDEX('HS Codes'!$D$2:$K2567,MATCH($B13,'HS Codes'!$A$2:$A2567,0),MATCH(H$1,'HS Codes'!$D$1:$K$1,0)),"")</f>
        <v>0</v>
      </c>
      <c r="I13" s="8">
        <f>_xlfn.IFNA(INDEX('HS Codes'!$D$2:$K2567,MATCH($B13,'HS Codes'!$A$2:$A2567,0),MATCH(I$1,'HS Codes'!$D$1:$K$1,0)),"")</f>
        <v>42022290</v>
      </c>
      <c r="J13" s="8">
        <f>_xlfn.IFNA(INDEX('HS Codes'!$D$2:$K2567,MATCH($B13,'HS Codes'!$A$2:$A2567,0),MATCH(J$1,'HS Codes'!$D$1:$K$1,0)),"")</f>
        <v>0</v>
      </c>
      <c r="K13" s="8" t="str">
        <f>_xlfn.IFNA(INDEX('HS Codes'!$D$2:$K2567,MATCH($B13,'HS Codes'!$A$2:$A2567,0),MATCH(K$1,'HS Codes'!$D$1:$K$1,0)),"")</f>
        <v>4202.22.00</v>
      </c>
      <c r="L13" s="8">
        <f>_xlfn.IFNA(INDEX('HS Codes'!$D$2:$K2567,MATCH($B13,'HS Codes'!$A$2:$A2567,0),MATCH(L$1,'HS Codes'!$D$1:$K$1,0)),"")</f>
        <v>0</v>
      </c>
      <c r="M13" s="8" t="str">
        <f>_xlfn.IFNA(INDEX('HS Codes'!$C$2:$C2567,MATCH($B13,'HS Codes'!$A$2:$A2567,0)),"")</f>
        <v>Medium Dry Bag 80% TPU, 20% polyester</v>
      </c>
      <c r="N13" s="9"/>
      <c r="O13" s="9"/>
      <c r="P13" s="9"/>
      <c r="Q13" s="9"/>
    </row>
    <row r="14" spans="1:17" ht="15.75" customHeight="1">
      <c r="A14" s="7" t="s">
        <v>294</v>
      </c>
      <c r="B14" s="7" t="s">
        <v>73</v>
      </c>
      <c r="C14" s="7"/>
      <c r="D14" s="7" t="s">
        <v>74</v>
      </c>
      <c r="E14" s="7" t="s">
        <v>292</v>
      </c>
      <c r="F14" s="8" t="str">
        <f>_xlfn.IFNA(INDEX('HS Codes'!$D$2:$K2568,MATCH($B14,'HS Codes'!$A$2:$A2568,0),MATCH(F$1,'HS Codes'!$D$1:$K$1,0)),"")</f>
        <v>4202.92.9100</v>
      </c>
      <c r="G14" s="8">
        <f>_xlfn.IFNA(INDEX('HS Codes'!$D$2:$K2568,MATCH($B14,'HS Codes'!$A$2:$A2568,0),MATCH(G$1,'HS Codes'!$D$1:$K$1,0)),"")</f>
        <v>4202220000</v>
      </c>
      <c r="H14" s="8">
        <f>_xlfn.IFNA(INDEX('HS Codes'!$D$2:$K2568,MATCH($B14,'HS Codes'!$A$2:$A2568,0),MATCH(H$1,'HS Codes'!$D$1:$K$1,0)),"")</f>
        <v>0</v>
      </c>
      <c r="I14" s="8">
        <f>_xlfn.IFNA(INDEX('HS Codes'!$D$2:$K2568,MATCH($B14,'HS Codes'!$A$2:$A2568,0),MATCH(I$1,'HS Codes'!$D$1:$K$1,0)),"")</f>
        <v>42022290</v>
      </c>
      <c r="J14" s="8">
        <f>_xlfn.IFNA(INDEX('HS Codes'!$D$2:$K2568,MATCH($B14,'HS Codes'!$A$2:$A2568,0),MATCH(J$1,'HS Codes'!$D$1:$K$1,0)),"")</f>
        <v>0</v>
      </c>
      <c r="K14" s="8" t="str">
        <f>_xlfn.IFNA(INDEX('HS Codes'!$D$2:$K2568,MATCH($B14,'HS Codes'!$A$2:$A2568,0),MATCH(K$1,'HS Codes'!$D$1:$K$1,0)),"")</f>
        <v>4202.22.00</v>
      </c>
      <c r="L14" s="8">
        <f>_xlfn.IFNA(INDEX('HS Codes'!$D$2:$K2568,MATCH($B14,'HS Codes'!$A$2:$A2568,0),MATCH(L$1,'HS Codes'!$D$1:$K$1,0)),"")</f>
        <v>0</v>
      </c>
      <c r="M14" s="8" t="str">
        <f>_xlfn.IFNA(INDEX('HS Codes'!$C$2:$C2568,MATCH($B14,'HS Codes'!$A$2:$A2568,0)),"")</f>
        <v>Medium Dry Bag 80% TPU, 20% polyester</v>
      </c>
      <c r="N14" s="9"/>
      <c r="O14" s="9"/>
      <c r="P14" s="9"/>
      <c r="Q14" s="9"/>
    </row>
    <row r="15" spans="1:17" ht="15.75" customHeight="1">
      <c r="A15" s="7" t="s">
        <v>295</v>
      </c>
      <c r="B15" s="7" t="s">
        <v>73</v>
      </c>
      <c r="C15" s="7"/>
      <c r="D15" s="7" t="s">
        <v>74</v>
      </c>
      <c r="E15" s="7" t="s">
        <v>292</v>
      </c>
      <c r="F15" s="8" t="str">
        <f>_xlfn.IFNA(INDEX('HS Codes'!$D$2:$K2569,MATCH($B15,'HS Codes'!$A$2:$A2569,0),MATCH(F$1,'HS Codes'!$D$1:$K$1,0)),"")</f>
        <v>4202.92.9100</v>
      </c>
      <c r="G15" s="8">
        <f>_xlfn.IFNA(INDEX('HS Codes'!$D$2:$K2569,MATCH($B15,'HS Codes'!$A$2:$A2569,0),MATCH(G$1,'HS Codes'!$D$1:$K$1,0)),"")</f>
        <v>4202220000</v>
      </c>
      <c r="H15" s="8">
        <f>_xlfn.IFNA(INDEX('HS Codes'!$D$2:$K2569,MATCH($B15,'HS Codes'!$A$2:$A2569,0),MATCH(H$1,'HS Codes'!$D$1:$K$1,0)),"")</f>
        <v>0</v>
      </c>
      <c r="I15" s="8">
        <f>_xlfn.IFNA(INDEX('HS Codes'!$D$2:$K2569,MATCH($B15,'HS Codes'!$A$2:$A2569,0),MATCH(I$1,'HS Codes'!$D$1:$K$1,0)),"")</f>
        <v>42022290</v>
      </c>
      <c r="J15" s="8">
        <f>_xlfn.IFNA(INDEX('HS Codes'!$D$2:$K2569,MATCH($B15,'HS Codes'!$A$2:$A2569,0),MATCH(J$1,'HS Codes'!$D$1:$K$1,0)),"")</f>
        <v>0</v>
      </c>
      <c r="K15" s="8" t="str">
        <f>_xlfn.IFNA(INDEX('HS Codes'!$D$2:$K2569,MATCH($B15,'HS Codes'!$A$2:$A2569,0),MATCH(K$1,'HS Codes'!$D$1:$K$1,0)),"")</f>
        <v>4202.22.00</v>
      </c>
      <c r="L15" s="8">
        <f>_xlfn.IFNA(INDEX('HS Codes'!$D$2:$K2569,MATCH($B15,'HS Codes'!$A$2:$A2569,0),MATCH(L$1,'HS Codes'!$D$1:$K$1,0)),"")</f>
        <v>0</v>
      </c>
      <c r="M15" s="8" t="str">
        <f>_xlfn.IFNA(INDEX('HS Codes'!$C$2:$C2569,MATCH($B15,'HS Codes'!$A$2:$A2569,0)),"")</f>
        <v>Medium Dry Bag 80% TPU, 20% polyester</v>
      </c>
      <c r="N15" s="9"/>
      <c r="O15" s="9"/>
      <c r="P15" s="9"/>
      <c r="Q15" s="9"/>
    </row>
    <row r="16" spans="1:17" ht="15.75" customHeight="1">
      <c r="A16" s="7" t="s">
        <v>296</v>
      </c>
      <c r="B16" s="7" t="s">
        <v>76</v>
      </c>
      <c r="C16" s="7"/>
      <c r="D16" s="7" t="s">
        <v>74</v>
      </c>
      <c r="E16" s="7" t="s">
        <v>292</v>
      </c>
      <c r="F16" s="8" t="str">
        <f>_xlfn.IFNA(INDEX('HS Codes'!$D$2:$K2570,MATCH($B16,'HS Codes'!$A$2:$A2570,0),MATCH(F$1,'HS Codes'!$D$1:$K$1,0)),"")</f>
        <v>4202.92.9100</v>
      </c>
      <c r="G16" s="8">
        <f>_xlfn.IFNA(INDEX('HS Codes'!$D$2:$K2570,MATCH($B16,'HS Codes'!$A$2:$A2570,0),MATCH(G$1,'HS Codes'!$D$1:$K$1,0)),"")</f>
        <v>4202220000</v>
      </c>
      <c r="H16" s="8">
        <f>_xlfn.IFNA(INDEX('HS Codes'!$D$2:$K2570,MATCH($B16,'HS Codes'!$A$2:$A2570,0),MATCH(H$1,'HS Codes'!$D$1:$K$1,0)),"")</f>
        <v>0</v>
      </c>
      <c r="I16" s="8">
        <f>_xlfn.IFNA(INDEX('HS Codes'!$D$2:$K2570,MATCH($B16,'HS Codes'!$A$2:$A2570,0),MATCH(I$1,'HS Codes'!$D$1:$K$1,0)),"")</f>
        <v>42022290</v>
      </c>
      <c r="J16" s="8">
        <f>_xlfn.IFNA(INDEX('HS Codes'!$D$2:$K2570,MATCH($B16,'HS Codes'!$A$2:$A2570,0),MATCH(J$1,'HS Codes'!$D$1:$K$1,0)),"")</f>
        <v>0</v>
      </c>
      <c r="K16" s="8" t="str">
        <f>_xlfn.IFNA(INDEX('HS Codes'!$D$2:$K2570,MATCH($B16,'HS Codes'!$A$2:$A2570,0),MATCH(K$1,'HS Codes'!$D$1:$K$1,0)),"")</f>
        <v>4202.22.00</v>
      </c>
      <c r="L16" s="8">
        <f>_xlfn.IFNA(INDEX('HS Codes'!$D$2:$K2570,MATCH($B16,'HS Codes'!$A$2:$A2570,0),MATCH(L$1,'HS Codes'!$D$1:$K$1,0)),"")</f>
        <v>0</v>
      </c>
      <c r="M16" s="8" t="str">
        <f>_xlfn.IFNA(INDEX('HS Codes'!$C$2:$C2570,MATCH($B16,'HS Codes'!$A$2:$A2570,0)),"")</f>
        <v>Small Dry Bag 80% polyester, 20% polyurethane (PU)</v>
      </c>
      <c r="N16" s="9"/>
      <c r="O16" s="9"/>
      <c r="P16" s="9"/>
      <c r="Q16" s="9"/>
    </row>
    <row r="17" spans="1:17" ht="15.75" customHeight="1">
      <c r="A17" s="7" t="s">
        <v>297</v>
      </c>
      <c r="B17" s="7" t="s">
        <v>76</v>
      </c>
      <c r="C17" s="6"/>
      <c r="D17" s="7" t="s">
        <v>74</v>
      </c>
      <c r="E17" s="7" t="s">
        <v>292</v>
      </c>
      <c r="F17" s="8" t="str">
        <f>_xlfn.IFNA(INDEX('HS Codes'!$D$2:$K2571,MATCH($B17,'HS Codes'!$A$2:$A2571,0),MATCH(F$1,'HS Codes'!$D$1:$K$1,0)),"")</f>
        <v>4202.92.9100</v>
      </c>
      <c r="G17" s="8">
        <f>_xlfn.IFNA(INDEX('HS Codes'!$D$2:$K2571,MATCH($B17,'HS Codes'!$A$2:$A2571,0),MATCH(G$1,'HS Codes'!$D$1:$K$1,0)),"")</f>
        <v>4202220000</v>
      </c>
      <c r="H17" s="8">
        <f>_xlfn.IFNA(INDEX('HS Codes'!$D$2:$K2571,MATCH($B17,'HS Codes'!$A$2:$A2571,0),MATCH(H$1,'HS Codes'!$D$1:$K$1,0)),"")</f>
        <v>0</v>
      </c>
      <c r="I17" s="8">
        <f>_xlfn.IFNA(INDEX('HS Codes'!$D$2:$K2571,MATCH($B17,'HS Codes'!$A$2:$A2571,0),MATCH(I$1,'HS Codes'!$D$1:$K$1,0)),"")</f>
        <v>42022290</v>
      </c>
      <c r="J17" s="8">
        <f>_xlfn.IFNA(INDEX('HS Codes'!$D$2:$K2571,MATCH($B17,'HS Codes'!$A$2:$A2571,0),MATCH(J$1,'HS Codes'!$D$1:$K$1,0)),"")</f>
        <v>0</v>
      </c>
      <c r="K17" s="8" t="str">
        <f>_xlfn.IFNA(INDEX('HS Codes'!$D$2:$K2571,MATCH($B17,'HS Codes'!$A$2:$A2571,0),MATCH(K$1,'HS Codes'!$D$1:$K$1,0)),"")</f>
        <v>4202.22.00</v>
      </c>
      <c r="L17" s="8">
        <f>_xlfn.IFNA(INDEX('HS Codes'!$D$2:$K2571,MATCH($B17,'HS Codes'!$A$2:$A2571,0),MATCH(L$1,'HS Codes'!$D$1:$K$1,0)),"")</f>
        <v>0</v>
      </c>
      <c r="M17" s="8" t="str">
        <f>_xlfn.IFNA(INDEX('HS Codes'!$C$2:$C2571,MATCH($B17,'HS Codes'!$A$2:$A2571,0)),"")</f>
        <v>Small Dry Bag 80% polyester, 20% polyurethane (PU)</v>
      </c>
      <c r="N17" s="9"/>
      <c r="O17" s="9"/>
      <c r="P17" s="9"/>
      <c r="Q17" s="9"/>
    </row>
    <row r="18" spans="1:17" ht="15.75" customHeight="1">
      <c r="A18" s="7" t="s">
        <v>44</v>
      </c>
      <c r="B18" s="7" t="s">
        <v>76</v>
      </c>
      <c r="C18" s="7"/>
      <c r="D18" s="7" t="s">
        <v>74</v>
      </c>
      <c r="E18" s="7" t="s">
        <v>292</v>
      </c>
      <c r="F18" s="8" t="str">
        <f>_xlfn.IFNA(INDEX('HS Codes'!$D$2:$K2572,MATCH($B18,'HS Codes'!$A$2:$A2572,0),MATCH(F$1,'HS Codes'!$D$1:$K$1,0)),"")</f>
        <v>4202.92.9100</v>
      </c>
      <c r="G18" s="8">
        <f>_xlfn.IFNA(INDEX('HS Codes'!$D$2:$K2572,MATCH($B18,'HS Codes'!$A$2:$A2572,0),MATCH(G$1,'HS Codes'!$D$1:$K$1,0)),"")</f>
        <v>4202220000</v>
      </c>
      <c r="H18" s="8">
        <f>_xlfn.IFNA(INDEX('HS Codes'!$D$2:$K2572,MATCH($B18,'HS Codes'!$A$2:$A2572,0),MATCH(H$1,'HS Codes'!$D$1:$K$1,0)),"")</f>
        <v>0</v>
      </c>
      <c r="I18" s="8">
        <f>_xlfn.IFNA(INDEX('HS Codes'!$D$2:$K2572,MATCH($B18,'HS Codes'!$A$2:$A2572,0),MATCH(I$1,'HS Codes'!$D$1:$K$1,0)),"")</f>
        <v>42022290</v>
      </c>
      <c r="J18" s="8">
        <f>_xlfn.IFNA(INDEX('HS Codes'!$D$2:$K2572,MATCH($B18,'HS Codes'!$A$2:$A2572,0),MATCH(J$1,'HS Codes'!$D$1:$K$1,0)),"")</f>
        <v>0</v>
      </c>
      <c r="K18" s="8" t="str">
        <f>_xlfn.IFNA(INDEX('HS Codes'!$D$2:$K2572,MATCH($B18,'HS Codes'!$A$2:$A2572,0),MATCH(K$1,'HS Codes'!$D$1:$K$1,0)),"")</f>
        <v>4202.22.00</v>
      </c>
      <c r="L18" s="8">
        <f>_xlfn.IFNA(INDEX('HS Codes'!$D$2:$K2572,MATCH($B18,'HS Codes'!$A$2:$A2572,0),MATCH(L$1,'HS Codes'!$D$1:$K$1,0)),"")</f>
        <v>0</v>
      </c>
      <c r="M18" s="8" t="str">
        <f>_xlfn.IFNA(INDEX('HS Codes'!$C$2:$C2572,MATCH($B18,'HS Codes'!$A$2:$A2572,0)),"")</f>
        <v>Small Dry Bag 80% polyester, 20% polyurethane (PU)</v>
      </c>
      <c r="N18" s="9"/>
      <c r="O18" s="9"/>
      <c r="P18" s="9"/>
      <c r="Q18" s="9"/>
    </row>
    <row r="19" spans="1:17" ht="15.75" customHeight="1">
      <c r="A19" s="7" t="s">
        <v>298</v>
      </c>
      <c r="B19" s="7" t="s">
        <v>76</v>
      </c>
      <c r="C19" s="7"/>
      <c r="D19" s="7" t="s">
        <v>74</v>
      </c>
      <c r="E19" s="7" t="s">
        <v>292</v>
      </c>
      <c r="F19" s="8" t="str">
        <f>_xlfn.IFNA(INDEX('HS Codes'!$D$2:$K2573,MATCH($B19,'HS Codes'!$A$2:$A2573,0),MATCH(F$1,'HS Codes'!$D$1:$K$1,0)),"")</f>
        <v>4202.92.9100</v>
      </c>
      <c r="G19" s="8">
        <f>_xlfn.IFNA(INDEX('HS Codes'!$D$2:$K2573,MATCH($B19,'HS Codes'!$A$2:$A2573,0),MATCH(G$1,'HS Codes'!$D$1:$K$1,0)),"")</f>
        <v>4202220000</v>
      </c>
      <c r="H19" s="8">
        <f>_xlfn.IFNA(INDEX('HS Codes'!$D$2:$K2573,MATCH($B19,'HS Codes'!$A$2:$A2573,0),MATCH(H$1,'HS Codes'!$D$1:$K$1,0)),"")</f>
        <v>0</v>
      </c>
      <c r="I19" s="8">
        <f>_xlfn.IFNA(INDEX('HS Codes'!$D$2:$K2573,MATCH($B19,'HS Codes'!$A$2:$A2573,0),MATCH(I$1,'HS Codes'!$D$1:$K$1,0)),"")</f>
        <v>42022290</v>
      </c>
      <c r="J19" s="8">
        <f>_xlfn.IFNA(INDEX('HS Codes'!$D$2:$K2573,MATCH($B19,'HS Codes'!$A$2:$A2573,0),MATCH(J$1,'HS Codes'!$D$1:$K$1,0)),"")</f>
        <v>0</v>
      </c>
      <c r="K19" s="8" t="str">
        <f>_xlfn.IFNA(INDEX('HS Codes'!$D$2:$K2573,MATCH($B19,'HS Codes'!$A$2:$A2573,0),MATCH(K$1,'HS Codes'!$D$1:$K$1,0)),"")</f>
        <v>4202.22.00</v>
      </c>
      <c r="L19" s="8">
        <f>_xlfn.IFNA(INDEX('HS Codes'!$D$2:$K2573,MATCH($B19,'HS Codes'!$A$2:$A2573,0),MATCH(L$1,'HS Codes'!$D$1:$K$1,0)),"")</f>
        <v>0</v>
      </c>
      <c r="M19" s="8" t="str">
        <f>_xlfn.IFNA(INDEX('HS Codes'!$C$2:$C2573,MATCH($B19,'HS Codes'!$A$2:$A2573,0)),"")</f>
        <v>Small Dry Bag 80% polyester, 20% polyurethane (PU)</v>
      </c>
      <c r="N19" s="9"/>
      <c r="O19" s="9"/>
      <c r="P19" s="9"/>
      <c r="Q19" s="9"/>
    </row>
    <row r="20" spans="1:17" ht="15.75" customHeight="1">
      <c r="A20" s="7" t="s">
        <v>42</v>
      </c>
      <c r="B20" s="7" t="s">
        <v>76</v>
      </c>
      <c r="C20" s="7"/>
      <c r="D20" s="7" t="s">
        <v>74</v>
      </c>
      <c r="E20" s="7" t="s">
        <v>292</v>
      </c>
      <c r="F20" s="8" t="str">
        <f>_xlfn.IFNA(INDEX('HS Codes'!$D$2:$K2574,MATCH($B20,'HS Codes'!$A$2:$A2574,0),MATCH(F$1,'HS Codes'!$D$1:$K$1,0)),"")</f>
        <v>4202.92.9100</v>
      </c>
      <c r="G20" s="8">
        <f>_xlfn.IFNA(INDEX('HS Codes'!$D$2:$K2574,MATCH($B20,'HS Codes'!$A$2:$A2574,0),MATCH(G$1,'HS Codes'!$D$1:$K$1,0)),"")</f>
        <v>4202220000</v>
      </c>
      <c r="H20" s="8">
        <f>_xlfn.IFNA(INDEX('HS Codes'!$D$2:$K2574,MATCH($B20,'HS Codes'!$A$2:$A2574,0),MATCH(H$1,'HS Codes'!$D$1:$K$1,0)),"")</f>
        <v>0</v>
      </c>
      <c r="I20" s="8">
        <f>_xlfn.IFNA(INDEX('HS Codes'!$D$2:$K2574,MATCH($B20,'HS Codes'!$A$2:$A2574,0),MATCH(I$1,'HS Codes'!$D$1:$K$1,0)),"")</f>
        <v>42022290</v>
      </c>
      <c r="J20" s="8">
        <f>_xlfn.IFNA(INDEX('HS Codes'!$D$2:$K2574,MATCH($B20,'HS Codes'!$A$2:$A2574,0),MATCH(J$1,'HS Codes'!$D$1:$K$1,0)),"")</f>
        <v>0</v>
      </c>
      <c r="K20" s="8" t="str">
        <f>_xlfn.IFNA(INDEX('HS Codes'!$D$2:$K2574,MATCH($B20,'HS Codes'!$A$2:$A2574,0),MATCH(K$1,'HS Codes'!$D$1:$K$1,0)),"")</f>
        <v>4202.22.00</v>
      </c>
      <c r="L20" s="8">
        <f>_xlfn.IFNA(INDEX('HS Codes'!$D$2:$K2574,MATCH($B20,'HS Codes'!$A$2:$A2574,0),MATCH(L$1,'HS Codes'!$D$1:$K$1,0)),"")</f>
        <v>0</v>
      </c>
      <c r="M20" s="8" t="str">
        <f>_xlfn.IFNA(INDEX('HS Codes'!$C$2:$C2574,MATCH($B20,'HS Codes'!$A$2:$A2574,0)),"")</f>
        <v>Small Dry Bag 80% polyester, 20% polyurethane (PU)</v>
      </c>
      <c r="N20" s="9"/>
      <c r="O20" s="9"/>
      <c r="P20" s="9"/>
      <c r="Q20" s="9"/>
    </row>
    <row r="21" spans="1:17" ht="15.75" customHeight="1">
      <c r="A21" s="7" t="s">
        <v>299</v>
      </c>
      <c r="B21" s="7" t="s">
        <v>77</v>
      </c>
      <c r="C21" s="7" t="s">
        <v>275</v>
      </c>
      <c r="D21" s="7" t="s">
        <v>78</v>
      </c>
      <c r="E21" s="7" t="s">
        <v>276</v>
      </c>
      <c r="F21" s="8" t="str">
        <f>_xlfn.IFNA(INDEX('HS Codes'!$D$2:$K2575,MATCH($B21,'HS Codes'!$A$2:$A2575,0),MATCH(F$1,'HS Codes'!$D$1:$K$1,0)),"")</f>
        <v>4202.92.91.00</v>
      </c>
      <c r="G21" s="8">
        <f>_xlfn.IFNA(INDEX('HS Codes'!$D$2:$K2575,MATCH($B21,'HS Codes'!$A$2:$A2575,0),MATCH(G$1,'HS Codes'!$D$1:$K$1,0)),"")</f>
        <v>4202921900</v>
      </c>
      <c r="H21" s="8" t="str">
        <f>_xlfn.IFNA(INDEX('HS Codes'!$D$2:$K2575,MATCH($B21,'HS Codes'!$A$2:$A2575,0),MATCH(H$1,'HS Codes'!$D$1:$K$1,0)),"")</f>
        <v>4202.92.90.00</v>
      </c>
      <c r="I21" s="8" t="str">
        <f>_xlfn.IFNA(INDEX('HS Codes'!$D$2:$K2575,MATCH($B21,'HS Codes'!$A$2:$A2575,0),MATCH(I$1,'HS Codes'!$D$1:$K$1,0)),"")</f>
        <v>4202 9298 90</v>
      </c>
      <c r="J21" s="8">
        <f>_xlfn.IFNA(INDEX('HS Codes'!$D$2:$K2575,MATCH($B21,'HS Codes'!$A$2:$A2575,0),MATCH(J$1,'HS Codes'!$D$1:$K$1,0)),"")</f>
        <v>0</v>
      </c>
      <c r="K21" s="8" t="str">
        <f>_xlfn.IFNA(INDEX('HS Codes'!$D$2:$K2575,MATCH($B21,'HS Codes'!$A$2:$A2575,0),MATCH(K$1,'HS Codes'!$D$1:$K$1,0)),"")</f>
        <v>4202.92.90</v>
      </c>
      <c r="L21" s="8">
        <f>_xlfn.IFNA(INDEX('HS Codes'!$D$2:$K2575,MATCH($B21,'HS Codes'!$A$2:$A2575,0),MATCH(L$1,'HS Codes'!$D$1:$K$1,0)),"")</f>
        <v>42029100</v>
      </c>
      <c r="M21" s="8" t="str">
        <f>_xlfn.IFNA(INDEX('HS Codes'!$C$2:$C2575,MATCH($B21,'HS Codes'!$A$2:$A2575,0)),"")</f>
        <v>Shopping Bag 100% recycled polyester</v>
      </c>
      <c r="N21" s="9"/>
      <c r="O21" s="9"/>
      <c r="P21" s="9"/>
      <c r="Q21" s="9"/>
    </row>
    <row r="22" spans="1:17" ht="15.75" customHeight="1">
      <c r="A22" s="7" t="s">
        <v>300</v>
      </c>
      <c r="B22" s="7" t="s">
        <v>77</v>
      </c>
      <c r="C22" s="7" t="s">
        <v>275</v>
      </c>
      <c r="D22" s="7" t="s">
        <v>78</v>
      </c>
      <c r="E22" s="7" t="s">
        <v>276</v>
      </c>
      <c r="F22" s="8" t="str">
        <f>_xlfn.IFNA(INDEX('HS Codes'!$D$2:$K2576,MATCH($B22,'HS Codes'!$A$2:$A2576,0),MATCH(F$1,'HS Codes'!$D$1:$K$1,0)),"")</f>
        <v>4202.92.91.00</v>
      </c>
      <c r="G22" s="8">
        <f>_xlfn.IFNA(INDEX('HS Codes'!$D$2:$K2576,MATCH($B22,'HS Codes'!$A$2:$A2576,0),MATCH(G$1,'HS Codes'!$D$1:$K$1,0)),"")</f>
        <v>4202921900</v>
      </c>
      <c r="H22" s="8" t="str">
        <f>_xlfn.IFNA(INDEX('HS Codes'!$D$2:$K2576,MATCH($B22,'HS Codes'!$A$2:$A2576,0),MATCH(H$1,'HS Codes'!$D$1:$K$1,0)),"")</f>
        <v>4202.92.90.00</v>
      </c>
      <c r="I22" s="8" t="str">
        <f>_xlfn.IFNA(INDEX('HS Codes'!$D$2:$K2576,MATCH($B22,'HS Codes'!$A$2:$A2576,0),MATCH(I$1,'HS Codes'!$D$1:$K$1,0)),"")</f>
        <v>4202 9298 90</v>
      </c>
      <c r="J22" s="8">
        <f>_xlfn.IFNA(INDEX('HS Codes'!$D$2:$K2576,MATCH($B22,'HS Codes'!$A$2:$A2576,0),MATCH(J$1,'HS Codes'!$D$1:$K$1,0)),"")</f>
        <v>0</v>
      </c>
      <c r="K22" s="8" t="str">
        <f>_xlfn.IFNA(INDEX('HS Codes'!$D$2:$K2576,MATCH($B22,'HS Codes'!$A$2:$A2576,0),MATCH(K$1,'HS Codes'!$D$1:$K$1,0)),"")</f>
        <v>4202.92.90</v>
      </c>
      <c r="L22" s="8">
        <f>_xlfn.IFNA(INDEX('HS Codes'!$D$2:$K2576,MATCH($B22,'HS Codes'!$A$2:$A2576,0),MATCH(L$1,'HS Codes'!$D$1:$K$1,0)),"")</f>
        <v>42029100</v>
      </c>
      <c r="M22" s="8" t="str">
        <f>_xlfn.IFNA(INDEX('HS Codes'!$C$2:$C2576,MATCH($B22,'HS Codes'!$A$2:$A2576,0)),"")</f>
        <v>Shopping Bag 100% recycled polyester</v>
      </c>
      <c r="N22" s="9"/>
      <c r="O22" s="9"/>
      <c r="P22" s="9"/>
      <c r="Q22" s="9"/>
    </row>
    <row r="23" spans="1:17" ht="15.75" customHeight="1">
      <c r="A23" s="7" t="s">
        <v>301</v>
      </c>
      <c r="B23" s="7" t="s">
        <v>77</v>
      </c>
      <c r="C23" s="7" t="s">
        <v>275</v>
      </c>
      <c r="D23" s="7" t="s">
        <v>78</v>
      </c>
      <c r="E23" s="7" t="s">
        <v>276</v>
      </c>
      <c r="F23" s="8" t="str">
        <f>_xlfn.IFNA(INDEX('HS Codes'!$D$2:$K2577,MATCH($B23,'HS Codes'!$A$2:$A2577,0),MATCH(F$1,'HS Codes'!$D$1:$K$1,0)),"")</f>
        <v>4202.92.91.00</v>
      </c>
      <c r="G23" s="8">
        <f>_xlfn.IFNA(INDEX('HS Codes'!$D$2:$K2577,MATCH($B23,'HS Codes'!$A$2:$A2577,0),MATCH(G$1,'HS Codes'!$D$1:$K$1,0)),"")</f>
        <v>4202921900</v>
      </c>
      <c r="H23" s="8" t="str">
        <f>_xlfn.IFNA(INDEX('HS Codes'!$D$2:$K2577,MATCH($B23,'HS Codes'!$A$2:$A2577,0),MATCH(H$1,'HS Codes'!$D$1:$K$1,0)),"")</f>
        <v>4202.92.90.00</v>
      </c>
      <c r="I23" s="8" t="str">
        <f>_xlfn.IFNA(INDEX('HS Codes'!$D$2:$K2577,MATCH($B23,'HS Codes'!$A$2:$A2577,0),MATCH(I$1,'HS Codes'!$D$1:$K$1,0)),"")</f>
        <v>4202 9298 90</v>
      </c>
      <c r="J23" s="8">
        <f>_xlfn.IFNA(INDEX('HS Codes'!$D$2:$K2577,MATCH($B23,'HS Codes'!$A$2:$A2577,0),MATCH(J$1,'HS Codes'!$D$1:$K$1,0)),"")</f>
        <v>0</v>
      </c>
      <c r="K23" s="8" t="str">
        <f>_xlfn.IFNA(INDEX('HS Codes'!$D$2:$K2577,MATCH($B23,'HS Codes'!$A$2:$A2577,0),MATCH(K$1,'HS Codes'!$D$1:$K$1,0)),"")</f>
        <v>4202.92.90</v>
      </c>
      <c r="L23" s="8">
        <f>_xlfn.IFNA(INDEX('HS Codes'!$D$2:$K2577,MATCH($B23,'HS Codes'!$A$2:$A2577,0),MATCH(L$1,'HS Codes'!$D$1:$K$1,0)),"")</f>
        <v>42029100</v>
      </c>
      <c r="M23" s="8" t="str">
        <f>_xlfn.IFNA(INDEX('HS Codes'!$C$2:$C2577,MATCH($B23,'HS Codes'!$A$2:$A2577,0)),"")</f>
        <v>Shopping Bag 100% recycled polyester</v>
      </c>
      <c r="N23" s="9"/>
      <c r="O23" s="9"/>
      <c r="P23" s="9"/>
      <c r="Q23" s="9"/>
    </row>
    <row r="24" spans="1:17" ht="15.75" customHeight="1">
      <c r="A24" s="7" t="s">
        <v>302</v>
      </c>
      <c r="B24" s="7" t="s">
        <v>77</v>
      </c>
      <c r="C24" s="7" t="s">
        <v>275</v>
      </c>
      <c r="D24" s="7" t="s">
        <v>78</v>
      </c>
      <c r="E24" s="7" t="s">
        <v>276</v>
      </c>
      <c r="F24" s="8" t="str">
        <f>_xlfn.IFNA(INDEX('HS Codes'!$D$2:$K2578,MATCH($B24,'HS Codes'!$A$2:$A2578,0),MATCH(F$1,'HS Codes'!$D$1:$K$1,0)),"")</f>
        <v>4202.92.91.00</v>
      </c>
      <c r="G24" s="8">
        <f>_xlfn.IFNA(INDEX('HS Codes'!$D$2:$K2578,MATCH($B24,'HS Codes'!$A$2:$A2578,0),MATCH(G$1,'HS Codes'!$D$1:$K$1,0)),"")</f>
        <v>4202921900</v>
      </c>
      <c r="H24" s="8" t="str">
        <f>_xlfn.IFNA(INDEX('HS Codes'!$D$2:$K2578,MATCH($B24,'HS Codes'!$A$2:$A2578,0),MATCH(H$1,'HS Codes'!$D$1:$K$1,0)),"")</f>
        <v>4202.92.90.00</v>
      </c>
      <c r="I24" s="8" t="str">
        <f>_xlfn.IFNA(INDEX('HS Codes'!$D$2:$K2578,MATCH($B24,'HS Codes'!$A$2:$A2578,0),MATCH(I$1,'HS Codes'!$D$1:$K$1,0)),"")</f>
        <v>4202 9298 90</v>
      </c>
      <c r="J24" s="8">
        <f>_xlfn.IFNA(INDEX('HS Codes'!$D$2:$K2578,MATCH($B24,'HS Codes'!$A$2:$A2578,0),MATCH(J$1,'HS Codes'!$D$1:$K$1,0)),"")</f>
        <v>0</v>
      </c>
      <c r="K24" s="8" t="str">
        <f>_xlfn.IFNA(INDEX('HS Codes'!$D$2:$K2578,MATCH($B24,'HS Codes'!$A$2:$A2578,0),MATCH(K$1,'HS Codes'!$D$1:$K$1,0)),"")</f>
        <v>4202.92.90</v>
      </c>
      <c r="L24" s="8">
        <f>_xlfn.IFNA(INDEX('HS Codes'!$D$2:$K2578,MATCH($B24,'HS Codes'!$A$2:$A2578,0),MATCH(L$1,'HS Codes'!$D$1:$K$1,0)),"")</f>
        <v>42029100</v>
      </c>
      <c r="M24" s="8" t="str">
        <f>_xlfn.IFNA(INDEX('HS Codes'!$C$2:$C2578,MATCH($B24,'HS Codes'!$A$2:$A2578,0)),"")</f>
        <v>Shopping Bag 100% recycled polyester</v>
      </c>
      <c r="N24" s="9"/>
      <c r="O24" s="9"/>
      <c r="P24" s="9"/>
      <c r="Q24" s="9"/>
    </row>
    <row r="25" spans="1:17" ht="15.75" customHeight="1">
      <c r="A25" s="7" t="s">
        <v>303</v>
      </c>
      <c r="B25" s="7" t="s">
        <v>77</v>
      </c>
      <c r="C25" s="7" t="s">
        <v>275</v>
      </c>
      <c r="D25" s="7" t="s">
        <v>78</v>
      </c>
      <c r="E25" s="7" t="s">
        <v>276</v>
      </c>
      <c r="F25" s="8" t="str">
        <f>_xlfn.IFNA(INDEX('HS Codes'!$D$2:$K2579,MATCH($B25,'HS Codes'!$A$2:$A2579,0),MATCH(F$1,'HS Codes'!$D$1:$K$1,0)),"")</f>
        <v>4202.92.91.00</v>
      </c>
      <c r="G25" s="8">
        <f>_xlfn.IFNA(INDEX('HS Codes'!$D$2:$K2579,MATCH($B25,'HS Codes'!$A$2:$A2579,0),MATCH(G$1,'HS Codes'!$D$1:$K$1,0)),"")</f>
        <v>4202921900</v>
      </c>
      <c r="H25" s="8" t="str">
        <f>_xlfn.IFNA(INDEX('HS Codes'!$D$2:$K2579,MATCH($B25,'HS Codes'!$A$2:$A2579,0),MATCH(H$1,'HS Codes'!$D$1:$K$1,0)),"")</f>
        <v>4202.92.90.00</v>
      </c>
      <c r="I25" s="8" t="str">
        <f>_xlfn.IFNA(INDEX('HS Codes'!$D$2:$K2579,MATCH($B25,'HS Codes'!$A$2:$A2579,0),MATCH(I$1,'HS Codes'!$D$1:$K$1,0)),"")</f>
        <v>4202 9298 90</v>
      </c>
      <c r="J25" s="8">
        <f>_xlfn.IFNA(INDEX('HS Codes'!$D$2:$K2579,MATCH($B25,'HS Codes'!$A$2:$A2579,0),MATCH(J$1,'HS Codes'!$D$1:$K$1,0)),"")</f>
        <v>0</v>
      </c>
      <c r="K25" s="8" t="str">
        <f>_xlfn.IFNA(INDEX('HS Codes'!$D$2:$K2579,MATCH($B25,'HS Codes'!$A$2:$A2579,0),MATCH(K$1,'HS Codes'!$D$1:$K$1,0)),"")</f>
        <v>4202.92.90</v>
      </c>
      <c r="L25" s="8">
        <f>_xlfn.IFNA(INDEX('HS Codes'!$D$2:$K2579,MATCH($B25,'HS Codes'!$A$2:$A2579,0),MATCH(L$1,'HS Codes'!$D$1:$K$1,0)),"")</f>
        <v>42029100</v>
      </c>
      <c r="M25" s="8" t="str">
        <f>_xlfn.IFNA(INDEX('HS Codes'!$C$2:$C2579,MATCH($B25,'HS Codes'!$A$2:$A2579,0)),"")</f>
        <v>Shopping Bag 100% recycled polyester</v>
      </c>
      <c r="N25" s="9"/>
      <c r="O25" s="9"/>
      <c r="P25" s="9"/>
      <c r="Q25" s="9"/>
    </row>
    <row r="26" spans="1:17" ht="15.75" customHeight="1">
      <c r="A26" s="7" t="s">
        <v>304</v>
      </c>
      <c r="B26" s="7" t="s">
        <v>77</v>
      </c>
      <c r="C26" s="7" t="s">
        <v>275</v>
      </c>
      <c r="D26" s="7" t="s">
        <v>78</v>
      </c>
      <c r="E26" s="7" t="s">
        <v>276</v>
      </c>
      <c r="F26" s="8" t="str">
        <f>_xlfn.IFNA(INDEX('HS Codes'!$D$2:$K2580,MATCH($B26,'HS Codes'!$A$2:$A2580,0),MATCH(F$1,'HS Codes'!$D$1:$K$1,0)),"")</f>
        <v>4202.92.91.00</v>
      </c>
      <c r="G26" s="8">
        <f>_xlfn.IFNA(INDEX('HS Codes'!$D$2:$K2580,MATCH($B26,'HS Codes'!$A$2:$A2580,0),MATCH(G$1,'HS Codes'!$D$1:$K$1,0)),"")</f>
        <v>4202921900</v>
      </c>
      <c r="H26" s="8" t="str">
        <f>_xlfn.IFNA(INDEX('HS Codes'!$D$2:$K2580,MATCH($B26,'HS Codes'!$A$2:$A2580,0),MATCH(H$1,'HS Codes'!$D$1:$K$1,0)),"")</f>
        <v>4202.92.90.00</v>
      </c>
      <c r="I26" s="8" t="str">
        <f>_xlfn.IFNA(INDEX('HS Codes'!$D$2:$K2580,MATCH($B26,'HS Codes'!$A$2:$A2580,0),MATCH(I$1,'HS Codes'!$D$1:$K$1,0)),"")</f>
        <v>4202 9298 90</v>
      </c>
      <c r="J26" s="8">
        <f>_xlfn.IFNA(INDEX('HS Codes'!$D$2:$K2580,MATCH($B26,'HS Codes'!$A$2:$A2580,0),MATCH(J$1,'HS Codes'!$D$1:$K$1,0)),"")</f>
        <v>0</v>
      </c>
      <c r="K26" s="8" t="str">
        <f>_xlfn.IFNA(INDEX('HS Codes'!$D$2:$K2580,MATCH($B26,'HS Codes'!$A$2:$A2580,0),MATCH(K$1,'HS Codes'!$D$1:$K$1,0)),"")</f>
        <v>4202.92.90</v>
      </c>
      <c r="L26" s="8">
        <f>_xlfn.IFNA(INDEX('HS Codes'!$D$2:$K2580,MATCH($B26,'HS Codes'!$A$2:$A2580,0),MATCH(L$1,'HS Codes'!$D$1:$K$1,0)),"")</f>
        <v>42029100</v>
      </c>
      <c r="M26" s="8" t="str">
        <f>_xlfn.IFNA(INDEX('HS Codes'!$C$2:$C2580,MATCH($B26,'HS Codes'!$A$2:$A2580,0)),"")</f>
        <v>Shopping Bag 100% recycled polyester</v>
      </c>
      <c r="N26" s="9"/>
      <c r="O26" s="9"/>
      <c r="P26" s="9"/>
      <c r="Q26" s="9"/>
    </row>
    <row r="27" spans="1:17" ht="15.75" customHeight="1">
      <c r="A27" s="7" t="s">
        <v>305</v>
      </c>
      <c r="B27" s="7" t="s">
        <v>77</v>
      </c>
      <c r="C27" s="7" t="s">
        <v>275</v>
      </c>
      <c r="D27" s="7" t="s">
        <v>78</v>
      </c>
      <c r="E27" s="7" t="s">
        <v>276</v>
      </c>
      <c r="F27" s="8" t="str">
        <f>_xlfn.IFNA(INDEX('HS Codes'!$D$2:$K2581,MATCH($B27,'HS Codes'!$A$2:$A2581,0),MATCH(F$1,'HS Codes'!$D$1:$K$1,0)),"")</f>
        <v>4202.92.91.00</v>
      </c>
      <c r="G27" s="8">
        <f>_xlfn.IFNA(INDEX('HS Codes'!$D$2:$K2581,MATCH($B27,'HS Codes'!$A$2:$A2581,0),MATCH(G$1,'HS Codes'!$D$1:$K$1,0)),"")</f>
        <v>4202921900</v>
      </c>
      <c r="H27" s="8" t="str">
        <f>_xlfn.IFNA(INDEX('HS Codes'!$D$2:$K2581,MATCH($B27,'HS Codes'!$A$2:$A2581,0),MATCH(H$1,'HS Codes'!$D$1:$K$1,0)),"")</f>
        <v>4202.92.90.00</v>
      </c>
      <c r="I27" s="8" t="str">
        <f>_xlfn.IFNA(INDEX('HS Codes'!$D$2:$K2581,MATCH($B27,'HS Codes'!$A$2:$A2581,0),MATCH(I$1,'HS Codes'!$D$1:$K$1,0)),"")</f>
        <v>4202 9298 90</v>
      </c>
      <c r="J27" s="8">
        <f>_xlfn.IFNA(INDEX('HS Codes'!$D$2:$K2581,MATCH($B27,'HS Codes'!$A$2:$A2581,0),MATCH(J$1,'HS Codes'!$D$1:$K$1,0)),"")</f>
        <v>0</v>
      </c>
      <c r="K27" s="8" t="str">
        <f>_xlfn.IFNA(INDEX('HS Codes'!$D$2:$K2581,MATCH($B27,'HS Codes'!$A$2:$A2581,0),MATCH(K$1,'HS Codes'!$D$1:$K$1,0)),"")</f>
        <v>4202.92.90</v>
      </c>
      <c r="L27" s="8">
        <f>_xlfn.IFNA(INDEX('HS Codes'!$D$2:$K2581,MATCH($B27,'HS Codes'!$A$2:$A2581,0),MATCH(L$1,'HS Codes'!$D$1:$K$1,0)),"")</f>
        <v>42029100</v>
      </c>
      <c r="M27" s="8" t="str">
        <f>_xlfn.IFNA(INDEX('HS Codes'!$C$2:$C2581,MATCH($B27,'HS Codes'!$A$2:$A2581,0)),"")</f>
        <v>Shopping Bag 100% recycled polyester</v>
      </c>
      <c r="N27" s="9"/>
      <c r="O27" s="9"/>
      <c r="P27" s="9"/>
      <c r="Q27" s="9"/>
    </row>
    <row r="28" spans="1:17" ht="15.75" customHeight="1">
      <c r="A28" s="7" t="s">
        <v>306</v>
      </c>
      <c r="B28" s="7" t="s">
        <v>77</v>
      </c>
      <c r="C28" s="7" t="s">
        <v>275</v>
      </c>
      <c r="D28" s="7" t="s">
        <v>78</v>
      </c>
      <c r="E28" s="7" t="s">
        <v>276</v>
      </c>
      <c r="F28" s="8" t="str">
        <f>_xlfn.IFNA(INDEX('HS Codes'!$D$2:$K2582,MATCH($B28,'HS Codes'!$A$2:$A2582,0),MATCH(F$1,'HS Codes'!$D$1:$K$1,0)),"")</f>
        <v>4202.92.91.00</v>
      </c>
      <c r="G28" s="8">
        <f>_xlfn.IFNA(INDEX('HS Codes'!$D$2:$K2582,MATCH($B28,'HS Codes'!$A$2:$A2582,0),MATCH(G$1,'HS Codes'!$D$1:$K$1,0)),"")</f>
        <v>4202921900</v>
      </c>
      <c r="H28" s="8" t="str">
        <f>_xlfn.IFNA(INDEX('HS Codes'!$D$2:$K2582,MATCH($B28,'HS Codes'!$A$2:$A2582,0),MATCH(H$1,'HS Codes'!$D$1:$K$1,0)),"")</f>
        <v>4202.92.90.00</v>
      </c>
      <c r="I28" s="8" t="str">
        <f>_xlfn.IFNA(INDEX('HS Codes'!$D$2:$K2582,MATCH($B28,'HS Codes'!$A$2:$A2582,0),MATCH(I$1,'HS Codes'!$D$1:$K$1,0)),"")</f>
        <v>4202 9298 90</v>
      </c>
      <c r="J28" s="8">
        <f>_xlfn.IFNA(INDEX('HS Codes'!$D$2:$K2582,MATCH($B28,'HS Codes'!$A$2:$A2582,0),MATCH(J$1,'HS Codes'!$D$1:$K$1,0)),"")</f>
        <v>0</v>
      </c>
      <c r="K28" s="8" t="str">
        <f>_xlfn.IFNA(INDEX('HS Codes'!$D$2:$K2582,MATCH($B28,'HS Codes'!$A$2:$A2582,0),MATCH(K$1,'HS Codes'!$D$1:$K$1,0)),"")</f>
        <v>4202.92.90</v>
      </c>
      <c r="L28" s="8">
        <f>_xlfn.IFNA(INDEX('HS Codes'!$D$2:$K2582,MATCH($B28,'HS Codes'!$A$2:$A2582,0),MATCH(L$1,'HS Codes'!$D$1:$K$1,0)),"")</f>
        <v>42029100</v>
      </c>
      <c r="M28" s="8" t="str">
        <f>_xlfn.IFNA(INDEX('HS Codes'!$C$2:$C2582,MATCH($B28,'HS Codes'!$A$2:$A2582,0)),"")</f>
        <v>Shopping Bag 100% recycled polyester</v>
      </c>
      <c r="N28" s="9"/>
      <c r="O28" s="9"/>
      <c r="P28" s="9"/>
      <c r="Q28" s="9"/>
    </row>
    <row r="29" spans="1:17" ht="15.75" customHeight="1">
      <c r="A29" s="7" t="s">
        <v>307</v>
      </c>
      <c r="B29" s="7" t="s">
        <v>77</v>
      </c>
      <c r="C29" s="7" t="s">
        <v>275</v>
      </c>
      <c r="D29" s="7" t="s">
        <v>78</v>
      </c>
      <c r="E29" s="7" t="s">
        <v>276</v>
      </c>
      <c r="F29" s="8" t="str">
        <f>_xlfn.IFNA(INDEX('HS Codes'!$D$2:$K2583,MATCH($B29,'HS Codes'!$A$2:$A2583,0),MATCH(F$1,'HS Codes'!$D$1:$K$1,0)),"")</f>
        <v>4202.92.91.00</v>
      </c>
      <c r="G29" s="8">
        <f>_xlfn.IFNA(INDEX('HS Codes'!$D$2:$K2583,MATCH($B29,'HS Codes'!$A$2:$A2583,0),MATCH(G$1,'HS Codes'!$D$1:$K$1,0)),"")</f>
        <v>4202921900</v>
      </c>
      <c r="H29" s="8" t="str">
        <f>_xlfn.IFNA(INDEX('HS Codes'!$D$2:$K2583,MATCH($B29,'HS Codes'!$A$2:$A2583,0),MATCH(H$1,'HS Codes'!$D$1:$K$1,0)),"")</f>
        <v>4202.92.90.00</v>
      </c>
      <c r="I29" s="8" t="str">
        <f>_xlfn.IFNA(INDEX('HS Codes'!$D$2:$K2583,MATCH($B29,'HS Codes'!$A$2:$A2583,0),MATCH(I$1,'HS Codes'!$D$1:$K$1,0)),"")</f>
        <v>4202 9298 90</v>
      </c>
      <c r="J29" s="8">
        <f>_xlfn.IFNA(INDEX('HS Codes'!$D$2:$K2583,MATCH($B29,'HS Codes'!$A$2:$A2583,0),MATCH(J$1,'HS Codes'!$D$1:$K$1,0)),"")</f>
        <v>0</v>
      </c>
      <c r="K29" s="8" t="str">
        <f>_xlfn.IFNA(INDEX('HS Codes'!$D$2:$K2583,MATCH($B29,'HS Codes'!$A$2:$A2583,0),MATCH(K$1,'HS Codes'!$D$1:$K$1,0)),"")</f>
        <v>4202.92.90</v>
      </c>
      <c r="L29" s="8">
        <f>_xlfn.IFNA(INDEX('HS Codes'!$D$2:$K2583,MATCH($B29,'HS Codes'!$A$2:$A2583,0),MATCH(L$1,'HS Codes'!$D$1:$K$1,0)),"")</f>
        <v>42029100</v>
      </c>
      <c r="M29" s="8" t="str">
        <f>_xlfn.IFNA(INDEX('HS Codes'!$C$2:$C2583,MATCH($B29,'HS Codes'!$A$2:$A2583,0)),"")</f>
        <v>Shopping Bag 100% recycled polyester</v>
      </c>
      <c r="N29" s="9"/>
      <c r="O29" s="9"/>
      <c r="P29" s="9"/>
      <c r="Q29" s="9"/>
    </row>
    <row r="30" spans="1:17" ht="15.75" customHeight="1">
      <c r="A30" s="7" t="s">
        <v>308</v>
      </c>
      <c r="B30" s="7" t="s">
        <v>77</v>
      </c>
      <c r="C30" s="7" t="s">
        <v>275</v>
      </c>
      <c r="D30" s="7" t="s">
        <v>78</v>
      </c>
      <c r="E30" s="7" t="s">
        <v>276</v>
      </c>
      <c r="F30" s="8" t="str">
        <f>_xlfn.IFNA(INDEX('HS Codes'!$D$2:$K2584,MATCH($B30,'HS Codes'!$A$2:$A2584,0),MATCH(F$1,'HS Codes'!$D$1:$K$1,0)),"")</f>
        <v>4202.92.91.00</v>
      </c>
      <c r="G30" s="8">
        <f>_xlfn.IFNA(INDEX('HS Codes'!$D$2:$K2584,MATCH($B30,'HS Codes'!$A$2:$A2584,0),MATCH(G$1,'HS Codes'!$D$1:$K$1,0)),"")</f>
        <v>4202921900</v>
      </c>
      <c r="H30" s="8" t="str">
        <f>_xlfn.IFNA(INDEX('HS Codes'!$D$2:$K2584,MATCH($B30,'HS Codes'!$A$2:$A2584,0),MATCH(H$1,'HS Codes'!$D$1:$K$1,0)),"")</f>
        <v>4202.92.90.00</v>
      </c>
      <c r="I30" s="8" t="str">
        <f>_xlfn.IFNA(INDEX('HS Codes'!$D$2:$K2584,MATCH($B30,'HS Codes'!$A$2:$A2584,0),MATCH(I$1,'HS Codes'!$D$1:$K$1,0)),"")</f>
        <v>4202 9298 90</v>
      </c>
      <c r="J30" s="8">
        <f>_xlfn.IFNA(INDEX('HS Codes'!$D$2:$K2584,MATCH($B30,'HS Codes'!$A$2:$A2584,0),MATCH(J$1,'HS Codes'!$D$1:$K$1,0)),"")</f>
        <v>0</v>
      </c>
      <c r="K30" s="8" t="str">
        <f>_xlfn.IFNA(INDEX('HS Codes'!$D$2:$K2584,MATCH($B30,'HS Codes'!$A$2:$A2584,0),MATCH(K$1,'HS Codes'!$D$1:$K$1,0)),"")</f>
        <v>4202.92.90</v>
      </c>
      <c r="L30" s="8">
        <f>_xlfn.IFNA(INDEX('HS Codes'!$D$2:$K2584,MATCH($B30,'HS Codes'!$A$2:$A2584,0),MATCH(L$1,'HS Codes'!$D$1:$K$1,0)),"")</f>
        <v>42029100</v>
      </c>
      <c r="M30" s="8" t="str">
        <f>_xlfn.IFNA(INDEX('HS Codes'!$C$2:$C2584,MATCH($B30,'HS Codes'!$A$2:$A2584,0)),"")</f>
        <v>Shopping Bag 100% recycled polyester</v>
      </c>
      <c r="N30" s="9"/>
      <c r="O30" s="9"/>
      <c r="P30" s="9"/>
      <c r="Q30" s="9"/>
    </row>
    <row r="31" spans="1:17" ht="15.75" customHeight="1">
      <c r="A31" s="7" t="s">
        <v>309</v>
      </c>
      <c r="B31" s="7" t="s">
        <v>77</v>
      </c>
      <c r="C31" s="7" t="s">
        <v>275</v>
      </c>
      <c r="D31" s="7" t="s">
        <v>78</v>
      </c>
      <c r="E31" s="7" t="s">
        <v>276</v>
      </c>
      <c r="F31" s="8" t="str">
        <f>_xlfn.IFNA(INDEX('HS Codes'!$D$2:$K2585,MATCH($B31,'HS Codes'!$A$2:$A2585,0),MATCH(F$1,'HS Codes'!$D$1:$K$1,0)),"")</f>
        <v>4202.92.91.00</v>
      </c>
      <c r="G31" s="8">
        <f>_xlfn.IFNA(INDEX('HS Codes'!$D$2:$K2585,MATCH($B31,'HS Codes'!$A$2:$A2585,0),MATCH(G$1,'HS Codes'!$D$1:$K$1,0)),"")</f>
        <v>4202921900</v>
      </c>
      <c r="H31" s="8" t="str">
        <f>_xlfn.IFNA(INDEX('HS Codes'!$D$2:$K2585,MATCH($B31,'HS Codes'!$A$2:$A2585,0),MATCH(H$1,'HS Codes'!$D$1:$K$1,0)),"")</f>
        <v>4202.92.90.00</v>
      </c>
      <c r="I31" s="8" t="str">
        <f>_xlfn.IFNA(INDEX('HS Codes'!$D$2:$K2585,MATCH($B31,'HS Codes'!$A$2:$A2585,0),MATCH(I$1,'HS Codes'!$D$1:$K$1,0)),"")</f>
        <v>4202 9298 90</v>
      </c>
      <c r="J31" s="8">
        <f>_xlfn.IFNA(INDEX('HS Codes'!$D$2:$K2585,MATCH($B31,'HS Codes'!$A$2:$A2585,0),MATCH(J$1,'HS Codes'!$D$1:$K$1,0)),"")</f>
        <v>0</v>
      </c>
      <c r="K31" s="8" t="str">
        <f>_xlfn.IFNA(INDEX('HS Codes'!$D$2:$K2585,MATCH($B31,'HS Codes'!$A$2:$A2585,0),MATCH(K$1,'HS Codes'!$D$1:$K$1,0)),"")</f>
        <v>4202.92.90</v>
      </c>
      <c r="L31" s="8">
        <f>_xlfn.IFNA(INDEX('HS Codes'!$D$2:$K2585,MATCH($B31,'HS Codes'!$A$2:$A2585,0),MATCH(L$1,'HS Codes'!$D$1:$K$1,0)),"")</f>
        <v>42029100</v>
      </c>
      <c r="M31" s="8" t="str">
        <f>_xlfn.IFNA(INDEX('HS Codes'!$C$2:$C2585,MATCH($B31,'HS Codes'!$A$2:$A2585,0)),"")</f>
        <v>Shopping Bag 100% recycled polyester</v>
      </c>
      <c r="N31" s="9"/>
      <c r="O31" s="9"/>
      <c r="P31" s="9"/>
      <c r="Q31" s="9"/>
    </row>
    <row r="32" spans="1:17" ht="15.75" customHeight="1">
      <c r="A32" s="7" t="s">
        <v>310</v>
      </c>
      <c r="B32" s="7" t="s">
        <v>84</v>
      </c>
      <c r="C32" s="7"/>
      <c r="D32" s="7" t="s">
        <v>85</v>
      </c>
      <c r="E32" s="7" t="s">
        <v>311</v>
      </c>
      <c r="F32" s="8">
        <f>_xlfn.IFNA(INDEX('HS Codes'!$D$2:$K2586,MATCH($B32,'HS Codes'!$A$2:$A2586,0),MATCH(F$1,'HS Codes'!$D$1:$K$1,0)),"")</f>
        <v>4202929100</v>
      </c>
      <c r="G32" s="8">
        <f>_xlfn.IFNA(INDEX('HS Codes'!$D$2:$K2586,MATCH($B32,'HS Codes'!$A$2:$A2586,0),MATCH(G$1,'HS Codes'!$D$1:$K$1,0)),"")</f>
        <v>4202220000</v>
      </c>
      <c r="H32" s="8">
        <f>_xlfn.IFNA(INDEX('HS Codes'!$D$2:$K2586,MATCH($B32,'HS Codes'!$A$2:$A2586,0),MATCH(H$1,'HS Codes'!$D$1:$K$1,0)),"")</f>
        <v>0</v>
      </c>
      <c r="I32" s="8">
        <f>_xlfn.IFNA(INDEX('HS Codes'!$D$2:$K2586,MATCH($B32,'HS Codes'!$A$2:$A2586,0),MATCH(I$1,'HS Codes'!$D$1:$K$1,0)),"")</f>
        <v>4202929100</v>
      </c>
      <c r="J32" s="8">
        <f>_xlfn.IFNA(INDEX('HS Codes'!$D$2:$K2586,MATCH($B32,'HS Codes'!$A$2:$A2586,0),MATCH(J$1,'HS Codes'!$D$1:$K$1,0)),"")</f>
        <v>0</v>
      </c>
      <c r="K32" s="8">
        <f>_xlfn.IFNA(INDEX('HS Codes'!$D$2:$K2586,MATCH($B32,'HS Codes'!$A$2:$A2586,0),MATCH(K$1,'HS Codes'!$D$1:$K$1,0)),"")</f>
        <v>0</v>
      </c>
      <c r="L32" s="8">
        <f>_xlfn.IFNA(INDEX('HS Codes'!$D$2:$K2586,MATCH($B32,'HS Codes'!$A$2:$A2586,0),MATCH(L$1,'HS Codes'!$D$1:$K$1,0)),"")</f>
        <v>0</v>
      </c>
      <c r="M32" s="8" t="str">
        <f>_xlfn.IFNA(INDEX('HS Codes'!$C$2:$C2586,MATCH($B32,'HS Codes'!$A$2:$A2586,0)),"")</f>
        <v>Toiletry Bag made of 100% polyester</v>
      </c>
      <c r="N32" s="9"/>
      <c r="O32" s="9"/>
      <c r="P32" s="9"/>
      <c r="Q32" s="9"/>
    </row>
    <row r="33" spans="1:17" ht="15.75" customHeight="1">
      <c r="A33" s="7" t="s">
        <v>312</v>
      </c>
      <c r="B33" s="7"/>
      <c r="C33" s="7"/>
      <c r="D33" s="7"/>
      <c r="E33" s="7"/>
      <c r="F33" s="8" t="str">
        <f>_xlfn.IFNA(INDEX('HS Codes'!$D$2:$K2587,MATCH($B33,'HS Codes'!$A$2:$A2587,0),MATCH(F$1,'HS Codes'!$D$1:$K$1,0)),"")</f>
        <v/>
      </c>
      <c r="G33" s="8" t="str">
        <f>_xlfn.IFNA(INDEX('HS Codes'!$D$2:$K2587,MATCH($B33,'HS Codes'!$A$2:$A2587,0),MATCH(G$1,'HS Codes'!$D$1:$K$1,0)),"")</f>
        <v/>
      </c>
      <c r="H33" s="8" t="str">
        <f>_xlfn.IFNA(INDEX('HS Codes'!$D$2:$K2587,MATCH($B33,'HS Codes'!$A$2:$A2587,0),MATCH(H$1,'HS Codes'!$D$1:$K$1,0)),"")</f>
        <v/>
      </c>
      <c r="I33" s="8" t="str">
        <f>_xlfn.IFNA(INDEX('HS Codes'!$D$2:$K2587,MATCH($B33,'HS Codes'!$A$2:$A2587,0),MATCH(I$1,'HS Codes'!$D$1:$K$1,0)),"")</f>
        <v/>
      </c>
      <c r="J33" s="8" t="str">
        <f>_xlfn.IFNA(INDEX('HS Codes'!$D$2:$K2587,MATCH($B33,'HS Codes'!$A$2:$A2587,0),MATCH(J$1,'HS Codes'!$D$1:$K$1,0)),"")</f>
        <v/>
      </c>
      <c r="K33" s="8" t="str">
        <f>_xlfn.IFNA(INDEX('HS Codes'!$D$2:$K2587,MATCH($B33,'HS Codes'!$A$2:$A2587,0),MATCH(K$1,'HS Codes'!$D$1:$K$1,0)),"")</f>
        <v/>
      </c>
      <c r="L33" s="8" t="str">
        <f>_xlfn.IFNA(INDEX('HS Codes'!$D$2:$K2587,MATCH($B33,'HS Codes'!$A$2:$A2587,0),MATCH(L$1,'HS Codes'!$D$1:$K$1,0)),"")</f>
        <v/>
      </c>
      <c r="M33" s="8" t="str">
        <f>_xlfn.IFNA(INDEX('HS Codes'!$C$2:$C2587,MATCH($B33,'HS Codes'!$A$2:$A2587,0)),"")</f>
        <v/>
      </c>
      <c r="N33" s="9"/>
      <c r="O33" s="9"/>
      <c r="P33" s="9"/>
      <c r="Q33" s="9"/>
    </row>
    <row r="34" spans="1:17" ht="15.75" customHeight="1">
      <c r="A34" s="7" t="s">
        <v>313</v>
      </c>
      <c r="B34" s="7" t="s">
        <v>84</v>
      </c>
      <c r="C34" s="7"/>
      <c r="D34" s="7" t="s">
        <v>85</v>
      </c>
      <c r="E34" s="7" t="s">
        <v>311</v>
      </c>
      <c r="F34" s="8">
        <f>_xlfn.IFNA(INDEX('HS Codes'!$D$2:$K2588,MATCH($B34,'HS Codes'!$A$2:$A2588,0),MATCH(F$1,'HS Codes'!$D$1:$K$1,0)),"")</f>
        <v>4202929100</v>
      </c>
      <c r="G34" s="8">
        <f>_xlfn.IFNA(INDEX('HS Codes'!$D$2:$K2588,MATCH($B34,'HS Codes'!$A$2:$A2588,0),MATCH(G$1,'HS Codes'!$D$1:$K$1,0)),"")</f>
        <v>4202220000</v>
      </c>
      <c r="H34" s="8">
        <f>_xlfn.IFNA(INDEX('HS Codes'!$D$2:$K2588,MATCH($B34,'HS Codes'!$A$2:$A2588,0),MATCH(H$1,'HS Codes'!$D$1:$K$1,0)),"")</f>
        <v>0</v>
      </c>
      <c r="I34" s="8">
        <f>_xlfn.IFNA(INDEX('HS Codes'!$D$2:$K2588,MATCH($B34,'HS Codes'!$A$2:$A2588,0),MATCH(I$1,'HS Codes'!$D$1:$K$1,0)),"")</f>
        <v>4202929100</v>
      </c>
      <c r="J34" s="8">
        <f>_xlfn.IFNA(INDEX('HS Codes'!$D$2:$K2588,MATCH($B34,'HS Codes'!$A$2:$A2588,0),MATCH(J$1,'HS Codes'!$D$1:$K$1,0)),"")</f>
        <v>0</v>
      </c>
      <c r="K34" s="8">
        <f>_xlfn.IFNA(INDEX('HS Codes'!$D$2:$K2588,MATCH($B34,'HS Codes'!$A$2:$A2588,0),MATCH(K$1,'HS Codes'!$D$1:$K$1,0)),"")</f>
        <v>0</v>
      </c>
      <c r="L34" s="8">
        <f>_xlfn.IFNA(INDEX('HS Codes'!$D$2:$K2588,MATCH($B34,'HS Codes'!$A$2:$A2588,0),MATCH(L$1,'HS Codes'!$D$1:$K$1,0)),"")</f>
        <v>0</v>
      </c>
      <c r="M34" s="8" t="str">
        <f>_xlfn.IFNA(INDEX('HS Codes'!$C$2:$C2588,MATCH($B34,'HS Codes'!$A$2:$A2588,0)),"")</f>
        <v>Toiletry Bag made of 100% polyester</v>
      </c>
      <c r="N34" s="9"/>
      <c r="O34" s="9"/>
      <c r="P34" s="9"/>
      <c r="Q34" s="9"/>
    </row>
    <row r="35" spans="1:17" ht="15.75" customHeight="1">
      <c r="A35" s="7" t="s">
        <v>314</v>
      </c>
      <c r="B35" s="7" t="s">
        <v>84</v>
      </c>
      <c r="C35" s="7"/>
      <c r="D35" s="7" t="s">
        <v>85</v>
      </c>
      <c r="E35" s="7" t="s">
        <v>311</v>
      </c>
      <c r="F35" s="8">
        <f>_xlfn.IFNA(INDEX('HS Codes'!$D$2:$K2589,MATCH($B35,'HS Codes'!$A$2:$A2589,0),MATCH(F$1,'HS Codes'!$D$1:$K$1,0)),"")</f>
        <v>4202929100</v>
      </c>
      <c r="G35" s="8">
        <f>_xlfn.IFNA(INDEX('HS Codes'!$D$2:$K2589,MATCH($B35,'HS Codes'!$A$2:$A2589,0),MATCH(G$1,'HS Codes'!$D$1:$K$1,0)),"")</f>
        <v>4202220000</v>
      </c>
      <c r="H35" s="8">
        <f>_xlfn.IFNA(INDEX('HS Codes'!$D$2:$K2589,MATCH($B35,'HS Codes'!$A$2:$A2589,0),MATCH(H$1,'HS Codes'!$D$1:$K$1,0)),"")</f>
        <v>0</v>
      </c>
      <c r="I35" s="8">
        <f>_xlfn.IFNA(INDEX('HS Codes'!$D$2:$K2589,MATCH($B35,'HS Codes'!$A$2:$A2589,0),MATCH(I$1,'HS Codes'!$D$1:$K$1,0)),"")</f>
        <v>4202929100</v>
      </c>
      <c r="J35" s="8">
        <f>_xlfn.IFNA(INDEX('HS Codes'!$D$2:$K2589,MATCH($B35,'HS Codes'!$A$2:$A2589,0),MATCH(J$1,'HS Codes'!$D$1:$K$1,0)),"")</f>
        <v>0</v>
      </c>
      <c r="K35" s="8">
        <f>_xlfn.IFNA(INDEX('HS Codes'!$D$2:$K2589,MATCH($B35,'HS Codes'!$A$2:$A2589,0),MATCH(K$1,'HS Codes'!$D$1:$K$1,0)),"")</f>
        <v>0</v>
      </c>
      <c r="L35" s="8">
        <f>_xlfn.IFNA(INDEX('HS Codes'!$D$2:$K2589,MATCH($B35,'HS Codes'!$A$2:$A2589,0),MATCH(L$1,'HS Codes'!$D$1:$K$1,0)),"")</f>
        <v>0</v>
      </c>
      <c r="M35" s="8" t="str">
        <f>_xlfn.IFNA(INDEX('HS Codes'!$C$2:$C2589,MATCH($B35,'HS Codes'!$A$2:$A2589,0)),"")</f>
        <v>Toiletry Bag made of 100% polyester</v>
      </c>
      <c r="N35" s="9"/>
      <c r="O35" s="9"/>
      <c r="P35" s="9"/>
      <c r="Q35" s="9"/>
    </row>
    <row r="36" spans="1:17" ht="15.75" customHeight="1">
      <c r="A36" s="7" t="s">
        <v>315</v>
      </c>
      <c r="B36" s="7" t="s">
        <v>84</v>
      </c>
      <c r="C36" s="7"/>
      <c r="D36" s="7" t="s">
        <v>85</v>
      </c>
      <c r="E36" s="7" t="s">
        <v>311</v>
      </c>
      <c r="F36" s="8">
        <f>_xlfn.IFNA(INDEX('HS Codes'!$D$2:$K2590,MATCH($B36,'HS Codes'!$A$2:$A2590,0),MATCH(F$1,'HS Codes'!$D$1:$K$1,0)),"")</f>
        <v>4202929100</v>
      </c>
      <c r="G36" s="8">
        <f>_xlfn.IFNA(INDEX('HS Codes'!$D$2:$K2590,MATCH($B36,'HS Codes'!$A$2:$A2590,0),MATCH(G$1,'HS Codes'!$D$1:$K$1,0)),"")</f>
        <v>4202220000</v>
      </c>
      <c r="H36" s="8">
        <f>_xlfn.IFNA(INDEX('HS Codes'!$D$2:$K2590,MATCH($B36,'HS Codes'!$A$2:$A2590,0),MATCH(H$1,'HS Codes'!$D$1:$K$1,0)),"")</f>
        <v>0</v>
      </c>
      <c r="I36" s="8">
        <f>_xlfn.IFNA(INDEX('HS Codes'!$D$2:$K2590,MATCH($B36,'HS Codes'!$A$2:$A2590,0),MATCH(I$1,'HS Codes'!$D$1:$K$1,0)),"")</f>
        <v>4202929100</v>
      </c>
      <c r="J36" s="8">
        <f>_xlfn.IFNA(INDEX('HS Codes'!$D$2:$K2590,MATCH($B36,'HS Codes'!$A$2:$A2590,0),MATCH(J$1,'HS Codes'!$D$1:$K$1,0)),"")</f>
        <v>0</v>
      </c>
      <c r="K36" s="8">
        <f>_xlfn.IFNA(INDEX('HS Codes'!$D$2:$K2590,MATCH($B36,'HS Codes'!$A$2:$A2590,0),MATCH(K$1,'HS Codes'!$D$1:$K$1,0)),"")</f>
        <v>0</v>
      </c>
      <c r="L36" s="8">
        <f>_xlfn.IFNA(INDEX('HS Codes'!$D$2:$K2590,MATCH($B36,'HS Codes'!$A$2:$A2590,0),MATCH(L$1,'HS Codes'!$D$1:$K$1,0)),"")</f>
        <v>0</v>
      </c>
      <c r="M36" s="8" t="str">
        <f>_xlfn.IFNA(INDEX('HS Codes'!$C$2:$C2590,MATCH($B36,'HS Codes'!$A$2:$A2590,0)),"")</f>
        <v>Toiletry Bag made of 100% polyester</v>
      </c>
      <c r="N36" s="9"/>
      <c r="O36" s="9"/>
      <c r="P36" s="9"/>
      <c r="Q36" s="9"/>
    </row>
    <row r="37" spans="1:17" ht="15.75" customHeight="1">
      <c r="A37" s="7" t="s">
        <v>316</v>
      </c>
      <c r="B37" s="7" t="s">
        <v>87</v>
      </c>
      <c r="C37" s="7"/>
      <c r="D37" s="7" t="s">
        <v>88</v>
      </c>
      <c r="E37" s="7" t="s">
        <v>317</v>
      </c>
      <c r="F37" s="8" t="str">
        <f>_xlfn.IFNA(INDEX('HS Codes'!$D$2:$K2591,MATCH($B37,'HS Codes'!$A$2:$A2591,0),MATCH(F$1,'HS Codes'!$D$1:$K$1,0)),"")</f>
        <v>9404.90.2090</v>
      </c>
      <c r="G37" s="8">
        <f>_xlfn.IFNA(INDEX('HS Codes'!$D$2:$K2591,MATCH($B37,'HS Codes'!$A$2:$A2591,0),MATCH(G$1,'HS Codes'!$D$1:$K$1,0)),"")</f>
        <v>63079098990</v>
      </c>
      <c r="H37" s="8" t="str">
        <f>_xlfn.IFNA(INDEX('HS Codes'!$D$2:$K2591,MATCH($B37,'HS Codes'!$A$2:$A2591,0),MATCH(H$1,'HS Codes'!$D$1:$K$1,0)),"")</f>
        <v>3926.90.7500</v>
      </c>
      <c r="I37" s="8" t="str">
        <f>_xlfn.IFNA(INDEX('HS Codes'!$D$2:$K2591,MATCH($B37,'HS Codes'!$A$2:$A2591,0),MATCH(I$1,'HS Codes'!$D$1:$K$1,0)),"")</f>
        <v>3926.90.7500</v>
      </c>
      <c r="J37" s="8">
        <f>_xlfn.IFNA(INDEX('HS Codes'!$D$2:$K2591,MATCH($B37,'HS Codes'!$A$2:$A2591,0),MATCH(J$1,'HS Codes'!$D$1:$K$1,0)),"")</f>
        <v>0</v>
      </c>
      <c r="K37" s="8" t="str">
        <f>_xlfn.IFNA(INDEX('HS Codes'!$D$2:$K2591,MATCH($B37,'HS Codes'!$A$2:$A2591,0),MATCH(K$1,'HS Codes'!$D$1:$K$1,0)),"")</f>
        <v>6306.40.00</v>
      </c>
      <c r="L37" s="8">
        <f>_xlfn.IFNA(INDEX('HS Codes'!$D$2:$K2591,MATCH($B37,'HS Codes'!$A$2:$A2591,0),MATCH(L$1,'HS Codes'!$D$1:$K$1,0)),"")</f>
        <v>0</v>
      </c>
      <c r="M37" s="8" t="str">
        <f>_xlfn.IFNA(INDEX('HS Codes'!$C$2:$C2591,MATCH($B37,'HS Codes'!$A$2:$A2591,0)),"")</f>
        <v>Pillow 100% recycled polyester (no cotton)</v>
      </c>
      <c r="N37" s="9"/>
      <c r="O37" s="9"/>
      <c r="P37" s="9"/>
      <c r="Q37" s="9"/>
    </row>
    <row r="38" spans="1:17" ht="15.75" customHeight="1">
      <c r="A38" s="7" t="s">
        <v>318</v>
      </c>
      <c r="B38" s="7" t="s">
        <v>87</v>
      </c>
      <c r="C38" s="7"/>
      <c r="D38" s="7" t="s">
        <v>88</v>
      </c>
      <c r="E38" s="7" t="s">
        <v>317</v>
      </c>
      <c r="F38" s="8" t="str">
        <f>_xlfn.IFNA(INDEX('HS Codes'!$D$2:$K2592,MATCH($B38,'HS Codes'!$A$2:$A2592,0),MATCH(F$1,'HS Codes'!$D$1:$K$1,0)),"")</f>
        <v>9404.90.2090</v>
      </c>
      <c r="G38" s="8">
        <f>_xlfn.IFNA(INDEX('HS Codes'!$D$2:$K2592,MATCH($B38,'HS Codes'!$A$2:$A2592,0),MATCH(G$1,'HS Codes'!$D$1:$K$1,0)),"")</f>
        <v>63079098990</v>
      </c>
      <c r="H38" s="8" t="str">
        <f>_xlfn.IFNA(INDEX('HS Codes'!$D$2:$K2592,MATCH($B38,'HS Codes'!$A$2:$A2592,0),MATCH(H$1,'HS Codes'!$D$1:$K$1,0)),"")</f>
        <v>3926.90.7500</v>
      </c>
      <c r="I38" s="8" t="str">
        <f>_xlfn.IFNA(INDEX('HS Codes'!$D$2:$K2592,MATCH($B38,'HS Codes'!$A$2:$A2592,0),MATCH(I$1,'HS Codes'!$D$1:$K$1,0)),"")</f>
        <v>3926.90.7500</v>
      </c>
      <c r="J38" s="8">
        <f>_xlfn.IFNA(INDEX('HS Codes'!$D$2:$K2592,MATCH($B38,'HS Codes'!$A$2:$A2592,0),MATCH(J$1,'HS Codes'!$D$1:$K$1,0)),"")</f>
        <v>0</v>
      </c>
      <c r="K38" s="8" t="str">
        <f>_xlfn.IFNA(INDEX('HS Codes'!$D$2:$K2592,MATCH($B38,'HS Codes'!$A$2:$A2592,0),MATCH(K$1,'HS Codes'!$D$1:$K$1,0)),"")</f>
        <v>6306.40.00</v>
      </c>
      <c r="L38" s="8">
        <f>_xlfn.IFNA(INDEX('HS Codes'!$D$2:$K2592,MATCH($B38,'HS Codes'!$A$2:$A2592,0),MATCH(L$1,'HS Codes'!$D$1:$K$1,0)),"")</f>
        <v>0</v>
      </c>
      <c r="M38" s="8" t="str">
        <f>_xlfn.IFNA(INDEX('HS Codes'!$C$2:$C2592,MATCH($B38,'HS Codes'!$A$2:$A2592,0)),"")</f>
        <v>Pillow 100% recycled polyester (no cotton)</v>
      </c>
      <c r="N38" s="9"/>
      <c r="O38" s="9"/>
      <c r="P38" s="9"/>
      <c r="Q38" s="9"/>
    </row>
    <row r="39" spans="1:17" ht="15.75" customHeight="1">
      <c r="A39" s="7" t="s">
        <v>319</v>
      </c>
      <c r="B39" s="7" t="s">
        <v>87</v>
      </c>
      <c r="C39" s="7"/>
      <c r="D39" s="7" t="s">
        <v>88</v>
      </c>
      <c r="E39" s="7" t="s">
        <v>317</v>
      </c>
      <c r="F39" s="8" t="str">
        <f>_xlfn.IFNA(INDEX('HS Codes'!$D$2:$K2593,MATCH($B39,'HS Codes'!$A$2:$A2593,0),MATCH(F$1,'HS Codes'!$D$1:$K$1,0)),"")</f>
        <v>9404.90.2090</v>
      </c>
      <c r="G39" s="8">
        <f>_xlfn.IFNA(INDEX('HS Codes'!$D$2:$K2593,MATCH($B39,'HS Codes'!$A$2:$A2593,0),MATCH(G$1,'HS Codes'!$D$1:$K$1,0)),"")</f>
        <v>63079098990</v>
      </c>
      <c r="H39" s="8" t="str">
        <f>_xlfn.IFNA(INDEX('HS Codes'!$D$2:$K2593,MATCH($B39,'HS Codes'!$A$2:$A2593,0),MATCH(H$1,'HS Codes'!$D$1:$K$1,0)),"")</f>
        <v>3926.90.7500</v>
      </c>
      <c r="I39" s="8" t="str">
        <f>_xlfn.IFNA(INDEX('HS Codes'!$D$2:$K2593,MATCH($B39,'HS Codes'!$A$2:$A2593,0),MATCH(I$1,'HS Codes'!$D$1:$K$1,0)),"")</f>
        <v>3926.90.7500</v>
      </c>
      <c r="J39" s="8">
        <f>_xlfn.IFNA(INDEX('HS Codes'!$D$2:$K2593,MATCH($B39,'HS Codes'!$A$2:$A2593,0),MATCH(J$1,'HS Codes'!$D$1:$K$1,0)),"")</f>
        <v>0</v>
      </c>
      <c r="K39" s="8" t="str">
        <f>_xlfn.IFNA(INDEX('HS Codes'!$D$2:$K2593,MATCH($B39,'HS Codes'!$A$2:$A2593,0),MATCH(K$1,'HS Codes'!$D$1:$K$1,0)),"")</f>
        <v>6306.40.00</v>
      </c>
      <c r="L39" s="8">
        <f>_xlfn.IFNA(INDEX('HS Codes'!$D$2:$K2593,MATCH($B39,'HS Codes'!$A$2:$A2593,0),MATCH(L$1,'HS Codes'!$D$1:$K$1,0)),"")</f>
        <v>0</v>
      </c>
      <c r="M39" s="8" t="str">
        <f>_xlfn.IFNA(INDEX('HS Codes'!$C$2:$C2593,MATCH($B39,'HS Codes'!$A$2:$A2593,0)),"")</f>
        <v>Pillow 100% recycled polyester (no cotton)</v>
      </c>
      <c r="N39" s="9"/>
      <c r="O39" s="9"/>
      <c r="P39" s="9"/>
      <c r="Q39" s="9"/>
    </row>
    <row r="40" spans="1:17" ht="15.75" customHeight="1">
      <c r="A40" s="7" t="s">
        <v>320</v>
      </c>
      <c r="B40" s="7" t="s">
        <v>87</v>
      </c>
      <c r="C40" s="7"/>
      <c r="D40" s="7" t="s">
        <v>88</v>
      </c>
      <c r="E40" s="7" t="s">
        <v>317</v>
      </c>
      <c r="F40" s="8" t="str">
        <f>_xlfn.IFNA(INDEX('HS Codes'!$D$2:$K2594,MATCH($B40,'HS Codes'!$A$2:$A2594,0),MATCH(F$1,'HS Codes'!$D$1:$K$1,0)),"")</f>
        <v>9404.90.2090</v>
      </c>
      <c r="G40" s="8">
        <f>_xlfn.IFNA(INDEX('HS Codes'!$D$2:$K2594,MATCH($B40,'HS Codes'!$A$2:$A2594,0),MATCH(G$1,'HS Codes'!$D$1:$K$1,0)),"")</f>
        <v>63079098990</v>
      </c>
      <c r="H40" s="8" t="str">
        <f>_xlfn.IFNA(INDEX('HS Codes'!$D$2:$K2594,MATCH($B40,'HS Codes'!$A$2:$A2594,0),MATCH(H$1,'HS Codes'!$D$1:$K$1,0)),"")</f>
        <v>3926.90.7500</v>
      </c>
      <c r="I40" s="8" t="str">
        <f>_xlfn.IFNA(INDEX('HS Codes'!$D$2:$K2594,MATCH($B40,'HS Codes'!$A$2:$A2594,0),MATCH(I$1,'HS Codes'!$D$1:$K$1,0)),"")</f>
        <v>3926.90.7500</v>
      </c>
      <c r="J40" s="8">
        <f>_xlfn.IFNA(INDEX('HS Codes'!$D$2:$K2594,MATCH($B40,'HS Codes'!$A$2:$A2594,0),MATCH(J$1,'HS Codes'!$D$1:$K$1,0)),"")</f>
        <v>0</v>
      </c>
      <c r="K40" s="8" t="str">
        <f>_xlfn.IFNA(INDEX('HS Codes'!$D$2:$K2594,MATCH($B40,'HS Codes'!$A$2:$A2594,0),MATCH(K$1,'HS Codes'!$D$1:$K$1,0)),"")</f>
        <v>6306.40.00</v>
      </c>
      <c r="L40" s="8">
        <f>_xlfn.IFNA(INDEX('HS Codes'!$D$2:$K2594,MATCH($B40,'HS Codes'!$A$2:$A2594,0),MATCH(L$1,'HS Codes'!$D$1:$K$1,0)),"")</f>
        <v>0</v>
      </c>
      <c r="M40" s="8" t="str">
        <f>_xlfn.IFNA(INDEX('HS Codes'!$C$2:$C2594,MATCH($B40,'HS Codes'!$A$2:$A2594,0)),"")</f>
        <v>Pillow 100% recycled polyester (no cotton)</v>
      </c>
      <c r="N40" s="9"/>
      <c r="O40" s="9"/>
      <c r="P40" s="9"/>
      <c r="Q40" s="9"/>
    </row>
    <row r="41" spans="1:17" ht="15.75" customHeight="1">
      <c r="A41" s="7" t="s">
        <v>321</v>
      </c>
      <c r="B41" s="7" t="s">
        <v>213</v>
      </c>
      <c r="C41" s="7"/>
      <c r="D41" s="7" t="s">
        <v>214</v>
      </c>
      <c r="E41" s="7" t="s">
        <v>322</v>
      </c>
      <c r="F41" s="8">
        <f>_xlfn.IFNA(INDEX('HS Codes'!$D$2:$K2595,MATCH($B41,'HS Codes'!$A$2:$A2595,0),MATCH(F$1,'HS Codes'!$D$1:$K$1,0)),"")</f>
        <v>0</v>
      </c>
      <c r="G41" s="8">
        <f>_xlfn.IFNA(INDEX('HS Codes'!$D$2:$K2595,MATCH($B41,'HS Codes'!$A$2:$A2595,0),MATCH(G$1,'HS Codes'!$D$1:$K$1,0)),"")</f>
        <v>0</v>
      </c>
      <c r="H41" s="8">
        <f>_xlfn.IFNA(INDEX('HS Codes'!$D$2:$K2595,MATCH($B41,'HS Codes'!$A$2:$A2595,0),MATCH(H$1,'HS Codes'!$D$1:$K$1,0)),"")</f>
        <v>0</v>
      </c>
      <c r="I41" s="8">
        <f>_xlfn.IFNA(INDEX('HS Codes'!$D$2:$K2595,MATCH($B41,'HS Codes'!$A$2:$A2595,0),MATCH(I$1,'HS Codes'!$D$1:$K$1,0)),"")</f>
        <v>0</v>
      </c>
      <c r="J41" s="8">
        <f>_xlfn.IFNA(INDEX('HS Codes'!$D$2:$K2595,MATCH($B41,'HS Codes'!$A$2:$A2595,0),MATCH(J$1,'HS Codes'!$D$1:$K$1,0)),"")</f>
        <v>0</v>
      </c>
      <c r="K41" s="8">
        <f>_xlfn.IFNA(INDEX('HS Codes'!$D$2:$K2595,MATCH($B41,'HS Codes'!$A$2:$A2595,0),MATCH(K$1,'HS Codes'!$D$1:$K$1,0)),"")</f>
        <v>0</v>
      </c>
      <c r="L41" s="8">
        <f>_xlfn.IFNA(INDEX('HS Codes'!$D$2:$K2595,MATCH($B41,'HS Codes'!$A$2:$A2595,0),MATCH(L$1,'HS Codes'!$D$1:$K$1,0)),"")</f>
        <v>0</v>
      </c>
      <c r="M41" s="8">
        <f>_xlfn.IFNA(INDEX('HS Codes'!$C$2:$C2595,MATCH($B41,'HS Codes'!$A$2:$A2595,0)),"")</f>
        <v>0</v>
      </c>
      <c r="N41" s="9"/>
      <c r="O41" s="9"/>
      <c r="P41" s="9"/>
      <c r="Q41" s="9"/>
    </row>
    <row r="42" spans="1:17" ht="15.75" customHeight="1">
      <c r="A42" s="7" t="s">
        <v>323</v>
      </c>
      <c r="B42" s="7" t="s">
        <v>213</v>
      </c>
      <c r="C42" s="7"/>
      <c r="D42" s="7" t="s">
        <v>214</v>
      </c>
      <c r="E42" s="7" t="s">
        <v>322</v>
      </c>
      <c r="F42" s="8">
        <f>_xlfn.IFNA(INDEX('HS Codes'!$D$2:$K2596,MATCH($B42,'HS Codes'!$A$2:$A2596,0),MATCH(F$1,'HS Codes'!$D$1:$K$1,0)),"")</f>
        <v>0</v>
      </c>
      <c r="G42" s="8">
        <f>_xlfn.IFNA(INDEX('HS Codes'!$D$2:$K2596,MATCH($B42,'HS Codes'!$A$2:$A2596,0),MATCH(G$1,'HS Codes'!$D$1:$K$1,0)),"")</f>
        <v>0</v>
      </c>
      <c r="H42" s="8">
        <f>_xlfn.IFNA(INDEX('HS Codes'!$D$2:$K2596,MATCH($B42,'HS Codes'!$A$2:$A2596,0),MATCH(H$1,'HS Codes'!$D$1:$K$1,0)),"")</f>
        <v>0</v>
      </c>
      <c r="I42" s="8">
        <f>_xlfn.IFNA(INDEX('HS Codes'!$D$2:$K2596,MATCH($B42,'HS Codes'!$A$2:$A2596,0),MATCH(I$1,'HS Codes'!$D$1:$K$1,0)),"")</f>
        <v>0</v>
      </c>
      <c r="J42" s="8">
        <f>_xlfn.IFNA(INDEX('HS Codes'!$D$2:$K2596,MATCH($B42,'HS Codes'!$A$2:$A2596,0),MATCH(J$1,'HS Codes'!$D$1:$K$1,0)),"")</f>
        <v>0</v>
      </c>
      <c r="K42" s="8">
        <f>_xlfn.IFNA(INDEX('HS Codes'!$D$2:$K2596,MATCH($B42,'HS Codes'!$A$2:$A2596,0),MATCH(K$1,'HS Codes'!$D$1:$K$1,0)),"")</f>
        <v>0</v>
      </c>
      <c r="L42" s="8">
        <f>_xlfn.IFNA(INDEX('HS Codes'!$D$2:$K2596,MATCH($B42,'HS Codes'!$A$2:$A2596,0),MATCH(L$1,'HS Codes'!$D$1:$K$1,0)),"")</f>
        <v>0</v>
      </c>
      <c r="M42" s="8">
        <f>_xlfn.IFNA(INDEX('HS Codes'!$C$2:$C2596,MATCH($B42,'HS Codes'!$A$2:$A2596,0)),"")</f>
        <v>0</v>
      </c>
      <c r="N42" s="9"/>
      <c r="O42" s="9"/>
      <c r="P42" s="9"/>
      <c r="Q42" s="9"/>
    </row>
    <row r="43" spans="1:17" ht="15.75" customHeight="1">
      <c r="A43" s="7" t="s">
        <v>324</v>
      </c>
      <c r="B43" s="7" t="s">
        <v>213</v>
      </c>
      <c r="C43" s="7"/>
      <c r="D43" s="7" t="s">
        <v>214</v>
      </c>
      <c r="E43" s="7" t="s">
        <v>322</v>
      </c>
      <c r="F43" s="8">
        <f>_xlfn.IFNA(INDEX('HS Codes'!$D$2:$K2597,MATCH($B43,'HS Codes'!$A$2:$A2597,0),MATCH(F$1,'HS Codes'!$D$1:$K$1,0)),"")</f>
        <v>0</v>
      </c>
      <c r="G43" s="8">
        <f>_xlfn.IFNA(INDEX('HS Codes'!$D$2:$K2597,MATCH($B43,'HS Codes'!$A$2:$A2597,0),MATCH(G$1,'HS Codes'!$D$1:$K$1,0)),"")</f>
        <v>0</v>
      </c>
      <c r="H43" s="8">
        <f>_xlfn.IFNA(INDEX('HS Codes'!$D$2:$K2597,MATCH($B43,'HS Codes'!$A$2:$A2597,0),MATCH(H$1,'HS Codes'!$D$1:$K$1,0)),"")</f>
        <v>0</v>
      </c>
      <c r="I43" s="8">
        <f>_xlfn.IFNA(INDEX('HS Codes'!$D$2:$K2597,MATCH($B43,'HS Codes'!$A$2:$A2597,0),MATCH(I$1,'HS Codes'!$D$1:$K$1,0)),"")</f>
        <v>0</v>
      </c>
      <c r="J43" s="8">
        <f>_xlfn.IFNA(INDEX('HS Codes'!$D$2:$K2597,MATCH($B43,'HS Codes'!$A$2:$A2597,0),MATCH(J$1,'HS Codes'!$D$1:$K$1,0)),"")</f>
        <v>0</v>
      </c>
      <c r="K43" s="8">
        <f>_xlfn.IFNA(INDEX('HS Codes'!$D$2:$K2597,MATCH($B43,'HS Codes'!$A$2:$A2597,0),MATCH(K$1,'HS Codes'!$D$1:$K$1,0)),"")</f>
        <v>0</v>
      </c>
      <c r="L43" s="8">
        <f>_xlfn.IFNA(INDEX('HS Codes'!$D$2:$K2597,MATCH($B43,'HS Codes'!$A$2:$A2597,0),MATCH(L$1,'HS Codes'!$D$1:$K$1,0)),"")</f>
        <v>0</v>
      </c>
      <c r="M43" s="8">
        <f>_xlfn.IFNA(INDEX('HS Codes'!$C$2:$C2597,MATCH($B43,'HS Codes'!$A$2:$A2597,0)),"")</f>
        <v>0</v>
      </c>
      <c r="N43" s="9"/>
      <c r="O43" s="9"/>
      <c r="P43" s="9"/>
      <c r="Q43" s="9"/>
    </row>
    <row r="44" spans="1:17" ht="15.75" customHeight="1">
      <c r="A44" s="7" t="s">
        <v>325</v>
      </c>
      <c r="B44" s="7" t="s">
        <v>177</v>
      </c>
      <c r="C44" s="7"/>
      <c r="D44" s="7" t="s">
        <v>178</v>
      </c>
      <c r="E44" s="7" t="s">
        <v>322</v>
      </c>
      <c r="F44" s="8">
        <f>_xlfn.IFNA(INDEX('HS Codes'!$D$2:$K2598,MATCH($B44,'HS Codes'!$A$2:$A2598,0),MATCH(F$1,'HS Codes'!$D$1:$K$1,0)),"")</f>
        <v>0</v>
      </c>
      <c r="G44" s="8">
        <f>_xlfn.IFNA(INDEX('HS Codes'!$D$2:$K2598,MATCH($B44,'HS Codes'!$A$2:$A2598,0),MATCH(G$1,'HS Codes'!$D$1:$K$1,0)),"")</f>
        <v>0</v>
      </c>
      <c r="H44" s="8">
        <f>_xlfn.IFNA(INDEX('HS Codes'!$D$2:$K2598,MATCH($B44,'HS Codes'!$A$2:$A2598,0),MATCH(H$1,'HS Codes'!$D$1:$K$1,0)),"")</f>
        <v>0</v>
      </c>
      <c r="I44" s="8">
        <f>_xlfn.IFNA(INDEX('HS Codes'!$D$2:$K2598,MATCH($B44,'HS Codes'!$A$2:$A2598,0),MATCH(I$1,'HS Codes'!$D$1:$K$1,0)),"")</f>
        <v>0</v>
      </c>
      <c r="J44" s="8">
        <f>_xlfn.IFNA(INDEX('HS Codes'!$D$2:$K2598,MATCH($B44,'HS Codes'!$A$2:$A2598,0),MATCH(J$1,'HS Codes'!$D$1:$K$1,0)),"")</f>
        <v>0</v>
      </c>
      <c r="K44" s="8">
        <f>_xlfn.IFNA(INDEX('HS Codes'!$D$2:$K2598,MATCH($B44,'HS Codes'!$A$2:$A2598,0),MATCH(K$1,'HS Codes'!$D$1:$K$1,0)),"")</f>
        <v>0</v>
      </c>
      <c r="L44" s="8">
        <f>_xlfn.IFNA(INDEX('HS Codes'!$D$2:$K2598,MATCH($B44,'HS Codes'!$A$2:$A2598,0),MATCH(L$1,'HS Codes'!$D$1:$K$1,0)),"")</f>
        <v>0</v>
      </c>
      <c r="M44" s="8">
        <f>_xlfn.IFNA(INDEX('HS Codes'!$C$2:$C2598,MATCH($B44,'HS Codes'!$A$2:$A2598,0)),"")</f>
        <v>0</v>
      </c>
      <c r="N44" s="9"/>
      <c r="O44" s="9"/>
      <c r="P44" s="9"/>
      <c r="Q44" s="9"/>
    </row>
    <row r="45" spans="1:17" ht="15.75" customHeight="1">
      <c r="A45" s="7" t="s">
        <v>326</v>
      </c>
      <c r="B45" s="7" t="s">
        <v>179</v>
      </c>
      <c r="C45" s="7"/>
      <c r="D45" s="7" t="s">
        <v>180</v>
      </c>
      <c r="E45" s="7" t="s">
        <v>322</v>
      </c>
      <c r="F45" s="8">
        <f>_xlfn.IFNA(INDEX('HS Codes'!$D$2:$K2599,MATCH($B45,'HS Codes'!$A$2:$A2599,0),MATCH(F$1,'HS Codes'!$D$1:$K$1,0)),"")</f>
        <v>0</v>
      </c>
      <c r="G45" s="8">
        <f>_xlfn.IFNA(INDEX('HS Codes'!$D$2:$K2599,MATCH($B45,'HS Codes'!$A$2:$A2599,0),MATCH(G$1,'HS Codes'!$D$1:$K$1,0)),"")</f>
        <v>0</v>
      </c>
      <c r="H45" s="8">
        <f>_xlfn.IFNA(INDEX('HS Codes'!$D$2:$K2599,MATCH($B45,'HS Codes'!$A$2:$A2599,0),MATCH(H$1,'HS Codes'!$D$1:$K$1,0)),"")</f>
        <v>0</v>
      </c>
      <c r="I45" s="8">
        <f>_xlfn.IFNA(INDEX('HS Codes'!$D$2:$K2599,MATCH($B45,'HS Codes'!$A$2:$A2599,0),MATCH(I$1,'HS Codes'!$D$1:$K$1,0)),"")</f>
        <v>0</v>
      </c>
      <c r="J45" s="8">
        <f>_xlfn.IFNA(INDEX('HS Codes'!$D$2:$K2599,MATCH($B45,'HS Codes'!$A$2:$A2599,0),MATCH(J$1,'HS Codes'!$D$1:$K$1,0)),"")</f>
        <v>0</v>
      </c>
      <c r="K45" s="8">
        <f>_xlfn.IFNA(INDEX('HS Codes'!$D$2:$K2599,MATCH($B45,'HS Codes'!$A$2:$A2599,0),MATCH(K$1,'HS Codes'!$D$1:$K$1,0)),"")</f>
        <v>0</v>
      </c>
      <c r="L45" s="8">
        <f>_xlfn.IFNA(INDEX('HS Codes'!$D$2:$K2599,MATCH($B45,'HS Codes'!$A$2:$A2599,0),MATCH(L$1,'HS Codes'!$D$1:$K$1,0)),"")</f>
        <v>0</v>
      </c>
      <c r="M45" s="8">
        <f>_xlfn.IFNA(INDEX('HS Codes'!$C$2:$C2599,MATCH($B45,'HS Codes'!$A$2:$A2599,0)),"")</f>
        <v>0</v>
      </c>
      <c r="N45" s="9"/>
      <c r="O45" s="9"/>
      <c r="P45" s="9"/>
      <c r="Q45" s="9"/>
    </row>
    <row r="46" spans="1:17" ht="15.75" customHeight="1">
      <c r="A46" s="7" t="s">
        <v>327</v>
      </c>
      <c r="B46" s="7" t="s">
        <v>185</v>
      </c>
      <c r="C46" s="7"/>
      <c r="D46" s="7" t="s">
        <v>186</v>
      </c>
      <c r="E46" s="7" t="s">
        <v>322</v>
      </c>
      <c r="F46" s="8">
        <f>_xlfn.IFNA(INDEX('HS Codes'!$D$2:$K2600,MATCH($B46,'HS Codes'!$A$2:$A2600,0),MATCH(F$1,'HS Codes'!$D$1:$K$1,0)),"")</f>
        <v>0</v>
      </c>
      <c r="G46" s="8">
        <f>_xlfn.IFNA(INDEX('HS Codes'!$D$2:$K2600,MATCH($B46,'HS Codes'!$A$2:$A2600,0),MATCH(G$1,'HS Codes'!$D$1:$K$1,0)),"")</f>
        <v>0</v>
      </c>
      <c r="H46" s="8">
        <f>_xlfn.IFNA(INDEX('HS Codes'!$D$2:$K2600,MATCH($B46,'HS Codes'!$A$2:$A2600,0),MATCH(H$1,'HS Codes'!$D$1:$K$1,0)),"")</f>
        <v>0</v>
      </c>
      <c r="I46" s="8">
        <f>_xlfn.IFNA(INDEX('HS Codes'!$D$2:$K2600,MATCH($B46,'HS Codes'!$A$2:$A2600,0),MATCH(I$1,'HS Codes'!$D$1:$K$1,0)),"")</f>
        <v>0</v>
      </c>
      <c r="J46" s="8">
        <f>_xlfn.IFNA(INDEX('HS Codes'!$D$2:$K2600,MATCH($B46,'HS Codes'!$A$2:$A2600,0),MATCH(J$1,'HS Codes'!$D$1:$K$1,0)),"")</f>
        <v>0</v>
      </c>
      <c r="K46" s="8">
        <f>_xlfn.IFNA(INDEX('HS Codes'!$D$2:$K2600,MATCH($B46,'HS Codes'!$A$2:$A2600,0),MATCH(K$1,'HS Codes'!$D$1:$K$1,0)),"")</f>
        <v>0</v>
      </c>
      <c r="L46" s="8">
        <f>_xlfn.IFNA(INDEX('HS Codes'!$D$2:$K2600,MATCH($B46,'HS Codes'!$A$2:$A2600,0),MATCH(L$1,'HS Codes'!$D$1:$K$1,0)),"")</f>
        <v>0</v>
      </c>
      <c r="M46" s="8">
        <f>_xlfn.IFNA(INDEX('HS Codes'!$C$2:$C2600,MATCH($B46,'HS Codes'!$A$2:$A2600,0)),"")</f>
        <v>0</v>
      </c>
      <c r="N46" s="9"/>
      <c r="O46" s="9"/>
      <c r="P46" s="9"/>
      <c r="Q46" s="9"/>
    </row>
    <row r="47" spans="1:17" ht="15.75" customHeight="1">
      <c r="A47" s="7" t="s">
        <v>328</v>
      </c>
      <c r="B47" s="7" t="s">
        <v>193</v>
      </c>
      <c r="C47" s="7"/>
      <c r="D47" s="7" t="s">
        <v>194</v>
      </c>
      <c r="E47" s="7" t="s">
        <v>322</v>
      </c>
      <c r="F47" s="8">
        <f>_xlfn.IFNA(INDEX('HS Codes'!$D$2:$K2601,MATCH($B47,'HS Codes'!$A$2:$A2601,0),MATCH(F$1,'HS Codes'!$D$1:$K$1,0)),"")</f>
        <v>0</v>
      </c>
      <c r="G47" s="8">
        <f>_xlfn.IFNA(INDEX('HS Codes'!$D$2:$K2601,MATCH($B47,'HS Codes'!$A$2:$A2601,0),MATCH(G$1,'HS Codes'!$D$1:$K$1,0)),"")</f>
        <v>0</v>
      </c>
      <c r="H47" s="8">
        <f>_xlfn.IFNA(INDEX('HS Codes'!$D$2:$K2601,MATCH($B47,'HS Codes'!$A$2:$A2601,0),MATCH(H$1,'HS Codes'!$D$1:$K$1,0)),"")</f>
        <v>0</v>
      </c>
      <c r="I47" s="8">
        <f>_xlfn.IFNA(INDEX('HS Codes'!$D$2:$K2601,MATCH($B47,'HS Codes'!$A$2:$A2601,0),MATCH(I$1,'HS Codes'!$D$1:$K$1,0)),"")</f>
        <v>0</v>
      </c>
      <c r="J47" s="8">
        <f>_xlfn.IFNA(INDEX('HS Codes'!$D$2:$K2601,MATCH($B47,'HS Codes'!$A$2:$A2601,0),MATCH(J$1,'HS Codes'!$D$1:$K$1,0)),"")</f>
        <v>0</v>
      </c>
      <c r="K47" s="8">
        <f>_xlfn.IFNA(INDEX('HS Codes'!$D$2:$K2601,MATCH($B47,'HS Codes'!$A$2:$A2601,0),MATCH(K$1,'HS Codes'!$D$1:$K$1,0)),"")</f>
        <v>0</v>
      </c>
      <c r="L47" s="8">
        <f>_xlfn.IFNA(INDEX('HS Codes'!$D$2:$K2601,MATCH($B47,'HS Codes'!$A$2:$A2601,0),MATCH(L$1,'HS Codes'!$D$1:$K$1,0)),"")</f>
        <v>0</v>
      </c>
      <c r="M47" s="8">
        <f>_xlfn.IFNA(INDEX('HS Codes'!$C$2:$C2601,MATCH($B47,'HS Codes'!$A$2:$A2601,0)),"")</f>
        <v>0</v>
      </c>
      <c r="N47" s="9"/>
      <c r="O47" s="9"/>
      <c r="P47" s="9"/>
      <c r="Q47" s="9"/>
    </row>
    <row r="48" spans="1:17" ht="15.75" customHeight="1">
      <c r="A48" s="7" t="s">
        <v>329</v>
      </c>
      <c r="B48" s="7" t="s">
        <v>193</v>
      </c>
      <c r="C48" s="7"/>
      <c r="D48" s="7" t="s">
        <v>194</v>
      </c>
      <c r="E48" s="7" t="s">
        <v>322</v>
      </c>
      <c r="F48" s="8">
        <f>_xlfn.IFNA(INDEX('HS Codes'!$D$2:$K2602,MATCH($B48,'HS Codes'!$A$2:$A2602,0),MATCH(F$1,'HS Codes'!$D$1:$K$1,0)),"")</f>
        <v>0</v>
      </c>
      <c r="G48" s="8">
        <f>_xlfn.IFNA(INDEX('HS Codes'!$D$2:$K2602,MATCH($B48,'HS Codes'!$A$2:$A2602,0),MATCH(G$1,'HS Codes'!$D$1:$K$1,0)),"")</f>
        <v>0</v>
      </c>
      <c r="H48" s="8">
        <f>_xlfn.IFNA(INDEX('HS Codes'!$D$2:$K2602,MATCH($B48,'HS Codes'!$A$2:$A2602,0),MATCH(H$1,'HS Codes'!$D$1:$K$1,0)),"")</f>
        <v>0</v>
      </c>
      <c r="I48" s="8">
        <f>_xlfn.IFNA(INDEX('HS Codes'!$D$2:$K2602,MATCH($B48,'HS Codes'!$A$2:$A2602,0),MATCH(I$1,'HS Codes'!$D$1:$K$1,0)),"")</f>
        <v>0</v>
      </c>
      <c r="J48" s="8">
        <f>_xlfn.IFNA(INDEX('HS Codes'!$D$2:$K2602,MATCH($B48,'HS Codes'!$A$2:$A2602,0),MATCH(J$1,'HS Codes'!$D$1:$K$1,0)),"")</f>
        <v>0</v>
      </c>
      <c r="K48" s="8">
        <f>_xlfn.IFNA(INDEX('HS Codes'!$D$2:$K2602,MATCH($B48,'HS Codes'!$A$2:$A2602,0),MATCH(K$1,'HS Codes'!$D$1:$K$1,0)),"")</f>
        <v>0</v>
      </c>
      <c r="L48" s="8">
        <f>_xlfn.IFNA(INDEX('HS Codes'!$D$2:$K2602,MATCH($B48,'HS Codes'!$A$2:$A2602,0),MATCH(L$1,'HS Codes'!$D$1:$K$1,0)),"")</f>
        <v>0</v>
      </c>
      <c r="M48" s="8">
        <f>_xlfn.IFNA(INDEX('HS Codes'!$C$2:$C2602,MATCH($B48,'HS Codes'!$A$2:$A2602,0)),"")</f>
        <v>0</v>
      </c>
      <c r="N48" s="9"/>
      <c r="O48" s="9"/>
      <c r="P48" s="9"/>
      <c r="Q48" s="9"/>
    </row>
    <row r="49" spans="1:17" ht="15.75" customHeight="1">
      <c r="A49" s="7" t="s">
        <v>330</v>
      </c>
      <c r="B49" s="7" t="s">
        <v>197</v>
      </c>
      <c r="C49" s="7"/>
      <c r="D49" s="7" t="s">
        <v>198</v>
      </c>
      <c r="E49" s="7" t="s">
        <v>322</v>
      </c>
      <c r="F49" s="8">
        <f>_xlfn.IFNA(INDEX('HS Codes'!$D$2:$K2603,MATCH($B49,'HS Codes'!$A$2:$A2603,0),MATCH(F$1,'HS Codes'!$D$1:$K$1,0)),"")</f>
        <v>0</v>
      </c>
      <c r="G49" s="8">
        <f>_xlfn.IFNA(INDEX('HS Codes'!$D$2:$K2603,MATCH($B49,'HS Codes'!$A$2:$A2603,0),MATCH(G$1,'HS Codes'!$D$1:$K$1,0)),"")</f>
        <v>0</v>
      </c>
      <c r="H49" s="8">
        <f>_xlfn.IFNA(INDEX('HS Codes'!$D$2:$K2603,MATCH($B49,'HS Codes'!$A$2:$A2603,0),MATCH(H$1,'HS Codes'!$D$1:$K$1,0)),"")</f>
        <v>0</v>
      </c>
      <c r="I49" s="8">
        <f>_xlfn.IFNA(INDEX('HS Codes'!$D$2:$K2603,MATCH($B49,'HS Codes'!$A$2:$A2603,0),MATCH(I$1,'HS Codes'!$D$1:$K$1,0)),"")</f>
        <v>0</v>
      </c>
      <c r="J49" s="8">
        <f>_xlfn.IFNA(INDEX('HS Codes'!$D$2:$K2603,MATCH($B49,'HS Codes'!$A$2:$A2603,0),MATCH(J$1,'HS Codes'!$D$1:$K$1,0)),"")</f>
        <v>0</v>
      </c>
      <c r="K49" s="8">
        <f>_xlfn.IFNA(INDEX('HS Codes'!$D$2:$K2603,MATCH($B49,'HS Codes'!$A$2:$A2603,0),MATCH(K$1,'HS Codes'!$D$1:$K$1,0)),"")</f>
        <v>0</v>
      </c>
      <c r="L49" s="8">
        <f>_xlfn.IFNA(INDEX('HS Codes'!$D$2:$K2603,MATCH($B49,'HS Codes'!$A$2:$A2603,0),MATCH(L$1,'HS Codes'!$D$1:$K$1,0)),"")</f>
        <v>0</v>
      </c>
      <c r="M49" s="8">
        <f>_xlfn.IFNA(INDEX('HS Codes'!$C$2:$C2603,MATCH($B49,'HS Codes'!$A$2:$A2603,0)),"")</f>
        <v>0</v>
      </c>
      <c r="N49" s="9"/>
      <c r="O49" s="9"/>
      <c r="P49" s="9"/>
      <c r="Q49" s="9"/>
    </row>
    <row r="50" spans="1:17" ht="15.75" customHeight="1">
      <c r="A50" s="7" t="s">
        <v>331</v>
      </c>
      <c r="B50" s="7" t="s">
        <v>201</v>
      </c>
      <c r="C50" s="7"/>
      <c r="D50" s="7" t="s">
        <v>202</v>
      </c>
      <c r="E50" s="7" t="s">
        <v>322</v>
      </c>
      <c r="F50" s="8">
        <f>_xlfn.IFNA(INDEX('HS Codes'!$D$2:$K2604,MATCH($B50,'HS Codes'!$A$2:$A2604,0),MATCH(F$1,'HS Codes'!$D$1:$K$1,0)),"")</f>
        <v>0</v>
      </c>
      <c r="G50" s="8">
        <f>_xlfn.IFNA(INDEX('HS Codes'!$D$2:$K2604,MATCH($B50,'HS Codes'!$A$2:$A2604,0),MATCH(G$1,'HS Codes'!$D$1:$K$1,0)),"")</f>
        <v>0</v>
      </c>
      <c r="H50" s="8">
        <f>_xlfn.IFNA(INDEX('HS Codes'!$D$2:$K2604,MATCH($B50,'HS Codes'!$A$2:$A2604,0),MATCH(H$1,'HS Codes'!$D$1:$K$1,0)),"")</f>
        <v>0</v>
      </c>
      <c r="I50" s="8">
        <f>_xlfn.IFNA(INDEX('HS Codes'!$D$2:$K2604,MATCH($B50,'HS Codes'!$A$2:$A2604,0),MATCH(I$1,'HS Codes'!$D$1:$K$1,0)),"")</f>
        <v>0</v>
      </c>
      <c r="J50" s="8">
        <f>_xlfn.IFNA(INDEX('HS Codes'!$D$2:$K2604,MATCH($B50,'HS Codes'!$A$2:$A2604,0),MATCH(J$1,'HS Codes'!$D$1:$K$1,0)),"")</f>
        <v>0</v>
      </c>
      <c r="K50" s="8">
        <f>_xlfn.IFNA(INDEX('HS Codes'!$D$2:$K2604,MATCH($B50,'HS Codes'!$A$2:$A2604,0),MATCH(K$1,'HS Codes'!$D$1:$K$1,0)),"")</f>
        <v>0</v>
      </c>
      <c r="L50" s="8">
        <f>_xlfn.IFNA(INDEX('HS Codes'!$D$2:$K2604,MATCH($B50,'HS Codes'!$A$2:$A2604,0),MATCH(L$1,'HS Codes'!$D$1:$K$1,0)),"")</f>
        <v>0</v>
      </c>
      <c r="M50" s="8">
        <f>_xlfn.IFNA(INDEX('HS Codes'!$C$2:$C2604,MATCH($B50,'HS Codes'!$A$2:$A2604,0)),"")</f>
        <v>0</v>
      </c>
      <c r="N50" s="9"/>
      <c r="O50" s="9"/>
      <c r="P50" s="9"/>
      <c r="Q50" s="9"/>
    </row>
    <row r="51" spans="1:17" ht="15.75" customHeight="1">
      <c r="A51" s="7" t="s">
        <v>332</v>
      </c>
      <c r="B51" s="7" t="s">
        <v>205</v>
      </c>
      <c r="C51" s="7"/>
      <c r="D51" s="7" t="s">
        <v>206</v>
      </c>
      <c r="E51" s="7" t="s">
        <v>322</v>
      </c>
      <c r="F51" s="8">
        <f>_xlfn.IFNA(INDEX('HS Codes'!$D$2:$K2605,MATCH($B51,'HS Codes'!$A$2:$A2605,0),MATCH(F$1,'HS Codes'!$D$1:$K$1,0)),"")</f>
        <v>0</v>
      </c>
      <c r="G51" s="8">
        <f>_xlfn.IFNA(INDEX('HS Codes'!$D$2:$K2605,MATCH($B51,'HS Codes'!$A$2:$A2605,0),MATCH(G$1,'HS Codes'!$D$1:$K$1,0)),"")</f>
        <v>0</v>
      </c>
      <c r="H51" s="8">
        <f>_xlfn.IFNA(INDEX('HS Codes'!$D$2:$K2605,MATCH($B51,'HS Codes'!$A$2:$A2605,0),MATCH(H$1,'HS Codes'!$D$1:$K$1,0)),"")</f>
        <v>0</v>
      </c>
      <c r="I51" s="8">
        <f>_xlfn.IFNA(INDEX('HS Codes'!$D$2:$K2605,MATCH($B51,'HS Codes'!$A$2:$A2605,0),MATCH(I$1,'HS Codes'!$D$1:$K$1,0)),"")</f>
        <v>0</v>
      </c>
      <c r="J51" s="8">
        <f>_xlfn.IFNA(INDEX('HS Codes'!$D$2:$K2605,MATCH($B51,'HS Codes'!$A$2:$A2605,0),MATCH(J$1,'HS Codes'!$D$1:$K$1,0)),"")</f>
        <v>0</v>
      </c>
      <c r="K51" s="8">
        <f>_xlfn.IFNA(INDEX('HS Codes'!$D$2:$K2605,MATCH($B51,'HS Codes'!$A$2:$A2605,0),MATCH(K$1,'HS Codes'!$D$1:$K$1,0)),"")</f>
        <v>0</v>
      </c>
      <c r="L51" s="8">
        <f>_xlfn.IFNA(INDEX('HS Codes'!$D$2:$K2605,MATCH($B51,'HS Codes'!$A$2:$A2605,0),MATCH(L$1,'HS Codes'!$D$1:$K$1,0)),"")</f>
        <v>0</v>
      </c>
      <c r="M51" s="8">
        <f>_xlfn.IFNA(INDEX('HS Codes'!$C$2:$C2605,MATCH($B51,'HS Codes'!$A$2:$A2605,0)),"")</f>
        <v>0</v>
      </c>
      <c r="N51" s="9"/>
      <c r="O51" s="9"/>
      <c r="P51" s="9"/>
      <c r="Q51" s="9"/>
    </row>
    <row r="52" spans="1:17" ht="15.75" customHeight="1">
      <c r="A52" s="7" t="s">
        <v>333</v>
      </c>
      <c r="B52" s="7" t="s">
        <v>205</v>
      </c>
      <c r="C52" s="7"/>
      <c r="D52" s="7" t="s">
        <v>206</v>
      </c>
      <c r="E52" s="7" t="s">
        <v>322</v>
      </c>
      <c r="F52" s="8">
        <f>_xlfn.IFNA(INDEX('HS Codes'!$D$2:$K2606,MATCH($B52,'HS Codes'!$A$2:$A2606,0),MATCH(F$1,'HS Codes'!$D$1:$K$1,0)),"")</f>
        <v>0</v>
      </c>
      <c r="G52" s="8">
        <f>_xlfn.IFNA(INDEX('HS Codes'!$D$2:$K2606,MATCH($B52,'HS Codes'!$A$2:$A2606,0),MATCH(G$1,'HS Codes'!$D$1:$K$1,0)),"")</f>
        <v>0</v>
      </c>
      <c r="H52" s="8">
        <f>_xlfn.IFNA(INDEX('HS Codes'!$D$2:$K2606,MATCH($B52,'HS Codes'!$A$2:$A2606,0),MATCH(H$1,'HS Codes'!$D$1:$K$1,0)),"")</f>
        <v>0</v>
      </c>
      <c r="I52" s="8">
        <f>_xlfn.IFNA(INDEX('HS Codes'!$D$2:$K2606,MATCH($B52,'HS Codes'!$A$2:$A2606,0),MATCH(I$1,'HS Codes'!$D$1:$K$1,0)),"")</f>
        <v>0</v>
      </c>
      <c r="J52" s="8">
        <f>_xlfn.IFNA(INDEX('HS Codes'!$D$2:$K2606,MATCH($B52,'HS Codes'!$A$2:$A2606,0),MATCH(J$1,'HS Codes'!$D$1:$K$1,0)),"")</f>
        <v>0</v>
      </c>
      <c r="K52" s="8">
        <f>_xlfn.IFNA(INDEX('HS Codes'!$D$2:$K2606,MATCH($B52,'HS Codes'!$A$2:$A2606,0),MATCH(K$1,'HS Codes'!$D$1:$K$1,0)),"")</f>
        <v>0</v>
      </c>
      <c r="L52" s="8">
        <f>_xlfn.IFNA(INDEX('HS Codes'!$D$2:$K2606,MATCH($B52,'HS Codes'!$A$2:$A2606,0),MATCH(L$1,'HS Codes'!$D$1:$K$1,0)),"")</f>
        <v>0</v>
      </c>
      <c r="M52" s="8">
        <f>_xlfn.IFNA(INDEX('HS Codes'!$C$2:$C2606,MATCH($B52,'HS Codes'!$A$2:$A2606,0)),"")</f>
        <v>0</v>
      </c>
      <c r="N52" s="9"/>
      <c r="O52" s="9"/>
      <c r="P52" s="9"/>
      <c r="Q52" s="9"/>
    </row>
    <row r="53" spans="1:17" ht="15.75" customHeight="1">
      <c r="A53" s="7" t="s">
        <v>334</v>
      </c>
      <c r="B53" s="7" t="s">
        <v>205</v>
      </c>
      <c r="C53" s="7"/>
      <c r="D53" s="7" t="s">
        <v>206</v>
      </c>
      <c r="E53" s="7" t="s">
        <v>322</v>
      </c>
      <c r="F53" s="8">
        <f>_xlfn.IFNA(INDEX('HS Codes'!$D$2:$K2607,MATCH($B53,'HS Codes'!$A$2:$A2607,0),MATCH(F$1,'HS Codes'!$D$1:$K$1,0)),"")</f>
        <v>0</v>
      </c>
      <c r="G53" s="8">
        <f>_xlfn.IFNA(INDEX('HS Codes'!$D$2:$K2607,MATCH($B53,'HS Codes'!$A$2:$A2607,0),MATCH(G$1,'HS Codes'!$D$1:$K$1,0)),"")</f>
        <v>0</v>
      </c>
      <c r="H53" s="8">
        <f>_xlfn.IFNA(INDEX('HS Codes'!$D$2:$K2607,MATCH($B53,'HS Codes'!$A$2:$A2607,0),MATCH(H$1,'HS Codes'!$D$1:$K$1,0)),"")</f>
        <v>0</v>
      </c>
      <c r="I53" s="8">
        <f>_xlfn.IFNA(INDEX('HS Codes'!$D$2:$K2607,MATCH($B53,'HS Codes'!$A$2:$A2607,0),MATCH(I$1,'HS Codes'!$D$1:$K$1,0)),"")</f>
        <v>0</v>
      </c>
      <c r="J53" s="8">
        <f>_xlfn.IFNA(INDEX('HS Codes'!$D$2:$K2607,MATCH($B53,'HS Codes'!$A$2:$A2607,0),MATCH(J$1,'HS Codes'!$D$1:$K$1,0)),"")</f>
        <v>0</v>
      </c>
      <c r="K53" s="8">
        <f>_xlfn.IFNA(INDEX('HS Codes'!$D$2:$K2607,MATCH($B53,'HS Codes'!$A$2:$A2607,0),MATCH(K$1,'HS Codes'!$D$1:$K$1,0)),"")</f>
        <v>0</v>
      </c>
      <c r="L53" s="8">
        <f>_xlfn.IFNA(INDEX('HS Codes'!$D$2:$K2607,MATCH($B53,'HS Codes'!$A$2:$A2607,0),MATCH(L$1,'HS Codes'!$D$1:$K$1,0)),"")</f>
        <v>0</v>
      </c>
      <c r="M53" s="8">
        <f>_xlfn.IFNA(INDEX('HS Codes'!$C$2:$C2607,MATCH($B53,'HS Codes'!$A$2:$A2607,0)),"")</f>
        <v>0</v>
      </c>
      <c r="N53" s="9"/>
      <c r="O53" s="9"/>
      <c r="P53" s="9"/>
      <c r="Q53" s="9"/>
    </row>
    <row r="54" spans="1:17" ht="15.75" customHeight="1">
      <c r="A54" s="7" t="s">
        <v>335</v>
      </c>
      <c r="B54" s="7" t="s">
        <v>205</v>
      </c>
      <c r="C54" s="7"/>
      <c r="D54" s="7" t="s">
        <v>206</v>
      </c>
      <c r="E54" s="7" t="s">
        <v>322</v>
      </c>
      <c r="F54" s="8">
        <f>_xlfn.IFNA(INDEX('HS Codes'!$D$2:$K2608,MATCH($B54,'HS Codes'!$A$2:$A2608,0),MATCH(F$1,'HS Codes'!$D$1:$K$1,0)),"")</f>
        <v>0</v>
      </c>
      <c r="G54" s="8">
        <f>_xlfn.IFNA(INDEX('HS Codes'!$D$2:$K2608,MATCH($B54,'HS Codes'!$A$2:$A2608,0),MATCH(G$1,'HS Codes'!$D$1:$K$1,0)),"")</f>
        <v>0</v>
      </c>
      <c r="H54" s="8">
        <f>_xlfn.IFNA(INDEX('HS Codes'!$D$2:$K2608,MATCH($B54,'HS Codes'!$A$2:$A2608,0),MATCH(H$1,'HS Codes'!$D$1:$K$1,0)),"")</f>
        <v>0</v>
      </c>
      <c r="I54" s="8">
        <f>_xlfn.IFNA(INDEX('HS Codes'!$D$2:$K2608,MATCH($B54,'HS Codes'!$A$2:$A2608,0),MATCH(I$1,'HS Codes'!$D$1:$K$1,0)),"")</f>
        <v>0</v>
      </c>
      <c r="J54" s="8">
        <f>_xlfn.IFNA(INDEX('HS Codes'!$D$2:$K2608,MATCH($B54,'HS Codes'!$A$2:$A2608,0),MATCH(J$1,'HS Codes'!$D$1:$K$1,0)),"")</f>
        <v>0</v>
      </c>
      <c r="K54" s="8">
        <f>_xlfn.IFNA(INDEX('HS Codes'!$D$2:$K2608,MATCH($B54,'HS Codes'!$A$2:$A2608,0),MATCH(K$1,'HS Codes'!$D$1:$K$1,0)),"")</f>
        <v>0</v>
      </c>
      <c r="L54" s="8">
        <f>_xlfn.IFNA(INDEX('HS Codes'!$D$2:$K2608,MATCH($B54,'HS Codes'!$A$2:$A2608,0),MATCH(L$1,'HS Codes'!$D$1:$K$1,0)),"")</f>
        <v>0</v>
      </c>
      <c r="M54" s="8">
        <f>_xlfn.IFNA(INDEX('HS Codes'!$C$2:$C2608,MATCH($B54,'HS Codes'!$A$2:$A2608,0)),"")</f>
        <v>0</v>
      </c>
      <c r="N54" s="9"/>
      <c r="O54" s="9"/>
      <c r="P54" s="9"/>
      <c r="Q54" s="9"/>
    </row>
    <row r="55" spans="1:17" ht="15.75" customHeight="1">
      <c r="A55" s="7" t="s">
        <v>336</v>
      </c>
      <c r="B55" s="7" t="s">
        <v>203</v>
      </c>
      <c r="C55" s="7"/>
      <c r="D55" s="7" t="s">
        <v>204</v>
      </c>
      <c r="E55" s="7" t="s">
        <v>322</v>
      </c>
      <c r="F55" s="8">
        <f>_xlfn.IFNA(INDEX('HS Codes'!$D$2:$K2609,MATCH($B55,'HS Codes'!$A$2:$A2609,0),MATCH(F$1,'HS Codes'!$D$1:$K$1,0)),"")</f>
        <v>0</v>
      </c>
      <c r="G55" s="8">
        <f>_xlfn.IFNA(INDEX('HS Codes'!$D$2:$K2609,MATCH($B55,'HS Codes'!$A$2:$A2609,0),MATCH(G$1,'HS Codes'!$D$1:$K$1,0)),"")</f>
        <v>0</v>
      </c>
      <c r="H55" s="8">
        <f>_xlfn.IFNA(INDEX('HS Codes'!$D$2:$K2609,MATCH($B55,'HS Codes'!$A$2:$A2609,0),MATCH(H$1,'HS Codes'!$D$1:$K$1,0)),"")</f>
        <v>0</v>
      </c>
      <c r="I55" s="8">
        <f>_xlfn.IFNA(INDEX('HS Codes'!$D$2:$K2609,MATCH($B55,'HS Codes'!$A$2:$A2609,0),MATCH(I$1,'HS Codes'!$D$1:$K$1,0)),"")</f>
        <v>0</v>
      </c>
      <c r="J55" s="8">
        <f>_xlfn.IFNA(INDEX('HS Codes'!$D$2:$K2609,MATCH($B55,'HS Codes'!$A$2:$A2609,0),MATCH(J$1,'HS Codes'!$D$1:$K$1,0)),"")</f>
        <v>0</v>
      </c>
      <c r="K55" s="8">
        <f>_xlfn.IFNA(INDEX('HS Codes'!$D$2:$K2609,MATCH($B55,'HS Codes'!$A$2:$A2609,0),MATCH(K$1,'HS Codes'!$D$1:$K$1,0)),"")</f>
        <v>0</v>
      </c>
      <c r="L55" s="8">
        <f>_xlfn.IFNA(INDEX('HS Codes'!$D$2:$K2609,MATCH($B55,'HS Codes'!$A$2:$A2609,0),MATCH(L$1,'HS Codes'!$D$1:$K$1,0)),"")</f>
        <v>0</v>
      </c>
      <c r="M55" s="8">
        <f>_xlfn.IFNA(INDEX('HS Codes'!$C$2:$C2609,MATCH($B55,'HS Codes'!$A$2:$A2609,0)),"")</f>
        <v>0</v>
      </c>
      <c r="N55" s="9"/>
      <c r="O55" s="9"/>
      <c r="P55" s="9"/>
      <c r="Q55" s="9"/>
    </row>
    <row r="56" spans="1:17" ht="15.75" customHeight="1">
      <c r="A56" s="7" t="s">
        <v>337</v>
      </c>
      <c r="B56" s="7"/>
      <c r="C56" s="7"/>
      <c r="D56" s="7"/>
      <c r="E56" s="7"/>
      <c r="F56" s="8" t="str">
        <f>_xlfn.IFNA(INDEX('HS Codes'!$D$2:$K2610,MATCH($B56,'HS Codes'!$A$2:$A2610,0),MATCH(F$1,'HS Codes'!$D$1:$K$1,0)),"")</f>
        <v/>
      </c>
      <c r="G56" s="8" t="str">
        <f>_xlfn.IFNA(INDEX('HS Codes'!$D$2:$K2610,MATCH($B56,'HS Codes'!$A$2:$A2610,0),MATCH(G$1,'HS Codes'!$D$1:$K$1,0)),"")</f>
        <v/>
      </c>
      <c r="H56" s="8" t="str">
        <f>_xlfn.IFNA(INDEX('HS Codes'!$D$2:$K2610,MATCH($B56,'HS Codes'!$A$2:$A2610,0),MATCH(H$1,'HS Codes'!$D$1:$K$1,0)),"")</f>
        <v/>
      </c>
      <c r="I56" s="8" t="str">
        <f>_xlfn.IFNA(INDEX('HS Codes'!$D$2:$K2610,MATCH($B56,'HS Codes'!$A$2:$A2610,0),MATCH(I$1,'HS Codes'!$D$1:$K$1,0)),"")</f>
        <v/>
      </c>
      <c r="J56" s="8" t="str">
        <f>_xlfn.IFNA(INDEX('HS Codes'!$D$2:$K2610,MATCH($B56,'HS Codes'!$A$2:$A2610,0),MATCH(J$1,'HS Codes'!$D$1:$K$1,0)),"")</f>
        <v/>
      </c>
      <c r="K56" s="8" t="str">
        <f>_xlfn.IFNA(INDEX('HS Codes'!$D$2:$K2610,MATCH($B56,'HS Codes'!$A$2:$A2610,0),MATCH(K$1,'HS Codes'!$D$1:$K$1,0)),"")</f>
        <v/>
      </c>
      <c r="L56" s="8" t="str">
        <f>_xlfn.IFNA(INDEX('HS Codes'!$D$2:$K2610,MATCH($B56,'HS Codes'!$A$2:$A2610,0),MATCH(L$1,'HS Codes'!$D$1:$K$1,0)),"")</f>
        <v/>
      </c>
      <c r="M56" s="8" t="str">
        <f>_xlfn.IFNA(INDEX('HS Codes'!$C$2:$C2610,MATCH($B56,'HS Codes'!$A$2:$A2610,0)),"")</f>
        <v/>
      </c>
      <c r="N56" s="9"/>
      <c r="O56" s="9"/>
      <c r="P56" s="9"/>
      <c r="Q56" s="9"/>
    </row>
    <row r="57" spans="1:17" ht="15.75" customHeight="1">
      <c r="A57" s="7" t="s">
        <v>338</v>
      </c>
      <c r="B57" s="7"/>
      <c r="C57" s="7"/>
      <c r="D57" s="7"/>
      <c r="E57" s="7"/>
      <c r="F57" s="8" t="str">
        <f>_xlfn.IFNA(INDEX('HS Codes'!$D$2:$K2611,MATCH($B57,'HS Codes'!$A$2:$A2611,0),MATCH(F$1,'HS Codes'!$D$1:$K$1,0)),"")</f>
        <v/>
      </c>
      <c r="G57" s="8" t="str">
        <f>_xlfn.IFNA(INDEX('HS Codes'!$D$2:$K2611,MATCH($B57,'HS Codes'!$A$2:$A2611,0),MATCH(G$1,'HS Codes'!$D$1:$K$1,0)),"")</f>
        <v/>
      </c>
      <c r="H57" s="8" t="str">
        <f>_xlfn.IFNA(INDEX('HS Codes'!$D$2:$K2611,MATCH($B57,'HS Codes'!$A$2:$A2611,0),MATCH(H$1,'HS Codes'!$D$1:$K$1,0)),"")</f>
        <v/>
      </c>
      <c r="I57" s="8" t="str">
        <f>_xlfn.IFNA(INDEX('HS Codes'!$D$2:$K2611,MATCH($B57,'HS Codes'!$A$2:$A2611,0),MATCH(I$1,'HS Codes'!$D$1:$K$1,0)),"")</f>
        <v/>
      </c>
      <c r="J57" s="8" t="str">
        <f>_xlfn.IFNA(INDEX('HS Codes'!$D$2:$K2611,MATCH($B57,'HS Codes'!$A$2:$A2611,0),MATCH(J$1,'HS Codes'!$D$1:$K$1,0)),"")</f>
        <v/>
      </c>
      <c r="K57" s="8" t="str">
        <f>_xlfn.IFNA(INDEX('HS Codes'!$D$2:$K2611,MATCH($B57,'HS Codes'!$A$2:$A2611,0),MATCH(K$1,'HS Codes'!$D$1:$K$1,0)),"")</f>
        <v/>
      </c>
      <c r="L57" s="8" t="str">
        <f>_xlfn.IFNA(INDEX('HS Codes'!$D$2:$K2611,MATCH($B57,'HS Codes'!$A$2:$A2611,0),MATCH(L$1,'HS Codes'!$D$1:$K$1,0)),"")</f>
        <v/>
      </c>
      <c r="M57" s="8" t="str">
        <f>_xlfn.IFNA(INDEX('HS Codes'!$C$2:$C2611,MATCH($B57,'HS Codes'!$A$2:$A2611,0)),"")</f>
        <v/>
      </c>
      <c r="N57" s="9"/>
      <c r="O57" s="9"/>
      <c r="P57" s="9"/>
      <c r="Q57" s="9"/>
    </row>
    <row r="58" spans="1:17" ht="15.75" customHeight="1">
      <c r="A58" s="7" t="s">
        <v>339</v>
      </c>
      <c r="B58" s="7" t="s">
        <v>222</v>
      </c>
      <c r="C58" s="7"/>
      <c r="D58" s="7" t="s">
        <v>223</v>
      </c>
      <c r="E58" s="7" t="s">
        <v>322</v>
      </c>
      <c r="F58" s="8">
        <f>_xlfn.IFNA(INDEX('HS Codes'!$D$2:$K2612,MATCH($B58,'HS Codes'!$A$2:$A2612,0),MATCH(F$1,'HS Codes'!$D$1:$K$1,0)),"")</f>
        <v>0</v>
      </c>
      <c r="G58" s="8">
        <f>_xlfn.IFNA(INDEX('HS Codes'!$D$2:$K2612,MATCH($B58,'HS Codes'!$A$2:$A2612,0),MATCH(G$1,'HS Codes'!$D$1:$K$1,0)),"")</f>
        <v>0</v>
      </c>
      <c r="H58" s="8">
        <f>_xlfn.IFNA(INDEX('HS Codes'!$D$2:$K2612,MATCH($B58,'HS Codes'!$A$2:$A2612,0),MATCH(H$1,'HS Codes'!$D$1:$K$1,0)),"")</f>
        <v>0</v>
      </c>
      <c r="I58" s="8">
        <f>_xlfn.IFNA(INDEX('HS Codes'!$D$2:$K2612,MATCH($B58,'HS Codes'!$A$2:$A2612,0),MATCH(I$1,'HS Codes'!$D$1:$K$1,0)),"")</f>
        <v>0</v>
      </c>
      <c r="J58" s="8">
        <f>_xlfn.IFNA(INDEX('HS Codes'!$D$2:$K2612,MATCH($B58,'HS Codes'!$A$2:$A2612,0),MATCH(J$1,'HS Codes'!$D$1:$K$1,0)),"")</f>
        <v>0</v>
      </c>
      <c r="K58" s="8">
        <f>_xlfn.IFNA(INDEX('HS Codes'!$D$2:$K2612,MATCH($B58,'HS Codes'!$A$2:$A2612,0),MATCH(K$1,'HS Codes'!$D$1:$K$1,0)),"")</f>
        <v>0</v>
      </c>
      <c r="L58" s="8">
        <f>_xlfn.IFNA(INDEX('HS Codes'!$D$2:$K2612,MATCH($B58,'HS Codes'!$A$2:$A2612,0),MATCH(L$1,'HS Codes'!$D$1:$K$1,0)),"")</f>
        <v>0</v>
      </c>
      <c r="M58" s="8">
        <f>_xlfn.IFNA(INDEX('HS Codes'!$C$2:$C2612,MATCH($B58,'HS Codes'!$A$2:$A2612,0)),"")</f>
        <v>0</v>
      </c>
      <c r="N58" s="9"/>
      <c r="O58" s="9"/>
      <c r="P58" s="9"/>
      <c r="Q58" s="9"/>
    </row>
    <row r="59" spans="1:17" ht="15.75" customHeight="1">
      <c r="A59" s="7" t="s">
        <v>340</v>
      </c>
      <c r="B59" s="7" t="s">
        <v>98</v>
      </c>
      <c r="C59" s="7"/>
      <c r="D59" s="7" t="s">
        <v>99</v>
      </c>
      <c r="E59" s="7" t="s">
        <v>341</v>
      </c>
      <c r="F59" s="8" t="str">
        <f>_xlfn.IFNA(INDEX('HS Codes'!$D$2:$K2613,MATCH($B59,'HS Codes'!$A$2:$A2613,0),MATCH(F$1,'HS Codes'!$D$1:$K$1,0)),"")</f>
        <v>6302.93.2000</v>
      </c>
      <c r="G59" s="8">
        <f>_xlfn.IFNA(INDEX('HS Codes'!$D$2:$K2613,MATCH($B59,'HS Codes'!$A$2:$A2613,0),MATCH(G$1,'HS Codes'!$D$1:$K$1,0)),"")</f>
        <v>6302939000</v>
      </c>
      <c r="H59" s="8">
        <f>_xlfn.IFNA(INDEX('HS Codes'!$D$2:$K2613,MATCH($B59,'HS Codes'!$A$2:$A2613,0),MATCH(H$1,'HS Codes'!$D$1:$K$1,0)),"")</f>
        <v>6302939000</v>
      </c>
      <c r="I59" s="8">
        <f>_xlfn.IFNA(INDEX('HS Codes'!$D$2:$K2613,MATCH($B59,'HS Codes'!$A$2:$A2613,0),MATCH(I$1,'HS Codes'!$D$1:$K$1,0)),"")</f>
        <v>6302939000</v>
      </c>
      <c r="J59" s="8">
        <f>_xlfn.IFNA(INDEX('HS Codes'!$D$2:$K2613,MATCH($B59,'HS Codes'!$A$2:$A2613,0),MATCH(J$1,'HS Codes'!$D$1:$K$1,0)),"")</f>
        <v>0</v>
      </c>
      <c r="K59" s="8" t="str">
        <f>_xlfn.IFNA(INDEX('HS Codes'!$D$2:$K2613,MATCH($B59,'HS Codes'!$A$2:$A2613,0),MATCH(K$1,'HS Codes'!$D$1:$K$1,0)),"")</f>
        <v>6302.29.00</v>
      </c>
      <c r="L59" s="8">
        <f>_xlfn.IFNA(INDEX('HS Codes'!$D$2:$K2613,MATCH($B59,'HS Codes'!$A$2:$A2613,0),MATCH(L$1,'HS Codes'!$D$1:$K$1,0)),"")</f>
        <v>0</v>
      </c>
      <c r="M59" s="8" t="str">
        <f>_xlfn.IFNA(INDEX('HS Codes'!$C$2:$C2613,MATCH($B59,'HS Codes'!$A$2:$A2613,0)),"")</f>
        <v>Fitness Towel - Toilet Linen 100% recycled polyester includes cotton on the packing pouch drawstring</v>
      </c>
      <c r="N59" s="9"/>
      <c r="O59" s="9"/>
      <c r="P59" s="9"/>
      <c r="Q59" s="9"/>
    </row>
    <row r="60" spans="1:17" ht="15.75" customHeight="1">
      <c r="A60" s="7" t="s">
        <v>342</v>
      </c>
      <c r="B60" s="7" t="s">
        <v>98</v>
      </c>
      <c r="C60" s="7"/>
      <c r="D60" s="7" t="s">
        <v>99</v>
      </c>
      <c r="E60" s="7" t="s">
        <v>341</v>
      </c>
      <c r="F60" s="8" t="str">
        <f>_xlfn.IFNA(INDEX('HS Codes'!$D$2:$K2614,MATCH($B60,'HS Codes'!$A$2:$A2614,0),MATCH(F$1,'HS Codes'!$D$1:$K$1,0)),"")</f>
        <v>6302.93.2000</v>
      </c>
      <c r="G60" s="8">
        <f>_xlfn.IFNA(INDEX('HS Codes'!$D$2:$K2614,MATCH($B60,'HS Codes'!$A$2:$A2614,0),MATCH(G$1,'HS Codes'!$D$1:$K$1,0)),"")</f>
        <v>6302939000</v>
      </c>
      <c r="H60" s="8">
        <f>_xlfn.IFNA(INDEX('HS Codes'!$D$2:$K2614,MATCH($B60,'HS Codes'!$A$2:$A2614,0),MATCH(H$1,'HS Codes'!$D$1:$K$1,0)),"")</f>
        <v>6302939000</v>
      </c>
      <c r="I60" s="8">
        <f>_xlfn.IFNA(INDEX('HS Codes'!$D$2:$K2614,MATCH($B60,'HS Codes'!$A$2:$A2614,0),MATCH(I$1,'HS Codes'!$D$1:$K$1,0)),"")</f>
        <v>6302939000</v>
      </c>
      <c r="J60" s="8">
        <f>_xlfn.IFNA(INDEX('HS Codes'!$D$2:$K2614,MATCH($B60,'HS Codes'!$A$2:$A2614,0),MATCH(J$1,'HS Codes'!$D$1:$K$1,0)),"")</f>
        <v>0</v>
      </c>
      <c r="K60" s="8" t="str">
        <f>_xlfn.IFNA(INDEX('HS Codes'!$D$2:$K2614,MATCH($B60,'HS Codes'!$A$2:$A2614,0),MATCH(K$1,'HS Codes'!$D$1:$K$1,0)),"")</f>
        <v>6302.29.00</v>
      </c>
      <c r="L60" s="8">
        <f>_xlfn.IFNA(INDEX('HS Codes'!$D$2:$K2614,MATCH($B60,'HS Codes'!$A$2:$A2614,0),MATCH(L$1,'HS Codes'!$D$1:$K$1,0)),"")</f>
        <v>0</v>
      </c>
      <c r="M60" s="8" t="str">
        <f>_xlfn.IFNA(INDEX('HS Codes'!$C$2:$C2614,MATCH($B60,'HS Codes'!$A$2:$A2614,0)),"")</f>
        <v>Fitness Towel - Toilet Linen 100% recycled polyester includes cotton on the packing pouch drawstring</v>
      </c>
      <c r="N60" s="9"/>
      <c r="O60" s="9"/>
      <c r="P60" s="9"/>
      <c r="Q60" s="9"/>
    </row>
    <row r="61" spans="1:17" ht="15.75" customHeight="1">
      <c r="A61" s="7" t="s">
        <v>343</v>
      </c>
      <c r="B61" s="7" t="s">
        <v>98</v>
      </c>
      <c r="C61" s="7"/>
      <c r="D61" s="7" t="s">
        <v>99</v>
      </c>
      <c r="E61" s="7" t="s">
        <v>341</v>
      </c>
      <c r="F61" s="8" t="str">
        <f>_xlfn.IFNA(INDEX('HS Codes'!$D$2:$K2615,MATCH($B61,'HS Codes'!$A$2:$A2615,0),MATCH(F$1,'HS Codes'!$D$1:$K$1,0)),"")</f>
        <v>6302.93.2000</v>
      </c>
      <c r="G61" s="8">
        <f>_xlfn.IFNA(INDEX('HS Codes'!$D$2:$K2615,MATCH($B61,'HS Codes'!$A$2:$A2615,0),MATCH(G$1,'HS Codes'!$D$1:$K$1,0)),"")</f>
        <v>6302939000</v>
      </c>
      <c r="H61" s="8">
        <f>_xlfn.IFNA(INDEX('HS Codes'!$D$2:$K2615,MATCH($B61,'HS Codes'!$A$2:$A2615,0),MATCH(H$1,'HS Codes'!$D$1:$K$1,0)),"")</f>
        <v>6302939000</v>
      </c>
      <c r="I61" s="8">
        <f>_xlfn.IFNA(INDEX('HS Codes'!$D$2:$K2615,MATCH($B61,'HS Codes'!$A$2:$A2615,0),MATCH(I$1,'HS Codes'!$D$1:$K$1,0)),"")</f>
        <v>6302939000</v>
      </c>
      <c r="J61" s="8">
        <f>_xlfn.IFNA(INDEX('HS Codes'!$D$2:$K2615,MATCH($B61,'HS Codes'!$A$2:$A2615,0),MATCH(J$1,'HS Codes'!$D$1:$K$1,0)),"")</f>
        <v>0</v>
      </c>
      <c r="K61" s="8" t="str">
        <f>_xlfn.IFNA(INDEX('HS Codes'!$D$2:$K2615,MATCH($B61,'HS Codes'!$A$2:$A2615,0),MATCH(K$1,'HS Codes'!$D$1:$K$1,0)),"")</f>
        <v>6302.29.00</v>
      </c>
      <c r="L61" s="8">
        <f>_xlfn.IFNA(INDEX('HS Codes'!$D$2:$K2615,MATCH($B61,'HS Codes'!$A$2:$A2615,0),MATCH(L$1,'HS Codes'!$D$1:$K$1,0)),"")</f>
        <v>0</v>
      </c>
      <c r="M61" s="8" t="str">
        <f>_xlfn.IFNA(INDEX('HS Codes'!$C$2:$C2615,MATCH($B61,'HS Codes'!$A$2:$A2615,0)),"")</f>
        <v>Fitness Towel - Toilet Linen 100% recycled polyester includes cotton on the packing pouch drawstring</v>
      </c>
      <c r="N61" s="9"/>
      <c r="O61" s="9"/>
      <c r="P61" s="9"/>
      <c r="Q61" s="9"/>
    </row>
    <row r="62" spans="1:17" ht="15.75" customHeight="1">
      <c r="A62" s="7" t="s">
        <v>344</v>
      </c>
      <c r="B62" s="7" t="s">
        <v>98</v>
      </c>
      <c r="C62" s="7"/>
      <c r="D62" s="7" t="s">
        <v>99</v>
      </c>
      <c r="E62" s="7" t="s">
        <v>341</v>
      </c>
      <c r="F62" s="8" t="str">
        <f>_xlfn.IFNA(INDEX('HS Codes'!$D$2:$K2616,MATCH($B62,'HS Codes'!$A$2:$A2616,0),MATCH(F$1,'HS Codes'!$D$1:$K$1,0)),"")</f>
        <v>6302.93.2000</v>
      </c>
      <c r="G62" s="8">
        <f>_xlfn.IFNA(INDEX('HS Codes'!$D$2:$K2616,MATCH($B62,'HS Codes'!$A$2:$A2616,0),MATCH(G$1,'HS Codes'!$D$1:$K$1,0)),"")</f>
        <v>6302939000</v>
      </c>
      <c r="H62" s="8">
        <f>_xlfn.IFNA(INDEX('HS Codes'!$D$2:$K2616,MATCH($B62,'HS Codes'!$A$2:$A2616,0),MATCH(H$1,'HS Codes'!$D$1:$K$1,0)),"")</f>
        <v>6302939000</v>
      </c>
      <c r="I62" s="8">
        <f>_xlfn.IFNA(INDEX('HS Codes'!$D$2:$K2616,MATCH($B62,'HS Codes'!$A$2:$A2616,0),MATCH(I$1,'HS Codes'!$D$1:$K$1,0)),"")</f>
        <v>6302939000</v>
      </c>
      <c r="J62" s="8">
        <f>_xlfn.IFNA(INDEX('HS Codes'!$D$2:$K2616,MATCH($B62,'HS Codes'!$A$2:$A2616,0),MATCH(J$1,'HS Codes'!$D$1:$K$1,0)),"")</f>
        <v>0</v>
      </c>
      <c r="K62" s="8" t="str">
        <f>_xlfn.IFNA(INDEX('HS Codes'!$D$2:$K2616,MATCH($B62,'HS Codes'!$A$2:$A2616,0),MATCH(K$1,'HS Codes'!$D$1:$K$1,0)),"")</f>
        <v>6302.29.00</v>
      </c>
      <c r="L62" s="8">
        <f>_xlfn.IFNA(INDEX('HS Codes'!$D$2:$K2616,MATCH($B62,'HS Codes'!$A$2:$A2616,0),MATCH(L$1,'HS Codes'!$D$1:$K$1,0)),"")</f>
        <v>0</v>
      </c>
      <c r="M62" s="8" t="str">
        <f>_xlfn.IFNA(INDEX('HS Codes'!$C$2:$C2616,MATCH($B62,'HS Codes'!$A$2:$A2616,0)),"")</f>
        <v>Fitness Towel - Toilet Linen 100% recycled polyester includes cotton on the packing pouch drawstring</v>
      </c>
      <c r="N62" s="9"/>
      <c r="O62" s="9"/>
      <c r="P62" s="9"/>
      <c r="Q62" s="9"/>
    </row>
    <row r="63" spans="1:17" ht="15.75" customHeight="1">
      <c r="A63" s="7" t="s">
        <v>345</v>
      </c>
      <c r="B63" s="7"/>
      <c r="C63" s="7"/>
      <c r="D63" s="7"/>
      <c r="E63" s="7"/>
      <c r="F63" s="8" t="str">
        <f>_xlfn.IFNA(INDEX('HS Codes'!$D$2:$K2617,MATCH($B63,'HS Codes'!$A$2:$A2617,0),MATCH(F$1,'HS Codes'!$D$1:$K$1,0)),"")</f>
        <v/>
      </c>
      <c r="G63" s="8" t="str">
        <f>_xlfn.IFNA(INDEX('HS Codes'!$D$2:$K2617,MATCH($B63,'HS Codes'!$A$2:$A2617,0),MATCH(G$1,'HS Codes'!$D$1:$K$1,0)),"")</f>
        <v/>
      </c>
      <c r="H63" s="8" t="str">
        <f>_xlfn.IFNA(INDEX('HS Codes'!$D$2:$K2617,MATCH($B63,'HS Codes'!$A$2:$A2617,0),MATCH(H$1,'HS Codes'!$D$1:$K$1,0)),"")</f>
        <v/>
      </c>
      <c r="I63" s="8" t="str">
        <f>_xlfn.IFNA(INDEX('HS Codes'!$D$2:$K2617,MATCH($B63,'HS Codes'!$A$2:$A2617,0),MATCH(I$1,'HS Codes'!$D$1:$K$1,0)),"")</f>
        <v/>
      </c>
      <c r="J63" s="8" t="str">
        <f>_xlfn.IFNA(INDEX('HS Codes'!$D$2:$K2617,MATCH($B63,'HS Codes'!$A$2:$A2617,0),MATCH(J$1,'HS Codes'!$D$1:$K$1,0)),"")</f>
        <v/>
      </c>
      <c r="K63" s="8" t="str">
        <f>_xlfn.IFNA(INDEX('HS Codes'!$D$2:$K2617,MATCH($B63,'HS Codes'!$A$2:$A2617,0),MATCH(K$1,'HS Codes'!$D$1:$K$1,0)),"")</f>
        <v/>
      </c>
      <c r="L63" s="8" t="str">
        <f>_xlfn.IFNA(INDEX('HS Codes'!$D$2:$K2617,MATCH($B63,'HS Codes'!$A$2:$A2617,0),MATCH(L$1,'HS Codes'!$D$1:$K$1,0)),"")</f>
        <v/>
      </c>
      <c r="M63" s="8" t="str">
        <f>_xlfn.IFNA(INDEX('HS Codes'!$C$2:$C2617,MATCH($B63,'HS Codes'!$A$2:$A2617,0)),"")</f>
        <v/>
      </c>
      <c r="N63" s="9"/>
      <c r="O63" s="9"/>
      <c r="P63" s="9"/>
      <c r="Q63" s="9"/>
    </row>
    <row r="64" spans="1:17" ht="15.75" customHeight="1">
      <c r="A64" s="7" t="s">
        <v>346</v>
      </c>
      <c r="B64" s="7"/>
      <c r="C64" s="7"/>
      <c r="D64" s="7"/>
      <c r="E64" s="7"/>
      <c r="F64" s="8" t="str">
        <f>_xlfn.IFNA(INDEX('HS Codes'!$D$2:$K2618,MATCH($B64,'HS Codes'!$A$2:$A2618,0),MATCH(F$1,'HS Codes'!$D$1:$K$1,0)),"")</f>
        <v/>
      </c>
      <c r="G64" s="8" t="str">
        <f>_xlfn.IFNA(INDEX('HS Codes'!$D$2:$K2618,MATCH($B64,'HS Codes'!$A$2:$A2618,0),MATCH(G$1,'HS Codes'!$D$1:$K$1,0)),"")</f>
        <v/>
      </c>
      <c r="H64" s="8" t="str">
        <f>_xlfn.IFNA(INDEX('HS Codes'!$D$2:$K2618,MATCH($B64,'HS Codes'!$A$2:$A2618,0),MATCH(H$1,'HS Codes'!$D$1:$K$1,0)),"")</f>
        <v/>
      </c>
      <c r="I64" s="8" t="str">
        <f>_xlfn.IFNA(INDEX('HS Codes'!$D$2:$K2618,MATCH($B64,'HS Codes'!$A$2:$A2618,0),MATCH(I$1,'HS Codes'!$D$1:$K$1,0)),"")</f>
        <v/>
      </c>
      <c r="J64" s="8" t="str">
        <f>_xlfn.IFNA(INDEX('HS Codes'!$D$2:$K2618,MATCH($B64,'HS Codes'!$A$2:$A2618,0),MATCH(J$1,'HS Codes'!$D$1:$K$1,0)),"")</f>
        <v/>
      </c>
      <c r="K64" s="8" t="str">
        <f>_xlfn.IFNA(INDEX('HS Codes'!$D$2:$K2618,MATCH($B64,'HS Codes'!$A$2:$A2618,0),MATCH(K$1,'HS Codes'!$D$1:$K$1,0)),"")</f>
        <v/>
      </c>
      <c r="L64" s="8" t="str">
        <f>_xlfn.IFNA(INDEX('HS Codes'!$D$2:$K2618,MATCH($B64,'HS Codes'!$A$2:$A2618,0),MATCH(L$1,'HS Codes'!$D$1:$K$1,0)),"")</f>
        <v/>
      </c>
      <c r="M64" s="8" t="str">
        <f>_xlfn.IFNA(INDEX('HS Codes'!$C$2:$C2618,MATCH($B64,'HS Codes'!$A$2:$A2618,0)),"")</f>
        <v/>
      </c>
      <c r="N64" s="9"/>
      <c r="O64" s="9"/>
      <c r="P64" s="9"/>
      <c r="Q64" s="9"/>
    </row>
    <row r="65" spans="1:17" ht="15.75" customHeight="1">
      <c r="A65" s="7" t="s">
        <v>347</v>
      </c>
      <c r="B65" s="7" t="s">
        <v>164</v>
      </c>
      <c r="C65" s="7" t="s">
        <v>278</v>
      </c>
      <c r="D65" s="7" t="s">
        <v>165</v>
      </c>
      <c r="E65" s="7" t="s">
        <v>348</v>
      </c>
      <c r="F65" s="8" t="str">
        <f>_xlfn.IFNA(INDEX('HS Codes'!$D$2:$K2619,MATCH($B65,'HS Codes'!$A$2:$A2619,0),MATCH(F$1,'HS Codes'!$D$1:$K$1,0)),"")</f>
        <v>6302.93.2000</v>
      </c>
      <c r="G65" s="8">
        <f>_xlfn.IFNA(INDEX('HS Codes'!$D$2:$K2619,MATCH($B65,'HS Codes'!$A$2:$A2619,0),MATCH(G$1,'HS Codes'!$D$1:$K$1,0)),"")</f>
        <v>6302600090</v>
      </c>
      <c r="H65" s="8" t="str">
        <f>_xlfn.IFNA(INDEX('HS Codes'!$D$2:$K2619,MATCH($B65,'HS Codes'!$A$2:$A2619,0),MATCH(H$1,'HS Codes'!$D$1:$K$1,0)),"")</f>
        <v>6302.93.00.00</v>
      </c>
      <c r="I65" s="8">
        <f>_xlfn.IFNA(INDEX('HS Codes'!$D$2:$K2619,MATCH($B65,'HS Codes'!$A$2:$A2619,0),MATCH(I$1,'HS Codes'!$D$1:$K$1,0)),"")</f>
        <v>63029390</v>
      </c>
      <c r="J65" s="8">
        <f>_xlfn.IFNA(INDEX('HS Codes'!$D$2:$K2619,MATCH($B65,'HS Codes'!$A$2:$A2619,0),MATCH(J$1,'HS Codes'!$D$1:$K$1,0)),"")</f>
        <v>0</v>
      </c>
      <c r="K65" s="8" t="str">
        <f>_xlfn.IFNA(INDEX('HS Codes'!$D$2:$K2619,MATCH($B65,'HS Codes'!$A$2:$A2619,0),MATCH(K$1,'HS Codes'!$D$1:$K$1,0)),"")</f>
        <v>6302.39.00</v>
      </c>
      <c r="L65" s="8">
        <f>_xlfn.IFNA(INDEX('HS Codes'!$D$2:$K2619,MATCH($B65,'HS Codes'!$A$2:$A2619,0),MATCH(L$1,'HS Codes'!$D$1:$K$1,0)),"")</f>
        <v>63029120</v>
      </c>
      <c r="M65" s="8" t="str">
        <f>_xlfn.IFNA(INDEX('HS Codes'!$C$2:$C2619,MATCH($B65,'HS Codes'!$A$2:$A2619,0)),"")</f>
        <v>Beach Towel - Toilet Linen 100% recycled 220 GSM/83% polyester/17% polyamide includes cotton on the packing pouch drawstring</v>
      </c>
      <c r="N65" s="9"/>
      <c r="O65" s="9"/>
      <c r="P65" s="9"/>
      <c r="Q65" s="9"/>
    </row>
    <row r="66" spans="1:17" ht="15.75" customHeight="1">
      <c r="A66" s="7" t="s">
        <v>349</v>
      </c>
      <c r="B66" s="7" t="s">
        <v>164</v>
      </c>
      <c r="C66" s="7" t="s">
        <v>278</v>
      </c>
      <c r="D66" s="7" t="s">
        <v>165</v>
      </c>
      <c r="E66" s="7" t="s">
        <v>348</v>
      </c>
      <c r="F66" s="8" t="str">
        <f>_xlfn.IFNA(INDEX('HS Codes'!$D$2:$K2620,MATCH($B66,'HS Codes'!$A$2:$A2620,0),MATCH(F$1,'HS Codes'!$D$1:$K$1,0)),"")</f>
        <v>6302.93.2000</v>
      </c>
      <c r="G66" s="8">
        <f>_xlfn.IFNA(INDEX('HS Codes'!$D$2:$K2620,MATCH($B66,'HS Codes'!$A$2:$A2620,0),MATCH(G$1,'HS Codes'!$D$1:$K$1,0)),"")</f>
        <v>6302600090</v>
      </c>
      <c r="H66" s="8" t="str">
        <f>_xlfn.IFNA(INDEX('HS Codes'!$D$2:$K2620,MATCH($B66,'HS Codes'!$A$2:$A2620,0),MATCH(H$1,'HS Codes'!$D$1:$K$1,0)),"")</f>
        <v>6302.93.00.00</v>
      </c>
      <c r="I66" s="8">
        <f>_xlfn.IFNA(INDEX('HS Codes'!$D$2:$K2620,MATCH($B66,'HS Codes'!$A$2:$A2620,0),MATCH(I$1,'HS Codes'!$D$1:$K$1,0)),"")</f>
        <v>63029390</v>
      </c>
      <c r="J66" s="8">
        <f>_xlfn.IFNA(INDEX('HS Codes'!$D$2:$K2620,MATCH($B66,'HS Codes'!$A$2:$A2620,0),MATCH(J$1,'HS Codes'!$D$1:$K$1,0)),"")</f>
        <v>0</v>
      </c>
      <c r="K66" s="8" t="str">
        <f>_xlfn.IFNA(INDEX('HS Codes'!$D$2:$K2620,MATCH($B66,'HS Codes'!$A$2:$A2620,0),MATCH(K$1,'HS Codes'!$D$1:$K$1,0)),"")</f>
        <v>6302.39.00</v>
      </c>
      <c r="L66" s="8">
        <f>_xlfn.IFNA(INDEX('HS Codes'!$D$2:$K2620,MATCH($B66,'HS Codes'!$A$2:$A2620,0),MATCH(L$1,'HS Codes'!$D$1:$K$1,0)),"")</f>
        <v>63029120</v>
      </c>
      <c r="M66" s="8" t="str">
        <f>_xlfn.IFNA(INDEX('HS Codes'!$C$2:$C2620,MATCH($B66,'HS Codes'!$A$2:$A2620,0)),"")</f>
        <v>Beach Towel - Toilet Linen 100% recycled 220 GSM/83% polyester/17% polyamide includes cotton on the packing pouch drawstring</v>
      </c>
      <c r="N66" s="9"/>
      <c r="O66" s="9"/>
      <c r="P66" s="9"/>
      <c r="Q66" s="9"/>
    </row>
    <row r="67" spans="1:17" ht="15.75" customHeight="1">
      <c r="A67" s="7" t="s">
        <v>350</v>
      </c>
      <c r="B67" s="7" t="s">
        <v>65</v>
      </c>
      <c r="C67" s="7"/>
      <c r="D67" s="7" t="s">
        <v>66</v>
      </c>
      <c r="E67" s="7" t="s">
        <v>284</v>
      </c>
      <c r="F67" s="8" t="str">
        <f>_xlfn.IFNA(INDEX('HS Codes'!$D$2:$K2621,MATCH($B67,'HS Codes'!$A$2:$A2621,0),MATCH(F$1,'HS Codes'!$D$1:$K$1,0)),"")</f>
        <v>4202.92.9100</v>
      </c>
      <c r="G67" s="8">
        <f>_xlfn.IFNA(INDEX('HS Codes'!$D$2:$K2621,MATCH($B67,'HS Codes'!$A$2:$A2621,0),MATCH(G$1,'HS Codes'!$D$1:$K$1,0)),"")</f>
        <v>4202220000</v>
      </c>
      <c r="H67" s="8">
        <f>_xlfn.IFNA(INDEX('HS Codes'!$D$2:$K2621,MATCH($B67,'HS Codes'!$A$2:$A2621,0),MATCH(H$1,'HS Codes'!$D$1:$K$1,0)),"")</f>
        <v>0</v>
      </c>
      <c r="I67" s="8">
        <f>_xlfn.IFNA(INDEX('HS Codes'!$D$2:$K2621,MATCH($B67,'HS Codes'!$A$2:$A2621,0),MATCH(I$1,'HS Codes'!$D$1:$K$1,0)),"")</f>
        <v>42022290</v>
      </c>
      <c r="J67" s="8">
        <f>_xlfn.IFNA(INDEX('HS Codes'!$D$2:$K2621,MATCH($B67,'HS Codes'!$A$2:$A2621,0),MATCH(J$1,'HS Codes'!$D$1:$K$1,0)),"")</f>
        <v>0</v>
      </c>
      <c r="K67" s="8" t="str">
        <f>_xlfn.IFNA(INDEX('HS Codes'!$D$2:$K2621,MATCH($B67,'HS Codes'!$A$2:$A2621,0),MATCH(K$1,'HS Codes'!$D$1:$K$1,0)),"")</f>
        <v>4202.22.00</v>
      </c>
      <c r="L67" s="8">
        <f>_xlfn.IFNA(INDEX('HS Codes'!$D$2:$K2621,MATCH($B67,'HS Codes'!$A$2:$A2621,0),MATCH(L$1,'HS Codes'!$D$1:$K$1,0)),"")</f>
        <v>42029100</v>
      </c>
      <c r="M67" s="8" t="str">
        <f>_xlfn.IFNA(INDEX('HS Codes'!$C$2:$C2621,MATCH($B67,'HS Codes'!$A$2:$A2621,0)),"")</f>
        <v>Beach Bag made from 100% polyester</v>
      </c>
      <c r="N67" s="9"/>
      <c r="O67" s="9"/>
      <c r="P67" s="9"/>
      <c r="Q67" s="9"/>
    </row>
    <row r="68" spans="1:17" ht="15.75" customHeight="1">
      <c r="A68" s="7" t="s">
        <v>351</v>
      </c>
      <c r="B68" s="7" t="s">
        <v>70</v>
      </c>
      <c r="C68" s="7"/>
      <c r="D68" s="7" t="s">
        <v>71</v>
      </c>
      <c r="E68" s="7" t="s">
        <v>288</v>
      </c>
      <c r="F68" s="8" t="str">
        <f>_xlfn.IFNA(INDEX('HS Codes'!$D$2:$K2622,MATCH($B68,'HS Codes'!$A$2:$A2622,0),MATCH(F$1,'HS Codes'!$D$1:$K$1,0)),"")</f>
        <v>4202.92.9100</v>
      </c>
      <c r="G68" s="8">
        <f>_xlfn.IFNA(INDEX('HS Codes'!$D$2:$K2622,MATCH($B68,'HS Codes'!$A$2:$A2622,0),MATCH(G$1,'HS Codes'!$D$1:$K$1,0)),"")</f>
        <v>4202220000</v>
      </c>
      <c r="H68" s="8">
        <f>_xlfn.IFNA(INDEX('HS Codes'!$D$2:$K2622,MATCH($B68,'HS Codes'!$A$2:$A2622,0),MATCH(H$1,'HS Codes'!$D$1:$K$1,0)),"")</f>
        <v>0</v>
      </c>
      <c r="I68" s="8">
        <f>_xlfn.IFNA(INDEX('HS Codes'!$D$2:$K2622,MATCH($B68,'HS Codes'!$A$2:$A2622,0),MATCH(I$1,'HS Codes'!$D$1:$K$1,0)),"")</f>
        <v>42022290</v>
      </c>
      <c r="J68" s="8">
        <f>_xlfn.IFNA(INDEX('HS Codes'!$D$2:$K2622,MATCH($B68,'HS Codes'!$A$2:$A2622,0),MATCH(J$1,'HS Codes'!$D$1:$K$1,0)),"")</f>
        <v>0</v>
      </c>
      <c r="K68" s="8" t="str">
        <f>_xlfn.IFNA(INDEX('HS Codes'!$D$2:$K2622,MATCH($B68,'HS Codes'!$A$2:$A2622,0),MATCH(K$1,'HS Codes'!$D$1:$K$1,0)),"")</f>
        <v>4202.22.00</v>
      </c>
      <c r="L68" s="8">
        <f>_xlfn.IFNA(INDEX('HS Codes'!$D$2:$K2622,MATCH($B68,'HS Codes'!$A$2:$A2622,0),MATCH(L$1,'HS Codes'!$D$1:$K$1,0)),"")</f>
        <v>0</v>
      </c>
      <c r="M68" s="8" t="str">
        <f>_xlfn.IFNA(INDEX('HS Codes'!$C$2:$C2622,MATCH($B68,'HS Codes'!$A$2:$A2622,0)),"")</f>
        <v>Insulated Food or Beverage Bag Outer: 80% polyester, 20% PEVA</v>
      </c>
      <c r="N68" s="9"/>
      <c r="O68" s="9"/>
      <c r="P68" s="9"/>
      <c r="Q68" s="9"/>
    </row>
    <row r="69" spans="1:17" ht="15.75" customHeight="1">
      <c r="A69" s="7" t="s">
        <v>352</v>
      </c>
      <c r="B69" s="7" t="s">
        <v>73</v>
      </c>
      <c r="C69" s="7"/>
      <c r="D69" s="7" t="s">
        <v>74</v>
      </c>
      <c r="E69" s="7" t="s">
        <v>292</v>
      </c>
      <c r="F69" s="8" t="str">
        <f>_xlfn.IFNA(INDEX('HS Codes'!$D$2:$K2623,MATCH($B69,'HS Codes'!$A$2:$A2623,0),MATCH(F$1,'HS Codes'!$D$1:$K$1,0)),"")</f>
        <v>4202.92.9100</v>
      </c>
      <c r="G69" s="8">
        <f>_xlfn.IFNA(INDEX('HS Codes'!$D$2:$K2623,MATCH($B69,'HS Codes'!$A$2:$A2623,0),MATCH(G$1,'HS Codes'!$D$1:$K$1,0)),"")</f>
        <v>4202220000</v>
      </c>
      <c r="H69" s="8">
        <f>_xlfn.IFNA(INDEX('HS Codes'!$D$2:$K2623,MATCH($B69,'HS Codes'!$A$2:$A2623,0),MATCH(H$1,'HS Codes'!$D$1:$K$1,0)),"")</f>
        <v>0</v>
      </c>
      <c r="I69" s="8">
        <f>_xlfn.IFNA(INDEX('HS Codes'!$D$2:$K2623,MATCH($B69,'HS Codes'!$A$2:$A2623,0),MATCH(I$1,'HS Codes'!$D$1:$K$1,0)),"")</f>
        <v>42022290</v>
      </c>
      <c r="J69" s="8">
        <f>_xlfn.IFNA(INDEX('HS Codes'!$D$2:$K2623,MATCH($B69,'HS Codes'!$A$2:$A2623,0),MATCH(J$1,'HS Codes'!$D$1:$K$1,0)),"")</f>
        <v>0</v>
      </c>
      <c r="K69" s="8" t="str">
        <f>_xlfn.IFNA(INDEX('HS Codes'!$D$2:$K2623,MATCH($B69,'HS Codes'!$A$2:$A2623,0),MATCH(K$1,'HS Codes'!$D$1:$K$1,0)),"")</f>
        <v>4202.22.00</v>
      </c>
      <c r="L69" s="8">
        <f>_xlfn.IFNA(INDEX('HS Codes'!$D$2:$K2623,MATCH($B69,'HS Codes'!$A$2:$A2623,0),MATCH(L$1,'HS Codes'!$D$1:$K$1,0)),"")</f>
        <v>0</v>
      </c>
      <c r="M69" s="8" t="str">
        <f>_xlfn.IFNA(INDEX('HS Codes'!$C$2:$C2623,MATCH($B69,'HS Codes'!$A$2:$A2623,0)),"")</f>
        <v>Medium Dry Bag 80% TPU, 20% polyester</v>
      </c>
      <c r="N69" s="9"/>
      <c r="O69" s="9"/>
      <c r="P69" s="9"/>
      <c r="Q69" s="9"/>
    </row>
    <row r="70" spans="1:17" ht="15.75" customHeight="1">
      <c r="A70" s="7" t="s">
        <v>353</v>
      </c>
      <c r="B70" s="7" t="s">
        <v>76</v>
      </c>
      <c r="C70" s="7"/>
      <c r="D70" s="7" t="s">
        <v>74</v>
      </c>
      <c r="E70" s="7" t="s">
        <v>292</v>
      </c>
      <c r="F70" s="8" t="str">
        <f>_xlfn.IFNA(INDEX('HS Codes'!$D$2:$K2624,MATCH($B70,'HS Codes'!$A$2:$A2624,0),MATCH(F$1,'HS Codes'!$D$1:$K$1,0)),"")</f>
        <v>4202.92.9100</v>
      </c>
      <c r="G70" s="8">
        <f>_xlfn.IFNA(INDEX('HS Codes'!$D$2:$K2624,MATCH($B70,'HS Codes'!$A$2:$A2624,0),MATCH(G$1,'HS Codes'!$D$1:$K$1,0)),"")</f>
        <v>4202220000</v>
      </c>
      <c r="H70" s="8">
        <f>_xlfn.IFNA(INDEX('HS Codes'!$D$2:$K2624,MATCH($B70,'HS Codes'!$A$2:$A2624,0),MATCH(H$1,'HS Codes'!$D$1:$K$1,0)),"")</f>
        <v>0</v>
      </c>
      <c r="I70" s="8">
        <f>_xlfn.IFNA(INDEX('HS Codes'!$D$2:$K2624,MATCH($B70,'HS Codes'!$A$2:$A2624,0),MATCH(I$1,'HS Codes'!$D$1:$K$1,0)),"")</f>
        <v>42022290</v>
      </c>
      <c r="J70" s="8">
        <f>_xlfn.IFNA(INDEX('HS Codes'!$D$2:$K2624,MATCH($B70,'HS Codes'!$A$2:$A2624,0),MATCH(J$1,'HS Codes'!$D$1:$K$1,0)),"")</f>
        <v>0</v>
      </c>
      <c r="K70" s="8" t="str">
        <f>_xlfn.IFNA(INDEX('HS Codes'!$D$2:$K2624,MATCH($B70,'HS Codes'!$A$2:$A2624,0),MATCH(K$1,'HS Codes'!$D$1:$K$1,0)),"")</f>
        <v>4202.22.00</v>
      </c>
      <c r="L70" s="8">
        <f>_xlfn.IFNA(INDEX('HS Codes'!$D$2:$K2624,MATCH($B70,'HS Codes'!$A$2:$A2624,0),MATCH(L$1,'HS Codes'!$D$1:$K$1,0)),"")</f>
        <v>0</v>
      </c>
      <c r="M70" s="8" t="str">
        <f>_xlfn.IFNA(INDEX('HS Codes'!$C$2:$C2624,MATCH($B70,'HS Codes'!$A$2:$A2624,0)),"")</f>
        <v>Small Dry Bag 80% polyester, 20% polyurethane (PU)</v>
      </c>
      <c r="N70" s="9"/>
      <c r="O70" s="9"/>
      <c r="P70" s="9"/>
      <c r="Q70" s="9"/>
    </row>
    <row r="71" spans="1:17" ht="15.75" customHeight="1">
      <c r="A71" s="7" t="s">
        <v>354</v>
      </c>
      <c r="B71" s="7" t="s">
        <v>77</v>
      </c>
      <c r="C71" s="7" t="s">
        <v>275</v>
      </c>
      <c r="D71" s="7" t="s">
        <v>78</v>
      </c>
      <c r="E71" s="7" t="s">
        <v>276</v>
      </c>
      <c r="F71" s="8" t="str">
        <f>_xlfn.IFNA(INDEX('HS Codes'!$D$2:$K2625,MATCH($B71,'HS Codes'!$A$2:$A2625,0),MATCH(F$1,'HS Codes'!$D$1:$K$1,0)),"")</f>
        <v>4202.92.91.00</v>
      </c>
      <c r="G71" s="8">
        <f>_xlfn.IFNA(INDEX('HS Codes'!$D$2:$K2625,MATCH($B71,'HS Codes'!$A$2:$A2625,0),MATCH(G$1,'HS Codes'!$D$1:$K$1,0)),"")</f>
        <v>4202921900</v>
      </c>
      <c r="H71" s="8" t="str">
        <f>_xlfn.IFNA(INDEX('HS Codes'!$D$2:$K2625,MATCH($B71,'HS Codes'!$A$2:$A2625,0),MATCH(H$1,'HS Codes'!$D$1:$K$1,0)),"")</f>
        <v>4202.92.90.00</v>
      </c>
      <c r="I71" s="8" t="str">
        <f>_xlfn.IFNA(INDEX('HS Codes'!$D$2:$K2625,MATCH($B71,'HS Codes'!$A$2:$A2625,0),MATCH(I$1,'HS Codes'!$D$1:$K$1,0)),"")</f>
        <v>4202 9298 90</v>
      </c>
      <c r="J71" s="8">
        <f>_xlfn.IFNA(INDEX('HS Codes'!$D$2:$K2625,MATCH($B71,'HS Codes'!$A$2:$A2625,0),MATCH(J$1,'HS Codes'!$D$1:$K$1,0)),"")</f>
        <v>0</v>
      </c>
      <c r="K71" s="8" t="str">
        <f>_xlfn.IFNA(INDEX('HS Codes'!$D$2:$K2625,MATCH($B71,'HS Codes'!$A$2:$A2625,0),MATCH(K$1,'HS Codes'!$D$1:$K$1,0)),"")</f>
        <v>4202.92.90</v>
      </c>
      <c r="L71" s="8">
        <f>_xlfn.IFNA(INDEX('HS Codes'!$D$2:$K2625,MATCH($B71,'HS Codes'!$A$2:$A2625,0),MATCH(L$1,'HS Codes'!$D$1:$K$1,0)),"")</f>
        <v>42029100</v>
      </c>
      <c r="M71" s="8" t="str">
        <f>_xlfn.IFNA(INDEX('HS Codes'!$C$2:$C2625,MATCH($B71,'HS Codes'!$A$2:$A2625,0)),"")</f>
        <v>Shopping Bag 100% recycled polyester</v>
      </c>
      <c r="N71" s="9"/>
      <c r="O71" s="9"/>
      <c r="P71" s="9"/>
      <c r="Q71" s="9"/>
    </row>
    <row r="72" spans="1:17" ht="15.75" customHeight="1">
      <c r="A72" s="7" t="s">
        <v>355</v>
      </c>
      <c r="B72" s="7" t="s">
        <v>84</v>
      </c>
      <c r="C72" s="7"/>
      <c r="D72" s="7" t="s">
        <v>85</v>
      </c>
      <c r="E72" s="7" t="s">
        <v>311</v>
      </c>
      <c r="F72" s="8">
        <f>_xlfn.IFNA(INDEX('HS Codes'!$D$2:$K2626,MATCH($B72,'HS Codes'!$A$2:$A2626,0),MATCH(F$1,'HS Codes'!$D$1:$K$1,0)),"")</f>
        <v>4202929100</v>
      </c>
      <c r="G72" s="8">
        <f>_xlfn.IFNA(INDEX('HS Codes'!$D$2:$K2626,MATCH($B72,'HS Codes'!$A$2:$A2626,0),MATCH(G$1,'HS Codes'!$D$1:$K$1,0)),"")</f>
        <v>4202220000</v>
      </c>
      <c r="H72" s="8">
        <f>_xlfn.IFNA(INDEX('HS Codes'!$D$2:$K2626,MATCH($B72,'HS Codes'!$A$2:$A2626,0),MATCH(H$1,'HS Codes'!$D$1:$K$1,0)),"")</f>
        <v>0</v>
      </c>
      <c r="I72" s="8">
        <f>_xlfn.IFNA(INDEX('HS Codes'!$D$2:$K2626,MATCH($B72,'HS Codes'!$A$2:$A2626,0),MATCH(I$1,'HS Codes'!$D$1:$K$1,0)),"")</f>
        <v>4202929100</v>
      </c>
      <c r="J72" s="8">
        <f>_xlfn.IFNA(INDEX('HS Codes'!$D$2:$K2626,MATCH($B72,'HS Codes'!$A$2:$A2626,0),MATCH(J$1,'HS Codes'!$D$1:$K$1,0)),"")</f>
        <v>0</v>
      </c>
      <c r="K72" s="8">
        <f>_xlfn.IFNA(INDEX('HS Codes'!$D$2:$K2626,MATCH($B72,'HS Codes'!$A$2:$A2626,0),MATCH(K$1,'HS Codes'!$D$1:$K$1,0)),"")</f>
        <v>0</v>
      </c>
      <c r="L72" s="8">
        <f>_xlfn.IFNA(INDEX('HS Codes'!$D$2:$K2626,MATCH($B72,'HS Codes'!$A$2:$A2626,0),MATCH(L$1,'HS Codes'!$D$1:$K$1,0)),"")</f>
        <v>0</v>
      </c>
      <c r="M72" s="8" t="str">
        <f>_xlfn.IFNA(INDEX('HS Codes'!$C$2:$C2626,MATCH($B72,'HS Codes'!$A$2:$A2626,0)),"")</f>
        <v>Toiletry Bag made of 100% polyester</v>
      </c>
      <c r="N72" s="9"/>
      <c r="O72" s="9"/>
      <c r="P72" s="9"/>
      <c r="Q72" s="9"/>
    </row>
    <row r="73" spans="1:17" ht="15.75" customHeight="1">
      <c r="A73" s="7" t="s">
        <v>356</v>
      </c>
      <c r="B73" s="7" t="s">
        <v>98</v>
      </c>
      <c r="C73" s="7"/>
      <c r="D73" s="7" t="s">
        <v>99</v>
      </c>
      <c r="E73" s="7" t="s">
        <v>341</v>
      </c>
      <c r="F73" s="8" t="str">
        <f>_xlfn.IFNA(INDEX('HS Codes'!$D$2:$K2627,MATCH($B73,'HS Codes'!$A$2:$A2627,0),MATCH(F$1,'HS Codes'!$D$1:$K$1,0)),"")</f>
        <v>6302.93.2000</v>
      </c>
      <c r="G73" s="8">
        <f>_xlfn.IFNA(INDEX('HS Codes'!$D$2:$K2627,MATCH($B73,'HS Codes'!$A$2:$A2627,0),MATCH(G$1,'HS Codes'!$D$1:$K$1,0)),"")</f>
        <v>6302939000</v>
      </c>
      <c r="H73" s="8">
        <f>_xlfn.IFNA(INDEX('HS Codes'!$D$2:$K2627,MATCH($B73,'HS Codes'!$A$2:$A2627,0),MATCH(H$1,'HS Codes'!$D$1:$K$1,0)),"")</f>
        <v>6302939000</v>
      </c>
      <c r="I73" s="8">
        <f>_xlfn.IFNA(INDEX('HS Codes'!$D$2:$K2627,MATCH($B73,'HS Codes'!$A$2:$A2627,0),MATCH(I$1,'HS Codes'!$D$1:$K$1,0)),"")</f>
        <v>6302939000</v>
      </c>
      <c r="J73" s="8">
        <f>_xlfn.IFNA(INDEX('HS Codes'!$D$2:$K2627,MATCH($B73,'HS Codes'!$A$2:$A2627,0),MATCH(J$1,'HS Codes'!$D$1:$K$1,0)),"")</f>
        <v>0</v>
      </c>
      <c r="K73" s="8" t="str">
        <f>_xlfn.IFNA(INDEX('HS Codes'!$D$2:$K2627,MATCH($B73,'HS Codes'!$A$2:$A2627,0),MATCH(K$1,'HS Codes'!$D$1:$K$1,0)),"")</f>
        <v>6302.29.00</v>
      </c>
      <c r="L73" s="8">
        <f>_xlfn.IFNA(INDEX('HS Codes'!$D$2:$K2627,MATCH($B73,'HS Codes'!$A$2:$A2627,0),MATCH(L$1,'HS Codes'!$D$1:$K$1,0)),"")</f>
        <v>0</v>
      </c>
      <c r="M73" s="8" t="str">
        <f>_xlfn.IFNA(INDEX('HS Codes'!$C$2:$C2627,MATCH($B73,'HS Codes'!$A$2:$A2627,0)),"")</f>
        <v>Fitness Towel - Toilet Linen 100% recycled polyester includes cotton on the packing pouch drawstring</v>
      </c>
      <c r="N73" s="9"/>
      <c r="O73" s="9"/>
      <c r="P73" s="9"/>
      <c r="Q73" s="9"/>
    </row>
    <row r="74" spans="1:17" ht="15.75" customHeight="1">
      <c r="A74" s="7" t="s">
        <v>357</v>
      </c>
      <c r="B74" s="7" t="s">
        <v>103</v>
      </c>
      <c r="C74" s="7" t="s">
        <v>278</v>
      </c>
      <c r="D74" s="7" t="s">
        <v>104</v>
      </c>
      <c r="E74" s="7" t="s">
        <v>279</v>
      </c>
      <c r="F74" s="8" t="str">
        <f>_xlfn.IFNA(INDEX('HS Codes'!$D$2:$K2628,MATCH($B74,'HS Codes'!$A$2:$A2628,0),MATCH(F$1,'HS Codes'!$D$1:$K$1,0)),"")</f>
        <v>6302.93.2000</v>
      </c>
      <c r="G74" s="8">
        <f>_xlfn.IFNA(INDEX('HS Codes'!$D$2:$K2628,MATCH($B74,'HS Codes'!$A$2:$A2628,0),MATCH(G$1,'HS Codes'!$D$1:$K$1,0)),"")</f>
        <v>6302600090</v>
      </c>
      <c r="H74" s="8" t="str">
        <f>_xlfn.IFNA(INDEX('HS Codes'!$D$2:$K2628,MATCH($B74,'HS Codes'!$A$2:$A2628,0),MATCH(H$1,'HS Codes'!$D$1:$K$1,0)),"")</f>
        <v>6302.93.00.00</v>
      </c>
      <c r="I74" s="8">
        <f>_xlfn.IFNA(INDEX('HS Codes'!$D$2:$K2628,MATCH($B74,'HS Codes'!$A$2:$A2628,0),MATCH(I$1,'HS Codes'!$D$1:$K$1,0)),"")</f>
        <v>6302939000</v>
      </c>
      <c r="J74" s="8">
        <f>_xlfn.IFNA(INDEX('HS Codes'!$D$2:$K2628,MATCH($B74,'HS Codes'!$A$2:$A2628,0),MATCH(J$1,'HS Codes'!$D$1:$K$1,0)),"")</f>
        <v>0</v>
      </c>
      <c r="K74" s="8" t="str">
        <f>_xlfn.IFNA(INDEX('HS Codes'!$D$2:$K2628,MATCH($B74,'HS Codes'!$A$2:$A2628,0),MATCH(K$1,'HS Codes'!$D$1:$K$1,0)),"")</f>
        <v>6302.39.00</v>
      </c>
      <c r="L74" s="8">
        <f>_xlfn.IFNA(INDEX('HS Codes'!$D$2:$K2628,MATCH($B74,'HS Codes'!$A$2:$A2628,0),MATCH(L$1,'HS Codes'!$D$1:$K$1,0)),"")</f>
        <v>6507</v>
      </c>
      <c r="M74" s="8" t="str">
        <f>_xlfn.IFNA(INDEX('HS Codes'!$C$2:$C2628,MATCH($B74,'HS Codes'!$A$2:$A2628,0)),"")</f>
        <v>Pet Towel - Toilet Linen 100% recycled 220 GSM/83% polyester/17% polyamide includes cotton on the packing pouch drawstring</v>
      </c>
      <c r="N74" s="9"/>
      <c r="O74" s="9"/>
      <c r="P74" s="9"/>
      <c r="Q74" s="9"/>
    </row>
    <row r="75" spans="1:17" ht="15.75" customHeight="1">
      <c r="A75" s="7" t="s">
        <v>358</v>
      </c>
      <c r="B75" s="7" t="s">
        <v>103</v>
      </c>
      <c r="C75" s="7" t="s">
        <v>278</v>
      </c>
      <c r="D75" s="7" t="s">
        <v>104</v>
      </c>
      <c r="E75" s="7" t="s">
        <v>279</v>
      </c>
      <c r="F75" s="8" t="str">
        <f>_xlfn.IFNA(INDEX('HS Codes'!$D$2:$K2629,MATCH($B75,'HS Codes'!$A$2:$A2629,0),MATCH(F$1,'HS Codes'!$D$1:$K$1,0)),"")</f>
        <v>6302.93.2000</v>
      </c>
      <c r="G75" s="8">
        <f>_xlfn.IFNA(INDEX('HS Codes'!$D$2:$K2629,MATCH($B75,'HS Codes'!$A$2:$A2629,0),MATCH(G$1,'HS Codes'!$D$1:$K$1,0)),"")</f>
        <v>6302600090</v>
      </c>
      <c r="H75" s="8" t="str">
        <f>_xlfn.IFNA(INDEX('HS Codes'!$D$2:$K2629,MATCH($B75,'HS Codes'!$A$2:$A2629,0),MATCH(H$1,'HS Codes'!$D$1:$K$1,0)),"")</f>
        <v>6302.93.00.00</v>
      </c>
      <c r="I75" s="8">
        <f>_xlfn.IFNA(INDEX('HS Codes'!$D$2:$K2629,MATCH($B75,'HS Codes'!$A$2:$A2629,0),MATCH(I$1,'HS Codes'!$D$1:$K$1,0)),"")</f>
        <v>6302939000</v>
      </c>
      <c r="J75" s="8">
        <f>_xlfn.IFNA(INDEX('HS Codes'!$D$2:$K2629,MATCH($B75,'HS Codes'!$A$2:$A2629,0),MATCH(J$1,'HS Codes'!$D$1:$K$1,0)),"")</f>
        <v>0</v>
      </c>
      <c r="K75" s="8" t="str">
        <f>_xlfn.IFNA(INDEX('HS Codes'!$D$2:$K2629,MATCH($B75,'HS Codes'!$A$2:$A2629,0),MATCH(K$1,'HS Codes'!$D$1:$K$1,0)),"")</f>
        <v>6302.39.00</v>
      </c>
      <c r="L75" s="8">
        <f>_xlfn.IFNA(INDEX('HS Codes'!$D$2:$K2629,MATCH($B75,'HS Codes'!$A$2:$A2629,0),MATCH(L$1,'HS Codes'!$D$1:$K$1,0)),"")</f>
        <v>6507</v>
      </c>
      <c r="M75" s="8" t="str">
        <f>_xlfn.IFNA(INDEX('HS Codes'!$C$2:$C2629,MATCH($B75,'HS Codes'!$A$2:$A2629,0)),"")</f>
        <v>Pet Towel - Toilet Linen 100% recycled 220 GSM/83% polyester/17% polyamide includes cotton on the packing pouch drawstring</v>
      </c>
      <c r="N75" s="9"/>
      <c r="O75" s="9"/>
      <c r="P75" s="9"/>
      <c r="Q75" s="9"/>
    </row>
    <row r="76" spans="1:17" ht="15.75" customHeight="1">
      <c r="A76" s="7" t="s">
        <v>359</v>
      </c>
      <c r="B76" s="7" t="s">
        <v>126</v>
      </c>
      <c r="C76" s="7" t="s">
        <v>278</v>
      </c>
      <c r="D76" s="7" t="s">
        <v>127</v>
      </c>
      <c r="E76" s="7" t="s">
        <v>360</v>
      </c>
      <c r="F76" s="8" t="str">
        <f>_xlfn.IFNA(INDEX('HS Codes'!$D$2:$K2630,MATCH($B76,'HS Codes'!$A$2:$A2630,0),MATCH(F$1,'HS Codes'!$D$1:$K$1,0)),"")</f>
        <v>6504.00.90.15</v>
      </c>
      <c r="G76" s="8">
        <f>_xlfn.IFNA(INDEX('HS Codes'!$D$2:$K2630,MATCH($B76,'HS Codes'!$A$2:$A2630,0),MATCH(G$1,'HS Codes'!$D$1:$K$1,0)),"")</f>
        <v>6505009090</v>
      </c>
      <c r="H76" s="8" t="str">
        <f>_xlfn.IFNA(INDEX('HS Codes'!$D$2:$K2630,MATCH($B76,'HS Codes'!$A$2:$A2630,0),MATCH(H$1,'HS Codes'!$D$1:$K$1,0)),"")</f>
        <v>6505.00.40.00</v>
      </c>
      <c r="I76" s="8" t="str">
        <f>_xlfn.IFNA(INDEX('HS Codes'!$D$2:$K2630,MATCH($B76,'HS Codes'!$A$2:$A2630,0),MATCH(I$1,'HS Codes'!$D$1:$K$1,0)),"")</f>
        <v>6505.00.90.90</v>
      </c>
      <c r="J76" s="8">
        <f>_xlfn.IFNA(INDEX('HS Codes'!$D$2:$K2630,MATCH($B76,'HS Codes'!$A$2:$A2630,0),MATCH(J$1,'HS Codes'!$D$1:$K$1,0)),"")</f>
        <v>0</v>
      </c>
      <c r="K76" s="8" t="str">
        <f>_xlfn.IFNA(INDEX('HS Codes'!$D$2:$K2630,MATCH($B76,'HS Codes'!$A$2:$A2630,0),MATCH(K$1,'HS Codes'!$D$1:$K$1,0)),"")</f>
        <v>6505.00.90</v>
      </c>
      <c r="L76" s="8">
        <f>_xlfn.IFNA(INDEX('HS Codes'!$D$2:$K2630,MATCH($B76,'HS Codes'!$A$2:$A2630,0),MATCH(L$1,'HS Codes'!$D$1:$K$1,0)),"")</f>
        <v>6507</v>
      </c>
      <c r="M76" s="8" t="str">
        <f>_xlfn.IFNA(INDEX('HS Codes'!$C$2:$C2630,MATCH($B76,'HS Codes'!$A$2:$A2630,0)),"")</f>
        <v>Head Towel 100% recycled 340 GSM/83% polyester/17% polyamide (no cotton)</v>
      </c>
      <c r="N76" s="9"/>
      <c r="O76" s="9"/>
      <c r="P76" s="9"/>
      <c r="Q76" s="9"/>
    </row>
    <row r="77" spans="1:17" ht="15.75" customHeight="1">
      <c r="A77" s="7" t="s">
        <v>361</v>
      </c>
      <c r="B77" s="7" t="s">
        <v>129</v>
      </c>
      <c r="C77" s="7" t="s">
        <v>278</v>
      </c>
      <c r="D77" s="7" t="s">
        <v>130</v>
      </c>
      <c r="E77" s="7" t="s">
        <v>360</v>
      </c>
      <c r="F77" s="8" t="str">
        <f>_xlfn.IFNA(INDEX('HS Codes'!$D$2:$K2631,MATCH($B77,'HS Codes'!$A$2:$A2631,0),MATCH(F$1,'HS Codes'!$D$1:$K$1,0)),"")</f>
        <v>6504.00.90.15</v>
      </c>
      <c r="G77" s="8">
        <f>_xlfn.IFNA(INDEX('HS Codes'!$D$2:$K2631,MATCH($B77,'HS Codes'!$A$2:$A2631,0),MATCH(G$1,'HS Codes'!$D$1:$K$1,0)),"")</f>
        <v>6505009090</v>
      </c>
      <c r="H77" s="8" t="str">
        <f>_xlfn.IFNA(INDEX('HS Codes'!$D$2:$K2631,MATCH($B77,'HS Codes'!$A$2:$A2631,0),MATCH(H$1,'HS Codes'!$D$1:$K$1,0)),"")</f>
        <v>6505.00.40.00</v>
      </c>
      <c r="I77" s="8" t="str">
        <f>_xlfn.IFNA(INDEX('HS Codes'!$D$2:$K2631,MATCH($B77,'HS Codes'!$A$2:$A2631,0),MATCH(I$1,'HS Codes'!$D$1:$K$1,0)),"")</f>
        <v>6505.00.90.90</v>
      </c>
      <c r="J77" s="8">
        <f>_xlfn.IFNA(INDEX('HS Codes'!$D$2:$K2631,MATCH($B77,'HS Codes'!$A$2:$A2631,0),MATCH(J$1,'HS Codes'!$D$1:$K$1,0)),"")</f>
        <v>0</v>
      </c>
      <c r="K77" s="8" t="str">
        <f>_xlfn.IFNA(INDEX('HS Codes'!$D$2:$K2631,MATCH($B77,'HS Codes'!$A$2:$A2631,0),MATCH(K$1,'HS Codes'!$D$1:$K$1,0)),"")</f>
        <v>6505.00.90</v>
      </c>
      <c r="L77" s="8">
        <f>_xlfn.IFNA(INDEX('HS Codes'!$D$2:$K2631,MATCH($B77,'HS Codes'!$A$2:$A2631,0),MATCH(L$1,'HS Codes'!$D$1:$K$1,0)),"")</f>
        <v>0</v>
      </c>
      <c r="M77" s="8" t="str">
        <f>_xlfn.IFNA(INDEX('HS Codes'!$C$2:$C2631,MATCH($B77,'HS Codes'!$A$2:$A2631,0)),"")</f>
        <v>Head Towel 100% recycled 200 GSM/83% polyester/17% polyamide (no cotton)</v>
      </c>
      <c r="N77" s="9"/>
      <c r="O77" s="9"/>
      <c r="P77" s="9"/>
      <c r="Q77" s="9"/>
    </row>
    <row r="78" spans="1:17" ht="15.75" customHeight="1">
      <c r="A78" s="7" t="s">
        <v>362</v>
      </c>
      <c r="B78" s="7" t="s">
        <v>264</v>
      </c>
      <c r="C78" s="7"/>
      <c r="D78" s="7" t="s">
        <v>265</v>
      </c>
      <c r="E78" s="7" t="s">
        <v>360</v>
      </c>
      <c r="F78" s="8" t="str">
        <f>_xlfn.IFNA(INDEX('HS Codes'!$D$2:$K2632,MATCH($B78,'HS Codes'!$A$2:$A2632,0),MATCH(F$1,'HS Codes'!$D$1:$K$1,0)),"")</f>
        <v>6504.00.90.15</v>
      </c>
      <c r="G78" s="8">
        <f>_xlfn.IFNA(INDEX('HS Codes'!$D$2:$K2632,MATCH($B78,'HS Codes'!$A$2:$A2632,0),MATCH(G$1,'HS Codes'!$D$1:$K$1,0)),"")</f>
        <v>6505009090</v>
      </c>
      <c r="H78" s="8" t="str">
        <f>_xlfn.IFNA(INDEX('HS Codes'!$D$2:$K2632,MATCH($B78,'HS Codes'!$A$2:$A2632,0),MATCH(H$1,'HS Codes'!$D$1:$K$1,0)),"")</f>
        <v>6505.00.40.00</v>
      </c>
      <c r="I78" s="8">
        <f>_xlfn.IFNA(INDEX('HS Codes'!$D$2:$K2632,MATCH($B78,'HS Codes'!$A$2:$A2632,0),MATCH(I$1,'HS Codes'!$D$1:$K$1,0)),"")</f>
        <v>6217100090</v>
      </c>
      <c r="J78" s="8">
        <f>_xlfn.IFNA(INDEX('HS Codes'!$D$2:$K2632,MATCH($B78,'HS Codes'!$A$2:$A2632,0),MATCH(J$1,'HS Codes'!$D$1:$K$1,0)),"")</f>
        <v>0</v>
      </c>
      <c r="K78" s="8" t="str">
        <f>_xlfn.IFNA(INDEX('HS Codes'!$D$2:$K2632,MATCH($B78,'HS Codes'!$A$2:$A2632,0),MATCH(K$1,'HS Codes'!$D$1:$K$1,0)),"")</f>
        <v>6505.00.90</v>
      </c>
      <c r="L78" s="8">
        <f>_xlfn.IFNA(INDEX('HS Codes'!$D$2:$K2632,MATCH($B78,'HS Codes'!$A$2:$A2632,0),MATCH(L$1,'HS Codes'!$D$1:$K$1,0)),"")</f>
        <v>6507</v>
      </c>
      <c r="M78" s="8">
        <f>_xlfn.IFNA(INDEX('HS Codes'!$C$2:$C2632,MATCH($B78,'HS Codes'!$A$2:$A2632,0)),"")</f>
        <v>0</v>
      </c>
      <c r="N78" s="9"/>
      <c r="O78" s="9"/>
      <c r="P78" s="9"/>
      <c r="Q78" s="9"/>
    </row>
    <row r="79" spans="1:17" ht="15.75" customHeight="1">
      <c r="A79" s="7" t="s">
        <v>363</v>
      </c>
      <c r="B79" s="7" t="s">
        <v>132</v>
      </c>
      <c r="C79" s="7"/>
      <c r="D79" s="7" t="s">
        <v>133</v>
      </c>
      <c r="E79" s="7" t="s">
        <v>364</v>
      </c>
      <c r="F79" s="8" t="str">
        <f>_xlfn.IFNA(INDEX('HS Codes'!$D$2:$K2633,MATCH($B79,'HS Codes'!$A$2:$A2633,0),MATCH(F$1,'HS Codes'!$D$1:$K$1,0)),"")</f>
        <v>9616.20.00.00</v>
      </c>
      <c r="G79" s="8">
        <f>_xlfn.IFNA(INDEX('HS Codes'!$D$2:$K2633,MATCH($B79,'HS Codes'!$A$2:$A2633,0),MATCH(G$1,'HS Codes'!$D$1:$K$1,0)),"")</f>
        <v>9616200000</v>
      </c>
      <c r="H79" s="8" t="str">
        <f>_xlfn.IFNA(INDEX('HS Codes'!$D$2:$K2633,MATCH($B79,'HS Codes'!$A$2:$A2633,0),MATCH(H$1,'HS Codes'!$D$1:$K$1,0)),"")</f>
        <v>9616.20.00.00</v>
      </c>
      <c r="I79" s="8">
        <f>_xlfn.IFNA(INDEX('HS Codes'!$D$2:$K2633,MATCH($B79,'HS Codes'!$A$2:$A2633,0),MATCH(I$1,'HS Codes'!$D$1:$K$1,0)),"")</f>
        <v>9616200000</v>
      </c>
      <c r="J79" s="8">
        <f>_xlfn.IFNA(INDEX('HS Codes'!$D$2:$K2633,MATCH($B79,'HS Codes'!$A$2:$A2633,0),MATCH(J$1,'HS Codes'!$D$1:$K$1,0)),"")</f>
        <v>0</v>
      </c>
      <c r="K79" s="8" t="str">
        <f>_xlfn.IFNA(INDEX('HS Codes'!$D$2:$K2633,MATCH($B79,'HS Codes'!$A$2:$A2633,0),MATCH(K$1,'HS Codes'!$D$1:$K$1,0)),"")</f>
        <v>9616.20.00</v>
      </c>
      <c r="L79" s="8">
        <f>_xlfn.IFNA(INDEX('HS Codes'!$D$2:$K2633,MATCH($B79,'HS Codes'!$A$2:$A2633,0),MATCH(L$1,'HS Codes'!$D$1:$K$1,0)),"")</f>
        <v>0</v>
      </c>
      <c r="M79" s="8" t="str">
        <f>_xlfn.IFNA(INDEX('HS Codes'!$C$2:$C2633,MATCH($B79,'HS Codes'!$A$2:$A2633,0)),"")</f>
        <v>Makeup Wipe 100% recycled polyester (no cotton)</v>
      </c>
      <c r="N79" s="9"/>
      <c r="O79" s="9"/>
      <c r="P79" s="9"/>
      <c r="Q79" s="9"/>
    </row>
    <row r="80" spans="1:17" ht="15.75" customHeight="1">
      <c r="A80" s="7" t="s">
        <v>365</v>
      </c>
      <c r="B80" s="7" t="s">
        <v>137</v>
      </c>
      <c r="C80" s="7" t="s">
        <v>281</v>
      </c>
      <c r="D80" s="7" t="s">
        <v>138</v>
      </c>
      <c r="E80" s="7" t="s">
        <v>138</v>
      </c>
      <c r="F80" s="8" t="str">
        <f>_xlfn.IFNA(INDEX('HS Codes'!$D$2:$K2634,MATCH($B80,'HS Codes'!$A$2:$A2634,0),MATCH(F$1,'HS Codes'!$D$1:$K$1,0)),"")</f>
        <v>6301.40.0020</v>
      </c>
      <c r="G80" s="8">
        <f>_xlfn.IFNA(INDEX('HS Codes'!$D$2:$K2634,MATCH($B80,'HS Codes'!$A$2:$A2634,0),MATCH(G$1,'HS Codes'!$D$1:$K$1,0)),"")</f>
        <v>6301409099</v>
      </c>
      <c r="H80" s="8" t="str">
        <f>_xlfn.IFNA(INDEX('HS Codes'!$D$2:$K2634,MATCH($B80,'HS Codes'!$A$2:$A2634,0),MATCH(H$1,'HS Codes'!$D$1:$K$1,0)),"")</f>
        <v>6301.40.0020</v>
      </c>
      <c r="I80" s="8">
        <f>_xlfn.IFNA(INDEX('HS Codes'!$D$2:$K2634,MATCH($B80,'HS Codes'!$A$2:$A2634,0),MATCH(I$1,'HS Codes'!$D$1:$K$1,0)),"")</f>
        <v>6301409099</v>
      </c>
      <c r="J80" s="8">
        <f>_xlfn.IFNA(INDEX('HS Codes'!$D$2:$K2634,MATCH($B80,'HS Codes'!$A$2:$A2634,0),MATCH(J$1,'HS Codes'!$D$1:$K$1,0)),"")</f>
        <v>0</v>
      </c>
      <c r="K80" s="8" t="str">
        <f>_xlfn.IFNA(INDEX('HS Codes'!$D$2:$K2634,MATCH($B80,'HS Codes'!$A$2:$A2634,0),MATCH(K$1,'HS Codes'!$D$1:$K$1,0)),"")</f>
        <v>6301.40.00</v>
      </c>
      <c r="L80" s="8">
        <f>_xlfn.IFNA(INDEX('HS Codes'!$D$2:$K2634,MATCH($B80,'HS Codes'!$A$2:$A2634,0),MATCH(L$1,'HS Codes'!$D$1:$K$1,0)),"")</f>
        <v>6301</v>
      </c>
      <c r="M80" s="8" t="str">
        <f>_xlfn.IFNA(INDEX('HS Codes'!$C$2:$C2634,MATCH($B80,'HS Codes'!$A$2:$A2634,0)),"")</f>
        <v>Travelling Rug 100% recycled. BOTTOM: 100% polyester. TOP: 220 GSM/83% polyester/17% polyamide includes cotton on the packing pouch drawstring</v>
      </c>
      <c r="N80" s="9"/>
      <c r="O80" s="9"/>
      <c r="P80" s="9"/>
      <c r="Q80" s="9"/>
    </row>
    <row r="81" spans="1:17" ht="15.75" customHeight="1">
      <c r="A81" s="7" t="s">
        <v>366</v>
      </c>
      <c r="B81" s="7" t="s">
        <v>137</v>
      </c>
      <c r="C81" s="7" t="s">
        <v>281</v>
      </c>
      <c r="D81" s="7" t="s">
        <v>138</v>
      </c>
      <c r="E81" s="7" t="s">
        <v>138</v>
      </c>
      <c r="F81" s="8" t="str">
        <f>_xlfn.IFNA(INDEX('HS Codes'!$D$2:$K2635,MATCH($B81,'HS Codes'!$A$2:$A2635,0),MATCH(F$1,'HS Codes'!$D$1:$K$1,0)),"")</f>
        <v>6301.40.0020</v>
      </c>
      <c r="G81" s="8">
        <f>_xlfn.IFNA(INDEX('HS Codes'!$D$2:$K2635,MATCH($B81,'HS Codes'!$A$2:$A2635,0),MATCH(G$1,'HS Codes'!$D$1:$K$1,0)),"")</f>
        <v>6301409099</v>
      </c>
      <c r="H81" s="8" t="str">
        <f>_xlfn.IFNA(INDEX('HS Codes'!$D$2:$K2635,MATCH($B81,'HS Codes'!$A$2:$A2635,0),MATCH(H$1,'HS Codes'!$D$1:$K$1,0)),"")</f>
        <v>6301.40.0020</v>
      </c>
      <c r="I81" s="8">
        <f>_xlfn.IFNA(INDEX('HS Codes'!$D$2:$K2635,MATCH($B81,'HS Codes'!$A$2:$A2635,0),MATCH(I$1,'HS Codes'!$D$1:$K$1,0)),"")</f>
        <v>6301409099</v>
      </c>
      <c r="J81" s="8">
        <f>_xlfn.IFNA(INDEX('HS Codes'!$D$2:$K2635,MATCH($B81,'HS Codes'!$A$2:$A2635,0),MATCH(J$1,'HS Codes'!$D$1:$K$1,0)),"")</f>
        <v>0</v>
      </c>
      <c r="K81" s="8" t="str">
        <f>_xlfn.IFNA(INDEX('HS Codes'!$D$2:$K2635,MATCH($B81,'HS Codes'!$A$2:$A2635,0),MATCH(K$1,'HS Codes'!$D$1:$K$1,0)),"")</f>
        <v>6301.40.00</v>
      </c>
      <c r="L81" s="8">
        <f>_xlfn.IFNA(INDEX('HS Codes'!$D$2:$K2635,MATCH($B81,'HS Codes'!$A$2:$A2635,0),MATCH(L$1,'HS Codes'!$D$1:$K$1,0)),"")</f>
        <v>6301</v>
      </c>
      <c r="M81" s="8" t="str">
        <f>_xlfn.IFNA(INDEX('HS Codes'!$C$2:$C2635,MATCH($B81,'HS Codes'!$A$2:$A2635,0)),"")</f>
        <v>Travelling Rug 100% recycled. BOTTOM: 100% polyester. TOP: 220 GSM/83% polyester/17% polyamide includes cotton on the packing pouch drawstring</v>
      </c>
      <c r="N81" s="9"/>
      <c r="O81" s="9"/>
      <c r="P81" s="9"/>
      <c r="Q81" s="9"/>
    </row>
    <row r="82" spans="1:17" ht="15.75" customHeight="1">
      <c r="A82" s="7" t="s">
        <v>367</v>
      </c>
      <c r="B82" s="7" t="s">
        <v>142</v>
      </c>
      <c r="C82" s="7" t="s">
        <v>278</v>
      </c>
      <c r="D82" s="7" t="s">
        <v>143</v>
      </c>
      <c r="E82" s="7" t="s">
        <v>143</v>
      </c>
      <c r="F82" s="8" t="str">
        <f>_xlfn.IFNA(INDEX('HS Codes'!$D$2:$K2636,MATCH($B82,'HS Codes'!$A$2:$A2636,0),MATCH(F$1,'HS Codes'!$D$1:$K$1,0)),"")</f>
        <v>6101.90.90.30</v>
      </c>
      <c r="G82" s="8">
        <f>_xlfn.IFNA(INDEX('HS Codes'!$D$2:$K2636,MATCH($B82,'HS Codes'!$A$2:$A2636,0),MATCH(G$1,'HS Codes'!$D$1:$K$1,0)),"")</f>
        <v>6101309000</v>
      </c>
      <c r="H82" s="8">
        <f>_xlfn.IFNA(INDEX('HS Codes'!$D$2:$K2636,MATCH($B82,'HS Codes'!$A$2:$A2636,0),MATCH(H$1,'HS Codes'!$D$1:$K$1,0)),"")</f>
        <v>6112399000</v>
      </c>
      <c r="I82" s="8" t="str">
        <f>_xlfn.IFNA(INDEX('HS Codes'!$D$2:$K2636,MATCH($B82,'HS Codes'!$A$2:$A2636,0),MATCH(I$1,'HS Codes'!$D$1:$K$1,0)),"")</f>
        <v>6211 4390 00</v>
      </c>
      <c r="J82" s="8">
        <f>_xlfn.IFNA(INDEX('HS Codes'!$D$2:$K2636,MATCH($B82,'HS Codes'!$A$2:$A2636,0),MATCH(J$1,'HS Codes'!$D$1:$K$1,0)),"")</f>
        <v>6117109000</v>
      </c>
      <c r="K82" s="8" t="str">
        <f>_xlfn.IFNA(INDEX('HS Codes'!$D$2:$K2636,MATCH($B82,'HS Codes'!$A$2:$A2636,0),MATCH(K$1,'HS Codes'!$D$1:$K$1,0)),"")</f>
        <v>6112.39.00</v>
      </c>
      <c r="L82" s="8">
        <f>_xlfn.IFNA(INDEX('HS Codes'!$D$2:$K2636,MATCH($B82,'HS Codes'!$A$2:$A2636,0),MATCH(L$1,'HS Codes'!$D$1:$K$1,0)),"")</f>
        <v>6202</v>
      </c>
      <c r="M82" s="8" t="str">
        <f>_xlfn.IFNA(INDEX('HS Codes'!$C$2:$C2636,MATCH($B82,'HS Codes'!$A$2:$A2636,0)),"")</f>
        <v>Beach Robe or Cloak 100% recycled 220 GSM/83% polyester/17% polyamide includes cotton on the packing pouch drawstring</v>
      </c>
      <c r="N82" s="9"/>
      <c r="O82" s="9"/>
      <c r="P82" s="9"/>
      <c r="Q82" s="9"/>
    </row>
    <row r="83" spans="1:17" ht="15.75" customHeight="1">
      <c r="A83" s="7" t="s">
        <v>368</v>
      </c>
      <c r="B83" s="7" t="s">
        <v>142</v>
      </c>
      <c r="C83" s="7" t="s">
        <v>278</v>
      </c>
      <c r="D83" s="7" t="s">
        <v>143</v>
      </c>
      <c r="E83" s="7" t="s">
        <v>143</v>
      </c>
      <c r="F83" s="8" t="str">
        <f>_xlfn.IFNA(INDEX('HS Codes'!$D$2:$K2637,MATCH($B83,'HS Codes'!$A$2:$A2637,0),MATCH(F$1,'HS Codes'!$D$1:$K$1,0)),"")</f>
        <v>6101.90.90.30</v>
      </c>
      <c r="G83" s="8">
        <f>_xlfn.IFNA(INDEX('HS Codes'!$D$2:$K2637,MATCH($B83,'HS Codes'!$A$2:$A2637,0),MATCH(G$1,'HS Codes'!$D$1:$K$1,0)),"")</f>
        <v>6101309000</v>
      </c>
      <c r="H83" s="8">
        <f>_xlfn.IFNA(INDEX('HS Codes'!$D$2:$K2637,MATCH($B83,'HS Codes'!$A$2:$A2637,0),MATCH(H$1,'HS Codes'!$D$1:$K$1,0)),"")</f>
        <v>6112399000</v>
      </c>
      <c r="I83" s="8" t="str">
        <f>_xlfn.IFNA(INDEX('HS Codes'!$D$2:$K2637,MATCH($B83,'HS Codes'!$A$2:$A2637,0),MATCH(I$1,'HS Codes'!$D$1:$K$1,0)),"")</f>
        <v>6211 4390 00</v>
      </c>
      <c r="J83" s="8">
        <f>_xlfn.IFNA(INDEX('HS Codes'!$D$2:$K2637,MATCH($B83,'HS Codes'!$A$2:$A2637,0),MATCH(J$1,'HS Codes'!$D$1:$K$1,0)),"")</f>
        <v>6117109000</v>
      </c>
      <c r="K83" s="8" t="str">
        <f>_xlfn.IFNA(INDEX('HS Codes'!$D$2:$K2637,MATCH($B83,'HS Codes'!$A$2:$A2637,0),MATCH(K$1,'HS Codes'!$D$1:$K$1,0)),"")</f>
        <v>6112.39.00</v>
      </c>
      <c r="L83" s="8">
        <f>_xlfn.IFNA(INDEX('HS Codes'!$D$2:$K2637,MATCH($B83,'HS Codes'!$A$2:$A2637,0),MATCH(L$1,'HS Codes'!$D$1:$K$1,0)),"")</f>
        <v>6202</v>
      </c>
      <c r="M83" s="8" t="str">
        <f>_xlfn.IFNA(INDEX('HS Codes'!$C$2:$C2637,MATCH($B83,'HS Codes'!$A$2:$A2637,0)),"")</f>
        <v>Beach Robe or Cloak 100% recycled 220 GSM/83% polyester/17% polyamide includes cotton on the packing pouch drawstring</v>
      </c>
      <c r="N83" s="9"/>
      <c r="O83" s="9"/>
      <c r="P83" s="9"/>
      <c r="Q83" s="9"/>
    </row>
    <row r="84" spans="1:17" ht="15.75" customHeight="1">
      <c r="A84" s="7" t="s">
        <v>369</v>
      </c>
      <c r="B84" s="7" t="s">
        <v>148</v>
      </c>
      <c r="C84" s="7" t="s">
        <v>278</v>
      </c>
      <c r="D84" s="7" t="s">
        <v>149</v>
      </c>
      <c r="E84" s="7" t="s">
        <v>149</v>
      </c>
      <c r="F84" s="8" t="str">
        <f>_xlfn.IFNA(INDEX('HS Codes'!$D$2:$K2638,MATCH($B84,'HS Codes'!$A$2:$A2638,0),MATCH(F$1,'HS Codes'!$D$1:$K$1,0)),"")</f>
        <v>6101.90.90.30</v>
      </c>
      <c r="G84" s="8">
        <f>_xlfn.IFNA(INDEX('HS Codes'!$D$2:$K2638,MATCH($B84,'HS Codes'!$A$2:$A2638,0),MATCH(G$1,'HS Codes'!$D$1:$K$1,0)),"")</f>
        <v>6101309000</v>
      </c>
      <c r="H84" s="8">
        <f>_xlfn.IFNA(INDEX('HS Codes'!$D$2:$K2638,MATCH($B84,'HS Codes'!$A$2:$A2638,0),MATCH(H$1,'HS Codes'!$D$1:$K$1,0)),"")</f>
        <v>6112399000</v>
      </c>
      <c r="I84" s="8" t="str">
        <f>_xlfn.IFNA(INDEX('HS Codes'!$D$2:$K2638,MATCH($B84,'HS Codes'!$A$2:$A2638,0),MATCH(I$1,'HS Codes'!$D$1:$K$1,0)),"")</f>
        <v>6211 4390 00</v>
      </c>
      <c r="J84" s="8">
        <f>_xlfn.IFNA(INDEX('HS Codes'!$D$2:$K2638,MATCH($B84,'HS Codes'!$A$2:$A2638,0),MATCH(J$1,'HS Codes'!$D$1:$K$1,0)),"")</f>
        <v>6117109000</v>
      </c>
      <c r="K84" s="8" t="str">
        <f>_xlfn.IFNA(INDEX('HS Codes'!$D$2:$K2638,MATCH($B84,'HS Codes'!$A$2:$A2638,0),MATCH(K$1,'HS Codes'!$D$1:$K$1,0)),"")</f>
        <v>6112.39.00</v>
      </c>
      <c r="L84" s="8">
        <f>_xlfn.IFNA(INDEX('HS Codes'!$D$2:$K2638,MATCH($B84,'HS Codes'!$A$2:$A2638,0),MATCH(L$1,'HS Codes'!$D$1:$K$1,0)),"")</f>
        <v>6202</v>
      </c>
      <c r="M84" s="8" t="str">
        <f>_xlfn.IFNA(INDEX('HS Codes'!$C$2:$C2638,MATCH($B84,'HS Codes'!$A$2:$A2638,0)),"")</f>
        <v>Beach Robe or Cloak 100% recycled 220 GSM/83% polyester/17% polyamide includes cotton on the packing pouch drawstring</v>
      </c>
      <c r="N84" s="9"/>
      <c r="O84" s="9"/>
      <c r="P84" s="9"/>
      <c r="Q84" s="9"/>
    </row>
    <row r="85" spans="1:17" ht="15.75" customHeight="1">
      <c r="A85" s="7" t="s">
        <v>370</v>
      </c>
      <c r="B85" s="7" t="s">
        <v>148</v>
      </c>
      <c r="C85" s="7" t="s">
        <v>278</v>
      </c>
      <c r="D85" s="7" t="s">
        <v>149</v>
      </c>
      <c r="E85" s="7" t="s">
        <v>149</v>
      </c>
      <c r="F85" s="8" t="str">
        <f>_xlfn.IFNA(INDEX('HS Codes'!$D$2:$K2639,MATCH($B85,'HS Codes'!$A$2:$A2639,0),MATCH(F$1,'HS Codes'!$D$1:$K$1,0)),"")</f>
        <v>6101.90.90.30</v>
      </c>
      <c r="G85" s="8">
        <f>_xlfn.IFNA(INDEX('HS Codes'!$D$2:$K2639,MATCH($B85,'HS Codes'!$A$2:$A2639,0),MATCH(G$1,'HS Codes'!$D$1:$K$1,0)),"")</f>
        <v>6101309000</v>
      </c>
      <c r="H85" s="8">
        <f>_xlfn.IFNA(INDEX('HS Codes'!$D$2:$K2639,MATCH($B85,'HS Codes'!$A$2:$A2639,0),MATCH(H$1,'HS Codes'!$D$1:$K$1,0)),"")</f>
        <v>6112399000</v>
      </c>
      <c r="I85" s="8" t="str">
        <f>_xlfn.IFNA(INDEX('HS Codes'!$D$2:$K2639,MATCH($B85,'HS Codes'!$A$2:$A2639,0),MATCH(I$1,'HS Codes'!$D$1:$K$1,0)),"")</f>
        <v>6211 4390 00</v>
      </c>
      <c r="J85" s="8">
        <f>_xlfn.IFNA(INDEX('HS Codes'!$D$2:$K2639,MATCH($B85,'HS Codes'!$A$2:$A2639,0),MATCH(J$1,'HS Codes'!$D$1:$K$1,0)),"")</f>
        <v>6117109000</v>
      </c>
      <c r="K85" s="8" t="str">
        <f>_xlfn.IFNA(INDEX('HS Codes'!$D$2:$K2639,MATCH($B85,'HS Codes'!$A$2:$A2639,0),MATCH(K$1,'HS Codes'!$D$1:$K$1,0)),"")</f>
        <v>6112.39.00</v>
      </c>
      <c r="L85" s="8">
        <f>_xlfn.IFNA(INDEX('HS Codes'!$D$2:$K2639,MATCH($B85,'HS Codes'!$A$2:$A2639,0),MATCH(L$1,'HS Codes'!$D$1:$K$1,0)),"")</f>
        <v>6202</v>
      </c>
      <c r="M85" s="8" t="str">
        <f>_xlfn.IFNA(INDEX('HS Codes'!$C$2:$C2639,MATCH($B85,'HS Codes'!$A$2:$A2639,0)),"")</f>
        <v>Beach Robe or Cloak 100% recycled 220 GSM/83% polyester/17% polyamide includes cotton on the packing pouch drawstring</v>
      </c>
      <c r="N85" s="9"/>
      <c r="O85" s="9"/>
      <c r="P85" s="9"/>
      <c r="Q85" s="9"/>
    </row>
    <row r="86" spans="1:17" ht="15.75" customHeight="1">
      <c r="A86" s="7" t="s">
        <v>371</v>
      </c>
      <c r="B86" s="7" t="s">
        <v>150</v>
      </c>
      <c r="C86" s="7"/>
      <c r="D86" s="7" t="s">
        <v>151</v>
      </c>
      <c r="E86" s="7" t="s">
        <v>151</v>
      </c>
      <c r="F86" s="8" t="str">
        <f>_xlfn.IFNA(INDEX('HS Codes'!$D$2:$K2640,MATCH($B86,'HS Codes'!$A$2:$A2640,0),MATCH(F$1,'HS Codes'!$D$1:$K$1,0)),"")</f>
        <v>6208.92.0010</v>
      </c>
      <c r="G86" s="8">
        <f>_xlfn.IFNA(INDEX('HS Codes'!$D$2:$K2640,MATCH($B86,'HS Codes'!$A$2:$A2640,0),MATCH(G$1,'HS Codes'!$D$1:$K$1,0)),"")</f>
        <v>6208110000</v>
      </c>
      <c r="H86" s="8" t="str">
        <f>_xlfn.IFNA(INDEX('HS Codes'!$D$2:$K2640,MATCH($B86,'HS Codes'!$A$2:$A2640,0),MATCH(H$1,'HS Codes'!$D$1:$K$1,0)),"")</f>
        <v>6208.92.00.00</v>
      </c>
      <c r="I86" s="8">
        <f>_xlfn.IFNA(INDEX('HS Codes'!$D$2:$K2640,MATCH($B86,'HS Codes'!$A$2:$A2640,0),MATCH(I$1,'HS Codes'!$D$1:$K$1,0)),"")</f>
        <v>6208990099</v>
      </c>
      <c r="J86" s="8">
        <f>_xlfn.IFNA(INDEX('HS Codes'!$D$2:$K2640,MATCH($B86,'HS Codes'!$A$2:$A2640,0),MATCH(J$1,'HS Codes'!$D$1:$K$1,0)),"")</f>
        <v>0</v>
      </c>
      <c r="K86" s="8" t="str">
        <f>_xlfn.IFNA(INDEX('HS Codes'!$D$2:$K2640,MATCH($B86,'HS Codes'!$A$2:$A2640,0),MATCH(K$1,'HS Codes'!$D$1:$K$1,0)),"")</f>
        <v>6208.11.00</v>
      </c>
      <c r="L86" s="8">
        <f>_xlfn.IFNA(INDEX('HS Codes'!$D$2:$K2640,MATCH($B86,'HS Codes'!$A$2:$A2640,0),MATCH(L$1,'HS Codes'!$D$1:$K$1,0)),"")</f>
        <v>62089200</v>
      </c>
      <c r="M86" s="8" t="str">
        <f>_xlfn.IFNA(INDEX('HS Codes'!$C$2:$C2640,MATCH($B86,'HS Codes'!$A$2:$A2640,0)),"")</f>
        <v>Bathrobe 100% recycled 220 GSM/83% polyester/17% polyamide includes cotton on the packing pouch drawstring</v>
      </c>
      <c r="N86" s="9"/>
      <c r="O86" s="9"/>
      <c r="P86" s="9"/>
      <c r="Q86" s="9"/>
    </row>
    <row r="87" spans="1:17" ht="15.75" customHeight="1">
      <c r="A87" s="7" t="s">
        <v>372</v>
      </c>
      <c r="B87" s="7" t="s">
        <v>159</v>
      </c>
      <c r="C87" s="7" t="s">
        <v>278</v>
      </c>
      <c r="D87" s="7" t="s">
        <v>160</v>
      </c>
      <c r="E87" s="7" t="s">
        <v>160</v>
      </c>
      <c r="F87" s="8" t="str">
        <f>_xlfn.IFNA(INDEX('HS Codes'!$D$2:$K2641,MATCH($B87,'HS Codes'!$A$2:$A2641,0),MATCH(F$1,'HS Codes'!$D$1:$K$1,0)),"")</f>
        <v>6302.53.00.20</v>
      </c>
      <c r="G87" s="8">
        <f>_xlfn.IFNA(INDEX('HS Codes'!$D$2:$K2641,MATCH($B87,'HS Codes'!$A$2:$A2641,0),MATCH(G$1,'HS Codes'!$D$1:$K$1,0)),"")</f>
        <v>6302531000</v>
      </c>
      <c r="H87" s="8">
        <f>_xlfn.IFNA(INDEX('HS Codes'!$D$2:$K2641,MATCH($B87,'HS Codes'!$A$2:$A2641,0),MATCH(H$1,'HS Codes'!$D$1:$K$1,0)),"")</f>
        <v>6302531000</v>
      </c>
      <c r="I87" s="8">
        <f>_xlfn.IFNA(INDEX('HS Codes'!$D$2:$K2641,MATCH($B87,'HS Codes'!$A$2:$A2641,0),MATCH(I$1,'HS Codes'!$D$1:$K$1,0)),"")</f>
        <v>63029310</v>
      </c>
      <c r="J87" s="8">
        <f>_xlfn.IFNA(INDEX('HS Codes'!$D$2:$K2641,MATCH($B87,'HS Codes'!$A$2:$A2641,0),MATCH(J$1,'HS Codes'!$D$1:$K$1,0)),"")</f>
        <v>0</v>
      </c>
      <c r="K87" s="8" t="str">
        <f>_xlfn.IFNA(INDEX('HS Codes'!$D$2:$K2641,MATCH($B87,'HS Codes'!$A$2:$A2641,0),MATCH(K$1,'HS Codes'!$D$1:$K$1,0)),"")</f>
        <v>6302.53.00</v>
      </c>
      <c r="L87" s="8">
        <f>_xlfn.IFNA(INDEX('HS Codes'!$D$2:$K2641,MATCH($B87,'HS Codes'!$A$2:$A2641,0),MATCH(L$1,'HS Codes'!$D$1:$K$1,0)),"")</f>
        <v>0</v>
      </c>
      <c r="M87" s="8" t="str">
        <f>_xlfn.IFNA(INDEX('HS Codes'!$C$2:$C2641,MATCH($B87,'HS Codes'!$A$2:$A2641,0)),"")</f>
        <v>Kitchen Linen 100% recycled 300 GSM/83% polyester/17% polyamide (no cotton)</v>
      </c>
      <c r="N87" s="9"/>
      <c r="O87" s="9"/>
      <c r="P87" s="9"/>
      <c r="Q87" s="9"/>
    </row>
    <row r="88" spans="1:17" ht="15.75" customHeight="1">
      <c r="A88" s="7" t="s">
        <v>373</v>
      </c>
      <c r="B88" s="7" t="s">
        <v>164</v>
      </c>
      <c r="C88" s="7" t="s">
        <v>278</v>
      </c>
      <c r="D88" s="7" t="s">
        <v>165</v>
      </c>
      <c r="E88" s="7" t="s">
        <v>348</v>
      </c>
      <c r="F88" s="8" t="str">
        <f>_xlfn.IFNA(INDEX('HS Codes'!$D$2:$K2642,MATCH($B88,'HS Codes'!$A$2:$A2642,0),MATCH(F$1,'HS Codes'!$D$1:$K$1,0)),"")</f>
        <v>6302.93.2000</v>
      </c>
      <c r="G88" s="8">
        <f>_xlfn.IFNA(INDEX('HS Codes'!$D$2:$K2642,MATCH($B88,'HS Codes'!$A$2:$A2642,0),MATCH(G$1,'HS Codes'!$D$1:$K$1,0)),"")</f>
        <v>6302600090</v>
      </c>
      <c r="H88" s="8" t="str">
        <f>_xlfn.IFNA(INDEX('HS Codes'!$D$2:$K2642,MATCH($B88,'HS Codes'!$A$2:$A2642,0),MATCH(H$1,'HS Codes'!$D$1:$K$1,0)),"")</f>
        <v>6302.93.00.00</v>
      </c>
      <c r="I88" s="8">
        <f>_xlfn.IFNA(INDEX('HS Codes'!$D$2:$K2642,MATCH($B88,'HS Codes'!$A$2:$A2642,0),MATCH(I$1,'HS Codes'!$D$1:$K$1,0)),"")</f>
        <v>63029390</v>
      </c>
      <c r="J88" s="8">
        <f>_xlfn.IFNA(INDEX('HS Codes'!$D$2:$K2642,MATCH($B88,'HS Codes'!$A$2:$A2642,0),MATCH(J$1,'HS Codes'!$D$1:$K$1,0)),"")</f>
        <v>0</v>
      </c>
      <c r="K88" s="8" t="str">
        <f>_xlfn.IFNA(INDEX('HS Codes'!$D$2:$K2642,MATCH($B88,'HS Codes'!$A$2:$A2642,0),MATCH(K$1,'HS Codes'!$D$1:$K$1,0)),"")</f>
        <v>6302.39.00</v>
      </c>
      <c r="L88" s="8">
        <f>_xlfn.IFNA(INDEX('HS Codes'!$D$2:$K2642,MATCH($B88,'HS Codes'!$A$2:$A2642,0),MATCH(L$1,'HS Codes'!$D$1:$K$1,0)),"")</f>
        <v>63029120</v>
      </c>
      <c r="M88" s="8" t="str">
        <f>_xlfn.IFNA(INDEX('HS Codes'!$C$2:$C2642,MATCH($B88,'HS Codes'!$A$2:$A2642,0)),"")</f>
        <v>Beach Towel - Toilet Linen 100% recycled 220 GSM/83% polyester/17% polyamide includes cotton on the packing pouch drawstring</v>
      </c>
      <c r="N88" s="9"/>
      <c r="O88" s="9"/>
      <c r="P88" s="9"/>
      <c r="Q88" s="9"/>
    </row>
    <row r="89" spans="1:17" ht="15.75" customHeight="1">
      <c r="A89" s="7" t="s">
        <v>374</v>
      </c>
      <c r="B89" s="7" t="s">
        <v>164</v>
      </c>
      <c r="C89" s="7" t="s">
        <v>278</v>
      </c>
      <c r="D89" s="7" t="s">
        <v>165</v>
      </c>
      <c r="E89" s="7" t="s">
        <v>348</v>
      </c>
      <c r="F89" s="8" t="str">
        <f>_xlfn.IFNA(INDEX('HS Codes'!$D$2:$K2643,MATCH($B89,'HS Codes'!$A$2:$A2643,0),MATCH(F$1,'HS Codes'!$D$1:$K$1,0)),"")</f>
        <v>6302.93.2000</v>
      </c>
      <c r="G89" s="8">
        <f>_xlfn.IFNA(INDEX('HS Codes'!$D$2:$K2643,MATCH($B89,'HS Codes'!$A$2:$A2643,0),MATCH(G$1,'HS Codes'!$D$1:$K$1,0)),"")</f>
        <v>6302600090</v>
      </c>
      <c r="H89" s="8" t="str">
        <f>_xlfn.IFNA(INDEX('HS Codes'!$D$2:$K2643,MATCH($B89,'HS Codes'!$A$2:$A2643,0),MATCH(H$1,'HS Codes'!$D$1:$K$1,0)),"")</f>
        <v>6302.93.00.00</v>
      </c>
      <c r="I89" s="8">
        <f>_xlfn.IFNA(INDEX('HS Codes'!$D$2:$K2643,MATCH($B89,'HS Codes'!$A$2:$A2643,0),MATCH(I$1,'HS Codes'!$D$1:$K$1,0)),"")</f>
        <v>63029390</v>
      </c>
      <c r="J89" s="8">
        <f>_xlfn.IFNA(INDEX('HS Codes'!$D$2:$K2643,MATCH($B89,'HS Codes'!$A$2:$A2643,0),MATCH(J$1,'HS Codes'!$D$1:$K$1,0)),"")</f>
        <v>0</v>
      </c>
      <c r="K89" s="8" t="str">
        <f>_xlfn.IFNA(INDEX('HS Codes'!$D$2:$K2643,MATCH($B89,'HS Codes'!$A$2:$A2643,0),MATCH(K$1,'HS Codes'!$D$1:$K$1,0)),"")</f>
        <v>6302.39.00</v>
      </c>
      <c r="L89" s="8">
        <f>_xlfn.IFNA(INDEX('HS Codes'!$D$2:$K2643,MATCH($B89,'HS Codes'!$A$2:$A2643,0),MATCH(L$1,'HS Codes'!$D$1:$K$1,0)),"")</f>
        <v>63029120</v>
      </c>
      <c r="M89" s="8" t="str">
        <f>_xlfn.IFNA(INDEX('HS Codes'!$C$2:$C2643,MATCH($B89,'HS Codes'!$A$2:$A2643,0)),"")</f>
        <v>Beach Towel - Toilet Linen 100% recycled 220 GSM/83% polyester/17% polyamide includes cotton on the packing pouch drawstring</v>
      </c>
      <c r="N89" s="9"/>
      <c r="O89" s="9"/>
      <c r="P89" s="9"/>
      <c r="Q89" s="9"/>
    </row>
    <row r="90" spans="1:17" ht="15.75" customHeight="1">
      <c r="A90" s="7" t="s">
        <v>375</v>
      </c>
      <c r="B90" s="7" t="s">
        <v>164</v>
      </c>
      <c r="C90" s="7" t="s">
        <v>278</v>
      </c>
      <c r="D90" s="7" t="s">
        <v>165</v>
      </c>
      <c r="E90" s="7" t="s">
        <v>348</v>
      </c>
      <c r="F90" s="8" t="str">
        <f>_xlfn.IFNA(INDEX('HS Codes'!$D$2:$K2644,MATCH($B90,'HS Codes'!$A$2:$A2644,0),MATCH(F$1,'HS Codes'!$D$1:$K$1,0)),"")</f>
        <v>6302.93.2000</v>
      </c>
      <c r="G90" s="8">
        <f>_xlfn.IFNA(INDEX('HS Codes'!$D$2:$K2644,MATCH($B90,'HS Codes'!$A$2:$A2644,0),MATCH(G$1,'HS Codes'!$D$1:$K$1,0)),"")</f>
        <v>6302600090</v>
      </c>
      <c r="H90" s="8" t="str">
        <f>_xlfn.IFNA(INDEX('HS Codes'!$D$2:$K2644,MATCH($B90,'HS Codes'!$A$2:$A2644,0),MATCH(H$1,'HS Codes'!$D$1:$K$1,0)),"")</f>
        <v>6302.93.00.00</v>
      </c>
      <c r="I90" s="8">
        <f>_xlfn.IFNA(INDEX('HS Codes'!$D$2:$K2644,MATCH($B90,'HS Codes'!$A$2:$A2644,0),MATCH(I$1,'HS Codes'!$D$1:$K$1,0)),"")</f>
        <v>63029390</v>
      </c>
      <c r="J90" s="8">
        <f>_xlfn.IFNA(INDEX('HS Codes'!$D$2:$K2644,MATCH($B90,'HS Codes'!$A$2:$A2644,0),MATCH(J$1,'HS Codes'!$D$1:$K$1,0)),"")</f>
        <v>0</v>
      </c>
      <c r="K90" s="8" t="str">
        <f>_xlfn.IFNA(INDEX('HS Codes'!$D$2:$K2644,MATCH($B90,'HS Codes'!$A$2:$A2644,0),MATCH(K$1,'HS Codes'!$D$1:$K$1,0)),"")</f>
        <v>6302.39.00</v>
      </c>
      <c r="L90" s="8">
        <f>_xlfn.IFNA(INDEX('HS Codes'!$D$2:$K2644,MATCH($B90,'HS Codes'!$A$2:$A2644,0),MATCH(L$1,'HS Codes'!$D$1:$K$1,0)),"")</f>
        <v>63029120</v>
      </c>
      <c r="M90" s="8" t="str">
        <f>_xlfn.IFNA(INDEX('HS Codes'!$C$2:$C2644,MATCH($B90,'HS Codes'!$A$2:$A2644,0)),"")</f>
        <v>Beach Towel - Toilet Linen 100% recycled 220 GSM/83% polyester/17% polyamide includes cotton on the packing pouch drawstring</v>
      </c>
      <c r="N90" s="9"/>
      <c r="O90" s="9"/>
      <c r="P90" s="9"/>
      <c r="Q90" s="9"/>
    </row>
    <row r="91" spans="1:17" ht="15.75" customHeight="1">
      <c r="A91" s="7" t="s">
        <v>376</v>
      </c>
      <c r="B91" s="7" t="s">
        <v>172</v>
      </c>
      <c r="C91" s="7" t="s">
        <v>278</v>
      </c>
      <c r="D91" s="7" t="s">
        <v>173</v>
      </c>
      <c r="E91" s="7" t="s">
        <v>377</v>
      </c>
      <c r="F91" s="8" t="str">
        <f>_xlfn.IFNA(INDEX('HS Codes'!$D$2:$K2645,MATCH($B91,'HS Codes'!$A$2:$A2645,0),MATCH(F$1,'HS Codes'!$D$1:$K$1,0)),"")</f>
        <v>6302.93.2000</v>
      </c>
      <c r="G91" s="8">
        <f>_xlfn.IFNA(INDEX('HS Codes'!$D$2:$K2645,MATCH($B91,'HS Codes'!$A$2:$A2645,0),MATCH(G$1,'HS Codes'!$D$1:$K$1,0)),"")</f>
        <v>6302600090</v>
      </c>
      <c r="H91" s="8" t="str">
        <f>_xlfn.IFNA(INDEX('HS Codes'!$D$2:$K2645,MATCH($B91,'HS Codes'!$A$2:$A2645,0),MATCH(H$1,'HS Codes'!$D$1:$K$1,0)),"")</f>
        <v>6302.93.00.00</v>
      </c>
      <c r="I91" s="8">
        <f>_xlfn.IFNA(INDEX('HS Codes'!$D$2:$K2645,MATCH($B91,'HS Codes'!$A$2:$A2645,0),MATCH(I$1,'HS Codes'!$D$1:$K$1,0)),"")</f>
        <v>6302939000</v>
      </c>
      <c r="J91" s="8">
        <f>_xlfn.IFNA(INDEX('HS Codes'!$D$2:$K2645,MATCH($B91,'HS Codes'!$A$2:$A2645,0),MATCH(J$1,'HS Codes'!$D$1:$K$1,0)),"")</f>
        <v>0</v>
      </c>
      <c r="K91" s="8" t="str">
        <f>_xlfn.IFNA(INDEX('HS Codes'!$D$2:$K2645,MATCH($B91,'HS Codes'!$A$2:$A2645,0),MATCH(K$1,'HS Codes'!$D$1:$K$1,0)),"")</f>
        <v>6302.39.00</v>
      </c>
      <c r="L91" s="8">
        <f>_xlfn.IFNA(INDEX('HS Codes'!$D$2:$K2645,MATCH($B91,'HS Codes'!$A$2:$A2645,0),MATCH(L$1,'HS Codes'!$D$1:$K$1,0)),"")</f>
        <v>63029120</v>
      </c>
      <c r="M91" s="8" t="str">
        <f>_xlfn.IFNA(INDEX('HS Codes'!$C$2:$C2645,MATCH($B91,'HS Codes'!$A$2:$A2645,0)),"")</f>
        <v>Bath Towel - Toilet Linen 100% recycled 340 GSM/83% polyester/17% polyamide (no cotton)</v>
      </c>
      <c r="N91" s="9"/>
      <c r="O91" s="9"/>
      <c r="P91" s="9"/>
      <c r="Q91" s="9"/>
    </row>
    <row r="92" spans="1:17" ht="15.75" customHeight="1">
      <c r="A92" s="7" t="s">
        <v>378</v>
      </c>
      <c r="B92" s="7" t="s">
        <v>172</v>
      </c>
      <c r="C92" s="7" t="s">
        <v>278</v>
      </c>
      <c r="D92" s="7" t="s">
        <v>173</v>
      </c>
      <c r="E92" s="7" t="s">
        <v>377</v>
      </c>
      <c r="F92" s="8" t="str">
        <f>_xlfn.IFNA(INDEX('HS Codes'!$D$2:$K2646,MATCH($B92,'HS Codes'!$A$2:$A2646,0),MATCH(F$1,'HS Codes'!$D$1:$K$1,0)),"")</f>
        <v>6302.93.2000</v>
      </c>
      <c r="G92" s="8">
        <f>_xlfn.IFNA(INDEX('HS Codes'!$D$2:$K2646,MATCH($B92,'HS Codes'!$A$2:$A2646,0),MATCH(G$1,'HS Codes'!$D$1:$K$1,0)),"")</f>
        <v>6302600090</v>
      </c>
      <c r="H92" s="8" t="str">
        <f>_xlfn.IFNA(INDEX('HS Codes'!$D$2:$K2646,MATCH($B92,'HS Codes'!$A$2:$A2646,0),MATCH(H$1,'HS Codes'!$D$1:$K$1,0)),"")</f>
        <v>6302.93.00.00</v>
      </c>
      <c r="I92" s="8">
        <f>_xlfn.IFNA(INDEX('HS Codes'!$D$2:$K2646,MATCH($B92,'HS Codes'!$A$2:$A2646,0),MATCH(I$1,'HS Codes'!$D$1:$K$1,0)),"")</f>
        <v>6302939000</v>
      </c>
      <c r="J92" s="8">
        <f>_xlfn.IFNA(INDEX('HS Codes'!$D$2:$K2646,MATCH($B92,'HS Codes'!$A$2:$A2646,0),MATCH(J$1,'HS Codes'!$D$1:$K$1,0)),"")</f>
        <v>0</v>
      </c>
      <c r="K92" s="8" t="str">
        <f>_xlfn.IFNA(INDEX('HS Codes'!$D$2:$K2646,MATCH($B92,'HS Codes'!$A$2:$A2646,0),MATCH(K$1,'HS Codes'!$D$1:$K$1,0)),"")</f>
        <v>6302.39.00</v>
      </c>
      <c r="L92" s="8">
        <f>_xlfn.IFNA(INDEX('HS Codes'!$D$2:$K2646,MATCH($B92,'HS Codes'!$A$2:$A2646,0),MATCH(L$1,'HS Codes'!$D$1:$K$1,0)),"")</f>
        <v>63029120</v>
      </c>
      <c r="M92" s="8" t="str">
        <f>_xlfn.IFNA(INDEX('HS Codes'!$C$2:$C2646,MATCH($B92,'HS Codes'!$A$2:$A2646,0)),"")</f>
        <v>Bath Towel - Toilet Linen 100% recycled 340 GSM/83% polyester/17% polyamide (no cotton)</v>
      </c>
      <c r="N92" s="9"/>
      <c r="O92" s="9"/>
      <c r="P92" s="9"/>
      <c r="Q92" s="9"/>
    </row>
    <row r="93" spans="1:17" ht="15.75" customHeight="1">
      <c r="A93" s="7" t="s">
        <v>379</v>
      </c>
      <c r="B93" s="7" t="s">
        <v>172</v>
      </c>
      <c r="C93" s="7" t="s">
        <v>278</v>
      </c>
      <c r="D93" s="7" t="s">
        <v>173</v>
      </c>
      <c r="E93" s="7" t="s">
        <v>377</v>
      </c>
      <c r="F93" s="8" t="str">
        <f>_xlfn.IFNA(INDEX('HS Codes'!$D$2:$K2647,MATCH($B93,'HS Codes'!$A$2:$A2647,0),MATCH(F$1,'HS Codes'!$D$1:$K$1,0)),"")</f>
        <v>6302.93.2000</v>
      </c>
      <c r="G93" s="8">
        <f>_xlfn.IFNA(INDEX('HS Codes'!$D$2:$K2647,MATCH($B93,'HS Codes'!$A$2:$A2647,0),MATCH(G$1,'HS Codes'!$D$1:$K$1,0)),"")</f>
        <v>6302600090</v>
      </c>
      <c r="H93" s="8" t="str">
        <f>_xlfn.IFNA(INDEX('HS Codes'!$D$2:$K2647,MATCH($B93,'HS Codes'!$A$2:$A2647,0),MATCH(H$1,'HS Codes'!$D$1:$K$1,0)),"")</f>
        <v>6302.93.00.00</v>
      </c>
      <c r="I93" s="8">
        <f>_xlfn.IFNA(INDEX('HS Codes'!$D$2:$K2647,MATCH($B93,'HS Codes'!$A$2:$A2647,0),MATCH(I$1,'HS Codes'!$D$1:$K$1,0)),"")</f>
        <v>6302939000</v>
      </c>
      <c r="J93" s="8">
        <f>_xlfn.IFNA(INDEX('HS Codes'!$D$2:$K2647,MATCH($B93,'HS Codes'!$A$2:$A2647,0),MATCH(J$1,'HS Codes'!$D$1:$K$1,0)),"")</f>
        <v>0</v>
      </c>
      <c r="K93" s="8" t="str">
        <f>_xlfn.IFNA(INDEX('HS Codes'!$D$2:$K2647,MATCH($B93,'HS Codes'!$A$2:$A2647,0),MATCH(K$1,'HS Codes'!$D$1:$K$1,0)),"")</f>
        <v>6302.39.00</v>
      </c>
      <c r="L93" s="8">
        <f>_xlfn.IFNA(INDEX('HS Codes'!$D$2:$K2647,MATCH($B93,'HS Codes'!$A$2:$A2647,0),MATCH(L$1,'HS Codes'!$D$1:$K$1,0)),"")</f>
        <v>63029120</v>
      </c>
      <c r="M93" s="8" t="str">
        <f>_xlfn.IFNA(INDEX('HS Codes'!$C$2:$C2647,MATCH($B93,'HS Codes'!$A$2:$A2647,0)),"")</f>
        <v>Bath Towel - Toilet Linen 100% recycled 340 GSM/83% polyester/17% polyamide (no cotton)</v>
      </c>
      <c r="N93" s="9"/>
      <c r="O93" s="9"/>
      <c r="P93" s="9"/>
      <c r="Q93" s="9"/>
    </row>
    <row r="94" spans="1:17" ht="15.75" customHeight="1">
      <c r="A94" s="7" t="s">
        <v>380</v>
      </c>
      <c r="B94" s="7"/>
      <c r="C94" s="7"/>
      <c r="D94" s="7"/>
      <c r="E94" s="7"/>
      <c r="F94" s="8" t="str">
        <f>_xlfn.IFNA(INDEX('HS Codes'!$D$2:$K2648,MATCH($B94,'HS Codes'!$A$2:$A2648,0),MATCH(F$1,'HS Codes'!$D$1:$K$1,0)),"")</f>
        <v/>
      </c>
      <c r="G94" s="8" t="str">
        <f>_xlfn.IFNA(INDEX('HS Codes'!$D$2:$K2648,MATCH($B94,'HS Codes'!$A$2:$A2648,0),MATCH(G$1,'HS Codes'!$D$1:$K$1,0)),"")</f>
        <v/>
      </c>
      <c r="H94" s="8" t="str">
        <f>_xlfn.IFNA(INDEX('HS Codes'!$D$2:$K2648,MATCH($B94,'HS Codes'!$A$2:$A2648,0),MATCH(H$1,'HS Codes'!$D$1:$K$1,0)),"")</f>
        <v/>
      </c>
      <c r="I94" s="8" t="str">
        <f>_xlfn.IFNA(INDEX('HS Codes'!$D$2:$K2648,MATCH($B94,'HS Codes'!$A$2:$A2648,0),MATCH(I$1,'HS Codes'!$D$1:$K$1,0)),"")</f>
        <v/>
      </c>
      <c r="J94" s="8" t="str">
        <f>_xlfn.IFNA(INDEX('HS Codes'!$D$2:$K2648,MATCH($B94,'HS Codes'!$A$2:$A2648,0),MATCH(J$1,'HS Codes'!$D$1:$K$1,0)),"")</f>
        <v/>
      </c>
      <c r="K94" s="8" t="str">
        <f>_xlfn.IFNA(INDEX('HS Codes'!$D$2:$K2648,MATCH($B94,'HS Codes'!$A$2:$A2648,0),MATCH(K$1,'HS Codes'!$D$1:$K$1,0)),"")</f>
        <v/>
      </c>
      <c r="L94" s="8" t="str">
        <f>_xlfn.IFNA(INDEX('HS Codes'!$D$2:$K2648,MATCH($B94,'HS Codes'!$A$2:$A2648,0),MATCH(L$1,'HS Codes'!$D$1:$K$1,0)),"")</f>
        <v/>
      </c>
      <c r="M94" s="8" t="str">
        <f>_xlfn.IFNA(INDEX('HS Codes'!$C$2:$C2648,MATCH($B94,'HS Codes'!$A$2:$A2648,0)),"")</f>
        <v/>
      </c>
      <c r="N94" s="9"/>
      <c r="O94" s="9"/>
      <c r="P94" s="9"/>
      <c r="Q94" s="9"/>
    </row>
    <row r="95" spans="1:17" ht="15.75" customHeight="1">
      <c r="A95" s="7" t="s">
        <v>381</v>
      </c>
      <c r="B95" s="7"/>
      <c r="C95" s="7"/>
      <c r="D95" s="7"/>
      <c r="E95" s="7"/>
      <c r="F95" s="8" t="str">
        <f>_xlfn.IFNA(INDEX('HS Codes'!$D$2:$K2649,MATCH($B95,'HS Codes'!$A$2:$A2649,0),MATCH(F$1,'HS Codes'!$D$1:$K$1,0)),"")</f>
        <v/>
      </c>
      <c r="G95" s="8" t="str">
        <f>_xlfn.IFNA(INDEX('HS Codes'!$D$2:$K2649,MATCH($B95,'HS Codes'!$A$2:$A2649,0),MATCH(G$1,'HS Codes'!$D$1:$K$1,0)),"")</f>
        <v/>
      </c>
      <c r="H95" s="8" t="str">
        <f>_xlfn.IFNA(INDEX('HS Codes'!$D$2:$K2649,MATCH($B95,'HS Codes'!$A$2:$A2649,0),MATCH(H$1,'HS Codes'!$D$1:$K$1,0)),"")</f>
        <v/>
      </c>
      <c r="I95" s="8" t="str">
        <f>_xlfn.IFNA(INDEX('HS Codes'!$D$2:$K2649,MATCH($B95,'HS Codes'!$A$2:$A2649,0),MATCH(I$1,'HS Codes'!$D$1:$K$1,0)),"")</f>
        <v/>
      </c>
      <c r="J95" s="8" t="str">
        <f>_xlfn.IFNA(INDEX('HS Codes'!$D$2:$K2649,MATCH($B95,'HS Codes'!$A$2:$A2649,0),MATCH(J$1,'HS Codes'!$D$1:$K$1,0)),"")</f>
        <v/>
      </c>
      <c r="K95" s="8" t="str">
        <f>_xlfn.IFNA(INDEX('HS Codes'!$D$2:$K2649,MATCH($B95,'HS Codes'!$A$2:$A2649,0),MATCH(K$1,'HS Codes'!$D$1:$K$1,0)),"")</f>
        <v/>
      </c>
      <c r="L95" s="8" t="str">
        <f>_xlfn.IFNA(INDEX('HS Codes'!$D$2:$K2649,MATCH($B95,'HS Codes'!$A$2:$A2649,0),MATCH(L$1,'HS Codes'!$D$1:$K$1,0)),"")</f>
        <v/>
      </c>
      <c r="M95" s="8" t="str">
        <f>_xlfn.IFNA(INDEX('HS Codes'!$C$2:$C2649,MATCH($B95,'HS Codes'!$A$2:$A2649,0)),"")</f>
        <v/>
      </c>
      <c r="N95" s="9"/>
      <c r="O95" s="9"/>
      <c r="P95" s="9"/>
      <c r="Q95" s="9"/>
    </row>
    <row r="96" spans="1:17" ht="15.75" customHeight="1">
      <c r="A96" s="7" t="s">
        <v>382</v>
      </c>
      <c r="B96" s="7"/>
      <c r="C96" s="7"/>
      <c r="D96" s="7"/>
      <c r="E96" s="7"/>
      <c r="F96" s="8" t="str">
        <f>_xlfn.IFNA(INDEX('HS Codes'!$D$2:$K2650,MATCH($B96,'HS Codes'!$A$2:$A2650,0),MATCH(F$1,'HS Codes'!$D$1:$K$1,0)),"")</f>
        <v/>
      </c>
      <c r="G96" s="8" t="str">
        <f>_xlfn.IFNA(INDEX('HS Codes'!$D$2:$K2650,MATCH($B96,'HS Codes'!$A$2:$A2650,0),MATCH(G$1,'HS Codes'!$D$1:$K$1,0)),"")</f>
        <v/>
      </c>
      <c r="H96" s="8" t="str">
        <f>_xlfn.IFNA(INDEX('HS Codes'!$D$2:$K2650,MATCH($B96,'HS Codes'!$A$2:$A2650,0),MATCH(H$1,'HS Codes'!$D$1:$K$1,0)),"")</f>
        <v/>
      </c>
      <c r="I96" s="8" t="str">
        <f>_xlfn.IFNA(INDEX('HS Codes'!$D$2:$K2650,MATCH($B96,'HS Codes'!$A$2:$A2650,0),MATCH(I$1,'HS Codes'!$D$1:$K$1,0)),"")</f>
        <v/>
      </c>
      <c r="J96" s="8" t="str">
        <f>_xlfn.IFNA(INDEX('HS Codes'!$D$2:$K2650,MATCH($B96,'HS Codes'!$A$2:$A2650,0),MATCH(J$1,'HS Codes'!$D$1:$K$1,0)),"")</f>
        <v/>
      </c>
      <c r="K96" s="8" t="str">
        <f>_xlfn.IFNA(INDEX('HS Codes'!$D$2:$K2650,MATCH($B96,'HS Codes'!$A$2:$A2650,0),MATCH(K$1,'HS Codes'!$D$1:$K$1,0)),"")</f>
        <v/>
      </c>
      <c r="L96" s="8" t="str">
        <f>_xlfn.IFNA(INDEX('HS Codes'!$D$2:$K2650,MATCH($B96,'HS Codes'!$A$2:$A2650,0),MATCH(L$1,'HS Codes'!$D$1:$K$1,0)),"")</f>
        <v/>
      </c>
      <c r="M96" s="8" t="str">
        <f>_xlfn.IFNA(INDEX('HS Codes'!$C$2:$C2650,MATCH($B96,'HS Codes'!$A$2:$A2650,0)),"")</f>
        <v/>
      </c>
      <c r="N96" s="9"/>
      <c r="O96" s="9"/>
      <c r="P96" s="9"/>
      <c r="Q96" s="9"/>
    </row>
    <row r="97" spans="1:17" ht="15.75" customHeight="1">
      <c r="A97" s="7" t="s">
        <v>383</v>
      </c>
      <c r="B97" s="7"/>
      <c r="C97" s="7"/>
      <c r="D97" s="7"/>
      <c r="E97" s="7"/>
      <c r="F97" s="8" t="str">
        <f>_xlfn.IFNA(INDEX('HS Codes'!$D$2:$K2651,MATCH($B97,'HS Codes'!$A$2:$A2651,0),MATCH(F$1,'HS Codes'!$D$1:$K$1,0)),"")</f>
        <v/>
      </c>
      <c r="G97" s="8" t="str">
        <f>_xlfn.IFNA(INDEX('HS Codes'!$D$2:$K2651,MATCH($B97,'HS Codes'!$A$2:$A2651,0),MATCH(G$1,'HS Codes'!$D$1:$K$1,0)),"")</f>
        <v/>
      </c>
      <c r="H97" s="8" t="str">
        <f>_xlfn.IFNA(INDEX('HS Codes'!$D$2:$K2651,MATCH($B97,'HS Codes'!$A$2:$A2651,0),MATCH(H$1,'HS Codes'!$D$1:$K$1,0)),"")</f>
        <v/>
      </c>
      <c r="I97" s="8" t="str">
        <f>_xlfn.IFNA(INDEX('HS Codes'!$D$2:$K2651,MATCH($B97,'HS Codes'!$A$2:$A2651,0),MATCH(I$1,'HS Codes'!$D$1:$K$1,0)),"")</f>
        <v/>
      </c>
      <c r="J97" s="8" t="str">
        <f>_xlfn.IFNA(INDEX('HS Codes'!$D$2:$K2651,MATCH($B97,'HS Codes'!$A$2:$A2651,0),MATCH(J$1,'HS Codes'!$D$1:$K$1,0)),"")</f>
        <v/>
      </c>
      <c r="K97" s="8" t="str">
        <f>_xlfn.IFNA(INDEX('HS Codes'!$D$2:$K2651,MATCH($B97,'HS Codes'!$A$2:$A2651,0),MATCH(K$1,'HS Codes'!$D$1:$K$1,0)),"")</f>
        <v/>
      </c>
      <c r="L97" s="8" t="str">
        <f>_xlfn.IFNA(INDEX('HS Codes'!$D$2:$K2651,MATCH($B97,'HS Codes'!$A$2:$A2651,0),MATCH(L$1,'HS Codes'!$D$1:$K$1,0)),"")</f>
        <v/>
      </c>
      <c r="M97" s="8" t="str">
        <f>_xlfn.IFNA(INDEX('HS Codes'!$C$2:$C2651,MATCH($B97,'HS Codes'!$A$2:$A2651,0)),"")</f>
        <v/>
      </c>
      <c r="N97" s="9"/>
      <c r="O97" s="9"/>
      <c r="P97" s="9"/>
      <c r="Q97" s="9"/>
    </row>
    <row r="98" spans="1:17" ht="15.75" customHeight="1">
      <c r="A98" s="7" t="s">
        <v>384</v>
      </c>
      <c r="B98" s="7"/>
      <c r="C98" s="7"/>
      <c r="D98" s="7"/>
      <c r="E98" s="7"/>
      <c r="F98" s="8" t="str">
        <f>_xlfn.IFNA(INDEX('HS Codes'!$D$2:$K2652,MATCH($B98,'HS Codes'!$A$2:$A2652,0),MATCH(F$1,'HS Codes'!$D$1:$K$1,0)),"")</f>
        <v/>
      </c>
      <c r="G98" s="8" t="str">
        <f>_xlfn.IFNA(INDEX('HS Codes'!$D$2:$K2652,MATCH($B98,'HS Codes'!$A$2:$A2652,0),MATCH(G$1,'HS Codes'!$D$1:$K$1,0)),"")</f>
        <v/>
      </c>
      <c r="H98" s="8" t="str">
        <f>_xlfn.IFNA(INDEX('HS Codes'!$D$2:$K2652,MATCH($B98,'HS Codes'!$A$2:$A2652,0),MATCH(H$1,'HS Codes'!$D$1:$K$1,0)),"")</f>
        <v/>
      </c>
      <c r="I98" s="8" t="str">
        <f>_xlfn.IFNA(INDEX('HS Codes'!$D$2:$K2652,MATCH($B98,'HS Codes'!$A$2:$A2652,0),MATCH(I$1,'HS Codes'!$D$1:$K$1,0)),"")</f>
        <v/>
      </c>
      <c r="J98" s="8" t="str">
        <f>_xlfn.IFNA(INDEX('HS Codes'!$D$2:$K2652,MATCH($B98,'HS Codes'!$A$2:$A2652,0),MATCH(J$1,'HS Codes'!$D$1:$K$1,0)),"")</f>
        <v/>
      </c>
      <c r="K98" s="8" t="str">
        <f>_xlfn.IFNA(INDEX('HS Codes'!$D$2:$K2652,MATCH($B98,'HS Codes'!$A$2:$A2652,0),MATCH(K$1,'HS Codes'!$D$1:$K$1,0)),"")</f>
        <v/>
      </c>
      <c r="L98" s="8" t="str">
        <f>_xlfn.IFNA(INDEX('HS Codes'!$D$2:$K2652,MATCH($B98,'HS Codes'!$A$2:$A2652,0),MATCH(L$1,'HS Codes'!$D$1:$K$1,0)),"")</f>
        <v/>
      </c>
      <c r="M98" s="8" t="str">
        <f>_xlfn.IFNA(INDEX('HS Codes'!$C$2:$C2652,MATCH($B98,'HS Codes'!$A$2:$A2652,0)),"")</f>
        <v/>
      </c>
      <c r="N98" s="9"/>
      <c r="O98" s="9"/>
      <c r="P98" s="9"/>
      <c r="Q98" s="9"/>
    </row>
    <row r="99" spans="1:17" ht="15.75" customHeight="1">
      <c r="A99" s="7" t="s">
        <v>385</v>
      </c>
      <c r="B99" s="7"/>
      <c r="C99" s="7"/>
      <c r="D99" s="7"/>
      <c r="E99" s="7"/>
      <c r="F99" s="8" t="str">
        <f>_xlfn.IFNA(INDEX('HS Codes'!$D$2:$K2653,MATCH($B99,'HS Codes'!$A$2:$A2653,0),MATCH(F$1,'HS Codes'!$D$1:$K$1,0)),"")</f>
        <v/>
      </c>
      <c r="G99" s="8" t="str">
        <f>_xlfn.IFNA(INDEX('HS Codes'!$D$2:$K2653,MATCH($B99,'HS Codes'!$A$2:$A2653,0),MATCH(G$1,'HS Codes'!$D$1:$K$1,0)),"")</f>
        <v/>
      </c>
      <c r="H99" s="8" t="str">
        <f>_xlfn.IFNA(INDEX('HS Codes'!$D$2:$K2653,MATCH($B99,'HS Codes'!$A$2:$A2653,0),MATCH(H$1,'HS Codes'!$D$1:$K$1,0)),"")</f>
        <v/>
      </c>
      <c r="I99" s="8" t="str">
        <f>_xlfn.IFNA(INDEX('HS Codes'!$D$2:$K2653,MATCH($B99,'HS Codes'!$A$2:$A2653,0),MATCH(I$1,'HS Codes'!$D$1:$K$1,0)),"")</f>
        <v/>
      </c>
      <c r="J99" s="8" t="str">
        <f>_xlfn.IFNA(INDEX('HS Codes'!$D$2:$K2653,MATCH($B99,'HS Codes'!$A$2:$A2653,0),MATCH(J$1,'HS Codes'!$D$1:$K$1,0)),"")</f>
        <v/>
      </c>
      <c r="K99" s="8" t="str">
        <f>_xlfn.IFNA(INDEX('HS Codes'!$D$2:$K2653,MATCH($B99,'HS Codes'!$A$2:$A2653,0),MATCH(K$1,'HS Codes'!$D$1:$K$1,0)),"")</f>
        <v/>
      </c>
      <c r="L99" s="8" t="str">
        <f>_xlfn.IFNA(INDEX('HS Codes'!$D$2:$K2653,MATCH($B99,'HS Codes'!$A$2:$A2653,0),MATCH(L$1,'HS Codes'!$D$1:$K$1,0)),"")</f>
        <v/>
      </c>
      <c r="M99" s="8" t="str">
        <f>_xlfn.IFNA(INDEX('HS Codes'!$C$2:$C2653,MATCH($B99,'HS Codes'!$A$2:$A2653,0)),"")</f>
        <v/>
      </c>
      <c r="N99" s="9"/>
      <c r="O99" s="9"/>
      <c r="P99" s="9"/>
      <c r="Q99" s="9"/>
    </row>
    <row r="100" spans="1:17" ht="15.75" customHeight="1">
      <c r="A100" s="7" t="s">
        <v>386</v>
      </c>
      <c r="B100" s="7" t="s">
        <v>103</v>
      </c>
      <c r="C100" s="7" t="s">
        <v>278</v>
      </c>
      <c r="D100" s="7" t="s">
        <v>104</v>
      </c>
      <c r="E100" s="7" t="s">
        <v>279</v>
      </c>
      <c r="F100" s="8" t="str">
        <f>_xlfn.IFNA(INDEX('HS Codes'!$D$2:$K2654,MATCH($B100,'HS Codes'!$A$2:$A2654,0),MATCH(F$1,'HS Codes'!$D$1:$K$1,0)),"")</f>
        <v>6302.93.2000</v>
      </c>
      <c r="G100" s="8">
        <f>_xlfn.IFNA(INDEX('HS Codes'!$D$2:$K2654,MATCH($B100,'HS Codes'!$A$2:$A2654,0),MATCH(G$1,'HS Codes'!$D$1:$K$1,0)),"")</f>
        <v>6302600090</v>
      </c>
      <c r="H100" s="8" t="str">
        <f>_xlfn.IFNA(INDEX('HS Codes'!$D$2:$K2654,MATCH($B100,'HS Codes'!$A$2:$A2654,0),MATCH(H$1,'HS Codes'!$D$1:$K$1,0)),"")</f>
        <v>6302.93.00.00</v>
      </c>
      <c r="I100" s="8">
        <f>_xlfn.IFNA(INDEX('HS Codes'!$D$2:$K2654,MATCH($B100,'HS Codes'!$A$2:$A2654,0),MATCH(I$1,'HS Codes'!$D$1:$K$1,0)),"")</f>
        <v>6302939000</v>
      </c>
      <c r="J100" s="8">
        <f>_xlfn.IFNA(INDEX('HS Codes'!$D$2:$K2654,MATCH($B100,'HS Codes'!$A$2:$A2654,0),MATCH(J$1,'HS Codes'!$D$1:$K$1,0)),"")</f>
        <v>0</v>
      </c>
      <c r="K100" s="8" t="str">
        <f>_xlfn.IFNA(INDEX('HS Codes'!$D$2:$K2654,MATCH($B100,'HS Codes'!$A$2:$A2654,0),MATCH(K$1,'HS Codes'!$D$1:$K$1,0)),"")</f>
        <v>6302.39.00</v>
      </c>
      <c r="L100" s="8">
        <f>_xlfn.IFNA(INDEX('HS Codes'!$D$2:$K2654,MATCH($B100,'HS Codes'!$A$2:$A2654,0),MATCH(L$1,'HS Codes'!$D$1:$K$1,0)),"")</f>
        <v>6507</v>
      </c>
      <c r="M100" s="8" t="str">
        <f>_xlfn.IFNA(INDEX('HS Codes'!$C$2:$C2654,MATCH($B100,'HS Codes'!$A$2:$A2654,0)),"")</f>
        <v>Pet Towel - Toilet Linen 100% recycled 220 GSM/83% polyester/17% polyamide includes cotton on the packing pouch drawstring</v>
      </c>
      <c r="N100" s="9"/>
      <c r="O100" s="9"/>
      <c r="P100" s="9"/>
      <c r="Q100" s="9"/>
    </row>
    <row r="101" spans="1:17" ht="15.75" customHeight="1">
      <c r="A101" s="7" t="s">
        <v>387</v>
      </c>
      <c r="B101" s="7" t="s">
        <v>103</v>
      </c>
      <c r="C101" s="7" t="s">
        <v>278</v>
      </c>
      <c r="D101" s="7" t="s">
        <v>104</v>
      </c>
      <c r="E101" s="7" t="s">
        <v>279</v>
      </c>
      <c r="F101" s="8" t="str">
        <f>_xlfn.IFNA(INDEX('HS Codes'!$D$2:$K2655,MATCH($B101,'HS Codes'!$A$2:$A2655,0),MATCH(F$1,'HS Codes'!$D$1:$K$1,0)),"")</f>
        <v>6302.93.2000</v>
      </c>
      <c r="G101" s="8">
        <f>_xlfn.IFNA(INDEX('HS Codes'!$D$2:$K2655,MATCH($B101,'HS Codes'!$A$2:$A2655,0),MATCH(G$1,'HS Codes'!$D$1:$K$1,0)),"")</f>
        <v>6302600090</v>
      </c>
      <c r="H101" s="8" t="str">
        <f>_xlfn.IFNA(INDEX('HS Codes'!$D$2:$K2655,MATCH($B101,'HS Codes'!$A$2:$A2655,0),MATCH(H$1,'HS Codes'!$D$1:$K$1,0)),"")</f>
        <v>6302.93.00.00</v>
      </c>
      <c r="I101" s="8">
        <f>_xlfn.IFNA(INDEX('HS Codes'!$D$2:$K2655,MATCH($B101,'HS Codes'!$A$2:$A2655,0),MATCH(I$1,'HS Codes'!$D$1:$K$1,0)),"")</f>
        <v>6302939000</v>
      </c>
      <c r="J101" s="8">
        <f>_xlfn.IFNA(INDEX('HS Codes'!$D$2:$K2655,MATCH($B101,'HS Codes'!$A$2:$A2655,0),MATCH(J$1,'HS Codes'!$D$1:$K$1,0)),"")</f>
        <v>0</v>
      </c>
      <c r="K101" s="8" t="str">
        <f>_xlfn.IFNA(INDEX('HS Codes'!$D$2:$K2655,MATCH($B101,'HS Codes'!$A$2:$A2655,0),MATCH(K$1,'HS Codes'!$D$1:$K$1,0)),"")</f>
        <v>6302.39.00</v>
      </c>
      <c r="L101" s="8">
        <f>_xlfn.IFNA(INDEX('HS Codes'!$D$2:$K2655,MATCH($B101,'HS Codes'!$A$2:$A2655,0),MATCH(L$1,'HS Codes'!$D$1:$K$1,0)),"")</f>
        <v>6507</v>
      </c>
      <c r="M101" s="8" t="str">
        <f>_xlfn.IFNA(INDEX('HS Codes'!$C$2:$C2655,MATCH($B101,'HS Codes'!$A$2:$A2655,0)),"")</f>
        <v>Pet Towel - Toilet Linen 100% recycled 220 GSM/83% polyester/17% polyamide includes cotton on the packing pouch drawstring</v>
      </c>
      <c r="N101" s="9"/>
      <c r="O101" s="9"/>
      <c r="P101" s="9"/>
      <c r="Q101" s="9"/>
    </row>
    <row r="102" spans="1:17" ht="15.75" customHeight="1">
      <c r="A102" s="7" t="s">
        <v>388</v>
      </c>
      <c r="B102" s="7" t="s">
        <v>103</v>
      </c>
      <c r="C102" s="7" t="s">
        <v>278</v>
      </c>
      <c r="D102" s="7" t="s">
        <v>104</v>
      </c>
      <c r="E102" s="7" t="s">
        <v>279</v>
      </c>
      <c r="F102" s="8" t="str">
        <f>_xlfn.IFNA(INDEX('HS Codes'!$D$2:$K2656,MATCH($B102,'HS Codes'!$A$2:$A2656,0),MATCH(F$1,'HS Codes'!$D$1:$K$1,0)),"")</f>
        <v>6302.93.2000</v>
      </c>
      <c r="G102" s="8">
        <f>_xlfn.IFNA(INDEX('HS Codes'!$D$2:$K2656,MATCH($B102,'HS Codes'!$A$2:$A2656,0),MATCH(G$1,'HS Codes'!$D$1:$K$1,0)),"")</f>
        <v>6302600090</v>
      </c>
      <c r="H102" s="8" t="str">
        <f>_xlfn.IFNA(INDEX('HS Codes'!$D$2:$K2656,MATCH($B102,'HS Codes'!$A$2:$A2656,0),MATCH(H$1,'HS Codes'!$D$1:$K$1,0)),"")</f>
        <v>6302.93.00.00</v>
      </c>
      <c r="I102" s="8">
        <f>_xlfn.IFNA(INDEX('HS Codes'!$D$2:$K2656,MATCH($B102,'HS Codes'!$A$2:$A2656,0),MATCH(I$1,'HS Codes'!$D$1:$K$1,0)),"")</f>
        <v>6302939000</v>
      </c>
      <c r="J102" s="8">
        <f>_xlfn.IFNA(INDEX('HS Codes'!$D$2:$K2656,MATCH($B102,'HS Codes'!$A$2:$A2656,0),MATCH(J$1,'HS Codes'!$D$1:$K$1,0)),"")</f>
        <v>0</v>
      </c>
      <c r="K102" s="8" t="str">
        <f>_xlfn.IFNA(INDEX('HS Codes'!$D$2:$K2656,MATCH($B102,'HS Codes'!$A$2:$A2656,0),MATCH(K$1,'HS Codes'!$D$1:$K$1,0)),"")</f>
        <v>6302.39.00</v>
      </c>
      <c r="L102" s="8">
        <f>_xlfn.IFNA(INDEX('HS Codes'!$D$2:$K2656,MATCH($B102,'HS Codes'!$A$2:$A2656,0),MATCH(L$1,'HS Codes'!$D$1:$K$1,0)),"")</f>
        <v>6507</v>
      </c>
      <c r="M102" s="8" t="str">
        <f>_xlfn.IFNA(INDEX('HS Codes'!$C$2:$C2656,MATCH($B102,'HS Codes'!$A$2:$A2656,0)),"")</f>
        <v>Pet Towel - Toilet Linen 100% recycled 220 GSM/83% polyester/17% polyamide includes cotton on the packing pouch drawstring</v>
      </c>
      <c r="N102" s="9"/>
      <c r="O102" s="9"/>
      <c r="P102" s="9"/>
      <c r="Q102" s="9"/>
    </row>
    <row r="103" spans="1:17" ht="15.75" customHeight="1">
      <c r="A103" s="7" t="s">
        <v>389</v>
      </c>
      <c r="B103" s="7" t="s">
        <v>103</v>
      </c>
      <c r="C103" s="7" t="s">
        <v>278</v>
      </c>
      <c r="D103" s="7" t="s">
        <v>104</v>
      </c>
      <c r="E103" s="7" t="s">
        <v>279</v>
      </c>
      <c r="F103" s="8" t="str">
        <f>_xlfn.IFNA(INDEX('HS Codes'!$D$2:$K2657,MATCH($B103,'HS Codes'!$A$2:$A2657,0),MATCH(F$1,'HS Codes'!$D$1:$K$1,0)),"")</f>
        <v>6302.93.2000</v>
      </c>
      <c r="G103" s="8">
        <f>_xlfn.IFNA(INDEX('HS Codes'!$D$2:$K2657,MATCH($B103,'HS Codes'!$A$2:$A2657,0),MATCH(G$1,'HS Codes'!$D$1:$K$1,0)),"")</f>
        <v>6302600090</v>
      </c>
      <c r="H103" s="8" t="str">
        <f>_xlfn.IFNA(INDEX('HS Codes'!$D$2:$K2657,MATCH($B103,'HS Codes'!$A$2:$A2657,0),MATCH(H$1,'HS Codes'!$D$1:$K$1,0)),"")</f>
        <v>6302.93.00.00</v>
      </c>
      <c r="I103" s="8">
        <f>_xlfn.IFNA(INDEX('HS Codes'!$D$2:$K2657,MATCH($B103,'HS Codes'!$A$2:$A2657,0),MATCH(I$1,'HS Codes'!$D$1:$K$1,0)),"")</f>
        <v>6302939000</v>
      </c>
      <c r="J103" s="8">
        <f>_xlfn.IFNA(INDEX('HS Codes'!$D$2:$K2657,MATCH($B103,'HS Codes'!$A$2:$A2657,0),MATCH(J$1,'HS Codes'!$D$1:$K$1,0)),"")</f>
        <v>0</v>
      </c>
      <c r="K103" s="8" t="str">
        <f>_xlfn.IFNA(INDEX('HS Codes'!$D$2:$K2657,MATCH($B103,'HS Codes'!$A$2:$A2657,0),MATCH(K$1,'HS Codes'!$D$1:$K$1,0)),"")</f>
        <v>6302.39.00</v>
      </c>
      <c r="L103" s="8">
        <f>_xlfn.IFNA(INDEX('HS Codes'!$D$2:$K2657,MATCH($B103,'HS Codes'!$A$2:$A2657,0),MATCH(L$1,'HS Codes'!$D$1:$K$1,0)),"")</f>
        <v>6507</v>
      </c>
      <c r="M103" s="8" t="str">
        <f>_xlfn.IFNA(INDEX('HS Codes'!$C$2:$C2657,MATCH($B103,'HS Codes'!$A$2:$A2657,0)),"")</f>
        <v>Pet Towel - Toilet Linen 100% recycled 220 GSM/83% polyester/17% polyamide includes cotton on the packing pouch drawstring</v>
      </c>
      <c r="N103" s="9"/>
      <c r="O103" s="9"/>
      <c r="P103" s="9"/>
      <c r="Q103" s="9"/>
    </row>
    <row r="104" spans="1:17" ht="15.75" customHeight="1">
      <c r="A104" s="7" t="s">
        <v>390</v>
      </c>
      <c r="B104" s="7" t="s">
        <v>103</v>
      </c>
      <c r="C104" s="7" t="s">
        <v>278</v>
      </c>
      <c r="D104" s="7" t="s">
        <v>104</v>
      </c>
      <c r="E104" s="7" t="s">
        <v>279</v>
      </c>
      <c r="F104" s="8" t="str">
        <f>_xlfn.IFNA(INDEX('HS Codes'!$D$2:$K2658,MATCH($B104,'HS Codes'!$A$2:$A2658,0),MATCH(F$1,'HS Codes'!$D$1:$K$1,0)),"")</f>
        <v>6302.93.2000</v>
      </c>
      <c r="G104" s="8">
        <f>_xlfn.IFNA(INDEX('HS Codes'!$D$2:$K2658,MATCH($B104,'HS Codes'!$A$2:$A2658,0),MATCH(G$1,'HS Codes'!$D$1:$K$1,0)),"")</f>
        <v>6302600090</v>
      </c>
      <c r="H104" s="8" t="str">
        <f>_xlfn.IFNA(INDEX('HS Codes'!$D$2:$K2658,MATCH($B104,'HS Codes'!$A$2:$A2658,0),MATCH(H$1,'HS Codes'!$D$1:$K$1,0)),"")</f>
        <v>6302.93.00.00</v>
      </c>
      <c r="I104" s="8">
        <f>_xlfn.IFNA(INDEX('HS Codes'!$D$2:$K2658,MATCH($B104,'HS Codes'!$A$2:$A2658,0),MATCH(I$1,'HS Codes'!$D$1:$K$1,0)),"")</f>
        <v>6302939000</v>
      </c>
      <c r="J104" s="8">
        <f>_xlfn.IFNA(INDEX('HS Codes'!$D$2:$K2658,MATCH($B104,'HS Codes'!$A$2:$A2658,0),MATCH(J$1,'HS Codes'!$D$1:$K$1,0)),"")</f>
        <v>0</v>
      </c>
      <c r="K104" s="8" t="str">
        <f>_xlfn.IFNA(INDEX('HS Codes'!$D$2:$K2658,MATCH($B104,'HS Codes'!$A$2:$A2658,0),MATCH(K$1,'HS Codes'!$D$1:$K$1,0)),"")</f>
        <v>6302.39.00</v>
      </c>
      <c r="L104" s="8">
        <f>_xlfn.IFNA(INDEX('HS Codes'!$D$2:$K2658,MATCH($B104,'HS Codes'!$A$2:$A2658,0),MATCH(L$1,'HS Codes'!$D$1:$K$1,0)),"")</f>
        <v>6507</v>
      </c>
      <c r="M104" s="8" t="str">
        <f>_xlfn.IFNA(INDEX('HS Codes'!$C$2:$C2658,MATCH($B104,'HS Codes'!$A$2:$A2658,0)),"")</f>
        <v>Pet Towel - Toilet Linen 100% recycled 220 GSM/83% polyester/17% polyamide includes cotton on the packing pouch drawstring</v>
      </c>
      <c r="N104" s="9"/>
      <c r="O104" s="9"/>
      <c r="P104" s="9"/>
      <c r="Q104" s="9"/>
    </row>
    <row r="105" spans="1:17" ht="15.75" customHeight="1">
      <c r="A105" s="7" t="s">
        <v>391</v>
      </c>
      <c r="B105" s="7" t="s">
        <v>103</v>
      </c>
      <c r="C105" s="7" t="s">
        <v>278</v>
      </c>
      <c r="D105" s="7" t="s">
        <v>104</v>
      </c>
      <c r="E105" s="7" t="s">
        <v>279</v>
      </c>
      <c r="F105" s="8" t="str">
        <f>_xlfn.IFNA(INDEX('HS Codes'!$D$2:$K2659,MATCH($B105,'HS Codes'!$A$2:$A2659,0),MATCH(F$1,'HS Codes'!$D$1:$K$1,0)),"")</f>
        <v>6302.93.2000</v>
      </c>
      <c r="G105" s="8">
        <f>_xlfn.IFNA(INDEX('HS Codes'!$D$2:$K2659,MATCH($B105,'HS Codes'!$A$2:$A2659,0),MATCH(G$1,'HS Codes'!$D$1:$K$1,0)),"")</f>
        <v>6302600090</v>
      </c>
      <c r="H105" s="8" t="str">
        <f>_xlfn.IFNA(INDEX('HS Codes'!$D$2:$K2659,MATCH($B105,'HS Codes'!$A$2:$A2659,0),MATCH(H$1,'HS Codes'!$D$1:$K$1,0)),"")</f>
        <v>6302.93.00.00</v>
      </c>
      <c r="I105" s="8">
        <f>_xlfn.IFNA(INDEX('HS Codes'!$D$2:$K2659,MATCH($B105,'HS Codes'!$A$2:$A2659,0),MATCH(I$1,'HS Codes'!$D$1:$K$1,0)),"")</f>
        <v>6302939000</v>
      </c>
      <c r="J105" s="8">
        <f>_xlfn.IFNA(INDEX('HS Codes'!$D$2:$K2659,MATCH($B105,'HS Codes'!$A$2:$A2659,0),MATCH(J$1,'HS Codes'!$D$1:$K$1,0)),"")</f>
        <v>0</v>
      </c>
      <c r="K105" s="8" t="str">
        <f>_xlfn.IFNA(INDEX('HS Codes'!$D$2:$K2659,MATCH($B105,'HS Codes'!$A$2:$A2659,0),MATCH(K$1,'HS Codes'!$D$1:$K$1,0)),"")</f>
        <v>6302.39.00</v>
      </c>
      <c r="L105" s="8">
        <f>_xlfn.IFNA(INDEX('HS Codes'!$D$2:$K2659,MATCH($B105,'HS Codes'!$A$2:$A2659,0),MATCH(L$1,'HS Codes'!$D$1:$K$1,0)),"")</f>
        <v>6507</v>
      </c>
      <c r="M105" s="8" t="str">
        <f>_xlfn.IFNA(INDEX('HS Codes'!$C$2:$C2659,MATCH($B105,'HS Codes'!$A$2:$A2659,0)),"")</f>
        <v>Pet Towel - Toilet Linen 100% recycled 220 GSM/83% polyester/17% polyamide includes cotton on the packing pouch drawstring</v>
      </c>
      <c r="N105" s="9"/>
      <c r="O105" s="9"/>
      <c r="P105" s="9"/>
      <c r="Q105" s="9"/>
    </row>
    <row r="106" spans="1:17" ht="15.75" customHeight="1">
      <c r="A106" s="7" t="s">
        <v>392</v>
      </c>
      <c r="B106" s="7" t="s">
        <v>103</v>
      </c>
      <c r="C106" s="7" t="s">
        <v>278</v>
      </c>
      <c r="D106" s="7" t="s">
        <v>104</v>
      </c>
      <c r="E106" s="7" t="s">
        <v>279</v>
      </c>
      <c r="F106" s="8" t="str">
        <f>_xlfn.IFNA(INDEX('HS Codes'!$D$2:$K2660,MATCH($B106,'HS Codes'!$A$2:$A2660,0),MATCH(F$1,'HS Codes'!$D$1:$K$1,0)),"")</f>
        <v>6302.93.2000</v>
      </c>
      <c r="G106" s="8">
        <f>_xlfn.IFNA(INDEX('HS Codes'!$D$2:$K2660,MATCH($B106,'HS Codes'!$A$2:$A2660,0),MATCH(G$1,'HS Codes'!$D$1:$K$1,0)),"")</f>
        <v>6302600090</v>
      </c>
      <c r="H106" s="8" t="str">
        <f>_xlfn.IFNA(INDEX('HS Codes'!$D$2:$K2660,MATCH($B106,'HS Codes'!$A$2:$A2660,0),MATCH(H$1,'HS Codes'!$D$1:$K$1,0)),"")</f>
        <v>6302.93.00.00</v>
      </c>
      <c r="I106" s="8">
        <f>_xlfn.IFNA(INDEX('HS Codes'!$D$2:$K2660,MATCH($B106,'HS Codes'!$A$2:$A2660,0),MATCH(I$1,'HS Codes'!$D$1:$K$1,0)),"")</f>
        <v>6302939000</v>
      </c>
      <c r="J106" s="8">
        <f>_xlfn.IFNA(INDEX('HS Codes'!$D$2:$K2660,MATCH($B106,'HS Codes'!$A$2:$A2660,0),MATCH(J$1,'HS Codes'!$D$1:$K$1,0)),"")</f>
        <v>0</v>
      </c>
      <c r="K106" s="8" t="str">
        <f>_xlfn.IFNA(INDEX('HS Codes'!$D$2:$K2660,MATCH($B106,'HS Codes'!$A$2:$A2660,0),MATCH(K$1,'HS Codes'!$D$1:$K$1,0)),"")</f>
        <v>6302.39.00</v>
      </c>
      <c r="L106" s="8">
        <f>_xlfn.IFNA(INDEX('HS Codes'!$D$2:$K2660,MATCH($B106,'HS Codes'!$A$2:$A2660,0),MATCH(L$1,'HS Codes'!$D$1:$K$1,0)),"")</f>
        <v>6507</v>
      </c>
      <c r="M106" s="8" t="str">
        <f>_xlfn.IFNA(INDEX('HS Codes'!$C$2:$C2660,MATCH($B106,'HS Codes'!$A$2:$A2660,0)),"")</f>
        <v>Pet Towel - Toilet Linen 100% recycled 220 GSM/83% polyester/17% polyamide includes cotton on the packing pouch drawstring</v>
      </c>
      <c r="N106" s="9"/>
      <c r="O106" s="9"/>
      <c r="P106" s="9"/>
      <c r="Q106" s="9"/>
    </row>
    <row r="107" spans="1:17" ht="15.75" customHeight="1">
      <c r="A107" s="7" t="s">
        <v>393</v>
      </c>
      <c r="B107" s="7" t="s">
        <v>103</v>
      </c>
      <c r="C107" s="7" t="s">
        <v>278</v>
      </c>
      <c r="D107" s="7" t="s">
        <v>104</v>
      </c>
      <c r="E107" s="7" t="s">
        <v>279</v>
      </c>
      <c r="F107" s="8" t="str">
        <f>_xlfn.IFNA(INDEX('HS Codes'!$D$2:$K2661,MATCH($B107,'HS Codes'!$A$2:$A2661,0),MATCH(F$1,'HS Codes'!$D$1:$K$1,0)),"")</f>
        <v>6302.93.2000</v>
      </c>
      <c r="G107" s="8">
        <f>_xlfn.IFNA(INDEX('HS Codes'!$D$2:$K2661,MATCH($B107,'HS Codes'!$A$2:$A2661,0),MATCH(G$1,'HS Codes'!$D$1:$K$1,0)),"")</f>
        <v>6302600090</v>
      </c>
      <c r="H107" s="8" t="str">
        <f>_xlfn.IFNA(INDEX('HS Codes'!$D$2:$K2661,MATCH($B107,'HS Codes'!$A$2:$A2661,0),MATCH(H$1,'HS Codes'!$D$1:$K$1,0)),"")</f>
        <v>6302.93.00.00</v>
      </c>
      <c r="I107" s="8">
        <f>_xlfn.IFNA(INDEX('HS Codes'!$D$2:$K2661,MATCH($B107,'HS Codes'!$A$2:$A2661,0),MATCH(I$1,'HS Codes'!$D$1:$K$1,0)),"")</f>
        <v>6302939000</v>
      </c>
      <c r="J107" s="8">
        <f>_xlfn.IFNA(INDEX('HS Codes'!$D$2:$K2661,MATCH($B107,'HS Codes'!$A$2:$A2661,0),MATCH(J$1,'HS Codes'!$D$1:$K$1,0)),"")</f>
        <v>0</v>
      </c>
      <c r="K107" s="8" t="str">
        <f>_xlfn.IFNA(INDEX('HS Codes'!$D$2:$K2661,MATCH($B107,'HS Codes'!$A$2:$A2661,0),MATCH(K$1,'HS Codes'!$D$1:$K$1,0)),"")</f>
        <v>6302.39.00</v>
      </c>
      <c r="L107" s="8">
        <f>_xlfn.IFNA(INDEX('HS Codes'!$D$2:$K2661,MATCH($B107,'HS Codes'!$A$2:$A2661,0),MATCH(L$1,'HS Codes'!$D$1:$K$1,0)),"")</f>
        <v>6507</v>
      </c>
      <c r="M107" s="8" t="str">
        <f>_xlfn.IFNA(INDEX('HS Codes'!$C$2:$C2661,MATCH($B107,'HS Codes'!$A$2:$A2661,0)),"")</f>
        <v>Pet Towel - Toilet Linen 100% recycled 220 GSM/83% polyester/17% polyamide includes cotton on the packing pouch drawstring</v>
      </c>
      <c r="N107" s="9"/>
      <c r="O107" s="9"/>
      <c r="P107" s="9"/>
      <c r="Q107" s="9"/>
    </row>
    <row r="108" spans="1:17" ht="15.75" customHeight="1">
      <c r="A108" s="7" t="s">
        <v>394</v>
      </c>
      <c r="B108" s="7" t="s">
        <v>103</v>
      </c>
      <c r="C108" s="7" t="s">
        <v>278</v>
      </c>
      <c r="D108" s="7" t="s">
        <v>104</v>
      </c>
      <c r="E108" s="7" t="s">
        <v>279</v>
      </c>
      <c r="F108" s="8" t="str">
        <f>_xlfn.IFNA(INDEX('HS Codes'!$D$2:$K2662,MATCH($B108,'HS Codes'!$A$2:$A2662,0),MATCH(F$1,'HS Codes'!$D$1:$K$1,0)),"")</f>
        <v>6302.93.2000</v>
      </c>
      <c r="G108" s="8">
        <f>_xlfn.IFNA(INDEX('HS Codes'!$D$2:$K2662,MATCH($B108,'HS Codes'!$A$2:$A2662,0),MATCH(G$1,'HS Codes'!$D$1:$K$1,0)),"")</f>
        <v>6302600090</v>
      </c>
      <c r="H108" s="8" t="str">
        <f>_xlfn.IFNA(INDEX('HS Codes'!$D$2:$K2662,MATCH($B108,'HS Codes'!$A$2:$A2662,0),MATCH(H$1,'HS Codes'!$D$1:$K$1,0)),"")</f>
        <v>6302.93.00.00</v>
      </c>
      <c r="I108" s="8">
        <f>_xlfn.IFNA(INDEX('HS Codes'!$D$2:$K2662,MATCH($B108,'HS Codes'!$A$2:$A2662,0),MATCH(I$1,'HS Codes'!$D$1:$K$1,0)),"")</f>
        <v>6302939000</v>
      </c>
      <c r="J108" s="8">
        <f>_xlfn.IFNA(INDEX('HS Codes'!$D$2:$K2662,MATCH($B108,'HS Codes'!$A$2:$A2662,0),MATCH(J$1,'HS Codes'!$D$1:$K$1,0)),"")</f>
        <v>0</v>
      </c>
      <c r="K108" s="8" t="str">
        <f>_xlfn.IFNA(INDEX('HS Codes'!$D$2:$K2662,MATCH($B108,'HS Codes'!$A$2:$A2662,0),MATCH(K$1,'HS Codes'!$D$1:$K$1,0)),"")</f>
        <v>6302.39.00</v>
      </c>
      <c r="L108" s="8">
        <f>_xlfn.IFNA(INDEX('HS Codes'!$D$2:$K2662,MATCH($B108,'HS Codes'!$A$2:$A2662,0),MATCH(L$1,'HS Codes'!$D$1:$K$1,0)),"")</f>
        <v>6507</v>
      </c>
      <c r="M108" s="8" t="str">
        <f>_xlfn.IFNA(INDEX('HS Codes'!$C$2:$C2662,MATCH($B108,'HS Codes'!$A$2:$A2662,0)),"")</f>
        <v>Pet Towel - Toilet Linen 100% recycled 220 GSM/83% polyester/17% polyamide includes cotton on the packing pouch drawstring</v>
      </c>
      <c r="N108" s="9"/>
      <c r="O108" s="9"/>
      <c r="P108" s="9"/>
      <c r="Q108" s="9"/>
    </row>
    <row r="109" spans="1:17" ht="15.75" customHeight="1">
      <c r="A109" s="7" t="s">
        <v>395</v>
      </c>
      <c r="B109" s="7" t="s">
        <v>103</v>
      </c>
      <c r="C109" s="7" t="s">
        <v>278</v>
      </c>
      <c r="D109" s="7" t="s">
        <v>104</v>
      </c>
      <c r="E109" s="7" t="s">
        <v>279</v>
      </c>
      <c r="F109" s="8" t="str">
        <f>_xlfn.IFNA(INDEX('HS Codes'!$D$2:$K2663,MATCH($B109,'HS Codes'!$A$2:$A2663,0),MATCH(F$1,'HS Codes'!$D$1:$K$1,0)),"")</f>
        <v>6302.93.2000</v>
      </c>
      <c r="G109" s="8">
        <f>_xlfn.IFNA(INDEX('HS Codes'!$D$2:$K2663,MATCH($B109,'HS Codes'!$A$2:$A2663,0),MATCH(G$1,'HS Codes'!$D$1:$K$1,0)),"")</f>
        <v>6302600090</v>
      </c>
      <c r="H109" s="8" t="str">
        <f>_xlfn.IFNA(INDEX('HS Codes'!$D$2:$K2663,MATCH($B109,'HS Codes'!$A$2:$A2663,0),MATCH(H$1,'HS Codes'!$D$1:$K$1,0)),"")</f>
        <v>6302.93.00.00</v>
      </c>
      <c r="I109" s="8">
        <f>_xlfn.IFNA(INDEX('HS Codes'!$D$2:$K2663,MATCH($B109,'HS Codes'!$A$2:$A2663,0),MATCH(I$1,'HS Codes'!$D$1:$K$1,0)),"")</f>
        <v>6302939000</v>
      </c>
      <c r="J109" s="8">
        <f>_xlfn.IFNA(INDEX('HS Codes'!$D$2:$K2663,MATCH($B109,'HS Codes'!$A$2:$A2663,0),MATCH(J$1,'HS Codes'!$D$1:$K$1,0)),"")</f>
        <v>0</v>
      </c>
      <c r="K109" s="8" t="str">
        <f>_xlfn.IFNA(INDEX('HS Codes'!$D$2:$K2663,MATCH($B109,'HS Codes'!$A$2:$A2663,0),MATCH(K$1,'HS Codes'!$D$1:$K$1,0)),"")</f>
        <v>6302.39.00</v>
      </c>
      <c r="L109" s="8">
        <f>_xlfn.IFNA(INDEX('HS Codes'!$D$2:$K2663,MATCH($B109,'HS Codes'!$A$2:$A2663,0),MATCH(L$1,'HS Codes'!$D$1:$K$1,0)),"")</f>
        <v>6507</v>
      </c>
      <c r="M109" s="8" t="str">
        <f>_xlfn.IFNA(INDEX('HS Codes'!$C$2:$C2663,MATCH($B109,'HS Codes'!$A$2:$A2663,0)),"")</f>
        <v>Pet Towel - Toilet Linen 100% recycled 220 GSM/83% polyester/17% polyamide includes cotton on the packing pouch drawstring</v>
      </c>
      <c r="N109" s="9"/>
      <c r="O109" s="9"/>
      <c r="P109" s="9"/>
      <c r="Q109" s="9"/>
    </row>
    <row r="110" spans="1:17" ht="15.75" customHeight="1">
      <c r="A110" s="7" t="s">
        <v>396</v>
      </c>
      <c r="B110" s="7" t="s">
        <v>103</v>
      </c>
      <c r="C110" s="7" t="s">
        <v>278</v>
      </c>
      <c r="D110" s="7" t="s">
        <v>104</v>
      </c>
      <c r="E110" s="7" t="s">
        <v>279</v>
      </c>
      <c r="F110" s="8" t="str">
        <f>_xlfn.IFNA(INDEX('HS Codes'!$D$2:$K2664,MATCH($B110,'HS Codes'!$A$2:$A2664,0),MATCH(F$1,'HS Codes'!$D$1:$K$1,0)),"")</f>
        <v>6302.93.2000</v>
      </c>
      <c r="G110" s="8">
        <f>_xlfn.IFNA(INDEX('HS Codes'!$D$2:$K2664,MATCH($B110,'HS Codes'!$A$2:$A2664,0),MATCH(G$1,'HS Codes'!$D$1:$K$1,0)),"")</f>
        <v>6302600090</v>
      </c>
      <c r="H110" s="8" t="str">
        <f>_xlfn.IFNA(INDEX('HS Codes'!$D$2:$K2664,MATCH($B110,'HS Codes'!$A$2:$A2664,0),MATCH(H$1,'HS Codes'!$D$1:$K$1,0)),"")</f>
        <v>6302.93.00.00</v>
      </c>
      <c r="I110" s="8">
        <f>_xlfn.IFNA(INDEX('HS Codes'!$D$2:$K2664,MATCH($B110,'HS Codes'!$A$2:$A2664,0),MATCH(I$1,'HS Codes'!$D$1:$K$1,0)),"")</f>
        <v>6302939000</v>
      </c>
      <c r="J110" s="8">
        <f>_xlfn.IFNA(INDEX('HS Codes'!$D$2:$K2664,MATCH($B110,'HS Codes'!$A$2:$A2664,0),MATCH(J$1,'HS Codes'!$D$1:$K$1,0)),"")</f>
        <v>0</v>
      </c>
      <c r="K110" s="8" t="str">
        <f>_xlfn.IFNA(INDEX('HS Codes'!$D$2:$K2664,MATCH($B110,'HS Codes'!$A$2:$A2664,0),MATCH(K$1,'HS Codes'!$D$1:$K$1,0)),"")</f>
        <v>6302.39.00</v>
      </c>
      <c r="L110" s="8">
        <f>_xlfn.IFNA(INDEX('HS Codes'!$D$2:$K2664,MATCH($B110,'HS Codes'!$A$2:$A2664,0),MATCH(L$1,'HS Codes'!$D$1:$K$1,0)),"")</f>
        <v>6507</v>
      </c>
      <c r="M110" s="8" t="str">
        <f>_xlfn.IFNA(INDEX('HS Codes'!$C$2:$C2664,MATCH($B110,'HS Codes'!$A$2:$A2664,0)),"")</f>
        <v>Pet Towel - Toilet Linen 100% recycled 220 GSM/83% polyester/17% polyamide includes cotton on the packing pouch drawstring</v>
      </c>
      <c r="N110" s="9"/>
      <c r="O110" s="9"/>
      <c r="P110" s="9"/>
      <c r="Q110" s="9"/>
    </row>
    <row r="111" spans="1:17" ht="15.75" customHeight="1">
      <c r="A111" s="7" t="s">
        <v>397</v>
      </c>
      <c r="B111" s="7" t="s">
        <v>103</v>
      </c>
      <c r="C111" s="7" t="s">
        <v>278</v>
      </c>
      <c r="D111" s="7" t="s">
        <v>104</v>
      </c>
      <c r="E111" s="7" t="s">
        <v>279</v>
      </c>
      <c r="F111" s="8" t="str">
        <f>_xlfn.IFNA(INDEX('HS Codes'!$D$2:$K2665,MATCH($B111,'HS Codes'!$A$2:$A2665,0),MATCH(F$1,'HS Codes'!$D$1:$K$1,0)),"")</f>
        <v>6302.93.2000</v>
      </c>
      <c r="G111" s="8">
        <f>_xlfn.IFNA(INDEX('HS Codes'!$D$2:$K2665,MATCH($B111,'HS Codes'!$A$2:$A2665,0),MATCH(G$1,'HS Codes'!$D$1:$K$1,0)),"")</f>
        <v>6302600090</v>
      </c>
      <c r="H111" s="8" t="str">
        <f>_xlfn.IFNA(INDEX('HS Codes'!$D$2:$K2665,MATCH($B111,'HS Codes'!$A$2:$A2665,0),MATCH(H$1,'HS Codes'!$D$1:$K$1,0)),"")</f>
        <v>6302.93.00.00</v>
      </c>
      <c r="I111" s="8">
        <f>_xlfn.IFNA(INDEX('HS Codes'!$D$2:$K2665,MATCH($B111,'HS Codes'!$A$2:$A2665,0),MATCH(I$1,'HS Codes'!$D$1:$K$1,0)),"")</f>
        <v>6302939000</v>
      </c>
      <c r="J111" s="8">
        <f>_xlfn.IFNA(INDEX('HS Codes'!$D$2:$K2665,MATCH($B111,'HS Codes'!$A$2:$A2665,0),MATCH(J$1,'HS Codes'!$D$1:$K$1,0)),"")</f>
        <v>0</v>
      </c>
      <c r="K111" s="8" t="str">
        <f>_xlfn.IFNA(INDEX('HS Codes'!$D$2:$K2665,MATCH($B111,'HS Codes'!$A$2:$A2665,0),MATCH(K$1,'HS Codes'!$D$1:$K$1,0)),"")</f>
        <v>6302.39.00</v>
      </c>
      <c r="L111" s="8">
        <f>_xlfn.IFNA(INDEX('HS Codes'!$D$2:$K2665,MATCH($B111,'HS Codes'!$A$2:$A2665,0),MATCH(L$1,'HS Codes'!$D$1:$K$1,0)),"")</f>
        <v>6507</v>
      </c>
      <c r="M111" s="8" t="str">
        <f>_xlfn.IFNA(INDEX('HS Codes'!$C$2:$C2665,MATCH($B111,'HS Codes'!$A$2:$A2665,0)),"")</f>
        <v>Pet Towel - Toilet Linen 100% recycled 220 GSM/83% polyester/17% polyamide includes cotton on the packing pouch drawstring</v>
      </c>
      <c r="N111" s="9"/>
      <c r="O111" s="9"/>
      <c r="P111" s="9"/>
      <c r="Q111" s="9"/>
    </row>
    <row r="112" spans="1:17" ht="15.75" customHeight="1">
      <c r="A112" s="7" t="s">
        <v>398</v>
      </c>
      <c r="B112" s="7" t="s">
        <v>108</v>
      </c>
      <c r="C112" s="7" t="s">
        <v>275</v>
      </c>
      <c r="D112" s="7" t="s">
        <v>109</v>
      </c>
      <c r="E112" s="7" t="s">
        <v>109</v>
      </c>
      <c r="F112" s="8" t="str">
        <f>_xlfn.IFNA(INDEX('HS Codes'!$D$2:$K2666,MATCH($B112,'HS Codes'!$A$2:$A2666,0),MATCH(F$1,'HS Codes'!$D$1:$K$1,0)),"")</f>
        <v>6307.90.9891</v>
      </c>
      <c r="G112" s="8">
        <f>_xlfn.IFNA(INDEX('HS Codes'!$D$2:$K2666,MATCH($B112,'HS Codes'!$A$2:$A2666,0),MATCH(G$1,'HS Codes'!$D$1:$K$1,0)),"")</f>
        <v>6307909891</v>
      </c>
      <c r="H112" s="8">
        <f>_xlfn.IFNA(INDEX('HS Codes'!$D$2:$K2666,MATCH($B112,'HS Codes'!$A$2:$A2666,0),MATCH(H$1,'HS Codes'!$D$1:$K$1,0)),"")</f>
        <v>0</v>
      </c>
      <c r="I112" s="8">
        <f>_xlfn.IFNA(INDEX('HS Codes'!$D$2:$K2666,MATCH($B112,'HS Codes'!$A$2:$A2666,0),MATCH(I$1,'HS Codes'!$D$1:$K$1,0)),"")</f>
        <v>0</v>
      </c>
      <c r="J112" s="8">
        <f>_xlfn.IFNA(INDEX('HS Codes'!$D$2:$K2666,MATCH($B112,'HS Codes'!$A$2:$A2666,0),MATCH(J$1,'HS Codes'!$D$1:$K$1,0)),"")</f>
        <v>0</v>
      </c>
      <c r="K112" s="8">
        <f>_xlfn.IFNA(INDEX('HS Codes'!$D$2:$K2666,MATCH($B112,'HS Codes'!$A$2:$A2666,0),MATCH(K$1,'HS Codes'!$D$1:$K$1,0)),"")</f>
        <v>0</v>
      </c>
      <c r="L112" s="8">
        <f>_xlfn.IFNA(INDEX('HS Codes'!$D$2:$K2666,MATCH($B112,'HS Codes'!$A$2:$A2666,0),MATCH(L$1,'HS Codes'!$D$1:$K$1,0)),"")</f>
        <v>0</v>
      </c>
      <c r="M112" s="8" t="str">
        <f>_xlfn.IFNA(INDEX('HS Codes'!$C$2:$C2666,MATCH($B112,'HS Codes'!$A$2:$A2666,0)),"")</f>
        <v>Sleeping Eye Cover 30% DuPont Sorona and 70% polyester. The eye cover fabric is 100% polyester (no cotton)</v>
      </c>
      <c r="N112" s="9"/>
      <c r="O112" s="9"/>
      <c r="P112" s="9"/>
      <c r="Q112" s="9"/>
    </row>
    <row r="113" spans="1:17" ht="15.75" customHeight="1">
      <c r="A113" s="7" t="s">
        <v>399</v>
      </c>
      <c r="B113" s="7"/>
      <c r="C113" s="7"/>
      <c r="D113" s="7"/>
      <c r="E113" s="7"/>
      <c r="F113" s="8" t="str">
        <f>_xlfn.IFNA(INDEX('HS Codes'!$D$2:$K2667,MATCH($B113,'HS Codes'!$A$2:$A2667,0),MATCH(F$1,'HS Codes'!$D$1:$K$1,0)),"")</f>
        <v/>
      </c>
      <c r="G113" s="8" t="str">
        <f>_xlfn.IFNA(INDEX('HS Codes'!$D$2:$K2667,MATCH($B113,'HS Codes'!$A$2:$A2667,0),MATCH(G$1,'HS Codes'!$D$1:$K$1,0)),"")</f>
        <v/>
      </c>
      <c r="H113" s="8" t="str">
        <f>_xlfn.IFNA(INDEX('HS Codes'!$D$2:$K2667,MATCH($B113,'HS Codes'!$A$2:$A2667,0),MATCH(H$1,'HS Codes'!$D$1:$K$1,0)),"")</f>
        <v/>
      </c>
      <c r="I113" s="8" t="str">
        <f>_xlfn.IFNA(INDEX('HS Codes'!$D$2:$K2667,MATCH($B113,'HS Codes'!$A$2:$A2667,0),MATCH(I$1,'HS Codes'!$D$1:$K$1,0)),"")</f>
        <v/>
      </c>
      <c r="J113" s="8" t="str">
        <f>_xlfn.IFNA(INDEX('HS Codes'!$D$2:$K2667,MATCH($B113,'HS Codes'!$A$2:$A2667,0),MATCH(J$1,'HS Codes'!$D$1:$K$1,0)),"")</f>
        <v/>
      </c>
      <c r="K113" s="8" t="str">
        <f>_xlfn.IFNA(INDEX('HS Codes'!$D$2:$K2667,MATCH($B113,'HS Codes'!$A$2:$A2667,0),MATCH(K$1,'HS Codes'!$D$1:$K$1,0)),"")</f>
        <v/>
      </c>
      <c r="L113" s="8" t="str">
        <f>_xlfn.IFNA(INDEX('HS Codes'!$D$2:$K2667,MATCH($B113,'HS Codes'!$A$2:$A2667,0),MATCH(L$1,'HS Codes'!$D$1:$K$1,0)),"")</f>
        <v/>
      </c>
      <c r="M113" s="8" t="str">
        <f>_xlfn.IFNA(INDEX('HS Codes'!$C$2:$C2667,MATCH($B113,'HS Codes'!$A$2:$A2667,0)),"")</f>
        <v/>
      </c>
      <c r="N113" s="9"/>
      <c r="O113" s="9"/>
      <c r="P113" s="9"/>
      <c r="Q113" s="9"/>
    </row>
    <row r="114" spans="1:17" ht="15.75" customHeight="1">
      <c r="A114" s="7" t="s">
        <v>400</v>
      </c>
      <c r="B114" s="7" t="s">
        <v>108</v>
      </c>
      <c r="C114" s="7" t="s">
        <v>275</v>
      </c>
      <c r="D114" s="7" t="s">
        <v>109</v>
      </c>
      <c r="E114" s="7" t="s">
        <v>109</v>
      </c>
      <c r="F114" s="8" t="str">
        <f>_xlfn.IFNA(INDEX('HS Codes'!$D$2:$K2668,MATCH($B114,'HS Codes'!$A$2:$A2668,0),MATCH(F$1,'HS Codes'!$D$1:$K$1,0)),"")</f>
        <v>6307.90.9891</v>
      </c>
      <c r="G114" s="8">
        <f>_xlfn.IFNA(INDEX('HS Codes'!$D$2:$K2668,MATCH($B114,'HS Codes'!$A$2:$A2668,0),MATCH(G$1,'HS Codes'!$D$1:$K$1,0)),"")</f>
        <v>6307909891</v>
      </c>
      <c r="H114" s="8">
        <f>_xlfn.IFNA(INDEX('HS Codes'!$D$2:$K2668,MATCH($B114,'HS Codes'!$A$2:$A2668,0),MATCH(H$1,'HS Codes'!$D$1:$K$1,0)),"")</f>
        <v>0</v>
      </c>
      <c r="I114" s="8">
        <f>_xlfn.IFNA(INDEX('HS Codes'!$D$2:$K2668,MATCH($B114,'HS Codes'!$A$2:$A2668,0),MATCH(I$1,'HS Codes'!$D$1:$K$1,0)),"")</f>
        <v>0</v>
      </c>
      <c r="J114" s="8">
        <f>_xlfn.IFNA(INDEX('HS Codes'!$D$2:$K2668,MATCH($B114,'HS Codes'!$A$2:$A2668,0),MATCH(J$1,'HS Codes'!$D$1:$K$1,0)),"")</f>
        <v>0</v>
      </c>
      <c r="K114" s="8">
        <f>_xlfn.IFNA(INDEX('HS Codes'!$D$2:$K2668,MATCH($B114,'HS Codes'!$A$2:$A2668,0),MATCH(K$1,'HS Codes'!$D$1:$K$1,0)),"")</f>
        <v>0</v>
      </c>
      <c r="L114" s="8">
        <f>_xlfn.IFNA(INDEX('HS Codes'!$D$2:$K2668,MATCH($B114,'HS Codes'!$A$2:$A2668,0),MATCH(L$1,'HS Codes'!$D$1:$K$1,0)),"")</f>
        <v>0</v>
      </c>
      <c r="M114" s="8" t="str">
        <f>_xlfn.IFNA(INDEX('HS Codes'!$C$2:$C2668,MATCH($B114,'HS Codes'!$A$2:$A2668,0)),"")</f>
        <v>Sleeping Eye Cover 30% DuPont Sorona and 70% polyester. The eye cover fabric is 100% polyester (no cotton)</v>
      </c>
      <c r="N114" s="9"/>
      <c r="O114" s="9"/>
      <c r="P114" s="9"/>
      <c r="Q114" s="9"/>
    </row>
    <row r="115" spans="1:17" ht="15.75" customHeight="1">
      <c r="A115" s="7" t="s">
        <v>401</v>
      </c>
      <c r="B115" s="7" t="s">
        <v>108</v>
      </c>
      <c r="C115" s="7" t="s">
        <v>275</v>
      </c>
      <c r="D115" s="7" t="s">
        <v>109</v>
      </c>
      <c r="E115" s="7" t="s">
        <v>109</v>
      </c>
      <c r="F115" s="8" t="str">
        <f>_xlfn.IFNA(INDEX('HS Codes'!$D$2:$K2669,MATCH($B115,'HS Codes'!$A$2:$A2669,0),MATCH(F$1,'HS Codes'!$D$1:$K$1,0)),"")</f>
        <v>6307.90.9891</v>
      </c>
      <c r="G115" s="8">
        <f>_xlfn.IFNA(INDEX('HS Codes'!$D$2:$K2669,MATCH($B115,'HS Codes'!$A$2:$A2669,0),MATCH(G$1,'HS Codes'!$D$1:$K$1,0)),"")</f>
        <v>6307909891</v>
      </c>
      <c r="H115" s="8">
        <f>_xlfn.IFNA(INDEX('HS Codes'!$D$2:$K2669,MATCH($B115,'HS Codes'!$A$2:$A2669,0),MATCH(H$1,'HS Codes'!$D$1:$K$1,0)),"")</f>
        <v>0</v>
      </c>
      <c r="I115" s="8">
        <f>_xlfn.IFNA(INDEX('HS Codes'!$D$2:$K2669,MATCH($B115,'HS Codes'!$A$2:$A2669,0),MATCH(I$1,'HS Codes'!$D$1:$K$1,0)),"")</f>
        <v>0</v>
      </c>
      <c r="J115" s="8">
        <f>_xlfn.IFNA(INDEX('HS Codes'!$D$2:$K2669,MATCH($B115,'HS Codes'!$A$2:$A2669,0),MATCH(J$1,'HS Codes'!$D$1:$K$1,0)),"")</f>
        <v>0</v>
      </c>
      <c r="K115" s="8">
        <f>_xlfn.IFNA(INDEX('HS Codes'!$D$2:$K2669,MATCH($B115,'HS Codes'!$A$2:$A2669,0),MATCH(K$1,'HS Codes'!$D$1:$K$1,0)),"")</f>
        <v>0</v>
      </c>
      <c r="L115" s="8">
        <f>_xlfn.IFNA(INDEX('HS Codes'!$D$2:$K2669,MATCH($B115,'HS Codes'!$A$2:$A2669,0),MATCH(L$1,'HS Codes'!$D$1:$K$1,0)),"")</f>
        <v>0</v>
      </c>
      <c r="M115" s="8" t="str">
        <f>_xlfn.IFNA(INDEX('HS Codes'!$C$2:$C2669,MATCH($B115,'HS Codes'!$A$2:$A2669,0)),"")</f>
        <v>Sleeping Eye Cover 30% DuPont Sorona and 70% polyester. The eye cover fabric is 100% polyester (no cotton)</v>
      </c>
      <c r="N115" s="9"/>
      <c r="O115" s="9"/>
      <c r="P115" s="9"/>
      <c r="Q115" s="9"/>
    </row>
    <row r="116" spans="1:17" ht="15.75" customHeight="1">
      <c r="A116" s="7" t="s">
        <v>402</v>
      </c>
      <c r="B116" s="7" t="s">
        <v>108</v>
      </c>
      <c r="C116" s="7" t="s">
        <v>275</v>
      </c>
      <c r="D116" s="7" t="s">
        <v>109</v>
      </c>
      <c r="E116" s="7" t="s">
        <v>109</v>
      </c>
      <c r="F116" s="8" t="str">
        <f>_xlfn.IFNA(INDEX('HS Codes'!$D$2:$K2670,MATCH($B116,'HS Codes'!$A$2:$A2670,0),MATCH(F$1,'HS Codes'!$D$1:$K$1,0)),"")</f>
        <v>6307.90.9891</v>
      </c>
      <c r="G116" s="8">
        <f>_xlfn.IFNA(INDEX('HS Codes'!$D$2:$K2670,MATCH($B116,'HS Codes'!$A$2:$A2670,0),MATCH(G$1,'HS Codes'!$D$1:$K$1,0)),"")</f>
        <v>6307909891</v>
      </c>
      <c r="H116" s="8">
        <f>_xlfn.IFNA(INDEX('HS Codes'!$D$2:$K2670,MATCH($B116,'HS Codes'!$A$2:$A2670,0),MATCH(H$1,'HS Codes'!$D$1:$K$1,0)),"")</f>
        <v>0</v>
      </c>
      <c r="I116" s="8">
        <f>_xlfn.IFNA(INDEX('HS Codes'!$D$2:$K2670,MATCH($B116,'HS Codes'!$A$2:$A2670,0),MATCH(I$1,'HS Codes'!$D$1:$K$1,0)),"")</f>
        <v>0</v>
      </c>
      <c r="J116" s="8">
        <f>_xlfn.IFNA(INDEX('HS Codes'!$D$2:$K2670,MATCH($B116,'HS Codes'!$A$2:$A2670,0),MATCH(J$1,'HS Codes'!$D$1:$K$1,0)),"")</f>
        <v>0</v>
      </c>
      <c r="K116" s="8">
        <f>_xlfn.IFNA(INDEX('HS Codes'!$D$2:$K2670,MATCH($B116,'HS Codes'!$A$2:$A2670,0),MATCH(K$1,'HS Codes'!$D$1:$K$1,0)),"")</f>
        <v>0</v>
      </c>
      <c r="L116" s="8">
        <f>_xlfn.IFNA(INDEX('HS Codes'!$D$2:$K2670,MATCH($B116,'HS Codes'!$A$2:$A2670,0),MATCH(L$1,'HS Codes'!$D$1:$K$1,0)),"")</f>
        <v>0</v>
      </c>
      <c r="M116" s="8" t="str">
        <f>_xlfn.IFNA(INDEX('HS Codes'!$C$2:$C2670,MATCH($B116,'HS Codes'!$A$2:$A2670,0)),"")</f>
        <v>Sleeping Eye Cover 30% DuPont Sorona and 70% polyester. The eye cover fabric is 100% polyester (no cotton)</v>
      </c>
      <c r="N116" s="9"/>
      <c r="O116" s="9"/>
      <c r="P116" s="9"/>
      <c r="Q116" s="9"/>
    </row>
    <row r="117" spans="1:17" ht="15.75" customHeight="1">
      <c r="A117" s="7" t="s">
        <v>403</v>
      </c>
      <c r="B117" s="7" t="s">
        <v>108</v>
      </c>
      <c r="C117" s="7" t="s">
        <v>275</v>
      </c>
      <c r="D117" s="7" t="s">
        <v>109</v>
      </c>
      <c r="E117" s="7" t="s">
        <v>109</v>
      </c>
      <c r="F117" s="8" t="str">
        <f>_xlfn.IFNA(INDEX('HS Codes'!$D$2:$K2671,MATCH($B117,'HS Codes'!$A$2:$A2671,0),MATCH(F$1,'HS Codes'!$D$1:$K$1,0)),"")</f>
        <v>6307.90.9891</v>
      </c>
      <c r="G117" s="8">
        <f>_xlfn.IFNA(INDEX('HS Codes'!$D$2:$K2671,MATCH($B117,'HS Codes'!$A$2:$A2671,0),MATCH(G$1,'HS Codes'!$D$1:$K$1,0)),"")</f>
        <v>6307909891</v>
      </c>
      <c r="H117" s="8">
        <f>_xlfn.IFNA(INDEX('HS Codes'!$D$2:$K2671,MATCH($B117,'HS Codes'!$A$2:$A2671,0),MATCH(H$1,'HS Codes'!$D$1:$K$1,0)),"")</f>
        <v>0</v>
      </c>
      <c r="I117" s="8">
        <f>_xlfn.IFNA(INDEX('HS Codes'!$D$2:$K2671,MATCH($B117,'HS Codes'!$A$2:$A2671,0),MATCH(I$1,'HS Codes'!$D$1:$K$1,0)),"")</f>
        <v>0</v>
      </c>
      <c r="J117" s="8">
        <f>_xlfn.IFNA(INDEX('HS Codes'!$D$2:$K2671,MATCH($B117,'HS Codes'!$A$2:$A2671,0),MATCH(J$1,'HS Codes'!$D$1:$K$1,0)),"")</f>
        <v>0</v>
      </c>
      <c r="K117" s="8">
        <f>_xlfn.IFNA(INDEX('HS Codes'!$D$2:$K2671,MATCH($B117,'HS Codes'!$A$2:$A2671,0),MATCH(K$1,'HS Codes'!$D$1:$K$1,0)),"")</f>
        <v>0</v>
      </c>
      <c r="L117" s="8">
        <f>_xlfn.IFNA(INDEX('HS Codes'!$D$2:$K2671,MATCH($B117,'HS Codes'!$A$2:$A2671,0),MATCH(L$1,'HS Codes'!$D$1:$K$1,0)),"")</f>
        <v>0</v>
      </c>
      <c r="M117" s="8" t="str">
        <f>_xlfn.IFNA(INDEX('HS Codes'!$C$2:$C2671,MATCH($B117,'HS Codes'!$A$2:$A2671,0)),"")</f>
        <v>Sleeping Eye Cover 30% DuPont Sorona and 70% polyester. The eye cover fabric is 100% polyester (no cotton)</v>
      </c>
      <c r="N117" s="9"/>
      <c r="O117" s="9"/>
      <c r="P117" s="9"/>
      <c r="Q117" s="9"/>
    </row>
    <row r="118" spans="1:17" ht="15.75" customHeight="1">
      <c r="A118" s="7" t="s">
        <v>404</v>
      </c>
      <c r="B118" s="7" t="s">
        <v>108</v>
      </c>
      <c r="C118" s="7" t="s">
        <v>275</v>
      </c>
      <c r="D118" s="7" t="s">
        <v>109</v>
      </c>
      <c r="E118" s="7" t="s">
        <v>109</v>
      </c>
      <c r="F118" s="8" t="str">
        <f>_xlfn.IFNA(INDEX('HS Codes'!$D$2:$K2672,MATCH($B118,'HS Codes'!$A$2:$A2672,0),MATCH(F$1,'HS Codes'!$D$1:$K$1,0)),"")</f>
        <v>6307.90.9891</v>
      </c>
      <c r="G118" s="8">
        <f>_xlfn.IFNA(INDEX('HS Codes'!$D$2:$K2672,MATCH($B118,'HS Codes'!$A$2:$A2672,0),MATCH(G$1,'HS Codes'!$D$1:$K$1,0)),"")</f>
        <v>6307909891</v>
      </c>
      <c r="H118" s="8">
        <f>_xlfn.IFNA(INDEX('HS Codes'!$D$2:$K2672,MATCH($B118,'HS Codes'!$A$2:$A2672,0),MATCH(H$1,'HS Codes'!$D$1:$K$1,0)),"")</f>
        <v>0</v>
      </c>
      <c r="I118" s="8">
        <f>_xlfn.IFNA(INDEX('HS Codes'!$D$2:$K2672,MATCH($B118,'HS Codes'!$A$2:$A2672,0),MATCH(I$1,'HS Codes'!$D$1:$K$1,0)),"")</f>
        <v>0</v>
      </c>
      <c r="J118" s="8">
        <f>_xlfn.IFNA(INDEX('HS Codes'!$D$2:$K2672,MATCH($B118,'HS Codes'!$A$2:$A2672,0),MATCH(J$1,'HS Codes'!$D$1:$K$1,0)),"")</f>
        <v>0</v>
      </c>
      <c r="K118" s="8">
        <f>_xlfn.IFNA(INDEX('HS Codes'!$D$2:$K2672,MATCH($B118,'HS Codes'!$A$2:$A2672,0),MATCH(K$1,'HS Codes'!$D$1:$K$1,0)),"")</f>
        <v>0</v>
      </c>
      <c r="L118" s="8">
        <f>_xlfn.IFNA(INDEX('HS Codes'!$D$2:$K2672,MATCH($B118,'HS Codes'!$A$2:$A2672,0),MATCH(L$1,'HS Codes'!$D$1:$K$1,0)),"")</f>
        <v>0</v>
      </c>
      <c r="M118" s="8" t="str">
        <f>_xlfn.IFNA(INDEX('HS Codes'!$C$2:$C2672,MATCH($B118,'HS Codes'!$A$2:$A2672,0)),"")</f>
        <v>Sleeping Eye Cover 30% DuPont Sorona and 70% polyester. The eye cover fabric is 100% polyester (no cotton)</v>
      </c>
      <c r="N118" s="9"/>
      <c r="O118" s="9"/>
      <c r="P118" s="9"/>
      <c r="Q118" s="9"/>
    </row>
    <row r="119" spans="1:17" ht="15.75" customHeight="1">
      <c r="A119" s="7" t="s">
        <v>405</v>
      </c>
      <c r="B119" s="7"/>
      <c r="C119" s="7"/>
      <c r="D119" s="7"/>
      <c r="E119" s="7"/>
      <c r="F119" s="8" t="str">
        <f>_xlfn.IFNA(INDEX('HS Codes'!$D$2:$K2673,MATCH($B119,'HS Codes'!$A$2:$A2673,0),MATCH(F$1,'HS Codes'!$D$1:$K$1,0)),"")</f>
        <v/>
      </c>
      <c r="G119" s="8" t="str">
        <f>_xlfn.IFNA(INDEX('HS Codes'!$D$2:$K2673,MATCH($B119,'HS Codes'!$A$2:$A2673,0),MATCH(G$1,'HS Codes'!$D$1:$K$1,0)),"")</f>
        <v/>
      </c>
      <c r="H119" s="8" t="str">
        <f>_xlfn.IFNA(INDEX('HS Codes'!$D$2:$K2673,MATCH($B119,'HS Codes'!$A$2:$A2673,0),MATCH(H$1,'HS Codes'!$D$1:$K$1,0)),"")</f>
        <v/>
      </c>
      <c r="I119" s="8" t="str">
        <f>_xlfn.IFNA(INDEX('HS Codes'!$D$2:$K2673,MATCH($B119,'HS Codes'!$A$2:$A2673,0),MATCH(I$1,'HS Codes'!$D$1:$K$1,0)),"")</f>
        <v/>
      </c>
      <c r="J119" s="8" t="str">
        <f>_xlfn.IFNA(INDEX('HS Codes'!$D$2:$K2673,MATCH($B119,'HS Codes'!$A$2:$A2673,0),MATCH(J$1,'HS Codes'!$D$1:$K$1,0)),"")</f>
        <v/>
      </c>
      <c r="K119" s="8" t="str">
        <f>_xlfn.IFNA(INDEX('HS Codes'!$D$2:$K2673,MATCH($B119,'HS Codes'!$A$2:$A2673,0),MATCH(K$1,'HS Codes'!$D$1:$K$1,0)),"")</f>
        <v/>
      </c>
      <c r="L119" s="8" t="str">
        <f>_xlfn.IFNA(INDEX('HS Codes'!$D$2:$K2673,MATCH($B119,'HS Codes'!$A$2:$A2673,0),MATCH(L$1,'HS Codes'!$D$1:$K$1,0)),"")</f>
        <v/>
      </c>
      <c r="M119" s="8" t="str">
        <f>_xlfn.IFNA(INDEX('HS Codes'!$C$2:$C2673,MATCH($B119,'HS Codes'!$A$2:$A2673,0)),"")</f>
        <v/>
      </c>
      <c r="N119" s="9"/>
      <c r="O119" s="9"/>
      <c r="P119" s="9"/>
      <c r="Q119" s="9"/>
    </row>
    <row r="120" spans="1:17" ht="15.75" customHeight="1">
      <c r="A120" s="7" t="s">
        <v>406</v>
      </c>
      <c r="B120" s="7" t="s">
        <v>112</v>
      </c>
      <c r="C120" s="7"/>
      <c r="D120" s="7" t="s">
        <v>113</v>
      </c>
      <c r="E120" s="7" t="s">
        <v>122</v>
      </c>
      <c r="F120" s="8" t="str">
        <f>_xlfn.IFNA(INDEX('HS Codes'!$D$2:$K2674,MATCH($B120,'HS Codes'!$A$2:$A2674,0),MATCH(F$1,'HS Codes'!$D$1:$K$1,0)),"")</f>
        <v>6504.00.90.15</v>
      </c>
      <c r="G120" s="8">
        <f>_xlfn.IFNA(INDEX('HS Codes'!$D$2:$K2674,MATCH($B120,'HS Codes'!$A$2:$A2674,0),MATCH(G$1,'HS Codes'!$D$1:$K$1,0)),"")</f>
        <v>6505009090</v>
      </c>
      <c r="H120" s="8" t="str">
        <f>_xlfn.IFNA(INDEX('HS Codes'!$D$2:$K2674,MATCH($B120,'HS Codes'!$A$2:$A2674,0),MATCH(H$1,'HS Codes'!$D$1:$K$1,0)),"")</f>
        <v>6505.00.40.00</v>
      </c>
      <c r="I120" s="8" t="str">
        <f>_xlfn.IFNA(INDEX('HS Codes'!$D$2:$K2674,MATCH($B120,'HS Codes'!$A$2:$A2674,0),MATCH(I$1,'HS Codes'!$D$1:$K$1,0)),"")</f>
        <v>6505.00.90.90</v>
      </c>
      <c r="J120" s="8">
        <f>_xlfn.IFNA(INDEX('HS Codes'!$D$2:$K2674,MATCH($B120,'HS Codes'!$A$2:$A2674,0),MATCH(J$1,'HS Codes'!$D$1:$K$1,0)),"")</f>
        <v>0</v>
      </c>
      <c r="K120" s="8" t="str">
        <f>_xlfn.IFNA(INDEX('HS Codes'!$D$2:$K2674,MATCH($B120,'HS Codes'!$A$2:$A2674,0),MATCH(K$1,'HS Codes'!$D$1:$K$1,0)),"")</f>
        <v>6505.00.90</v>
      </c>
      <c r="L120" s="8">
        <f>_xlfn.IFNA(INDEX('HS Codes'!$D$2:$K2674,MATCH($B120,'HS Codes'!$A$2:$A2674,0),MATCH(L$1,'HS Codes'!$D$1:$K$1,0)),"")</f>
        <v>0</v>
      </c>
      <c r="M120" s="8" t="str">
        <f>_xlfn.IFNA(INDEX('HS Codes'!$C$2:$C2674,MATCH($B120,'HS Codes'!$A$2:$A2674,0)),"")</f>
        <v>Makeup Wipe (100% recycled polyester), Hair Towel (100% recycled 200 GSM/83% polyester/17% polyamide) (no cotton)</v>
      </c>
      <c r="N120" s="9"/>
      <c r="O120" s="9"/>
      <c r="P120" s="9"/>
      <c r="Q120" s="9"/>
    </row>
    <row r="121" spans="1:17" ht="15.75" customHeight="1">
      <c r="A121" s="7" t="s">
        <v>407</v>
      </c>
      <c r="B121" s="7" t="s">
        <v>119</v>
      </c>
      <c r="C121" s="7"/>
      <c r="D121" s="7" t="s">
        <v>113</v>
      </c>
      <c r="E121" s="7" t="s">
        <v>122</v>
      </c>
      <c r="F121" s="8" t="str">
        <f>_xlfn.IFNA(INDEX('HS Codes'!$D$2:$K2675,MATCH($B121,'HS Codes'!$A$2:$A2675,0),MATCH(F$1,'HS Codes'!$D$1:$K$1,0)),"")</f>
        <v>6504.00.90.15</v>
      </c>
      <c r="G121" s="8">
        <f>_xlfn.IFNA(INDEX('HS Codes'!$D$2:$K2675,MATCH($B121,'HS Codes'!$A$2:$A2675,0),MATCH(G$1,'HS Codes'!$D$1:$K$1,0)),"")</f>
        <v>6505009090</v>
      </c>
      <c r="H121" s="8" t="str">
        <f>_xlfn.IFNA(INDEX('HS Codes'!$D$2:$K2675,MATCH($B121,'HS Codes'!$A$2:$A2675,0),MATCH(H$1,'HS Codes'!$D$1:$K$1,0)),"")</f>
        <v>6505.00.40.00</v>
      </c>
      <c r="I121" s="8" t="str">
        <f>_xlfn.IFNA(INDEX('HS Codes'!$D$2:$K2675,MATCH($B121,'HS Codes'!$A$2:$A2675,0),MATCH(I$1,'HS Codes'!$D$1:$K$1,0)),"")</f>
        <v>6505.00.90.90</v>
      </c>
      <c r="J121" s="8">
        <f>_xlfn.IFNA(INDEX('HS Codes'!$D$2:$K2675,MATCH($B121,'HS Codes'!$A$2:$A2675,0),MATCH(J$1,'HS Codes'!$D$1:$K$1,0)),"")</f>
        <v>0</v>
      </c>
      <c r="K121" s="8" t="str">
        <f>_xlfn.IFNA(INDEX('HS Codes'!$D$2:$K2675,MATCH($B121,'HS Codes'!$A$2:$A2675,0),MATCH(K$1,'HS Codes'!$D$1:$K$1,0)),"")</f>
        <v>6505.00.90</v>
      </c>
      <c r="L121" s="8">
        <f>_xlfn.IFNA(INDEX('HS Codes'!$D$2:$K2675,MATCH($B121,'HS Codes'!$A$2:$A2675,0),MATCH(L$1,'HS Codes'!$D$1:$K$1,0)),"")</f>
        <v>0</v>
      </c>
      <c r="M121" s="8" t="str">
        <f>_xlfn.IFNA(INDEX('HS Codes'!$C$2:$C2675,MATCH($B121,'HS Codes'!$A$2:$A2675,0)),"")</f>
        <v>Makeup Remover (100% recycled polyester), Hairwrap (100% recycled 200 GSM/83% polyester/17% polyamide) (no cotton)</v>
      </c>
      <c r="N121" s="9"/>
      <c r="O121" s="9"/>
      <c r="P121" s="9"/>
      <c r="Q121" s="9"/>
    </row>
    <row r="122" spans="1:17" ht="15.75" customHeight="1">
      <c r="A122" s="7" t="s">
        <v>408</v>
      </c>
      <c r="B122" s="7" t="s">
        <v>112</v>
      </c>
      <c r="C122" s="7"/>
      <c r="D122" s="7" t="s">
        <v>113</v>
      </c>
      <c r="E122" s="7" t="s">
        <v>122</v>
      </c>
      <c r="F122" s="8" t="str">
        <f>_xlfn.IFNA(INDEX('HS Codes'!$D$2:$K2676,MATCH($B122,'HS Codes'!$A$2:$A2676,0),MATCH(F$1,'HS Codes'!$D$1:$K$1,0)),"")</f>
        <v>6504.00.90.15</v>
      </c>
      <c r="G122" s="8">
        <f>_xlfn.IFNA(INDEX('HS Codes'!$D$2:$K2676,MATCH($B122,'HS Codes'!$A$2:$A2676,0),MATCH(G$1,'HS Codes'!$D$1:$K$1,0)),"")</f>
        <v>6505009090</v>
      </c>
      <c r="H122" s="8" t="str">
        <f>_xlfn.IFNA(INDEX('HS Codes'!$D$2:$K2676,MATCH($B122,'HS Codes'!$A$2:$A2676,0),MATCH(H$1,'HS Codes'!$D$1:$K$1,0)),"")</f>
        <v>6505.00.40.00</v>
      </c>
      <c r="I122" s="8" t="str">
        <f>_xlfn.IFNA(INDEX('HS Codes'!$D$2:$K2676,MATCH($B122,'HS Codes'!$A$2:$A2676,0),MATCH(I$1,'HS Codes'!$D$1:$K$1,0)),"")</f>
        <v>6505.00.90.90</v>
      </c>
      <c r="J122" s="8">
        <f>_xlfn.IFNA(INDEX('HS Codes'!$D$2:$K2676,MATCH($B122,'HS Codes'!$A$2:$A2676,0),MATCH(J$1,'HS Codes'!$D$1:$K$1,0)),"")</f>
        <v>0</v>
      </c>
      <c r="K122" s="8" t="str">
        <f>_xlfn.IFNA(INDEX('HS Codes'!$D$2:$K2676,MATCH($B122,'HS Codes'!$A$2:$A2676,0),MATCH(K$1,'HS Codes'!$D$1:$K$1,0)),"")</f>
        <v>6505.00.90</v>
      </c>
      <c r="L122" s="8">
        <f>_xlfn.IFNA(INDEX('HS Codes'!$D$2:$K2676,MATCH($B122,'HS Codes'!$A$2:$A2676,0),MATCH(L$1,'HS Codes'!$D$1:$K$1,0)),"")</f>
        <v>0</v>
      </c>
      <c r="M122" s="8" t="str">
        <f>_xlfn.IFNA(INDEX('HS Codes'!$C$2:$C2676,MATCH($B122,'HS Codes'!$A$2:$A2676,0)),"")</f>
        <v>Makeup Wipe (100% recycled polyester), Hair Towel (100% recycled 200 GSM/83% polyester/17% polyamide) (no cotton)</v>
      </c>
      <c r="N122" s="9"/>
      <c r="O122" s="9"/>
      <c r="P122" s="9"/>
      <c r="Q122" s="9"/>
    </row>
    <row r="123" spans="1:17" ht="15.75" customHeight="1">
      <c r="A123" s="7" t="s">
        <v>409</v>
      </c>
      <c r="B123" s="7" t="s">
        <v>119</v>
      </c>
      <c r="C123" s="7"/>
      <c r="D123" s="7" t="s">
        <v>113</v>
      </c>
      <c r="E123" s="7" t="s">
        <v>122</v>
      </c>
      <c r="F123" s="8" t="str">
        <f>_xlfn.IFNA(INDEX('HS Codes'!$D$2:$K2677,MATCH($B123,'HS Codes'!$A$2:$A2677,0),MATCH(F$1,'HS Codes'!$D$1:$K$1,0)),"")</f>
        <v>6504.00.90.15</v>
      </c>
      <c r="G123" s="8">
        <f>_xlfn.IFNA(INDEX('HS Codes'!$D$2:$K2677,MATCH($B123,'HS Codes'!$A$2:$A2677,0),MATCH(G$1,'HS Codes'!$D$1:$K$1,0)),"")</f>
        <v>6505009090</v>
      </c>
      <c r="H123" s="8" t="str">
        <f>_xlfn.IFNA(INDEX('HS Codes'!$D$2:$K2677,MATCH($B123,'HS Codes'!$A$2:$A2677,0),MATCH(H$1,'HS Codes'!$D$1:$K$1,0)),"")</f>
        <v>6505.00.40.00</v>
      </c>
      <c r="I123" s="8" t="str">
        <f>_xlfn.IFNA(INDEX('HS Codes'!$D$2:$K2677,MATCH($B123,'HS Codes'!$A$2:$A2677,0),MATCH(I$1,'HS Codes'!$D$1:$K$1,0)),"")</f>
        <v>6505.00.90.90</v>
      </c>
      <c r="J123" s="8">
        <f>_xlfn.IFNA(INDEX('HS Codes'!$D$2:$K2677,MATCH($B123,'HS Codes'!$A$2:$A2677,0),MATCH(J$1,'HS Codes'!$D$1:$K$1,0)),"")</f>
        <v>0</v>
      </c>
      <c r="K123" s="8" t="str">
        <f>_xlfn.IFNA(INDEX('HS Codes'!$D$2:$K2677,MATCH($B123,'HS Codes'!$A$2:$A2677,0),MATCH(K$1,'HS Codes'!$D$1:$K$1,0)),"")</f>
        <v>6505.00.90</v>
      </c>
      <c r="L123" s="8">
        <f>_xlfn.IFNA(INDEX('HS Codes'!$D$2:$K2677,MATCH($B123,'HS Codes'!$A$2:$A2677,0),MATCH(L$1,'HS Codes'!$D$1:$K$1,0)),"")</f>
        <v>0</v>
      </c>
      <c r="M123" s="8" t="str">
        <f>_xlfn.IFNA(INDEX('HS Codes'!$C$2:$C2677,MATCH($B123,'HS Codes'!$A$2:$A2677,0)),"")</f>
        <v>Makeup Remover (100% recycled polyester), Hairwrap (100% recycled 200 GSM/83% polyester/17% polyamide) (no cotton)</v>
      </c>
      <c r="N123" s="9"/>
      <c r="O123" s="9"/>
      <c r="P123" s="9"/>
      <c r="Q123" s="9"/>
    </row>
    <row r="124" spans="1:17" ht="15.75" customHeight="1">
      <c r="A124" s="7" t="s">
        <v>410</v>
      </c>
      <c r="B124" s="7" t="s">
        <v>112</v>
      </c>
      <c r="C124" s="7"/>
      <c r="D124" s="7" t="s">
        <v>113</v>
      </c>
      <c r="E124" s="7" t="s">
        <v>122</v>
      </c>
      <c r="F124" s="8" t="str">
        <f>_xlfn.IFNA(INDEX('HS Codes'!$D$2:$K2678,MATCH($B124,'HS Codes'!$A$2:$A2678,0),MATCH(F$1,'HS Codes'!$D$1:$K$1,0)),"")</f>
        <v>6504.00.90.15</v>
      </c>
      <c r="G124" s="8">
        <f>_xlfn.IFNA(INDEX('HS Codes'!$D$2:$K2678,MATCH($B124,'HS Codes'!$A$2:$A2678,0),MATCH(G$1,'HS Codes'!$D$1:$K$1,0)),"")</f>
        <v>6505009090</v>
      </c>
      <c r="H124" s="8" t="str">
        <f>_xlfn.IFNA(INDEX('HS Codes'!$D$2:$K2678,MATCH($B124,'HS Codes'!$A$2:$A2678,0),MATCH(H$1,'HS Codes'!$D$1:$K$1,0)),"")</f>
        <v>6505.00.40.00</v>
      </c>
      <c r="I124" s="8" t="str">
        <f>_xlfn.IFNA(INDEX('HS Codes'!$D$2:$K2678,MATCH($B124,'HS Codes'!$A$2:$A2678,0),MATCH(I$1,'HS Codes'!$D$1:$K$1,0)),"")</f>
        <v>6505.00.90.90</v>
      </c>
      <c r="J124" s="8">
        <f>_xlfn.IFNA(INDEX('HS Codes'!$D$2:$K2678,MATCH($B124,'HS Codes'!$A$2:$A2678,0),MATCH(J$1,'HS Codes'!$D$1:$K$1,0)),"")</f>
        <v>0</v>
      </c>
      <c r="K124" s="8" t="str">
        <f>_xlfn.IFNA(INDEX('HS Codes'!$D$2:$K2678,MATCH($B124,'HS Codes'!$A$2:$A2678,0),MATCH(K$1,'HS Codes'!$D$1:$K$1,0)),"")</f>
        <v>6505.00.90</v>
      </c>
      <c r="L124" s="8">
        <f>_xlfn.IFNA(INDEX('HS Codes'!$D$2:$K2678,MATCH($B124,'HS Codes'!$A$2:$A2678,0),MATCH(L$1,'HS Codes'!$D$1:$K$1,0)),"")</f>
        <v>0</v>
      </c>
      <c r="M124" s="8" t="str">
        <f>_xlfn.IFNA(INDEX('HS Codes'!$C$2:$C2678,MATCH($B124,'HS Codes'!$A$2:$A2678,0)),"")</f>
        <v>Makeup Wipe (100% recycled polyester), Hair Towel (100% recycled 200 GSM/83% polyester/17% polyamide) (no cotton)</v>
      </c>
      <c r="N124" s="9"/>
      <c r="O124" s="9"/>
      <c r="P124" s="9"/>
      <c r="Q124" s="9"/>
    </row>
    <row r="125" spans="1:17" ht="15.75" customHeight="1">
      <c r="A125" s="7" t="s">
        <v>411</v>
      </c>
      <c r="B125" s="7" t="s">
        <v>112</v>
      </c>
      <c r="C125" s="7"/>
      <c r="D125" s="7" t="s">
        <v>113</v>
      </c>
      <c r="E125" s="7" t="s">
        <v>122</v>
      </c>
      <c r="F125" s="8" t="str">
        <f>_xlfn.IFNA(INDEX('HS Codes'!$D$2:$K2679,MATCH($B125,'HS Codes'!$A$2:$A2679,0),MATCH(F$1,'HS Codes'!$D$1:$K$1,0)),"")</f>
        <v>6504.00.90.15</v>
      </c>
      <c r="G125" s="8">
        <f>_xlfn.IFNA(INDEX('HS Codes'!$D$2:$K2679,MATCH($B125,'HS Codes'!$A$2:$A2679,0),MATCH(G$1,'HS Codes'!$D$1:$K$1,0)),"")</f>
        <v>6505009090</v>
      </c>
      <c r="H125" s="8" t="str">
        <f>_xlfn.IFNA(INDEX('HS Codes'!$D$2:$K2679,MATCH($B125,'HS Codes'!$A$2:$A2679,0),MATCH(H$1,'HS Codes'!$D$1:$K$1,0)),"")</f>
        <v>6505.00.40.00</v>
      </c>
      <c r="I125" s="8" t="str">
        <f>_xlfn.IFNA(INDEX('HS Codes'!$D$2:$K2679,MATCH($B125,'HS Codes'!$A$2:$A2679,0),MATCH(I$1,'HS Codes'!$D$1:$K$1,0)),"")</f>
        <v>6505.00.90.90</v>
      </c>
      <c r="J125" s="8">
        <f>_xlfn.IFNA(INDEX('HS Codes'!$D$2:$K2679,MATCH($B125,'HS Codes'!$A$2:$A2679,0),MATCH(J$1,'HS Codes'!$D$1:$K$1,0)),"")</f>
        <v>0</v>
      </c>
      <c r="K125" s="8" t="str">
        <f>_xlfn.IFNA(INDEX('HS Codes'!$D$2:$K2679,MATCH($B125,'HS Codes'!$A$2:$A2679,0),MATCH(K$1,'HS Codes'!$D$1:$K$1,0)),"")</f>
        <v>6505.00.90</v>
      </c>
      <c r="L125" s="8">
        <f>_xlfn.IFNA(INDEX('HS Codes'!$D$2:$K2679,MATCH($B125,'HS Codes'!$A$2:$A2679,0),MATCH(L$1,'HS Codes'!$D$1:$K$1,0)),"")</f>
        <v>0</v>
      </c>
      <c r="M125" s="8" t="str">
        <f>_xlfn.IFNA(INDEX('HS Codes'!$C$2:$C2679,MATCH($B125,'HS Codes'!$A$2:$A2679,0)),"")</f>
        <v>Makeup Wipe (100% recycled polyester), Hair Towel (100% recycled 200 GSM/83% polyester/17% polyamide) (no cotton)</v>
      </c>
      <c r="N125" s="9"/>
      <c r="O125" s="9"/>
      <c r="P125" s="9"/>
      <c r="Q125" s="9"/>
    </row>
    <row r="126" spans="1:17" ht="15.75" customHeight="1">
      <c r="A126" s="7" t="s">
        <v>412</v>
      </c>
      <c r="B126" s="7" t="s">
        <v>123</v>
      </c>
      <c r="C126" s="7"/>
      <c r="D126" s="7" t="s">
        <v>124</v>
      </c>
      <c r="E126" s="7" t="s">
        <v>122</v>
      </c>
      <c r="F126" s="8" t="str">
        <f>_xlfn.IFNA(INDEX('HS Codes'!$D$2:$K2680,MATCH($B126,'HS Codes'!$A$2:$A2680,0),MATCH(F$1,'HS Codes'!$D$1:$K$1,0)),"")</f>
        <v>6504.00.90.15</v>
      </c>
      <c r="G126" s="8">
        <f>_xlfn.IFNA(INDEX('HS Codes'!$D$2:$K2680,MATCH($B126,'HS Codes'!$A$2:$A2680,0),MATCH(G$1,'HS Codes'!$D$1:$K$1,0)),"")</f>
        <v>6505009090</v>
      </c>
      <c r="H126" s="8" t="str">
        <f>_xlfn.IFNA(INDEX('HS Codes'!$D$2:$K2680,MATCH($B126,'HS Codes'!$A$2:$A2680,0),MATCH(H$1,'HS Codes'!$D$1:$K$1,0)),"")</f>
        <v>6505.00.40.00</v>
      </c>
      <c r="I126" s="8" t="str">
        <f>_xlfn.IFNA(INDEX('HS Codes'!$D$2:$K2680,MATCH($B126,'HS Codes'!$A$2:$A2680,0),MATCH(I$1,'HS Codes'!$D$1:$K$1,0)),"")</f>
        <v>6505.00.90.90</v>
      </c>
      <c r="J126" s="8">
        <f>_xlfn.IFNA(INDEX('HS Codes'!$D$2:$K2680,MATCH($B126,'HS Codes'!$A$2:$A2680,0),MATCH(J$1,'HS Codes'!$D$1:$K$1,0)),"")</f>
        <v>0</v>
      </c>
      <c r="K126" s="8" t="str">
        <f>_xlfn.IFNA(INDEX('HS Codes'!$D$2:$K2680,MATCH($B126,'HS Codes'!$A$2:$A2680,0),MATCH(K$1,'HS Codes'!$D$1:$K$1,0)),"")</f>
        <v>6505.00.90</v>
      </c>
      <c r="L126" s="8">
        <f>_xlfn.IFNA(INDEX('HS Codes'!$D$2:$K2680,MATCH($B126,'HS Codes'!$A$2:$A2680,0),MATCH(L$1,'HS Codes'!$D$1:$K$1,0)),"")</f>
        <v>0</v>
      </c>
      <c r="M126" s="8" t="str">
        <f>_xlfn.IFNA(INDEX('HS Codes'!$C$2:$C2680,MATCH($B126,'HS Codes'!$A$2:$A2680,0)),"")</f>
        <v>Makeup Wipe (100% recycled polyester), Hair Towel (100% recycled 200 GSM/83% polyester/17% polyamide) Toiletry Bag RPET canvas (no cotton)</v>
      </c>
      <c r="N126" s="9"/>
      <c r="O126" s="9"/>
      <c r="P126" s="9"/>
      <c r="Q126" s="9"/>
    </row>
    <row r="127" spans="1:17" ht="15.75" customHeight="1">
      <c r="A127" s="7" t="s">
        <v>413</v>
      </c>
      <c r="B127" s="7" t="s">
        <v>123</v>
      </c>
      <c r="C127" s="7"/>
      <c r="D127" s="7" t="s">
        <v>124</v>
      </c>
      <c r="E127" s="7" t="s">
        <v>122</v>
      </c>
      <c r="F127" s="8" t="str">
        <f>_xlfn.IFNA(INDEX('HS Codes'!$D$2:$K2681,MATCH($B127,'HS Codes'!$A$2:$A2681,0),MATCH(F$1,'HS Codes'!$D$1:$K$1,0)),"")</f>
        <v>6504.00.90.15</v>
      </c>
      <c r="G127" s="8">
        <f>_xlfn.IFNA(INDEX('HS Codes'!$D$2:$K2681,MATCH($B127,'HS Codes'!$A$2:$A2681,0),MATCH(G$1,'HS Codes'!$D$1:$K$1,0)),"")</f>
        <v>6505009090</v>
      </c>
      <c r="H127" s="8" t="str">
        <f>_xlfn.IFNA(INDEX('HS Codes'!$D$2:$K2681,MATCH($B127,'HS Codes'!$A$2:$A2681,0),MATCH(H$1,'HS Codes'!$D$1:$K$1,0)),"")</f>
        <v>6505.00.40.00</v>
      </c>
      <c r="I127" s="8" t="str">
        <f>_xlfn.IFNA(INDEX('HS Codes'!$D$2:$K2681,MATCH($B127,'HS Codes'!$A$2:$A2681,0),MATCH(I$1,'HS Codes'!$D$1:$K$1,0)),"")</f>
        <v>6505.00.90.90</v>
      </c>
      <c r="J127" s="8">
        <f>_xlfn.IFNA(INDEX('HS Codes'!$D$2:$K2681,MATCH($B127,'HS Codes'!$A$2:$A2681,0),MATCH(J$1,'HS Codes'!$D$1:$K$1,0)),"")</f>
        <v>0</v>
      </c>
      <c r="K127" s="8" t="str">
        <f>_xlfn.IFNA(INDEX('HS Codes'!$D$2:$K2681,MATCH($B127,'HS Codes'!$A$2:$A2681,0),MATCH(K$1,'HS Codes'!$D$1:$K$1,0)),"")</f>
        <v>6505.00.90</v>
      </c>
      <c r="L127" s="8">
        <f>_xlfn.IFNA(INDEX('HS Codes'!$D$2:$K2681,MATCH($B127,'HS Codes'!$A$2:$A2681,0),MATCH(L$1,'HS Codes'!$D$1:$K$1,0)),"")</f>
        <v>0</v>
      </c>
      <c r="M127" s="8" t="str">
        <f>_xlfn.IFNA(INDEX('HS Codes'!$C$2:$C2681,MATCH($B127,'HS Codes'!$A$2:$A2681,0)),"")</f>
        <v>Makeup Wipe (100% recycled polyester), Hair Towel (100% recycled 200 GSM/83% polyester/17% polyamide) Toiletry Bag RPET canvas (no cotton)</v>
      </c>
      <c r="N127" s="9"/>
      <c r="O127" s="9"/>
      <c r="P127" s="9"/>
      <c r="Q127" s="9"/>
    </row>
    <row r="128" spans="1:17" ht="15.75" customHeight="1">
      <c r="A128" s="7" t="s">
        <v>414</v>
      </c>
      <c r="B128" s="7" t="s">
        <v>123</v>
      </c>
      <c r="C128" s="7"/>
      <c r="D128" s="7" t="s">
        <v>124</v>
      </c>
      <c r="E128" s="7" t="s">
        <v>122</v>
      </c>
      <c r="F128" s="8" t="str">
        <f>_xlfn.IFNA(INDEX('HS Codes'!$D$2:$K2682,MATCH($B128,'HS Codes'!$A$2:$A2682,0),MATCH(F$1,'HS Codes'!$D$1:$K$1,0)),"")</f>
        <v>6504.00.90.15</v>
      </c>
      <c r="G128" s="8">
        <f>_xlfn.IFNA(INDEX('HS Codes'!$D$2:$K2682,MATCH($B128,'HS Codes'!$A$2:$A2682,0),MATCH(G$1,'HS Codes'!$D$1:$K$1,0)),"")</f>
        <v>6505009090</v>
      </c>
      <c r="H128" s="8" t="str">
        <f>_xlfn.IFNA(INDEX('HS Codes'!$D$2:$K2682,MATCH($B128,'HS Codes'!$A$2:$A2682,0),MATCH(H$1,'HS Codes'!$D$1:$K$1,0)),"")</f>
        <v>6505.00.40.00</v>
      </c>
      <c r="I128" s="8" t="str">
        <f>_xlfn.IFNA(INDEX('HS Codes'!$D$2:$K2682,MATCH($B128,'HS Codes'!$A$2:$A2682,0),MATCH(I$1,'HS Codes'!$D$1:$K$1,0)),"")</f>
        <v>6505.00.90.90</v>
      </c>
      <c r="J128" s="8">
        <f>_xlfn.IFNA(INDEX('HS Codes'!$D$2:$K2682,MATCH($B128,'HS Codes'!$A$2:$A2682,0),MATCH(J$1,'HS Codes'!$D$1:$K$1,0)),"")</f>
        <v>0</v>
      </c>
      <c r="K128" s="8" t="str">
        <f>_xlfn.IFNA(INDEX('HS Codes'!$D$2:$K2682,MATCH($B128,'HS Codes'!$A$2:$A2682,0),MATCH(K$1,'HS Codes'!$D$1:$K$1,0)),"")</f>
        <v>6505.00.90</v>
      </c>
      <c r="L128" s="8">
        <f>_xlfn.IFNA(INDEX('HS Codes'!$D$2:$K2682,MATCH($B128,'HS Codes'!$A$2:$A2682,0),MATCH(L$1,'HS Codes'!$D$1:$K$1,0)),"")</f>
        <v>0</v>
      </c>
      <c r="M128" s="8" t="str">
        <f>_xlfn.IFNA(INDEX('HS Codes'!$C$2:$C2682,MATCH($B128,'HS Codes'!$A$2:$A2682,0)),"")</f>
        <v>Makeup Wipe (100% recycled polyester), Hair Towel (100% recycled 200 GSM/83% polyester/17% polyamide) Toiletry Bag RPET canvas (no cotton)</v>
      </c>
      <c r="N128" s="9"/>
      <c r="O128" s="9"/>
      <c r="P128" s="9"/>
      <c r="Q128" s="9"/>
    </row>
    <row r="129" spans="1:17" ht="15.75" customHeight="1">
      <c r="A129" s="7" t="s">
        <v>415</v>
      </c>
      <c r="B129" s="7" t="s">
        <v>123</v>
      </c>
      <c r="C129" s="7"/>
      <c r="D129" s="7" t="s">
        <v>124</v>
      </c>
      <c r="E129" s="7" t="s">
        <v>122</v>
      </c>
      <c r="F129" s="8" t="str">
        <f>_xlfn.IFNA(INDEX('HS Codes'!$D$2:$K2683,MATCH($B129,'HS Codes'!$A$2:$A2683,0),MATCH(F$1,'HS Codes'!$D$1:$K$1,0)),"")</f>
        <v>6504.00.90.15</v>
      </c>
      <c r="G129" s="8">
        <f>_xlfn.IFNA(INDEX('HS Codes'!$D$2:$K2683,MATCH($B129,'HS Codes'!$A$2:$A2683,0),MATCH(G$1,'HS Codes'!$D$1:$K$1,0)),"")</f>
        <v>6505009090</v>
      </c>
      <c r="H129" s="8" t="str">
        <f>_xlfn.IFNA(INDEX('HS Codes'!$D$2:$K2683,MATCH($B129,'HS Codes'!$A$2:$A2683,0),MATCH(H$1,'HS Codes'!$D$1:$K$1,0)),"")</f>
        <v>6505.00.40.00</v>
      </c>
      <c r="I129" s="8" t="str">
        <f>_xlfn.IFNA(INDEX('HS Codes'!$D$2:$K2683,MATCH($B129,'HS Codes'!$A$2:$A2683,0),MATCH(I$1,'HS Codes'!$D$1:$K$1,0)),"")</f>
        <v>6505.00.90.90</v>
      </c>
      <c r="J129" s="8">
        <f>_xlfn.IFNA(INDEX('HS Codes'!$D$2:$K2683,MATCH($B129,'HS Codes'!$A$2:$A2683,0),MATCH(J$1,'HS Codes'!$D$1:$K$1,0)),"")</f>
        <v>0</v>
      </c>
      <c r="K129" s="8" t="str">
        <f>_xlfn.IFNA(INDEX('HS Codes'!$D$2:$K2683,MATCH($B129,'HS Codes'!$A$2:$A2683,0),MATCH(K$1,'HS Codes'!$D$1:$K$1,0)),"")</f>
        <v>6505.00.90</v>
      </c>
      <c r="L129" s="8">
        <f>_xlfn.IFNA(INDEX('HS Codes'!$D$2:$K2683,MATCH($B129,'HS Codes'!$A$2:$A2683,0),MATCH(L$1,'HS Codes'!$D$1:$K$1,0)),"")</f>
        <v>0</v>
      </c>
      <c r="M129" s="8" t="str">
        <f>_xlfn.IFNA(INDEX('HS Codes'!$C$2:$C2683,MATCH($B129,'HS Codes'!$A$2:$A2683,0)),"")</f>
        <v>Makeup Wipe (100% recycled polyester), Hair Towel (100% recycled 200 GSM/83% polyester/17% polyamide) Toiletry Bag RPET canvas (no cotton)</v>
      </c>
      <c r="N129" s="9"/>
      <c r="O129" s="9"/>
      <c r="P129" s="9"/>
      <c r="Q129" s="9"/>
    </row>
    <row r="130" spans="1:17" ht="15.75" customHeight="1">
      <c r="A130" s="7" t="s">
        <v>416</v>
      </c>
      <c r="B130" s="7" t="s">
        <v>123</v>
      </c>
      <c r="C130" s="7"/>
      <c r="D130" s="7" t="s">
        <v>124</v>
      </c>
      <c r="E130" s="7" t="s">
        <v>122</v>
      </c>
      <c r="F130" s="8" t="str">
        <f>_xlfn.IFNA(INDEX('HS Codes'!$D$2:$K2684,MATCH($B130,'HS Codes'!$A$2:$A2684,0),MATCH(F$1,'HS Codes'!$D$1:$K$1,0)),"")</f>
        <v>6504.00.90.15</v>
      </c>
      <c r="G130" s="8">
        <f>_xlfn.IFNA(INDEX('HS Codes'!$D$2:$K2684,MATCH($B130,'HS Codes'!$A$2:$A2684,0),MATCH(G$1,'HS Codes'!$D$1:$K$1,0)),"")</f>
        <v>6505009090</v>
      </c>
      <c r="H130" s="8" t="str">
        <f>_xlfn.IFNA(INDEX('HS Codes'!$D$2:$K2684,MATCH($B130,'HS Codes'!$A$2:$A2684,0),MATCH(H$1,'HS Codes'!$D$1:$K$1,0)),"")</f>
        <v>6505.00.40.00</v>
      </c>
      <c r="I130" s="8" t="str">
        <f>_xlfn.IFNA(INDEX('HS Codes'!$D$2:$K2684,MATCH($B130,'HS Codes'!$A$2:$A2684,0),MATCH(I$1,'HS Codes'!$D$1:$K$1,0)),"")</f>
        <v>6505.00.90.90</v>
      </c>
      <c r="J130" s="8">
        <f>_xlfn.IFNA(INDEX('HS Codes'!$D$2:$K2684,MATCH($B130,'HS Codes'!$A$2:$A2684,0),MATCH(J$1,'HS Codes'!$D$1:$K$1,0)),"")</f>
        <v>0</v>
      </c>
      <c r="K130" s="8" t="str">
        <f>_xlfn.IFNA(INDEX('HS Codes'!$D$2:$K2684,MATCH($B130,'HS Codes'!$A$2:$A2684,0),MATCH(K$1,'HS Codes'!$D$1:$K$1,0)),"")</f>
        <v>6505.00.90</v>
      </c>
      <c r="L130" s="8">
        <f>_xlfn.IFNA(INDEX('HS Codes'!$D$2:$K2684,MATCH($B130,'HS Codes'!$A$2:$A2684,0),MATCH(L$1,'HS Codes'!$D$1:$K$1,0)),"")</f>
        <v>0</v>
      </c>
      <c r="M130" s="8" t="str">
        <f>_xlfn.IFNA(INDEX('HS Codes'!$C$2:$C2684,MATCH($B130,'HS Codes'!$A$2:$A2684,0)),"")</f>
        <v>Makeup Wipe (100% recycled polyester), Hair Towel (100% recycled 200 GSM/83% polyester/17% polyamide) Toiletry Bag RPET canvas (no cotton)</v>
      </c>
      <c r="N130" s="9"/>
      <c r="O130" s="9"/>
      <c r="P130" s="9"/>
      <c r="Q130" s="9"/>
    </row>
    <row r="131" spans="1:17" ht="15.75" customHeight="1">
      <c r="A131" s="7" t="s">
        <v>417</v>
      </c>
      <c r="B131" s="7" t="s">
        <v>123</v>
      </c>
      <c r="C131" s="7"/>
      <c r="D131" s="7" t="s">
        <v>124</v>
      </c>
      <c r="E131" s="7" t="s">
        <v>122</v>
      </c>
      <c r="F131" s="8" t="str">
        <f>_xlfn.IFNA(INDEX('HS Codes'!$D$2:$K2685,MATCH($B131,'HS Codes'!$A$2:$A2685,0),MATCH(F$1,'HS Codes'!$D$1:$K$1,0)),"")</f>
        <v>6504.00.90.15</v>
      </c>
      <c r="G131" s="8">
        <f>_xlfn.IFNA(INDEX('HS Codes'!$D$2:$K2685,MATCH($B131,'HS Codes'!$A$2:$A2685,0),MATCH(G$1,'HS Codes'!$D$1:$K$1,0)),"")</f>
        <v>6505009090</v>
      </c>
      <c r="H131" s="8" t="str">
        <f>_xlfn.IFNA(INDEX('HS Codes'!$D$2:$K2685,MATCH($B131,'HS Codes'!$A$2:$A2685,0),MATCH(H$1,'HS Codes'!$D$1:$K$1,0)),"")</f>
        <v>6505.00.40.00</v>
      </c>
      <c r="I131" s="8" t="str">
        <f>_xlfn.IFNA(INDEX('HS Codes'!$D$2:$K2685,MATCH($B131,'HS Codes'!$A$2:$A2685,0),MATCH(I$1,'HS Codes'!$D$1:$K$1,0)),"")</f>
        <v>6505.00.90.90</v>
      </c>
      <c r="J131" s="8">
        <f>_xlfn.IFNA(INDEX('HS Codes'!$D$2:$K2685,MATCH($B131,'HS Codes'!$A$2:$A2685,0),MATCH(J$1,'HS Codes'!$D$1:$K$1,0)),"")</f>
        <v>0</v>
      </c>
      <c r="K131" s="8" t="str">
        <f>_xlfn.IFNA(INDEX('HS Codes'!$D$2:$K2685,MATCH($B131,'HS Codes'!$A$2:$A2685,0),MATCH(K$1,'HS Codes'!$D$1:$K$1,0)),"")</f>
        <v>6505.00.90</v>
      </c>
      <c r="L131" s="8">
        <f>_xlfn.IFNA(INDEX('HS Codes'!$D$2:$K2685,MATCH($B131,'HS Codes'!$A$2:$A2685,0),MATCH(L$1,'HS Codes'!$D$1:$K$1,0)),"")</f>
        <v>0</v>
      </c>
      <c r="M131" s="8" t="str">
        <f>_xlfn.IFNA(INDEX('HS Codes'!$C$2:$C2685,MATCH($B131,'HS Codes'!$A$2:$A2685,0)),"")</f>
        <v>Makeup Wipe (100% recycled polyester), Hair Towel (100% recycled 200 GSM/83% polyester/17% polyamide) Toiletry Bag RPET canvas (no cotton)</v>
      </c>
      <c r="N131" s="9"/>
      <c r="O131" s="9"/>
      <c r="P131" s="9"/>
      <c r="Q131" s="9"/>
    </row>
    <row r="132" spans="1:17" ht="15.75" customHeight="1">
      <c r="A132" s="7" t="s">
        <v>418</v>
      </c>
      <c r="B132" s="7" t="s">
        <v>123</v>
      </c>
      <c r="C132" s="7"/>
      <c r="D132" s="7" t="s">
        <v>124</v>
      </c>
      <c r="E132" s="7" t="s">
        <v>122</v>
      </c>
      <c r="F132" s="8" t="str">
        <f>_xlfn.IFNA(INDEX('HS Codes'!$D$2:$K2686,MATCH($B132,'HS Codes'!$A$2:$A2686,0),MATCH(F$1,'HS Codes'!$D$1:$K$1,0)),"")</f>
        <v>6504.00.90.15</v>
      </c>
      <c r="G132" s="8">
        <f>_xlfn.IFNA(INDEX('HS Codes'!$D$2:$K2686,MATCH($B132,'HS Codes'!$A$2:$A2686,0),MATCH(G$1,'HS Codes'!$D$1:$K$1,0)),"")</f>
        <v>6505009090</v>
      </c>
      <c r="H132" s="8" t="str">
        <f>_xlfn.IFNA(INDEX('HS Codes'!$D$2:$K2686,MATCH($B132,'HS Codes'!$A$2:$A2686,0),MATCH(H$1,'HS Codes'!$D$1:$K$1,0)),"")</f>
        <v>6505.00.40.00</v>
      </c>
      <c r="I132" s="8" t="str">
        <f>_xlfn.IFNA(INDEX('HS Codes'!$D$2:$K2686,MATCH($B132,'HS Codes'!$A$2:$A2686,0),MATCH(I$1,'HS Codes'!$D$1:$K$1,0)),"")</f>
        <v>6505.00.90.90</v>
      </c>
      <c r="J132" s="8">
        <f>_xlfn.IFNA(INDEX('HS Codes'!$D$2:$K2686,MATCH($B132,'HS Codes'!$A$2:$A2686,0),MATCH(J$1,'HS Codes'!$D$1:$K$1,0)),"")</f>
        <v>0</v>
      </c>
      <c r="K132" s="8" t="str">
        <f>_xlfn.IFNA(INDEX('HS Codes'!$D$2:$K2686,MATCH($B132,'HS Codes'!$A$2:$A2686,0),MATCH(K$1,'HS Codes'!$D$1:$K$1,0)),"")</f>
        <v>6505.00.90</v>
      </c>
      <c r="L132" s="8">
        <f>_xlfn.IFNA(INDEX('HS Codes'!$D$2:$K2686,MATCH($B132,'HS Codes'!$A$2:$A2686,0),MATCH(L$1,'HS Codes'!$D$1:$K$1,0)),"")</f>
        <v>0</v>
      </c>
      <c r="M132" s="8" t="str">
        <f>_xlfn.IFNA(INDEX('HS Codes'!$C$2:$C2686,MATCH($B132,'HS Codes'!$A$2:$A2686,0)),"")</f>
        <v>Makeup Wipe (100% recycled polyester), Hair Towel (100% recycled 200 GSM/83% polyester/17% polyamide) Toiletry Bag RPET canvas (no cotton)</v>
      </c>
      <c r="N132" s="9"/>
      <c r="O132" s="9"/>
      <c r="P132" s="9"/>
      <c r="Q132" s="9"/>
    </row>
    <row r="133" spans="1:17" ht="15.75" customHeight="1">
      <c r="A133" s="7" t="s">
        <v>419</v>
      </c>
      <c r="B133" s="7" t="s">
        <v>123</v>
      </c>
      <c r="C133" s="7"/>
      <c r="D133" s="7" t="s">
        <v>124</v>
      </c>
      <c r="E133" s="7" t="s">
        <v>122</v>
      </c>
      <c r="F133" s="8" t="str">
        <f>_xlfn.IFNA(INDEX('HS Codes'!$D$2:$K2687,MATCH($B133,'HS Codes'!$A$2:$A2687,0),MATCH(F$1,'HS Codes'!$D$1:$K$1,0)),"")</f>
        <v>6504.00.90.15</v>
      </c>
      <c r="G133" s="8">
        <f>_xlfn.IFNA(INDEX('HS Codes'!$D$2:$K2687,MATCH($B133,'HS Codes'!$A$2:$A2687,0),MATCH(G$1,'HS Codes'!$D$1:$K$1,0)),"")</f>
        <v>6505009090</v>
      </c>
      <c r="H133" s="8" t="str">
        <f>_xlfn.IFNA(INDEX('HS Codes'!$D$2:$K2687,MATCH($B133,'HS Codes'!$A$2:$A2687,0),MATCH(H$1,'HS Codes'!$D$1:$K$1,0)),"")</f>
        <v>6505.00.40.00</v>
      </c>
      <c r="I133" s="8" t="str">
        <f>_xlfn.IFNA(INDEX('HS Codes'!$D$2:$K2687,MATCH($B133,'HS Codes'!$A$2:$A2687,0),MATCH(I$1,'HS Codes'!$D$1:$K$1,0)),"")</f>
        <v>6505.00.90.90</v>
      </c>
      <c r="J133" s="8">
        <f>_xlfn.IFNA(INDEX('HS Codes'!$D$2:$K2687,MATCH($B133,'HS Codes'!$A$2:$A2687,0),MATCH(J$1,'HS Codes'!$D$1:$K$1,0)),"")</f>
        <v>0</v>
      </c>
      <c r="K133" s="8" t="str">
        <f>_xlfn.IFNA(INDEX('HS Codes'!$D$2:$K2687,MATCH($B133,'HS Codes'!$A$2:$A2687,0),MATCH(K$1,'HS Codes'!$D$1:$K$1,0)),"")</f>
        <v>6505.00.90</v>
      </c>
      <c r="L133" s="8">
        <f>_xlfn.IFNA(INDEX('HS Codes'!$D$2:$K2687,MATCH($B133,'HS Codes'!$A$2:$A2687,0),MATCH(L$1,'HS Codes'!$D$1:$K$1,0)),"")</f>
        <v>0</v>
      </c>
      <c r="M133" s="8" t="str">
        <f>_xlfn.IFNA(INDEX('HS Codes'!$C$2:$C2687,MATCH($B133,'HS Codes'!$A$2:$A2687,0)),"")</f>
        <v>Makeup Wipe (100% recycled polyester), Hair Towel (100% recycled 200 GSM/83% polyester/17% polyamide) Toiletry Bag RPET canvas (no cotton)</v>
      </c>
      <c r="N133" s="9"/>
      <c r="O133" s="9"/>
      <c r="P133" s="9"/>
      <c r="Q133" s="9"/>
    </row>
    <row r="134" spans="1:17" ht="15.75" customHeight="1">
      <c r="A134" s="7" t="s">
        <v>420</v>
      </c>
      <c r="B134" s="7" t="s">
        <v>250</v>
      </c>
      <c r="C134" s="7"/>
      <c r="D134" s="7" t="s">
        <v>251</v>
      </c>
      <c r="E134" s="7" t="s">
        <v>421</v>
      </c>
      <c r="F134" s="8" t="str">
        <f>_xlfn.IFNA(INDEX('HS Codes'!$D$2:$K2688,MATCH($B134,'HS Codes'!$A$2:$A2688,0),MATCH(F$1,'HS Codes'!$D$1:$K$1,0)),"")</f>
        <v>4819.10.0040</v>
      </c>
      <c r="G134" s="8">
        <f>_xlfn.IFNA(INDEX('HS Codes'!$D$2:$K2688,MATCH($B134,'HS Codes'!$A$2:$A2688,0),MATCH(G$1,'HS Codes'!$D$1:$K$1,0)),"")</f>
        <v>4819100000</v>
      </c>
      <c r="H134" s="8">
        <f>_xlfn.IFNA(INDEX('HS Codes'!$D$2:$K2688,MATCH($B134,'HS Codes'!$A$2:$A2688,0),MATCH(H$1,'HS Codes'!$D$1:$K$1,0)),"")</f>
        <v>4819100090</v>
      </c>
      <c r="I134" s="8">
        <f>_xlfn.IFNA(INDEX('HS Codes'!$D$2:$K2688,MATCH($B134,'HS Codes'!$A$2:$A2688,0),MATCH(I$1,'HS Codes'!$D$1:$K$1,0)),"")</f>
        <v>48191000</v>
      </c>
      <c r="J134" s="8">
        <f>_xlfn.IFNA(INDEX('HS Codes'!$D$2:$K2688,MATCH($B134,'HS Codes'!$A$2:$A2688,0),MATCH(J$1,'HS Codes'!$D$1:$K$1,0)),"")</f>
        <v>0</v>
      </c>
      <c r="K134" s="8" t="str">
        <f>_xlfn.IFNA(INDEX('HS Codes'!$D$2:$K2688,MATCH($B134,'HS Codes'!$A$2:$A2688,0),MATCH(K$1,'HS Codes'!$D$1:$K$1,0)),"")</f>
        <v>4819.10.00</v>
      </c>
      <c r="L134" s="8">
        <f>_xlfn.IFNA(INDEX('HS Codes'!$D$2:$K2688,MATCH($B134,'HS Codes'!$A$2:$A2688,0),MATCH(L$1,'HS Codes'!$D$1:$K$1,0)),"")</f>
        <v>0</v>
      </c>
      <c r="M134" s="8" t="str">
        <f>_xlfn.IFNA(INDEX('HS Codes'!$C$2:$C2688,MATCH($B134,'HS Codes'!$A$2:$A2688,0)),"")</f>
        <v>4819.10.0040</v>
      </c>
      <c r="N134" s="9"/>
      <c r="O134" s="9"/>
      <c r="P134" s="9"/>
      <c r="Q134" s="9"/>
    </row>
    <row r="135" spans="1:17" ht="15.75" customHeight="1">
      <c r="A135" s="7" t="s">
        <v>422</v>
      </c>
      <c r="B135" s="7" t="s">
        <v>250</v>
      </c>
      <c r="C135" s="7"/>
      <c r="D135" s="7" t="s">
        <v>251</v>
      </c>
      <c r="E135" s="7" t="s">
        <v>421</v>
      </c>
      <c r="F135" s="8" t="str">
        <f>_xlfn.IFNA(INDEX('HS Codes'!$D$2:$K2689,MATCH($B135,'HS Codes'!$A$2:$A2689,0),MATCH(F$1,'HS Codes'!$D$1:$K$1,0)),"")</f>
        <v>4819.10.0040</v>
      </c>
      <c r="G135" s="8">
        <f>_xlfn.IFNA(INDEX('HS Codes'!$D$2:$K2689,MATCH($B135,'HS Codes'!$A$2:$A2689,0),MATCH(G$1,'HS Codes'!$D$1:$K$1,0)),"")</f>
        <v>4819100000</v>
      </c>
      <c r="H135" s="8">
        <f>_xlfn.IFNA(INDEX('HS Codes'!$D$2:$K2689,MATCH($B135,'HS Codes'!$A$2:$A2689,0),MATCH(H$1,'HS Codes'!$D$1:$K$1,0)),"")</f>
        <v>4819100090</v>
      </c>
      <c r="I135" s="8">
        <f>_xlfn.IFNA(INDEX('HS Codes'!$D$2:$K2689,MATCH($B135,'HS Codes'!$A$2:$A2689,0),MATCH(I$1,'HS Codes'!$D$1:$K$1,0)),"")</f>
        <v>48191000</v>
      </c>
      <c r="J135" s="8">
        <f>_xlfn.IFNA(INDEX('HS Codes'!$D$2:$K2689,MATCH($B135,'HS Codes'!$A$2:$A2689,0),MATCH(J$1,'HS Codes'!$D$1:$K$1,0)),"")</f>
        <v>0</v>
      </c>
      <c r="K135" s="8" t="str">
        <f>_xlfn.IFNA(INDEX('HS Codes'!$D$2:$K2689,MATCH($B135,'HS Codes'!$A$2:$A2689,0),MATCH(K$1,'HS Codes'!$D$1:$K$1,0)),"")</f>
        <v>4819.10.00</v>
      </c>
      <c r="L135" s="8">
        <f>_xlfn.IFNA(INDEX('HS Codes'!$D$2:$K2689,MATCH($B135,'HS Codes'!$A$2:$A2689,0),MATCH(L$1,'HS Codes'!$D$1:$K$1,0)),"")</f>
        <v>0</v>
      </c>
      <c r="M135" s="8" t="str">
        <f>_xlfn.IFNA(INDEX('HS Codes'!$C$2:$C2689,MATCH($B135,'HS Codes'!$A$2:$A2689,0)),"")</f>
        <v>4819.10.0040</v>
      </c>
      <c r="N135" s="9"/>
      <c r="O135" s="9"/>
      <c r="P135" s="9"/>
      <c r="Q135" s="9"/>
    </row>
    <row r="136" spans="1:17" ht="15.75" customHeight="1">
      <c r="A136" s="7" t="s">
        <v>423</v>
      </c>
      <c r="B136" s="7" t="s">
        <v>250</v>
      </c>
      <c r="C136" s="7"/>
      <c r="D136" s="7" t="s">
        <v>251</v>
      </c>
      <c r="E136" s="7" t="s">
        <v>421</v>
      </c>
      <c r="F136" s="8" t="str">
        <f>_xlfn.IFNA(INDEX('HS Codes'!$D$2:$K2690,MATCH($B136,'HS Codes'!$A$2:$A2690,0),MATCH(F$1,'HS Codes'!$D$1:$K$1,0)),"")</f>
        <v>4819.10.0040</v>
      </c>
      <c r="G136" s="8">
        <f>_xlfn.IFNA(INDEX('HS Codes'!$D$2:$K2690,MATCH($B136,'HS Codes'!$A$2:$A2690,0),MATCH(G$1,'HS Codes'!$D$1:$K$1,0)),"")</f>
        <v>4819100000</v>
      </c>
      <c r="H136" s="8">
        <f>_xlfn.IFNA(INDEX('HS Codes'!$D$2:$K2690,MATCH($B136,'HS Codes'!$A$2:$A2690,0),MATCH(H$1,'HS Codes'!$D$1:$K$1,0)),"")</f>
        <v>4819100090</v>
      </c>
      <c r="I136" s="8">
        <f>_xlfn.IFNA(INDEX('HS Codes'!$D$2:$K2690,MATCH($B136,'HS Codes'!$A$2:$A2690,0),MATCH(I$1,'HS Codes'!$D$1:$K$1,0)),"")</f>
        <v>48191000</v>
      </c>
      <c r="J136" s="8">
        <f>_xlfn.IFNA(INDEX('HS Codes'!$D$2:$K2690,MATCH($B136,'HS Codes'!$A$2:$A2690,0),MATCH(J$1,'HS Codes'!$D$1:$K$1,0)),"")</f>
        <v>0</v>
      </c>
      <c r="K136" s="8" t="str">
        <f>_xlfn.IFNA(INDEX('HS Codes'!$D$2:$K2690,MATCH($B136,'HS Codes'!$A$2:$A2690,0),MATCH(K$1,'HS Codes'!$D$1:$K$1,0)),"")</f>
        <v>4819.10.00</v>
      </c>
      <c r="L136" s="8">
        <f>_xlfn.IFNA(INDEX('HS Codes'!$D$2:$K2690,MATCH($B136,'HS Codes'!$A$2:$A2690,0),MATCH(L$1,'HS Codes'!$D$1:$K$1,0)),"")</f>
        <v>0</v>
      </c>
      <c r="M136" s="8" t="str">
        <f>_xlfn.IFNA(INDEX('HS Codes'!$C$2:$C2690,MATCH($B136,'HS Codes'!$A$2:$A2690,0)),"")</f>
        <v>4819.10.0040</v>
      </c>
      <c r="N136" s="9"/>
      <c r="O136" s="9"/>
      <c r="P136" s="9"/>
      <c r="Q136" s="9"/>
    </row>
    <row r="137" spans="1:17" ht="15.75" customHeight="1">
      <c r="A137" s="7" t="s">
        <v>424</v>
      </c>
      <c r="B137" s="7" t="s">
        <v>250</v>
      </c>
      <c r="C137" s="7"/>
      <c r="D137" s="7" t="s">
        <v>251</v>
      </c>
      <c r="E137" s="7" t="s">
        <v>421</v>
      </c>
      <c r="F137" s="8" t="str">
        <f>_xlfn.IFNA(INDEX('HS Codes'!$D$2:$K2691,MATCH($B137,'HS Codes'!$A$2:$A2691,0),MATCH(F$1,'HS Codes'!$D$1:$K$1,0)),"")</f>
        <v>4819.10.0040</v>
      </c>
      <c r="G137" s="8">
        <f>_xlfn.IFNA(INDEX('HS Codes'!$D$2:$K2691,MATCH($B137,'HS Codes'!$A$2:$A2691,0),MATCH(G$1,'HS Codes'!$D$1:$K$1,0)),"")</f>
        <v>4819100000</v>
      </c>
      <c r="H137" s="8">
        <f>_xlfn.IFNA(INDEX('HS Codes'!$D$2:$K2691,MATCH($B137,'HS Codes'!$A$2:$A2691,0),MATCH(H$1,'HS Codes'!$D$1:$K$1,0)),"")</f>
        <v>4819100090</v>
      </c>
      <c r="I137" s="8">
        <f>_xlfn.IFNA(INDEX('HS Codes'!$D$2:$K2691,MATCH($B137,'HS Codes'!$A$2:$A2691,0),MATCH(I$1,'HS Codes'!$D$1:$K$1,0)),"")</f>
        <v>48191000</v>
      </c>
      <c r="J137" s="8">
        <f>_xlfn.IFNA(INDEX('HS Codes'!$D$2:$K2691,MATCH($B137,'HS Codes'!$A$2:$A2691,0),MATCH(J$1,'HS Codes'!$D$1:$K$1,0)),"")</f>
        <v>0</v>
      </c>
      <c r="K137" s="8" t="str">
        <f>_xlfn.IFNA(INDEX('HS Codes'!$D$2:$K2691,MATCH($B137,'HS Codes'!$A$2:$A2691,0),MATCH(K$1,'HS Codes'!$D$1:$K$1,0)),"")</f>
        <v>4819.10.00</v>
      </c>
      <c r="L137" s="8">
        <f>_xlfn.IFNA(INDEX('HS Codes'!$D$2:$K2691,MATCH($B137,'HS Codes'!$A$2:$A2691,0),MATCH(L$1,'HS Codes'!$D$1:$K$1,0)),"")</f>
        <v>0</v>
      </c>
      <c r="M137" s="8" t="str">
        <f>_xlfn.IFNA(INDEX('HS Codes'!$C$2:$C2691,MATCH($B137,'HS Codes'!$A$2:$A2691,0)),"")</f>
        <v>4819.10.0040</v>
      </c>
      <c r="N137" s="9"/>
      <c r="O137" s="9"/>
      <c r="P137" s="9"/>
      <c r="Q137" s="9"/>
    </row>
    <row r="138" spans="1:17" ht="15.75" customHeight="1">
      <c r="A138" s="7" t="s">
        <v>425</v>
      </c>
      <c r="B138" s="7" t="s">
        <v>250</v>
      </c>
      <c r="C138" s="7"/>
      <c r="D138" s="7" t="s">
        <v>251</v>
      </c>
      <c r="E138" s="7" t="s">
        <v>421</v>
      </c>
      <c r="F138" s="8" t="str">
        <f>_xlfn.IFNA(INDEX('HS Codes'!$D$2:$K2692,MATCH($B138,'HS Codes'!$A$2:$A2692,0),MATCH(F$1,'HS Codes'!$D$1:$K$1,0)),"")</f>
        <v>4819.10.0040</v>
      </c>
      <c r="G138" s="8">
        <f>_xlfn.IFNA(INDEX('HS Codes'!$D$2:$K2692,MATCH($B138,'HS Codes'!$A$2:$A2692,0),MATCH(G$1,'HS Codes'!$D$1:$K$1,0)),"")</f>
        <v>4819100000</v>
      </c>
      <c r="H138" s="8">
        <f>_xlfn.IFNA(INDEX('HS Codes'!$D$2:$K2692,MATCH($B138,'HS Codes'!$A$2:$A2692,0),MATCH(H$1,'HS Codes'!$D$1:$K$1,0)),"")</f>
        <v>4819100090</v>
      </c>
      <c r="I138" s="8">
        <f>_xlfn.IFNA(INDEX('HS Codes'!$D$2:$K2692,MATCH($B138,'HS Codes'!$A$2:$A2692,0),MATCH(I$1,'HS Codes'!$D$1:$K$1,0)),"")</f>
        <v>48191000</v>
      </c>
      <c r="J138" s="8">
        <f>_xlfn.IFNA(INDEX('HS Codes'!$D$2:$K2692,MATCH($B138,'HS Codes'!$A$2:$A2692,0),MATCH(J$1,'HS Codes'!$D$1:$K$1,0)),"")</f>
        <v>0</v>
      </c>
      <c r="K138" s="8" t="str">
        <f>_xlfn.IFNA(INDEX('HS Codes'!$D$2:$K2692,MATCH($B138,'HS Codes'!$A$2:$A2692,0),MATCH(K$1,'HS Codes'!$D$1:$K$1,0)),"")</f>
        <v>4819.10.00</v>
      </c>
      <c r="L138" s="8">
        <f>_xlfn.IFNA(INDEX('HS Codes'!$D$2:$K2692,MATCH($B138,'HS Codes'!$A$2:$A2692,0),MATCH(L$1,'HS Codes'!$D$1:$K$1,0)),"")</f>
        <v>0</v>
      </c>
      <c r="M138" s="8" t="str">
        <f>_xlfn.IFNA(INDEX('HS Codes'!$C$2:$C2692,MATCH($B138,'HS Codes'!$A$2:$A2692,0)),"")</f>
        <v>4819.10.0040</v>
      </c>
      <c r="N138" s="9"/>
      <c r="O138" s="9"/>
      <c r="P138" s="9"/>
      <c r="Q138" s="9"/>
    </row>
    <row r="139" spans="1:17" ht="15.75" customHeight="1">
      <c r="A139" s="7" t="s">
        <v>426</v>
      </c>
      <c r="B139" s="7" t="s">
        <v>250</v>
      </c>
      <c r="C139" s="7"/>
      <c r="D139" s="7" t="s">
        <v>251</v>
      </c>
      <c r="E139" s="7" t="s">
        <v>421</v>
      </c>
      <c r="F139" s="8" t="str">
        <f>_xlfn.IFNA(INDEX('HS Codes'!$D$2:$K2693,MATCH($B139,'HS Codes'!$A$2:$A2693,0),MATCH(F$1,'HS Codes'!$D$1:$K$1,0)),"")</f>
        <v>4819.10.0040</v>
      </c>
      <c r="G139" s="8">
        <f>_xlfn.IFNA(INDEX('HS Codes'!$D$2:$K2693,MATCH($B139,'HS Codes'!$A$2:$A2693,0),MATCH(G$1,'HS Codes'!$D$1:$K$1,0)),"")</f>
        <v>4819100000</v>
      </c>
      <c r="H139" s="8">
        <f>_xlfn.IFNA(INDEX('HS Codes'!$D$2:$K2693,MATCH($B139,'HS Codes'!$A$2:$A2693,0),MATCH(H$1,'HS Codes'!$D$1:$K$1,0)),"")</f>
        <v>4819100090</v>
      </c>
      <c r="I139" s="8">
        <f>_xlfn.IFNA(INDEX('HS Codes'!$D$2:$K2693,MATCH($B139,'HS Codes'!$A$2:$A2693,0),MATCH(I$1,'HS Codes'!$D$1:$K$1,0)),"")</f>
        <v>48191000</v>
      </c>
      <c r="J139" s="8">
        <f>_xlfn.IFNA(INDEX('HS Codes'!$D$2:$K2693,MATCH($B139,'HS Codes'!$A$2:$A2693,0),MATCH(J$1,'HS Codes'!$D$1:$K$1,0)),"")</f>
        <v>0</v>
      </c>
      <c r="K139" s="8" t="str">
        <f>_xlfn.IFNA(INDEX('HS Codes'!$D$2:$K2693,MATCH($B139,'HS Codes'!$A$2:$A2693,0),MATCH(K$1,'HS Codes'!$D$1:$K$1,0)),"")</f>
        <v>4819.10.00</v>
      </c>
      <c r="L139" s="8">
        <f>_xlfn.IFNA(INDEX('HS Codes'!$D$2:$K2693,MATCH($B139,'HS Codes'!$A$2:$A2693,0),MATCH(L$1,'HS Codes'!$D$1:$K$1,0)),"")</f>
        <v>0</v>
      </c>
      <c r="M139" s="8" t="str">
        <f>_xlfn.IFNA(INDEX('HS Codes'!$C$2:$C2693,MATCH($B139,'HS Codes'!$A$2:$A2693,0)),"")</f>
        <v>4819.10.0040</v>
      </c>
      <c r="N139" s="9"/>
      <c r="O139" s="9"/>
      <c r="P139" s="9"/>
      <c r="Q139" s="9"/>
    </row>
    <row r="140" spans="1:17" ht="15.75" customHeight="1">
      <c r="A140" s="7" t="s">
        <v>427</v>
      </c>
      <c r="B140" s="7" t="s">
        <v>250</v>
      </c>
      <c r="C140" s="7"/>
      <c r="D140" s="7" t="s">
        <v>251</v>
      </c>
      <c r="E140" s="7" t="s">
        <v>421</v>
      </c>
      <c r="F140" s="8" t="str">
        <f>_xlfn.IFNA(INDEX('HS Codes'!$D$2:$K2694,MATCH($B140,'HS Codes'!$A$2:$A2694,0),MATCH(F$1,'HS Codes'!$D$1:$K$1,0)),"")</f>
        <v>4819.10.0040</v>
      </c>
      <c r="G140" s="8">
        <f>_xlfn.IFNA(INDEX('HS Codes'!$D$2:$K2694,MATCH($B140,'HS Codes'!$A$2:$A2694,0),MATCH(G$1,'HS Codes'!$D$1:$K$1,0)),"")</f>
        <v>4819100000</v>
      </c>
      <c r="H140" s="8">
        <f>_xlfn.IFNA(INDEX('HS Codes'!$D$2:$K2694,MATCH($B140,'HS Codes'!$A$2:$A2694,0),MATCH(H$1,'HS Codes'!$D$1:$K$1,0)),"")</f>
        <v>4819100090</v>
      </c>
      <c r="I140" s="8">
        <f>_xlfn.IFNA(INDEX('HS Codes'!$D$2:$K2694,MATCH($B140,'HS Codes'!$A$2:$A2694,0),MATCH(I$1,'HS Codes'!$D$1:$K$1,0)),"")</f>
        <v>48191000</v>
      </c>
      <c r="J140" s="8">
        <f>_xlfn.IFNA(INDEX('HS Codes'!$D$2:$K2694,MATCH($B140,'HS Codes'!$A$2:$A2694,0),MATCH(J$1,'HS Codes'!$D$1:$K$1,0)),"")</f>
        <v>0</v>
      </c>
      <c r="K140" s="8" t="str">
        <f>_xlfn.IFNA(INDEX('HS Codes'!$D$2:$K2694,MATCH($B140,'HS Codes'!$A$2:$A2694,0),MATCH(K$1,'HS Codes'!$D$1:$K$1,0)),"")</f>
        <v>4819.10.00</v>
      </c>
      <c r="L140" s="8">
        <f>_xlfn.IFNA(INDEX('HS Codes'!$D$2:$K2694,MATCH($B140,'HS Codes'!$A$2:$A2694,0),MATCH(L$1,'HS Codes'!$D$1:$K$1,0)),"")</f>
        <v>0</v>
      </c>
      <c r="M140" s="8" t="str">
        <f>_xlfn.IFNA(INDEX('HS Codes'!$C$2:$C2694,MATCH($B140,'HS Codes'!$A$2:$A2694,0)),"")</f>
        <v>4819.10.0040</v>
      </c>
      <c r="N140" s="9"/>
      <c r="O140" s="9"/>
      <c r="P140" s="9"/>
      <c r="Q140" s="9"/>
    </row>
    <row r="141" spans="1:17" ht="15.75" customHeight="1">
      <c r="A141" s="7" t="s">
        <v>428</v>
      </c>
      <c r="B141" s="7" t="s">
        <v>250</v>
      </c>
      <c r="C141" s="7"/>
      <c r="D141" s="7" t="s">
        <v>251</v>
      </c>
      <c r="E141" s="7" t="s">
        <v>421</v>
      </c>
      <c r="F141" s="8" t="str">
        <f>_xlfn.IFNA(INDEX('HS Codes'!$D$2:$K2695,MATCH($B141,'HS Codes'!$A$2:$A2695,0),MATCH(F$1,'HS Codes'!$D$1:$K$1,0)),"")</f>
        <v>4819.10.0040</v>
      </c>
      <c r="G141" s="8">
        <f>_xlfn.IFNA(INDEX('HS Codes'!$D$2:$K2695,MATCH($B141,'HS Codes'!$A$2:$A2695,0),MATCH(G$1,'HS Codes'!$D$1:$K$1,0)),"")</f>
        <v>4819100000</v>
      </c>
      <c r="H141" s="8">
        <f>_xlfn.IFNA(INDEX('HS Codes'!$D$2:$K2695,MATCH($B141,'HS Codes'!$A$2:$A2695,0),MATCH(H$1,'HS Codes'!$D$1:$K$1,0)),"")</f>
        <v>4819100090</v>
      </c>
      <c r="I141" s="8">
        <f>_xlfn.IFNA(INDEX('HS Codes'!$D$2:$K2695,MATCH($B141,'HS Codes'!$A$2:$A2695,0),MATCH(I$1,'HS Codes'!$D$1:$K$1,0)),"")</f>
        <v>48191000</v>
      </c>
      <c r="J141" s="8">
        <f>_xlfn.IFNA(INDEX('HS Codes'!$D$2:$K2695,MATCH($B141,'HS Codes'!$A$2:$A2695,0),MATCH(J$1,'HS Codes'!$D$1:$K$1,0)),"")</f>
        <v>0</v>
      </c>
      <c r="K141" s="8" t="str">
        <f>_xlfn.IFNA(INDEX('HS Codes'!$D$2:$K2695,MATCH($B141,'HS Codes'!$A$2:$A2695,0),MATCH(K$1,'HS Codes'!$D$1:$K$1,0)),"")</f>
        <v>4819.10.00</v>
      </c>
      <c r="L141" s="8">
        <f>_xlfn.IFNA(INDEX('HS Codes'!$D$2:$K2695,MATCH($B141,'HS Codes'!$A$2:$A2695,0),MATCH(L$1,'HS Codes'!$D$1:$K$1,0)),"")</f>
        <v>0</v>
      </c>
      <c r="M141" s="8" t="str">
        <f>_xlfn.IFNA(INDEX('HS Codes'!$C$2:$C2695,MATCH($B141,'HS Codes'!$A$2:$A2695,0)),"")</f>
        <v>4819.10.0040</v>
      </c>
      <c r="N141" s="9"/>
      <c r="O141" s="9"/>
      <c r="P141" s="9"/>
      <c r="Q141" s="9"/>
    </row>
    <row r="142" spans="1:17" ht="15.75" customHeight="1">
      <c r="A142" s="7" t="s">
        <v>429</v>
      </c>
      <c r="B142" s="7" t="s">
        <v>250</v>
      </c>
      <c r="C142" s="7"/>
      <c r="D142" s="7" t="s">
        <v>251</v>
      </c>
      <c r="E142" s="7" t="s">
        <v>421</v>
      </c>
      <c r="F142" s="8" t="str">
        <f>_xlfn.IFNA(INDEX('HS Codes'!$D$2:$K2696,MATCH($B142,'HS Codes'!$A$2:$A2696,0),MATCH(F$1,'HS Codes'!$D$1:$K$1,0)),"")</f>
        <v>4819.10.0040</v>
      </c>
      <c r="G142" s="8">
        <f>_xlfn.IFNA(INDEX('HS Codes'!$D$2:$K2696,MATCH($B142,'HS Codes'!$A$2:$A2696,0),MATCH(G$1,'HS Codes'!$D$1:$K$1,0)),"")</f>
        <v>4819100000</v>
      </c>
      <c r="H142" s="8">
        <f>_xlfn.IFNA(INDEX('HS Codes'!$D$2:$K2696,MATCH($B142,'HS Codes'!$A$2:$A2696,0),MATCH(H$1,'HS Codes'!$D$1:$K$1,0)),"")</f>
        <v>4819100090</v>
      </c>
      <c r="I142" s="8">
        <f>_xlfn.IFNA(INDEX('HS Codes'!$D$2:$K2696,MATCH($B142,'HS Codes'!$A$2:$A2696,0),MATCH(I$1,'HS Codes'!$D$1:$K$1,0)),"")</f>
        <v>48191000</v>
      </c>
      <c r="J142" s="8">
        <f>_xlfn.IFNA(INDEX('HS Codes'!$D$2:$K2696,MATCH($B142,'HS Codes'!$A$2:$A2696,0),MATCH(J$1,'HS Codes'!$D$1:$K$1,0)),"")</f>
        <v>0</v>
      </c>
      <c r="K142" s="8" t="str">
        <f>_xlfn.IFNA(INDEX('HS Codes'!$D$2:$K2696,MATCH($B142,'HS Codes'!$A$2:$A2696,0),MATCH(K$1,'HS Codes'!$D$1:$K$1,0)),"")</f>
        <v>4819.10.00</v>
      </c>
      <c r="L142" s="8">
        <f>_xlfn.IFNA(INDEX('HS Codes'!$D$2:$K2696,MATCH($B142,'HS Codes'!$A$2:$A2696,0),MATCH(L$1,'HS Codes'!$D$1:$K$1,0)),"")</f>
        <v>0</v>
      </c>
      <c r="M142" s="8" t="str">
        <f>_xlfn.IFNA(INDEX('HS Codes'!$C$2:$C2696,MATCH($B142,'HS Codes'!$A$2:$A2696,0)),"")</f>
        <v>4819.10.0040</v>
      </c>
      <c r="N142" s="9"/>
      <c r="O142" s="9"/>
      <c r="P142" s="9"/>
      <c r="Q142" s="9"/>
    </row>
    <row r="143" spans="1:17" ht="15.75" customHeight="1">
      <c r="A143" s="7" t="s">
        <v>430</v>
      </c>
      <c r="B143" s="7" t="s">
        <v>129</v>
      </c>
      <c r="C143" s="7" t="s">
        <v>278</v>
      </c>
      <c r="D143" s="7" t="s">
        <v>130</v>
      </c>
      <c r="E143" s="7" t="s">
        <v>360</v>
      </c>
      <c r="F143" s="8" t="str">
        <f>_xlfn.IFNA(INDEX('HS Codes'!$D$2:$K2697,MATCH($B143,'HS Codes'!$A$2:$A2697,0),MATCH(F$1,'HS Codes'!$D$1:$K$1,0)),"")</f>
        <v>6504.00.90.15</v>
      </c>
      <c r="G143" s="8">
        <f>_xlfn.IFNA(INDEX('HS Codes'!$D$2:$K2697,MATCH($B143,'HS Codes'!$A$2:$A2697,0),MATCH(G$1,'HS Codes'!$D$1:$K$1,0)),"")</f>
        <v>6505009090</v>
      </c>
      <c r="H143" s="8" t="str">
        <f>_xlfn.IFNA(INDEX('HS Codes'!$D$2:$K2697,MATCH($B143,'HS Codes'!$A$2:$A2697,0),MATCH(H$1,'HS Codes'!$D$1:$K$1,0)),"")</f>
        <v>6505.00.40.00</v>
      </c>
      <c r="I143" s="8" t="str">
        <f>_xlfn.IFNA(INDEX('HS Codes'!$D$2:$K2697,MATCH($B143,'HS Codes'!$A$2:$A2697,0),MATCH(I$1,'HS Codes'!$D$1:$K$1,0)),"")</f>
        <v>6505.00.90.90</v>
      </c>
      <c r="J143" s="8">
        <f>_xlfn.IFNA(INDEX('HS Codes'!$D$2:$K2697,MATCH($B143,'HS Codes'!$A$2:$A2697,0),MATCH(J$1,'HS Codes'!$D$1:$K$1,0)),"")</f>
        <v>0</v>
      </c>
      <c r="K143" s="8" t="str">
        <f>_xlfn.IFNA(INDEX('HS Codes'!$D$2:$K2697,MATCH($B143,'HS Codes'!$A$2:$A2697,0),MATCH(K$1,'HS Codes'!$D$1:$K$1,0)),"")</f>
        <v>6505.00.90</v>
      </c>
      <c r="L143" s="8">
        <f>_xlfn.IFNA(INDEX('HS Codes'!$D$2:$K2697,MATCH($B143,'HS Codes'!$A$2:$A2697,0),MATCH(L$1,'HS Codes'!$D$1:$K$1,0)),"")</f>
        <v>0</v>
      </c>
      <c r="M143" s="8" t="str">
        <f>_xlfn.IFNA(INDEX('HS Codes'!$C$2:$C2697,MATCH($B143,'HS Codes'!$A$2:$A2697,0)),"")</f>
        <v>Head Towel 100% recycled 200 GSM/83% polyester/17% polyamide (no cotton)</v>
      </c>
      <c r="N143" s="9"/>
      <c r="O143" s="9"/>
      <c r="P143" s="9"/>
      <c r="Q143" s="9"/>
    </row>
    <row r="144" spans="1:17" ht="15.75" customHeight="1">
      <c r="A144" s="7" t="s">
        <v>431</v>
      </c>
      <c r="B144" s="7" t="s">
        <v>129</v>
      </c>
      <c r="C144" s="7" t="s">
        <v>278</v>
      </c>
      <c r="D144" s="7" t="s">
        <v>130</v>
      </c>
      <c r="E144" s="7" t="s">
        <v>360</v>
      </c>
      <c r="F144" s="8" t="str">
        <f>_xlfn.IFNA(INDEX('HS Codes'!$D$2:$K2698,MATCH($B144,'HS Codes'!$A$2:$A2698,0),MATCH(F$1,'HS Codes'!$D$1:$K$1,0)),"")</f>
        <v>6504.00.90.15</v>
      </c>
      <c r="G144" s="8">
        <f>_xlfn.IFNA(INDEX('HS Codes'!$D$2:$K2698,MATCH($B144,'HS Codes'!$A$2:$A2698,0),MATCH(G$1,'HS Codes'!$D$1:$K$1,0)),"")</f>
        <v>6505009090</v>
      </c>
      <c r="H144" s="8" t="str">
        <f>_xlfn.IFNA(INDEX('HS Codes'!$D$2:$K2698,MATCH($B144,'HS Codes'!$A$2:$A2698,0),MATCH(H$1,'HS Codes'!$D$1:$K$1,0)),"")</f>
        <v>6505.00.40.00</v>
      </c>
      <c r="I144" s="8" t="str">
        <f>_xlfn.IFNA(INDEX('HS Codes'!$D$2:$K2698,MATCH($B144,'HS Codes'!$A$2:$A2698,0),MATCH(I$1,'HS Codes'!$D$1:$K$1,0)),"")</f>
        <v>6505.00.90.90</v>
      </c>
      <c r="J144" s="8">
        <f>_xlfn.IFNA(INDEX('HS Codes'!$D$2:$K2698,MATCH($B144,'HS Codes'!$A$2:$A2698,0),MATCH(J$1,'HS Codes'!$D$1:$K$1,0)),"")</f>
        <v>0</v>
      </c>
      <c r="K144" s="8" t="str">
        <f>_xlfn.IFNA(INDEX('HS Codes'!$D$2:$K2698,MATCH($B144,'HS Codes'!$A$2:$A2698,0),MATCH(K$1,'HS Codes'!$D$1:$K$1,0)),"")</f>
        <v>6505.00.90</v>
      </c>
      <c r="L144" s="8">
        <f>_xlfn.IFNA(INDEX('HS Codes'!$D$2:$K2698,MATCH($B144,'HS Codes'!$A$2:$A2698,0),MATCH(L$1,'HS Codes'!$D$1:$K$1,0)),"")</f>
        <v>0</v>
      </c>
      <c r="M144" s="8" t="str">
        <f>_xlfn.IFNA(INDEX('HS Codes'!$C$2:$C2698,MATCH($B144,'HS Codes'!$A$2:$A2698,0)),"")</f>
        <v>Head Towel 100% recycled 200 GSM/83% polyester/17% polyamide (no cotton)</v>
      </c>
      <c r="N144" s="9"/>
      <c r="O144" s="9"/>
      <c r="P144" s="9"/>
      <c r="Q144" s="9"/>
    </row>
    <row r="145" spans="1:17" ht="15.75" customHeight="1">
      <c r="A145" s="7" t="s">
        <v>432</v>
      </c>
      <c r="B145" s="7" t="s">
        <v>129</v>
      </c>
      <c r="C145" s="7" t="s">
        <v>278</v>
      </c>
      <c r="D145" s="7" t="s">
        <v>130</v>
      </c>
      <c r="E145" s="7" t="s">
        <v>360</v>
      </c>
      <c r="F145" s="8" t="str">
        <f>_xlfn.IFNA(INDEX('HS Codes'!$D$2:$K2699,MATCH($B145,'HS Codes'!$A$2:$A2699,0),MATCH(F$1,'HS Codes'!$D$1:$K$1,0)),"")</f>
        <v>6504.00.90.15</v>
      </c>
      <c r="G145" s="8">
        <f>_xlfn.IFNA(INDEX('HS Codes'!$D$2:$K2699,MATCH($B145,'HS Codes'!$A$2:$A2699,0),MATCH(G$1,'HS Codes'!$D$1:$K$1,0)),"")</f>
        <v>6505009090</v>
      </c>
      <c r="H145" s="8" t="str">
        <f>_xlfn.IFNA(INDEX('HS Codes'!$D$2:$K2699,MATCH($B145,'HS Codes'!$A$2:$A2699,0),MATCH(H$1,'HS Codes'!$D$1:$K$1,0)),"")</f>
        <v>6505.00.40.00</v>
      </c>
      <c r="I145" s="8" t="str">
        <f>_xlfn.IFNA(INDEX('HS Codes'!$D$2:$K2699,MATCH($B145,'HS Codes'!$A$2:$A2699,0),MATCH(I$1,'HS Codes'!$D$1:$K$1,0)),"")</f>
        <v>6505.00.90.90</v>
      </c>
      <c r="J145" s="8">
        <f>_xlfn.IFNA(INDEX('HS Codes'!$D$2:$K2699,MATCH($B145,'HS Codes'!$A$2:$A2699,0),MATCH(J$1,'HS Codes'!$D$1:$K$1,0)),"")</f>
        <v>0</v>
      </c>
      <c r="K145" s="8" t="str">
        <f>_xlfn.IFNA(INDEX('HS Codes'!$D$2:$K2699,MATCH($B145,'HS Codes'!$A$2:$A2699,0),MATCH(K$1,'HS Codes'!$D$1:$K$1,0)),"")</f>
        <v>6505.00.90</v>
      </c>
      <c r="L145" s="8">
        <f>_xlfn.IFNA(INDEX('HS Codes'!$D$2:$K2699,MATCH($B145,'HS Codes'!$A$2:$A2699,0),MATCH(L$1,'HS Codes'!$D$1:$K$1,0)),"")</f>
        <v>0</v>
      </c>
      <c r="M145" s="8" t="str">
        <f>_xlfn.IFNA(INDEX('HS Codes'!$C$2:$C2699,MATCH($B145,'HS Codes'!$A$2:$A2699,0)),"")</f>
        <v>Head Towel 100% recycled 200 GSM/83% polyester/17% polyamide (no cotton)</v>
      </c>
      <c r="N145" s="9"/>
      <c r="O145" s="9"/>
      <c r="P145" s="9"/>
      <c r="Q145" s="9"/>
    </row>
    <row r="146" spans="1:17" ht="15.75" customHeight="1">
      <c r="A146" s="7" t="s">
        <v>433</v>
      </c>
      <c r="B146" s="7" t="s">
        <v>129</v>
      </c>
      <c r="C146" s="7" t="s">
        <v>278</v>
      </c>
      <c r="D146" s="7" t="s">
        <v>130</v>
      </c>
      <c r="E146" s="7" t="s">
        <v>360</v>
      </c>
      <c r="F146" s="8" t="str">
        <f>_xlfn.IFNA(INDEX('HS Codes'!$D$2:$K2700,MATCH($B146,'HS Codes'!$A$2:$A2700,0),MATCH(F$1,'HS Codes'!$D$1:$K$1,0)),"")</f>
        <v>6504.00.90.15</v>
      </c>
      <c r="G146" s="8">
        <f>_xlfn.IFNA(INDEX('HS Codes'!$D$2:$K2700,MATCH($B146,'HS Codes'!$A$2:$A2700,0),MATCH(G$1,'HS Codes'!$D$1:$K$1,0)),"")</f>
        <v>6505009090</v>
      </c>
      <c r="H146" s="8" t="str">
        <f>_xlfn.IFNA(INDEX('HS Codes'!$D$2:$K2700,MATCH($B146,'HS Codes'!$A$2:$A2700,0),MATCH(H$1,'HS Codes'!$D$1:$K$1,0)),"")</f>
        <v>6505.00.40.00</v>
      </c>
      <c r="I146" s="8" t="str">
        <f>_xlfn.IFNA(INDEX('HS Codes'!$D$2:$K2700,MATCH($B146,'HS Codes'!$A$2:$A2700,0),MATCH(I$1,'HS Codes'!$D$1:$K$1,0)),"")</f>
        <v>6505.00.90.90</v>
      </c>
      <c r="J146" s="8">
        <f>_xlfn.IFNA(INDEX('HS Codes'!$D$2:$K2700,MATCH($B146,'HS Codes'!$A$2:$A2700,0),MATCH(J$1,'HS Codes'!$D$1:$K$1,0)),"")</f>
        <v>0</v>
      </c>
      <c r="K146" s="8" t="str">
        <f>_xlfn.IFNA(INDEX('HS Codes'!$D$2:$K2700,MATCH($B146,'HS Codes'!$A$2:$A2700,0),MATCH(K$1,'HS Codes'!$D$1:$K$1,0)),"")</f>
        <v>6505.00.90</v>
      </c>
      <c r="L146" s="8">
        <f>_xlfn.IFNA(INDEX('HS Codes'!$D$2:$K2700,MATCH($B146,'HS Codes'!$A$2:$A2700,0),MATCH(L$1,'HS Codes'!$D$1:$K$1,0)),"")</f>
        <v>0</v>
      </c>
      <c r="M146" s="8" t="str">
        <f>_xlfn.IFNA(INDEX('HS Codes'!$C$2:$C2700,MATCH($B146,'HS Codes'!$A$2:$A2700,0)),"")</f>
        <v>Head Towel 100% recycled 200 GSM/83% polyester/17% polyamide (no cotton)</v>
      </c>
      <c r="N146" s="9"/>
      <c r="O146" s="9"/>
      <c r="P146" s="9"/>
      <c r="Q146" s="9"/>
    </row>
    <row r="147" spans="1:17" ht="15.75" customHeight="1">
      <c r="A147" s="7" t="s">
        <v>434</v>
      </c>
      <c r="B147" s="7" t="s">
        <v>129</v>
      </c>
      <c r="C147" s="7" t="s">
        <v>278</v>
      </c>
      <c r="D147" s="7" t="s">
        <v>130</v>
      </c>
      <c r="E147" s="7" t="s">
        <v>360</v>
      </c>
      <c r="F147" s="8" t="str">
        <f>_xlfn.IFNA(INDEX('HS Codes'!$D$2:$K2701,MATCH($B147,'HS Codes'!$A$2:$A2701,0),MATCH(F$1,'HS Codes'!$D$1:$K$1,0)),"")</f>
        <v>6504.00.90.15</v>
      </c>
      <c r="G147" s="8">
        <f>_xlfn.IFNA(INDEX('HS Codes'!$D$2:$K2701,MATCH($B147,'HS Codes'!$A$2:$A2701,0),MATCH(G$1,'HS Codes'!$D$1:$K$1,0)),"")</f>
        <v>6505009090</v>
      </c>
      <c r="H147" s="8" t="str">
        <f>_xlfn.IFNA(INDEX('HS Codes'!$D$2:$K2701,MATCH($B147,'HS Codes'!$A$2:$A2701,0),MATCH(H$1,'HS Codes'!$D$1:$K$1,0)),"")</f>
        <v>6505.00.40.00</v>
      </c>
      <c r="I147" s="8" t="str">
        <f>_xlfn.IFNA(INDEX('HS Codes'!$D$2:$K2701,MATCH($B147,'HS Codes'!$A$2:$A2701,0),MATCH(I$1,'HS Codes'!$D$1:$K$1,0)),"")</f>
        <v>6505.00.90.90</v>
      </c>
      <c r="J147" s="8">
        <f>_xlfn.IFNA(INDEX('HS Codes'!$D$2:$K2701,MATCH($B147,'HS Codes'!$A$2:$A2701,0),MATCH(J$1,'HS Codes'!$D$1:$K$1,0)),"")</f>
        <v>0</v>
      </c>
      <c r="K147" s="8" t="str">
        <f>_xlfn.IFNA(INDEX('HS Codes'!$D$2:$K2701,MATCH($B147,'HS Codes'!$A$2:$A2701,0),MATCH(K$1,'HS Codes'!$D$1:$K$1,0)),"")</f>
        <v>6505.00.90</v>
      </c>
      <c r="L147" s="8">
        <f>_xlfn.IFNA(INDEX('HS Codes'!$D$2:$K2701,MATCH($B147,'HS Codes'!$A$2:$A2701,0),MATCH(L$1,'HS Codes'!$D$1:$K$1,0)),"")</f>
        <v>0</v>
      </c>
      <c r="M147" s="8" t="str">
        <f>_xlfn.IFNA(INDEX('HS Codes'!$C$2:$C2701,MATCH($B147,'HS Codes'!$A$2:$A2701,0)),"")</f>
        <v>Head Towel 100% recycled 200 GSM/83% polyester/17% polyamide (no cotton)</v>
      </c>
      <c r="N147" s="9"/>
      <c r="O147" s="9"/>
      <c r="P147" s="9"/>
      <c r="Q147" s="9"/>
    </row>
    <row r="148" spans="1:17" ht="15.75" customHeight="1">
      <c r="A148" s="7" t="s">
        <v>435</v>
      </c>
      <c r="B148" s="7" t="s">
        <v>129</v>
      </c>
      <c r="C148" s="7" t="s">
        <v>278</v>
      </c>
      <c r="D148" s="7" t="s">
        <v>130</v>
      </c>
      <c r="E148" s="7" t="s">
        <v>360</v>
      </c>
      <c r="F148" s="8" t="str">
        <f>_xlfn.IFNA(INDEX('HS Codes'!$D$2:$K2702,MATCH($B148,'HS Codes'!$A$2:$A2702,0),MATCH(F$1,'HS Codes'!$D$1:$K$1,0)),"")</f>
        <v>6504.00.90.15</v>
      </c>
      <c r="G148" s="8">
        <f>_xlfn.IFNA(INDEX('HS Codes'!$D$2:$K2702,MATCH($B148,'HS Codes'!$A$2:$A2702,0),MATCH(G$1,'HS Codes'!$D$1:$K$1,0)),"")</f>
        <v>6505009090</v>
      </c>
      <c r="H148" s="8" t="str">
        <f>_xlfn.IFNA(INDEX('HS Codes'!$D$2:$K2702,MATCH($B148,'HS Codes'!$A$2:$A2702,0),MATCH(H$1,'HS Codes'!$D$1:$K$1,0)),"")</f>
        <v>6505.00.40.00</v>
      </c>
      <c r="I148" s="8" t="str">
        <f>_xlfn.IFNA(INDEX('HS Codes'!$D$2:$K2702,MATCH($B148,'HS Codes'!$A$2:$A2702,0),MATCH(I$1,'HS Codes'!$D$1:$K$1,0)),"")</f>
        <v>6505.00.90.90</v>
      </c>
      <c r="J148" s="8">
        <f>_xlfn.IFNA(INDEX('HS Codes'!$D$2:$K2702,MATCH($B148,'HS Codes'!$A$2:$A2702,0),MATCH(J$1,'HS Codes'!$D$1:$K$1,0)),"")</f>
        <v>0</v>
      </c>
      <c r="K148" s="8" t="str">
        <f>_xlfn.IFNA(INDEX('HS Codes'!$D$2:$K2702,MATCH($B148,'HS Codes'!$A$2:$A2702,0),MATCH(K$1,'HS Codes'!$D$1:$K$1,0)),"")</f>
        <v>6505.00.90</v>
      </c>
      <c r="L148" s="8">
        <f>_xlfn.IFNA(INDEX('HS Codes'!$D$2:$K2702,MATCH($B148,'HS Codes'!$A$2:$A2702,0),MATCH(L$1,'HS Codes'!$D$1:$K$1,0)),"")</f>
        <v>0</v>
      </c>
      <c r="M148" s="8" t="str">
        <f>_xlfn.IFNA(INDEX('HS Codes'!$C$2:$C2702,MATCH($B148,'HS Codes'!$A$2:$A2702,0)),"")</f>
        <v>Head Towel 100% recycled 200 GSM/83% polyester/17% polyamide (no cotton)</v>
      </c>
      <c r="N148" s="9"/>
      <c r="O148" s="9"/>
      <c r="P148" s="9"/>
      <c r="Q148" s="9"/>
    </row>
    <row r="149" spans="1:17" ht="15.75" customHeight="1">
      <c r="A149" s="7" t="s">
        <v>436</v>
      </c>
      <c r="B149" s="7"/>
      <c r="C149" s="7"/>
      <c r="D149" s="7"/>
      <c r="E149" s="7"/>
      <c r="F149" s="8" t="str">
        <f>_xlfn.IFNA(INDEX('HS Codes'!$D$2:$K2703,MATCH($B149,'HS Codes'!$A$2:$A2703,0),MATCH(F$1,'HS Codes'!$D$1:$K$1,0)),"")</f>
        <v/>
      </c>
      <c r="G149" s="8" t="str">
        <f>_xlfn.IFNA(INDEX('HS Codes'!$D$2:$K2703,MATCH($B149,'HS Codes'!$A$2:$A2703,0),MATCH(G$1,'HS Codes'!$D$1:$K$1,0)),"")</f>
        <v/>
      </c>
      <c r="H149" s="8" t="str">
        <f>_xlfn.IFNA(INDEX('HS Codes'!$D$2:$K2703,MATCH($B149,'HS Codes'!$A$2:$A2703,0),MATCH(H$1,'HS Codes'!$D$1:$K$1,0)),"")</f>
        <v/>
      </c>
      <c r="I149" s="8" t="str">
        <f>_xlfn.IFNA(INDEX('HS Codes'!$D$2:$K2703,MATCH($B149,'HS Codes'!$A$2:$A2703,0),MATCH(I$1,'HS Codes'!$D$1:$K$1,0)),"")</f>
        <v/>
      </c>
      <c r="J149" s="8" t="str">
        <f>_xlfn.IFNA(INDEX('HS Codes'!$D$2:$K2703,MATCH($B149,'HS Codes'!$A$2:$A2703,0),MATCH(J$1,'HS Codes'!$D$1:$K$1,0)),"")</f>
        <v/>
      </c>
      <c r="K149" s="8" t="str">
        <f>_xlfn.IFNA(INDEX('HS Codes'!$D$2:$K2703,MATCH($B149,'HS Codes'!$A$2:$A2703,0),MATCH(K$1,'HS Codes'!$D$1:$K$1,0)),"")</f>
        <v/>
      </c>
      <c r="L149" s="8" t="str">
        <f>_xlfn.IFNA(INDEX('HS Codes'!$D$2:$K2703,MATCH($B149,'HS Codes'!$A$2:$A2703,0),MATCH(L$1,'HS Codes'!$D$1:$K$1,0)),"")</f>
        <v/>
      </c>
      <c r="M149" s="8" t="str">
        <f>_xlfn.IFNA(INDEX('HS Codes'!$C$2:$C2703,MATCH($B149,'HS Codes'!$A$2:$A2703,0)),"")</f>
        <v/>
      </c>
      <c r="N149" s="9"/>
      <c r="O149" s="9"/>
      <c r="P149" s="9"/>
      <c r="Q149" s="9"/>
    </row>
    <row r="150" spans="1:17" ht="15.75" customHeight="1">
      <c r="A150" s="7" t="s">
        <v>437</v>
      </c>
      <c r="B150" s="7" t="s">
        <v>129</v>
      </c>
      <c r="C150" s="7" t="s">
        <v>278</v>
      </c>
      <c r="D150" s="7" t="s">
        <v>130</v>
      </c>
      <c r="E150" s="7" t="s">
        <v>360</v>
      </c>
      <c r="F150" s="8" t="str">
        <f>_xlfn.IFNA(INDEX('HS Codes'!$D$2:$K2704,MATCH($B150,'HS Codes'!$A$2:$A2704,0),MATCH(F$1,'HS Codes'!$D$1:$K$1,0)),"")</f>
        <v>6504.00.90.15</v>
      </c>
      <c r="G150" s="8">
        <f>_xlfn.IFNA(INDEX('HS Codes'!$D$2:$K2704,MATCH($B150,'HS Codes'!$A$2:$A2704,0),MATCH(G$1,'HS Codes'!$D$1:$K$1,0)),"")</f>
        <v>6505009090</v>
      </c>
      <c r="H150" s="8" t="str">
        <f>_xlfn.IFNA(INDEX('HS Codes'!$D$2:$K2704,MATCH($B150,'HS Codes'!$A$2:$A2704,0),MATCH(H$1,'HS Codes'!$D$1:$K$1,0)),"")</f>
        <v>6505.00.40.00</v>
      </c>
      <c r="I150" s="8" t="str">
        <f>_xlfn.IFNA(INDEX('HS Codes'!$D$2:$K2704,MATCH($B150,'HS Codes'!$A$2:$A2704,0),MATCH(I$1,'HS Codes'!$D$1:$K$1,0)),"")</f>
        <v>6505.00.90.90</v>
      </c>
      <c r="J150" s="8">
        <f>_xlfn.IFNA(INDEX('HS Codes'!$D$2:$K2704,MATCH($B150,'HS Codes'!$A$2:$A2704,0),MATCH(J$1,'HS Codes'!$D$1:$K$1,0)),"")</f>
        <v>0</v>
      </c>
      <c r="K150" s="8" t="str">
        <f>_xlfn.IFNA(INDEX('HS Codes'!$D$2:$K2704,MATCH($B150,'HS Codes'!$A$2:$A2704,0),MATCH(K$1,'HS Codes'!$D$1:$K$1,0)),"")</f>
        <v>6505.00.90</v>
      </c>
      <c r="L150" s="8">
        <f>_xlfn.IFNA(INDEX('HS Codes'!$D$2:$K2704,MATCH($B150,'HS Codes'!$A$2:$A2704,0),MATCH(L$1,'HS Codes'!$D$1:$K$1,0)),"")</f>
        <v>0</v>
      </c>
      <c r="M150" s="8" t="str">
        <f>_xlfn.IFNA(INDEX('HS Codes'!$C$2:$C2704,MATCH($B150,'HS Codes'!$A$2:$A2704,0)),"")</f>
        <v>Head Towel 100% recycled 200 GSM/83% polyester/17% polyamide (no cotton)</v>
      </c>
      <c r="N150" s="9"/>
      <c r="O150" s="9"/>
      <c r="P150" s="9"/>
      <c r="Q150" s="9"/>
    </row>
    <row r="151" spans="1:17" ht="15.75" customHeight="1">
      <c r="A151" s="7" t="s">
        <v>438</v>
      </c>
      <c r="B151" s="7" t="s">
        <v>129</v>
      </c>
      <c r="C151" s="7" t="s">
        <v>278</v>
      </c>
      <c r="D151" s="7" t="s">
        <v>130</v>
      </c>
      <c r="E151" s="7" t="s">
        <v>360</v>
      </c>
      <c r="F151" s="8" t="str">
        <f>_xlfn.IFNA(INDEX('HS Codes'!$D$2:$K2705,MATCH($B151,'HS Codes'!$A$2:$A2705,0),MATCH(F$1,'HS Codes'!$D$1:$K$1,0)),"")</f>
        <v>6504.00.90.15</v>
      </c>
      <c r="G151" s="8">
        <f>_xlfn.IFNA(INDEX('HS Codes'!$D$2:$K2705,MATCH($B151,'HS Codes'!$A$2:$A2705,0),MATCH(G$1,'HS Codes'!$D$1:$K$1,0)),"")</f>
        <v>6505009090</v>
      </c>
      <c r="H151" s="8" t="str">
        <f>_xlfn.IFNA(INDEX('HS Codes'!$D$2:$K2705,MATCH($B151,'HS Codes'!$A$2:$A2705,0),MATCH(H$1,'HS Codes'!$D$1:$K$1,0)),"")</f>
        <v>6505.00.40.00</v>
      </c>
      <c r="I151" s="8" t="str">
        <f>_xlfn.IFNA(INDEX('HS Codes'!$D$2:$K2705,MATCH($B151,'HS Codes'!$A$2:$A2705,0),MATCH(I$1,'HS Codes'!$D$1:$K$1,0)),"")</f>
        <v>6505.00.90.90</v>
      </c>
      <c r="J151" s="8">
        <f>_xlfn.IFNA(INDEX('HS Codes'!$D$2:$K2705,MATCH($B151,'HS Codes'!$A$2:$A2705,0),MATCH(J$1,'HS Codes'!$D$1:$K$1,0)),"")</f>
        <v>0</v>
      </c>
      <c r="K151" s="8" t="str">
        <f>_xlfn.IFNA(INDEX('HS Codes'!$D$2:$K2705,MATCH($B151,'HS Codes'!$A$2:$A2705,0),MATCH(K$1,'HS Codes'!$D$1:$K$1,0)),"")</f>
        <v>6505.00.90</v>
      </c>
      <c r="L151" s="8">
        <f>_xlfn.IFNA(INDEX('HS Codes'!$D$2:$K2705,MATCH($B151,'HS Codes'!$A$2:$A2705,0),MATCH(L$1,'HS Codes'!$D$1:$K$1,0)),"")</f>
        <v>0</v>
      </c>
      <c r="M151" s="8" t="str">
        <f>_xlfn.IFNA(INDEX('HS Codes'!$C$2:$C2705,MATCH($B151,'HS Codes'!$A$2:$A2705,0)),"")</f>
        <v>Head Towel 100% recycled 200 GSM/83% polyester/17% polyamide (no cotton)</v>
      </c>
      <c r="N151" s="9"/>
      <c r="O151" s="9"/>
      <c r="P151" s="9"/>
      <c r="Q151" s="9"/>
    </row>
    <row r="152" spans="1:17" ht="15.75" customHeight="1">
      <c r="A152" s="7" t="s">
        <v>439</v>
      </c>
      <c r="B152" s="7" t="s">
        <v>129</v>
      </c>
      <c r="C152" s="7" t="s">
        <v>278</v>
      </c>
      <c r="D152" s="7" t="s">
        <v>130</v>
      </c>
      <c r="E152" s="7" t="s">
        <v>360</v>
      </c>
      <c r="F152" s="8" t="str">
        <f>_xlfn.IFNA(INDEX('HS Codes'!$D$2:$K2706,MATCH($B152,'HS Codes'!$A$2:$A2706,0),MATCH(F$1,'HS Codes'!$D$1:$K$1,0)),"")</f>
        <v>6504.00.90.15</v>
      </c>
      <c r="G152" s="8">
        <f>_xlfn.IFNA(INDEX('HS Codes'!$D$2:$K2706,MATCH($B152,'HS Codes'!$A$2:$A2706,0),MATCH(G$1,'HS Codes'!$D$1:$K$1,0)),"")</f>
        <v>6505009090</v>
      </c>
      <c r="H152" s="8" t="str">
        <f>_xlfn.IFNA(INDEX('HS Codes'!$D$2:$K2706,MATCH($B152,'HS Codes'!$A$2:$A2706,0),MATCH(H$1,'HS Codes'!$D$1:$K$1,0)),"")</f>
        <v>6505.00.40.00</v>
      </c>
      <c r="I152" s="8" t="str">
        <f>_xlfn.IFNA(INDEX('HS Codes'!$D$2:$K2706,MATCH($B152,'HS Codes'!$A$2:$A2706,0),MATCH(I$1,'HS Codes'!$D$1:$K$1,0)),"")</f>
        <v>6505.00.90.90</v>
      </c>
      <c r="J152" s="8">
        <f>_xlfn.IFNA(INDEX('HS Codes'!$D$2:$K2706,MATCH($B152,'HS Codes'!$A$2:$A2706,0),MATCH(J$1,'HS Codes'!$D$1:$K$1,0)),"")</f>
        <v>0</v>
      </c>
      <c r="K152" s="8" t="str">
        <f>_xlfn.IFNA(INDEX('HS Codes'!$D$2:$K2706,MATCH($B152,'HS Codes'!$A$2:$A2706,0),MATCH(K$1,'HS Codes'!$D$1:$K$1,0)),"")</f>
        <v>6505.00.90</v>
      </c>
      <c r="L152" s="8">
        <f>_xlfn.IFNA(INDEX('HS Codes'!$D$2:$K2706,MATCH($B152,'HS Codes'!$A$2:$A2706,0),MATCH(L$1,'HS Codes'!$D$1:$K$1,0)),"")</f>
        <v>0</v>
      </c>
      <c r="M152" s="8" t="str">
        <f>_xlfn.IFNA(INDEX('HS Codes'!$C$2:$C2706,MATCH($B152,'HS Codes'!$A$2:$A2706,0)),"")</f>
        <v>Head Towel 100% recycled 200 GSM/83% polyester/17% polyamide (no cotton)</v>
      </c>
      <c r="N152" s="9"/>
      <c r="O152" s="9"/>
      <c r="P152" s="9"/>
      <c r="Q152" s="9"/>
    </row>
    <row r="153" spans="1:17" ht="15.75" customHeight="1">
      <c r="A153" s="7" t="s">
        <v>440</v>
      </c>
      <c r="B153" s="7" t="s">
        <v>129</v>
      </c>
      <c r="C153" s="7" t="s">
        <v>278</v>
      </c>
      <c r="D153" s="7" t="s">
        <v>130</v>
      </c>
      <c r="E153" s="7" t="s">
        <v>360</v>
      </c>
      <c r="F153" s="8" t="str">
        <f>_xlfn.IFNA(INDEX('HS Codes'!$D$2:$K2707,MATCH($B153,'HS Codes'!$A$2:$A2707,0),MATCH(F$1,'HS Codes'!$D$1:$K$1,0)),"")</f>
        <v>6504.00.90.15</v>
      </c>
      <c r="G153" s="8">
        <f>_xlfn.IFNA(INDEX('HS Codes'!$D$2:$K2707,MATCH($B153,'HS Codes'!$A$2:$A2707,0),MATCH(G$1,'HS Codes'!$D$1:$K$1,0)),"")</f>
        <v>6505009090</v>
      </c>
      <c r="H153" s="8" t="str">
        <f>_xlfn.IFNA(INDEX('HS Codes'!$D$2:$K2707,MATCH($B153,'HS Codes'!$A$2:$A2707,0),MATCH(H$1,'HS Codes'!$D$1:$K$1,0)),"")</f>
        <v>6505.00.40.00</v>
      </c>
      <c r="I153" s="8" t="str">
        <f>_xlfn.IFNA(INDEX('HS Codes'!$D$2:$K2707,MATCH($B153,'HS Codes'!$A$2:$A2707,0),MATCH(I$1,'HS Codes'!$D$1:$K$1,0)),"")</f>
        <v>6505.00.90.90</v>
      </c>
      <c r="J153" s="8">
        <f>_xlfn.IFNA(INDEX('HS Codes'!$D$2:$K2707,MATCH($B153,'HS Codes'!$A$2:$A2707,0),MATCH(J$1,'HS Codes'!$D$1:$K$1,0)),"")</f>
        <v>0</v>
      </c>
      <c r="K153" s="8" t="str">
        <f>_xlfn.IFNA(INDEX('HS Codes'!$D$2:$K2707,MATCH($B153,'HS Codes'!$A$2:$A2707,0),MATCH(K$1,'HS Codes'!$D$1:$K$1,0)),"")</f>
        <v>6505.00.90</v>
      </c>
      <c r="L153" s="8">
        <f>_xlfn.IFNA(INDEX('HS Codes'!$D$2:$K2707,MATCH($B153,'HS Codes'!$A$2:$A2707,0),MATCH(L$1,'HS Codes'!$D$1:$K$1,0)),"")</f>
        <v>0</v>
      </c>
      <c r="M153" s="8" t="str">
        <f>_xlfn.IFNA(INDEX('HS Codes'!$C$2:$C2707,MATCH($B153,'HS Codes'!$A$2:$A2707,0)),"")</f>
        <v>Head Towel 100% recycled 200 GSM/83% polyester/17% polyamide (no cotton)</v>
      </c>
      <c r="N153" s="9"/>
      <c r="O153" s="9"/>
      <c r="P153" s="9"/>
      <c r="Q153" s="9"/>
    </row>
    <row r="154" spans="1:17" ht="15.75" customHeight="1">
      <c r="A154" s="7" t="s">
        <v>441</v>
      </c>
      <c r="B154" s="7" t="s">
        <v>129</v>
      </c>
      <c r="C154" s="7" t="s">
        <v>278</v>
      </c>
      <c r="D154" s="7" t="s">
        <v>130</v>
      </c>
      <c r="E154" s="7" t="s">
        <v>360</v>
      </c>
      <c r="F154" s="8" t="str">
        <f>_xlfn.IFNA(INDEX('HS Codes'!$D$2:$K2708,MATCH($B154,'HS Codes'!$A$2:$A2708,0),MATCH(F$1,'HS Codes'!$D$1:$K$1,0)),"")</f>
        <v>6504.00.90.15</v>
      </c>
      <c r="G154" s="8">
        <f>_xlfn.IFNA(INDEX('HS Codes'!$D$2:$K2708,MATCH($B154,'HS Codes'!$A$2:$A2708,0),MATCH(G$1,'HS Codes'!$D$1:$K$1,0)),"")</f>
        <v>6505009090</v>
      </c>
      <c r="H154" s="8" t="str">
        <f>_xlfn.IFNA(INDEX('HS Codes'!$D$2:$K2708,MATCH($B154,'HS Codes'!$A$2:$A2708,0),MATCH(H$1,'HS Codes'!$D$1:$K$1,0)),"")</f>
        <v>6505.00.40.00</v>
      </c>
      <c r="I154" s="8" t="str">
        <f>_xlfn.IFNA(INDEX('HS Codes'!$D$2:$K2708,MATCH($B154,'HS Codes'!$A$2:$A2708,0),MATCH(I$1,'HS Codes'!$D$1:$K$1,0)),"")</f>
        <v>6505.00.90.90</v>
      </c>
      <c r="J154" s="8">
        <f>_xlfn.IFNA(INDEX('HS Codes'!$D$2:$K2708,MATCH($B154,'HS Codes'!$A$2:$A2708,0),MATCH(J$1,'HS Codes'!$D$1:$K$1,0)),"")</f>
        <v>0</v>
      </c>
      <c r="K154" s="8" t="str">
        <f>_xlfn.IFNA(INDEX('HS Codes'!$D$2:$K2708,MATCH($B154,'HS Codes'!$A$2:$A2708,0),MATCH(K$1,'HS Codes'!$D$1:$K$1,0)),"")</f>
        <v>6505.00.90</v>
      </c>
      <c r="L154" s="8">
        <f>_xlfn.IFNA(INDEX('HS Codes'!$D$2:$K2708,MATCH($B154,'HS Codes'!$A$2:$A2708,0),MATCH(L$1,'HS Codes'!$D$1:$K$1,0)),"")</f>
        <v>0</v>
      </c>
      <c r="M154" s="8" t="str">
        <f>_xlfn.IFNA(INDEX('HS Codes'!$C$2:$C2708,MATCH($B154,'HS Codes'!$A$2:$A2708,0)),"")</f>
        <v>Head Towel 100% recycled 200 GSM/83% polyester/17% polyamide (no cotton)</v>
      </c>
      <c r="N154" s="9"/>
      <c r="O154" s="9"/>
      <c r="P154" s="9"/>
      <c r="Q154" s="9"/>
    </row>
    <row r="155" spans="1:17" ht="15.75" customHeight="1">
      <c r="A155" s="7" t="s">
        <v>442</v>
      </c>
      <c r="B155" s="7" t="s">
        <v>129</v>
      </c>
      <c r="C155" s="7" t="s">
        <v>278</v>
      </c>
      <c r="D155" s="7" t="s">
        <v>130</v>
      </c>
      <c r="E155" s="7" t="s">
        <v>360</v>
      </c>
      <c r="F155" s="8" t="str">
        <f>_xlfn.IFNA(INDEX('HS Codes'!$D$2:$K2709,MATCH($B155,'HS Codes'!$A$2:$A2709,0),MATCH(F$1,'HS Codes'!$D$1:$K$1,0)),"")</f>
        <v>6504.00.90.15</v>
      </c>
      <c r="G155" s="8">
        <f>_xlfn.IFNA(INDEX('HS Codes'!$D$2:$K2709,MATCH($B155,'HS Codes'!$A$2:$A2709,0),MATCH(G$1,'HS Codes'!$D$1:$K$1,0)),"")</f>
        <v>6505009090</v>
      </c>
      <c r="H155" s="8" t="str">
        <f>_xlfn.IFNA(INDEX('HS Codes'!$D$2:$K2709,MATCH($B155,'HS Codes'!$A$2:$A2709,0),MATCH(H$1,'HS Codes'!$D$1:$K$1,0)),"")</f>
        <v>6505.00.40.00</v>
      </c>
      <c r="I155" s="8" t="str">
        <f>_xlfn.IFNA(INDEX('HS Codes'!$D$2:$K2709,MATCH($B155,'HS Codes'!$A$2:$A2709,0),MATCH(I$1,'HS Codes'!$D$1:$K$1,0)),"")</f>
        <v>6505.00.90.90</v>
      </c>
      <c r="J155" s="8">
        <f>_xlfn.IFNA(INDEX('HS Codes'!$D$2:$K2709,MATCH($B155,'HS Codes'!$A$2:$A2709,0),MATCH(J$1,'HS Codes'!$D$1:$K$1,0)),"")</f>
        <v>0</v>
      </c>
      <c r="K155" s="8" t="str">
        <f>_xlfn.IFNA(INDEX('HS Codes'!$D$2:$K2709,MATCH($B155,'HS Codes'!$A$2:$A2709,0),MATCH(K$1,'HS Codes'!$D$1:$K$1,0)),"")</f>
        <v>6505.00.90</v>
      </c>
      <c r="L155" s="8">
        <f>_xlfn.IFNA(INDEX('HS Codes'!$D$2:$K2709,MATCH($B155,'HS Codes'!$A$2:$A2709,0),MATCH(L$1,'HS Codes'!$D$1:$K$1,0)),"")</f>
        <v>0</v>
      </c>
      <c r="M155" s="8" t="str">
        <f>_xlfn.IFNA(INDEX('HS Codes'!$C$2:$C2709,MATCH($B155,'HS Codes'!$A$2:$A2709,0)),"")</f>
        <v>Head Towel 100% recycled 200 GSM/83% polyester/17% polyamide (no cotton)</v>
      </c>
      <c r="N155" s="9"/>
      <c r="O155" s="9"/>
      <c r="P155" s="9"/>
      <c r="Q155" s="9"/>
    </row>
    <row r="156" spans="1:17" ht="15.75" customHeight="1">
      <c r="A156" s="7" t="s">
        <v>443</v>
      </c>
      <c r="B156" s="7" t="s">
        <v>129</v>
      </c>
      <c r="C156" s="7" t="s">
        <v>278</v>
      </c>
      <c r="D156" s="7" t="s">
        <v>130</v>
      </c>
      <c r="E156" s="7" t="s">
        <v>360</v>
      </c>
      <c r="F156" s="8" t="str">
        <f>_xlfn.IFNA(INDEX('HS Codes'!$D$2:$K2710,MATCH($B156,'HS Codes'!$A$2:$A2710,0),MATCH(F$1,'HS Codes'!$D$1:$K$1,0)),"")</f>
        <v>6504.00.90.15</v>
      </c>
      <c r="G156" s="8">
        <f>_xlfn.IFNA(INDEX('HS Codes'!$D$2:$K2710,MATCH($B156,'HS Codes'!$A$2:$A2710,0),MATCH(G$1,'HS Codes'!$D$1:$K$1,0)),"")</f>
        <v>6505009090</v>
      </c>
      <c r="H156" s="8" t="str">
        <f>_xlfn.IFNA(INDEX('HS Codes'!$D$2:$K2710,MATCH($B156,'HS Codes'!$A$2:$A2710,0),MATCH(H$1,'HS Codes'!$D$1:$K$1,0)),"")</f>
        <v>6505.00.40.00</v>
      </c>
      <c r="I156" s="8" t="str">
        <f>_xlfn.IFNA(INDEX('HS Codes'!$D$2:$K2710,MATCH($B156,'HS Codes'!$A$2:$A2710,0),MATCH(I$1,'HS Codes'!$D$1:$K$1,0)),"")</f>
        <v>6505.00.90.90</v>
      </c>
      <c r="J156" s="8">
        <f>_xlfn.IFNA(INDEX('HS Codes'!$D$2:$K2710,MATCH($B156,'HS Codes'!$A$2:$A2710,0),MATCH(J$1,'HS Codes'!$D$1:$K$1,0)),"")</f>
        <v>0</v>
      </c>
      <c r="K156" s="8" t="str">
        <f>_xlfn.IFNA(INDEX('HS Codes'!$D$2:$K2710,MATCH($B156,'HS Codes'!$A$2:$A2710,0),MATCH(K$1,'HS Codes'!$D$1:$K$1,0)),"")</f>
        <v>6505.00.90</v>
      </c>
      <c r="L156" s="8">
        <f>_xlfn.IFNA(INDEX('HS Codes'!$D$2:$K2710,MATCH($B156,'HS Codes'!$A$2:$A2710,0),MATCH(L$1,'HS Codes'!$D$1:$K$1,0)),"")</f>
        <v>0</v>
      </c>
      <c r="M156" s="8" t="str">
        <f>_xlfn.IFNA(INDEX('HS Codes'!$C$2:$C2710,MATCH($B156,'HS Codes'!$A$2:$A2710,0)),"")</f>
        <v>Head Towel 100% recycled 200 GSM/83% polyester/17% polyamide (no cotton)</v>
      </c>
      <c r="N156" s="9"/>
      <c r="O156" s="9"/>
      <c r="P156" s="9"/>
      <c r="Q156" s="9"/>
    </row>
    <row r="157" spans="1:17" ht="15.75" customHeight="1">
      <c r="A157" s="7" t="s">
        <v>444</v>
      </c>
      <c r="B157" s="7" t="s">
        <v>129</v>
      </c>
      <c r="C157" s="7" t="s">
        <v>278</v>
      </c>
      <c r="D157" s="7" t="s">
        <v>130</v>
      </c>
      <c r="E157" s="7" t="s">
        <v>360</v>
      </c>
      <c r="F157" s="8" t="str">
        <f>_xlfn.IFNA(INDEX('HS Codes'!$D$2:$K2711,MATCH($B157,'HS Codes'!$A$2:$A2711,0),MATCH(F$1,'HS Codes'!$D$1:$K$1,0)),"")</f>
        <v>6504.00.90.15</v>
      </c>
      <c r="G157" s="8">
        <f>_xlfn.IFNA(INDEX('HS Codes'!$D$2:$K2711,MATCH($B157,'HS Codes'!$A$2:$A2711,0),MATCH(G$1,'HS Codes'!$D$1:$K$1,0)),"")</f>
        <v>6505009090</v>
      </c>
      <c r="H157" s="8" t="str">
        <f>_xlfn.IFNA(INDEX('HS Codes'!$D$2:$K2711,MATCH($B157,'HS Codes'!$A$2:$A2711,0),MATCH(H$1,'HS Codes'!$D$1:$K$1,0)),"")</f>
        <v>6505.00.40.00</v>
      </c>
      <c r="I157" s="8" t="str">
        <f>_xlfn.IFNA(INDEX('HS Codes'!$D$2:$K2711,MATCH($B157,'HS Codes'!$A$2:$A2711,0),MATCH(I$1,'HS Codes'!$D$1:$K$1,0)),"")</f>
        <v>6505.00.90.90</v>
      </c>
      <c r="J157" s="8">
        <f>_xlfn.IFNA(INDEX('HS Codes'!$D$2:$K2711,MATCH($B157,'HS Codes'!$A$2:$A2711,0),MATCH(J$1,'HS Codes'!$D$1:$K$1,0)),"")</f>
        <v>0</v>
      </c>
      <c r="K157" s="8" t="str">
        <f>_xlfn.IFNA(INDEX('HS Codes'!$D$2:$K2711,MATCH($B157,'HS Codes'!$A$2:$A2711,0),MATCH(K$1,'HS Codes'!$D$1:$K$1,0)),"")</f>
        <v>6505.00.90</v>
      </c>
      <c r="L157" s="8">
        <f>_xlfn.IFNA(INDEX('HS Codes'!$D$2:$K2711,MATCH($B157,'HS Codes'!$A$2:$A2711,0),MATCH(L$1,'HS Codes'!$D$1:$K$1,0)),"")</f>
        <v>0</v>
      </c>
      <c r="M157" s="8" t="str">
        <f>_xlfn.IFNA(INDEX('HS Codes'!$C$2:$C2711,MATCH($B157,'HS Codes'!$A$2:$A2711,0)),"")</f>
        <v>Head Towel 100% recycled 200 GSM/83% polyester/17% polyamide (no cotton)</v>
      </c>
      <c r="N157" s="9"/>
      <c r="O157" s="9"/>
      <c r="P157" s="9"/>
      <c r="Q157" s="9"/>
    </row>
    <row r="158" spans="1:17" ht="15.75" customHeight="1">
      <c r="A158" s="7" t="s">
        <v>445</v>
      </c>
      <c r="B158" s="7" t="s">
        <v>129</v>
      </c>
      <c r="C158" s="7" t="s">
        <v>278</v>
      </c>
      <c r="D158" s="7" t="s">
        <v>130</v>
      </c>
      <c r="E158" s="7" t="s">
        <v>360</v>
      </c>
      <c r="F158" s="8" t="str">
        <f>_xlfn.IFNA(INDEX('HS Codes'!$D$2:$K2712,MATCH($B158,'HS Codes'!$A$2:$A2712,0),MATCH(F$1,'HS Codes'!$D$1:$K$1,0)),"")</f>
        <v>6504.00.90.15</v>
      </c>
      <c r="G158" s="8">
        <f>_xlfn.IFNA(INDEX('HS Codes'!$D$2:$K2712,MATCH($B158,'HS Codes'!$A$2:$A2712,0),MATCH(G$1,'HS Codes'!$D$1:$K$1,0)),"")</f>
        <v>6505009090</v>
      </c>
      <c r="H158" s="8" t="str">
        <f>_xlfn.IFNA(INDEX('HS Codes'!$D$2:$K2712,MATCH($B158,'HS Codes'!$A$2:$A2712,0),MATCH(H$1,'HS Codes'!$D$1:$K$1,0)),"")</f>
        <v>6505.00.40.00</v>
      </c>
      <c r="I158" s="8" t="str">
        <f>_xlfn.IFNA(INDEX('HS Codes'!$D$2:$K2712,MATCH($B158,'HS Codes'!$A$2:$A2712,0),MATCH(I$1,'HS Codes'!$D$1:$K$1,0)),"")</f>
        <v>6505.00.90.90</v>
      </c>
      <c r="J158" s="8">
        <f>_xlfn.IFNA(INDEX('HS Codes'!$D$2:$K2712,MATCH($B158,'HS Codes'!$A$2:$A2712,0),MATCH(J$1,'HS Codes'!$D$1:$K$1,0)),"")</f>
        <v>0</v>
      </c>
      <c r="K158" s="8" t="str">
        <f>_xlfn.IFNA(INDEX('HS Codes'!$D$2:$K2712,MATCH($B158,'HS Codes'!$A$2:$A2712,0),MATCH(K$1,'HS Codes'!$D$1:$K$1,0)),"")</f>
        <v>6505.00.90</v>
      </c>
      <c r="L158" s="8">
        <f>_xlfn.IFNA(INDEX('HS Codes'!$D$2:$K2712,MATCH($B158,'HS Codes'!$A$2:$A2712,0),MATCH(L$1,'HS Codes'!$D$1:$K$1,0)),"")</f>
        <v>0</v>
      </c>
      <c r="M158" s="8" t="str">
        <f>_xlfn.IFNA(INDEX('HS Codes'!$C$2:$C2712,MATCH($B158,'HS Codes'!$A$2:$A2712,0)),"")</f>
        <v>Head Towel 100% recycled 200 GSM/83% polyester/17% polyamide (no cotton)</v>
      </c>
      <c r="N158" s="9"/>
      <c r="O158" s="9"/>
      <c r="P158" s="9"/>
      <c r="Q158" s="9"/>
    </row>
    <row r="159" spans="1:17" ht="15.75" customHeight="1">
      <c r="A159" s="7" t="s">
        <v>446</v>
      </c>
      <c r="B159" s="7" t="s">
        <v>129</v>
      </c>
      <c r="C159" s="7" t="s">
        <v>278</v>
      </c>
      <c r="D159" s="7" t="s">
        <v>130</v>
      </c>
      <c r="E159" s="7" t="s">
        <v>360</v>
      </c>
      <c r="F159" s="8" t="str">
        <f>_xlfn.IFNA(INDEX('HS Codes'!$D$2:$K2713,MATCH($B159,'HS Codes'!$A$2:$A2713,0),MATCH(F$1,'HS Codes'!$D$1:$K$1,0)),"")</f>
        <v>6504.00.90.15</v>
      </c>
      <c r="G159" s="8">
        <f>_xlfn.IFNA(INDEX('HS Codes'!$D$2:$K2713,MATCH($B159,'HS Codes'!$A$2:$A2713,0),MATCH(G$1,'HS Codes'!$D$1:$K$1,0)),"")</f>
        <v>6505009090</v>
      </c>
      <c r="H159" s="8" t="str">
        <f>_xlfn.IFNA(INDEX('HS Codes'!$D$2:$K2713,MATCH($B159,'HS Codes'!$A$2:$A2713,0),MATCH(H$1,'HS Codes'!$D$1:$K$1,0)),"")</f>
        <v>6505.00.40.00</v>
      </c>
      <c r="I159" s="8" t="str">
        <f>_xlfn.IFNA(INDEX('HS Codes'!$D$2:$K2713,MATCH($B159,'HS Codes'!$A$2:$A2713,0),MATCH(I$1,'HS Codes'!$D$1:$K$1,0)),"")</f>
        <v>6505.00.90.90</v>
      </c>
      <c r="J159" s="8">
        <f>_xlfn.IFNA(INDEX('HS Codes'!$D$2:$K2713,MATCH($B159,'HS Codes'!$A$2:$A2713,0),MATCH(J$1,'HS Codes'!$D$1:$K$1,0)),"")</f>
        <v>0</v>
      </c>
      <c r="K159" s="8" t="str">
        <f>_xlfn.IFNA(INDEX('HS Codes'!$D$2:$K2713,MATCH($B159,'HS Codes'!$A$2:$A2713,0),MATCH(K$1,'HS Codes'!$D$1:$K$1,0)),"")</f>
        <v>6505.00.90</v>
      </c>
      <c r="L159" s="8">
        <f>_xlfn.IFNA(INDEX('HS Codes'!$D$2:$K2713,MATCH($B159,'HS Codes'!$A$2:$A2713,0),MATCH(L$1,'HS Codes'!$D$1:$K$1,0)),"")</f>
        <v>0</v>
      </c>
      <c r="M159" s="8" t="str">
        <f>_xlfn.IFNA(INDEX('HS Codes'!$C$2:$C2713,MATCH($B159,'HS Codes'!$A$2:$A2713,0)),"")</f>
        <v>Head Towel 100% recycled 200 GSM/83% polyester/17% polyamide (no cotton)</v>
      </c>
      <c r="N159" s="9"/>
      <c r="O159" s="9"/>
      <c r="P159" s="9"/>
      <c r="Q159" s="9"/>
    </row>
    <row r="160" spans="1:17" ht="15.75" customHeight="1">
      <c r="A160" s="7" t="s">
        <v>447</v>
      </c>
      <c r="B160" s="7" t="s">
        <v>129</v>
      </c>
      <c r="C160" s="7" t="s">
        <v>278</v>
      </c>
      <c r="D160" s="7" t="s">
        <v>130</v>
      </c>
      <c r="E160" s="7" t="s">
        <v>360</v>
      </c>
      <c r="F160" s="8" t="str">
        <f>_xlfn.IFNA(INDEX('HS Codes'!$D$2:$K2714,MATCH($B160,'HS Codes'!$A$2:$A2714,0),MATCH(F$1,'HS Codes'!$D$1:$K$1,0)),"")</f>
        <v>6504.00.90.15</v>
      </c>
      <c r="G160" s="8">
        <f>_xlfn.IFNA(INDEX('HS Codes'!$D$2:$K2714,MATCH($B160,'HS Codes'!$A$2:$A2714,0),MATCH(G$1,'HS Codes'!$D$1:$K$1,0)),"")</f>
        <v>6505009090</v>
      </c>
      <c r="H160" s="8" t="str">
        <f>_xlfn.IFNA(INDEX('HS Codes'!$D$2:$K2714,MATCH($B160,'HS Codes'!$A$2:$A2714,0),MATCH(H$1,'HS Codes'!$D$1:$K$1,0)),"")</f>
        <v>6505.00.40.00</v>
      </c>
      <c r="I160" s="8" t="str">
        <f>_xlfn.IFNA(INDEX('HS Codes'!$D$2:$K2714,MATCH($B160,'HS Codes'!$A$2:$A2714,0),MATCH(I$1,'HS Codes'!$D$1:$K$1,0)),"")</f>
        <v>6505.00.90.90</v>
      </c>
      <c r="J160" s="8">
        <f>_xlfn.IFNA(INDEX('HS Codes'!$D$2:$K2714,MATCH($B160,'HS Codes'!$A$2:$A2714,0),MATCH(J$1,'HS Codes'!$D$1:$K$1,0)),"")</f>
        <v>0</v>
      </c>
      <c r="K160" s="8" t="str">
        <f>_xlfn.IFNA(INDEX('HS Codes'!$D$2:$K2714,MATCH($B160,'HS Codes'!$A$2:$A2714,0),MATCH(K$1,'HS Codes'!$D$1:$K$1,0)),"")</f>
        <v>6505.00.90</v>
      </c>
      <c r="L160" s="8">
        <f>_xlfn.IFNA(INDEX('HS Codes'!$D$2:$K2714,MATCH($B160,'HS Codes'!$A$2:$A2714,0),MATCH(L$1,'HS Codes'!$D$1:$K$1,0)),"")</f>
        <v>0</v>
      </c>
      <c r="M160" s="8" t="str">
        <f>_xlfn.IFNA(INDEX('HS Codes'!$C$2:$C2714,MATCH($B160,'HS Codes'!$A$2:$A2714,0)),"")</f>
        <v>Head Towel 100% recycled 200 GSM/83% polyester/17% polyamide (no cotton)</v>
      </c>
      <c r="N160" s="9"/>
      <c r="O160" s="9"/>
      <c r="P160" s="9"/>
      <c r="Q160" s="9"/>
    </row>
    <row r="161" spans="1:17" ht="15.75" customHeight="1">
      <c r="A161" s="7" t="s">
        <v>448</v>
      </c>
      <c r="B161" s="7" t="s">
        <v>129</v>
      </c>
      <c r="C161" s="7" t="s">
        <v>278</v>
      </c>
      <c r="D161" s="7" t="s">
        <v>130</v>
      </c>
      <c r="E161" s="7" t="s">
        <v>360</v>
      </c>
      <c r="F161" s="8" t="str">
        <f>_xlfn.IFNA(INDEX('HS Codes'!$D$2:$K2715,MATCH($B161,'HS Codes'!$A$2:$A2715,0),MATCH(F$1,'HS Codes'!$D$1:$K$1,0)),"")</f>
        <v>6504.00.90.15</v>
      </c>
      <c r="G161" s="8">
        <f>_xlfn.IFNA(INDEX('HS Codes'!$D$2:$K2715,MATCH($B161,'HS Codes'!$A$2:$A2715,0),MATCH(G$1,'HS Codes'!$D$1:$K$1,0)),"")</f>
        <v>6505009090</v>
      </c>
      <c r="H161" s="8" t="str">
        <f>_xlfn.IFNA(INDEX('HS Codes'!$D$2:$K2715,MATCH($B161,'HS Codes'!$A$2:$A2715,0),MATCH(H$1,'HS Codes'!$D$1:$K$1,0)),"")</f>
        <v>6505.00.40.00</v>
      </c>
      <c r="I161" s="8" t="str">
        <f>_xlfn.IFNA(INDEX('HS Codes'!$D$2:$K2715,MATCH($B161,'HS Codes'!$A$2:$A2715,0),MATCH(I$1,'HS Codes'!$D$1:$K$1,0)),"")</f>
        <v>6505.00.90.90</v>
      </c>
      <c r="J161" s="8">
        <f>_xlfn.IFNA(INDEX('HS Codes'!$D$2:$K2715,MATCH($B161,'HS Codes'!$A$2:$A2715,0),MATCH(J$1,'HS Codes'!$D$1:$K$1,0)),"")</f>
        <v>0</v>
      </c>
      <c r="K161" s="8" t="str">
        <f>_xlfn.IFNA(INDEX('HS Codes'!$D$2:$K2715,MATCH($B161,'HS Codes'!$A$2:$A2715,0),MATCH(K$1,'HS Codes'!$D$1:$K$1,0)),"")</f>
        <v>6505.00.90</v>
      </c>
      <c r="L161" s="8">
        <f>_xlfn.IFNA(INDEX('HS Codes'!$D$2:$K2715,MATCH($B161,'HS Codes'!$A$2:$A2715,0),MATCH(L$1,'HS Codes'!$D$1:$K$1,0)),"")</f>
        <v>0</v>
      </c>
      <c r="M161" s="8" t="str">
        <f>_xlfn.IFNA(INDEX('HS Codes'!$C$2:$C2715,MATCH($B161,'HS Codes'!$A$2:$A2715,0)),"")</f>
        <v>Head Towel 100% recycled 200 GSM/83% polyester/17% polyamide (no cotton)</v>
      </c>
      <c r="N161" s="9"/>
      <c r="O161" s="9"/>
      <c r="P161" s="9"/>
      <c r="Q161" s="9"/>
    </row>
    <row r="162" spans="1:17" ht="15.75" customHeight="1">
      <c r="A162" s="7" t="s">
        <v>449</v>
      </c>
      <c r="B162" s="7" t="s">
        <v>129</v>
      </c>
      <c r="C162" s="7" t="s">
        <v>278</v>
      </c>
      <c r="D162" s="7" t="s">
        <v>130</v>
      </c>
      <c r="E162" s="7" t="s">
        <v>360</v>
      </c>
      <c r="F162" s="8" t="str">
        <f>_xlfn.IFNA(INDEX('HS Codes'!$D$2:$K2716,MATCH($B162,'HS Codes'!$A$2:$A2716,0),MATCH(F$1,'HS Codes'!$D$1:$K$1,0)),"")</f>
        <v>6504.00.90.15</v>
      </c>
      <c r="G162" s="8">
        <f>_xlfn.IFNA(INDEX('HS Codes'!$D$2:$K2716,MATCH($B162,'HS Codes'!$A$2:$A2716,0),MATCH(G$1,'HS Codes'!$D$1:$K$1,0)),"")</f>
        <v>6505009090</v>
      </c>
      <c r="H162" s="8" t="str">
        <f>_xlfn.IFNA(INDEX('HS Codes'!$D$2:$K2716,MATCH($B162,'HS Codes'!$A$2:$A2716,0),MATCH(H$1,'HS Codes'!$D$1:$K$1,0)),"")</f>
        <v>6505.00.40.00</v>
      </c>
      <c r="I162" s="8" t="str">
        <f>_xlfn.IFNA(INDEX('HS Codes'!$D$2:$K2716,MATCH($B162,'HS Codes'!$A$2:$A2716,0),MATCH(I$1,'HS Codes'!$D$1:$K$1,0)),"")</f>
        <v>6505.00.90.90</v>
      </c>
      <c r="J162" s="8">
        <f>_xlfn.IFNA(INDEX('HS Codes'!$D$2:$K2716,MATCH($B162,'HS Codes'!$A$2:$A2716,0),MATCH(J$1,'HS Codes'!$D$1:$K$1,0)),"")</f>
        <v>0</v>
      </c>
      <c r="K162" s="8" t="str">
        <f>_xlfn.IFNA(INDEX('HS Codes'!$D$2:$K2716,MATCH($B162,'HS Codes'!$A$2:$A2716,0),MATCH(K$1,'HS Codes'!$D$1:$K$1,0)),"")</f>
        <v>6505.00.90</v>
      </c>
      <c r="L162" s="8">
        <f>_xlfn.IFNA(INDEX('HS Codes'!$D$2:$K2716,MATCH($B162,'HS Codes'!$A$2:$A2716,0),MATCH(L$1,'HS Codes'!$D$1:$K$1,0)),"")</f>
        <v>0</v>
      </c>
      <c r="M162" s="8" t="str">
        <f>_xlfn.IFNA(INDEX('HS Codes'!$C$2:$C2716,MATCH($B162,'HS Codes'!$A$2:$A2716,0)),"")</f>
        <v>Head Towel 100% recycled 200 GSM/83% polyester/17% polyamide (no cotton)</v>
      </c>
      <c r="N162" s="9"/>
      <c r="O162" s="9"/>
      <c r="P162" s="9"/>
      <c r="Q162" s="9"/>
    </row>
    <row r="163" spans="1:17" ht="15.75" customHeight="1">
      <c r="A163" s="7" t="s">
        <v>450</v>
      </c>
      <c r="B163" s="7" t="s">
        <v>129</v>
      </c>
      <c r="C163" s="7" t="s">
        <v>278</v>
      </c>
      <c r="D163" s="7" t="s">
        <v>130</v>
      </c>
      <c r="E163" s="7" t="s">
        <v>360</v>
      </c>
      <c r="F163" s="8" t="str">
        <f>_xlfn.IFNA(INDEX('HS Codes'!$D$2:$K2717,MATCH($B163,'HS Codes'!$A$2:$A2717,0),MATCH(F$1,'HS Codes'!$D$1:$K$1,0)),"")</f>
        <v>6504.00.90.15</v>
      </c>
      <c r="G163" s="8">
        <f>_xlfn.IFNA(INDEX('HS Codes'!$D$2:$K2717,MATCH($B163,'HS Codes'!$A$2:$A2717,0),MATCH(G$1,'HS Codes'!$D$1:$K$1,0)),"")</f>
        <v>6505009090</v>
      </c>
      <c r="H163" s="8" t="str">
        <f>_xlfn.IFNA(INDEX('HS Codes'!$D$2:$K2717,MATCH($B163,'HS Codes'!$A$2:$A2717,0),MATCH(H$1,'HS Codes'!$D$1:$K$1,0)),"")</f>
        <v>6505.00.40.00</v>
      </c>
      <c r="I163" s="8" t="str">
        <f>_xlfn.IFNA(INDEX('HS Codes'!$D$2:$K2717,MATCH($B163,'HS Codes'!$A$2:$A2717,0),MATCH(I$1,'HS Codes'!$D$1:$K$1,0)),"")</f>
        <v>6505.00.90.90</v>
      </c>
      <c r="J163" s="8">
        <f>_xlfn.IFNA(INDEX('HS Codes'!$D$2:$K2717,MATCH($B163,'HS Codes'!$A$2:$A2717,0),MATCH(J$1,'HS Codes'!$D$1:$K$1,0)),"")</f>
        <v>0</v>
      </c>
      <c r="K163" s="8" t="str">
        <f>_xlfn.IFNA(INDEX('HS Codes'!$D$2:$K2717,MATCH($B163,'HS Codes'!$A$2:$A2717,0),MATCH(K$1,'HS Codes'!$D$1:$K$1,0)),"")</f>
        <v>6505.00.90</v>
      </c>
      <c r="L163" s="8">
        <f>_xlfn.IFNA(INDEX('HS Codes'!$D$2:$K2717,MATCH($B163,'HS Codes'!$A$2:$A2717,0),MATCH(L$1,'HS Codes'!$D$1:$K$1,0)),"")</f>
        <v>0</v>
      </c>
      <c r="M163" s="8" t="str">
        <f>_xlfn.IFNA(INDEX('HS Codes'!$C$2:$C2717,MATCH($B163,'HS Codes'!$A$2:$A2717,0)),"")</f>
        <v>Head Towel 100% recycled 200 GSM/83% polyester/17% polyamide (no cotton)</v>
      </c>
      <c r="N163" s="9"/>
      <c r="O163" s="9"/>
      <c r="P163" s="9"/>
      <c r="Q163" s="9"/>
    </row>
    <row r="164" spans="1:17" ht="15.75" customHeight="1">
      <c r="A164" s="7" t="s">
        <v>451</v>
      </c>
      <c r="B164" s="7" t="s">
        <v>126</v>
      </c>
      <c r="C164" s="7" t="s">
        <v>278</v>
      </c>
      <c r="D164" s="7" t="s">
        <v>127</v>
      </c>
      <c r="E164" s="7" t="s">
        <v>360</v>
      </c>
      <c r="F164" s="8" t="str">
        <f>_xlfn.IFNA(INDEX('HS Codes'!$D$2:$K2718,MATCH($B164,'HS Codes'!$A$2:$A2718,0),MATCH(F$1,'HS Codes'!$D$1:$K$1,0)),"")</f>
        <v>6504.00.90.15</v>
      </c>
      <c r="G164" s="8">
        <f>_xlfn.IFNA(INDEX('HS Codes'!$D$2:$K2718,MATCH($B164,'HS Codes'!$A$2:$A2718,0),MATCH(G$1,'HS Codes'!$D$1:$K$1,0)),"")</f>
        <v>6505009090</v>
      </c>
      <c r="H164" s="8" t="str">
        <f>_xlfn.IFNA(INDEX('HS Codes'!$D$2:$K2718,MATCH($B164,'HS Codes'!$A$2:$A2718,0),MATCH(H$1,'HS Codes'!$D$1:$K$1,0)),"")</f>
        <v>6505.00.40.00</v>
      </c>
      <c r="I164" s="8" t="str">
        <f>_xlfn.IFNA(INDEX('HS Codes'!$D$2:$K2718,MATCH($B164,'HS Codes'!$A$2:$A2718,0),MATCH(I$1,'HS Codes'!$D$1:$K$1,0)),"")</f>
        <v>6505.00.90.90</v>
      </c>
      <c r="J164" s="8">
        <f>_xlfn.IFNA(INDEX('HS Codes'!$D$2:$K2718,MATCH($B164,'HS Codes'!$A$2:$A2718,0),MATCH(J$1,'HS Codes'!$D$1:$K$1,0)),"")</f>
        <v>0</v>
      </c>
      <c r="K164" s="8" t="str">
        <f>_xlfn.IFNA(INDEX('HS Codes'!$D$2:$K2718,MATCH($B164,'HS Codes'!$A$2:$A2718,0),MATCH(K$1,'HS Codes'!$D$1:$K$1,0)),"")</f>
        <v>6505.00.90</v>
      </c>
      <c r="L164" s="8">
        <f>_xlfn.IFNA(INDEX('HS Codes'!$D$2:$K2718,MATCH($B164,'HS Codes'!$A$2:$A2718,0),MATCH(L$1,'HS Codes'!$D$1:$K$1,0)),"")</f>
        <v>6507</v>
      </c>
      <c r="M164" s="8" t="str">
        <f>_xlfn.IFNA(INDEX('HS Codes'!$C$2:$C2718,MATCH($B164,'HS Codes'!$A$2:$A2718,0)),"")</f>
        <v>Head Towel 100% recycled 340 GSM/83% polyester/17% polyamide (no cotton)</v>
      </c>
      <c r="N164" s="9"/>
      <c r="O164" s="9"/>
      <c r="P164" s="9"/>
      <c r="Q164" s="9"/>
    </row>
    <row r="165" spans="1:17" ht="15.75" customHeight="1">
      <c r="A165" s="7" t="s">
        <v>452</v>
      </c>
      <c r="B165" s="7" t="s">
        <v>126</v>
      </c>
      <c r="C165" s="7" t="s">
        <v>278</v>
      </c>
      <c r="D165" s="7" t="s">
        <v>127</v>
      </c>
      <c r="E165" s="7" t="s">
        <v>360</v>
      </c>
      <c r="F165" s="8" t="str">
        <f>_xlfn.IFNA(INDEX('HS Codes'!$D$2:$K2719,MATCH($B165,'HS Codes'!$A$2:$A2719,0),MATCH(F$1,'HS Codes'!$D$1:$K$1,0)),"")</f>
        <v>6504.00.90.15</v>
      </c>
      <c r="G165" s="8">
        <f>_xlfn.IFNA(INDEX('HS Codes'!$D$2:$K2719,MATCH($B165,'HS Codes'!$A$2:$A2719,0),MATCH(G$1,'HS Codes'!$D$1:$K$1,0)),"")</f>
        <v>6505009090</v>
      </c>
      <c r="H165" s="8" t="str">
        <f>_xlfn.IFNA(INDEX('HS Codes'!$D$2:$K2719,MATCH($B165,'HS Codes'!$A$2:$A2719,0),MATCH(H$1,'HS Codes'!$D$1:$K$1,0)),"")</f>
        <v>6505.00.40.00</v>
      </c>
      <c r="I165" s="8" t="str">
        <f>_xlfn.IFNA(INDEX('HS Codes'!$D$2:$K2719,MATCH($B165,'HS Codes'!$A$2:$A2719,0),MATCH(I$1,'HS Codes'!$D$1:$K$1,0)),"")</f>
        <v>6505.00.90.90</v>
      </c>
      <c r="J165" s="8">
        <f>_xlfn.IFNA(INDEX('HS Codes'!$D$2:$K2719,MATCH($B165,'HS Codes'!$A$2:$A2719,0),MATCH(J$1,'HS Codes'!$D$1:$K$1,0)),"")</f>
        <v>0</v>
      </c>
      <c r="K165" s="8" t="str">
        <f>_xlfn.IFNA(INDEX('HS Codes'!$D$2:$K2719,MATCH($B165,'HS Codes'!$A$2:$A2719,0),MATCH(K$1,'HS Codes'!$D$1:$K$1,0)),"")</f>
        <v>6505.00.90</v>
      </c>
      <c r="L165" s="8">
        <f>_xlfn.IFNA(INDEX('HS Codes'!$D$2:$K2719,MATCH($B165,'HS Codes'!$A$2:$A2719,0),MATCH(L$1,'HS Codes'!$D$1:$K$1,0)),"")</f>
        <v>6507</v>
      </c>
      <c r="M165" s="8" t="str">
        <f>_xlfn.IFNA(INDEX('HS Codes'!$C$2:$C2719,MATCH($B165,'HS Codes'!$A$2:$A2719,0)),"")</f>
        <v>Head Towel 100% recycled 340 GSM/83% polyester/17% polyamide (no cotton)</v>
      </c>
      <c r="N165" s="9"/>
      <c r="O165" s="9"/>
      <c r="P165" s="9"/>
      <c r="Q165" s="9"/>
    </row>
    <row r="166" spans="1:17" ht="15.75" customHeight="1">
      <c r="A166" s="7" t="s">
        <v>453</v>
      </c>
      <c r="B166" s="7" t="s">
        <v>126</v>
      </c>
      <c r="C166" s="7" t="s">
        <v>278</v>
      </c>
      <c r="D166" s="7" t="s">
        <v>127</v>
      </c>
      <c r="E166" s="7" t="s">
        <v>360</v>
      </c>
      <c r="F166" s="8" t="str">
        <f>_xlfn.IFNA(INDEX('HS Codes'!$D$2:$K2720,MATCH($B166,'HS Codes'!$A$2:$A2720,0),MATCH(F$1,'HS Codes'!$D$1:$K$1,0)),"")</f>
        <v>6504.00.90.15</v>
      </c>
      <c r="G166" s="8">
        <f>_xlfn.IFNA(INDEX('HS Codes'!$D$2:$K2720,MATCH($B166,'HS Codes'!$A$2:$A2720,0),MATCH(G$1,'HS Codes'!$D$1:$K$1,0)),"")</f>
        <v>6505009090</v>
      </c>
      <c r="H166" s="8" t="str">
        <f>_xlfn.IFNA(INDEX('HS Codes'!$D$2:$K2720,MATCH($B166,'HS Codes'!$A$2:$A2720,0),MATCH(H$1,'HS Codes'!$D$1:$K$1,0)),"")</f>
        <v>6505.00.40.00</v>
      </c>
      <c r="I166" s="8" t="str">
        <f>_xlfn.IFNA(INDEX('HS Codes'!$D$2:$K2720,MATCH($B166,'HS Codes'!$A$2:$A2720,0),MATCH(I$1,'HS Codes'!$D$1:$K$1,0)),"")</f>
        <v>6505.00.90.90</v>
      </c>
      <c r="J166" s="8">
        <f>_xlfn.IFNA(INDEX('HS Codes'!$D$2:$K2720,MATCH($B166,'HS Codes'!$A$2:$A2720,0),MATCH(J$1,'HS Codes'!$D$1:$K$1,0)),"")</f>
        <v>0</v>
      </c>
      <c r="K166" s="8" t="str">
        <f>_xlfn.IFNA(INDEX('HS Codes'!$D$2:$K2720,MATCH($B166,'HS Codes'!$A$2:$A2720,0),MATCH(K$1,'HS Codes'!$D$1:$K$1,0)),"")</f>
        <v>6505.00.90</v>
      </c>
      <c r="L166" s="8">
        <f>_xlfn.IFNA(INDEX('HS Codes'!$D$2:$K2720,MATCH($B166,'HS Codes'!$A$2:$A2720,0),MATCH(L$1,'HS Codes'!$D$1:$K$1,0)),"")</f>
        <v>6507</v>
      </c>
      <c r="M166" s="8" t="str">
        <f>_xlfn.IFNA(INDEX('HS Codes'!$C$2:$C2720,MATCH($B166,'HS Codes'!$A$2:$A2720,0)),"")</f>
        <v>Head Towel 100% recycled 340 GSM/83% polyester/17% polyamide (no cotton)</v>
      </c>
      <c r="N166" s="9"/>
      <c r="O166" s="9"/>
      <c r="P166" s="9"/>
      <c r="Q166" s="9"/>
    </row>
    <row r="167" spans="1:17" ht="15.75" customHeight="1">
      <c r="A167" s="7" t="s">
        <v>454</v>
      </c>
      <c r="B167" s="7" t="s">
        <v>126</v>
      </c>
      <c r="C167" s="7" t="s">
        <v>278</v>
      </c>
      <c r="D167" s="7" t="s">
        <v>127</v>
      </c>
      <c r="E167" s="7" t="s">
        <v>360</v>
      </c>
      <c r="F167" s="8" t="str">
        <f>_xlfn.IFNA(INDEX('HS Codes'!$D$2:$K2721,MATCH($B167,'HS Codes'!$A$2:$A2721,0),MATCH(F$1,'HS Codes'!$D$1:$K$1,0)),"")</f>
        <v>6504.00.90.15</v>
      </c>
      <c r="G167" s="8">
        <f>_xlfn.IFNA(INDEX('HS Codes'!$D$2:$K2721,MATCH($B167,'HS Codes'!$A$2:$A2721,0),MATCH(G$1,'HS Codes'!$D$1:$K$1,0)),"")</f>
        <v>6505009090</v>
      </c>
      <c r="H167" s="8" t="str">
        <f>_xlfn.IFNA(INDEX('HS Codes'!$D$2:$K2721,MATCH($B167,'HS Codes'!$A$2:$A2721,0),MATCH(H$1,'HS Codes'!$D$1:$K$1,0)),"")</f>
        <v>6505.00.40.00</v>
      </c>
      <c r="I167" s="8" t="str">
        <f>_xlfn.IFNA(INDEX('HS Codes'!$D$2:$K2721,MATCH($B167,'HS Codes'!$A$2:$A2721,0),MATCH(I$1,'HS Codes'!$D$1:$K$1,0)),"")</f>
        <v>6505.00.90.90</v>
      </c>
      <c r="J167" s="8">
        <f>_xlfn.IFNA(INDEX('HS Codes'!$D$2:$K2721,MATCH($B167,'HS Codes'!$A$2:$A2721,0),MATCH(J$1,'HS Codes'!$D$1:$K$1,0)),"")</f>
        <v>0</v>
      </c>
      <c r="K167" s="8" t="str">
        <f>_xlfn.IFNA(INDEX('HS Codes'!$D$2:$K2721,MATCH($B167,'HS Codes'!$A$2:$A2721,0),MATCH(K$1,'HS Codes'!$D$1:$K$1,0)),"")</f>
        <v>6505.00.90</v>
      </c>
      <c r="L167" s="8">
        <f>_xlfn.IFNA(INDEX('HS Codes'!$D$2:$K2721,MATCH($B167,'HS Codes'!$A$2:$A2721,0),MATCH(L$1,'HS Codes'!$D$1:$K$1,0)),"")</f>
        <v>6507</v>
      </c>
      <c r="M167" s="8" t="str">
        <f>_xlfn.IFNA(INDEX('HS Codes'!$C$2:$C2721,MATCH($B167,'HS Codes'!$A$2:$A2721,0)),"")</f>
        <v>Head Towel 100% recycled 340 GSM/83% polyester/17% polyamide (no cotton)</v>
      </c>
      <c r="N167" s="9"/>
      <c r="O167" s="9"/>
      <c r="P167" s="9"/>
      <c r="Q167" s="9"/>
    </row>
    <row r="168" spans="1:17" ht="15.75" customHeight="1">
      <c r="A168" s="7" t="s">
        <v>455</v>
      </c>
      <c r="B168" s="7" t="s">
        <v>126</v>
      </c>
      <c r="C168" s="7" t="s">
        <v>278</v>
      </c>
      <c r="D168" s="7" t="s">
        <v>127</v>
      </c>
      <c r="E168" s="7" t="s">
        <v>360</v>
      </c>
      <c r="F168" s="8" t="str">
        <f>_xlfn.IFNA(INDEX('HS Codes'!$D$2:$K2722,MATCH($B168,'HS Codes'!$A$2:$A2722,0),MATCH(F$1,'HS Codes'!$D$1:$K$1,0)),"")</f>
        <v>6504.00.90.15</v>
      </c>
      <c r="G168" s="8">
        <f>_xlfn.IFNA(INDEX('HS Codes'!$D$2:$K2722,MATCH($B168,'HS Codes'!$A$2:$A2722,0),MATCH(G$1,'HS Codes'!$D$1:$K$1,0)),"")</f>
        <v>6505009090</v>
      </c>
      <c r="H168" s="8" t="str">
        <f>_xlfn.IFNA(INDEX('HS Codes'!$D$2:$K2722,MATCH($B168,'HS Codes'!$A$2:$A2722,0),MATCH(H$1,'HS Codes'!$D$1:$K$1,0)),"")</f>
        <v>6505.00.40.00</v>
      </c>
      <c r="I168" s="8" t="str">
        <f>_xlfn.IFNA(INDEX('HS Codes'!$D$2:$K2722,MATCH($B168,'HS Codes'!$A$2:$A2722,0),MATCH(I$1,'HS Codes'!$D$1:$K$1,0)),"")</f>
        <v>6505.00.90.90</v>
      </c>
      <c r="J168" s="8">
        <f>_xlfn.IFNA(INDEX('HS Codes'!$D$2:$K2722,MATCH($B168,'HS Codes'!$A$2:$A2722,0),MATCH(J$1,'HS Codes'!$D$1:$K$1,0)),"")</f>
        <v>0</v>
      </c>
      <c r="K168" s="8" t="str">
        <f>_xlfn.IFNA(INDEX('HS Codes'!$D$2:$K2722,MATCH($B168,'HS Codes'!$A$2:$A2722,0),MATCH(K$1,'HS Codes'!$D$1:$K$1,0)),"")</f>
        <v>6505.00.90</v>
      </c>
      <c r="L168" s="8">
        <f>_xlfn.IFNA(INDEX('HS Codes'!$D$2:$K2722,MATCH($B168,'HS Codes'!$A$2:$A2722,0),MATCH(L$1,'HS Codes'!$D$1:$K$1,0)),"")</f>
        <v>6507</v>
      </c>
      <c r="M168" s="8" t="str">
        <f>_xlfn.IFNA(INDEX('HS Codes'!$C$2:$C2722,MATCH($B168,'HS Codes'!$A$2:$A2722,0)),"")</f>
        <v>Head Towel 100% recycled 340 GSM/83% polyester/17% polyamide (no cotton)</v>
      </c>
      <c r="N168" s="9"/>
      <c r="O168" s="9"/>
      <c r="P168" s="9"/>
      <c r="Q168" s="9"/>
    </row>
    <row r="169" spans="1:17" ht="15.75" customHeight="1">
      <c r="A169" s="7" t="s">
        <v>456</v>
      </c>
      <c r="B169" s="7"/>
      <c r="C169" s="7"/>
      <c r="D169" s="7"/>
      <c r="E169" s="7"/>
      <c r="F169" s="8" t="str">
        <f>_xlfn.IFNA(INDEX('HS Codes'!$D$2:$K2723,MATCH($B169,'HS Codes'!$A$2:$A2723,0),MATCH(F$1,'HS Codes'!$D$1:$K$1,0)),"")</f>
        <v/>
      </c>
      <c r="G169" s="8" t="str">
        <f>_xlfn.IFNA(INDEX('HS Codes'!$D$2:$K2723,MATCH($B169,'HS Codes'!$A$2:$A2723,0),MATCH(G$1,'HS Codes'!$D$1:$K$1,0)),"")</f>
        <v/>
      </c>
      <c r="H169" s="8" t="str">
        <f>_xlfn.IFNA(INDEX('HS Codes'!$D$2:$K2723,MATCH($B169,'HS Codes'!$A$2:$A2723,0),MATCH(H$1,'HS Codes'!$D$1:$K$1,0)),"")</f>
        <v/>
      </c>
      <c r="I169" s="8" t="str">
        <f>_xlfn.IFNA(INDEX('HS Codes'!$D$2:$K2723,MATCH($B169,'HS Codes'!$A$2:$A2723,0),MATCH(I$1,'HS Codes'!$D$1:$K$1,0)),"")</f>
        <v/>
      </c>
      <c r="J169" s="8" t="str">
        <f>_xlfn.IFNA(INDEX('HS Codes'!$D$2:$K2723,MATCH($B169,'HS Codes'!$A$2:$A2723,0),MATCH(J$1,'HS Codes'!$D$1:$K$1,0)),"")</f>
        <v/>
      </c>
      <c r="K169" s="8" t="str">
        <f>_xlfn.IFNA(INDEX('HS Codes'!$D$2:$K2723,MATCH($B169,'HS Codes'!$A$2:$A2723,0),MATCH(K$1,'HS Codes'!$D$1:$K$1,0)),"")</f>
        <v/>
      </c>
      <c r="L169" s="8" t="str">
        <f>_xlfn.IFNA(INDEX('HS Codes'!$D$2:$K2723,MATCH($B169,'HS Codes'!$A$2:$A2723,0),MATCH(L$1,'HS Codes'!$D$1:$K$1,0)),"")</f>
        <v/>
      </c>
      <c r="M169" s="8" t="str">
        <f>_xlfn.IFNA(INDEX('HS Codes'!$C$2:$C2723,MATCH($B169,'HS Codes'!$A$2:$A2723,0)),"")</f>
        <v/>
      </c>
      <c r="N169" s="9"/>
      <c r="O169" s="9"/>
      <c r="P169" s="9"/>
      <c r="Q169" s="9"/>
    </row>
    <row r="170" spans="1:17" ht="15.75" customHeight="1">
      <c r="A170" s="7" t="s">
        <v>457</v>
      </c>
      <c r="B170" s="7"/>
      <c r="C170" s="7"/>
      <c r="D170" s="7"/>
      <c r="E170" s="7"/>
      <c r="F170" s="8" t="str">
        <f>_xlfn.IFNA(INDEX('HS Codes'!$D$2:$K2724,MATCH($B170,'HS Codes'!$A$2:$A2724,0),MATCH(F$1,'HS Codes'!$D$1:$K$1,0)),"")</f>
        <v/>
      </c>
      <c r="G170" s="8" t="str">
        <f>_xlfn.IFNA(INDEX('HS Codes'!$D$2:$K2724,MATCH($B170,'HS Codes'!$A$2:$A2724,0),MATCH(G$1,'HS Codes'!$D$1:$K$1,0)),"")</f>
        <v/>
      </c>
      <c r="H170" s="8" t="str">
        <f>_xlfn.IFNA(INDEX('HS Codes'!$D$2:$K2724,MATCH($B170,'HS Codes'!$A$2:$A2724,0),MATCH(H$1,'HS Codes'!$D$1:$K$1,0)),"")</f>
        <v/>
      </c>
      <c r="I170" s="8" t="str">
        <f>_xlfn.IFNA(INDEX('HS Codes'!$D$2:$K2724,MATCH($B170,'HS Codes'!$A$2:$A2724,0),MATCH(I$1,'HS Codes'!$D$1:$K$1,0)),"")</f>
        <v/>
      </c>
      <c r="J170" s="8" t="str">
        <f>_xlfn.IFNA(INDEX('HS Codes'!$D$2:$K2724,MATCH($B170,'HS Codes'!$A$2:$A2724,0),MATCH(J$1,'HS Codes'!$D$1:$K$1,0)),"")</f>
        <v/>
      </c>
      <c r="K170" s="8" t="str">
        <f>_xlfn.IFNA(INDEX('HS Codes'!$D$2:$K2724,MATCH($B170,'HS Codes'!$A$2:$A2724,0),MATCH(K$1,'HS Codes'!$D$1:$K$1,0)),"")</f>
        <v/>
      </c>
      <c r="L170" s="8" t="str">
        <f>_xlfn.IFNA(INDEX('HS Codes'!$D$2:$K2724,MATCH($B170,'HS Codes'!$A$2:$A2724,0),MATCH(L$1,'HS Codes'!$D$1:$K$1,0)),"")</f>
        <v/>
      </c>
      <c r="M170" s="8" t="str">
        <f>_xlfn.IFNA(INDEX('HS Codes'!$C$2:$C2724,MATCH($B170,'HS Codes'!$A$2:$A2724,0)),"")</f>
        <v/>
      </c>
      <c r="N170" s="9"/>
      <c r="O170" s="9"/>
      <c r="P170" s="9"/>
      <c r="Q170" s="9"/>
    </row>
    <row r="171" spans="1:17" ht="15.75" customHeight="1">
      <c r="A171" s="7" t="s">
        <v>458</v>
      </c>
      <c r="B171" s="7" t="s">
        <v>137</v>
      </c>
      <c r="C171" s="7" t="s">
        <v>281</v>
      </c>
      <c r="D171" s="7" t="s">
        <v>138</v>
      </c>
      <c r="E171" s="7" t="s">
        <v>138</v>
      </c>
      <c r="F171" s="8" t="str">
        <f>_xlfn.IFNA(INDEX('HS Codes'!$D$2:$K2725,MATCH($B171,'HS Codes'!$A$2:$A2725,0),MATCH(F$1,'HS Codes'!$D$1:$K$1,0)),"")</f>
        <v>6301.40.0020</v>
      </c>
      <c r="G171" s="8">
        <f>_xlfn.IFNA(INDEX('HS Codes'!$D$2:$K2725,MATCH($B171,'HS Codes'!$A$2:$A2725,0),MATCH(G$1,'HS Codes'!$D$1:$K$1,0)),"")</f>
        <v>6301409099</v>
      </c>
      <c r="H171" s="8" t="str">
        <f>_xlfn.IFNA(INDEX('HS Codes'!$D$2:$K2725,MATCH($B171,'HS Codes'!$A$2:$A2725,0),MATCH(H$1,'HS Codes'!$D$1:$K$1,0)),"")</f>
        <v>6301.40.0020</v>
      </c>
      <c r="I171" s="8">
        <f>_xlfn.IFNA(INDEX('HS Codes'!$D$2:$K2725,MATCH($B171,'HS Codes'!$A$2:$A2725,0),MATCH(I$1,'HS Codes'!$D$1:$K$1,0)),"")</f>
        <v>6301409099</v>
      </c>
      <c r="J171" s="8">
        <f>_xlfn.IFNA(INDEX('HS Codes'!$D$2:$K2725,MATCH($B171,'HS Codes'!$A$2:$A2725,0),MATCH(J$1,'HS Codes'!$D$1:$K$1,0)),"")</f>
        <v>0</v>
      </c>
      <c r="K171" s="8" t="str">
        <f>_xlfn.IFNA(INDEX('HS Codes'!$D$2:$K2725,MATCH($B171,'HS Codes'!$A$2:$A2725,0),MATCH(K$1,'HS Codes'!$D$1:$K$1,0)),"")</f>
        <v>6301.40.00</v>
      </c>
      <c r="L171" s="8">
        <f>_xlfn.IFNA(INDEX('HS Codes'!$D$2:$K2725,MATCH($B171,'HS Codes'!$A$2:$A2725,0),MATCH(L$1,'HS Codes'!$D$1:$K$1,0)),"")</f>
        <v>6301</v>
      </c>
      <c r="M171" s="8" t="str">
        <f>_xlfn.IFNA(INDEX('HS Codes'!$C$2:$C2725,MATCH($B171,'HS Codes'!$A$2:$A2725,0)),"")</f>
        <v>Travelling Rug 100% recycled. BOTTOM: 100% polyester. TOP: 220 GSM/83% polyester/17% polyamide includes cotton on the packing pouch drawstring</v>
      </c>
      <c r="N171" s="9"/>
      <c r="O171" s="9"/>
      <c r="P171" s="9"/>
      <c r="Q171" s="9"/>
    </row>
    <row r="172" spans="1:17" ht="15.75" customHeight="1">
      <c r="A172" s="7" t="s">
        <v>459</v>
      </c>
      <c r="B172" s="7" t="s">
        <v>137</v>
      </c>
      <c r="C172" s="7" t="s">
        <v>281</v>
      </c>
      <c r="D172" s="7" t="s">
        <v>138</v>
      </c>
      <c r="E172" s="7" t="s">
        <v>138</v>
      </c>
      <c r="F172" s="8" t="str">
        <f>_xlfn.IFNA(INDEX('HS Codes'!$D$2:$K2726,MATCH($B172,'HS Codes'!$A$2:$A2726,0),MATCH(F$1,'HS Codes'!$D$1:$K$1,0)),"")</f>
        <v>6301.40.0020</v>
      </c>
      <c r="G172" s="8">
        <f>_xlfn.IFNA(INDEX('HS Codes'!$D$2:$K2726,MATCH($B172,'HS Codes'!$A$2:$A2726,0),MATCH(G$1,'HS Codes'!$D$1:$K$1,0)),"")</f>
        <v>6301409099</v>
      </c>
      <c r="H172" s="8" t="str">
        <f>_xlfn.IFNA(INDEX('HS Codes'!$D$2:$K2726,MATCH($B172,'HS Codes'!$A$2:$A2726,0),MATCH(H$1,'HS Codes'!$D$1:$K$1,0)),"")</f>
        <v>6301.40.0020</v>
      </c>
      <c r="I172" s="8">
        <f>_xlfn.IFNA(INDEX('HS Codes'!$D$2:$K2726,MATCH($B172,'HS Codes'!$A$2:$A2726,0),MATCH(I$1,'HS Codes'!$D$1:$K$1,0)),"")</f>
        <v>6301409099</v>
      </c>
      <c r="J172" s="8">
        <f>_xlfn.IFNA(INDEX('HS Codes'!$D$2:$K2726,MATCH($B172,'HS Codes'!$A$2:$A2726,0),MATCH(J$1,'HS Codes'!$D$1:$K$1,0)),"")</f>
        <v>0</v>
      </c>
      <c r="K172" s="8" t="str">
        <f>_xlfn.IFNA(INDEX('HS Codes'!$D$2:$K2726,MATCH($B172,'HS Codes'!$A$2:$A2726,0),MATCH(K$1,'HS Codes'!$D$1:$K$1,0)),"")</f>
        <v>6301.40.00</v>
      </c>
      <c r="L172" s="8">
        <f>_xlfn.IFNA(INDEX('HS Codes'!$D$2:$K2726,MATCH($B172,'HS Codes'!$A$2:$A2726,0),MATCH(L$1,'HS Codes'!$D$1:$K$1,0)),"")</f>
        <v>6301</v>
      </c>
      <c r="M172" s="8" t="str">
        <f>_xlfn.IFNA(INDEX('HS Codes'!$C$2:$C2726,MATCH($B172,'HS Codes'!$A$2:$A2726,0)),"")</f>
        <v>Travelling Rug 100% recycled. BOTTOM: 100% polyester. TOP: 220 GSM/83% polyester/17% polyamide includes cotton on the packing pouch drawstring</v>
      </c>
      <c r="N172" s="9"/>
      <c r="O172" s="9"/>
      <c r="P172" s="9"/>
      <c r="Q172" s="9"/>
    </row>
    <row r="173" spans="1:17" ht="15.75" customHeight="1">
      <c r="A173" s="7" t="s">
        <v>460</v>
      </c>
      <c r="B173" s="7" t="s">
        <v>137</v>
      </c>
      <c r="C173" s="7" t="s">
        <v>281</v>
      </c>
      <c r="D173" s="7" t="s">
        <v>138</v>
      </c>
      <c r="E173" s="7" t="s">
        <v>138</v>
      </c>
      <c r="F173" s="8" t="str">
        <f>_xlfn.IFNA(INDEX('HS Codes'!$D$2:$K2727,MATCH($B173,'HS Codes'!$A$2:$A2727,0),MATCH(F$1,'HS Codes'!$D$1:$K$1,0)),"")</f>
        <v>6301.40.0020</v>
      </c>
      <c r="G173" s="8">
        <f>_xlfn.IFNA(INDEX('HS Codes'!$D$2:$K2727,MATCH($B173,'HS Codes'!$A$2:$A2727,0),MATCH(G$1,'HS Codes'!$D$1:$K$1,0)),"")</f>
        <v>6301409099</v>
      </c>
      <c r="H173" s="8" t="str">
        <f>_xlfn.IFNA(INDEX('HS Codes'!$D$2:$K2727,MATCH($B173,'HS Codes'!$A$2:$A2727,0),MATCH(H$1,'HS Codes'!$D$1:$K$1,0)),"")</f>
        <v>6301.40.0020</v>
      </c>
      <c r="I173" s="8">
        <f>_xlfn.IFNA(INDEX('HS Codes'!$D$2:$K2727,MATCH($B173,'HS Codes'!$A$2:$A2727,0),MATCH(I$1,'HS Codes'!$D$1:$K$1,0)),"")</f>
        <v>6301409099</v>
      </c>
      <c r="J173" s="8">
        <f>_xlfn.IFNA(INDEX('HS Codes'!$D$2:$K2727,MATCH($B173,'HS Codes'!$A$2:$A2727,0),MATCH(J$1,'HS Codes'!$D$1:$K$1,0)),"")</f>
        <v>0</v>
      </c>
      <c r="K173" s="8" t="str">
        <f>_xlfn.IFNA(INDEX('HS Codes'!$D$2:$K2727,MATCH($B173,'HS Codes'!$A$2:$A2727,0),MATCH(K$1,'HS Codes'!$D$1:$K$1,0)),"")</f>
        <v>6301.40.00</v>
      </c>
      <c r="L173" s="8">
        <f>_xlfn.IFNA(INDEX('HS Codes'!$D$2:$K2727,MATCH($B173,'HS Codes'!$A$2:$A2727,0),MATCH(L$1,'HS Codes'!$D$1:$K$1,0)),"")</f>
        <v>6301</v>
      </c>
      <c r="M173" s="8" t="str">
        <f>_xlfn.IFNA(INDEX('HS Codes'!$C$2:$C2727,MATCH($B173,'HS Codes'!$A$2:$A2727,0)),"")</f>
        <v>Travelling Rug 100% recycled. BOTTOM: 100% polyester. TOP: 220 GSM/83% polyester/17% polyamide includes cotton on the packing pouch drawstring</v>
      </c>
      <c r="N173" s="9"/>
      <c r="O173" s="9"/>
      <c r="P173" s="9"/>
      <c r="Q173" s="9"/>
    </row>
    <row r="174" spans="1:17" ht="15.75" customHeight="1">
      <c r="A174" s="7" t="s">
        <v>461</v>
      </c>
      <c r="B174" s="7" t="s">
        <v>137</v>
      </c>
      <c r="C174" s="7" t="s">
        <v>281</v>
      </c>
      <c r="D174" s="7" t="s">
        <v>138</v>
      </c>
      <c r="E174" s="7" t="s">
        <v>138</v>
      </c>
      <c r="F174" s="8" t="str">
        <f>_xlfn.IFNA(INDEX('HS Codes'!$D$2:$K2728,MATCH($B174,'HS Codes'!$A$2:$A2728,0),MATCH(F$1,'HS Codes'!$D$1:$K$1,0)),"")</f>
        <v>6301.40.0020</v>
      </c>
      <c r="G174" s="8">
        <f>_xlfn.IFNA(INDEX('HS Codes'!$D$2:$K2728,MATCH($B174,'HS Codes'!$A$2:$A2728,0),MATCH(G$1,'HS Codes'!$D$1:$K$1,0)),"")</f>
        <v>6301409099</v>
      </c>
      <c r="H174" s="8" t="str">
        <f>_xlfn.IFNA(INDEX('HS Codes'!$D$2:$K2728,MATCH($B174,'HS Codes'!$A$2:$A2728,0),MATCH(H$1,'HS Codes'!$D$1:$K$1,0)),"")</f>
        <v>6301.40.0020</v>
      </c>
      <c r="I174" s="8">
        <f>_xlfn.IFNA(INDEX('HS Codes'!$D$2:$K2728,MATCH($B174,'HS Codes'!$A$2:$A2728,0),MATCH(I$1,'HS Codes'!$D$1:$K$1,0)),"")</f>
        <v>6301409099</v>
      </c>
      <c r="J174" s="8">
        <f>_xlfn.IFNA(INDEX('HS Codes'!$D$2:$K2728,MATCH($B174,'HS Codes'!$A$2:$A2728,0),MATCH(J$1,'HS Codes'!$D$1:$K$1,0)),"")</f>
        <v>0</v>
      </c>
      <c r="K174" s="8" t="str">
        <f>_xlfn.IFNA(INDEX('HS Codes'!$D$2:$K2728,MATCH($B174,'HS Codes'!$A$2:$A2728,0),MATCH(K$1,'HS Codes'!$D$1:$K$1,0)),"")</f>
        <v>6301.40.00</v>
      </c>
      <c r="L174" s="8">
        <f>_xlfn.IFNA(INDEX('HS Codes'!$D$2:$K2728,MATCH($B174,'HS Codes'!$A$2:$A2728,0),MATCH(L$1,'HS Codes'!$D$1:$K$1,0)),"")</f>
        <v>6301</v>
      </c>
      <c r="M174" s="8" t="str">
        <f>_xlfn.IFNA(INDEX('HS Codes'!$C$2:$C2728,MATCH($B174,'HS Codes'!$A$2:$A2728,0)),"")</f>
        <v>Travelling Rug 100% recycled. BOTTOM: 100% polyester. TOP: 220 GSM/83% polyester/17% polyamide includes cotton on the packing pouch drawstring</v>
      </c>
      <c r="N174" s="9"/>
      <c r="O174" s="9"/>
      <c r="P174" s="9"/>
      <c r="Q174" s="9"/>
    </row>
    <row r="175" spans="1:17" ht="15.75" customHeight="1">
      <c r="A175" s="7" t="s">
        <v>462</v>
      </c>
      <c r="B175" s="7" t="s">
        <v>137</v>
      </c>
      <c r="C175" s="7" t="s">
        <v>281</v>
      </c>
      <c r="D175" s="7" t="s">
        <v>138</v>
      </c>
      <c r="E175" s="7" t="s">
        <v>138</v>
      </c>
      <c r="F175" s="8" t="str">
        <f>_xlfn.IFNA(INDEX('HS Codes'!$D$2:$K2729,MATCH($B175,'HS Codes'!$A$2:$A2729,0),MATCH(F$1,'HS Codes'!$D$1:$K$1,0)),"")</f>
        <v>6301.40.0020</v>
      </c>
      <c r="G175" s="8">
        <f>_xlfn.IFNA(INDEX('HS Codes'!$D$2:$K2729,MATCH($B175,'HS Codes'!$A$2:$A2729,0),MATCH(G$1,'HS Codes'!$D$1:$K$1,0)),"")</f>
        <v>6301409099</v>
      </c>
      <c r="H175" s="8" t="str">
        <f>_xlfn.IFNA(INDEX('HS Codes'!$D$2:$K2729,MATCH($B175,'HS Codes'!$A$2:$A2729,0),MATCH(H$1,'HS Codes'!$D$1:$K$1,0)),"")</f>
        <v>6301.40.0020</v>
      </c>
      <c r="I175" s="8">
        <f>_xlfn.IFNA(INDEX('HS Codes'!$D$2:$K2729,MATCH($B175,'HS Codes'!$A$2:$A2729,0),MATCH(I$1,'HS Codes'!$D$1:$K$1,0)),"")</f>
        <v>6301409099</v>
      </c>
      <c r="J175" s="8">
        <f>_xlfn.IFNA(INDEX('HS Codes'!$D$2:$K2729,MATCH($B175,'HS Codes'!$A$2:$A2729,0),MATCH(J$1,'HS Codes'!$D$1:$K$1,0)),"")</f>
        <v>0</v>
      </c>
      <c r="K175" s="8" t="str">
        <f>_xlfn.IFNA(INDEX('HS Codes'!$D$2:$K2729,MATCH($B175,'HS Codes'!$A$2:$A2729,0),MATCH(K$1,'HS Codes'!$D$1:$K$1,0)),"")</f>
        <v>6301.40.00</v>
      </c>
      <c r="L175" s="8">
        <f>_xlfn.IFNA(INDEX('HS Codes'!$D$2:$K2729,MATCH($B175,'HS Codes'!$A$2:$A2729,0),MATCH(L$1,'HS Codes'!$D$1:$K$1,0)),"")</f>
        <v>6301</v>
      </c>
      <c r="M175" s="8" t="str">
        <f>_xlfn.IFNA(INDEX('HS Codes'!$C$2:$C2729,MATCH($B175,'HS Codes'!$A$2:$A2729,0)),"")</f>
        <v>Travelling Rug 100% recycled. BOTTOM: 100% polyester. TOP: 220 GSM/83% polyester/17% polyamide includes cotton on the packing pouch drawstring</v>
      </c>
      <c r="N175" s="9"/>
      <c r="O175" s="9"/>
      <c r="P175" s="9"/>
      <c r="Q175" s="9"/>
    </row>
    <row r="176" spans="1:17" ht="15.75" customHeight="1">
      <c r="A176" s="7" t="s">
        <v>463</v>
      </c>
      <c r="B176" s="7" t="s">
        <v>137</v>
      </c>
      <c r="C176" s="7" t="s">
        <v>281</v>
      </c>
      <c r="D176" s="7" t="s">
        <v>138</v>
      </c>
      <c r="E176" s="7" t="s">
        <v>138</v>
      </c>
      <c r="F176" s="8" t="str">
        <f>_xlfn.IFNA(INDEX('HS Codes'!$D$2:$K2730,MATCH($B176,'HS Codes'!$A$2:$A2730,0),MATCH(F$1,'HS Codes'!$D$1:$K$1,0)),"")</f>
        <v>6301.40.0020</v>
      </c>
      <c r="G176" s="8">
        <f>_xlfn.IFNA(INDEX('HS Codes'!$D$2:$K2730,MATCH($B176,'HS Codes'!$A$2:$A2730,0),MATCH(G$1,'HS Codes'!$D$1:$K$1,0)),"")</f>
        <v>6301409099</v>
      </c>
      <c r="H176" s="8" t="str">
        <f>_xlfn.IFNA(INDEX('HS Codes'!$D$2:$K2730,MATCH($B176,'HS Codes'!$A$2:$A2730,0),MATCH(H$1,'HS Codes'!$D$1:$K$1,0)),"")</f>
        <v>6301.40.0020</v>
      </c>
      <c r="I176" s="8">
        <f>_xlfn.IFNA(INDEX('HS Codes'!$D$2:$K2730,MATCH($B176,'HS Codes'!$A$2:$A2730,0),MATCH(I$1,'HS Codes'!$D$1:$K$1,0)),"")</f>
        <v>6301409099</v>
      </c>
      <c r="J176" s="8">
        <f>_xlfn.IFNA(INDEX('HS Codes'!$D$2:$K2730,MATCH($B176,'HS Codes'!$A$2:$A2730,0),MATCH(J$1,'HS Codes'!$D$1:$K$1,0)),"")</f>
        <v>0</v>
      </c>
      <c r="K176" s="8" t="str">
        <f>_xlfn.IFNA(INDEX('HS Codes'!$D$2:$K2730,MATCH($B176,'HS Codes'!$A$2:$A2730,0),MATCH(K$1,'HS Codes'!$D$1:$K$1,0)),"")</f>
        <v>6301.40.00</v>
      </c>
      <c r="L176" s="8">
        <f>_xlfn.IFNA(INDEX('HS Codes'!$D$2:$K2730,MATCH($B176,'HS Codes'!$A$2:$A2730,0),MATCH(L$1,'HS Codes'!$D$1:$K$1,0)),"")</f>
        <v>6301</v>
      </c>
      <c r="M176" s="8" t="str">
        <f>_xlfn.IFNA(INDEX('HS Codes'!$C$2:$C2730,MATCH($B176,'HS Codes'!$A$2:$A2730,0)),"")</f>
        <v>Travelling Rug 100% recycled. BOTTOM: 100% polyester. TOP: 220 GSM/83% polyester/17% polyamide includes cotton on the packing pouch drawstring</v>
      </c>
      <c r="N176" s="9"/>
      <c r="O176" s="9"/>
      <c r="P176" s="9"/>
      <c r="Q176" s="9"/>
    </row>
    <row r="177" spans="1:17" ht="15.75" customHeight="1">
      <c r="A177" s="7" t="s">
        <v>464</v>
      </c>
      <c r="B177" s="7" t="s">
        <v>137</v>
      </c>
      <c r="C177" s="7" t="s">
        <v>281</v>
      </c>
      <c r="D177" s="7" t="s">
        <v>138</v>
      </c>
      <c r="E177" s="7" t="s">
        <v>138</v>
      </c>
      <c r="F177" s="8" t="str">
        <f>_xlfn.IFNA(INDEX('HS Codes'!$D$2:$K2731,MATCH($B177,'HS Codes'!$A$2:$A2731,0),MATCH(F$1,'HS Codes'!$D$1:$K$1,0)),"")</f>
        <v>6301.40.0020</v>
      </c>
      <c r="G177" s="8">
        <f>_xlfn.IFNA(INDEX('HS Codes'!$D$2:$K2731,MATCH($B177,'HS Codes'!$A$2:$A2731,0),MATCH(G$1,'HS Codes'!$D$1:$K$1,0)),"")</f>
        <v>6301409099</v>
      </c>
      <c r="H177" s="8" t="str">
        <f>_xlfn.IFNA(INDEX('HS Codes'!$D$2:$K2731,MATCH($B177,'HS Codes'!$A$2:$A2731,0),MATCH(H$1,'HS Codes'!$D$1:$K$1,0)),"")</f>
        <v>6301.40.0020</v>
      </c>
      <c r="I177" s="8">
        <f>_xlfn.IFNA(INDEX('HS Codes'!$D$2:$K2731,MATCH($B177,'HS Codes'!$A$2:$A2731,0),MATCH(I$1,'HS Codes'!$D$1:$K$1,0)),"")</f>
        <v>6301409099</v>
      </c>
      <c r="J177" s="8">
        <f>_xlfn.IFNA(INDEX('HS Codes'!$D$2:$K2731,MATCH($B177,'HS Codes'!$A$2:$A2731,0),MATCH(J$1,'HS Codes'!$D$1:$K$1,0)),"")</f>
        <v>0</v>
      </c>
      <c r="K177" s="8" t="str">
        <f>_xlfn.IFNA(INDEX('HS Codes'!$D$2:$K2731,MATCH($B177,'HS Codes'!$A$2:$A2731,0),MATCH(K$1,'HS Codes'!$D$1:$K$1,0)),"")</f>
        <v>6301.40.00</v>
      </c>
      <c r="L177" s="8">
        <f>_xlfn.IFNA(INDEX('HS Codes'!$D$2:$K2731,MATCH($B177,'HS Codes'!$A$2:$A2731,0),MATCH(L$1,'HS Codes'!$D$1:$K$1,0)),"")</f>
        <v>6301</v>
      </c>
      <c r="M177" s="8" t="str">
        <f>_xlfn.IFNA(INDEX('HS Codes'!$C$2:$C2731,MATCH($B177,'HS Codes'!$A$2:$A2731,0)),"")</f>
        <v>Travelling Rug 100% recycled. BOTTOM: 100% polyester. TOP: 220 GSM/83% polyester/17% polyamide includes cotton on the packing pouch drawstring</v>
      </c>
      <c r="N177" s="9"/>
      <c r="O177" s="9"/>
      <c r="P177" s="9"/>
      <c r="Q177" s="9"/>
    </row>
    <row r="178" spans="1:17" ht="15.75" customHeight="1">
      <c r="A178" s="7" t="s">
        <v>465</v>
      </c>
      <c r="B178" s="7" t="s">
        <v>137</v>
      </c>
      <c r="C178" s="7" t="s">
        <v>281</v>
      </c>
      <c r="D178" s="7" t="s">
        <v>138</v>
      </c>
      <c r="E178" s="7" t="s">
        <v>138</v>
      </c>
      <c r="F178" s="8" t="str">
        <f>_xlfn.IFNA(INDEX('HS Codes'!$D$2:$K2732,MATCH($B178,'HS Codes'!$A$2:$A2732,0),MATCH(F$1,'HS Codes'!$D$1:$K$1,0)),"")</f>
        <v>6301.40.0020</v>
      </c>
      <c r="G178" s="8">
        <f>_xlfn.IFNA(INDEX('HS Codes'!$D$2:$K2732,MATCH($B178,'HS Codes'!$A$2:$A2732,0),MATCH(G$1,'HS Codes'!$D$1:$K$1,0)),"")</f>
        <v>6301409099</v>
      </c>
      <c r="H178" s="8" t="str">
        <f>_xlfn.IFNA(INDEX('HS Codes'!$D$2:$K2732,MATCH($B178,'HS Codes'!$A$2:$A2732,0),MATCH(H$1,'HS Codes'!$D$1:$K$1,0)),"")</f>
        <v>6301.40.0020</v>
      </c>
      <c r="I178" s="8">
        <f>_xlfn.IFNA(INDEX('HS Codes'!$D$2:$K2732,MATCH($B178,'HS Codes'!$A$2:$A2732,0),MATCH(I$1,'HS Codes'!$D$1:$K$1,0)),"")</f>
        <v>6301409099</v>
      </c>
      <c r="J178" s="8">
        <f>_xlfn.IFNA(INDEX('HS Codes'!$D$2:$K2732,MATCH($B178,'HS Codes'!$A$2:$A2732,0),MATCH(J$1,'HS Codes'!$D$1:$K$1,0)),"")</f>
        <v>0</v>
      </c>
      <c r="K178" s="8" t="str">
        <f>_xlfn.IFNA(INDEX('HS Codes'!$D$2:$K2732,MATCH($B178,'HS Codes'!$A$2:$A2732,0),MATCH(K$1,'HS Codes'!$D$1:$K$1,0)),"")</f>
        <v>6301.40.00</v>
      </c>
      <c r="L178" s="8">
        <f>_xlfn.IFNA(INDEX('HS Codes'!$D$2:$K2732,MATCH($B178,'HS Codes'!$A$2:$A2732,0),MATCH(L$1,'HS Codes'!$D$1:$K$1,0)),"")</f>
        <v>6301</v>
      </c>
      <c r="M178" s="8" t="str">
        <f>_xlfn.IFNA(INDEX('HS Codes'!$C$2:$C2732,MATCH($B178,'HS Codes'!$A$2:$A2732,0)),"")</f>
        <v>Travelling Rug 100% recycled. BOTTOM: 100% polyester. TOP: 220 GSM/83% polyester/17% polyamide includes cotton on the packing pouch drawstring</v>
      </c>
      <c r="N178" s="9"/>
      <c r="O178" s="9"/>
      <c r="P178" s="9"/>
      <c r="Q178" s="9"/>
    </row>
    <row r="179" spans="1:17" ht="15.75" customHeight="1">
      <c r="A179" s="7" t="s">
        <v>466</v>
      </c>
      <c r="B179" s="7" t="s">
        <v>137</v>
      </c>
      <c r="C179" s="7" t="s">
        <v>281</v>
      </c>
      <c r="D179" s="7" t="s">
        <v>138</v>
      </c>
      <c r="E179" s="7" t="s">
        <v>138</v>
      </c>
      <c r="F179" s="8" t="str">
        <f>_xlfn.IFNA(INDEX('HS Codes'!$D$2:$K2733,MATCH($B179,'HS Codes'!$A$2:$A2733,0),MATCH(F$1,'HS Codes'!$D$1:$K$1,0)),"")</f>
        <v>6301.40.0020</v>
      </c>
      <c r="G179" s="8">
        <f>_xlfn.IFNA(INDEX('HS Codes'!$D$2:$K2733,MATCH($B179,'HS Codes'!$A$2:$A2733,0),MATCH(G$1,'HS Codes'!$D$1:$K$1,0)),"")</f>
        <v>6301409099</v>
      </c>
      <c r="H179" s="8" t="str">
        <f>_xlfn.IFNA(INDEX('HS Codes'!$D$2:$K2733,MATCH($B179,'HS Codes'!$A$2:$A2733,0),MATCH(H$1,'HS Codes'!$D$1:$K$1,0)),"")</f>
        <v>6301.40.0020</v>
      </c>
      <c r="I179" s="8">
        <f>_xlfn.IFNA(INDEX('HS Codes'!$D$2:$K2733,MATCH($B179,'HS Codes'!$A$2:$A2733,0),MATCH(I$1,'HS Codes'!$D$1:$K$1,0)),"")</f>
        <v>6301409099</v>
      </c>
      <c r="J179" s="8">
        <f>_xlfn.IFNA(INDEX('HS Codes'!$D$2:$K2733,MATCH($B179,'HS Codes'!$A$2:$A2733,0),MATCH(J$1,'HS Codes'!$D$1:$K$1,0)),"")</f>
        <v>0</v>
      </c>
      <c r="K179" s="8" t="str">
        <f>_xlfn.IFNA(INDEX('HS Codes'!$D$2:$K2733,MATCH($B179,'HS Codes'!$A$2:$A2733,0),MATCH(K$1,'HS Codes'!$D$1:$K$1,0)),"")</f>
        <v>6301.40.00</v>
      </c>
      <c r="L179" s="8">
        <f>_xlfn.IFNA(INDEX('HS Codes'!$D$2:$K2733,MATCH($B179,'HS Codes'!$A$2:$A2733,0),MATCH(L$1,'HS Codes'!$D$1:$K$1,0)),"")</f>
        <v>6301</v>
      </c>
      <c r="M179" s="8" t="str">
        <f>_xlfn.IFNA(INDEX('HS Codes'!$C$2:$C2733,MATCH($B179,'HS Codes'!$A$2:$A2733,0)),"")</f>
        <v>Travelling Rug 100% recycled. BOTTOM: 100% polyester. TOP: 220 GSM/83% polyester/17% polyamide includes cotton on the packing pouch drawstring</v>
      </c>
      <c r="N179" s="9"/>
      <c r="O179" s="9"/>
      <c r="P179" s="9"/>
      <c r="Q179" s="9"/>
    </row>
    <row r="180" spans="1:17" ht="15.75" customHeight="1">
      <c r="A180" s="7" t="s">
        <v>467</v>
      </c>
      <c r="B180" s="7" t="s">
        <v>137</v>
      </c>
      <c r="C180" s="7" t="s">
        <v>281</v>
      </c>
      <c r="D180" s="7" t="s">
        <v>138</v>
      </c>
      <c r="E180" s="7" t="s">
        <v>138</v>
      </c>
      <c r="F180" s="8" t="str">
        <f>_xlfn.IFNA(INDEX('HS Codes'!$D$2:$K2734,MATCH($B180,'HS Codes'!$A$2:$A2734,0),MATCH(F$1,'HS Codes'!$D$1:$K$1,0)),"")</f>
        <v>6301.40.0020</v>
      </c>
      <c r="G180" s="8">
        <f>_xlfn.IFNA(INDEX('HS Codes'!$D$2:$K2734,MATCH($B180,'HS Codes'!$A$2:$A2734,0),MATCH(G$1,'HS Codes'!$D$1:$K$1,0)),"")</f>
        <v>6301409099</v>
      </c>
      <c r="H180" s="8" t="str">
        <f>_xlfn.IFNA(INDEX('HS Codes'!$D$2:$K2734,MATCH($B180,'HS Codes'!$A$2:$A2734,0),MATCH(H$1,'HS Codes'!$D$1:$K$1,0)),"")</f>
        <v>6301.40.0020</v>
      </c>
      <c r="I180" s="8">
        <f>_xlfn.IFNA(INDEX('HS Codes'!$D$2:$K2734,MATCH($B180,'HS Codes'!$A$2:$A2734,0),MATCH(I$1,'HS Codes'!$D$1:$K$1,0)),"")</f>
        <v>6301409099</v>
      </c>
      <c r="J180" s="8">
        <f>_xlfn.IFNA(INDEX('HS Codes'!$D$2:$K2734,MATCH($B180,'HS Codes'!$A$2:$A2734,0),MATCH(J$1,'HS Codes'!$D$1:$K$1,0)),"")</f>
        <v>0</v>
      </c>
      <c r="K180" s="8" t="str">
        <f>_xlfn.IFNA(INDEX('HS Codes'!$D$2:$K2734,MATCH($B180,'HS Codes'!$A$2:$A2734,0),MATCH(K$1,'HS Codes'!$D$1:$K$1,0)),"")</f>
        <v>6301.40.00</v>
      </c>
      <c r="L180" s="8">
        <f>_xlfn.IFNA(INDEX('HS Codes'!$D$2:$K2734,MATCH($B180,'HS Codes'!$A$2:$A2734,0),MATCH(L$1,'HS Codes'!$D$1:$K$1,0)),"")</f>
        <v>6301</v>
      </c>
      <c r="M180" s="8" t="str">
        <f>_xlfn.IFNA(INDEX('HS Codes'!$C$2:$C2734,MATCH($B180,'HS Codes'!$A$2:$A2734,0)),"")</f>
        <v>Travelling Rug 100% recycled. BOTTOM: 100% polyester. TOP: 220 GSM/83% polyester/17% polyamide includes cotton on the packing pouch drawstring</v>
      </c>
      <c r="N180" s="9"/>
      <c r="O180" s="9"/>
      <c r="P180" s="9"/>
      <c r="Q180" s="9"/>
    </row>
    <row r="181" spans="1:17" ht="15.75" customHeight="1">
      <c r="A181" s="7" t="s">
        <v>468</v>
      </c>
      <c r="B181" s="7" t="s">
        <v>137</v>
      </c>
      <c r="C181" s="7" t="s">
        <v>281</v>
      </c>
      <c r="D181" s="7" t="s">
        <v>138</v>
      </c>
      <c r="E181" s="7" t="s">
        <v>138</v>
      </c>
      <c r="F181" s="8" t="str">
        <f>_xlfn.IFNA(INDEX('HS Codes'!$D$2:$K2735,MATCH($B181,'HS Codes'!$A$2:$A2735,0),MATCH(F$1,'HS Codes'!$D$1:$K$1,0)),"")</f>
        <v>6301.40.0020</v>
      </c>
      <c r="G181" s="8">
        <f>_xlfn.IFNA(INDEX('HS Codes'!$D$2:$K2735,MATCH($B181,'HS Codes'!$A$2:$A2735,0),MATCH(G$1,'HS Codes'!$D$1:$K$1,0)),"")</f>
        <v>6301409099</v>
      </c>
      <c r="H181" s="8" t="str">
        <f>_xlfn.IFNA(INDEX('HS Codes'!$D$2:$K2735,MATCH($B181,'HS Codes'!$A$2:$A2735,0),MATCH(H$1,'HS Codes'!$D$1:$K$1,0)),"")</f>
        <v>6301.40.0020</v>
      </c>
      <c r="I181" s="8">
        <f>_xlfn.IFNA(INDEX('HS Codes'!$D$2:$K2735,MATCH($B181,'HS Codes'!$A$2:$A2735,0),MATCH(I$1,'HS Codes'!$D$1:$K$1,0)),"")</f>
        <v>6301409099</v>
      </c>
      <c r="J181" s="8">
        <f>_xlfn.IFNA(INDEX('HS Codes'!$D$2:$K2735,MATCH($B181,'HS Codes'!$A$2:$A2735,0),MATCH(J$1,'HS Codes'!$D$1:$K$1,0)),"")</f>
        <v>0</v>
      </c>
      <c r="K181" s="8" t="str">
        <f>_xlfn.IFNA(INDEX('HS Codes'!$D$2:$K2735,MATCH($B181,'HS Codes'!$A$2:$A2735,0),MATCH(K$1,'HS Codes'!$D$1:$K$1,0)),"")</f>
        <v>6301.40.00</v>
      </c>
      <c r="L181" s="8">
        <f>_xlfn.IFNA(INDEX('HS Codes'!$D$2:$K2735,MATCH($B181,'HS Codes'!$A$2:$A2735,0),MATCH(L$1,'HS Codes'!$D$1:$K$1,0)),"")</f>
        <v>6301</v>
      </c>
      <c r="M181" s="8" t="str">
        <f>_xlfn.IFNA(INDEX('HS Codes'!$C$2:$C2735,MATCH($B181,'HS Codes'!$A$2:$A2735,0)),"")</f>
        <v>Travelling Rug 100% recycled. BOTTOM: 100% polyester. TOP: 220 GSM/83% polyester/17% polyamide includes cotton on the packing pouch drawstring</v>
      </c>
      <c r="N181" s="9"/>
      <c r="O181" s="9"/>
      <c r="P181" s="9"/>
      <c r="Q181" s="9"/>
    </row>
    <row r="182" spans="1:17" ht="15.75" customHeight="1">
      <c r="A182" s="7" t="s">
        <v>469</v>
      </c>
      <c r="B182" s="7" t="s">
        <v>137</v>
      </c>
      <c r="C182" s="7" t="s">
        <v>281</v>
      </c>
      <c r="D182" s="7" t="s">
        <v>138</v>
      </c>
      <c r="E182" s="7" t="s">
        <v>138</v>
      </c>
      <c r="F182" s="8" t="str">
        <f>_xlfn.IFNA(INDEX('HS Codes'!$D$2:$K2736,MATCH($B182,'HS Codes'!$A$2:$A2736,0),MATCH(F$1,'HS Codes'!$D$1:$K$1,0)),"")</f>
        <v>6301.40.0020</v>
      </c>
      <c r="G182" s="8">
        <f>_xlfn.IFNA(INDEX('HS Codes'!$D$2:$K2736,MATCH($B182,'HS Codes'!$A$2:$A2736,0),MATCH(G$1,'HS Codes'!$D$1:$K$1,0)),"")</f>
        <v>6301409099</v>
      </c>
      <c r="H182" s="8" t="str">
        <f>_xlfn.IFNA(INDEX('HS Codes'!$D$2:$K2736,MATCH($B182,'HS Codes'!$A$2:$A2736,0),MATCH(H$1,'HS Codes'!$D$1:$K$1,0)),"")</f>
        <v>6301.40.0020</v>
      </c>
      <c r="I182" s="8">
        <f>_xlfn.IFNA(INDEX('HS Codes'!$D$2:$K2736,MATCH($B182,'HS Codes'!$A$2:$A2736,0),MATCH(I$1,'HS Codes'!$D$1:$K$1,0)),"")</f>
        <v>6301409099</v>
      </c>
      <c r="J182" s="8">
        <f>_xlfn.IFNA(INDEX('HS Codes'!$D$2:$K2736,MATCH($B182,'HS Codes'!$A$2:$A2736,0),MATCH(J$1,'HS Codes'!$D$1:$K$1,0)),"")</f>
        <v>0</v>
      </c>
      <c r="K182" s="8" t="str">
        <f>_xlfn.IFNA(INDEX('HS Codes'!$D$2:$K2736,MATCH($B182,'HS Codes'!$A$2:$A2736,0),MATCH(K$1,'HS Codes'!$D$1:$K$1,0)),"")</f>
        <v>6301.40.00</v>
      </c>
      <c r="L182" s="8">
        <f>_xlfn.IFNA(INDEX('HS Codes'!$D$2:$K2736,MATCH($B182,'HS Codes'!$A$2:$A2736,0),MATCH(L$1,'HS Codes'!$D$1:$K$1,0)),"")</f>
        <v>6301</v>
      </c>
      <c r="M182" s="8" t="str">
        <f>_xlfn.IFNA(INDEX('HS Codes'!$C$2:$C2736,MATCH($B182,'HS Codes'!$A$2:$A2736,0)),"")</f>
        <v>Travelling Rug 100% recycled. BOTTOM: 100% polyester. TOP: 220 GSM/83% polyester/17% polyamide includes cotton on the packing pouch drawstring</v>
      </c>
      <c r="N182" s="9"/>
      <c r="O182" s="9"/>
      <c r="P182" s="9"/>
      <c r="Q182" s="9"/>
    </row>
    <row r="183" spans="1:17" ht="15.75" customHeight="1">
      <c r="A183" s="7" t="s">
        <v>470</v>
      </c>
      <c r="B183" s="7" t="s">
        <v>137</v>
      </c>
      <c r="C183" s="7" t="s">
        <v>281</v>
      </c>
      <c r="D183" s="7" t="s">
        <v>138</v>
      </c>
      <c r="E183" s="7" t="s">
        <v>138</v>
      </c>
      <c r="F183" s="8" t="str">
        <f>_xlfn.IFNA(INDEX('HS Codes'!$D$2:$K2737,MATCH($B183,'HS Codes'!$A$2:$A2737,0),MATCH(F$1,'HS Codes'!$D$1:$K$1,0)),"")</f>
        <v>6301.40.0020</v>
      </c>
      <c r="G183" s="8">
        <f>_xlfn.IFNA(INDEX('HS Codes'!$D$2:$K2737,MATCH($B183,'HS Codes'!$A$2:$A2737,0),MATCH(G$1,'HS Codes'!$D$1:$K$1,0)),"")</f>
        <v>6301409099</v>
      </c>
      <c r="H183" s="8" t="str">
        <f>_xlfn.IFNA(INDEX('HS Codes'!$D$2:$K2737,MATCH($B183,'HS Codes'!$A$2:$A2737,0),MATCH(H$1,'HS Codes'!$D$1:$K$1,0)),"")</f>
        <v>6301.40.0020</v>
      </c>
      <c r="I183" s="8">
        <f>_xlfn.IFNA(INDEX('HS Codes'!$D$2:$K2737,MATCH($B183,'HS Codes'!$A$2:$A2737,0),MATCH(I$1,'HS Codes'!$D$1:$K$1,0)),"")</f>
        <v>6301409099</v>
      </c>
      <c r="J183" s="8">
        <f>_xlfn.IFNA(INDEX('HS Codes'!$D$2:$K2737,MATCH($B183,'HS Codes'!$A$2:$A2737,0),MATCH(J$1,'HS Codes'!$D$1:$K$1,0)),"")</f>
        <v>0</v>
      </c>
      <c r="K183" s="8" t="str">
        <f>_xlfn.IFNA(INDEX('HS Codes'!$D$2:$K2737,MATCH($B183,'HS Codes'!$A$2:$A2737,0),MATCH(K$1,'HS Codes'!$D$1:$K$1,0)),"")</f>
        <v>6301.40.00</v>
      </c>
      <c r="L183" s="8">
        <f>_xlfn.IFNA(INDEX('HS Codes'!$D$2:$K2737,MATCH($B183,'HS Codes'!$A$2:$A2737,0),MATCH(L$1,'HS Codes'!$D$1:$K$1,0)),"")</f>
        <v>6301</v>
      </c>
      <c r="M183" s="8" t="str">
        <f>_xlfn.IFNA(INDEX('HS Codes'!$C$2:$C2737,MATCH($B183,'HS Codes'!$A$2:$A2737,0)),"")</f>
        <v>Travelling Rug 100% recycled. BOTTOM: 100% polyester. TOP: 220 GSM/83% polyester/17% polyamide includes cotton on the packing pouch drawstring</v>
      </c>
      <c r="N183" s="9"/>
      <c r="O183" s="9"/>
      <c r="P183" s="9"/>
      <c r="Q183" s="9"/>
    </row>
    <row r="184" spans="1:17" ht="15.75" customHeight="1">
      <c r="A184" s="7" t="s">
        <v>471</v>
      </c>
      <c r="B184" s="7" t="s">
        <v>137</v>
      </c>
      <c r="C184" s="7" t="s">
        <v>281</v>
      </c>
      <c r="D184" s="7" t="s">
        <v>138</v>
      </c>
      <c r="E184" s="7" t="s">
        <v>138</v>
      </c>
      <c r="F184" s="8" t="str">
        <f>_xlfn.IFNA(INDEX('HS Codes'!$D$2:$K2738,MATCH($B184,'HS Codes'!$A$2:$A2738,0),MATCH(F$1,'HS Codes'!$D$1:$K$1,0)),"")</f>
        <v>6301.40.0020</v>
      </c>
      <c r="G184" s="8">
        <f>_xlfn.IFNA(INDEX('HS Codes'!$D$2:$K2738,MATCH($B184,'HS Codes'!$A$2:$A2738,0),MATCH(G$1,'HS Codes'!$D$1:$K$1,0)),"")</f>
        <v>6301409099</v>
      </c>
      <c r="H184" s="8" t="str">
        <f>_xlfn.IFNA(INDEX('HS Codes'!$D$2:$K2738,MATCH($B184,'HS Codes'!$A$2:$A2738,0),MATCH(H$1,'HS Codes'!$D$1:$K$1,0)),"")</f>
        <v>6301.40.0020</v>
      </c>
      <c r="I184" s="8">
        <f>_xlfn.IFNA(INDEX('HS Codes'!$D$2:$K2738,MATCH($B184,'HS Codes'!$A$2:$A2738,0),MATCH(I$1,'HS Codes'!$D$1:$K$1,0)),"")</f>
        <v>6301409099</v>
      </c>
      <c r="J184" s="8">
        <f>_xlfn.IFNA(INDEX('HS Codes'!$D$2:$K2738,MATCH($B184,'HS Codes'!$A$2:$A2738,0),MATCH(J$1,'HS Codes'!$D$1:$K$1,0)),"")</f>
        <v>0</v>
      </c>
      <c r="K184" s="8" t="str">
        <f>_xlfn.IFNA(INDEX('HS Codes'!$D$2:$K2738,MATCH($B184,'HS Codes'!$A$2:$A2738,0),MATCH(K$1,'HS Codes'!$D$1:$K$1,0)),"")</f>
        <v>6301.40.00</v>
      </c>
      <c r="L184" s="8">
        <f>_xlfn.IFNA(INDEX('HS Codes'!$D$2:$K2738,MATCH($B184,'HS Codes'!$A$2:$A2738,0),MATCH(L$1,'HS Codes'!$D$1:$K$1,0)),"")</f>
        <v>6301</v>
      </c>
      <c r="M184" s="8" t="str">
        <f>_xlfn.IFNA(INDEX('HS Codes'!$C$2:$C2738,MATCH($B184,'HS Codes'!$A$2:$A2738,0)),"")</f>
        <v>Travelling Rug 100% recycled. BOTTOM: 100% polyester. TOP: 220 GSM/83% polyester/17% polyamide includes cotton on the packing pouch drawstring</v>
      </c>
      <c r="N184" s="9"/>
      <c r="O184" s="9"/>
      <c r="P184" s="9"/>
      <c r="Q184" s="9"/>
    </row>
    <row r="185" spans="1:17" ht="15.75" customHeight="1">
      <c r="A185" s="7" t="s">
        <v>472</v>
      </c>
      <c r="B185" s="7" t="s">
        <v>137</v>
      </c>
      <c r="C185" s="7" t="s">
        <v>281</v>
      </c>
      <c r="D185" s="7" t="s">
        <v>138</v>
      </c>
      <c r="E185" s="7" t="s">
        <v>138</v>
      </c>
      <c r="F185" s="8" t="str">
        <f>_xlfn.IFNA(INDEX('HS Codes'!$D$2:$K2739,MATCH($B185,'HS Codes'!$A$2:$A2739,0),MATCH(F$1,'HS Codes'!$D$1:$K$1,0)),"")</f>
        <v>6301.40.0020</v>
      </c>
      <c r="G185" s="8">
        <f>_xlfn.IFNA(INDEX('HS Codes'!$D$2:$K2739,MATCH($B185,'HS Codes'!$A$2:$A2739,0),MATCH(G$1,'HS Codes'!$D$1:$K$1,0)),"")</f>
        <v>6301409099</v>
      </c>
      <c r="H185" s="8" t="str">
        <f>_xlfn.IFNA(INDEX('HS Codes'!$D$2:$K2739,MATCH($B185,'HS Codes'!$A$2:$A2739,0),MATCH(H$1,'HS Codes'!$D$1:$K$1,0)),"")</f>
        <v>6301.40.0020</v>
      </c>
      <c r="I185" s="8">
        <f>_xlfn.IFNA(INDEX('HS Codes'!$D$2:$K2739,MATCH($B185,'HS Codes'!$A$2:$A2739,0),MATCH(I$1,'HS Codes'!$D$1:$K$1,0)),"")</f>
        <v>6301409099</v>
      </c>
      <c r="J185" s="8">
        <f>_xlfn.IFNA(INDEX('HS Codes'!$D$2:$K2739,MATCH($B185,'HS Codes'!$A$2:$A2739,0),MATCH(J$1,'HS Codes'!$D$1:$K$1,0)),"")</f>
        <v>0</v>
      </c>
      <c r="K185" s="8" t="str">
        <f>_xlfn.IFNA(INDEX('HS Codes'!$D$2:$K2739,MATCH($B185,'HS Codes'!$A$2:$A2739,0),MATCH(K$1,'HS Codes'!$D$1:$K$1,0)),"")</f>
        <v>6301.40.00</v>
      </c>
      <c r="L185" s="8">
        <f>_xlfn.IFNA(INDEX('HS Codes'!$D$2:$K2739,MATCH($B185,'HS Codes'!$A$2:$A2739,0),MATCH(L$1,'HS Codes'!$D$1:$K$1,0)),"")</f>
        <v>6301</v>
      </c>
      <c r="M185" s="8" t="str">
        <f>_xlfn.IFNA(INDEX('HS Codes'!$C$2:$C2739,MATCH($B185,'HS Codes'!$A$2:$A2739,0)),"")</f>
        <v>Travelling Rug 100% recycled. BOTTOM: 100% polyester. TOP: 220 GSM/83% polyester/17% polyamide includes cotton on the packing pouch drawstring</v>
      </c>
      <c r="N185" s="9"/>
      <c r="O185" s="9"/>
      <c r="P185" s="9"/>
      <c r="Q185" s="9"/>
    </row>
    <row r="186" spans="1:17" ht="15.75" customHeight="1">
      <c r="A186" s="7" t="s">
        <v>473</v>
      </c>
      <c r="B186" s="7" t="s">
        <v>137</v>
      </c>
      <c r="C186" s="7" t="s">
        <v>281</v>
      </c>
      <c r="D186" s="7" t="s">
        <v>138</v>
      </c>
      <c r="E186" s="7" t="s">
        <v>138</v>
      </c>
      <c r="F186" s="8" t="str">
        <f>_xlfn.IFNA(INDEX('HS Codes'!$D$2:$K2740,MATCH($B186,'HS Codes'!$A$2:$A2740,0),MATCH(F$1,'HS Codes'!$D$1:$K$1,0)),"")</f>
        <v>6301.40.0020</v>
      </c>
      <c r="G186" s="8">
        <f>_xlfn.IFNA(INDEX('HS Codes'!$D$2:$K2740,MATCH($B186,'HS Codes'!$A$2:$A2740,0),MATCH(G$1,'HS Codes'!$D$1:$K$1,0)),"")</f>
        <v>6301409099</v>
      </c>
      <c r="H186" s="8" t="str">
        <f>_xlfn.IFNA(INDEX('HS Codes'!$D$2:$K2740,MATCH($B186,'HS Codes'!$A$2:$A2740,0),MATCH(H$1,'HS Codes'!$D$1:$K$1,0)),"")</f>
        <v>6301.40.0020</v>
      </c>
      <c r="I186" s="8">
        <f>_xlfn.IFNA(INDEX('HS Codes'!$D$2:$K2740,MATCH($B186,'HS Codes'!$A$2:$A2740,0),MATCH(I$1,'HS Codes'!$D$1:$K$1,0)),"")</f>
        <v>6301409099</v>
      </c>
      <c r="J186" s="8">
        <f>_xlfn.IFNA(INDEX('HS Codes'!$D$2:$K2740,MATCH($B186,'HS Codes'!$A$2:$A2740,0),MATCH(J$1,'HS Codes'!$D$1:$K$1,0)),"")</f>
        <v>0</v>
      </c>
      <c r="K186" s="8" t="str">
        <f>_xlfn.IFNA(INDEX('HS Codes'!$D$2:$K2740,MATCH($B186,'HS Codes'!$A$2:$A2740,0),MATCH(K$1,'HS Codes'!$D$1:$K$1,0)),"")</f>
        <v>6301.40.00</v>
      </c>
      <c r="L186" s="8">
        <f>_xlfn.IFNA(INDEX('HS Codes'!$D$2:$K2740,MATCH($B186,'HS Codes'!$A$2:$A2740,0),MATCH(L$1,'HS Codes'!$D$1:$K$1,0)),"")</f>
        <v>6301</v>
      </c>
      <c r="M186" s="8" t="str">
        <f>_xlfn.IFNA(INDEX('HS Codes'!$C$2:$C2740,MATCH($B186,'HS Codes'!$A$2:$A2740,0)),"")</f>
        <v>Travelling Rug 100% recycled. BOTTOM: 100% polyester. TOP: 220 GSM/83% polyester/17% polyamide includes cotton on the packing pouch drawstring</v>
      </c>
      <c r="N186" s="9"/>
      <c r="O186" s="9"/>
      <c r="P186" s="9"/>
      <c r="Q186" s="9"/>
    </row>
    <row r="187" spans="1:17" ht="15.75" customHeight="1">
      <c r="A187" s="7" t="s">
        <v>474</v>
      </c>
      <c r="B187" s="7" t="s">
        <v>137</v>
      </c>
      <c r="C187" s="7" t="s">
        <v>281</v>
      </c>
      <c r="D187" s="7" t="s">
        <v>138</v>
      </c>
      <c r="E187" s="7" t="s">
        <v>138</v>
      </c>
      <c r="F187" s="8" t="str">
        <f>_xlfn.IFNA(INDEX('HS Codes'!$D$2:$K2741,MATCH($B187,'HS Codes'!$A$2:$A2741,0),MATCH(F$1,'HS Codes'!$D$1:$K$1,0)),"")</f>
        <v>6301.40.0020</v>
      </c>
      <c r="G187" s="8">
        <f>_xlfn.IFNA(INDEX('HS Codes'!$D$2:$K2741,MATCH($B187,'HS Codes'!$A$2:$A2741,0),MATCH(G$1,'HS Codes'!$D$1:$K$1,0)),"")</f>
        <v>6301409099</v>
      </c>
      <c r="H187" s="8" t="str">
        <f>_xlfn.IFNA(INDEX('HS Codes'!$D$2:$K2741,MATCH($B187,'HS Codes'!$A$2:$A2741,0),MATCH(H$1,'HS Codes'!$D$1:$K$1,0)),"")</f>
        <v>6301.40.0020</v>
      </c>
      <c r="I187" s="8">
        <f>_xlfn.IFNA(INDEX('HS Codes'!$D$2:$K2741,MATCH($B187,'HS Codes'!$A$2:$A2741,0),MATCH(I$1,'HS Codes'!$D$1:$K$1,0)),"")</f>
        <v>6301409099</v>
      </c>
      <c r="J187" s="8">
        <f>_xlfn.IFNA(INDEX('HS Codes'!$D$2:$K2741,MATCH($B187,'HS Codes'!$A$2:$A2741,0),MATCH(J$1,'HS Codes'!$D$1:$K$1,0)),"")</f>
        <v>0</v>
      </c>
      <c r="K187" s="8" t="str">
        <f>_xlfn.IFNA(INDEX('HS Codes'!$D$2:$K2741,MATCH($B187,'HS Codes'!$A$2:$A2741,0),MATCH(K$1,'HS Codes'!$D$1:$K$1,0)),"")</f>
        <v>6301.40.00</v>
      </c>
      <c r="L187" s="8">
        <f>_xlfn.IFNA(INDEX('HS Codes'!$D$2:$K2741,MATCH($B187,'HS Codes'!$A$2:$A2741,0),MATCH(L$1,'HS Codes'!$D$1:$K$1,0)),"")</f>
        <v>6301</v>
      </c>
      <c r="M187" s="8" t="str">
        <f>_xlfn.IFNA(INDEX('HS Codes'!$C$2:$C2741,MATCH($B187,'HS Codes'!$A$2:$A2741,0)),"")</f>
        <v>Travelling Rug 100% recycled. BOTTOM: 100% polyester. TOP: 220 GSM/83% polyester/17% polyamide includes cotton on the packing pouch drawstring</v>
      </c>
      <c r="N187" s="9"/>
      <c r="O187" s="9"/>
      <c r="P187" s="9"/>
      <c r="Q187" s="9"/>
    </row>
    <row r="188" spans="1:17" ht="15.75" customHeight="1">
      <c r="A188" s="7" t="s">
        <v>475</v>
      </c>
      <c r="B188" s="7" t="s">
        <v>137</v>
      </c>
      <c r="C188" s="7" t="s">
        <v>281</v>
      </c>
      <c r="D188" s="7" t="s">
        <v>138</v>
      </c>
      <c r="E188" s="7" t="s">
        <v>138</v>
      </c>
      <c r="F188" s="8" t="str">
        <f>_xlfn.IFNA(INDEX('HS Codes'!$D$2:$K2742,MATCH($B188,'HS Codes'!$A$2:$A2742,0),MATCH(F$1,'HS Codes'!$D$1:$K$1,0)),"")</f>
        <v>6301.40.0020</v>
      </c>
      <c r="G188" s="8">
        <f>_xlfn.IFNA(INDEX('HS Codes'!$D$2:$K2742,MATCH($B188,'HS Codes'!$A$2:$A2742,0),MATCH(G$1,'HS Codes'!$D$1:$K$1,0)),"")</f>
        <v>6301409099</v>
      </c>
      <c r="H188" s="8" t="str">
        <f>_xlfn.IFNA(INDEX('HS Codes'!$D$2:$K2742,MATCH($B188,'HS Codes'!$A$2:$A2742,0),MATCH(H$1,'HS Codes'!$D$1:$K$1,0)),"")</f>
        <v>6301.40.0020</v>
      </c>
      <c r="I188" s="8">
        <f>_xlfn.IFNA(INDEX('HS Codes'!$D$2:$K2742,MATCH($B188,'HS Codes'!$A$2:$A2742,0),MATCH(I$1,'HS Codes'!$D$1:$K$1,0)),"")</f>
        <v>6301409099</v>
      </c>
      <c r="J188" s="8">
        <f>_xlfn.IFNA(INDEX('HS Codes'!$D$2:$K2742,MATCH($B188,'HS Codes'!$A$2:$A2742,0),MATCH(J$1,'HS Codes'!$D$1:$K$1,0)),"")</f>
        <v>0</v>
      </c>
      <c r="K188" s="8" t="str">
        <f>_xlfn.IFNA(INDEX('HS Codes'!$D$2:$K2742,MATCH($B188,'HS Codes'!$A$2:$A2742,0),MATCH(K$1,'HS Codes'!$D$1:$K$1,0)),"")</f>
        <v>6301.40.00</v>
      </c>
      <c r="L188" s="8">
        <f>_xlfn.IFNA(INDEX('HS Codes'!$D$2:$K2742,MATCH($B188,'HS Codes'!$A$2:$A2742,0),MATCH(L$1,'HS Codes'!$D$1:$K$1,0)),"")</f>
        <v>6301</v>
      </c>
      <c r="M188" s="8" t="str">
        <f>_xlfn.IFNA(INDEX('HS Codes'!$C$2:$C2742,MATCH($B188,'HS Codes'!$A$2:$A2742,0)),"")</f>
        <v>Travelling Rug 100% recycled. BOTTOM: 100% polyester. TOP: 220 GSM/83% polyester/17% polyamide includes cotton on the packing pouch drawstring</v>
      </c>
      <c r="N188" s="9"/>
      <c r="O188" s="9"/>
      <c r="P188" s="9"/>
      <c r="Q188" s="9"/>
    </row>
    <row r="189" spans="1:17" ht="15.75" customHeight="1">
      <c r="A189" s="7" t="s">
        <v>476</v>
      </c>
      <c r="B189" s="7" t="s">
        <v>142</v>
      </c>
      <c r="C189" s="7" t="s">
        <v>278</v>
      </c>
      <c r="D189" s="7" t="s">
        <v>143</v>
      </c>
      <c r="E189" s="7" t="s">
        <v>143</v>
      </c>
      <c r="F189" s="8" t="str">
        <f>_xlfn.IFNA(INDEX('HS Codes'!$D$2:$K2743,MATCH($B189,'HS Codes'!$A$2:$A2743,0),MATCH(F$1,'HS Codes'!$D$1:$K$1,0)),"")</f>
        <v>6101.90.90.30</v>
      </c>
      <c r="G189" s="8">
        <f>_xlfn.IFNA(INDEX('HS Codes'!$D$2:$K2743,MATCH($B189,'HS Codes'!$A$2:$A2743,0),MATCH(G$1,'HS Codes'!$D$1:$K$1,0)),"")</f>
        <v>6101309000</v>
      </c>
      <c r="H189" s="8">
        <f>_xlfn.IFNA(INDEX('HS Codes'!$D$2:$K2743,MATCH($B189,'HS Codes'!$A$2:$A2743,0),MATCH(H$1,'HS Codes'!$D$1:$K$1,0)),"")</f>
        <v>6112399000</v>
      </c>
      <c r="I189" s="8" t="str">
        <f>_xlfn.IFNA(INDEX('HS Codes'!$D$2:$K2743,MATCH($B189,'HS Codes'!$A$2:$A2743,0),MATCH(I$1,'HS Codes'!$D$1:$K$1,0)),"")</f>
        <v>6211 4390 00</v>
      </c>
      <c r="J189" s="8">
        <f>_xlfn.IFNA(INDEX('HS Codes'!$D$2:$K2743,MATCH($B189,'HS Codes'!$A$2:$A2743,0),MATCH(J$1,'HS Codes'!$D$1:$K$1,0)),"")</f>
        <v>6117109000</v>
      </c>
      <c r="K189" s="8" t="str">
        <f>_xlfn.IFNA(INDEX('HS Codes'!$D$2:$K2743,MATCH($B189,'HS Codes'!$A$2:$A2743,0),MATCH(K$1,'HS Codes'!$D$1:$K$1,0)),"")</f>
        <v>6112.39.00</v>
      </c>
      <c r="L189" s="8">
        <f>_xlfn.IFNA(INDEX('HS Codes'!$D$2:$K2743,MATCH($B189,'HS Codes'!$A$2:$A2743,0),MATCH(L$1,'HS Codes'!$D$1:$K$1,0)),"")</f>
        <v>6202</v>
      </c>
      <c r="M189" s="8" t="str">
        <f>_xlfn.IFNA(INDEX('HS Codes'!$C$2:$C2743,MATCH($B189,'HS Codes'!$A$2:$A2743,0)),"")</f>
        <v>Beach Robe or Cloak 100% recycled 220 GSM/83% polyester/17% polyamide includes cotton on the packing pouch drawstring</v>
      </c>
      <c r="N189" s="9"/>
      <c r="O189" s="9"/>
      <c r="P189" s="9"/>
      <c r="Q189" s="9"/>
    </row>
    <row r="190" spans="1:17" ht="15.75" customHeight="1">
      <c r="A190" s="7" t="s">
        <v>477</v>
      </c>
      <c r="B190" s="7" t="s">
        <v>142</v>
      </c>
      <c r="C190" s="7" t="s">
        <v>278</v>
      </c>
      <c r="D190" s="7" t="s">
        <v>143</v>
      </c>
      <c r="E190" s="7" t="s">
        <v>143</v>
      </c>
      <c r="F190" s="8" t="str">
        <f>_xlfn.IFNA(INDEX('HS Codes'!$D$2:$K2744,MATCH($B190,'HS Codes'!$A$2:$A2744,0),MATCH(F$1,'HS Codes'!$D$1:$K$1,0)),"")</f>
        <v>6101.90.90.30</v>
      </c>
      <c r="G190" s="8">
        <f>_xlfn.IFNA(INDEX('HS Codes'!$D$2:$K2744,MATCH($B190,'HS Codes'!$A$2:$A2744,0),MATCH(G$1,'HS Codes'!$D$1:$K$1,0)),"")</f>
        <v>6101309000</v>
      </c>
      <c r="H190" s="8">
        <f>_xlfn.IFNA(INDEX('HS Codes'!$D$2:$K2744,MATCH($B190,'HS Codes'!$A$2:$A2744,0),MATCH(H$1,'HS Codes'!$D$1:$K$1,0)),"")</f>
        <v>6112399000</v>
      </c>
      <c r="I190" s="8" t="str">
        <f>_xlfn.IFNA(INDEX('HS Codes'!$D$2:$K2744,MATCH($B190,'HS Codes'!$A$2:$A2744,0),MATCH(I$1,'HS Codes'!$D$1:$K$1,0)),"")</f>
        <v>6211 4390 00</v>
      </c>
      <c r="J190" s="8">
        <f>_xlfn.IFNA(INDEX('HS Codes'!$D$2:$K2744,MATCH($B190,'HS Codes'!$A$2:$A2744,0),MATCH(J$1,'HS Codes'!$D$1:$K$1,0)),"")</f>
        <v>6117109000</v>
      </c>
      <c r="K190" s="8" t="str">
        <f>_xlfn.IFNA(INDEX('HS Codes'!$D$2:$K2744,MATCH($B190,'HS Codes'!$A$2:$A2744,0),MATCH(K$1,'HS Codes'!$D$1:$K$1,0)),"")</f>
        <v>6112.39.00</v>
      </c>
      <c r="L190" s="8">
        <f>_xlfn.IFNA(INDEX('HS Codes'!$D$2:$K2744,MATCH($B190,'HS Codes'!$A$2:$A2744,0),MATCH(L$1,'HS Codes'!$D$1:$K$1,0)),"")</f>
        <v>6202</v>
      </c>
      <c r="M190" s="8" t="str">
        <f>_xlfn.IFNA(INDEX('HS Codes'!$C$2:$C2744,MATCH($B190,'HS Codes'!$A$2:$A2744,0)),"")</f>
        <v>Beach Robe or Cloak 100% recycled 220 GSM/83% polyester/17% polyamide includes cotton on the packing pouch drawstring</v>
      </c>
      <c r="N190" s="9"/>
      <c r="O190" s="9"/>
      <c r="P190" s="9"/>
      <c r="Q190" s="9"/>
    </row>
    <row r="191" spans="1:17" ht="15.75" customHeight="1">
      <c r="A191" s="7" t="s">
        <v>478</v>
      </c>
      <c r="B191" s="7" t="s">
        <v>142</v>
      </c>
      <c r="C191" s="7" t="s">
        <v>278</v>
      </c>
      <c r="D191" s="7" t="s">
        <v>143</v>
      </c>
      <c r="E191" s="7" t="s">
        <v>143</v>
      </c>
      <c r="F191" s="8" t="str">
        <f>_xlfn.IFNA(INDEX('HS Codes'!$D$2:$K2745,MATCH($B191,'HS Codes'!$A$2:$A2745,0),MATCH(F$1,'HS Codes'!$D$1:$K$1,0)),"")</f>
        <v>6101.90.90.30</v>
      </c>
      <c r="G191" s="8">
        <f>_xlfn.IFNA(INDEX('HS Codes'!$D$2:$K2745,MATCH($B191,'HS Codes'!$A$2:$A2745,0),MATCH(G$1,'HS Codes'!$D$1:$K$1,0)),"")</f>
        <v>6101309000</v>
      </c>
      <c r="H191" s="8">
        <f>_xlfn.IFNA(INDEX('HS Codes'!$D$2:$K2745,MATCH($B191,'HS Codes'!$A$2:$A2745,0),MATCH(H$1,'HS Codes'!$D$1:$K$1,0)),"")</f>
        <v>6112399000</v>
      </c>
      <c r="I191" s="8" t="str">
        <f>_xlfn.IFNA(INDEX('HS Codes'!$D$2:$K2745,MATCH($B191,'HS Codes'!$A$2:$A2745,0),MATCH(I$1,'HS Codes'!$D$1:$K$1,0)),"")</f>
        <v>6211 4390 00</v>
      </c>
      <c r="J191" s="8">
        <f>_xlfn.IFNA(INDEX('HS Codes'!$D$2:$K2745,MATCH($B191,'HS Codes'!$A$2:$A2745,0),MATCH(J$1,'HS Codes'!$D$1:$K$1,0)),"")</f>
        <v>6117109000</v>
      </c>
      <c r="K191" s="8" t="str">
        <f>_xlfn.IFNA(INDEX('HS Codes'!$D$2:$K2745,MATCH($B191,'HS Codes'!$A$2:$A2745,0),MATCH(K$1,'HS Codes'!$D$1:$K$1,0)),"")</f>
        <v>6112.39.00</v>
      </c>
      <c r="L191" s="8">
        <f>_xlfn.IFNA(INDEX('HS Codes'!$D$2:$K2745,MATCH($B191,'HS Codes'!$A$2:$A2745,0),MATCH(L$1,'HS Codes'!$D$1:$K$1,0)),"")</f>
        <v>6202</v>
      </c>
      <c r="M191" s="8" t="str">
        <f>_xlfn.IFNA(INDEX('HS Codes'!$C$2:$C2745,MATCH($B191,'HS Codes'!$A$2:$A2745,0)),"")</f>
        <v>Beach Robe or Cloak 100% recycled 220 GSM/83% polyester/17% polyamide includes cotton on the packing pouch drawstring</v>
      </c>
      <c r="N191" s="9"/>
      <c r="O191" s="9"/>
      <c r="P191" s="9"/>
      <c r="Q191" s="9"/>
    </row>
    <row r="192" spans="1:17" ht="15.75" customHeight="1">
      <c r="A192" s="7" t="s">
        <v>479</v>
      </c>
      <c r="B192" s="7" t="s">
        <v>142</v>
      </c>
      <c r="C192" s="7" t="s">
        <v>278</v>
      </c>
      <c r="D192" s="7" t="s">
        <v>143</v>
      </c>
      <c r="E192" s="7" t="s">
        <v>143</v>
      </c>
      <c r="F192" s="8" t="str">
        <f>_xlfn.IFNA(INDEX('HS Codes'!$D$2:$K2746,MATCH($B192,'HS Codes'!$A$2:$A2746,0),MATCH(F$1,'HS Codes'!$D$1:$K$1,0)),"")</f>
        <v>6101.90.90.30</v>
      </c>
      <c r="G192" s="8">
        <f>_xlfn.IFNA(INDEX('HS Codes'!$D$2:$K2746,MATCH($B192,'HS Codes'!$A$2:$A2746,0),MATCH(G$1,'HS Codes'!$D$1:$K$1,0)),"")</f>
        <v>6101309000</v>
      </c>
      <c r="H192" s="8">
        <f>_xlfn.IFNA(INDEX('HS Codes'!$D$2:$K2746,MATCH($B192,'HS Codes'!$A$2:$A2746,0),MATCH(H$1,'HS Codes'!$D$1:$K$1,0)),"")</f>
        <v>6112399000</v>
      </c>
      <c r="I192" s="8" t="str">
        <f>_xlfn.IFNA(INDEX('HS Codes'!$D$2:$K2746,MATCH($B192,'HS Codes'!$A$2:$A2746,0),MATCH(I$1,'HS Codes'!$D$1:$K$1,0)),"")</f>
        <v>6211 4390 00</v>
      </c>
      <c r="J192" s="8">
        <f>_xlfn.IFNA(INDEX('HS Codes'!$D$2:$K2746,MATCH($B192,'HS Codes'!$A$2:$A2746,0),MATCH(J$1,'HS Codes'!$D$1:$K$1,0)),"")</f>
        <v>6117109000</v>
      </c>
      <c r="K192" s="8" t="str">
        <f>_xlfn.IFNA(INDEX('HS Codes'!$D$2:$K2746,MATCH($B192,'HS Codes'!$A$2:$A2746,0),MATCH(K$1,'HS Codes'!$D$1:$K$1,0)),"")</f>
        <v>6112.39.00</v>
      </c>
      <c r="L192" s="8">
        <f>_xlfn.IFNA(INDEX('HS Codes'!$D$2:$K2746,MATCH($B192,'HS Codes'!$A$2:$A2746,0),MATCH(L$1,'HS Codes'!$D$1:$K$1,0)),"")</f>
        <v>6202</v>
      </c>
      <c r="M192" s="8" t="str">
        <f>_xlfn.IFNA(INDEX('HS Codes'!$C$2:$C2746,MATCH($B192,'HS Codes'!$A$2:$A2746,0)),"")</f>
        <v>Beach Robe or Cloak 100% recycled 220 GSM/83% polyester/17% polyamide includes cotton on the packing pouch drawstring</v>
      </c>
      <c r="N192" s="9"/>
      <c r="O192" s="9"/>
      <c r="P192" s="9"/>
      <c r="Q192" s="9"/>
    </row>
    <row r="193" spans="1:17" ht="15.75" customHeight="1">
      <c r="A193" s="7" t="s">
        <v>480</v>
      </c>
      <c r="B193" s="7" t="s">
        <v>142</v>
      </c>
      <c r="C193" s="7" t="s">
        <v>278</v>
      </c>
      <c r="D193" s="7" t="s">
        <v>143</v>
      </c>
      <c r="E193" s="7" t="s">
        <v>143</v>
      </c>
      <c r="F193" s="8" t="str">
        <f>_xlfn.IFNA(INDEX('HS Codes'!$D$2:$K2747,MATCH($B193,'HS Codes'!$A$2:$A2747,0),MATCH(F$1,'HS Codes'!$D$1:$K$1,0)),"")</f>
        <v>6101.90.90.30</v>
      </c>
      <c r="G193" s="8">
        <f>_xlfn.IFNA(INDEX('HS Codes'!$D$2:$K2747,MATCH($B193,'HS Codes'!$A$2:$A2747,0),MATCH(G$1,'HS Codes'!$D$1:$K$1,0)),"")</f>
        <v>6101309000</v>
      </c>
      <c r="H193" s="8">
        <f>_xlfn.IFNA(INDEX('HS Codes'!$D$2:$K2747,MATCH($B193,'HS Codes'!$A$2:$A2747,0),MATCH(H$1,'HS Codes'!$D$1:$K$1,0)),"")</f>
        <v>6112399000</v>
      </c>
      <c r="I193" s="8" t="str">
        <f>_xlfn.IFNA(INDEX('HS Codes'!$D$2:$K2747,MATCH($B193,'HS Codes'!$A$2:$A2747,0),MATCH(I$1,'HS Codes'!$D$1:$K$1,0)),"")</f>
        <v>6211 4390 00</v>
      </c>
      <c r="J193" s="8">
        <f>_xlfn.IFNA(INDEX('HS Codes'!$D$2:$K2747,MATCH($B193,'HS Codes'!$A$2:$A2747,0),MATCH(J$1,'HS Codes'!$D$1:$K$1,0)),"")</f>
        <v>6117109000</v>
      </c>
      <c r="K193" s="8" t="str">
        <f>_xlfn.IFNA(INDEX('HS Codes'!$D$2:$K2747,MATCH($B193,'HS Codes'!$A$2:$A2747,0),MATCH(K$1,'HS Codes'!$D$1:$K$1,0)),"")</f>
        <v>6112.39.00</v>
      </c>
      <c r="L193" s="8">
        <f>_xlfn.IFNA(INDEX('HS Codes'!$D$2:$K2747,MATCH($B193,'HS Codes'!$A$2:$A2747,0),MATCH(L$1,'HS Codes'!$D$1:$K$1,0)),"")</f>
        <v>6202</v>
      </c>
      <c r="M193" s="8" t="str">
        <f>_xlfn.IFNA(INDEX('HS Codes'!$C$2:$C2747,MATCH($B193,'HS Codes'!$A$2:$A2747,0)),"")</f>
        <v>Beach Robe or Cloak 100% recycled 220 GSM/83% polyester/17% polyamide includes cotton on the packing pouch drawstring</v>
      </c>
      <c r="N193" s="9"/>
      <c r="O193" s="9"/>
      <c r="P193" s="9"/>
      <c r="Q193" s="9"/>
    </row>
    <row r="194" spans="1:17" ht="15.75" customHeight="1">
      <c r="A194" s="7" t="s">
        <v>481</v>
      </c>
      <c r="B194" s="7"/>
      <c r="C194" s="7"/>
      <c r="D194" s="7"/>
      <c r="E194" s="7"/>
      <c r="F194" s="8" t="str">
        <f>_xlfn.IFNA(INDEX('HS Codes'!$D$2:$K2748,MATCH($B194,'HS Codes'!$A$2:$A2748,0),MATCH(F$1,'HS Codes'!$D$1:$K$1,0)),"")</f>
        <v/>
      </c>
      <c r="G194" s="8" t="str">
        <f>_xlfn.IFNA(INDEX('HS Codes'!$D$2:$K2748,MATCH($B194,'HS Codes'!$A$2:$A2748,0),MATCH(G$1,'HS Codes'!$D$1:$K$1,0)),"")</f>
        <v/>
      </c>
      <c r="H194" s="8" t="str">
        <f>_xlfn.IFNA(INDEX('HS Codes'!$D$2:$K2748,MATCH($B194,'HS Codes'!$A$2:$A2748,0),MATCH(H$1,'HS Codes'!$D$1:$K$1,0)),"")</f>
        <v/>
      </c>
      <c r="I194" s="8" t="str">
        <f>_xlfn.IFNA(INDEX('HS Codes'!$D$2:$K2748,MATCH($B194,'HS Codes'!$A$2:$A2748,0),MATCH(I$1,'HS Codes'!$D$1:$K$1,0)),"")</f>
        <v/>
      </c>
      <c r="J194" s="8" t="str">
        <f>_xlfn.IFNA(INDEX('HS Codes'!$D$2:$K2748,MATCH($B194,'HS Codes'!$A$2:$A2748,0),MATCH(J$1,'HS Codes'!$D$1:$K$1,0)),"")</f>
        <v/>
      </c>
      <c r="K194" s="8" t="str">
        <f>_xlfn.IFNA(INDEX('HS Codes'!$D$2:$K2748,MATCH($B194,'HS Codes'!$A$2:$A2748,0),MATCH(K$1,'HS Codes'!$D$1:$K$1,0)),"")</f>
        <v/>
      </c>
      <c r="L194" s="8" t="str">
        <f>_xlfn.IFNA(INDEX('HS Codes'!$D$2:$K2748,MATCH($B194,'HS Codes'!$A$2:$A2748,0),MATCH(L$1,'HS Codes'!$D$1:$K$1,0)),"")</f>
        <v/>
      </c>
      <c r="M194" s="8" t="str">
        <f>_xlfn.IFNA(INDEX('HS Codes'!$C$2:$C2748,MATCH($B194,'HS Codes'!$A$2:$A2748,0)),"")</f>
        <v/>
      </c>
      <c r="N194" s="9"/>
      <c r="O194" s="9"/>
      <c r="P194" s="9"/>
      <c r="Q194" s="9"/>
    </row>
    <row r="195" spans="1:17" ht="15.75" customHeight="1">
      <c r="A195" s="7" t="s">
        <v>482</v>
      </c>
      <c r="B195" s="7" t="s">
        <v>142</v>
      </c>
      <c r="C195" s="7" t="s">
        <v>278</v>
      </c>
      <c r="D195" s="7" t="s">
        <v>143</v>
      </c>
      <c r="E195" s="7" t="s">
        <v>143</v>
      </c>
      <c r="F195" s="8" t="str">
        <f>_xlfn.IFNA(INDEX('HS Codes'!$D$2:$K2749,MATCH($B195,'HS Codes'!$A$2:$A2749,0),MATCH(F$1,'HS Codes'!$D$1:$K$1,0)),"")</f>
        <v>6101.90.90.30</v>
      </c>
      <c r="G195" s="8">
        <f>_xlfn.IFNA(INDEX('HS Codes'!$D$2:$K2749,MATCH($B195,'HS Codes'!$A$2:$A2749,0),MATCH(G$1,'HS Codes'!$D$1:$K$1,0)),"")</f>
        <v>6101309000</v>
      </c>
      <c r="H195" s="8">
        <f>_xlfn.IFNA(INDEX('HS Codes'!$D$2:$K2749,MATCH($B195,'HS Codes'!$A$2:$A2749,0),MATCH(H$1,'HS Codes'!$D$1:$K$1,0)),"")</f>
        <v>6112399000</v>
      </c>
      <c r="I195" s="8" t="str">
        <f>_xlfn.IFNA(INDEX('HS Codes'!$D$2:$K2749,MATCH($B195,'HS Codes'!$A$2:$A2749,0),MATCH(I$1,'HS Codes'!$D$1:$K$1,0)),"")</f>
        <v>6211 4390 00</v>
      </c>
      <c r="J195" s="8">
        <f>_xlfn.IFNA(INDEX('HS Codes'!$D$2:$K2749,MATCH($B195,'HS Codes'!$A$2:$A2749,0),MATCH(J$1,'HS Codes'!$D$1:$K$1,0)),"")</f>
        <v>6117109000</v>
      </c>
      <c r="K195" s="8" t="str">
        <f>_xlfn.IFNA(INDEX('HS Codes'!$D$2:$K2749,MATCH($B195,'HS Codes'!$A$2:$A2749,0),MATCH(K$1,'HS Codes'!$D$1:$K$1,0)),"")</f>
        <v>6112.39.00</v>
      </c>
      <c r="L195" s="8">
        <f>_xlfn.IFNA(INDEX('HS Codes'!$D$2:$K2749,MATCH($B195,'HS Codes'!$A$2:$A2749,0),MATCH(L$1,'HS Codes'!$D$1:$K$1,0)),"")</f>
        <v>6202</v>
      </c>
      <c r="M195" s="8" t="str">
        <f>_xlfn.IFNA(INDEX('HS Codes'!$C$2:$C2749,MATCH($B195,'HS Codes'!$A$2:$A2749,0)),"")</f>
        <v>Beach Robe or Cloak 100% recycled 220 GSM/83% polyester/17% polyamide includes cotton on the packing pouch drawstring</v>
      </c>
      <c r="N195" s="9"/>
      <c r="O195" s="9"/>
      <c r="P195" s="9"/>
      <c r="Q195" s="9"/>
    </row>
    <row r="196" spans="1:17" ht="15.75" customHeight="1">
      <c r="A196" s="7" t="s">
        <v>483</v>
      </c>
      <c r="B196" s="7"/>
      <c r="C196" s="7"/>
      <c r="D196" s="7"/>
      <c r="E196" s="7"/>
      <c r="F196" s="8" t="str">
        <f>_xlfn.IFNA(INDEX('HS Codes'!$D$2:$K2750,MATCH($B196,'HS Codes'!$A$2:$A2750,0),MATCH(F$1,'HS Codes'!$D$1:$K$1,0)),"")</f>
        <v/>
      </c>
      <c r="G196" s="8" t="str">
        <f>_xlfn.IFNA(INDEX('HS Codes'!$D$2:$K2750,MATCH($B196,'HS Codes'!$A$2:$A2750,0),MATCH(G$1,'HS Codes'!$D$1:$K$1,0)),"")</f>
        <v/>
      </c>
      <c r="H196" s="8" t="str">
        <f>_xlfn.IFNA(INDEX('HS Codes'!$D$2:$K2750,MATCH($B196,'HS Codes'!$A$2:$A2750,0),MATCH(H$1,'HS Codes'!$D$1:$K$1,0)),"")</f>
        <v/>
      </c>
      <c r="I196" s="8" t="str">
        <f>_xlfn.IFNA(INDEX('HS Codes'!$D$2:$K2750,MATCH($B196,'HS Codes'!$A$2:$A2750,0),MATCH(I$1,'HS Codes'!$D$1:$K$1,0)),"")</f>
        <v/>
      </c>
      <c r="J196" s="8" t="str">
        <f>_xlfn.IFNA(INDEX('HS Codes'!$D$2:$K2750,MATCH($B196,'HS Codes'!$A$2:$A2750,0),MATCH(J$1,'HS Codes'!$D$1:$K$1,0)),"")</f>
        <v/>
      </c>
      <c r="K196" s="8" t="str">
        <f>_xlfn.IFNA(INDEX('HS Codes'!$D$2:$K2750,MATCH($B196,'HS Codes'!$A$2:$A2750,0),MATCH(K$1,'HS Codes'!$D$1:$K$1,0)),"")</f>
        <v/>
      </c>
      <c r="L196" s="8" t="str">
        <f>_xlfn.IFNA(INDEX('HS Codes'!$D$2:$K2750,MATCH($B196,'HS Codes'!$A$2:$A2750,0),MATCH(L$1,'HS Codes'!$D$1:$K$1,0)),"")</f>
        <v/>
      </c>
      <c r="M196" s="8" t="str">
        <f>_xlfn.IFNA(INDEX('HS Codes'!$C$2:$C2750,MATCH($B196,'HS Codes'!$A$2:$A2750,0)),"")</f>
        <v/>
      </c>
      <c r="N196" s="9"/>
      <c r="O196" s="9"/>
      <c r="P196" s="9"/>
      <c r="Q196" s="9"/>
    </row>
    <row r="197" spans="1:17" ht="15.75" customHeight="1">
      <c r="A197" s="7" t="s">
        <v>484</v>
      </c>
      <c r="B197" s="7" t="s">
        <v>142</v>
      </c>
      <c r="C197" s="7" t="s">
        <v>278</v>
      </c>
      <c r="D197" s="7" t="s">
        <v>143</v>
      </c>
      <c r="E197" s="7" t="s">
        <v>143</v>
      </c>
      <c r="F197" s="8" t="str">
        <f>_xlfn.IFNA(INDEX('HS Codes'!$D$2:$K2751,MATCH($B197,'HS Codes'!$A$2:$A2751,0),MATCH(F$1,'HS Codes'!$D$1:$K$1,0)),"")</f>
        <v>6101.90.90.30</v>
      </c>
      <c r="G197" s="8">
        <f>_xlfn.IFNA(INDEX('HS Codes'!$D$2:$K2751,MATCH($B197,'HS Codes'!$A$2:$A2751,0),MATCH(G$1,'HS Codes'!$D$1:$K$1,0)),"")</f>
        <v>6101309000</v>
      </c>
      <c r="H197" s="8">
        <f>_xlfn.IFNA(INDEX('HS Codes'!$D$2:$K2751,MATCH($B197,'HS Codes'!$A$2:$A2751,0),MATCH(H$1,'HS Codes'!$D$1:$K$1,0)),"")</f>
        <v>6112399000</v>
      </c>
      <c r="I197" s="8" t="str">
        <f>_xlfn.IFNA(INDEX('HS Codes'!$D$2:$K2751,MATCH($B197,'HS Codes'!$A$2:$A2751,0),MATCH(I$1,'HS Codes'!$D$1:$K$1,0)),"")</f>
        <v>6211 4390 00</v>
      </c>
      <c r="J197" s="8">
        <f>_xlfn.IFNA(INDEX('HS Codes'!$D$2:$K2751,MATCH($B197,'HS Codes'!$A$2:$A2751,0),MATCH(J$1,'HS Codes'!$D$1:$K$1,0)),"")</f>
        <v>6117109000</v>
      </c>
      <c r="K197" s="8" t="str">
        <f>_xlfn.IFNA(INDEX('HS Codes'!$D$2:$K2751,MATCH($B197,'HS Codes'!$A$2:$A2751,0),MATCH(K$1,'HS Codes'!$D$1:$K$1,0)),"")</f>
        <v>6112.39.00</v>
      </c>
      <c r="L197" s="8">
        <f>_xlfn.IFNA(INDEX('HS Codes'!$D$2:$K2751,MATCH($B197,'HS Codes'!$A$2:$A2751,0),MATCH(L$1,'HS Codes'!$D$1:$K$1,0)),"")</f>
        <v>6202</v>
      </c>
      <c r="M197" s="8" t="str">
        <f>_xlfn.IFNA(INDEX('HS Codes'!$C$2:$C2751,MATCH($B197,'HS Codes'!$A$2:$A2751,0)),"")</f>
        <v>Beach Robe or Cloak 100% recycled 220 GSM/83% polyester/17% polyamide includes cotton on the packing pouch drawstring</v>
      </c>
      <c r="N197" s="9"/>
      <c r="O197" s="9"/>
      <c r="P197" s="9"/>
      <c r="Q197" s="9"/>
    </row>
    <row r="198" spans="1:17" ht="15.75" customHeight="1">
      <c r="A198" s="7" t="s">
        <v>485</v>
      </c>
      <c r="B198" s="7" t="s">
        <v>142</v>
      </c>
      <c r="C198" s="7" t="s">
        <v>278</v>
      </c>
      <c r="D198" s="7" t="s">
        <v>143</v>
      </c>
      <c r="E198" s="7" t="s">
        <v>143</v>
      </c>
      <c r="F198" s="8" t="str">
        <f>_xlfn.IFNA(INDEX('HS Codes'!$D$2:$K2752,MATCH($B198,'HS Codes'!$A$2:$A2752,0),MATCH(F$1,'HS Codes'!$D$1:$K$1,0)),"")</f>
        <v>6101.90.90.30</v>
      </c>
      <c r="G198" s="8">
        <f>_xlfn.IFNA(INDEX('HS Codes'!$D$2:$K2752,MATCH($B198,'HS Codes'!$A$2:$A2752,0),MATCH(G$1,'HS Codes'!$D$1:$K$1,0)),"")</f>
        <v>6101309000</v>
      </c>
      <c r="H198" s="8">
        <f>_xlfn.IFNA(INDEX('HS Codes'!$D$2:$K2752,MATCH($B198,'HS Codes'!$A$2:$A2752,0),MATCH(H$1,'HS Codes'!$D$1:$K$1,0)),"")</f>
        <v>6112399000</v>
      </c>
      <c r="I198" s="8" t="str">
        <f>_xlfn.IFNA(INDEX('HS Codes'!$D$2:$K2752,MATCH($B198,'HS Codes'!$A$2:$A2752,0),MATCH(I$1,'HS Codes'!$D$1:$K$1,0)),"")</f>
        <v>6211 4390 00</v>
      </c>
      <c r="J198" s="8">
        <f>_xlfn.IFNA(INDEX('HS Codes'!$D$2:$K2752,MATCH($B198,'HS Codes'!$A$2:$A2752,0),MATCH(J$1,'HS Codes'!$D$1:$K$1,0)),"")</f>
        <v>6117109000</v>
      </c>
      <c r="K198" s="8" t="str">
        <f>_xlfn.IFNA(INDEX('HS Codes'!$D$2:$K2752,MATCH($B198,'HS Codes'!$A$2:$A2752,0),MATCH(K$1,'HS Codes'!$D$1:$K$1,0)),"")</f>
        <v>6112.39.00</v>
      </c>
      <c r="L198" s="8">
        <f>_xlfn.IFNA(INDEX('HS Codes'!$D$2:$K2752,MATCH($B198,'HS Codes'!$A$2:$A2752,0),MATCH(L$1,'HS Codes'!$D$1:$K$1,0)),"")</f>
        <v>6202</v>
      </c>
      <c r="M198" s="8" t="str">
        <f>_xlfn.IFNA(INDEX('HS Codes'!$C$2:$C2752,MATCH($B198,'HS Codes'!$A$2:$A2752,0)),"")</f>
        <v>Beach Robe or Cloak 100% recycled 220 GSM/83% polyester/17% polyamide includes cotton on the packing pouch drawstring</v>
      </c>
      <c r="N198" s="9"/>
      <c r="O198" s="9"/>
      <c r="P198" s="9"/>
      <c r="Q198" s="9"/>
    </row>
    <row r="199" spans="1:17" ht="15.75" customHeight="1">
      <c r="A199" s="7" t="s">
        <v>486</v>
      </c>
      <c r="B199" s="7" t="s">
        <v>142</v>
      </c>
      <c r="C199" s="7" t="s">
        <v>278</v>
      </c>
      <c r="D199" s="7" t="s">
        <v>143</v>
      </c>
      <c r="E199" s="7" t="s">
        <v>143</v>
      </c>
      <c r="F199" s="8" t="str">
        <f>_xlfn.IFNA(INDEX('HS Codes'!$D$2:$K2753,MATCH($B199,'HS Codes'!$A$2:$A2753,0),MATCH(F$1,'HS Codes'!$D$1:$K$1,0)),"")</f>
        <v>6101.90.90.30</v>
      </c>
      <c r="G199" s="8">
        <f>_xlfn.IFNA(INDEX('HS Codes'!$D$2:$K2753,MATCH($B199,'HS Codes'!$A$2:$A2753,0),MATCH(G$1,'HS Codes'!$D$1:$K$1,0)),"")</f>
        <v>6101309000</v>
      </c>
      <c r="H199" s="8">
        <f>_xlfn.IFNA(INDEX('HS Codes'!$D$2:$K2753,MATCH($B199,'HS Codes'!$A$2:$A2753,0),MATCH(H$1,'HS Codes'!$D$1:$K$1,0)),"")</f>
        <v>6112399000</v>
      </c>
      <c r="I199" s="8" t="str">
        <f>_xlfn.IFNA(INDEX('HS Codes'!$D$2:$K2753,MATCH($B199,'HS Codes'!$A$2:$A2753,0),MATCH(I$1,'HS Codes'!$D$1:$K$1,0)),"")</f>
        <v>6211 4390 00</v>
      </c>
      <c r="J199" s="8">
        <f>_xlfn.IFNA(INDEX('HS Codes'!$D$2:$K2753,MATCH($B199,'HS Codes'!$A$2:$A2753,0),MATCH(J$1,'HS Codes'!$D$1:$K$1,0)),"")</f>
        <v>6117109000</v>
      </c>
      <c r="K199" s="8" t="str">
        <f>_xlfn.IFNA(INDEX('HS Codes'!$D$2:$K2753,MATCH($B199,'HS Codes'!$A$2:$A2753,0),MATCH(K$1,'HS Codes'!$D$1:$K$1,0)),"")</f>
        <v>6112.39.00</v>
      </c>
      <c r="L199" s="8">
        <f>_xlfn.IFNA(INDEX('HS Codes'!$D$2:$K2753,MATCH($B199,'HS Codes'!$A$2:$A2753,0),MATCH(L$1,'HS Codes'!$D$1:$K$1,0)),"")</f>
        <v>6202</v>
      </c>
      <c r="M199" s="8" t="str">
        <f>_xlfn.IFNA(INDEX('HS Codes'!$C$2:$C2753,MATCH($B199,'HS Codes'!$A$2:$A2753,0)),"")</f>
        <v>Beach Robe or Cloak 100% recycled 220 GSM/83% polyester/17% polyamide includes cotton on the packing pouch drawstring</v>
      </c>
      <c r="N199" s="9"/>
      <c r="O199" s="9"/>
      <c r="P199" s="9"/>
      <c r="Q199" s="9"/>
    </row>
    <row r="200" spans="1:17" ht="15.75" customHeight="1">
      <c r="A200" s="7" t="s">
        <v>487</v>
      </c>
      <c r="B200" s="7" t="s">
        <v>142</v>
      </c>
      <c r="C200" s="7" t="s">
        <v>278</v>
      </c>
      <c r="D200" s="7" t="s">
        <v>143</v>
      </c>
      <c r="E200" s="7" t="s">
        <v>143</v>
      </c>
      <c r="F200" s="8" t="str">
        <f>_xlfn.IFNA(INDEX('HS Codes'!$D$2:$K2754,MATCH($B200,'HS Codes'!$A$2:$A2754,0),MATCH(F$1,'HS Codes'!$D$1:$K$1,0)),"")</f>
        <v>6101.90.90.30</v>
      </c>
      <c r="G200" s="8">
        <f>_xlfn.IFNA(INDEX('HS Codes'!$D$2:$K2754,MATCH($B200,'HS Codes'!$A$2:$A2754,0),MATCH(G$1,'HS Codes'!$D$1:$K$1,0)),"")</f>
        <v>6101309000</v>
      </c>
      <c r="H200" s="8">
        <f>_xlfn.IFNA(INDEX('HS Codes'!$D$2:$K2754,MATCH($B200,'HS Codes'!$A$2:$A2754,0),MATCH(H$1,'HS Codes'!$D$1:$K$1,0)),"")</f>
        <v>6112399000</v>
      </c>
      <c r="I200" s="8" t="str">
        <f>_xlfn.IFNA(INDEX('HS Codes'!$D$2:$K2754,MATCH($B200,'HS Codes'!$A$2:$A2754,0),MATCH(I$1,'HS Codes'!$D$1:$K$1,0)),"")</f>
        <v>6211 4390 00</v>
      </c>
      <c r="J200" s="8">
        <f>_xlfn.IFNA(INDEX('HS Codes'!$D$2:$K2754,MATCH($B200,'HS Codes'!$A$2:$A2754,0),MATCH(J$1,'HS Codes'!$D$1:$K$1,0)),"")</f>
        <v>6117109000</v>
      </c>
      <c r="K200" s="8" t="str">
        <f>_xlfn.IFNA(INDEX('HS Codes'!$D$2:$K2754,MATCH($B200,'HS Codes'!$A$2:$A2754,0),MATCH(K$1,'HS Codes'!$D$1:$K$1,0)),"")</f>
        <v>6112.39.00</v>
      </c>
      <c r="L200" s="8">
        <f>_xlfn.IFNA(INDEX('HS Codes'!$D$2:$K2754,MATCH($B200,'HS Codes'!$A$2:$A2754,0),MATCH(L$1,'HS Codes'!$D$1:$K$1,0)),"")</f>
        <v>6202</v>
      </c>
      <c r="M200" s="8" t="str">
        <f>_xlfn.IFNA(INDEX('HS Codes'!$C$2:$C2754,MATCH($B200,'HS Codes'!$A$2:$A2754,0)),"")</f>
        <v>Beach Robe or Cloak 100% recycled 220 GSM/83% polyester/17% polyamide includes cotton on the packing pouch drawstring</v>
      </c>
      <c r="N200" s="9"/>
      <c r="O200" s="9"/>
      <c r="P200" s="9"/>
      <c r="Q200" s="9"/>
    </row>
    <row r="201" spans="1:17" ht="15.75" customHeight="1">
      <c r="A201" s="7" t="s">
        <v>488</v>
      </c>
      <c r="B201" s="7" t="s">
        <v>142</v>
      </c>
      <c r="C201" s="7" t="s">
        <v>278</v>
      </c>
      <c r="D201" s="7" t="s">
        <v>143</v>
      </c>
      <c r="E201" s="7" t="s">
        <v>143</v>
      </c>
      <c r="F201" s="8" t="str">
        <f>_xlfn.IFNA(INDEX('HS Codes'!$D$2:$K2755,MATCH($B201,'HS Codes'!$A$2:$A2755,0),MATCH(F$1,'HS Codes'!$D$1:$K$1,0)),"")</f>
        <v>6101.90.90.30</v>
      </c>
      <c r="G201" s="8">
        <f>_xlfn.IFNA(INDEX('HS Codes'!$D$2:$K2755,MATCH($B201,'HS Codes'!$A$2:$A2755,0),MATCH(G$1,'HS Codes'!$D$1:$K$1,0)),"")</f>
        <v>6101309000</v>
      </c>
      <c r="H201" s="8">
        <f>_xlfn.IFNA(INDEX('HS Codes'!$D$2:$K2755,MATCH($B201,'HS Codes'!$A$2:$A2755,0),MATCH(H$1,'HS Codes'!$D$1:$K$1,0)),"")</f>
        <v>6112399000</v>
      </c>
      <c r="I201" s="8" t="str">
        <f>_xlfn.IFNA(INDEX('HS Codes'!$D$2:$K2755,MATCH($B201,'HS Codes'!$A$2:$A2755,0),MATCH(I$1,'HS Codes'!$D$1:$K$1,0)),"")</f>
        <v>6211 4390 00</v>
      </c>
      <c r="J201" s="8">
        <f>_xlfn.IFNA(INDEX('HS Codes'!$D$2:$K2755,MATCH($B201,'HS Codes'!$A$2:$A2755,0),MATCH(J$1,'HS Codes'!$D$1:$K$1,0)),"")</f>
        <v>6117109000</v>
      </c>
      <c r="K201" s="8" t="str">
        <f>_xlfn.IFNA(INDEX('HS Codes'!$D$2:$K2755,MATCH($B201,'HS Codes'!$A$2:$A2755,0),MATCH(K$1,'HS Codes'!$D$1:$K$1,0)),"")</f>
        <v>6112.39.00</v>
      </c>
      <c r="L201" s="8">
        <f>_xlfn.IFNA(INDEX('HS Codes'!$D$2:$K2755,MATCH($B201,'HS Codes'!$A$2:$A2755,0),MATCH(L$1,'HS Codes'!$D$1:$K$1,0)),"")</f>
        <v>6202</v>
      </c>
      <c r="M201" s="8" t="str">
        <f>_xlfn.IFNA(INDEX('HS Codes'!$C$2:$C2755,MATCH($B201,'HS Codes'!$A$2:$A2755,0)),"")</f>
        <v>Beach Robe or Cloak 100% recycled 220 GSM/83% polyester/17% polyamide includes cotton on the packing pouch drawstring</v>
      </c>
      <c r="N201" s="9"/>
      <c r="O201" s="9"/>
      <c r="P201" s="9"/>
      <c r="Q201" s="9"/>
    </row>
    <row r="202" spans="1:17" ht="15.75" customHeight="1">
      <c r="A202" s="7" t="s">
        <v>489</v>
      </c>
      <c r="B202" s="7" t="s">
        <v>142</v>
      </c>
      <c r="C202" s="7" t="s">
        <v>278</v>
      </c>
      <c r="D202" s="7" t="s">
        <v>143</v>
      </c>
      <c r="E202" s="7" t="s">
        <v>143</v>
      </c>
      <c r="F202" s="8" t="str">
        <f>_xlfn.IFNA(INDEX('HS Codes'!$D$2:$K2756,MATCH($B202,'HS Codes'!$A$2:$A2756,0),MATCH(F$1,'HS Codes'!$D$1:$K$1,0)),"")</f>
        <v>6101.90.90.30</v>
      </c>
      <c r="G202" s="8">
        <f>_xlfn.IFNA(INDEX('HS Codes'!$D$2:$K2756,MATCH($B202,'HS Codes'!$A$2:$A2756,0),MATCH(G$1,'HS Codes'!$D$1:$K$1,0)),"")</f>
        <v>6101309000</v>
      </c>
      <c r="H202" s="8">
        <f>_xlfn.IFNA(INDEX('HS Codes'!$D$2:$K2756,MATCH($B202,'HS Codes'!$A$2:$A2756,0),MATCH(H$1,'HS Codes'!$D$1:$K$1,0)),"")</f>
        <v>6112399000</v>
      </c>
      <c r="I202" s="8" t="str">
        <f>_xlfn.IFNA(INDEX('HS Codes'!$D$2:$K2756,MATCH($B202,'HS Codes'!$A$2:$A2756,0),MATCH(I$1,'HS Codes'!$D$1:$K$1,0)),"")</f>
        <v>6211 4390 00</v>
      </c>
      <c r="J202" s="8">
        <f>_xlfn.IFNA(INDEX('HS Codes'!$D$2:$K2756,MATCH($B202,'HS Codes'!$A$2:$A2756,0),MATCH(J$1,'HS Codes'!$D$1:$K$1,0)),"")</f>
        <v>6117109000</v>
      </c>
      <c r="K202" s="8" t="str">
        <f>_xlfn.IFNA(INDEX('HS Codes'!$D$2:$K2756,MATCH($B202,'HS Codes'!$A$2:$A2756,0),MATCH(K$1,'HS Codes'!$D$1:$K$1,0)),"")</f>
        <v>6112.39.00</v>
      </c>
      <c r="L202" s="8">
        <f>_xlfn.IFNA(INDEX('HS Codes'!$D$2:$K2756,MATCH($B202,'HS Codes'!$A$2:$A2756,0),MATCH(L$1,'HS Codes'!$D$1:$K$1,0)),"")</f>
        <v>6202</v>
      </c>
      <c r="M202" s="8" t="str">
        <f>_xlfn.IFNA(INDEX('HS Codes'!$C$2:$C2756,MATCH($B202,'HS Codes'!$A$2:$A2756,0)),"")</f>
        <v>Beach Robe or Cloak 100% recycled 220 GSM/83% polyester/17% polyamide includes cotton on the packing pouch drawstring</v>
      </c>
      <c r="N202" s="9"/>
      <c r="O202" s="9"/>
      <c r="P202" s="9"/>
      <c r="Q202" s="9"/>
    </row>
    <row r="203" spans="1:17" ht="15.75" customHeight="1">
      <c r="A203" s="7" t="s">
        <v>490</v>
      </c>
      <c r="B203" s="7" t="s">
        <v>142</v>
      </c>
      <c r="C203" s="7" t="s">
        <v>278</v>
      </c>
      <c r="D203" s="7" t="s">
        <v>143</v>
      </c>
      <c r="E203" s="7" t="s">
        <v>143</v>
      </c>
      <c r="F203" s="8" t="str">
        <f>_xlfn.IFNA(INDEX('HS Codes'!$D$2:$K2757,MATCH($B203,'HS Codes'!$A$2:$A2757,0),MATCH(F$1,'HS Codes'!$D$1:$K$1,0)),"")</f>
        <v>6101.90.90.30</v>
      </c>
      <c r="G203" s="8">
        <f>_xlfn.IFNA(INDEX('HS Codes'!$D$2:$K2757,MATCH($B203,'HS Codes'!$A$2:$A2757,0),MATCH(G$1,'HS Codes'!$D$1:$K$1,0)),"")</f>
        <v>6101309000</v>
      </c>
      <c r="H203" s="8">
        <f>_xlfn.IFNA(INDEX('HS Codes'!$D$2:$K2757,MATCH($B203,'HS Codes'!$A$2:$A2757,0),MATCH(H$1,'HS Codes'!$D$1:$K$1,0)),"")</f>
        <v>6112399000</v>
      </c>
      <c r="I203" s="8" t="str">
        <f>_xlfn.IFNA(INDEX('HS Codes'!$D$2:$K2757,MATCH($B203,'HS Codes'!$A$2:$A2757,0),MATCH(I$1,'HS Codes'!$D$1:$K$1,0)),"")</f>
        <v>6211 4390 00</v>
      </c>
      <c r="J203" s="8">
        <f>_xlfn.IFNA(INDEX('HS Codes'!$D$2:$K2757,MATCH($B203,'HS Codes'!$A$2:$A2757,0),MATCH(J$1,'HS Codes'!$D$1:$K$1,0)),"")</f>
        <v>6117109000</v>
      </c>
      <c r="K203" s="8" t="str">
        <f>_xlfn.IFNA(INDEX('HS Codes'!$D$2:$K2757,MATCH($B203,'HS Codes'!$A$2:$A2757,0),MATCH(K$1,'HS Codes'!$D$1:$K$1,0)),"")</f>
        <v>6112.39.00</v>
      </c>
      <c r="L203" s="8">
        <f>_xlfn.IFNA(INDEX('HS Codes'!$D$2:$K2757,MATCH($B203,'HS Codes'!$A$2:$A2757,0),MATCH(L$1,'HS Codes'!$D$1:$K$1,0)),"")</f>
        <v>6202</v>
      </c>
      <c r="M203" s="8" t="str">
        <f>_xlfn.IFNA(INDEX('HS Codes'!$C$2:$C2757,MATCH($B203,'HS Codes'!$A$2:$A2757,0)),"")</f>
        <v>Beach Robe or Cloak 100% recycled 220 GSM/83% polyester/17% polyamide includes cotton on the packing pouch drawstring</v>
      </c>
      <c r="N203" s="9"/>
      <c r="O203" s="9"/>
      <c r="P203" s="9"/>
      <c r="Q203" s="9"/>
    </row>
    <row r="204" spans="1:17" ht="15.75" customHeight="1">
      <c r="A204" s="7" t="s">
        <v>491</v>
      </c>
      <c r="B204" s="7" t="s">
        <v>142</v>
      </c>
      <c r="C204" s="7" t="s">
        <v>278</v>
      </c>
      <c r="D204" s="7" t="s">
        <v>143</v>
      </c>
      <c r="E204" s="7" t="s">
        <v>143</v>
      </c>
      <c r="F204" s="8" t="str">
        <f>_xlfn.IFNA(INDEX('HS Codes'!$D$2:$K2758,MATCH($B204,'HS Codes'!$A$2:$A2758,0),MATCH(F$1,'HS Codes'!$D$1:$K$1,0)),"")</f>
        <v>6101.90.90.30</v>
      </c>
      <c r="G204" s="8">
        <f>_xlfn.IFNA(INDEX('HS Codes'!$D$2:$K2758,MATCH($B204,'HS Codes'!$A$2:$A2758,0),MATCH(G$1,'HS Codes'!$D$1:$K$1,0)),"")</f>
        <v>6101309000</v>
      </c>
      <c r="H204" s="8">
        <f>_xlfn.IFNA(INDEX('HS Codes'!$D$2:$K2758,MATCH($B204,'HS Codes'!$A$2:$A2758,0),MATCH(H$1,'HS Codes'!$D$1:$K$1,0)),"")</f>
        <v>6112399000</v>
      </c>
      <c r="I204" s="8" t="str">
        <f>_xlfn.IFNA(INDEX('HS Codes'!$D$2:$K2758,MATCH($B204,'HS Codes'!$A$2:$A2758,0),MATCH(I$1,'HS Codes'!$D$1:$K$1,0)),"")</f>
        <v>6211 4390 00</v>
      </c>
      <c r="J204" s="8">
        <f>_xlfn.IFNA(INDEX('HS Codes'!$D$2:$K2758,MATCH($B204,'HS Codes'!$A$2:$A2758,0),MATCH(J$1,'HS Codes'!$D$1:$K$1,0)),"")</f>
        <v>6117109000</v>
      </c>
      <c r="K204" s="8" t="str">
        <f>_xlfn.IFNA(INDEX('HS Codes'!$D$2:$K2758,MATCH($B204,'HS Codes'!$A$2:$A2758,0),MATCH(K$1,'HS Codes'!$D$1:$K$1,0)),"")</f>
        <v>6112.39.00</v>
      </c>
      <c r="L204" s="8">
        <f>_xlfn.IFNA(INDEX('HS Codes'!$D$2:$K2758,MATCH($B204,'HS Codes'!$A$2:$A2758,0),MATCH(L$1,'HS Codes'!$D$1:$K$1,0)),"")</f>
        <v>6202</v>
      </c>
      <c r="M204" s="8" t="str">
        <f>_xlfn.IFNA(INDEX('HS Codes'!$C$2:$C2758,MATCH($B204,'HS Codes'!$A$2:$A2758,0)),"")</f>
        <v>Beach Robe or Cloak 100% recycled 220 GSM/83% polyester/17% polyamide includes cotton on the packing pouch drawstring</v>
      </c>
      <c r="N204" s="9"/>
      <c r="O204" s="9"/>
      <c r="P204" s="9"/>
      <c r="Q204" s="9"/>
    </row>
    <row r="205" spans="1:17" ht="15.75" customHeight="1">
      <c r="A205" s="7" t="s">
        <v>492</v>
      </c>
      <c r="B205" s="7" t="s">
        <v>142</v>
      </c>
      <c r="C205" s="7" t="s">
        <v>278</v>
      </c>
      <c r="D205" s="7" t="s">
        <v>143</v>
      </c>
      <c r="E205" s="7" t="s">
        <v>143</v>
      </c>
      <c r="F205" s="8" t="str">
        <f>_xlfn.IFNA(INDEX('HS Codes'!$D$2:$K2759,MATCH($B205,'HS Codes'!$A$2:$A2759,0),MATCH(F$1,'HS Codes'!$D$1:$K$1,0)),"")</f>
        <v>6101.90.90.30</v>
      </c>
      <c r="G205" s="8">
        <f>_xlfn.IFNA(INDEX('HS Codes'!$D$2:$K2759,MATCH($B205,'HS Codes'!$A$2:$A2759,0),MATCH(G$1,'HS Codes'!$D$1:$K$1,0)),"")</f>
        <v>6101309000</v>
      </c>
      <c r="H205" s="8">
        <f>_xlfn.IFNA(INDEX('HS Codes'!$D$2:$K2759,MATCH($B205,'HS Codes'!$A$2:$A2759,0),MATCH(H$1,'HS Codes'!$D$1:$K$1,0)),"")</f>
        <v>6112399000</v>
      </c>
      <c r="I205" s="8" t="str">
        <f>_xlfn.IFNA(INDEX('HS Codes'!$D$2:$K2759,MATCH($B205,'HS Codes'!$A$2:$A2759,0),MATCH(I$1,'HS Codes'!$D$1:$K$1,0)),"")</f>
        <v>6211 4390 00</v>
      </c>
      <c r="J205" s="8">
        <f>_xlfn.IFNA(INDEX('HS Codes'!$D$2:$K2759,MATCH($B205,'HS Codes'!$A$2:$A2759,0),MATCH(J$1,'HS Codes'!$D$1:$K$1,0)),"")</f>
        <v>6117109000</v>
      </c>
      <c r="K205" s="8" t="str">
        <f>_xlfn.IFNA(INDEX('HS Codes'!$D$2:$K2759,MATCH($B205,'HS Codes'!$A$2:$A2759,0),MATCH(K$1,'HS Codes'!$D$1:$K$1,0)),"")</f>
        <v>6112.39.00</v>
      </c>
      <c r="L205" s="8">
        <f>_xlfn.IFNA(INDEX('HS Codes'!$D$2:$K2759,MATCH($B205,'HS Codes'!$A$2:$A2759,0),MATCH(L$1,'HS Codes'!$D$1:$K$1,0)),"")</f>
        <v>6202</v>
      </c>
      <c r="M205" s="8" t="str">
        <f>_xlfn.IFNA(INDEX('HS Codes'!$C$2:$C2759,MATCH($B205,'HS Codes'!$A$2:$A2759,0)),"")</f>
        <v>Beach Robe or Cloak 100% recycled 220 GSM/83% polyester/17% polyamide includes cotton on the packing pouch drawstring</v>
      </c>
      <c r="N205" s="9"/>
      <c r="O205" s="9"/>
      <c r="P205" s="9"/>
      <c r="Q205" s="9"/>
    </row>
    <row r="206" spans="1:17" ht="15.75" customHeight="1">
      <c r="A206" s="7" t="s">
        <v>493</v>
      </c>
      <c r="B206" s="7" t="s">
        <v>142</v>
      </c>
      <c r="C206" s="7" t="s">
        <v>278</v>
      </c>
      <c r="D206" s="7" t="s">
        <v>143</v>
      </c>
      <c r="E206" s="7" t="s">
        <v>143</v>
      </c>
      <c r="F206" s="8" t="str">
        <f>_xlfn.IFNA(INDEX('HS Codes'!$D$2:$K2760,MATCH($B206,'HS Codes'!$A$2:$A2760,0),MATCH(F$1,'HS Codes'!$D$1:$K$1,0)),"")</f>
        <v>6101.90.90.30</v>
      </c>
      <c r="G206" s="8">
        <f>_xlfn.IFNA(INDEX('HS Codes'!$D$2:$K2760,MATCH($B206,'HS Codes'!$A$2:$A2760,0),MATCH(G$1,'HS Codes'!$D$1:$K$1,0)),"")</f>
        <v>6101309000</v>
      </c>
      <c r="H206" s="8">
        <f>_xlfn.IFNA(INDEX('HS Codes'!$D$2:$K2760,MATCH($B206,'HS Codes'!$A$2:$A2760,0),MATCH(H$1,'HS Codes'!$D$1:$K$1,0)),"")</f>
        <v>6112399000</v>
      </c>
      <c r="I206" s="8" t="str">
        <f>_xlfn.IFNA(INDEX('HS Codes'!$D$2:$K2760,MATCH($B206,'HS Codes'!$A$2:$A2760,0),MATCH(I$1,'HS Codes'!$D$1:$K$1,0)),"")</f>
        <v>6211 4390 00</v>
      </c>
      <c r="J206" s="8">
        <f>_xlfn.IFNA(INDEX('HS Codes'!$D$2:$K2760,MATCH($B206,'HS Codes'!$A$2:$A2760,0),MATCH(J$1,'HS Codes'!$D$1:$K$1,0)),"")</f>
        <v>6117109000</v>
      </c>
      <c r="K206" s="8" t="str">
        <f>_xlfn.IFNA(INDEX('HS Codes'!$D$2:$K2760,MATCH($B206,'HS Codes'!$A$2:$A2760,0),MATCH(K$1,'HS Codes'!$D$1:$K$1,0)),"")</f>
        <v>6112.39.00</v>
      </c>
      <c r="L206" s="8">
        <f>_xlfn.IFNA(INDEX('HS Codes'!$D$2:$K2760,MATCH($B206,'HS Codes'!$A$2:$A2760,0),MATCH(L$1,'HS Codes'!$D$1:$K$1,0)),"")</f>
        <v>6202</v>
      </c>
      <c r="M206" s="8" t="str">
        <f>_xlfn.IFNA(INDEX('HS Codes'!$C$2:$C2760,MATCH($B206,'HS Codes'!$A$2:$A2760,0)),"")</f>
        <v>Beach Robe or Cloak 100% recycled 220 GSM/83% polyester/17% polyamide includes cotton on the packing pouch drawstring</v>
      </c>
      <c r="N206" s="9"/>
      <c r="O206" s="9"/>
      <c r="P206" s="9"/>
      <c r="Q206" s="9"/>
    </row>
    <row r="207" spans="1:17" ht="15.75" customHeight="1">
      <c r="A207" s="7" t="s">
        <v>494</v>
      </c>
      <c r="B207" s="7" t="s">
        <v>142</v>
      </c>
      <c r="C207" s="7" t="s">
        <v>278</v>
      </c>
      <c r="D207" s="7" t="s">
        <v>143</v>
      </c>
      <c r="E207" s="7" t="s">
        <v>143</v>
      </c>
      <c r="F207" s="8" t="str">
        <f>_xlfn.IFNA(INDEX('HS Codes'!$D$2:$K2761,MATCH($B207,'HS Codes'!$A$2:$A2761,0),MATCH(F$1,'HS Codes'!$D$1:$K$1,0)),"")</f>
        <v>6101.90.90.30</v>
      </c>
      <c r="G207" s="8">
        <f>_xlfn.IFNA(INDEX('HS Codes'!$D$2:$K2761,MATCH($B207,'HS Codes'!$A$2:$A2761,0),MATCH(G$1,'HS Codes'!$D$1:$K$1,0)),"")</f>
        <v>6101309000</v>
      </c>
      <c r="H207" s="8">
        <f>_xlfn.IFNA(INDEX('HS Codes'!$D$2:$K2761,MATCH($B207,'HS Codes'!$A$2:$A2761,0),MATCH(H$1,'HS Codes'!$D$1:$K$1,0)),"")</f>
        <v>6112399000</v>
      </c>
      <c r="I207" s="8" t="str">
        <f>_xlfn.IFNA(INDEX('HS Codes'!$D$2:$K2761,MATCH($B207,'HS Codes'!$A$2:$A2761,0),MATCH(I$1,'HS Codes'!$D$1:$K$1,0)),"")</f>
        <v>6211 4390 00</v>
      </c>
      <c r="J207" s="8">
        <f>_xlfn.IFNA(INDEX('HS Codes'!$D$2:$K2761,MATCH($B207,'HS Codes'!$A$2:$A2761,0),MATCH(J$1,'HS Codes'!$D$1:$K$1,0)),"")</f>
        <v>6117109000</v>
      </c>
      <c r="K207" s="8" t="str">
        <f>_xlfn.IFNA(INDEX('HS Codes'!$D$2:$K2761,MATCH($B207,'HS Codes'!$A$2:$A2761,0),MATCH(K$1,'HS Codes'!$D$1:$K$1,0)),"")</f>
        <v>6112.39.00</v>
      </c>
      <c r="L207" s="8">
        <f>_xlfn.IFNA(INDEX('HS Codes'!$D$2:$K2761,MATCH($B207,'HS Codes'!$A$2:$A2761,0),MATCH(L$1,'HS Codes'!$D$1:$K$1,0)),"")</f>
        <v>6202</v>
      </c>
      <c r="M207" s="8" t="str">
        <f>_xlfn.IFNA(INDEX('HS Codes'!$C$2:$C2761,MATCH($B207,'HS Codes'!$A$2:$A2761,0)),"")</f>
        <v>Beach Robe or Cloak 100% recycled 220 GSM/83% polyester/17% polyamide includes cotton on the packing pouch drawstring</v>
      </c>
      <c r="N207" s="9"/>
      <c r="O207" s="9"/>
      <c r="P207" s="9"/>
      <c r="Q207" s="9"/>
    </row>
    <row r="208" spans="1:17" ht="15.75" customHeight="1">
      <c r="A208" s="7" t="s">
        <v>495</v>
      </c>
      <c r="B208" s="7" t="s">
        <v>142</v>
      </c>
      <c r="C208" s="7" t="s">
        <v>278</v>
      </c>
      <c r="D208" s="7" t="s">
        <v>143</v>
      </c>
      <c r="E208" s="7" t="s">
        <v>143</v>
      </c>
      <c r="F208" s="8" t="str">
        <f>_xlfn.IFNA(INDEX('HS Codes'!$D$2:$K2762,MATCH($B208,'HS Codes'!$A$2:$A2762,0),MATCH(F$1,'HS Codes'!$D$1:$K$1,0)),"")</f>
        <v>6101.90.90.30</v>
      </c>
      <c r="G208" s="8">
        <f>_xlfn.IFNA(INDEX('HS Codes'!$D$2:$K2762,MATCH($B208,'HS Codes'!$A$2:$A2762,0),MATCH(G$1,'HS Codes'!$D$1:$K$1,0)),"")</f>
        <v>6101309000</v>
      </c>
      <c r="H208" s="8">
        <f>_xlfn.IFNA(INDEX('HS Codes'!$D$2:$K2762,MATCH($B208,'HS Codes'!$A$2:$A2762,0),MATCH(H$1,'HS Codes'!$D$1:$K$1,0)),"")</f>
        <v>6112399000</v>
      </c>
      <c r="I208" s="8" t="str">
        <f>_xlfn.IFNA(INDEX('HS Codes'!$D$2:$K2762,MATCH($B208,'HS Codes'!$A$2:$A2762,0),MATCH(I$1,'HS Codes'!$D$1:$K$1,0)),"")</f>
        <v>6211 4390 00</v>
      </c>
      <c r="J208" s="8">
        <f>_xlfn.IFNA(INDEX('HS Codes'!$D$2:$K2762,MATCH($B208,'HS Codes'!$A$2:$A2762,0),MATCH(J$1,'HS Codes'!$D$1:$K$1,0)),"")</f>
        <v>6117109000</v>
      </c>
      <c r="K208" s="8" t="str">
        <f>_xlfn.IFNA(INDEX('HS Codes'!$D$2:$K2762,MATCH($B208,'HS Codes'!$A$2:$A2762,0),MATCH(K$1,'HS Codes'!$D$1:$K$1,0)),"")</f>
        <v>6112.39.00</v>
      </c>
      <c r="L208" s="8">
        <f>_xlfn.IFNA(INDEX('HS Codes'!$D$2:$K2762,MATCH($B208,'HS Codes'!$A$2:$A2762,0),MATCH(L$1,'HS Codes'!$D$1:$K$1,0)),"")</f>
        <v>6202</v>
      </c>
      <c r="M208" s="8" t="str">
        <f>_xlfn.IFNA(INDEX('HS Codes'!$C$2:$C2762,MATCH($B208,'HS Codes'!$A$2:$A2762,0)),"")</f>
        <v>Beach Robe or Cloak 100% recycled 220 GSM/83% polyester/17% polyamide includes cotton on the packing pouch drawstring</v>
      </c>
      <c r="N208" s="9"/>
      <c r="O208" s="9"/>
      <c r="P208" s="9"/>
      <c r="Q208" s="9"/>
    </row>
    <row r="209" spans="1:17" ht="15.75" customHeight="1">
      <c r="A209" s="7" t="s">
        <v>496</v>
      </c>
      <c r="B209" s="7" t="s">
        <v>142</v>
      </c>
      <c r="C209" s="7" t="s">
        <v>278</v>
      </c>
      <c r="D209" s="7" t="s">
        <v>143</v>
      </c>
      <c r="E209" s="7" t="s">
        <v>143</v>
      </c>
      <c r="F209" s="8" t="str">
        <f>_xlfn.IFNA(INDEX('HS Codes'!$D$2:$K2763,MATCH($B209,'HS Codes'!$A$2:$A2763,0),MATCH(F$1,'HS Codes'!$D$1:$K$1,0)),"")</f>
        <v>6101.90.90.30</v>
      </c>
      <c r="G209" s="8">
        <f>_xlfn.IFNA(INDEX('HS Codes'!$D$2:$K2763,MATCH($B209,'HS Codes'!$A$2:$A2763,0),MATCH(G$1,'HS Codes'!$D$1:$K$1,0)),"")</f>
        <v>6101309000</v>
      </c>
      <c r="H209" s="8">
        <f>_xlfn.IFNA(INDEX('HS Codes'!$D$2:$K2763,MATCH($B209,'HS Codes'!$A$2:$A2763,0),MATCH(H$1,'HS Codes'!$D$1:$K$1,0)),"")</f>
        <v>6112399000</v>
      </c>
      <c r="I209" s="8" t="str">
        <f>_xlfn.IFNA(INDEX('HS Codes'!$D$2:$K2763,MATCH($B209,'HS Codes'!$A$2:$A2763,0),MATCH(I$1,'HS Codes'!$D$1:$K$1,0)),"")</f>
        <v>6211 4390 00</v>
      </c>
      <c r="J209" s="8">
        <f>_xlfn.IFNA(INDEX('HS Codes'!$D$2:$K2763,MATCH($B209,'HS Codes'!$A$2:$A2763,0),MATCH(J$1,'HS Codes'!$D$1:$K$1,0)),"")</f>
        <v>6117109000</v>
      </c>
      <c r="K209" s="8" t="str">
        <f>_xlfn.IFNA(INDEX('HS Codes'!$D$2:$K2763,MATCH($B209,'HS Codes'!$A$2:$A2763,0),MATCH(K$1,'HS Codes'!$D$1:$K$1,0)),"")</f>
        <v>6112.39.00</v>
      </c>
      <c r="L209" s="8">
        <f>_xlfn.IFNA(INDEX('HS Codes'!$D$2:$K2763,MATCH($B209,'HS Codes'!$A$2:$A2763,0),MATCH(L$1,'HS Codes'!$D$1:$K$1,0)),"")</f>
        <v>6202</v>
      </c>
      <c r="M209" s="8" t="str">
        <f>_xlfn.IFNA(INDEX('HS Codes'!$C$2:$C2763,MATCH($B209,'HS Codes'!$A$2:$A2763,0)),"")</f>
        <v>Beach Robe or Cloak 100% recycled 220 GSM/83% polyester/17% polyamide includes cotton on the packing pouch drawstring</v>
      </c>
      <c r="N209" s="9"/>
      <c r="O209" s="9"/>
      <c r="P209" s="9"/>
      <c r="Q209" s="9"/>
    </row>
    <row r="210" spans="1:17" ht="15.75" customHeight="1">
      <c r="A210" s="7" t="s">
        <v>497</v>
      </c>
      <c r="B210" s="7" t="s">
        <v>142</v>
      </c>
      <c r="C210" s="7" t="s">
        <v>278</v>
      </c>
      <c r="D210" s="7" t="s">
        <v>143</v>
      </c>
      <c r="E210" s="7" t="s">
        <v>143</v>
      </c>
      <c r="F210" s="8" t="str">
        <f>_xlfn.IFNA(INDEX('HS Codes'!$D$2:$K2764,MATCH($B210,'HS Codes'!$A$2:$A2764,0),MATCH(F$1,'HS Codes'!$D$1:$K$1,0)),"")</f>
        <v>6101.90.90.30</v>
      </c>
      <c r="G210" s="8">
        <f>_xlfn.IFNA(INDEX('HS Codes'!$D$2:$K2764,MATCH($B210,'HS Codes'!$A$2:$A2764,0),MATCH(G$1,'HS Codes'!$D$1:$K$1,0)),"")</f>
        <v>6101309000</v>
      </c>
      <c r="H210" s="8">
        <f>_xlfn.IFNA(INDEX('HS Codes'!$D$2:$K2764,MATCH($B210,'HS Codes'!$A$2:$A2764,0),MATCH(H$1,'HS Codes'!$D$1:$K$1,0)),"")</f>
        <v>6112399000</v>
      </c>
      <c r="I210" s="8" t="str">
        <f>_xlfn.IFNA(INDEX('HS Codes'!$D$2:$K2764,MATCH($B210,'HS Codes'!$A$2:$A2764,0),MATCH(I$1,'HS Codes'!$D$1:$K$1,0)),"")</f>
        <v>6211 4390 00</v>
      </c>
      <c r="J210" s="8">
        <f>_xlfn.IFNA(INDEX('HS Codes'!$D$2:$K2764,MATCH($B210,'HS Codes'!$A$2:$A2764,0),MATCH(J$1,'HS Codes'!$D$1:$K$1,0)),"")</f>
        <v>6117109000</v>
      </c>
      <c r="K210" s="8" t="str">
        <f>_xlfn.IFNA(INDEX('HS Codes'!$D$2:$K2764,MATCH($B210,'HS Codes'!$A$2:$A2764,0),MATCH(K$1,'HS Codes'!$D$1:$K$1,0)),"")</f>
        <v>6112.39.00</v>
      </c>
      <c r="L210" s="8">
        <f>_xlfn.IFNA(INDEX('HS Codes'!$D$2:$K2764,MATCH($B210,'HS Codes'!$A$2:$A2764,0),MATCH(L$1,'HS Codes'!$D$1:$K$1,0)),"")</f>
        <v>6202</v>
      </c>
      <c r="M210" s="8" t="str">
        <f>_xlfn.IFNA(INDEX('HS Codes'!$C$2:$C2764,MATCH($B210,'HS Codes'!$A$2:$A2764,0)),"")</f>
        <v>Beach Robe or Cloak 100% recycled 220 GSM/83% polyester/17% polyamide includes cotton on the packing pouch drawstring</v>
      </c>
      <c r="N210" s="9"/>
      <c r="O210" s="9"/>
      <c r="P210" s="9"/>
      <c r="Q210" s="9"/>
    </row>
    <row r="211" spans="1:17" ht="15.75" customHeight="1">
      <c r="A211" s="7" t="s">
        <v>498</v>
      </c>
      <c r="B211" s="7" t="s">
        <v>142</v>
      </c>
      <c r="C211" s="7" t="s">
        <v>278</v>
      </c>
      <c r="D211" s="7" t="s">
        <v>143</v>
      </c>
      <c r="E211" s="7" t="s">
        <v>143</v>
      </c>
      <c r="F211" s="8" t="str">
        <f>_xlfn.IFNA(INDEX('HS Codes'!$D$2:$K2765,MATCH($B211,'HS Codes'!$A$2:$A2765,0),MATCH(F$1,'HS Codes'!$D$1:$K$1,0)),"")</f>
        <v>6101.90.90.30</v>
      </c>
      <c r="G211" s="8">
        <f>_xlfn.IFNA(INDEX('HS Codes'!$D$2:$K2765,MATCH($B211,'HS Codes'!$A$2:$A2765,0),MATCH(G$1,'HS Codes'!$D$1:$K$1,0)),"")</f>
        <v>6101309000</v>
      </c>
      <c r="H211" s="8">
        <f>_xlfn.IFNA(INDEX('HS Codes'!$D$2:$K2765,MATCH($B211,'HS Codes'!$A$2:$A2765,0),MATCH(H$1,'HS Codes'!$D$1:$K$1,0)),"")</f>
        <v>6112399000</v>
      </c>
      <c r="I211" s="8" t="str">
        <f>_xlfn.IFNA(INDEX('HS Codes'!$D$2:$K2765,MATCH($B211,'HS Codes'!$A$2:$A2765,0),MATCH(I$1,'HS Codes'!$D$1:$K$1,0)),"")</f>
        <v>6211 4390 00</v>
      </c>
      <c r="J211" s="8">
        <f>_xlfn.IFNA(INDEX('HS Codes'!$D$2:$K2765,MATCH($B211,'HS Codes'!$A$2:$A2765,0),MATCH(J$1,'HS Codes'!$D$1:$K$1,0)),"")</f>
        <v>6117109000</v>
      </c>
      <c r="K211" s="8" t="str">
        <f>_xlfn.IFNA(INDEX('HS Codes'!$D$2:$K2765,MATCH($B211,'HS Codes'!$A$2:$A2765,0),MATCH(K$1,'HS Codes'!$D$1:$K$1,0)),"")</f>
        <v>6112.39.00</v>
      </c>
      <c r="L211" s="8">
        <f>_xlfn.IFNA(INDEX('HS Codes'!$D$2:$K2765,MATCH($B211,'HS Codes'!$A$2:$A2765,0),MATCH(L$1,'HS Codes'!$D$1:$K$1,0)),"")</f>
        <v>6202</v>
      </c>
      <c r="M211" s="8" t="str">
        <f>_xlfn.IFNA(INDEX('HS Codes'!$C$2:$C2765,MATCH($B211,'HS Codes'!$A$2:$A2765,0)),"")</f>
        <v>Beach Robe or Cloak 100% recycled 220 GSM/83% polyester/17% polyamide includes cotton on the packing pouch drawstring</v>
      </c>
      <c r="N211" s="9"/>
      <c r="O211" s="9"/>
      <c r="P211" s="9"/>
      <c r="Q211" s="9"/>
    </row>
    <row r="212" spans="1:17" ht="15.75" customHeight="1">
      <c r="A212" s="7" t="s">
        <v>499</v>
      </c>
      <c r="B212" s="7" t="s">
        <v>142</v>
      </c>
      <c r="C212" s="7" t="s">
        <v>278</v>
      </c>
      <c r="D212" s="7" t="s">
        <v>143</v>
      </c>
      <c r="E212" s="7" t="s">
        <v>143</v>
      </c>
      <c r="F212" s="8" t="str">
        <f>_xlfn.IFNA(INDEX('HS Codes'!$D$2:$K2766,MATCH($B212,'HS Codes'!$A$2:$A2766,0),MATCH(F$1,'HS Codes'!$D$1:$K$1,0)),"")</f>
        <v>6101.90.90.30</v>
      </c>
      <c r="G212" s="8">
        <f>_xlfn.IFNA(INDEX('HS Codes'!$D$2:$K2766,MATCH($B212,'HS Codes'!$A$2:$A2766,0),MATCH(G$1,'HS Codes'!$D$1:$K$1,0)),"")</f>
        <v>6101309000</v>
      </c>
      <c r="H212" s="8">
        <f>_xlfn.IFNA(INDEX('HS Codes'!$D$2:$K2766,MATCH($B212,'HS Codes'!$A$2:$A2766,0),MATCH(H$1,'HS Codes'!$D$1:$K$1,0)),"")</f>
        <v>6112399000</v>
      </c>
      <c r="I212" s="8" t="str">
        <f>_xlfn.IFNA(INDEX('HS Codes'!$D$2:$K2766,MATCH($B212,'HS Codes'!$A$2:$A2766,0),MATCH(I$1,'HS Codes'!$D$1:$K$1,0)),"")</f>
        <v>6211 4390 00</v>
      </c>
      <c r="J212" s="8">
        <f>_xlfn.IFNA(INDEX('HS Codes'!$D$2:$K2766,MATCH($B212,'HS Codes'!$A$2:$A2766,0),MATCH(J$1,'HS Codes'!$D$1:$K$1,0)),"")</f>
        <v>6117109000</v>
      </c>
      <c r="K212" s="8" t="str">
        <f>_xlfn.IFNA(INDEX('HS Codes'!$D$2:$K2766,MATCH($B212,'HS Codes'!$A$2:$A2766,0),MATCH(K$1,'HS Codes'!$D$1:$K$1,0)),"")</f>
        <v>6112.39.00</v>
      </c>
      <c r="L212" s="8">
        <f>_xlfn.IFNA(INDEX('HS Codes'!$D$2:$K2766,MATCH($B212,'HS Codes'!$A$2:$A2766,0),MATCH(L$1,'HS Codes'!$D$1:$K$1,0)),"")</f>
        <v>6202</v>
      </c>
      <c r="M212" s="8" t="str">
        <f>_xlfn.IFNA(INDEX('HS Codes'!$C$2:$C2766,MATCH($B212,'HS Codes'!$A$2:$A2766,0)),"")</f>
        <v>Beach Robe or Cloak 100% recycled 220 GSM/83% polyester/17% polyamide includes cotton on the packing pouch drawstring</v>
      </c>
      <c r="N212" s="9"/>
      <c r="O212" s="9"/>
      <c r="P212" s="9"/>
      <c r="Q212" s="9"/>
    </row>
    <row r="213" spans="1:17" ht="15.75" customHeight="1">
      <c r="A213" s="7" t="s">
        <v>500</v>
      </c>
      <c r="B213" s="7"/>
      <c r="C213" s="7"/>
      <c r="D213" s="7"/>
      <c r="E213" s="7"/>
      <c r="F213" s="8" t="str">
        <f>_xlfn.IFNA(INDEX('HS Codes'!$D$2:$K2767,MATCH($B213,'HS Codes'!$A$2:$A2767,0),MATCH(F$1,'HS Codes'!$D$1:$K$1,0)),"")</f>
        <v/>
      </c>
      <c r="G213" s="8" t="str">
        <f>_xlfn.IFNA(INDEX('HS Codes'!$D$2:$K2767,MATCH($B213,'HS Codes'!$A$2:$A2767,0),MATCH(G$1,'HS Codes'!$D$1:$K$1,0)),"")</f>
        <v/>
      </c>
      <c r="H213" s="8" t="str">
        <f>_xlfn.IFNA(INDEX('HS Codes'!$D$2:$K2767,MATCH($B213,'HS Codes'!$A$2:$A2767,0),MATCH(H$1,'HS Codes'!$D$1:$K$1,0)),"")</f>
        <v/>
      </c>
      <c r="I213" s="8" t="str">
        <f>_xlfn.IFNA(INDEX('HS Codes'!$D$2:$K2767,MATCH($B213,'HS Codes'!$A$2:$A2767,0),MATCH(I$1,'HS Codes'!$D$1:$K$1,0)),"")</f>
        <v/>
      </c>
      <c r="J213" s="8" t="str">
        <f>_xlfn.IFNA(INDEX('HS Codes'!$D$2:$K2767,MATCH($B213,'HS Codes'!$A$2:$A2767,0),MATCH(J$1,'HS Codes'!$D$1:$K$1,0)),"")</f>
        <v/>
      </c>
      <c r="K213" s="8" t="str">
        <f>_xlfn.IFNA(INDEX('HS Codes'!$D$2:$K2767,MATCH($B213,'HS Codes'!$A$2:$A2767,0),MATCH(K$1,'HS Codes'!$D$1:$K$1,0)),"")</f>
        <v/>
      </c>
      <c r="L213" s="8" t="str">
        <f>_xlfn.IFNA(INDEX('HS Codes'!$D$2:$K2767,MATCH($B213,'HS Codes'!$A$2:$A2767,0),MATCH(L$1,'HS Codes'!$D$1:$K$1,0)),"")</f>
        <v/>
      </c>
      <c r="M213" s="8" t="str">
        <f>_xlfn.IFNA(INDEX('HS Codes'!$C$2:$C2767,MATCH($B213,'HS Codes'!$A$2:$A2767,0)),"")</f>
        <v/>
      </c>
      <c r="N213" s="9"/>
      <c r="O213" s="9"/>
      <c r="P213" s="9"/>
      <c r="Q213" s="9"/>
    </row>
    <row r="214" spans="1:17" ht="15.75" customHeight="1">
      <c r="A214" s="7" t="s">
        <v>501</v>
      </c>
      <c r="B214" s="7" t="s">
        <v>142</v>
      </c>
      <c r="C214" s="7" t="s">
        <v>278</v>
      </c>
      <c r="D214" s="7" t="s">
        <v>143</v>
      </c>
      <c r="E214" s="7" t="s">
        <v>143</v>
      </c>
      <c r="F214" s="8" t="str">
        <f>_xlfn.IFNA(INDEX('HS Codes'!$D$2:$K2768,MATCH($B214,'HS Codes'!$A$2:$A2768,0),MATCH(F$1,'HS Codes'!$D$1:$K$1,0)),"")</f>
        <v>6101.90.90.30</v>
      </c>
      <c r="G214" s="8">
        <f>_xlfn.IFNA(INDEX('HS Codes'!$D$2:$K2768,MATCH($B214,'HS Codes'!$A$2:$A2768,0),MATCH(G$1,'HS Codes'!$D$1:$K$1,0)),"")</f>
        <v>6101309000</v>
      </c>
      <c r="H214" s="8">
        <f>_xlfn.IFNA(INDEX('HS Codes'!$D$2:$K2768,MATCH($B214,'HS Codes'!$A$2:$A2768,0),MATCH(H$1,'HS Codes'!$D$1:$K$1,0)),"")</f>
        <v>6112399000</v>
      </c>
      <c r="I214" s="8" t="str">
        <f>_xlfn.IFNA(INDEX('HS Codes'!$D$2:$K2768,MATCH($B214,'HS Codes'!$A$2:$A2768,0),MATCH(I$1,'HS Codes'!$D$1:$K$1,0)),"")</f>
        <v>6211 4390 00</v>
      </c>
      <c r="J214" s="8">
        <f>_xlfn.IFNA(INDEX('HS Codes'!$D$2:$K2768,MATCH($B214,'HS Codes'!$A$2:$A2768,0),MATCH(J$1,'HS Codes'!$D$1:$K$1,0)),"")</f>
        <v>6117109000</v>
      </c>
      <c r="K214" s="8" t="str">
        <f>_xlfn.IFNA(INDEX('HS Codes'!$D$2:$K2768,MATCH($B214,'HS Codes'!$A$2:$A2768,0),MATCH(K$1,'HS Codes'!$D$1:$K$1,0)),"")</f>
        <v>6112.39.00</v>
      </c>
      <c r="L214" s="8">
        <f>_xlfn.IFNA(INDEX('HS Codes'!$D$2:$K2768,MATCH($B214,'HS Codes'!$A$2:$A2768,0),MATCH(L$1,'HS Codes'!$D$1:$K$1,0)),"")</f>
        <v>6202</v>
      </c>
      <c r="M214" s="8" t="str">
        <f>_xlfn.IFNA(INDEX('HS Codes'!$C$2:$C2768,MATCH($B214,'HS Codes'!$A$2:$A2768,0)),"")</f>
        <v>Beach Robe or Cloak 100% recycled 220 GSM/83% polyester/17% polyamide includes cotton on the packing pouch drawstring</v>
      </c>
      <c r="N214" s="9"/>
      <c r="O214" s="9"/>
      <c r="P214" s="9"/>
      <c r="Q214" s="9"/>
    </row>
    <row r="215" spans="1:17" ht="15.75" customHeight="1">
      <c r="A215" s="7" t="s">
        <v>502</v>
      </c>
      <c r="B215" s="7" t="s">
        <v>148</v>
      </c>
      <c r="C215" s="7" t="s">
        <v>278</v>
      </c>
      <c r="D215" s="7" t="s">
        <v>149</v>
      </c>
      <c r="E215" s="7" t="s">
        <v>149</v>
      </c>
      <c r="F215" s="8" t="str">
        <f>_xlfn.IFNA(INDEX('HS Codes'!$D$2:$K2769,MATCH($B215,'HS Codes'!$A$2:$A2769,0),MATCH(F$1,'HS Codes'!$D$1:$K$1,0)),"")</f>
        <v>6101.90.90.30</v>
      </c>
      <c r="G215" s="8">
        <f>_xlfn.IFNA(INDEX('HS Codes'!$D$2:$K2769,MATCH($B215,'HS Codes'!$A$2:$A2769,0),MATCH(G$1,'HS Codes'!$D$1:$K$1,0)),"")</f>
        <v>6101309000</v>
      </c>
      <c r="H215" s="8">
        <f>_xlfn.IFNA(INDEX('HS Codes'!$D$2:$K2769,MATCH($B215,'HS Codes'!$A$2:$A2769,0),MATCH(H$1,'HS Codes'!$D$1:$K$1,0)),"")</f>
        <v>6112399000</v>
      </c>
      <c r="I215" s="8" t="str">
        <f>_xlfn.IFNA(INDEX('HS Codes'!$D$2:$K2769,MATCH($B215,'HS Codes'!$A$2:$A2769,0),MATCH(I$1,'HS Codes'!$D$1:$K$1,0)),"")</f>
        <v>6211 4390 00</v>
      </c>
      <c r="J215" s="8">
        <f>_xlfn.IFNA(INDEX('HS Codes'!$D$2:$K2769,MATCH($B215,'HS Codes'!$A$2:$A2769,0),MATCH(J$1,'HS Codes'!$D$1:$K$1,0)),"")</f>
        <v>6117109000</v>
      </c>
      <c r="K215" s="8" t="str">
        <f>_xlfn.IFNA(INDEX('HS Codes'!$D$2:$K2769,MATCH($B215,'HS Codes'!$A$2:$A2769,0),MATCH(K$1,'HS Codes'!$D$1:$K$1,0)),"")</f>
        <v>6112.39.00</v>
      </c>
      <c r="L215" s="8">
        <f>_xlfn.IFNA(INDEX('HS Codes'!$D$2:$K2769,MATCH($B215,'HS Codes'!$A$2:$A2769,0),MATCH(L$1,'HS Codes'!$D$1:$K$1,0)),"")</f>
        <v>6202</v>
      </c>
      <c r="M215" s="8" t="str">
        <f>_xlfn.IFNA(INDEX('HS Codes'!$C$2:$C2769,MATCH($B215,'HS Codes'!$A$2:$A2769,0)),"")</f>
        <v>Beach Robe or Cloak 100% recycled 220 GSM/83% polyester/17% polyamide includes cotton on the packing pouch drawstring</v>
      </c>
      <c r="N215" s="9"/>
      <c r="O215" s="9"/>
      <c r="P215" s="9"/>
      <c r="Q215" s="9"/>
    </row>
    <row r="216" spans="1:17" ht="15.75" customHeight="1">
      <c r="A216" s="7" t="s">
        <v>503</v>
      </c>
      <c r="B216" s="7" t="s">
        <v>148</v>
      </c>
      <c r="C216" s="7" t="s">
        <v>278</v>
      </c>
      <c r="D216" s="7" t="s">
        <v>149</v>
      </c>
      <c r="E216" s="7" t="s">
        <v>149</v>
      </c>
      <c r="F216" s="8" t="str">
        <f>_xlfn.IFNA(INDEX('HS Codes'!$D$2:$K2770,MATCH($B216,'HS Codes'!$A$2:$A2770,0),MATCH(F$1,'HS Codes'!$D$1:$K$1,0)),"")</f>
        <v>6101.90.90.30</v>
      </c>
      <c r="G216" s="8">
        <f>_xlfn.IFNA(INDEX('HS Codes'!$D$2:$K2770,MATCH($B216,'HS Codes'!$A$2:$A2770,0),MATCH(G$1,'HS Codes'!$D$1:$K$1,0)),"")</f>
        <v>6101309000</v>
      </c>
      <c r="H216" s="8">
        <f>_xlfn.IFNA(INDEX('HS Codes'!$D$2:$K2770,MATCH($B216,'HS Codes'!$A$2:$A2770,0),MATCH(H$1,'HS Codes'!$D$1:$K$1,0)),"")</f>
        <v>6112399000</v>
      </c>
      <c r="I216" s="8" t="str">
        <f>_xlfn.IFNA(INDEX('HS Codes'!$D$2:$K2770,MATCH($B216,'HS Codes'!$A$2:$A2770,0),MATCH(I$1,'HS Codes'!$D$1:$K$1,0)),"")</f>
        <v>6211 4390 00</v>
      </c>
      <c r="J216" s="8">
        <f>_xlfn.IFNA(INDEX('HS Codes'!$D$2:$K2770,MATCH($B216,'HS Codes'!$A$2:$A2770,0),MATCH(J$1,'HS Codes'!$D$1:$K$1,0)),"")</f>
        <v>6117109000</v>
      </c>
      <c r="K216" s="8" t="str">
        <f>_xlfn.IFNA(INDEX('HS Codes'!$D$2:$K2770,MATCH($B216,'HS Codes'!$A$2:$A2770,0),MATCH(K$1,'HS Codes'!$D$1:$K$1,0)),"")</f>
        <v>6112.39.00</v>
      </c>
      <c r="L216" s="8">
        <f>_xlfn.IFNA(INDEX('HS Codes'!$D$2:$K2770,MATCH($B216,'HS Codes'!$A$2:$A2770,0),MATCH(L$1,'HS Codes'!$D$1:$K$1,0)),"")</f>
        <v>6202</v>
      </c>
      <c r="M216" s="8" t="str">
        <f>_xlfn.IFNA(INDEX('HS Codes'!$C$2:$C2770,MATCH($B216,'HS Codes'!$A$2:$A2770,0)),"")</f>
        <v>Beach Robe or Cloak 100% recycled 220 GSM/83% polyester/17% polyamide includes cotton on the packing pouch drawstring</v>
      </c>
      <c r="N216" s="9"/>
      <c r="O216" s="9"/>
      <c r="P216" s="9"/>
      <c r="Q216" s="9"/>
    </row>
    <row r="217" spans="1:17" ht="15.75" customHeight="1">
      <c r="A217" s="7" t="s">
        <v>504</v>
      </c>
      <c r="B217" s="7" t="s">
        <v>148</v>
      </c>
      <c r="C217" s="7" t="s">
        <v>278</v>
      </c>
      <c r="D217" s="7" t="s">
        <v>149</v>
      </c>
      <c r="E217" s="7" t="s">
        <v>149</v>
      </c>
      <c r="F217" s="8" t="str">
        <f>_xlfn.IFNA(INDEX('HS Codes'!$D$2:$K2771,MATCH($B217,'HS Codes'!$A$2:$A2771,0),MATCH(F$1,'HS Codes'!$D$1:$K$1,0)),"")</f>
        <v>6101.90.90.30</v>
      </c>
      <c r="G217" s="8">
        <f>_xlfn.IFNA(INDEX('HS Codes'!$D$2:$K2771,MATCH($B217,'HS Codes'!$A$2:$A2771,0),MATCH(G$1,'HS Codes'!$D$1:$K$1,0)),"")</f>
        <v>6101309000</v>
      </c>
      <c r="H217" s="8">
        <f>_xlfn.IFNA(INDEX('HS Codes'!$D$2:$K2771,MATCH($B217,'HS Codes'!$A$2:$A2771,0),MATCH(H$1,'HS Codes'!$D$1:$K$1,0)),"")</f>
        <v>6112399000</v>
      </c>
      <c r="I217" s="8" t="str">
        <f>_xlfn.IFNA(INDEX('HS Codes'!$D$2:$K2771,MATCH($B217,'HS Codes'!$A$2:$A2771,0),MATCH(I$1,'HS Codes'!$D$1:$K$1,0)),"")</f>
        <v>6211 4390 00</v>
      </c>
      <c r="J217" s="8">
        <f>_xlfn.IFNA(INDEX('HS Codes'!$D$2:$K2771,MATCH($B217,'HS Codes'!$A$2:$A2771,0),MATCH(J$1,'HS Codes'!$D$1:$K$1,0)),"")</f>
        <v>6117109000</v>
      </c>
      <c r="K217" s="8" t="str">
        <f>_xlfn.IFNA(INDEX('HS Codes'!$D$2:$K2771,MATCH($B217,'HS Codes'!$A$2:$A2771,0),MATCH(K$1,'HS Codes'!$D$1:$K$1,0)),"")</f>
        <v>6112.39.00</v>
      </c>
      <c r="L217" s="8">
        <f>_xlfn.IFNA(INDEX('HS Codes'!$D$2:$K2771,MATCH($B217,'HS Codes'!$A$2:$A2771,0),MATCH(L$1,'HS Codes'!$D$1:$K$1,0)),"")</f>
        <v>6202</v>
      </c>
      <c r="M217" s="8" t="str">
        <f>_xlfn.IFNA(INDEX('HS Codes'!$C$2:$C2771,MATCH($B217,'HS Codes'!$A$2:$A2771,0)),"")</f>
        <v>Beach Robe or Cloak 100% recycled 220 GSM/83% polyester/17% polyamide includes cotton on the packing pouch drawstring</v>
      </c>
      <c r="N217" s="9"/>
      <c r="O217" s="9"/>
      <c r="P217" s="9"/>
      <c r="Q217" s="9"/>
    </row>
    <row r="218" spans="1:17" ht="15.75" customHeight="1">
      <c r="A218" s="7" t="s">
        <v>505</v>
      </c>
      <c r="B218" s="7" t="s">
        <v>148</v>
      </c>
      <c r="C218" s="7" t="s">
        <v>278</v>
      </c>
      <c r="D218" s="7" t="s">
        <v>149</v>
      </c>
      <c r="E218" s="7" t="s">
        <v>149</v>
      </c>
      <c r="F218" s="8" t="str">
        <f>_xlfn.IFNA(INDEX('HS Codes'!$D$2:$K2772,MATCH($B218,'HS Codes'!$A$2:$A2772,0),MATCH(F$1,'HS Codes'!$D$1:$K$1,0)),"")</f>
        <v>6101.90.90.30</v>
      </c>
      <c r="G218" s="8">
        <f>_xlfn.IFNA(INDEX('HS Codes'!$D$2:$K2772,MATCH($B218,'HS Codes'!$A$2:$A2772,0),MATCH(G$1,'HS Codes'!$D$1:$K$1,0)),"")</f>
        <v>6101309000</v>
      </c>
      <c r="H218" s="8">
        <f>_xlfn.IFNA(INDEX('HS Codes'!$D$2:$K2772,MATCH($B218,'HS Codes'!$A$2:$A2772,0),MATCH(H$1,'HS Codes'!$D$1:$K$1,0)),"")</f>
        <v>6112399000</v>
      </c>
      <c r="I218" s="8" t="str">
        <f>_xlfn.IFNA(INDEX('HS Codes'!$D$2:$K2772,MATCH($B218,'HS Codes'!$A$2:$A2772,0),MATCH(I$1,'HS Codes'!$D$1:$K$1,0)),"")</f>
        <v>6211 4390 00</v>
      </c>
      <c r="J218" s="8">
        <f>_xlfn.IFNA(INDEX('HS Codes'!$D$2:$K2772,MATCH($B218,'HS Codes'!$A$2:$A2772,0),MATCH(J$1,'HS Codes'!$D$1:$K$1,0)),"")</f>
        <v>6117109000</v>
      </c>
      <c r="K218" s="8" t="str">
        <f>_xlfn.IFNA(INDEX('HS Codes'!$D$2:$K2772,MATCH($B218,'HS Codes'!$A$2:$A2772,0),MATCH(K$1,'HS Codes'!$D$1:$K$1,0)),"")</f>
        <v>6112.39.00</v>
      </c>
      <c r="L218" s="8">
        <f>_xlfn.IFNA(INDEX('HS Codes'!$D$2:$K2772,MATCH($B218,'HS Codes'!$A$2:$A2772,0),MATCH(L$1,'HS Codes'!$D$1:$K$1,0)),"")</f>
        <v>6202</v>
      </c>
      <c r="M218" s="8" t="str">
        <f>_xlfn.IFNA(INDEX('HS Codes'!$C$2:$C2772,MATCH($B218,'HS Codes'!$A$2:$A2772,0)),"")</f>
        <v>Beach Robe or Cloak 100% recycled 220 GSM/83% polyester/17% polyamide includes cotton on the packing pouch drawstring</v>
      </c>
      <c r="N218" s="9"/>
      <c r="O218" s="9"/>
      <c r="P218" s="9"/>
      <c r="Q218" s="9"/>
    </row>
    <row r="219" spans="1:17" ht="15.75" customHeight="1">
      <c r="A219" s="7" t="s">
        <v>506</v>
      </c>
      <c r="B219" s="7" t="s">
        <v>148</v>
      </c>
      <c r="C219" s="7" t="s">
        <v>278</v>
      </c>
      <c r="D219" s="7" t="s">
        <v>149</v>
      </c>
      <c r="E219" s="7" t="s">
        <v>149</v>
      </c>
      <c r="F219" s="8" t="str">
        <f>_xlfn.IFNA(INDEX('HS Codes'!$D$2:$K2773,MATCH($B219,'HS Codes'!$A$2:$A2773,0),MATCH(F$1,'HS Codes'!$D$1:$K$1,0)),"")</f>
        <v>6101.90.90.30</v>
      </c>
      <c r="G219" s="8">
        <f>_xlfn.IFNA(INDEX('HS Codes'!$D$2:$K2773,MATCH($B219,'HS Codes'!$A$2:$A2773,0),MATCH(G$1,'HS Codes'!$D$1:$K$1,0)),"")</f>
        <v>6101309000</v>
      </c>
      <c r="H219" s="8">
        <f>_xlfn.IFNA(INDEX('HS Codes'!$D$2:$K2773,MATCH($B219,'HS Codes'!$A$2:$A2773,0),MATCH(H$1,'HS Codes'!$D$1:$K$1,0)),"")</f>
        <v>6112399000</v>
      </c>
      <c r="I219" s="8" t="str">
        <f>_xlfn.IFNA(INDEX('HS Codes'!$D$2:$K2773,MATCH($B219,'HS Codes'!$A$2:$A2773,0),MATCH(I$1,'HS Codes'!$D$1:$K$1,0)),"")</f>
        <v>6211 4390 00</v>
      </c>
      <c r="J219" s="8">
        <f>_xlfn.IFNA(INDEX('HS Codes'!$D$2:$K2773,MATCH($B219,'HS Codes'!$A$2:$A2773,0),MATCH(J$1,'HS Codes'!$D$1:$K$1,0)),"")</f>
        <v>6117109000</v>
      </c>
      <c r="K219" s="8" t="str">
        <f>_xlfn.IFNA(INDEX('HS Codes'!$D$2:$K2773,MATCH($B219,'HS Codes'!$A$2:$A2773,0),MATCH(K$1,'HS Codes'!$D$1:$K$1,0)),"")</f>
        <v>6112.39.00</v>
      </c>
      <c r="L219" s="8">
        <f>_xlfn.IFNA(INDEX('HS Codes'!$D$2:$K2773,MATCH($B219,'HS Codes'!$A$2:$A2773,0),MATCH(L$1,'HS Codes'!$D$1:$K$1,0)),"")</f>
        <v>6202</v>
      </c>
      <c r="M219" s="8" t="str">
        <f>_xlfn.IFNA(INDEX('HS Codes'!$C$2:$C2773,MATCH($B219,'HS Codes'!$A$2:$A2773,0)),"")</f>
        <v>Beach Robe or Cloak 100% recycled 220 GSM/83% polyester/17% polyamide includes cotton on the packing pouch drawstring</v>
      </c>
      <c r="N219" s="9"/>
      <c r="O219" s="9"/>
      <c r="P219" s="9"/>
      <c r="Q219" s="9"/>
    </row>
    <row r="220" spans="1:17" ht="15.75" customHeight="1">
      <c r="A220" s="7" t="s">
        <v>507</v>
      </c>
      <c r="B220" s="7" t="s">
        <v>148</v>
      </c>
      <c r="C220" s="7" t="s">
        <v>278</v>
      </c>
      <c r="D220" s="7" t="s">
        <v>149</v>
      </c>
      <c r="E220" s="7" t="s">
        <v>149</v>
      </c>
      <c r="F220" s="8" t="str">
        <f>_xlfn.IFNA(INDEX('HS Codes'!$D$2:$K2774,MATCH($B220,'HS Codes'!$A$2:$A2774,0),MATCH(F$1,'HS Codes'!$D$1:$K$1,0)),"")</f>
        <v>6101.90.90.30</v>
      </c>
      <c r="G220" s="8">
        <f>_xlfn.IFNA(INDEX('HS Codes'!$D$2:$K2774,MATCH($B220,'HS Codes'!$A$2:$A2774,0),MATCH(G$1,'HS Codes'!$D$1:$K$1,0)),"")</f>
        <v>6101309000</v>
      </c>
      <c r="H220" s="8">
        <f>_xlfn.IFNA(INDEX('HS Codes'!$D$2:$K2774,MATCH($B220,'HS Codes'!$A$2:$A2774,0),MATCH(H$1,'HS Codes'!$D$1:$K$1,0)),"")</f>
        <v>6112399000</v>
      </c>
      <c r="I220" s="8" t="str">
        <f>_xlfn.IFNA(INDEX('HS Codes'!$D$2:$K2774,MATCH($B220,'HS Codes'!$A$2:$A2774,0),MATCH(I$1,'HS Codes'!$D$1:$K$1,0)),"")</f>
        <v>6211 4390 00</v>
      </c>
      <c r="J220" s="8">
        <f>_xlfn.IFNA(INDEX('HS Codes'!$D$2:$K2774,MATCH($B220,'HS Codes'!$A$2:$A2774,0),MATCH(J$1,'HS Codes'!$D$1:$K$1,0)),"")</f>
        <v>6117109000</v>
      </c>
      <c r="K220" s="8" t="str">
        <f>_xlfn.IFNA(INDEX('HS Codes'!$D$2:$K2774,MATCH($B220,'HS Codes'!$A$2:$A2774,0),MATCH(K$1,'HS Codes'!$D$1:$K$1,0)),"")</f>
        <v>6112.39.00</v>
      </c>
      <c r="L220" s="8">
        <f>_xlfn.IFNA(INDEX('HS Codes'!$D$2:$K2774,MATCH($B220,'HS Codes'!$A$2:$A2774,0),MATCH(L$1,'HS Codes'!$D$1:$K$1,0)),"")</f>
        <v>6202</v>
      </c>
      <c r="M220" s="8" t="str">
        <f>_xlfn.IFNA(INDEX('HS Codes'!$C$2:$C2774,MATCH($B220,'HS Codes'!$A$2:$A2774,0)),"")</f>
        <v>Beach Robe or Cloak 100% recycled 220 GSM/83% polyester/17% polyamide includes cotton on the packing pouch drawstring</v>
      </c>
      <c r="N220" s="9"/>
      <c r="O220" s="9"/>
      <c r="P220" s="9"/>
      <c r="Q220" s="9"/>
    </row>
    <row r="221" spans="1:17" ht="15.75" customHeight="1">
      <c r="A221" s="7" t="s">
        <v>508</v>
      </c>
      <c r="B221" s="7" t="s">
        <v>148</v>
      </c>
      <c r="C221" s="7" t="s">
        <v>278</v>
      </c>
      <c r="D221" s="7" t="s">
        <v>149</v>
      </c>
      <c r="E221" s="7" t="s">
        <v>149</v>
      </c>
      <c r="F221" s="8" t="str">
        <f>_xlfn.IFNA(INDEX('HS Codes'!$D$2:$K2775,MATCH($B221,'HS Codes'!$A$2:$A2775,0),MATCH(F$1,'HS Codes'!$D$1:$K$1,0)),"")</f>
        <v>6101.90.90.30</v>
      </c>
      <c r="G221" s="8">
        <f>_xlfn.IFNA(INDEX('HS Codes'!$D$2:$K2775,MATCH($B221,'HS Codes'!$A$2:$A2775,0),MATCH(G$1,'HS Codes'!$D$1:$K$1,0)),"")</f>
        <v>6101309000</v>
      </c>
      <c r="H221" s="8">
        <f>_xlfn.IFNA(INDEX('HS Codes'!$D$2:$K2775,MATCH($B221,'HS Codes'!$A$2:$A2775,0),MATCH(H$1,'HS Codes'!$D$1:$K$1,0)),"")</f>
        <v>6112399000</v>
      </c>
      <c r="I221" s="8" t="str">
        <f>_xlfn.IFNA(INDEX('HS Codes'!$D$2:$K2775,MATCH($B221,'HS Codes'!$A$2:$A2775,0),MATCH(I$1,'HS Codes'!$D$1:$K$1,0)),"")</f>
        <v>6211 4390 00</v>
      </c>
      <c r="J221" s="8">
        <f>_xlfn.IFNA(INDEX('HS Codes'!$D$2:$K2775,MATCH($B221,'HS Codes'!$A$2:$A2775,0),MATCH(J$1,'HS Codes'!$D$1:$K$1,0)),"")</f>
        <v>6117109000</v>
      </c>
      <c r="K221" s="8" t="str">
        <f>_xlfn.IFNA(INDEX('HS Codes'!$D$2:$K2775,MATCH($B221,'HS Codes'!$A$2:$A2775,0),MATCH(K$1,'HS Codes'!$D$1:$K$1,0)),"")</f>
        <v>6112.39.00</v>
      </c>
      <c r="L221" s="8">
        <f>_xlfn.IFNA(INDEX('HS Codes'!$D$2:$K2775,MATCH($B221,'HS Codes'!$A$2:$A2775,0),MATCH(L$1,'HS Codes'!$D$1:$K$1,0)),"")</f>
        <v>6202</v>
      </c>
      <c r="M221" s="8" t="str">
        <f>_xlfn.IFNA(INDEX('HS Codes'!$C$2:$C2775,MATCH($B221,'HS Codes'!$A$2:$A2775,0)),"")</f>
        <v>Beach Robe or Cloak 100% recycled 220 GSM/83% polyester/17% polyamide includes cotton on the packing pouch drawstring</v>
      </c>
      <c r="N221" s="9"/>
      <c r="O221" s="9"/>
      <c r="P221" s="9"/>
      <c r="Q221" s="9"/>
    </row>
    <row r="222" spans="1:17" ht="15.75" customHeight="1">
      <c r="A222" s="7" t="s">
        <v>509</v>
      </c>
      <c r="B222" s="7" t="s">
        <v>148</v>
      </c>
      <c r="C222" s="7" t="s">
        <v>278</v>
      </c>
      <c r="D222" s="7" t="s">
        <v>149</v>
      </c>
      <c r="E222" s="7" t="s">
        <v>149</v>
      </c>
      <c r="F222" s="8" t="str">
        <f>_xlfn.IFNA(INDEX('HS Codes'!$D$2:$K2776,MATCH($B222,'HS Codes'!$A$2:$A2776,0),MATCH(F$1,'HS Codes'!$D$1:$K$1,0)),"")</f>
        <v>6101.90.90.30</v>
      </c>
      <c r="G222" s="8">
        <f>_xlfn.IFNA(INDEX('HS Codes'!$D$2:$K2776,MATCH($B222,'HS Codes'!$A$2:$A2776,0),MATCH(G$1,'HS Codes'!$D$1:$K$1,0)),"")</f>
        <v>6101309000</v>
      </c>
      <c r="H222" s="8">
        <f>_xlfn.IFNA(INDEX('HS Codes'!$D$2:$K2776,MATCH($B222,'HS Codes'!$A$2:$A2776,0),MATCH(H$1,'HS Codes'!$D$1:$K$1,0)),"")</f>
        <v>6112399000</v>
      </c>
      <c r="I222" s="8" t="str">
        <f>_xlfn.IFNA(INDEX('HS Codes'!$D$2:$K2776,MATCH($B222,'HS Codes'!$A$2:$A2776,0),MATCH(I$1,'HS Codes'!$D$1:$K$1,0)),"")</f>
        <v>6211 4390 00</v>
      </c>
      <c r="J222" s="8">
        <f>_xlfn.IFNA(INDEX('HS Codes'!$D$2:$K2776,MATCH($B222,'HS Codes'!$A$2:$A2776,0),MATCH(J$1,'HS Codes'!$D$1:$K$1,0)),"")</f>
        <v>6117109000</v>
      </c>
      <c r="K222" s="8" t="str">
        <f>_xlfn.IFNA(INDEX('HS Codes'!$D$2:$K2776,MATCH($B222,'HS Codes'!$A$2:$A2776,0),MATCH(K$1,'HS Codes'!$D$1:$K$1,0)),"")</f>
        <v>6112.39.00</v>
      </c>
      <c r="L222" s="8">
        <f>_xlfn.IFNA(INDEX('HS Codes'!$D$2:$K2776,MATCH($B222,'HS Codes'!$A$2:$A2776,0),MATCH(L$1,'HS Codes'!$D$1:$K$1,0)),"")</f>
        <v>6202</v>
      </c>
      <c r="M222" s="8" t="str">
        <f>_xlfn.IFNA(INDEX('HS Codes'!$C$2:$C2776,MATCH($B222,'HS Codes'!$A$2:$A2776,0)),"")</f>
        <v>Beach Robe or Cloak 100% recycled 220 GSM/83% polyester/17% polyamide includes cotton on the packing pouch drawstring</v>
      </c>
      <c r="N222" s="9"/>
      <c r="O222" s="9"/>
      <c r="P222" s="9"/>
      <c r="Q222" s="9"/>
    </row>
    <row r="223" spans="1:17" ht="15.75" customHeight="1">
      <c r="A223" s="7" t="s">
        <v>510</v>
      </c>
      <c r="B223" s="7" t="s">
        <v>148</v>
      </c>
      <c r="C223" s="7" t="s">
        <v>278</v>
      </c>
      <c r="D223" s="7" t="s">
        <v>149</v>
      </c>
      <c r="E223" s="7" t="s">
        <v>149</v>
      </c>
      <c r="F223" s="8" t="str">
        <f>_xlfn.IFNA(INDEX('HS Codes'!$D$2:$K2777,MATCH($B223,'HS Codes'!$A$2:$A2777,0),MATCH(F$1,'HS Codes'!$D$1:$K$1,0)),"")</f>
        <v>6101.90.90.30</v>
      </c>
      <c r="G223" s="8">
        <f>_xlfn.IFNA(INDEX('HS Codes'!$D$2:$K2777,MATCH($B223,'HS Codes'!$A$2:$A2777,0),MATCH(G$1,'HS Codes'!$D$1:$K$1,0)),"")</f>
        <v>6101309000</v>
      </c>
      <c r="H223" s="8">
        <f>_xlfn.IFNA(INDEX('HS Codes'!$D$2:$K2777,MATCH($B223,'HS Codes'!$A$2:$A2777,0),MATCH(H$1,'HS Codes'!$D$1:$K$1,0)),"")</f>
        <v>6112399000</v>
      </c>
      <c r="I223" s="8" t="str">
        <f>_xlfn.IFNA(INDEX('HS Codes'!$D$2:$K2777,MATCH($B223,'HS Codes'!$A$2:$A2777,0),MATCH(I$1,'HS Codes'!$D$1:$K$1,0)),"")</f>
        <v>6211 4390 00</v>
      </c>
      <c r="J223" s="8">
        <f>_xlfn.IFNA(INDEX('HS Codes'!$D$2:$K2777,MATCH($B223,'HS Codes'!$A$2:$A2777,0),MATCH(J$1,'HS Codes'!$D$1:$K$1,0)),"")</f>
        <v>6117109000</v>
      </c>
      <c r="K223" s="8" t="str">
        <f>_xlfn.IFNA(INDEX('HS Codes'!$D$2:$K2777,MATCH($B223,'HS Codes'!$A$2:$A2777,0),MATCH(K$1,'HS Codes'!$D$1:$K$1,0)),"")</f>
        <v>6112.39.00</v>
      </c>
      <c r="L223" s="8">
        <f>_xlfn.IFNA(INDEX('HS Codes'!$D$2:$K2777,MATCH($B223,'HS Codes'!$A$2:$A2777,0),MATCH(L$1,'HS Codes'!$D$1:$K$1,0)),"")</f>
        <v>6202</v>
      </c>
      <c r="M223" s="8" t="str">
        <f>_xlfn.IFNA(INDEX('HS Codes'!$C$2:$C2777,MATCH($B223,'HS Codes'!$A$2:$A2777,0)),"")</f>
        <v>Beach Robe or Cloak 100% recycled 220 GSM/83% polyester/17% polyamide includes cotton on the packing pouch drawstring</v>
      </c>
      <c r="N223" s="9"/>
      <c r="O223" s="9"/>
      <c r="P223" s="9"/>
      <c r="Q223" s="9"/>
    </row>
    <row r="224" spans="1:17" ht="15.75" customHeight="1">
      <c r="A224" s="7" t="s">
        <v>511</v>
      </c>
      <c r="B224" s="7" t="s">
        <v>148</v>
      </c>
      <c r="C224" s="7" t="s">
        <v>278</v>
      </c>
      <c r="D224" s="7" t="s">
        <v>149</v>
      </c>
      <c r="E224" s="7" t="s">
        <v>149</v>
      </c>
      <c r="F224" s="8" t="str">
        <f>_xlfn.IFNA(INDEX('HS Codes'!$D$2:$K2778,MATCH($B224,'HS Codes'!$A$2:$A2778,0),MATCH(F$1,'HS Codes'!$D$1:$K$1,0)),"")</f>
        <v>6101.90.90.30</v>
      </c>
      <c r="G224" s="8">
        <f>_xlfn.IFNA(INDEX('HS Codes'!$D$2:$K2778,MATCH($B224,'HS Codes'!$A$2:$A2778,0),MATCH(G$1,'HS Codes'!$D$1:$K$1,0)),"")</f>
        <v>6101309000</v>
      </c>
      <c r="H224" s="8">
        <f>_xlfn.IFNA(INDEX('HS Codes'!$D$2:$K2778,MATCH($B224,'HS Codes'!$A$2:$A2778,0),MATCH(H$1,'HS Codes'!$D$1:$K$1,0)),"")</f>
        <v>6112399000</v>
      </c>
      <c r="I224" s="8" t="str">
        <f>_xlfn.IFNA(INDEX('HS Codes'!$D$2:$K2778,MATCH($B224,'HS Codes'!$A$2:$A2778,0),MATCH(I$1,'HS Codes'!$D$1:$K$1,0)),"")</f>
        <v>6211 4390 00</v>
      </c>
      <c r="J224" s="8">
        <f>_xlfn.IFNA(INDEX('HS Codes'!$D$2:$K2778,MATCH($B224,'HS Codes'!$A$2:$A2778,0),MATCH(J$1,'HS Codes'!$D$1:$K$1,0)),"")</f>
        <v>6117109000</v>
      </c>
      <c r="K224" s="8" t="str">
        <f>_xlfn.IFNA(INDEX('HS Codes'!$D$2:$K2778,MATCH($B224,'HS Codes'!$A$2:$A2778,0),MATCH(K$1,'HS Codes'!$D$1:$K$1,0)),"")</f>
        <v>6112.39.00</v>
      </c>
      <c r="L224" s="8">
        <f>_xlfn.IFNA(INDEX('HS Codes'!$D$2:$K2778,MATCH($B224,'HS Codes'!$A$2:$A2778,0),MATCH(L$1,'HS Codes'!$D$1:$K$1,0)),"")</f>
        <v>6202</v>
      </c>
      <c r="M224" s="8" t="str">
        <f>_xlfn.IFNA(INDEX('HS Codes'!$C$2:$C2778,MATCH($B224,'HS Codes'!$A$2:$A2778,0)),"")</f>
        <v>Beach Robe or Cloak 100% recycled 220 GSM/83% polyester/17% polyamide includes cotton on the packing pouch drawstring</v>
      </c>
      <c r="N224" s="9"/>
      <c r="O224" s="9"/>
      <c r="P224" s="9"/>
      <c r="Q224" s="9"/>
    </row>
    <row r="225" spans="1:17" ht="15.75" customHeight="1">
      <c r="A225" s="7" t="s">
        <v>512</v>
      </c>
      <c r="B225" s="7" t="s">
        <v>148</v>
      </c>
      <c r="C225" s="7" t="s">
        <v>278</v>
      </c>
      <c r="D225" s="7" t="s">
        <v>149</v>
      </c>
      <c r="E225" s="7" t="s">
        <v>149</v>
      </c>
      <c r="F225" s="8" t="str">
        <f>_xlfn.IFNA(INDEX('HS Codes'!$D$2:$K2779,MATCH($B225,'HS Codes'!$A$2:$A2779,0),MATCH(F$1,'HS Codes'!$D$1:$K$1,0)),"")</f>
        <v>6101.90.90.30</v>
      </c>
      <c r="G225" s="8">
        <f>_xlfn.IFNA(INDEX('HS Codes'!$D$2:$K2779,MATCH($B225,'HS Codes'!$A$2:$A2779,0),MATCH(G$1,'HS Codes'!$D$1:$K$1,0)),"")</f>
        <v>6101309000</v>
      </c>
      <c r="H225" s="8">
        <f>_xlfn.IFNA(INDEX('HS Codes'!$D$2:$K2779,MATCH($B225,'HS Codes'!$A$2:$A2779,0),MATCH(H$1,'HS Codes'!$D$1:$K$1,0)),"")</f>
        <v>6112399000</v>
      </c>
      <c r="I225" s="8" t="str">
        <f>_xlfn.IFNA(INDEX('HS Codes'!$D$2:$K2779,MATCH($B225,'HS Codes'!$A$2:$A2779,0),MATCH(I$1,'HS Codes'!$D$1:$K$1,0)),"")</f>
        <v>6211 4390 00</v>
      </c>
      <c r="J225" s="8">
        <f>_xlfn.IFNA(INDEX('HS Codes'!$D$2:$K2779,MATCH($B225,'HS Codes'!$A$2:$A2779,0),MATCH(J$1,'HS Codes'!$D$1:$K$1,0)),"")</f>
        <v>6117109000</v>
      </c>
      <c r="K225" s="8" t="str">
        <f>_xlfn.IFNA(INDEX('HS Codes'!$D$2:$K2779,MATCH($B225,'HS Codes'!$A$2:$A2779,0),MATCH(K$1,'HS Codes'!$D$1:$K$1,0)),"")</f>
        <v>6112.39.00</v>
      </c>
      <c r="L225" s="8">
        <f>_xlfn.IFNA(INDEX('HS Codes'!$D$2:$K2779,MATCH($B225,'HS Codes'!$A$2:$A2779,0),MATCH(L$1,'HS Codes'!$D$1:$K$1,0)),"")</f>
        <v>6202</v>
      </c>
      <c r="M225" s="8" t="str">
        <f>_xlfn.IFNA(INDEX('HS Codes'!$C$2:$C2779,MATCH($B225,'HS Codes'!$A$2:$A2779,0)),"")</f>
        <v>Beach Robe or Cloak 100% recycled 220 GSM/83% polyester/17% polyamide includes cotton on the packing pouch drawstring</v>
      </c>
      <c r="N225" s="9"/>
      <c r="O225" s="9"/>
      <c r="P225" s="9"/>
      <c r="Q225" s="9"/>
    </row>
    <row r="226" spans="1:17" ht="15.75" customHeight="1">
      <c r="A226" s="7" t="s">
        <v>513</v>
      </c>
      <c r="B226" s="7" t="s">
        <v>148</v>
      </c>
      <c r="C226" s="7" t="s">
        <v>278</v>
      </c>
      <c r="D226" s="7" t="s">
        <v>149</v>
      </c>
      <c r="E226" s="7" t="s">
        <v>149</v>
      </c>
      <c r="F226" s="8" t="str">
        <f>_xlfn.IFNA(INDEX('HS Codes'!$D$2:$K2780,MATCH($B226,'HS Codes'!$A$2:$A2780,0),MATCH(F$1,'HS Codes'!$D$1:$K$1,0)),"")</f>
        <v>6101.90.90.30</v>
      </c>
      <c r="G226" s="8">
        <f>_xlfn.IFNA(INDEX('HS Codes'!$D$2:$K2780,MATCH($B226,'HS Codes'!$A$2:$A2780,0),MATCH(G$1,'HS Codes'!$D$1:$K$1,0)),"")</f>
        <v>6101309000</v>
      </c>
      <c r="H226" s="8">
        <f>_xlfn.IFNA(INDEX('HS Codes'!$D$2:$K2780,MATCH($B226,'HS Codes'!$A$2:$A2780,0),MATCH(H$1,'HS Codes'!$D$1:$K$1,0)),"")</f>
        <v>6112399000</v>
      </c>
      <c r="I226" s="8" t="str">
        <f>_xlfn.IFNA(INDEX('HS Codes'!$D$2:$K2780,MATCH($B226,'HS Codes'!$A$2:$A2780,0),MATCH(I$1,'HS Codes'!$D$1:$K$1,0)),"")</f>
        <v>6211 4390 00</v>
      </c>
      <c r="J226" s="8">
        <f>_xlfn.IFNA(INDEX('HS Codes'!$D$2:$K2780,MATCH($B226,'HS Codes'!$A$2:$A2780,0),MATCH(J$1,'HS Codes'!$D$1:$K$1,0)),"")</f>
        <v>6117109000</v>
      </c>
      <c r="K226" s="8" t="str">
        <f>_xlfn.IFNA(INDEX('HS Codes'!$D$2:$K2780,MATCH($B226,'HS Codes'!$A$2:$A2780,0),MATCH(K$1,'HS Codes'!$D$1:$K$1,0)),"")</f>
        <v>6112.39.00</v>
      </c>
      <c r="L226" s="8">
        <f>_xlfn.IFNA(INDEX('HS Codes'!$D$2:$K2780,MATCH($B226,'HS Codes'!$A$2:$A2780,0),MATCH(L$1,'HS Codes'!$D$1:$K$1,0)),"")</f>
        <v>6202</v>
      </c>
      <c r="M226" s="8" t="str">
        <f>_xlfn.IFNA(INDEX('HS Codes'!$C$2:$C2780,MATCH($B226,'HS Codes'!$A$2:$A2780,0)),"")</f>
        <v>Beach Robe or Cloak 100% recycled 220 GSM/83% polyester/17% polyamide includes cotton on the packing pouch drawstring</v>
      </c>
      <c r="N226" s="9"/>
      <c r="O226" s="9"/>
      <c r="P226" s="9"/>
      <c r="Q226" s="9"/>
    </row>
    <row r="227" spans="1:17" ht="15.75" customHeight="1">
      <c r="A227" s="7" t="s">
        <v>514</v>
      </c>
      <c r="B227" s="7" t="s">
        <v>148</v>
      </c>
      <c r="C227" s="7" t="s">
        <v>278</v>
      </c>
      <c r="D227" s="7" t="s">
        <v>149</v>
      </c>
      <c r="E227" s="7" t="s">
        <v>149</v>
      </c>
      <c r="F227" s="8" t="str">
        <f>_xlfn.IFNA(INDEX('HS Codes'!$D$2:$K2781,MATCH($B227,'HS Codes'!$A$2:$A2781,0),MATCH(F$1,'HS Codes'!$D$1:$K$1,0)),"")</f>
        <v>6101.90.90.30</v>
      </c>
      <c r="G227" s="8">
        <f>_xlfn.IFNA(INDEX('HS Codes'!$D$2:$K2781,MATCH($B227,'HS Codes'!$A$2:$A2781,0),MATCH(G$1,'HS Codes'!$D$1:$K$1,0)),"")</f>
        <v>6101309000</v>
      </c>
      <c r="H227" s="8">
        <f>_xlfn.IFNA(INDEX('HS Codes'!$D$2:$K2781,MATCH($B227,'HS Codes'!$A$2:$A2781,0),MATCH(H$1,'HS Codes'!$D$1:$K$1,0)),"")</f>
        <v>6112399000</v>
      </c>
      <c r="I227" s="8" t="str">
        <f>_xlfn.IFNA(INDEX('HS Codes'!$D$2:$K2781,MATCH($B227,'HS Codes'!$A$2:$A2781,0),MATCH(I$1,'HS Codes'!$D$1:$K$1,0)),"")</f>
        <v>6211 4390 00</v>
      </c>
      <c r="J227" s="8">
        <f>_xlfn.IFNA(INDEX('HS Codes'!$D$2:$K2781,MATCH($B227,'HS Codes'!$A$2:$A2781,0),MATCH(J$1,'HS Codes'!$D$1:$K$1,0)),"")</f>
        <v>6117109000</v>
      </c>
      <c r="K227" s="8" t="str">
        <f>_xlfn.IFNA(INDEX('HS Codes'!$D$2:$K2781,MATCH($B227,'HS Codes'!$A$2:$A2781,0),MATCH(K$1,'HS Codes'!$D$1:$K$1,0)),"")</f>
        <v>6112.39.00</v>
      </c>
      <c r="L227" s="8">
        <f>_xlfn.IFNA(INDEX('HS Codes'!$D$2:$K2781,MATCH($B227,'HS Codes'!$A$2:$A2781,0),MATCH(L$1,'HS Codes'!$D$1:$K$1,0)),"")</f>
        <v>6202</v>
      </c>
      <c r="M227" s="8" t="str">
        <f>_xlfn.IFNA(INDEX('HS Codes'!$C$2:$C2781,MATCH($B227,'HS Codes'!$A$2:$A2781,0)),"")</f>
        <v>Beach Robe or Cloak 100% recycled 220 GSM/83% polyester/17% polyamide includes cotton on the packing pouch drawstring</v>
      </c>
      <c r="N227" s="9"/>
      <c r="O227" s="9"/>
      <c r="P227" s="9"/>
      <c r="Q227" s="9"/>
    </row>
    <row r="228" spans="1:17" ht="15.75" customHeight="1">
      <c r="A228" s="7" t="s">
        <v>515</v>
      </c>
      <c r="B228" s="7" t="s">
        <v>148</v>
      </c>
      <c r="C228" s="7" t="s">
        <v>278</v>
      </c>
      <c r="D228" s="7" t="s">
        <v>149</v>
      </c>
      <c r="E228" s="7" t="s">
        <v>149</v>
      </c>
      <c r="F228" s="8" t="str">
        <f>_xlfn.IFNA(INDEX('HS Codes'!$D$2:$K2782,MATCH($B228,'HS Codes'!$A$2:$A2782,0),MATCH(F$1,'HS Codes'!$D$1:$K$1,0)),"")</f>
        <v>6101.90.90.30</v>
      </c>
      <c r="G228" s="8">
        <f>_xlfn.IFNA(INDEX('HS Codes'!$D$2:$K2782,MATCH($B228,'HS Codes'!$A$2:$A2782,0),MATCH(G$1,'HS Codes'!$D$1:$K$1,0)),"")</f>
        <v>6101309000</v>
      </c>
      <c r="H228" s="8">
        <f>_xlfn.IFNA(INDEX('HS Codes'!$D$2:$K2782,MATCH($B228,'HS Codes'!$A$2:$A2782,0),MATCH(H$1,'HS Codes'!$D$1:$K$1,0)),"")</f>
        <v>6112399000</v>
      </c>
      <c r="I228" s="8" t="str">
        <f>_xlfn.IFNA(INDEX('HS Codes'!$D$2:$K2782,MATCH($B228,'HS Codes'!$A$2:$A2782,0),MATCH(I$1,'HS Codes'!$D$1:$K$1,0)),"")</f>
        <v>6211 4390 00</v>
      </c>
      <c r="J228" s="8">
        <f>_xlfn.IFNA(INDEX('HS Codes'!$D$2:$K2782,MATCH($B228,'HS Codes'!$A$2:$A2782,0),MATCH(J$1,'HS Codes'!$D$1:$K$1,0)),"")</f>
        <v>6117109000</v>
      </c>
      <c r="K228" s="8" t="str">
        <f>_xlfn.IFNA(INDEX('HS Codes'!$D$2:$K2782,MATCH($B228,'HS Codes'!$A$2:$A2782,0),MATCH(K$1,'HS Codes'!$D$1:$K$1,0)),"")</f>
        <v>6112.39.00</v>
      </c>
      <c r="L228" s="8">
        <f>_xlfn.IFNA(INDEX('HS Codes'!$D$2:$K2782,MATCH($B228,'HS Codes'!$A$2:$A2782,0),MATCH(L$1,'HS Codes'!$D$1:$K$1,0)),"")</f>
        <v>6202</v>
      </c>
      <c r="M228" s="8" t="str">
        <f>_xlfn.IFNA(INDEX('HS Codes'!$C$2:$C2782,MATCH($B228,'HS Codes'!$A$2:$A2782,0)),"")</f>
        <v>Beach Robe or Cloak 100% recycled 220 GSM/83% polyester/17% polyamide includes cotton on the packing pouch drawstring</v>
      </c>
      <c r="N228" s="9"/>
      <c r="O228" s="9"/>
      <c r="P228" s="9"/>
      <c r="Q228" s="9"/>
    </row>
    <row r="229" spans="1:17" ht="15.75" customHeight="1">
      <c r="A229" s="7" t="s">
        <v>516</v>
      </c>
      <c r="B229" s="7" t="s">
        <v>148</v>
      </c>
      <c r="C229" s="7" t="s">
        <v>278</v>
      </c>
      <c r="D229" s="7" t="s">
        <v>149</v>
      </c>
      <c r="E229" s="7" t="s">
        <v>149</v>
      </c>
      <c r="F229" s="8" t="str">
        <f>_xlfn.IFNA(INDEX('HS Codes'!$D$2:$K2783,MATCH($B229,'HS Codes'!$A$2:$A2783,0),MATCH(F$1,'HS Codes'!$D$1:$K$1,0)),"")</f>
        <v>6101.90.90.30</v>
      </c>
      <c r="G229" s="8">
        <f>_xlfn.IFNA(INDEX('HS Codes'!$D$2:$K2783,MATCH($B229,'HS Codes'!$A$2:$A2783,0),MATCH(G$1,'HS Codes'!$D$1:$K$1,0)),"")</f>
        <v>6101309000</v>
      </c>
      <c r="H229" s="8">
        <f>_xlfn.IFNA(INDEX('HS Codes'!$D$2:$K2783,MATCH($B229,'HS Codes'!$A$2:$A2783,0),MATCH(H$1,'HS Codes'!$D$1:$K$1,0)),"")</f>
        <v>6112399000</v>
      </c>
      <c r="I229" s="8" t="str">
        <f>_xlfn.IFNA(INDEX('HS Codes'!$D$2:$K2783,MATCH($B229,'HS Codes'!$A$2:$A2783,0),MATCH(I$1,'HS Codes'!$D$1:$K$1,0)),"")</f>
        <v>6211 4390 00</v>
      </c>
      <c r="J229" s="8">
        <f>_xlfn.IFNA(INDEX('HS Codes'!$D$2:$K2783,MATCH($B229,'HS Codes'!$A$2:$A2783,0),MATCH(J$1,'HS Codes'!$D$1:$K$1,0)),"")</f>
        <v>6117109000</v>
      </c>
      <c r="K229" s="8" t="str">
        <f>_xlfn.IFNA(INDEX('HS Codes'!$D$2:$K2783,MATCH($B229,'HS Codes'!$A$2:$A2783,0),MATCH(K$1,'HS Codes'!$D$1:$K$1,0)),"")</f>
        <v>6112.39.00</v>
      </c>
      <c r="L229" s="8">
        <f>_xlfn.IFNA(INDEX('HS Codes'!$D$2:$K2783,MATCH($B229,'HS Codes'!$A$2:$A2783,0),MATCH(L$1,'HS Codes'!$D$1:$K$1,0)),"")</f>
        <v>6202</v>
      </c>
      <c r="M229" s="8" t="str">
        <f>_xlfn.IFNA(INDEX('HS Codes'!$C$2:$C2783,MATCH($B229,'HS Codes'!$A$2:$A2783,0)),"")</f>
        <v>Beach Robe or Cloak 100% recycled 220 GSM/83% polyester/17% polyamide includes cotton on the packing pouch drawstring</v>
      </c>
      <c r="N229" s="9"/>
      <c r="O229" s="9"/>
      <c r="P229" s="9"/>
      <c r="Q229" s="9"/>
    </row>
    <row r="230" spans="1:17" ht="15.75" customHeight="1">
      <c r="A230" s="7" t="s">
        <v>517</v>
      </c>
      <c r="B230" s="7" t="s">
        <v>148</v>
      </c>
      <c r="C230" s="7" t="s">
        <v>278</v>
      </c>
      <c r="D230" s="7" t="s">
        <v>149</v>
      </c>
      <c r="E230" s="7" t="s">
        <v>149</v>
      </c>
      <c r="F230" s="8" t="str">
        <f>_xlfn.IFNA(INDEX('HS Codes'!$D$2:$K2784,MATCH($B230,'HS Codes'!$A$2:$A2784,0),MATCH(F$1,'HS Codes'!$D$1:$K$1,0)),"")</f>
        <v>6101.90.90.30</v>
      </c>
      <c r="G230" s="8">
        <f>_xlfn.IFNA(INDEX('HS Codes'!$D$2:$K2784,MATCH($B230,'HS Codes'!$A$2:$A2784,0),MATCH(G$1,'HS Codes'!$D$1:$K$1,0)),"")</f>
        <v>6101309000</v>
      </c>
      <c r="H230" s="8">
        <f>_xlfn.IFNA(INDEX('HS Codes'!$D$2:$K2784,MATCH($B230,'HS Codes'!$A$2:$A2784,0),MATCH(H$1,'HS Codes'!$D$1:$K$1,0)),"")</f>
        <v>6112399000</v>
      </c>
      <c r="I230" s="8" t="str">
        <f>_xlfn.IFNA(INDEX('HS Codes'!$D$2:$K2784,MATCH($B230,'HS Codes'!$A$2:$A2784,0),MATCH(I$1,'HS Codes'!$D$1:$K$1,0)),"")</f>
        <v>6211 4390 00</v>
      </c>
      <c r="J230" s="8">
        <f>_xlfn.IFNA(INDEX('HS Codes'!$D$2:$K2784,MATCH($B230,'HS Codes'!$A$2:$A2784,0),MATCH(J$1,'HS Codes'!$D$1:$K$1,0)),"")</f>
        <v>6117109000</v>
      </c>
      <c r="K230" s="8" t="str">
        <f>_xlfn.IFNA(INDEX('HS Codes'!$D$2:$K2784,MATCH($B230,'HS Codes'!$A$2:$A2784,0),MATCH(K$1,'HS Codes'!$D$1:$K$1,0)),"")</f>
        <v>6112.39.00</v>
      </c>
      <c r="L230" s="8">
        <f>_xlfn.IFNA(INDEX('HS Codes'!$D$2:$K2784,MATCH($B230,'HS Codes'!$A$2:$A2784,0),MATCH(L$1,'HS Codes'!$D$1:$K$1,0)),"")</f>
        <v>6202</v>
      </c>
      <c r="M230" s="8" t="str">
        <f>_xlfn.IFNA(INDEX('HS Codes'!$C$2:$C2784,MATCH($B230,'HS Codes'!$A$2:$A2784,0)),"")</f>
        <v>Beach Robe or Cloak 100% recycled 220 GSM/83% polyester/17% polyamide includes cotton on the packing pouch drawstring</v>
      </c>
      <c r="N230" s="9"/>
      <c r="O230" s="9"/>
      <c r="P230" s="9"/>
      <c r="Q230" s="9"/>
    </row>
    <row r="231" spans="1:17" ht="15.75" customHeight="1">
      <c r="A231" s="7" t="s">
        <v>518</v>
      </c>
      <c r="B231" s="7" t="s">
        <v>148</v>
      </c>
      <c r="C231" s="7" t="s">
        <v>278</v>
      </c>
      <c r="D231" s="7" t="s">
        <v>149</v>
      </c>
      <c r="E231" s="7" t="s">
        <v>149</v>
      </c>
      <c r="F231" s="8" t="str">
        <f>_xlfn.IFNA(INDEX('HS Codes'!$D$2:$K2785,MATCH($B231,'HS Codes'!$A$2:$A2785,0),MATCH(F$1,'HS Codes'!$D$1:$K$1,0)),"")</f>
        <v>6101.90.90.30</v>
      </c>
      <c r="G231" s="8">
        <f>_xlfn.IFNA(INDEX('HS Codes'!$D$2:$K2785,MATCH($B231,'HS Codes'!$A$2:$A2785,0),MATCH(G$1,'HS Codes'!$D$1:$K$1,0)),"")</f>
        <v>6101309000</v>
      </c>
      <c r="H231" s="8">
        <f>_xlfn.IFNA(INDEX('HS Codes'!$D$2:$K2785,MATCH($B231,'HS Codes'!$A$2:$A2785,0),MATCH(H$1,'HS Codes'!$D$1:$K$1,0)),"")</f>
        <v>6112399000</v>
      </c>
      <c r="I231" s="8" t="str">
        <f>_xlfn.IFNA(INDEX('HS Codes'!$D$2:$K2785,MATCH($B231,'HS Codes'!$A$2:$A2785,0),MATCH(I$1,'HS Codes'!$D$1:$K$1,0)),"")</f>
        <v>6211 4390 00</v>
      </c>
      <c r="J231" s="8">
        <f>_xlfn.IFNA(INDEX('HS Codes'!$D$2:$K2785,MATCH($B231,'HS Codes'!$A$2:$A2785,0),MATCH(J$1,'HS Codes'!$D$1:$K$1,0)),"")</f>
        <v>6117109000</v>
      </c>
      <c r="K231" s="8" t="str">
        <f>_xlfn.IFNA(INDEX('HS Codes'!$D$2:$K2785,MATCH($B231,'HS Codes'!$A$2:$A2785,0),MATCH(K$1,'HS Codes'!$D$1:$K$1,0)),"")</f>
        <v>6112.39.00</v>
      </c>
      <c r="L231" s="8">
        <f>_xlfn.IFNA(INDEX('HS Codes'!$D$2:$K2785,MATCH($B231,'HS Codes'!$A$2:$A2785,0),MATCH(L$1,'HS Codes'!$D$1:$K$1,0)),"")</f>
        <v>6202</v>
      </c>
      <c r="M231" s="8" t="str">
        <f>_xlfn.IFNA(INDEX('HS Codes'!$C$2:$C2785,MATCH($B231,'HS Codes'!$A$2:$A2785,0)),"")</f>
        <v>Beach Robe or Cloak 100% recycled 220 GSM/83% polyester/17% polyamide includes cotton on the packing pouch drawstring</v>
      </c>
      <c r="N231" s="9"/>
      <c r="O231" s="9"/>
      <c r="P231" s="9"/>
      <c r="Q231" s="9"/>
    </row>
    <row r="232" spans="1:17" ht="15.75" customHeight="1">
      <c r="A232" s="7" t="s">
        <v>519</v>
      </c>
      <c r="B232" s="7" t="s">
        <v>148</v>
      </c>
      <c r="C232" s="7" t="s">
        <v>278</v>
      </c>
      <c r="D232" s="7" t="s">
        <v>149</v>
      </c>
      <c r="E232" s="7" t="s">
        <v>149</v>
      </c>
      <c r="F232" s="8" t="str">
        <f>_xlfn.IFNA(INDEX('HS Codes'!$D$2:$K2786,MATCH($B232,'HS Codes'!$A$2:$A2786,0),MATCH(F$1,'HS Codes'!$D$1:$K$1,0)),"")</f>
        <v>6101.90.90.30</v>
      </c>
      <c r="G232" s="8">
        <f>_xlfn.IFNA(INDEX('HS Codes'!$D$2:$K2786,MATCH($B232,'HS Codes'!$A$2:$A2786,0),MATCH(G$1,'HS Codes'!$D$1:$K$1,0)),"")</f>
        <v>6101309000</v>
      </c>
      <c r="H232" s="8">
        <f>_xlfn.IFNA(INDEX('HS Codes'!$D$2:$K2786,MATCH($B232,'HS Codes'!$A$2:$A2786,0),MATCH(H$1,'HS Codes'!$D$1:$K$1,0)),"")</f>
        <v>6112399000</v>
      </c>
      <c r="I232" s="8" t="str">
        <f>_xlfn.IFNA(INDEX('HS Codes'!$D$2:$K2786,MATCH($B232,'HS Codes'!$A$2:$A2786,0),MATCH(I$1,'HS Codes'!$D$1:$K$1,0)),"")</f>
        <v>6211 4390 00</v>
      </c>
      <c r="J232" s="8">
        <f>_xlfn.IFNA(INDEX('HS Codes'!$D$2:$K2786,MATCH($B232,'HS Codes'!$A$2:$A2786,0),MATCH(J$1,'HS Codes'!$D$1:$K$1,0)),"")</f>
        <v>6117109000</v>
      </c>
      <c r="K232" s="8" t="str">
        <f>_xlfn.IFNA(INDEX('HS Codes'!$D$2:$K2786,MATCH($B232,'HS Codes'!$A$2:$A2786,0),MATCH(K$1,'HS Codes'!$D$1:$K$1,0)),"")</f>
        <v>6112.39.00</v>
      </c>
      <c r="L232" s="8">
        <f>_xlfn.IFNA(INDEX('HS Codes'!$D$2:$K2786,MATCH($B232,'HS Codes'!$A$2:$A2786,0),MATCH(L$1,'HS Codes'!$D$1:$K$1,0)),"")</f>
        <v>6202</v>
      </c>
      <c r="M232" s="8" t="str">
        <f>_xlfn.IFNA(INDEX('HS Codes'!$C$2:$C2786,MATCH($B232,'HS Codes'!$A$2:$A2786,0)),"")</f>
        <v>Beach Robe or Cloak 100% recycled 220 GSM/83% polyester/17% polyamide includes cotton on the packing pouch drawstring</v>
      </c>
      <c r="N232" s="9"/>
      <c r="O232" s="9"/>
      <c r="P232" s="9"/>
      <c r="Q232" s="9"/>
    </row>
    <row r="233" spans="1:17" ht="15.75" customHeight="1">
      <c r="A233" s="7" t="s">
        <v>520</v>
      </c>
      <c r="B233" s="7" t="s">
        <v>148</v>
      </c>
      <c r="C233" s="7" t="s">
        <v>278</v>
      </c>
      <c r="D233" s="7" t="s">
        <v>149</v>
      </c>
      <c r="E233" s="7" t="s">
        <v>149</v>
      </c>
      <c r="F233" s="8" t="str">
        <f>_xlfn.IFNA(INDEX('HS Codes'!$D$2:$K2787,MATCH($B233,'HS Codes'!$A$2:$A2787,0),MATCH(F$1,'HS Codes'!$D$1:$K$1,0)),"")</f>
        <v>6101.90.90.30</v>
      </c>
      <c r="G233" s="8">
        <f>_xlfn.IFNA(INDEX('HS Codes'!$D$2:$K2787,MATCH($B233,'HS Codes'!$A$2:$A2787,0),MATCH(G$1,'HS Codes'!$D$1:$K$1,0)),"")</f>
        <v>6101309000</v>
      </c>
      <c r="H233" s="8">
        <f>_xlfn.IFNA(INDEX('HS Codes'!$D$2:$K2787,MATCH($B233,'HS Codes'!$A$2:$A2787,0),MATCH(H$1,'HS Codes'!$D$1:$K$1,0)),"")</f>
        <v>6112399000</v>
      </c>
      <c r="I233" s="8" t="str">
        <f>_xlfn.IFNA(INDEX('HS Codes'!$D$2:$K2787,MATCH($B233,'HS Codes'!$A$2:$A2787,0),MATCH(I$1,'HS Codes'!$D$1:$K$1,0)),"")</f>
        <v>6211 4390 00</v>
      </c>
      <c r="J233" s="8">
        <f>_xlfn.IFNA(INDEX('HS Codes'!$D$2:$K2787,MATCH($B233,'HS Codes'!$A$2:$A2787,0),MATCH(J$1,'HS Codes'!$D$1:$K$1,0)),"")</f>
        <v>6117109000</v>
      </c>
      <c r="K233" s="8" t="str">
        <f>_xlfn.IFNA(INDEX('HS Codes'!$D$2:$K2787,MATCH($B233,'HS Codes'!$A$2:$A2787,0),MATCH(K$1,'HS Codes'!$D$1:$K$1,0)),"")</f>
        <v>6112.39.00</v>
      </c>
      <c r="L233" s="8">
        <f>_xlfn.IFNA(INDEX('HS Codes'!$D$2:$K2787,MATCH($B233,'HS Codes'!$A$2:$A2787,0),MATCH(L$1,'HS Codes'!$D$1:$K$1,0)),"")</f>
        <v>6202</v>
      </c>
      <c r="M233" s="8" t="str">
        <f>_xlfn.IFNA(INDEX('HS Codes'!$C$2:$C2787,MATCH($B233,'HS Codes'!$A$2:$A2787,0)),"")</f>
        <v>Beach Robe or Cloak 100% recycled 220 GSM/83% polyester/17% polyamide includes cotton on the packing pouch drawstring</v>
      </c>
      <c r="N233" s="9"/>
      <c r="O233" s="9"/>
      <c r="P233" s="9"/>
      <c r="Q233" s="9"/>
    </row>
    <row r="234" spans="1:17" ht="15.75" customHeight="1">
      <c r="A234" s="7" t="s">
        <v>521</v>
      </c>
      <c r="B234" s="7" t="s">
        <v>148</v>
      </c>
      <c r="C234" s="7" t="s">
        <v>278</v>
      </c>
      <c r="D234" s="7" t="s">
        <v>149</v>
      </c>
      <c r="E234" s="7" t="s">
        <v>149</v>
      </c>
      <c r="F234" s="8" t="str">
        <f>_xlfn.IFNA(INDEX('HS Codes'!$D$2:$K2788,MATCH($B234,'HS Codes'!$A$2:$A2788,0),MATCH(F$1,'HS Codes'!$D$1:$K$1,0)),"")</f>
        <v>6101.90.90.30</v>
      </c>
      <c r="G234" s="8">
        <f>_xlfn.IFNA(INDEX('HS Codes'!$D$2:$K2788,MATCH($B234,'HS Codes'!$A$2:$A2788,0),MATCH(G$1,'HS Codes'!$D$1:$K$1,0)),"")</f>
        <v>6101309000</v>
      </c>
      <c r="H234" s="8">
        <f>_xlfn.IFNA(INDEX('HS Codes'!$D$2:$K2788,MATCH($B234,'HS Codes'!$A$2:$A2788,0),MATCH(H$1,'HS Codes'!$D$1:$K$1,0)),"")</f>
        <v>6112399000</v>
      </c>
      <c r="I234" s="8" t="str">
        <f>_xlfn.IFNA(INDEX('HS Codes'!$D$2:$K2788,MATCH($B234,'HS Codes'!$A$2:$A2788,0),MATCH(I$1,'HS Codes'!$D$1:$K$1,0)),"")</f>
        <v>6211 4390 00</v>
      </c>
      <c r="J234" s="8">
        <f>_xlfn.IFNA(INDEX('HS Codes'!$D$2:$K2788,MATCH($B234,'HS Codes'!$A$2:$A2788,0),MATCH(J$1,'HS Codes'!$D$1:$K$1,0)),"")</f>
        <v>6117109000</v>
      </c>
      <c r="K234" s="8" t="str">
        <f>_xlfn.IFNA(INDEX('HS Codes'!$D$2:$K2788,MATCH($B234,'HS Codes'!$A$2:$A2788,0),MATCH(K$1,'HS Codes'!$D$1:$K$1,0)),"")</f>
        <v>6112.39.00</v>
      </c>
      <c r="L234" s="8">
        <f>_xlfn.IFNA(INDEX('HS Codes'!$D$2:$K2788,MATCH($B234,'HS Codes'!$A$2:$A2788,0),MATCH(L$1,'HS Codes'!$D$1:$K$1,0)),"")</f>
        <v>6202</v>
      </c>
      <c r="M234" s="8" t="str">
        <f>_xlfn.IFNA(INDEX('HS Codes'!$C$2:$C2788,MATCH($B234,'HS Codes'!$A$2:$A2788,0)),"")</f>
        <v>Beach Robe or Cloak 100% recycled 220 GSM/83% polyester/17% polyamide includes cotton on the packing pouch drawstring</v>
      </c>
      <c r="N234" s="9"/>
      <c r="O234" s="9"/>
      <c r="P234" s="9"/>
      <c r="Q234" s="9"/>
    </row>
    <row r="235" spans="1:17" ht="15.75" customHeight="1">
      <c r="A235" s="7" t="s">
        <v>522</v>
      </c>
      <c r="B235" s="7" t="s">
        <v>240</v>
      </c>
      <c r="C235" s="7"/>
      <c r="D235" s="7" t="s">
        <v>241</v>
      </c>
      <c r="E235" s="7" t="s">
        <v>523</v>
      </c>
      <c r="F235" s="8" t="str">
        <f>_xlfn.IFNA(INDEX('HS Codes'!$D$2:$K2789,MATCH($B235,'HS Codes'!$A$2:$A2789,0),MATCH(F$1,'HS Codes'!$D$1:$K$1,0)),"")</f>
        <v>4819.10.0040</v>
      </c>
      <c r="G235" s="8">
        <f>_xlfn.IFNA(INDEX('HS Codes'!$D$2:$K2789,MATCH($B235,'HS Codes'!$A$2:$A2789,0),MATCH(G$1,'HS Codes'!$D$1:$K$1,0)),"")</f>
        <v>4819100000</v>
      </c>
      <c r="H235" s="8">
        <f>_xlfn.IFNA(INDEX('HS Codes'!$D$2:$K2789,MATCH($B235,'HS Codes'!$A$2:$A2789,0),MATCH(H$1,'HS Codes'!$D$1:$K$1,0)),"")</f>
        <v>4819100000</v>
      </c>
      <c r="I235" s="8">
        <f>_xlfn.IFNA(INDEX('HS Codes'!$D$2:$K2789,MATCH($B235,'HS Codes'!$A$2:$A2789,0),MATCH(I$1,'HS Codes'!$D$1:$K$1,0)),"")</f>
        <v>48191000</v>
      </c>
      <c r="J235" s="8">
        <f>_xlfn.IFNA(INDEX('HS Codes'!$D$2:$K2789,MATCH($B235,'HS Codes'!$A$2:$A2789,0),MATCH(J$1,'HS Codes'!$D$1:$K$1,0)),"")</f>
        <v>0</v>
      </c>
      <c r="K235" s="8" t="str">
        <f>_xlfn.IFNA(INDEX('HS Codes'!$D$2:$K2789,MATCH($B235,'HS Codes'!$A$2:$A2789,0),MATCH(K$1,'HS Codes'!$D$1:$K$1,0)),"")</f>
        <v>4819.10.00</v>
      </c>
      <c r="L235" s="8">
        <f>_xlfn.IFNA(INDEX('HS Codes'!$D$2:$K2789,MATCH($B235,'HS Codes'!$A$2:$A2789,0),MATCH(L$1,'HS Codes'!$D$1:$K$1,0)),"")</f>
        <v>0</v>
      </c>
      <c r="M235" s="8" t="str">
        <f>_xlfn.IFNA(INDEX('HS Codes'!$C$2:$C2789,MATCH($B235,'HS Codes'!$A$2:$A2789,0)),"")</f>
        <v>Paperboard 100% recycled cardboard</v>
      </c>
      <c r="N235" s="9"/>
      <c r="O235" s="9"/>
      <c r="P235" s="9"/>
      <c r="Q235" s="9"/>
    </row>
    <row r="236" spans="1:17" ht="15.75" customHeight="1">
      <c r="A236" s="7" t="s">
        <v>524</v>
      </c>
      <c r="B236" s="7" t="s">
        <v>240</v>
      </c>
      <c r="C236" s="7"/>
      <c r="D236" s="7" t="s">
        <v>241</v>
      </c>
      <c r="E236" s="7" t="s">
        <v>523</v>
      </c>
      <c r="F236" s="8" t="str">
        <f>_xlfn.IFNA(INDEX('HS Codes'!$D$2:$K2790,MATCH($B236,'HS Codes'!$A$2:$A2790,0),MATCH(F$1,'HS Codes'!$D$1:$K$1,0)),"")</f>
        <v>4819.10.0040</v>
      </c>
      <c r="G236" s="8">
        <f>_xlfn.IFNA(INDEX('HS Codes'!$D$2:$K2790,MATCH($B236,'HS Codes'!$A$2:$A2790,0),MATCH(G$1,'HS Codes'!$D$1:$K$1,0)),"")</f>
        <v>4819100000</v>
      </c>
      <c r="H236" s="8">
        <f>_xlfn.IFNA(INDEX('HS Codes'!$D$2:$K2790,MATCH($B236,'HS Codes'!$A$2:$A2790,0),MATCH(H$1,'HS Codes'!$D$1:$K$1,0)),"")</f>
        <v>4819100000</v>
      </c>
      <c r="I236" s="8">
        <f>_xlfn.IFNA(INDEX('HS Codes'!$D$2:$K2790,MATCH($B236,'HS Codes'!$A$2:$A2790,0),MATCH(I$1,'HS Codes'!$D$1:$K$1,0)),"")</f>
        <v>48191000</v>
      </c>
      <c r="J236" s="8">
        <f>_xlfn.IFNA(INDEX('HS Codes'!$D$2:$K2790,MATCH($B236,'HS Codes'!$A$2:$A2790,0),MATCH(J$1,'HS Codes'!$D$1:$K$1,0)),"")</f>
        <v>0</v>
      </c>
      <c r="K236" s="8" t="str">
        <f>_xlfn.IFNA(INDEX('HS Codes'!$D$2:$K2790,MATCH($B236,'HS Codes'!$A$2:$A2790,0),MATCH(K$1,'HS Codes'!$D$1:$K$1,0)),"")</f>
        <v>4819.10.00</v>
      </c>
      <c r="L236" s="8">
        <f>_xlfn.IFNA(INDEX('HS Codes'!$D$2:$K2790,MATCH($B236,'HS Codes'!$A$2:$A2790,0),MATCH(L$1,'HS Codes'!$D$1:$K$1,0)),"")</f>
        <v>0</v>
      </c>
      <c r="M236" s="8" t="str">
        <f>_xlfn.IFNA(INDEX('HS Codes'!$C$2:$C2790,MATCH($B236,'HS Codes'!$A$2:$A2790,0)),"")</f>
        <v>Paperboard 100% recycled cardboard</v>
      </c>
      <c r="N236" s="9"/>
      <c r="O236" s="9"/>
      <c r="P236" s="9"/>
      <c r="Q236" s="9"/>
    </row>
    <row r="237" spans="1:17" ht="15.75" customHeight="1">
      <c r="A237" s="7" t="s">
        <v>525</v>
      </c>
      <c r="B237" s="7" t="s">
        <v>240</v>
      </c>
      <c r="C237" s="7"/>
      <c r="D237" s="7" t="s">
        <v>241</v>
      </c>
      <c r="E237" s="7" t="s">
        <v>523</v>
      </c>
      <c r="F237" s="8" t="str">
        <f>_xlfn.IFNA(INDEX('HS Codes'!$D$2:$K2791,MATCH($B237,'HS Codes'!$A$2:$A2791,0),MATCH(F$1,'HS Codes'!$D$1:$K$1,0)),"")</f>
        <v>4819.10.0040</v>
      </c>
      <c r="G237" s="8">
        <f>_xlfn.IFNA(INDEX('HS Codes'!$D$2:$K2791,MATCH($B237,'HS Codes'!$A$2:$A2791,0),MATCH(G$1,'HS Codes'!$D$1:$K$1,0)),"")</f>
        <v>4819100000</v>
      </c>
      <c r="H237" s="8">
        <f>_xlfn.IFNA(INDEX('HS Codes'!$D$2:$K2791,MATCH($B237,'HS Codes'!$A$2:$A2791,0),MATCH(H$1,'HS Codes'!$D$1:$K$1,0)),"")</f>
        <v>4819100000</v>
      </c>
      <c r="I237" s="8">
        <f>_xlfn.IFNA(INDEX('HS Codes'!$D$2:$K2791,MATCH($B237,'HS Codes'!$A$2:$A2791,0),MATCH(I$1,'HS Codes'!$D$1:$K$1,0)),"")</f>
        <v>48191000</v>
      </c>
      <c r="J237" s="8">
        <f>_xlfn.IFNA(INDEX('HS Codes'!$D$2:$K2791,MATCH($B237,'HS Codes'!$A$2:$A2791,0),MATCH(J$1,'HS Codes'!$D$1:$K$1,0)),"")</f>
        <v>0</v>
      </c>
      <c r="K237" s="8" t="str">
        <f>_xlfn.IFNA(INDEX('HS Codes'!$D$2:$K2791,MATCH($B237,'HS Codes'!$A$2:$A2791,0),MATCH(K$1,'HS Codes'!$D$1:$K$1,0)),"")</f>
        <v>4819.10.00</v>
      </c>
      <c r="L237" s="8">
        <f>_xlfn.IFNA(INDEX('HS Codes'!$D$2:$K2791,MATCH($B237,'HS Codes'!$A$2:$A2791,0),MATCH(L$1,'HS Codes'!$D$1:$K$1,0)),"")</f>
        <v>0</v>
      </c>
      <c r="M237" s="8" t="str">
        <f>_xlfn.IFNA(INDEX('HS Codes'!$C$2:$C2791,MATCH($B237,'HS Codes'!$A$2:$A2791,0)),"")</f>
        <v>Paperboard 100% recycled cardboard</v>
      </c>
      <c r="N237" s="9"/>
      <c r="O237" s="9"/>
      <c r="P237" s="9"/>
      <c r="Q237" s="9"/>
    </row>
    <row r="238" spans="1:17" ht="15.75" customHeight="1">
      <c r="A238" s="7" t="s">
        <v>526</v>
      </c>
      <c r="B238" s="7" t="s">
        <v>240</v>
      </c>
      <c r="C238" s="7"/>
      <c r="D238" s="7" t="s">
        <v>241</v>
      </c>
      <c r="E238" s="7" t="s">
        <v>523</v>
      </c>
      <c r="F238" s="8" t="str">
        <f>_xlfn.IFNA(INDEX('HS Codes'!$D$2:$K2792,MATCH($B238,'HS Codes'!$A$2:$A2792,0),MATCH(F$1,'HS Codes'!$D$1:$K$1,0)),"")</f>
        <v>4819.10.0040</v>
      </c>
      <c r="G238" s="8">
        <f>_xlfn.IFNA(INDEX('HS Codes'!$D$2:$K2792,MATCH($B238,'HS Codes'!$A$2:$A2792,0),MATCH(G$1,'HS Codes'!$D$1:$K$1,0)),"")</f>
        <v>4819100000</v>
      </c>
      <c r="H238" s="8">
        <f>_xlfn.IFNA(INDEX('HS Codes'!$D$2:$K2792,MATCH($B238,'HS Codes'!$A$2:$A2792,0),MATCH(H$1,'HS Codes'!$D$1:$K$1,0)),"")</f>
        <v>4819100000</v>
      </c>
      <c r="I238" s="8">
        <f>_xlfn.IFNA(INDEX('HS Codes'!$D$2:$K2792,MATCH($B238,'HS Codes'!$A$2:$A2792,0),MATCH(I$1,'HS Codes'!$D$1:$K$1,0)),"")</f>
        <v>48191000</v>
      </c>
      <c r="J238" s="8">
        <f>_xlfn.IFNA(INDEX('HS Codes'!$D$2:$K2792,MATCH($B238,'HS Codes'!$A$2:$A2792,0),MATCH(J$1,'HS Codes'!$D$1:$K$1,0)),"")</f>
        <v>0</v>
      </c>
      <c r="K238" s="8" t="str">
        <f>_xlfn.IFNA(INDEX('HS Codes'!$D$2:$K2792,MATCH($B238,'HS Codes'!$A$2:$A2792,0),MATCH(K$1,'HS Codes'!$D$1:$K$1,0)),"")</f>
        <v>4819.10.00</v>
      </c>
      <c r="L238" s="8">
        <f>_xlfn.IFNA(INDEX('HS Codes'!$D$2:$K2792,MATCH($B238,'HS Codes'!$A$2:$A2792,0),MATCH(L$1,'HS Codes'!$D$1:$K$1,0)),"")</f>
        <v>0</v>
      </c>
      <c r="M238" s="8" t="str">
        <f>_xlfn.IFNA(INDEX('HS Codes'!$C$2:$C2792,MATCH($B238,'HS Codes'!$A$2:$A2792,0)),"")</f>
        <v>Paperboard 100% recycled cardboard</v>
      </c>
      <c r="N238" s="9"/>
      <c r="O238" s="9"/>
      <c r="P238" s="9"/>
      <c r="Q238" s="9"/>
    </row>
    <row r="239" spans="1:17" ht="15.75" customHeight="1">
      <c r="A239" s="7" t="s">
        <v>527</v>
      </c>
      <c r="B239" s="7" t="s">
        <v>240</v>
      </c>
      <c r="C239" s="7"/>
      <c r="D239" s="7" t="s">
        <v>241</v>
      </c>
      <c r="E239" s="7" t="s">
        <v>523</v>
      </c>
      <c r="F239" s="8" t="str">
        <f>_xlfn.IFNA(INDEX('HS Codes'!$D$2:$K2793,MATCH($B239,'HS Codes'!$A$2:$A2793,0),MATCH(F$1,'HS Codes'!$D$1:$K$1,0)),"")</f>
        <v>4819.10.0040</v>
      </c>
      <c r="G239" s="8">
        <f>_xlfn.IFNA(INDEX('HS Codes'!$D$2:$K2793,MATCH($B239,'HS Codes'!$A$2:$A2793,0),MATCH(G$1,'HS Codes'!$D$1:$K$1,0)),"")</f>
        <v>4819100000</v>
      </c>
      <c r="H239" s="8">
        <f>_xlfn.IFNA(INDEX('HS Codes'!$D$2:$K2793,MATCH($B239,'HS Codes'!$A$2:$A2793,0),MATCH(H$1,'HS Codes'!$D$1:$K$1,0)),"")</f>
        <v>4819100000</v>
      </c>
      <c r="I239" s="8">
        <f>_xlfn.IFNA(INDEX('HS Codes'!$D$2:$K2793,MATCH($B239,'HS Codes'!$A$2:$A2793,0),MATCH(I$1,'HS Codes'!$D$1:$K$1,0)),"")</f>
        <v>48191000</v>
      </c>
      <c r="J239" s="8">
        <f>_xlfn.IFNA(INDEX('HS Codes'!$D$2:$K2793,MATCH($B239,'HS Codes'!$A$2:$A2793,0),MATCH(J$1,'HS Codes'!$D$1:$K$1,0)),"")</f>
        <v>0</v>
      </c>
      <c r="K239" s="8" t="str">
        <f>_xlfn.IFNA(INDEX('HS Codes'!$D$2:$K2793,MATCH($B239,'HS Codes'!$A$2:$A2793,0),MATCH(K$1,'HS Codes'!$D$1:$K$1,0)),"")</f>
        <v>4819.10.00</v>
      </c>
      <c r="L239" s="8">
        <f>_xlfn.IFNA(INDEX('HS Codes'!$D$2:$K2793,MATCH($B239,'HS Codes'!$A$2:$A2793,0),MATCH(L$1,'HS Codes'!$D$1:$K$1,0)),"")</f>
        <v>0</v>
      </c>
      <c r="M239" s="8" t="str">
        <f>_xlfn.IFNA(INDEX('HS Codes'!$C$2:$C2793,MATCH($B239,'HS Codes'!$A$2:$A2793,0)),"")</f>
        <v>Paperboard 100% recycled cardboard</v>
      </c>
      <c r="N239" s="9"/>
      <c r="O239" s="9"/>
      <c r="P239" s="9"/>
      <c r="Q239" s="9"/>
    </row>
    <row r="240" spans="1:17" ht="15.75" customHeight="1">
      <c r="A240" s="7" t="s">
        <v>528</v>
      </c>
      <c r="B240" s="7" t="s">
        <v>240</v>
      </c>
      <c r="C240" s="7"/>
      <c r="D240" s="7" t="s">
        <v>241</v>
      </c>
      <c r="E240" s="7" t="s">
        <v>523</v>
      </c>
      <c r="F240" s="8" t="str">
        <f>_xlfn.IFNA(INDEX('HS Codes'!$D$2:$K2794,MATCH($B240,'HS Codes'!$A$2:$A2794,0),MATCH(F$1,'HS Codes'!$D$1:$K$1,0)),"")</f>
        <v>4819.10.0040</v>
      </c>
      <c r="G240" s="8">
        <f>_xlfn.IFNA(INDEX('HS Codes'!$D$2:$K2794,MATCH($B240,'HS Codes'!$A$2:$A2794,0),MATCH(G$1,'HS Codes'!$D$1:$K$1,0)),"")</f>
        <v>4819100000</v>
      </c>
      <c r="H240" s="8">
        <f>_xlfn.IFNA(INDEX('HS Codes'!$D$2:$K2794,MATCH($B240,'HS Codes'!$A$2:$A2794,0),MATCH(H$1,'HS Codes'!$D$1:$K$1,0)),"")</f>
        <v>4819100000</v>
      </c>
      <c r="I240" s="8">
        <f>_xlfn.IFNA(INDEX('HS Codes'!$D$2:$K2794,MATCH($B240,'HS Codes'!$A$2:$A2794,0),MATCH(I$1,'HS Codes'!$D$1:$K$1,0)),"")</f>
        <v>48191000</v>
      </c>
      <c r="J240" s="8">
        <f>_xlfn.IFNA(INDEX('HS Codes'!$D$2:$K2794,MATCH($B240,'HS Codes'!$A$2:$A2794,0),MATCH(J$1,'HS Codes'!$D$1:$K$1,0)),"")</f>
        <v>0</v>
      </c>
      <c r="K240" s="8" t="str">
        <f>_xlfn.IFNA(INDEX('HS Codes'!$D$2:$K2794,MATCH($B240,'HS Codes'!$A$2:$A2794,0),MATCH(K$1,'HS Codes'!$D$1:$K$1,0)),"")</f>
        <v>4819.10.00</v>
      </c>
      <c r="L240" s="8">
        <f>_xlfn.IFNA(INDEX('HS Codes'!$D$2:$K2794,MATCH($B240,'HS Codes'!$A$2:$A2794,0),MATCH(L$1,'HS Codes'!$D$1:$K$1,0)),"")</f>
        <v>0</v>
      </c>
      <c r="M240" s="8" t="str">
        <f>_xlfn.IFNA(INDEX('HS Codes'!$C$2:$C2794,MATCH($B240,'HS Codes'!$A$2:$A2794,0)),"")</f>
        <v>Paperboard 100% recycled cardboard</v>
      </c>
      <c r="N240" s="9"/>
      <c r="O240" s="9"/>
      <c r="P240" s="9"/>
      <c r="Q240" s="9"/>
    </row>
    <row r="241" spans="1:17" ht="15.75" customHeight="1">
      <c r="A241" s="7" t="s">
        <v>529</v>
      </c>
      <c r="B241" s="7" t="s">
        <v>240</v>
      </c>
      <c r="C241" s="7"/>
      <c r="D241" s="7" t="s">
        <v>241</v>
      </c>
      <c r="E241" s="7" t="s">
        <v>523</v>
      </c>
      <c r="F241" s="8" t="str">
        <f>_xlfn.IFNA(INDEX('HS Codes'!$D$2:$K2795,MATCH($B241,'HS Codes'!$A$2:$A2795,0),MATCH(F$1,'HS Codes'!$D$1:$K$1,0)),"")</f>
        <v>4819.10.0040</v>
      </c>
      <c r="G241" s="8">
        <f>_xlfn.IFNA(INDEX('HS Codes'!$D$2:$K2795,MATCH($B241,'HS Codes'!$A$2:$A2795,0),MATCH(G$1,'HS Codes'!$D$1:$K$1,0)),"")</f>
        <v>4819100000</v>
      </c>
      <c r="H241" s="8">
        <f>_xlfn.IFNA(INDEX('HS Codes'!$D$2:$K2795,MATCH($B241,'HS Codes'!$A$2:$A2795,0),MATCH(H$1,'HS Codes'!$D$1:$K$1,0)),"")</f>
        <v>4819100000</v>
      </c>
      <c r="I241" s="8">
        <f>_xlfn.IFNA(INDEX('HS Codes'!$D$2:$K2795,MATCH($B241,'HS Codes'!$A$2:$A2795,0),MATCH(I$1,'HS Codes'!$D$1:$K$1,0)),"")</f>
        <v>48191000</v>
      </c>
      <c r="J241" s="8">
        <f>_xlfn.IFNA(INDEX('HS Codes'!$D$2:$K2795,MATCH($B241,'HS Codes'!$A$2:$A2795,0),MATCH(J$1,'HS Codes'!$D$1:$K$1,0)),"")</f>
        <v>0</v>
      </c>
      <c r="K241" s="8" t="str">
        <f>_xlfn.IFNA(INDEX('HS Codes'!$D$2:$K2795,MATCH($B241,'HS Codes'!$A$2:$A2795,0),MATCH(K$1,'HS Codes'!$D$1:$K$1,0)),"")</f>
        <v>4819.10.00</v>
      </c>
      <c r="L241" s="8">
        <f>_xlfn.IFNA(INDEX('HS Codes'!$D$2:$K2795,MATCH($B241,'HS Codes'!$A$2:$A2795,0),MATCH(L$1,'HS Codes'!$D$1:$K$1,0)),"")</f>
        <v>0</v>
      </c>
      <c r="M241" s="8" t="str">
        <f>_xlfn.IFNA(INDEX('HS Codes'!$C$2:$C2795,MATCH($B241,'HS Codes'!$A$2:$A2795,0)),"")</f>
        <v>Paperboard 100% recycled cardboard</v>
      </c>
      <c r="N241" s="9"/>
      <c r="O241" s="9"/>
      <c r="P241" s="9"/>
      <c r="Q241" s="9"/>
    </row>
    <row r="242" spans="1:17" ht="15.75" customHeight="1">
      <c r="A242" s="7" t="s">
        <v>530</v>
      </c>
      <c r="B242" s="7" t="s">
        <v>240</v>
      </c>
      <c r="C242" s="7"/>
      <c r="D242" s="7" t="s">
        <v>241</v>
      </c>
      <c r="E242" s="7" t="s">
        <v>523</v>
      </c>
      <c r="F242" s="8" t="str">
        <f>_xlfn.IFNA(INDEX('HS Codes'!$D$2:$K2796,MATCH($B242,'HS Codes'!$A$2:$A2796,0),MATCH(F$1,'HS Codes'!$D$1:$K$1,0)),"")</f>
        <v>4819.10.0040</v>
      </c>
      <c r="G242" s="8">
        <f>_xlfn.IFNA(INDEX('HS Codes'!$D$2:$K2796,MATCH($B242,'HS Codes'!$A$2:$A2796,0),MATCH(G$1,'HS Codes'!$D$1:$K$1,0)),"")</f>
        <v>4819100000</v>
      </c>
      <c r="H242" s="8">
        <f>_xlfn.IFNA(INDEX('HS Codes'!$D$2:$K2796,MATCH($B242,'HS Codes'!$A$2:$A2796,0),MATCH(H$1,'HS Codes'!$D$1:$K$1,0)),"")</f>
        <v>4819100000</v>
      </c>
      <c r="I242" s="8">
        <f>_xlfn.IFNA(INDEX('HS Codes'!$D$2:$K2796,MATCH($B242,'HS Codes'!$A$2:$A2796,0),MATCH(I$1,'HS Codes'!$D$1:$K$1,0)),"")</f>
        <v>48191000</v>
      </c>
      <c r="J242" s="8">
        <f>_xlfn.IFNA(INDEX('HS Codes'!$D$2:$K2796,MATCH($B242,'HS Codes'!$A$2:$A2796,0),MATCH(J$1,'HS Codes'!$D$1:$K$1,0)),"")</f>
        <v>0</v>
      </c>
      <c r="K242" s="8" t="str">
        <f>_xlfn.IFNA(INDEX('HS Codes'!$D$2:$K2796,MATCH($B242,'HS Codes'!$A$2:$A2796,0),MATCH(K$1,'HS Codes'!$D$1:$K$1,0)),"")</f>
        <v>4819.10.00</v>
      </c>
      <c r="L242" s="8">
        <f>_xlfn.IFNA(INDEX('HS Codes'!$D$2:$K2796,MATCH($B242,'HS Codes'!$A$2:$A2796,0),MATCH(L$1,'HS Codes'!$D$1:$K$1,0)),"")</f>
        <v>0</v>
      </c>
      <c r="M242" s="8" t="str">
        <f>_xlfn.IFNA(INDEX('HS Codes'!$C$2:$C2796,MATCH($B242,'HS Codes'!$A$2:$A2796,0)),"")</f>
        <v>Paperboard 100% recycled cardboard</v>
      </c>
      <c r="N242" s="9"/>
      <c r="O242" s="9"/>
      <c r="P242" s="9"/>
      <c r="Q242" s="9"/>
    </row>
    <row r="243" spans="1:17" ht="15.75" customHeight="1">
      <c r="A243" s="7" t="s">
        <v>531</v>
      </c>
      <c r="B243" s="7" t="s">
        <v>240</v>
      </c>
      <c r="C243" s="7"/>
      <c r="D243" s="7" t="s">
        <v>241</v>
      </c>
      <c r="E243" s="7" t="s">
        <v>523</v>
      </c>
      <c r="F243" s="8" t="str">
        <f>_xlfn.IFNA(INDEX('HS Codes'!$D$2:$K2797,MATCH($B243,'HS Codes'!$A$2:$A2797,0),MATCH(F$1,'HS Codes'!$D$1:$K$1,0)),"")</f>
        <v>4819.10.0040</v>
      </c>
      <c r="G243" s="8">
        <f>_xlfn.IFNA(INDEX('HS Codes'!$D$2:$K2797,MATCH($B243,'HS Codes'!$A$2:$A2797,0),MATCH(G$1,'HS Codes'!$D$1:$K$1,0)),"")</f>
        <v>4819100000</v>
      </c>
      <c r="H243" s="8">
        <f>_xlfn.IFNA(INDEX('HS Codes'!$D$2:$K2797,MATCH($B243,'HS Codes'!$A$2:$A2797,0),MATCH(H$1,'HS Codes'!$D$1:$K$1,0)),"")</f>
        <v>4819100000</v>
      </c>
      <c r="I243" s="8">
        <f>_xlfn.IFNA(INDEX('HS Codes'!$D$2:$K2797,MATCH($B243,'HS Codes'!$A$2:$A2797,0),MATCH(I$1,'HS Codes'!$D$1:$K$1,0)),"")</f>
        <v>48191000</v>
      </c>
      <c r="J243" s="8">
        <f>_xlfn.IFNA(INDEX('HS Codes'!$D$2:$K2797,MATCH($B243,'HS Codes'!$A$2:$A2797,0),MATCH(J$1,'HS Codes'!$D$1:$K$1,0)),"")</f>
        <v>0</v>
      </c>
      <c r="K243" s="8" t="str">
        <f>_xlfn.IFNA(INDEX('HS Codes'!$D$2:$K2797,MATCH($B243,'HS Codes'!$A$2:$A2797,0),MATCH(K$1,'HS Codes'!$D$1:$K$1,0)),"")</f>
        <v>4819.10.00</v>
      </c>
      <c r="L243" s="8">
        <f>_xlfn.IFNA(INDEX('HS Codes'!$D$2:$K2797,MATCH($B243,'HS Codes'!$A$2:$A2797,0),MATCH(L$1,'HS Codes'!$D$1:$K$1,0)),"")</f>
        <v>0</v>
      </c>
      <c r="M243" s="8" t="str">
        <f>_xlfn.IFNA(INDEX('HS Codes'!$C$2:$C2797,MATCH($B243,'HS Codes'!$A$2:$A2797,0)),"")</f>
        <v>Paperboard 100% recycled cardboard</v>
      </c>
      <c r="N243" s="9"/>
      <c r="O243" s="9"/>
      <c r="P243" s="9"/>
      <c r="Q243" s="9"/>
    </row>
    <row r="244" spans="1:17" ht="15.75" customHeight="1">
      <c r="A244" s="7" t="s">
        <v>532</v>
      </c>
      <c r="B244" s="7" t="s">
        <v>240</v>
      </c>
      <c r="C244" s="7"/>
      <c r="D244" s="7" t="s">
        <v>241</v>
      </c>
      <c r="E244" s="7" t="s">
        <v>523</v>
      </c>
      <c r="F244" s="8" t="str">
        <f>_xlfn.IFNA(INDEX('HS Codes'!$D$2:$K2798,MATCH($B244,'HS Codes'!$A$2:$A2798,0),MATCH(F$1,'HS Codes'!$D$1:$K$1,0)),"")</f>
        <v>4819.10.0040</v>
      </c>
      <c r="G244" s="8">
        <f>_xlfn.IFNA(INDEX('HS Codes'!$D$2:$K2798,MATCH($B244,'HS Codes'!$A$2:$A2798,0),MATCH(G$1,'HS Codes'!$D$1:$K$1,0)),"")</f>
        <v>4819100000</v>
      </c>
      <c r="H244" s="8">
        <f>_xlfn.IFNA(INDEX('HS Codes'!$D$2:$K2798,MATCH($B244,'HS Codes'!$A$2:$A2798,0),MATCH(H$1,'HS Codes'!$D$1:$K$1,0)),"")</f>
        <v>4819100000</v>
      </c>
      <c r="I244" s="8">
        <f>_xlfn.IFNA(INDEX('HS Codes'!$D$2:$K2798,MATCH($B244,'HS Codes'!$A$2:$A2798,0),MATCH(I$1,'HS Codes'!$D$1:$K$1,0)),"")</f>
        <v>48191000</v>
      </c>
      <c r="J244" s="8">
        <f>_xlfn.IFNA(INDEX('HS Codes'!$D$2:$K2798,MATCH($B244,'HS Codes'!$A$2:$A2798,0),MATCH(J$1,'HS Codes'!$D$1:$K$1,0)),"")</f>
        <v>0</v>
      </c>
      <c r="K244" s="8" t="str">
        <f>_xlfn.IFNA(INDEX('HS Codes'!$D$2:$K2798,MATCH($B244,'HS Codes'!$A$2:$A2798,0),MATCH(K$1,'HS Codes'!$D$1:$K$1,0)),"")</f>
        <v>4819.10.00</v>
      </c>
      <c r="L244" s="8">
        <f>_xlfn.IFNA(INDEX('HS Codes'!$D$2:$K2798,MATCH($B244,'HS Codes'!$A$2:$A2798,0),MATCH(L$1,'HS Codes'!$D$1:$K$1,0)),"")</f>
        <v>0</v>
      </c>
      <c r="M244" s="8" t="str">
        <f>_xlfn.IFNA(INDEX('HS Codes'!$C$2:$C2798,MATCH($B244,'HS Codes'!$A$2:$A2798,0)),"")</f>
        <v>Paperboard 100% recycled cardboard</v>
      </c>
      <c r="N244" s="9"/>
      <c r="O244" s="9"/>
      <c r="P244" s="9"/>
      <c r="Q244" s="9"/>
    </row>
    <row r="245" spans="1:17" ht="15.75" customHeight="1">
      <c r="A245" s="7" t="s">
        <v>533</v>
      </c>
      <c r="B245" s="7" t="s">
        <v>240</v>
      </c>
      <c r="C245" s="7"/>
      <c r="D245" s="7" t="s">
        <v>241</v>
      </c>
      <c r="E245" s="7" t="s">
        <v>523</v>
      </c>
      <c r="F245" s="8" t="str">
        <f>_xlfn.IFNA(INDEX('HS Codes'!$D$2:$K2799,MATCH($B245,'HS Codes'!$A$2:$A2799,0),MATCH(F$1,'HS Codes'!$D$1:$K$1,0)),"")</f>
        <v>4819.10.0040</v>
      </c>
      <c r="G245" s="8">
        <f>_xlfn.IFNA(INDEX('HS Codes'!$D$2:$K2799,MATCH($B245,'HS Codes'!$A$2:$A2799,0),MATCH(G$1,'HS Codes'!$D$1:$K$1,0)),"")</f>
        <v>4819100000</v>
      </c>
      <c r="H245" s="8">
        <f>_xlfn.IFNA(INDEX('HS Codes'!$D$2:$K2799,MATCH($B245,'HS Codes'!$A$2:$A2799,0),MATCH(H$1,'HS Codes'!$D$1:$K$1,0)),"")</f>
        <v>4819100000</v>
      </c>
      <c r="I245" s="8">
        <f>_xlfn.IFNA(INDEX('HS Codes'!$D$2:$K2799,MATCH($B245,'HS Codes'!$A$2:$A2799,0),MATCH(I$1,'HS Codes'!$D$1:$K$1,0)),"")</f>
        <v>48191000</v>
      </c>
      <c r="J245" s="8">
        <f>_xlfn.IFNA(INDEX('HS Codes'!$D$2:$K2799,MATCH($B245,'HS Codes'!$A$2:$A2799,0),MATCH(J$1,'HS Codes'!$D$1:$K$1,0)),"")</f>
        <v>0</v>
      </c>
      <c r="K245" s="8" t="str">
        <f>_xlfn.IFNA(INDEX('HS Codes'!$D$2:$K2799,MATCH($B245,'HS Codes'!$A$2:$A2799,0),MATCH(K$1,'HS Codes'!$D$1:$K$1,0)),"")</f>
        <v>4819.10.00</v>
      </c>
      <c r="L245" s="8">
        <f>_xlfn.IFNA(INDEX('HS Codes'!$D$2:$K2799,MATCH($B245,'HS Codes'!$A$2:$A2799,0),MATCH(L$1,'HS Codes'!$D$1:$K$1,0)),"")</f>
        <v>0</v>
      </c>
      <c r="M245" s="8" t="str">
        <f>_xlfn.IFNA(INDEX('HS Codes'!$C$2:$C2799,MATCH($B245,'HS Codes'!$A$2:$A2799,0)),"")</f>
        <v>Paperboard 100% recycled cardboard</v>
      </c>
      <c r="N245" s="9"/>
      <c r="O245" s="9"/>
      <c r="P245" s="9"/>
      <c r="Q245" s="9"/>
    </row>
    <row r="246" spans="1:17" ht="15.75" customHeight="1">
      <c r="A246" s="7" t="s">
        <v>534</v>
      </c>
      <c r="B246" s="7" t="s">
        <v>240</v>
      </c>
      <c r="C246" s="7"/>
      <c r="D246" s="7" t="s">
        <v>241</v>
      </c>
      <c r="E246" s="7" t="s">
        <v>523</v>
      </c>
      <c r="F246" s="8" t="str">
        <f>_xlfn.IFNA(INDEX('HS Codes'!$D$2:$K2800,MATCH($B246,'HS Codes'!$A$2:$A2800,0),MATCH(F$1,'HS Codes'!$D$1:$K$1,0)),"")</f>
        <v>4819.10.0040</v>
      </c>
      <c r="G246" s="8">
        <f>_xlfn.IFNA(INDEX('HS Codes'!$D$2:$K2800,MATCH($B246,'HS Codes'!$A$2:$A2800,0),MATCH(G$1,'HS Codes'!$D$1:$K$1,0)),"")</f>
        <v>4819100000</v>
      </c>
      <c r="H246" s="8">
        <f>_xlfn.IFNA(INDEX('HS Codes'!$D$2:$K2800,MATCH($B246,'HS Codes'!$A$2:$A2800,0),MATCH(H$1,'HS Codes'!$D$1:$K$1,0)),"")</f>
        <v>4819100000</v>
      </c>
      <c r="I246" s="8">
        <f>_xlfn.IFNA(INDEX('HS Codes'!$D$2:$K2800,MATCH($B246,'HS Codes'!$A$2:$A2800,0),MATCH(I$1,'HS Codes'!$D$1:$K$1,0)),"")</f>
        <v>48191000</v>
      </c>
      <c r="J246" s="8">
        <f>_xlfn.IFNA(INDEX('HS Codes'!$D$2:$K2800,MATCH($B246,'HS Codes'!$A$2:$A2800,0),MATCH(J$1,'HS Codes'!$D$1:$K$1,0)),"")</f>
        <v>0</v>
      </c>
      <c r="K246" s="8" t="str">
        <f>_xlfn.IFNA(INDEX('HS Codes'!$D$2:$K2800,MATCH($B246,'HS Codes'!$A$2:$A2800,0),MATCH(K$1,'HS Codes'!$D$1:$K$1,0)),"")</f>
        <v>4819.10.00</v>
      </c>
      <c r="L246" s="8">
        <f>_xlfn.IFNA(INDEX('HS Codes'!$D$2:$K2800,MATCH($B246,'HS Codes'!$A$2:$A2800,0),MATCH(L$1,'HS Codes'!$D$1:$K$1,0)),"")</f>
        <v>0</v>
      </c>
      <c r="M246" s="8" t="str">
        <f>_xlfn.IFNA(INDEX('HS Codes'!$C$2:$C2800,MATCH($B246,'HS Codes'!$A$2:$A2800,0)),"")</f>
        <v>Paperboard 100% recycled cardboard</v>
      </c>
      <c r="N246" s="9"/>
      <c r="O246" s="9"/>
      <c r="P246" s="9"/>
      <c r="Q246" s="9"/>
    </row>
    <row r="247" spans="1:17" ht="15.75" customHeight="1">
      <c r="A247" s="7" t="s">
        <v>535</v>
      </c>
      <c r="B247" s="7" t="s">
        <v>240</v>
      </c>
      <c r="C247" s="7"/>
      <c r="D247" s="7" t="s">
        <v>241</v>
      </c>
      <c r="E247" s="7" t="s">
        <v>523</v>
      </c>
      <c r="F247" s="8" t="str">
        <f>_xlfn.IFNA(INDEX('HS Codes'!$D$2:$K2801,MATCH($B247,'HS Codes'!$A$2:$A2801,0),MATCH(F$1,'HS Codes'!$D$1:$K$1,0)),"")</f>
        <v>4819.10.0040</v>
      </c>
      <c r="G247" s="8">
        <f>_xlfn.IFNA(INDEX('HS Codes'!$D$2:$K2801,MATCH($B247,'HS Codes'!$A$2:$A2801,0),MATCH(G$1,'HS Codes'!$D$1:$K$1,0)),"")</f>
        <v>4819100000</v>
      </c>
      <c r="H247" s="8">
        <f>_xlfn.IFNA(INDEX('HS Codes'!$D$2:$K2801,MATCH($B247,'HS Codes'!$A$2:$A2801,0),MATCH(H$1,'HS Codes'!$D$1:$K$1,0)),"")</f>
        <v>4819100000</v>
      </c>
      <c r="I247" s="8">
        <f>_xlfn.IFNA(INDEX('HS Codes'!$D$2:$K2801,MATCH($B247,'HS Codes'!$A$2:$A2801,0),MATCH(I$1,'HS Codes'!$D$1:$K$1,0)),"")</f>
        <v>48191000</v>
      </c>
      <c r="J247" s="8">
        <f>_xlfn.IFNA(INDEX('HS Codes'!$D$2:$K2801,MATCH($B247,'HS Codes'!$A$2:$A2801,0),MATCH(J$1,'HS Codes'!$D$1:$K$1,0)),"")</f>
        <v>0</v>
      </c>
      <c r="K247" s="8" t="str">
        <f>_xlfn.IFNA(INDEX('HS Codes'!$D$2:$K2801,MATCH($B247,'HS Codes'!$A$2:$A2801,0),MATCH(K$1,'HS Codes'!$D$1:$K$1,0)),"")</f>
        <v>4819.10.00</v>
      </c>
      <c r="L247" s="8">
        <f>_xlfn.IFNA(INDEX('HS Codes'!$D$2:$K2801,MATCH($B247,'HS Codes'!$A$2:$A2801,0),MATCH(L$1,'HS Codes'!$D$1:$K$1,0)),"")</f>
        <v>0</v>
      </c>
      <c r="M247" s="8" t="str">
        <f>_xlfn.IFNA(INDEX('HS Codes'!$C$2:$C2801,MATCH($B247,'HS Codes'!$A$2:$A2801,0)),"")</f>
        <v>Paperboard 100% recycled cardboard</v>
      </c>
      <c r="N247" s="9"/>
      <c r="O247" s="9"/>
      <c r="P247" s="9"/>
      <c r="Q247" s="9"/>
    </row>
    <row r="248" spans="1:17" ht="15.75" customHeight="1">
      <c r="A248" s="7" t="s">
        <v>536</v>
      </c>
      <c r="B248" s="7" t="s">
        <v>240</v>
      </c>
      <c r="C248" s="7"/>
      <c r="D248" s="7" t="s">
        <v>241</v>
      </c>
      <c r="E248" s="7" t="s">
        <v>523</v>
      </c>
      <c r="F248" s="8" t="str">
        <f>_xlfn.IFNA(INDEX('HS Codes'!$D$2:$K2802,MATCH($B248,'HS Codes'!$A$2:$A2802,0),MATCH(F$1,'HS Codes'!$D$1:$K$1,0)),"")</f>
        <v>4819.10.0040</v>
      </c>
      <c r="G248" s="8">
        <f>_xlfn.IFNA(INDEX('HS Codes'!$D$2:$K2802,MATCH($B248,'HS Codes'!$A$2:$A2802,0),MATCH(G$1,'HS Codes'!$D$1:$K$1,0)),"")</f>
        <v>4819100000</v>
      </c>
      <c r="H248" s="8">
        <f>_xlfn.IFNA(INDEX('HS Codes'!$D$2:$K2802,MATCH($B248,'HS Codes'!$A$2:$A2802,0),MATCH(H$1,'HS Codes'!$D$1:$K$1,0)),"")</f>
        <v>4819100000</v>
      </c>
      <c r="I248" s="8">
        <f>_xlfn.IFNA(INDEX('HS Codes'!$D$2:$K2802,MATCH($B248,'HS Codes'!$A$2:$A2802,0),MATCH(I$1,'HS Codes'!$D$1:$K$1,0)),"")</f>
        <v>48191000</v>
      </c>
      <c r="J248" s="8">
        <f>_xlfn.IFNA(INDEX('HS Codes'!$D$2:$K2802,MATCH($B248,'HS Codes'!$A$2:$A2802,0),MATCH(J$1,'HS Codes'!$D$1:$K$1,0)),"")</f>
        <v>0</v>
      </c>
      <c r="K248" s="8" t="str">
        <f>_xlfn.IFNA(INDEX('HS Codes'!$D$2:$K2802,MATCH($B248,'HS Codes'!$A$2:$A2802,0),MATCH(K$1,'HS Codes'!$D$1:$K$1,0)),"")</f>
        <v>4819.10.00</v>
      </c>
      <c r="L248" s="8">
        <f>_xlfn.IFNA(INDEX('HS Codes'!$D$2:$K2802,MATCH($B248,'HS Codes'!$A$2:$A2802,0),MATCH(L$1,'HS Codes'!$D$1:$K$1,0)),"")</f>
        <v>0</v>
      </c>
      <c r="M248" s="8" t="str">
        <f>_xlfn.IFNA(INDEX('HS Codes'!$C$2:$C2802,MATCH($B248,'HS Codes'!$A$2:$A2802,0)),"")</f>
        <v>Paperboard 100% recycled cardboard</v>
      </c>
      <c r="N248" s="9"/>
      <c r="O248" s="9"/>
      <c r="P248" s="9"/>
      <c r="Q248" s="9"/>
    </row>
    <row r="249" spans="1:17" ht="15.75" customHeight="1">
      <c r="A249" s="7" t="s">
        <v>537</v>
      </c>
      <c r="B249" s="7" t="s">
        <v>240</v>
      </c>
      <c r="C249" s="7"/>
      <c r="D249" s="7" t="s">
        <v>241</v>
      </c>
      <c r="E249" s="7" t="s">
        <v>523</v>
      </c>
      <c r="F249" s="8" t="str">
        <f>_xlfn.IFNA(INDEX('HS Codes'!$D$2:$K2803,MATCH($B249,'HS Codes'!$A$2:$A2803,0),MATCH(F$1,'HS Codes'!$D$1:$K$1,0)),"")</f>
        <v>4819.10.0040</v>
      </c>
      <c r="G249" s="8">
        <f>_xlfn.IFNA(INDEX('HS Codes'!$D$2:$K2803,MATCH($B249,'HS Codes'!$A$2:$A2803,0),MATCH(G$1,'HS Codes'!$D$1:$K$1,0)),"")</f>
        <v>4819100000</v>
      </c>
      <c r="H249" s="8">
        <f>_xlfn.IFNA(INDEX('HS Codes'!$D$2:$K2803,MATCH($B249,'HS Codes'!$A$2:$A2803,0),MATCH(H$1,'HS Codes'!$D$1:$K$1,0)),"")</f>
        <v>4819100000</v>
      </c>
      <c r="I249" s="8">
        <f>_xlfn.IFNA(INDEX('HS Codes'!$D$2:$K2803,MATCH($B249,'HS Codes'!$A$2:$A2803,0),MATCH(I$1,'HS Codes'!$D$1:$K$1,0)),"")</f>
        <v>48191000</v>
      </c>
      <c r="J249" s="8">
        <f>_xlfn.IFNA(INDEX('HS Codes'!$D$2:$K2803,MATCH($B249,'HS Codes'!$A$2:$A2803,0),MATCH(J$1,'HS Codes'!$D$1:$K$1,0)),"")</f>
        <v>0</v>
      </c>
      <c r="K249" s="8" t="str">
        <f>_xlfn.IFNA(INDEX('HS Codes'!$D$2:$K2803,MATCH($B249,'HS Codes'!$A$2:$A2803,0),MATCH(K$1,'HS Codes'!$D$1:$K$1,0)),"")</f>
        <v>4819.10.00</v>
      </c>
      <c r="L249" s="8">
        <f>_xlfn.IFNA(INDEX('HS Codes'!$D$2:$K2803,MATCH($B249,'HS Codes'!$A$2:$A2803,0),MATCH(L$1,'HS Codes'!$D$1:$K$1,0)),"")</f>
        <v>0</v>
      </c>
      <c r="M249" s="8" t="str">
        <f>_xlfn.IFNA(INDEX('HS Codes'!$C$2:$C2803,MATCH($B249,'HS Codes'!$A$2:$A2803,0)),"")</f>
        <v>Paperboard 100% recycled cardboard</v>
      </c>
      <c r="N249" s="9"/>
      <c r="O249" s="9"/>
      <c r="P249" s="9"/>
      <c r="Q249" s="9"/>
    </row>
    <row r="250" spans="1:17" ht="15.75" customHeight="1">
      <c r="A250" s="7" t="s">
        <v>538</v>
      </c>
      <c r="B250" s="7" t="s">
        <v>240</v>
      </c>
      <c r="C250" s="7"/>
      <c r="D250" s="7" t="s">
        <v>241</v>
      </c>
      <c r="E250" s="7" t="s">
        <v>523</v>
      </c>
      <c r="F250" s="8" t="str">
        <f>_xlfn.IFNA(INDEX('HS Codes'!$D$2:$K2804,MATCH($B250,'HS Codes'!$A$2:$A2804,0),MATCH(F$1,'HS Codes'!$D$1:$K$1,0)),"")</f>
        <v>4819.10.0040</v>
      </c>
      <c r="G250" s="8">
        <f>_xlfn.IFNA(INDEX('HS Codes'!$D$2:$K2804,MATCH($B250,'HS Codes'!$A$2:$A2804,0),MATCH(G$1,'HS Codes'!$D$1:$K$1,0)),"")</f>
        <v>4819100000</v>
      </c>
      <c r="H250" s="8">
        <f>_xlfn.IFNA(INDEX('HS Codes'!$D$2:$K2804,MATCH($B250,'HS Codes'!$A$2:$A2804,0),MATCH(H$1,'HS Codes'!$D$1:$K$1,0)),"")</f>
        <v>4819100000</v>
      </c>
      <c r="I250" s="8">
        <f>_xlfn.IFNA(INDEX('HS Codes'!$D$2:$K2804,MATCH($B250,'HS Codes'!$A$2:$A2804,0),MATCH(I$1,'HS Codes'!$D$1:$K$1,0)),"")</f>
        <v>48191000</v>
      </c>
      <c r="J250" s="8">
        <f>_xlfn.IFNA(INDEX('HS Codes'!$D$2:$K2804,MATCH($B250,'HS Codes'!$A$2:$A2804,0),MATCH(J$1,'HS Codes'!$D$1:$K$1,0)),"")</f>
        <v>0</v>
      </c>
      <c r="K250" s="8" t="str">
        <f>_xlfn.IFNA(INDEX('HS Codes'!$D$2:$K2804,MATCH($B250,'HS Codes'!$A$2:$A2804,0),MATCH(K$1,'HS Codes'!$D$1:$K$1,0)),"")</f>
        <v>4819.10.00</v>
      </c>
      <c r="L250" s="8">
        <f>_xlfn.IFNA(INDEX('HS Codes'!$D$2:$K2804,MATCH($B250,'HS Codes'!$A$2:$A2804,0),MATCH(L$1,'HS Codes'!$D$1:$K$1,0)),"")</f>
        <v>0</v>
      </c>
      <c r="M250" s="8" t="str">
        <f>_xlfn.IFNA(INDEX('HS Codes'!$C$2:$C2804,MATCH($B250,'HS Codes'!$A$2:$A2804,0)),"")</f>
        <v>Paperboard 100% recycled cardboard</v>
      </c>
      <c r="N250" s="9"/>
      <c r="O250" s="9"/>
      <c r="P250" s="9"/>
      <c r="Q250" s="9"/>
    </row>
    <row r="251" spans="1:17" ht="15.75" customHeight="1">
      <c r="A251" s="7" t="s">
        <v>539</v>
      </c>
      <c r="B251" s="7" t="s">
        <v>240</v>
      </c>
      <c r="C251" s="7"/>
      <c r="D251" s="7" t="s">
        <v>241</v>
      </c>
      <c r="E251" s="7" t="s">
        <v>523</v>
      </c>
      <c r="F251" s="8" t="str">
        <f>_xlfn.IFNA(INDEX('HS Codes'!$D$2:$K2805,MATCH($B251,'HS Codes'!$A$2:$A2805,0),MATCH(F$1,'HS Codes'!$D$1:$K$1,0)),"")</f>
        <v>4819.10.0040</v>
      </c>
      <c r="G251" s="8">
        <f>_xlfn.IFNA(INDEX('HS Codes'!$D$2:$K2805,MATCH($B251,'HS Codes'!$A$2:$A2805,0),MATCH(G$1,'HS Codes'!$D$1:$K$1,0)),"")</f>
        <v>4819100000</v>
      </c>
      <c r="H251" s="8">
        <f>_xlfn.IFNA(INDEX('HS Codes'!$D$2:$K2805,MATCH($B251,'HS Codes'!$A$2:$A2805,0),MATCH(H$1,'HS Codes'!$D$1:$K$1,0)),"")</f>
        <v>4819100000</v>
      </c>
      <c r="I251" s="8">
        <f>_xlfn.IFNA(INDEX('HS Codes'!$D$2:$K2805,MATCH($B251,'HS Codes'!$A$2:$A2805,0),MATCH(I$1,'HS Codes'!$D$1:$K$1,0)),"")</f>
        <v>48191000</v>
      </c>
      <c r="J251" s="8">
        <f>_xlfn.IFNA(INDEX('HS Codes'!$D$2:$K2805,MATCH($B251,'HS Codes'!$A$2:$A2805,0),MATCH(J$1,'HS Codes'!$D$1:$K$1,0)),"")</f>
        <v>0</v>
      </c>
      <c r="K251" s="8" t="str">
        <f>_xlfn.IFNA(INDEX('HS Codes'!$D$2:$K2805,MATCH($B251,'HS Codes'!$A$2:$A2805,0),MATCH(K$1,'HS Codes'!$D$1:$K$1,0)),"")</f>
        <v>4819.10.00</v>
      </c>
      <c r="L251" s="8">
        <f>_xlfn.IFNA(INDEX('HS Codes'!$D$2:$K2805,MATCH($B251,'HS Codes'!$A$2:$A2805,0),MATCH(L$1,'HS Codes'!$D$1:$K$1,0)),"")</f>
        <v>0</v>
      </c>
      <c r="M251" s="8" t="str">
        <f>_xlfn.IFNA(INDEX('HS Codes'!$C$2:$C2805,MATCH($B251,'HS Codes'!$A$2:$A2805,0)),"")</f>
        <v>Paperboard 100% recycled cardboard</v>
      </c>
      <c r="N251" s="9"/>
      <c r="O251" s="9"/>
      <c r="P251" s="9"/>
      <c r="Q251" s="9"/>
    </row>
    <row r="252" spans="1:17" ht="15.75" customHeight="1">
      <c r="A252" s="7" t="s">
        <v>540</v>
      </c>
      <c r="B252" s="7" t="s">
        <v>240</v>
      </c>
      <c r="C252" s="7"/>
      <c r="D252" s="7" t="s">
        <v>241</v>
      </c>
      <c r="E252" s="7" t="s">
        <v>523</v>
      </c>
      <c r="F252" s="8" t="str">
        <f>_xlfn.IFNA(INDEX('HS Codes'!$D$2:$K2806,MATCH($B252,'HS Codes'!$A$2:$A2806,0),MATCH(F$1,'HS Codes'!$D$1:$K$1,0)),"")</f>
        <v>4819.10.0040</v>
      </c>
      <c r="G252" s="8">
        <f>_xlfn.IFNA(INDEX('HS Codes'!$D$2:$K2806,MATCH($B252,'HS Codes'!$A$2:$A2806,0),MATCH(G$1,'HS Codes'!$D$1:$K$1,0)),"")</f>
        <v>4819100000</v>
      </c>
      <c r="H252" s="8">
        <f>_xlfn.IFNA(INDEX('HS Codes'!$D$2:$K2806,MATCH($B252,'HS Codes'!$A$2:$A2806,0),MATCH(H$1,'HS Codes'!$D$1:$K$1,0)),"")</f>
        <v>4819100000</v>
      </c>
      <c r="I252" s="8">
        <f>_xlfn.IFNA(INDEX('HS Codes'!$D$2:$K2806,MATCH($B252,'HS Codes'!$A$2:$A2806,0),MATCH(I$1,'HS Codes'!$D$1:$K$1,0)),"")</f>
        <v>48191000</v>
      </c>
      <c r="J252" s="8">
        <f>_xlfn.IFNA(INDEX('HS Codes'!$D$2:$K2806,MATCH($B252,'HS Codes'!$A$2:$A2806,0),MATCH(J$1,'HS Codes'!$D$1:$K$1,0)),"")</f>
        <v>0</v>
      </c>
      <c r="K252" s="8" t="str">
        <f>_xlfn.IFNA(INDEX('HS Codes'!$D$2:$K2806,MATCH($B252,'HS Codes'!$A$2:$A2806,0),MATCH(K$1,'HS Codes'!$D$1:$K$1,0)),"")</f>
        <v>4819.10.00</v>
      </c>
      <c r="L252" s="8">
        <f>_xlfn.IFNA(INDEX('HS Codes'!$D$2:$K2806,MATCH($B252,'HS Codes'!$A$2:$A2806,0),MATCH(L$1,'HS Codes'!$D$1:$K$1,0)),"")</f>
        <v>0</v>
      </c>
      <c r="M252" s="8" t="str">
        <f>_xlfn.IFNA(INDEX('HS Codes'!$C$2:$C2806,MATCH($B252,'HS Codes'!$A$2:$A2806,0)),"")</f>
        <v>Paperboard 100% recycled cardboard</v>
      </c>
      <c r="N252" s="9"/>
      <c r="O252" s="9"/>
      <c r="P252" s="9"/>
      <c r="Q252" s="9"/>
    </row>
    <row r="253" spans="1:17" ht="15.75" customHeight="1">
      <c r="A253" s="7" t="s">
        <v>541</v>
      </c>
      <c r="B253" s="7" t="s">
        <v>240</v>
      </c>
      <c r="C253" s="7"/>
      <c r="D253" s="7" t="s">
        <v>241</v>
      </c>
      <c r="E253" s="7" t="s">
        <v>523</v>
      </c>
      <c r="F253" s="8" t="str">
        <f>_xlfn.IFNA(INDEX('HS Codes'!$D$2:$K2807,MATCH($B253,'HS Codes'!$A$2:$A2807,0),MATCH(F$1,'HS Codes'!$D$1:$K$1,0)),"")</f>
        <v>4819.10.0040</v>
      </c>
      <c r="G253" s="8">
        <f>_xlfn.IFNA(INDEX('HS Codes'!$D$2:$K2807,MATCH($B253,'HS Codes'!$A$2:$A2807,0),MATCH(G$1,'HS Codes'!$D$1:$K$1,0)),"")</f>
        <v>4819100000</v>
      </c>
      <c r="H253" s="8">
        <f>_xlfn.IFNA(INDEX('HS Codes'!$D$2:$K2807,MATCH($B253,'HS Codes'!$A$2:$A2807,0),MATCH(H$1,'HS Codes'!$D$1:$K$1,0)),"")</f>
        <v>4819100000</v>
      </c>
      <c r="I253" s="8">
        <f>_xlfn.IFNA(INDEX('HS Codes'!$D$2:$K2807,MATCH($B253,'HS Codes'!$A$2:$A2807,0),MATCH(I$1,'HS Codes'!$D$1:$K$1,0)),"")</f>
        <v>48191000</v>
      </c>
      <c r="J253" s="8">
        <f>_xlfn.IFNA(INDEX('HS Codes'!$D$2:$K2807,MATCH($B253,'HS Codes'!$A$2:$A2807,0),MATCH(J$1,'HS Codes'!$D$1:$K$1,0)),"")</f>
        <v>0</v>
      </c>
      <c r="K253" s="8" t="str">
        <f>_xlfn.IFNA(INDEX('HS Codes'!$D$2:$K2807,MATCH($B253,'HS Codes'!$A$2:$A2807,0),MATCH(K$1,'HS Codes'!$D$1:$K$1,0)),"")</f>
        <v>4819.10.00</v>
      </c>
      <c r="L253" s="8">
        <f>_xlfn.IFNA(INDEX('HS Codes'!$D$2:$K2807,MATCH($B253,'HS Codes'!$A$2:$A2807,0),MATCH(L$1,'HS Codes'!$D$1:$K$1,0)),"")</f>
        <v>0</v>
      </c>
      <c r="M253" s="8" t="str">
        <f>_xlfn.IFNA(INDEX('HS Codes'!$C$2:$C2807,MATCH($B253,'HS Codes'!$A$2:$A2807,0)),"")</f>
        <v>Paperboard 100% recycled cardboard</v>
      </c>
      <c r="N253" s="9"/>
      <c r="O253" s="9"/>
      <c r="P253" s="9"/>
      <c r="Q253" s="9"/>
    </row>
    <row r="254" spans="1:17" ht="15.75" customHeight="1">
      <c r="A254" s="7" t="s">
        <v>542</v>
      </c>
      <c r="B254" s="7" t="s">
        <v>240</v>
      </c>
      <c r="C254" s="7"/>
      <c r="D254" s="7" t="s">
        <v>241</v>
      </c>
      <c r="E254" s="7" t="s">
        <v>523</v>
      </c>
      <c r="F254" s="8" t="str">
        <f>_xlfn.IFNA(INDEX('HS Codes'!$D$2:$K2808,MATCH($B254,'HS Codes'!$A$2:$A2808,0),MATCH(F$1,'HS Codes'!$D$1:$K$1,0)),"")</f>
        <v>4819.10.0040</v>
      </c>
      <c r="G254" s="8">
        <f>_xlfn.IFNA(INDEX('HS Codes'!$D$2:$K2808,MATCH($B254,'HS Codes'!$A$2:$A2808,0),MATCH(G$1,'HS Codes'!$D$1:$K$1,0)),"")</f>
        <v>4819100000</v>
      </c>
      <c r="H254" s="8">
        <f>_xlfn.IFNA(INDEX('HS Codes'!$D$2:$K2808,MATCH($B254,'HS Codes'!$A$2:$A2808,0),MATCH(H$1,'HS Codes'!$D$1:$K$1,0)),"")</f>
        <v>4819100000</v>
      </c>
      <c r="I254" s="8">
        <f>_xlfn.IFNA(INDEX('HS Codes'!$D$2:$K2808,MATCH($B254,'HS Codes'!$A$2:$A2808,0),MATCH(I$1,'HS Codes'!$D$1:$K$1,0)),"")</f>
        <v>48191000</v>
      </c>
      <c r="J254" s="8">
        <f>_xlfn.IFNA(INDEX('HS Codes'!$D$2:$K2808,MATCH($B254,'HS Codes'!$A$2:$A2808,0),MATCH(J$1,'HS Codes'!$D$1:$K$1,0)),"")</f>
        <v>0</v>
      </c>
      <c r="K254" s="8" t="str">
        <f>_xlfn.IFNA(INDEX('HS Codes'!$D$2:$K2808,MATCH($B254,'HS Codes'!$A$2:$A2808,0),MATCH(K$1,'HS Codes'!$D$1:$K$1,0)),"")</f>
        <v>4819.10.00</v>
      </c>
      <c r="L254" s="8">
        <f>_xlfn.IFNA(INDEX('HS Codes'!$D$2:$K2808,MATCH($B254,'HS Codes'!$A$2:$A2808,0),MATCH(L$1,'HS Codes'!$D$1:$K$1,0)),"")</f>
        <v>0</v>
      </c>
      <c r="M254" s="8" t="str">
        <f>_xlfn.IFNA(INDEX('HS Codes'!$C$2:$C2808,MATCH($B254,'HS Codes'!$A$2:$A2808,0)),"")</f>
        <v>Paperboard 100% recycled cardboard</v>
      </c>
      <c r="N254" s="9"/>
      <c r="O254" s="9"/>
      <c r="P254" s="9"/>
      <c r="Q254" s="9"/>
    </row>
    <row r="255" spans="1:17" ht="15.75" customHeight="1">
      <c r="A255" s="7" t="s">
        <v>543</v>
      </c>
      <c r="B255" s="7" t="s">
        <v>240</v>
      </c>
      <c r="C255" s="7"/>
      <c r="D255" s="7" t="s">
        <v>241</v>
      </c>
      <c r="E255" s="7" t="s">
        <v>523</v>
      </c>
      <c r="F255" s="8" t="str">
        <f>_xlfn.IFNA(INDEX('HS Codes'!$D$2:$K2809,MATCH($B255,'HS Codes'!$A$2:$A2809,0),MATCH(F$1,'HS Codes'!$D$1:$K$1,0)),"")</f>
        <v>4819.10.0040</v>
      </c>
      <c r="G255" s="8">
        <f>_xlfn.IFNA(INDEX('HS Codes'!$D$2:$K2809,MATCH($B255,'HS Codes'!$A$2:$A2809,0),MATCH(G$1,'HS Codes'!$D$1:$K$1,0)),"")</f>
        <v>4819100000</v>
      </c>
      <c r="H255" s="8">
        <f>_xlfn.IFNA(INDEX('HS Codes'!$D$2:$K2809,MATCH($B255,'HS Codes'!$A$2:$A2809,0),MATCH(H$1,'HS Codes'!$D$1:$K$1,0)),"")</f>
        <v>4819100000</v>
      </c>
      <c r="I255" s="8">
        <f>_xlfn.IFNA(INDEX('HS Codes'!$D$2:$K2809,MATCH($B255,'HS Codes'!$A$2:$A2809,0),MATCH(I$1,'HS Codes'!$D$1:$K$1,0)),"")</f>
        <v>48191000</v>
      </c>
      <c r="J255" s="8">
        <f>_xlfn.IFNA(INDEX('HS Codes'!$D$2:$K2809,MATCH($B255,'HS Codes'!$A$2:$A2809,0),MATCH(J$1,'HS Codes'!$D$1:$K$1,0)),"")</f>
        <v>0</v>
      </c>
      <c r="K255" s="8" t="str">
        <f>_xlfn.IFNA(INDEX('HS Codes'!$D$2:$K2809,MATCH($B255,'HS Codes'!$A$2:$A2809,0),MATCH(K$1,'HS Codes'!$D$1:$K$1,0)),"")</f>
        <v>4819.10.00</v>
      </c>
      <c r="L255" s="8">
        <f>_xlfn.IFNA(INDEX('HS Codes'!$D$2:$K2809,MATCH($B255,'HS Codes'!$A$2:$A2809,0),MATCH(L$1,'HS Codes'!$D$1:$K$1,0)),"")</f>
        <v>0</v>
      </c>
      <c r="M255" s="8" t="str">
        <f>_xlfn.IFNA(INDEX('HS Codes'!$C$2:$C2809,MATCH($B255,'HS Codes'!$A$2:$A2809,0)),"")</f>
        <v>Paperboard 100% recycled cardboard</v>
      </c>
      <c r="N255" s="9"/>
      <c r="O255" s="9"/>
      <c r="P255" s="9"/>
      <c r="Q255" s="9"/>
    </row>
    <row r="256" spans="1:17" ht="15.75" customHeight="1">
      <c r="A256" s="7" t="s">
        <v>544</v>
      </c>
      <c r="B256" s="7" t="s">
        <v>240</v>
      </c>
      <c r="C256" s="7"/>
      <c r="D256" s="7" t="s">
        <v>241</v>
      </c>
      <c r="E256" s="7" t="s">
        <v>523</v>
      </c>
      <c r="F256" s="8" t="str">
        <f>_xlfn.IFNA(INDEX('HS Codes'!$D$2:$K2810,MATCH($B256,'HS Codes'!$A$2:$A2810,0),MATCH(F$1,'HS Codes'!$D$1:$K$1,0)),"")</f>
        <v>4819.10.0040</v>
      </c>
      <c r="G256" s="8">
        <f>_xlfn.IFNA(INDEX('HS Codes'!$D$2:$K2810,MATCH($B256,'HS Codes'!$A$2:$A2810,0),MATCH(G$1,'HS Codes'!$D$1:$K$1,0)),"")</f>
        <v>4819100000</v>
      </c>
      <c r="H256" s="8">
        <f>_xlfn.IFNA(INDEX('HS Codes'!$D$2:$K2810,MATCH($B256,'HS Codes'!$A$2:$A2810,0),MATCH(H$1,'HS Codes'!$D$1:$K$1,0)),"")</f>
        <v>4819100000</v>
      </c>
      <c r="I256" s="8">
        <f>_xlfn.IFNA(INDEX('HS Codes'!$D$2:$K2810,MATCH($B256,'HS Codes'!$A$2:$A2810,0),MATCH(I$1,'HS Codes'!$D$1:$K$1,0)),"")</f>
        <v>48191000</v>
      </c>
      <c r="J256" s="8">
        <f>_xlfn.IFNA(INDEX('HS Codes'!$D$2:$K2810,MATCH($B256,'HS Codes'!$A$2:$A2810,0),MATCH(J$1,'HS Codes'!$D$1:$K$1,0)),"")</f>
        <v>0</v>
      </c>
      <c r="K256" s="8" t="str">
        <f>_xlfn.IFNA(INDEX('HS Codes'!$D$2:$K2810,MATCH($B256,'HS Codes'!$A$2:$A2810,0),MATCH(K$1,'HS Codes'!$D$1:$K$1,0)),"")</f>
        <v>4819.10.00</v>
      </c>
      <c r="L256" s="8">
        <f>_xlfn.IFNA(INDEX('HS Codes'!$D$2:$K2810,MATCH($B256,'HS Codes'!$A$2:$A2810,0),MATCH(L$1,'HS Codes'!$D$1:$K$1,0)),"")</f>
        <v>0</v>
      </c>
      <c r="M256" s="8" t="str">
        <f>_xlfn.IFNA(INDEX('HS Codes'!$C$2:$C2810,MATCH($B256,'HS Codes'!$A$2:$A2810,0)),"")</f>
        <v>Paperboard 100% recycled cardboard</v>
      </c>
      <c r="N256" s="9"/>
      <c r="O256" s="9"/>
      <c r="P256" s="9"/>
      <c r="Q256" s="9"/>
    </row>
    <row r="257" spans="1:17" ht="15.75" customHeight="1">
      <c r="A257" s="7" t="s">
        <v>545</v>
      </c>
      <c r="B257" s="7" t="s">
        <v>240</v>
      </c>
      <c r="C257" s="7"/>
      <c r="D257" s="7" t="s">
        <v>241</v>
      </c>
      <c r="E257" s="7" t="s">
        <v>523</v>
      </c>
      <c r="F257" s="8" t="str">
        <f>_xlfn.IFNA(INDEX('HS Codes'!$D$2:$K2811,MATCH($B257,'HS Codes'!$A$2:$A2811,0),MATCH(F$1,'HS Codes'!$D$1:$K$1,0)),"")</f>
        <v>4819.10.0040</v>
      </c>
      <c r="G257" s="8">
        <f>_xlfn.IFNA(INDEX('HS Codes'!$D$2:$K2811,MATCH($B257,'HS Codes'!$A$2:$A2811,0),MATCH(G$1,'HS Codes'!$D$1:$K$1,0)),"")</f>
        <v>4819100000</v>
      </c>
      <c r="H257" s="8">
        <f>_xlfn.IFNA(INDEX('HS Codes'!$D$2:$K2811,MATCH($B257,'HS Codes'!$A$2:$A2811,0),MATCH(H$1,'HS Codes'!$D$1:$K$1,0)),"")</f>
        <v>4819100000</v>
      </c>
      <c r="I257" s="8">
        <f>_xlfn.IFNA(INDEX('HS Codes'!$D$2:$K2811,MATCH($B257,'HS Codes'!$A$2:$A2811,0),MATCH(I$1,'HS Codes'!$D$1:$K$1,0)),"")</f>
        <v>48191000</v>
      </c>
      <c r="J257" s="8">
        <f>_xlfn.IFNA(INDEX('HS Codes'!$D$2:$K2811,MATCH($B257,'HS Codes'!$A$2:$A2811,0),MATCH(J$1,'HS Codes'!$D$1:$K$1,0)),"")</f>
        <v>0</v>
      </c>
      <c r="K257" s="8" t="str">
        <f>_xlfn.IFNA(INDEX('HS Codes'!$D$2:$K2811,MATCH($B257,'HS Codes'!$A$2:$A2811,0),MATCH(K$1,'HS Codes'!$D$1:$K$1,0)),"")</f>
        <v>4819.10.00</v>
      </c>
      <c r="L257" s="8">
        <f>_xlfn.IFNA(INDEX('HS Codes'!$D$2:$K2811,MATCH($B257,'HS Codes'!$A$2:$A2811,0),MATCH(L$1,'HS Codes'!$D$1:$K$1,0)),"")</f>
        <v>0</v>
      </c>
      <c r="M257" s="8" t="str">
        <f>_xlfn.IFNA(INDEX('HS Codes'!$C$2:$C2811,MATCH($B257,'HS Codes'!$A$2:$A2811,0)),"")</f>
        <v>Paperboard 100% recycled cardboard</v>
      </c>
      <c r="N257" s="9"/>
      <c r="O257" s="9"/>
      <c r="P257" s="9"/>
      <c r="Q257" s="9"/>
    </row>
    <row r="258" spans="1:17" ht="15.75" customHeight="1">
      <c r="A258" s="7" t="s">
        <v>546</v>
      </c>
      <c r="B258" s="7" t="s">
        <v>240</v>
      </c>
      <c r="C258" s="7"/>
      <c r="D258" s="7" t="s">
        <v>241</v>
      </c>
      <c r="E258" s="7" t="s">
        <v>523</v>
      </c>
      <c r="F258" s="8" t="str">
        <f>_xlfn.IFNA(INDEX('HS Codes'!$D$2:$K2812,MATCH($B258,'HS Codes'!$A$2:$A2812,0),MATCH(F$1,'HS Codes'!$D$1:$K$1,0)),"")</f>
        <v>4819.10.0040</v>
      </c>
      <c r="G258" s="8">
        <f>_xlfn.IFNA(INDEX('HS Codes'!$D$2:$K2812,MATCH($B258,'HS Codes'!$A$2:$A2812,0),MATCH(G$1,'HS Codes'!$D$1:$K$1,0)),"")</f>
        <v>4819100000</v>
      </c>
      <c r="H258" s="8">
        <f>_xlfn.IFNA(INDEX('HS Codes'!$D$2:$K2812,MATCH($B258,'HS Codes'!$A$2:$A2812,0),MATCH(H$1,'HS Codes'!$D$1:$K$1,0)),"")</f>
        <v>4819100000</v>
      </c>
      <c r="I258" s="8">
        <f>_xlfn.IFNA(INDEX('HS Codes'!$D$2:$K2812,MATCH($B258,'HS Codes'!$A$2:$A2812,0),MATCH(I$1,'HS Codes'!$D$1:$K$1,0)),"")</f>
        <v>48191000</v>
      </c>
      <c r="J258" s="8">
        <f>_xlfn.IFNA(INDEX('HS Codes'!$D$2:$K2812,MATCH($B258,'HS Codes'!$A$2:$A2812,0),MATCH(J$1,'HS Codes'!$D$1:$K$1,0)),"")</f>
        <v>0</v>
      </c>
      <c r="K258" s="8" t="str">
        <f>_xlfn.IFNA(INDEX('HS Codes'!$D$2:$K2812,MATCH($B258,'HS Codes'!$A$2:$A2812,0),MATCH(K$1,'HS Codes'!$D$1:$K$1,0)),"")</f>
        <v>4819.10.00</v>
      </c>
      <c r="L258" s="8">
        <f>_xlfn.IFNA(INDEX('HS Codes'!$D$2:$K2812,MATCH($B258,'HS Codes'!$A$2:$A2812,0),MATCH(L$1,'HS Codes'!$D$1:$K$1,0)),"")</f>
        <v>0</v>
      </c>
      <c r="M258" s="8" t="str">
        <f>_xlfn.IFNA(INDEX('HS Codes'!$C$2:$C2812,MATCH($B258,'HS Codes'!$A$2:$A2812,0)),"")</f>
        <v>Paperboard 100% recycled cardboard</v>
      </c>
      <c r="N258" s="9"/>
      <c r="O258" s="9"/>
      <c r="P258" s="9"/>
      <c r="Q258" s="9"/>
    </row>
    <row r="259" spans="1:17" ht="15.75" customHeight="1">
      <c r="A259" s="7" t="s">
        <v>547</v>
      </c>
      <c r="B259" s="7" t="s">
        <v>240</v>
      </c>
      <c r="C259" s="7"/>
      <c r="D259" s="7" t="s">
        <v>241</v>
      </c>
      <c r="E259" s="7" t="s">
        <v>523</v>
      </c>
      <c r="F259" s="8" t="str">
        <f>_xlfn.IFNA(INDEX('HS Codes'!$D$2:$K2813,MATCH($B259,'HS Codes'!$A$2:$A2813,0),MATCH(F$1,'HS Codes'!$D$1:$K$1,0)),"")</f>
        <v>4819.10.0040</v>
      </c>
      <c r="G259" s="8">
        <f>_xlfn.IFNA(INDEX('HS Codes'!$D$2:$K2813,MATCH($B259,'HS Codes'!$A$2:$A2813,0),MATCH(G$1,'HS Codes'!$D$1:$K$1,0)),"")</f>
        <v>4819100000</v>
      </c>
      <c r="H259" s="8">
        <f>_xlfn.IFNA(INDEX('HS Codes'!$D$2:$K2813,MATCH($B259,'HS Codes'!$A$2:$A2813,0),MATCH(H$1,'HS Codes'!$D$1:$K$1,0)),"")</f>
        <v>4819100000</v>
      </c>
      <c r="I259" s="8">
        <f>_xlfn.IFNA(INDEX('HS Codes'!$D$2:$K2813,MATCH($B259,'HS Codes'!$A$2:$A2813,0),MATCH(I$1,'HS Codes'!$D$1:$K$1,0)),"")</f>
        <v>48191000</v>
      </c>
      <c r="J259" s="8">
        <f>_xlfn.IFNA(INDEX('HS Codes'!$D$2:$K2813,MATCH($B259,'HS Codes'!$A$2:$A2813,0),MATCH(J$1,'HS Codes'!$D$1:$K$1,0)),"")</f>
        <v>0</v>
      </c>
      <c r="K259" s="8" t="str">
        <f>_xlfn.IFNA(INDEX('HS Codes'!$D$2:$K2813,MATCH($B259,'HS Codes'!$A$2:$A2813,0),MATCH(K$1,'HS Codes'!$D$1:$K$1,0)),"")</f>
        <v>4819.10.00</v>
      </c>
      <c r="L259" s="8">
        <f>_xlfn.IFNA(INDEX('HS Codes'!$D$2:$K2813,MATCH($B259,'HS Codes'!$A$2:$A2813,0),MATCH(L$1,'HS Codes'!$D$1:$K$1,0)),"")</f>
        <v>0</v>
      </c>
      <c r="M259" s="8" t="str">
        <f>_xlfn.IFNA(INDEX('HS Codes'!$C$2:$C2813,MATCH($B259,'HS Codes'!$A$2:$A2813,0)),"")</f>
        <v>Paperboard 100% recycled cardboard</v>
      </c>
      <c r="N259" s="9"/>
      <c r="O259" s="9"/>
      <c r="P259" s="9"/>
      <c r="Q259" s="9"/>
    </row>
    <row r="260" spans="1:17" ht="15.75" customHeight="1">
      <c r="A260" s="7" t="s">
        <v>548</v>
      </c>
      <c r="B260" s="7" t="s">
        <v>240</v>
      </c>
      <c r="C260" s="7"/>
      <c r="D260" s="7" t="s">
        <v>241</v>
      </c>
      <c r="E260" s="7" t="s">
        <v>523</v>
      </c>
      <c r="F260" s="8" t="str">
        <f>_xlfn.IFNA(INDEX('HS Codes'!$D$2:$K2814,MATCH($B260,'HS Codes'!$A$2:$A2814,0),MATCH(F$1,'HS Codes'!$D$1:$K$1,0)),"")</f>
        <v>4819.10.0040</v>
      </c>
      <c r="G260" s="8">
        <f>_xlfn.IFNA(INDEX('HS Codes'!$D$2:$K2814,MATCH($B260,'HS Codes'!$A$2:$A2814,0),MATCH(G$1,'HS Codes'!$D$1:$K$1,0)),"")</f>
        <v>4819100000</v>
      </c>
      <c r="H260" s="8">
        <f>_xlfn.IFNA(INDEX('HS Codes'!$D$2:$K2814,MATCH($B260,'HS Codes'!$A$2:$A2814,0),MATCH(H$1,'HS Codes'!$D$1:$K$1,0)),"")</f>
        <v>4819100000</v>
      </c>
      <c r="I260" s="8">
        <f>_xlfn.IFNA(INDEX('HS Codes'!$D$2:$K2814,MATCH($B260,'HS Codes'!$A$2:$A2814,0),MATCH(I$1,'HS Codes'!$D$1:$K$1,0)),"")</f>
        <v>48191000</v>
      </c>
      <c r="J260" s="8">
        <f>_xlfn.IFNA(INDEX('HS Codes'!$D$2:$K2814,MATCH($B260,'HS Codes'!$A$2:$A2814,0),MATCH(J$1,'HS Codes'!$D$1:$K$1,0)),"")</f>
        <v>0</v>
      </c>
      <c r="K260" s="8" t="str">
        <f>_xlfn.IFNA(INDEX('HS Codes'!$D$2:$K2814,MATCH($B260,'HS Codes'!$A$2:$A2814,0),MATCH(K$1,'HS Codes'!$D$1:$K$1,0)),"")</f>
        <v>4819.10.00</v>
      </c>
      <c r="L260" s="8">
        <f>_xlfn.IFNA(INDEX('HS Codes'!$D$2:$K2814,MATCH($B260,'HS Codes'!$A$2:$A2814,0),MATCH(L$1,'HS Codes'!$D$1:$K$1,0)),"")</f>
        <v>0</v>
      </c>
      <c r="M260" s="8" t="str">
        <f>_xlfn.IFNA(INDEX('HS Codes'!$C$2:$C2814,MATCH($B260,'HS Codes'!$A$2:$A2814,0)),"")</f>
        <v>Paperboard 100% recycled cardboard</v>
      </c>
      <c r="N260" s="9"/>
      <c r="O260" s="9"/>
      <c r="P260" s="9"/>
      <c r="Q260" s="9"/>
    </row>
    <row r="261" spans="1:17" ht="15.75" customHeight="1">
      <c r="A261" s="7" t="s">
        <v>549</v>
      </c>
      <c r="B261" s="7" t="s">
        <v>240</v>
      </c>
      <c r="C261" s="7"/>
      <c r="D261" s="7" t="s">
        <v>241</v>
      </c>
      <c r="E261" s="7" t="s">
        <v>523</v>
      </c>
      <c r="F261" s="8" t="str">
        <f>_xlfn.IFNA(INDEX('HS Codes'!$D$2:$K2815,MATCH($B261,'HS Codes'!$A$2:$A2815,0),MATCH(F$1,'HS Codes'!$D$1:$K$1,0)),"")</f>
        <v>4819.10.0040</v>
      </c>
      <c r="G261" s="8">
        <f>_xlfn.IFNA(INDEX('HS Codes'!$D$2:$K2815,MATCH($B261,'HS Codes'!$A$2:$A2815,0),MATCH(G$1,'HS Codes'!$D$1:$K$1,0)),"")</f>
        <v>4819100000</v>
      </c>
      <c r="H261" s="8">
        <f>_xlfn.IFNA(INDEX('HS Codes'!$D$2:$K2815,MATCH($B261,'HS Codes'!$A$2:$A2815,0),MATCH(H$1,'HS Codes'!$D$1:$K$1,0)),"")</f>
        <v>4819100000</v>
      </c>
      <c r="I261" s="8">
        <f>_xlfn.IFNA(INDEX('HS Codes'!$D$2:$K2815,MATCH($B261,'HS Codes'!$A$2:$A2815,0),MATCH(I$1,'HS Codes'!$D$1:$K$1,0)),"")</f>
        <v>48191000</v>
      </c>
      <c r="J261" s="8">
        <f>_xlfn.IFNA(INDEX('HS Codes'!$D$2:$K2815,MATCH($B261,'HS Codes'!$A$2:$A2815,0),MATCH(J$1,'HS Codes'!$D$1:$K$1,0)),"")</f>
        <v>0</v>
      </c>
      <c r="K261" s="8" t="str">
        <f>_xlfn.IFNA(INDEX('HS Codes'!$D$2:$K2815,MATCH($B261,'HS Codes'!$A$2:$A2815,0),MATCH(K$1,'HS Codes'!$D$1:$K$1,0)),"")</f>
        <v>4819.10.00</v>
      </c>
      <c r="L261" s="8">
        <f>_xlfn.IFNA(INDEX('HS Codes'!$D$2:$K2815,MATCH($B261,'HS Codes'!$A$2:$A2815,0),MATCH(L$1,'HS Codes'!$D$1:$K$1,0)),"")</f>
        <v>0</v>
      </c>
      <c r="M261" s="8" t="str">
        <f>_xlfn.IFNA(INDEX('HS Codes'!$C$2:$C2815,MATCH($B261,'HS Codes'!$A$2:$A2815,0)),"")</f>
        <v>Paperboard 100% recycled cardboard</v>
      </c>
      <c r="N261" s="9"/>
      <c r="O261" s="9"/>
      <c r="P261" s="9"/>
      <c r="Q261" s="9"/>
    </row>
    <row r="262" spans="1:17" ht="15.75" customHeight="1">
      <c r="A262" s="7" t="s">
        <v>550</v>
      </c>
      <c r="B262" s="7" t="s">
        <v>240</v>
      </c>
      <c r="C262" s="7"/>
      <c r="D262" s="7" t="s">
        <v>241</v>
      </c>
      <c r="E262" s="7" t="s">
        <v>523</v>
      </c>
      <c r="F262" s="8" t="str">
        <f>_xlfn.IFNA(INDEX('HS Codes'!$D$2:$K2816,MATCH($B262,'HS Codes'!$A$2:$A2816,0),MATCH(F$1,'HS Codes'!$D$1:$K$1,0)),"")</f>
        <v>4819.10.0040</v>
      </c>
      <c r="G262" s="8">
        <f>_xlfn.IFNA(INDEX('HS Codes'!$D$2:$K2816,MATCH($B262,'HS Codes'!$A$2:$A2816,0),MATCH(G$1,'HS Codes'!$D$1:$K$1,0)),"")</f>
        <v>4819100000</v>
      </c>
      <c r="H262" s="8">
        <f>_xlfn.IFNA(INDEX('HS Codes'!$D$2:$K2816,MATCH($B262,'HS Codes'!$A$2:$A2816,0),MATCH(H$1,'HS Codes'!$D$1:$K$1,0)),"")</f>
        <v>4819100000</v>
      </c>
      <c r="I262" s="8">
        <f>_xlfn.IFNA(INDEX('HS Codes'!$D$2:$K2816,MATCH($B262,'HS Codes'!$A$2:$A2816,0),MATCH(I$1,'HS Codes'!$D$1:$K$1,0)),"")</f>
        <v>48191000</v>
      </c>
      <c r="J262" s="8">
        <f>_xlfn.IFNA(INDEX('HS Codes'!$D$2:$K2816,MATCH($B262,'HS Codes'!$A$2:$A2816,0),MATCH(J$1,'HS Codes'!$D$1:$K$1,0)),"")</f>
        <v>0</v>
      </c>
      <c r="K262" s="8" t="str">
        <f>_xlfn.IFNA(INDEX('HS Codes'!$D$2:$K2816,MATCH($B262,'HS Codes'!$A$2:$A2816,0),MATCH(K$1,'HS Codes'!$D$1:$K$1,0)),"")</f>
        <v>4819.10.00</v>
      </c>
      <c r="L262" s="8">
        <f>_xlfn.IFNA(INDEX('HS Codes'!$D$2:$K2816,MATCH($B262,'HS Codes'!$A$2:$A2816,0),MATCH(L$1,'HS Codes'!$D$1:$K$1,0)),"")</f>
        <v>0</v>
      </c>
      <c r="M262" s="8" t="str">
        <f>_xlfn.IFNA(INDEX('HS Codes'!$C$2:$C2816,MATCH($B262,'HS Codes'!$A$2:$A2816,0)),"")</f>
        <v>Paperboard 100% recycled cardboard</v>
      </c>
      <c r="N262" s="9"/>
      <c r="O262" s="9"/>
      <c r="P262" s="9"/>
      <c r="Q262" s="9"/>
    </row>
    <row r="263" spans="1:17" ht="15.75" customHeight="1">
      <c r="A263" s="7" t="s">
        <v>551</v>
      </c>
      <c r="B263" s="7" t="s">
        <v>240</v>
      </c>
      <c r="C263" s="7"/>
      <c r="D263" s="7" t="s">
        <v>241</v>
      </c>
      <c r="E263" s="7" t="s">
        <v>523</v>
      </c>
      <c r="F263" s="8" t="str">
        <f>_xlfn.IFNA(INDEX('HS Codes'!$D$2:$K2817,MATCH($B263,'HS Codes'!$A$2:$A2817,0),MATCH(F$1,'HS Codes'!$D$1:$K$1,0)),"")</f>
        <v>4819.10.0040</v>
      </c>
      <c r="G263" s="8">
        <f>_xlfn.IFNA(INDEX('HS Codes'!$D$2:$K2817,MATCH($B263,'HS Codes'!$A$2:$A2817,0),MATCH(G$1,'HS Codes'!$D$1:$K$1,0)),"")</f>
        <v>4819100000</v>
      </c>
      <c r="H263" s="8">
        <f>_xlfn.IFNA(INDEX('HS Codes'!$D$2:$K2817,MATCH($B263,'HS Codes'!$A$2:$A2817,0),MATCH(H$1,'HS Codes'!$D$1:$K$1,0)),"")</f>
        <v>4819100000</v>
      </c>
      <c r="I263" s="8">
        <f>_xlfn.IFNA(INDEX('HS Codes'!$D$2:$K2817,MATCH($B263,'HS Codes'!$A$2:$A2817,0),MATCH(I$1,'HS Codes'!$D$1:$K$1,0)),"")</f>
        <v>48191000</v>
      </c>
      <c r="J263" s="8">
        <f>_xlfn.IFNA(INDEX('HS Codes'!$D$2:$K2817,MATCH($B263,'HS Codes'!$A$2:$A2817,0),MATCH(J$1,'HS Codes'!$D$1:$K$1,0)),"")</f>
        <v>0</v>
      </c>
      <c r="K263" s="8" t="str">
        <f>_xlfn.IFNA(INDEX('HS Codes'!$D$2:$K2817,MATCH($B263,'HS Codes'!$A$2:$A2817,0),MATCH(K$1,'HS Codes'!$D$1:$K$1,0)),"")</f>
        <v>4819.10.00</v>
      </c>
      <c r="L263" s="8">
        <f>_xlfn.IFNA(INDEX('HS Codes'!$D$2:$K2817,MATCH($B263,'HS Codes'!$A$2:$A2817,0),MATCH(L$1,'HS Codes'!$D$1:$K$1,0)),"")</f>
        <v>0</v>
      </c>
      <c r="M263" s="8" t="str">
        <f>_xlfn.IFNA(INDEX('HS Codes'!$C$2:$C2817,MATCH($B263,'HS Codes'!$A$2:$A2817,0)),"")</f>
        <v>Paperboard 100% recycled cardboard</v>
      </c>
      <c r="N263" s="9"/>
      <c r="O263" s="9"/>
      <c r="P263" s="9"/>
      <c r="Q263" s="9"/>
    </row>
    <row r="264" spans="1:17" ht="15.75" customHeight="1">
      <c r="A264" s="7" t="s">
        <v>552</v>
      </c>
      <c r="B264" s="7" t="s">
        <v>240</v>
      </c>
      <c r="C264" s="7"/>
      <c r="D264" s="7" t="s">
        <v>241</v>
      </c>
      <c r="E264" s="7" t="s">
        <v>523</v>
      </c>
      <c r="F264" s="8" t="str">
        <f>_xlfn.IFNA(INDEX('HS Codes'!$D$2:$K2818,MATCH($B264,'HS Codes'!$A$2:$A2818,0),MATCH(F$1,'HS Codes'!$D$1:$K$1,0)),"")</f>
        <v>4819.10.0040</v>
      </c>
      <c r="G264" s="8">
        <f>_xlfn.IFNA(INDEX('HS Codes'!$D$2:$K2818,MATCH($B264,'HS Codes'!$A$2:$A2818,0),MATCH(G$1,'HS Codes'!$D$1:$K$1,0)),"")</f>
        <v>4819100000</v>
      </c>
      <c r="H264" s="8">
        <f>_xlfn.IFNA(INDEX('HS Codes'!$D$2:$K2818,MATCH($B264,'HS Codes'!$A$2:$A2818,0),MATCH(H$1,'HS Codes'!$D$1:$K$1,0)),"")</f>
        <v>4819100000</v>
      </c>
      <c r="I264" s="8">
        <f>_xlfn.IFNA(INDEX('HS Codes'!$D$2:$K2818,MATCH($B264,'HS Codes'!$A$2:$A2818,0),MATCH(I$1,'HS Codes'!$D$1:$K$1,0)),"")</f>
        <v>48191000</v>
      </c>
      <c r="J264" s="8">
        <f>_xlfn.IFNA(INDEX('HS Codes'!$D$2:$K2818,MATCH($B264,'HS Codes'!$A$2:$A2818,0),MATCH(J$1,'HS Codes'!$D$1:$K$1,0)),"")</f>
        <v>0</v>
      </c>
      <c r="K264" s="8" t="str">
        <f>_xlfn.IFNA(INDEX('HS Codes'!$D$2:$K2818,MATCH($B264,'HS Codes'!$A$2:$A2818,0),MATCH(K$1,'HS Codes'!$D$1:$K$1,0)),"")</f>
        <v>4819.10.00</v>
      </c>
      <c r="L264" s="8">
        <f>_xlfn.IFNA(INDEX('HS Codes'!$D$2:$K2818,MATCH($B264,'HS Codes'!$A$2:$A2818,0),MATCH(L$1,'HS Codes'!$D$1:$K$1,0)),"")</f>
        <v>0</v>
      </c>
      <c r="M264" s="8" t="str">
        <f>_xlfn.IFNA(INDEX('HS Codes'!$C$2:$C2818,MATCH($B264,'HS Codes'!$A$2:$A2818,0)),"")</f>
        <v>Paperboard 100% recycled cardboard</v>
      </c>
      <c r="N264" s="9"/>
      <c r="O264" s="9"/>
      <c r="P264" s="9"/>
      <c r="Q264" s="9"/>
    </row>
    <row r="265" spans="1:17" ht="15.75" customHeight="1">
      <c r="A265" s="7" t="s">
        <v>553</v>
      </c>
      <c r="B265" s="7" t="s">
        <v>240</v>
      </c>
      <c r="C265" s="7"/>
      <c r="D265" s="7" t="s">
        <v>241</v>
      </c>
      <c r="E265" s="7" t="s">
        <v>523</v>
      </c>
      <c r="F265" s="8" t="str">
        <f>_xlfn.IFNA(INDEX('HS Codes'!$D$2:$K2819,MATCH($B265,'HS Codes'!$A$2:$A2819,0),MATCH(F$1,'HS Codes'!$D$1:$K$1,0)),"")</f>
        <v>4819.10.0040</v>
      </c>
      <c r="G265" s="8">
        <f>_xlfn.IFNA(INDEX('HS Codes'!$D$2:$K2819,MATCH($B265,'HS Codes'!$A$2:$A2819,0),MATCH(G$1,'HS Codes'!$D$1:$K$1,0)),"")</f>
        <v>4819100000</v>
      </c>
      <c r="H265" s="8">
        <f>_xlfn.IFNA(INDEX('HS Codes'!$D$2:$K2819,MATCH($B265,'HS Codes'!$A$2:$A2819,0),MATCH(H$1,'HS Codes'!$D$1:$K$1,0)),"")</f>
        <v>4819100000</v>
      </c>
      <c r="I265" s="8">
        <f>_xlfn.IFNA(INDEX('HS Codes'!$D$2:$K2819,MATCH($B265,'HS Codes'!$A$2:$A2819,0),MATCH(I$1,'HS Codes'!$D$1:$K$1,0)),"")</f>
        <v>48191000</v>
      </c>
      <c r="J265" s="8">
        <f>_xlfn.IFNA(INDEX('HS Codes'!$D$2:$K2819,MATCH($B265,'HS Codes'!$A$2:$A2819,0),MATCH(J$1,'HS Codes'!$D$1:$K$1,0)),"")</f>
        <v>0</v>
      </c>
      <c r="K265" s="8" t="str">
        <f>_xlfn.IFNA(INDEX('HS Codes'!$D$2:$K2819,MATCH($B265,'HS Codes'!$A$2:$A2819,0),MATCH(K$1,'HS Codes'!$D$1:$K$1,0)),"")</f>
        <v>4819.10.00</v>
      </c>
      <c r="L265" s="8">
        <f>_xlfn.IFNA(INDEX('HS Codes'!$D$2:$K2819,MATCH($B265,'HS Codes'!$A$2:$A2819,0),MATCH(L$1,'HS Codes'!$D$1:$K$1,0)),"")</f>
        <v>0</v>
      </c>
      <c r="M265" s="8" t="str">
        <f>_xlfn.IFNA(INDEX('HS Codes'!$C$2:$C2819,MATCH($B265,'HS Codes'!$A$2:$A2819,0)),"")</f>
        <v>Paperboard 100% recycled cardboard</v>
      </c>
      <c r="N265" s="9"/>
      <c r="O265" s="9"/>
      <c r="P265" s="9"/>
      <c r="Q265" s="9"/>
    </row>
    <row r="266" spans="1:17" ht="15.75" customHeight="1">
      <c r="A266" s="7" t="s">
        <v>554</v>
      </c>
      <c r="B266" s="7" t="s">
        <v>240</v>
      </c>
      <c r="C266" s="7"/>
      <c r="D266" s="7" t="s">
        <v>241</v>
      </c>
      <c r="E266" s="7" t="s">
        <v>523</v>
      </c>
      <c r="F266" s="8" t="str">
        <f>_xlfn.IFNA(INDEX('HS Codes'!$D$2:$K2820,MATCH($B266,'HS Codes'!$A$2:$A2820,0),MATCH(F$1,'HS Codes'!$D$1:$K$1,0)),"")</f>
        <v>4819.10.0040</v>
      </c>
      <c r="G266" s="8">
        <f>_xlfn.IFNA(INDEX('HS Codes'!$D$2:$K2820,MATCH($B266,'HS Codes'!$A$2:$A2820,0),MATCH(G$1,'HS Codes'!$D$1:$K$1,0)),"")</f>
        <v>4819100000</v>
      </c>
      <c r="H266" s="8">
        <f>_xlfn.IFNA(INDEX('HS Codes'!$D$2:$K2820,MATCH($B266,'HS Codes'!$A$2:$A2820,0),MATCH(H$1,'HS Codes'!$D$1:$K$1,0)),"")</f>
        <v>4819100000</v>
      </c>
      <c r="I266" s="8">
        <f>_xlfn.IFNA(INDEX('HS Codes'!$D$2:$K2820,MATCH($B266,'HS Codes'!$A$2:$A2820,0),MATCH(I$1,'HS Codes'!$D$1:$K$1,0)),"")</f>
        <v>48191000</v>
      </c>
      <c r="J266" s="8">
        <f>_xlfn.IFNA(INDEX('HS Codes'!$D$2:$K2820,MATCH($B266,'HS Codes'!$A$2:$A2820,0),MATCH(J$1,'HS Codes'!$D$1:$K$1,0)),"")</f>
        <v>0</v>
      </c>
      <c r="K266" s="8" t="str">
        <f>_xlfn.IFNA(INDEX('HS Codes'!$D$2:$K2820,MATCH($B266,'HS Codes'!$A$2:$A2820,0),MATCH(K$1,'HS Codes'!$D$1:$K$1,0)),"")</f>
        <v>4819.10.00</v>
      </c>
      <c r="L266" s="8">
        <f>_xlfn.IFNA(INDEX('HS Codes'!$D$2:$K2820,MATCH($B266,'HS Codes'!$A$2:$A2820,0),MATCH(L$1,'HS Codes'!$D$1:$K$1,0)),"")</f>
        <v>0</v>
      </c>
      <c r="M266" s="8" t="str">
        <f>_xlfn.IFNA(INDEX('HS Codes'!$C$2:$C2820,MATCH($B266,'HS Codes'!$A$2:$A2820,0)),"")</f>
        <v>Paperboard 100% recycled cardboard</v>
      </c>
      <c r="N266" s="9"/>
      <c r="O266" s="9"/>
      <c r="P266" s="9"/>
      <c r="Q266" s="9"/>
    </row>
    <row r="267" spans="1:17" ht="15.75" customHeight="1">
      <c r="A267" s="7" t="s">
        <v>555</v>
      </c>
      <c r="B267" s="7" t="s">
        <v>240</v>
      </c>
      <c r="C267" s="7"/>
      <c r="D267" s="7" t="s">
        <v>241</v>
      </c>
      <c r="E267" s="7" t="s">
        <v>523</v>
      </c>
      <c r="F267" s="8" t="str">
        <f>_xlfn.IFNA(INDEX('HS Codes'!$D$2:$K2821,MATCH($B267,'HS Codes'!$A$2:$A2821,0),MATCH(F$1,'HS Codes'!$D$1:$K$1,0)),"")</f>
        <v>4819.10.0040</v>
      </c>
      <c r="G267" s="8">
        <f>_xlfn.IFNA(INDEX('HS Codes'!$D$2:$K2821,MATCH($B267,'HS Codes'!$A$2:$A2821,0),MATCH(G$1,'HS Codes'!$D$1:$K$1,0)),"")</f>
        <v>4819100000</v>
      </c>
      <c r="H267" s="8">
        <f>_xlfn.IFNA(INDEX('HS Codes'!$D$2:$K2821,MATCH($B267,'HS Codes'!$A$2:$A2821,0),MATCH(H$1,'HS Codes'!$D$1:$K$1,0)),"")</f>
        <v>4819100000</v>
      </c>
      <c r="I267" s="8">
        <f>_xlfn.IFNA(INDEX('HS Codes'!$D$2:$K2821,MATCH($B267,'HS Codes'!$A$2:$A2821,0),MATCH(I$1,'HS Codes'!$D$1:$K$1,0)),"")</f>
        <v>48191000</v>
      </c>
      <c r="J267" s="8">
        <f>_xlfn.IFNA(INDEX('HS Codes'!$D$2:$K2821,MATCH($B267,'HS Codes'!$A$2:$A2821,0),MATCH(J$1,'HS Codes'!$D$1:$K$1,0)),"")</f>
        <v>0</v>
      </c>
      <c r="K267" s="8" t="str">
        <f>_xlfn.IFNA(INDEX('HS Codes'!$D$2:$K2821,MATCH($B267,'HS Codes'!$A$2:$A2821,0),MATCH(K$1,'HS Codes'!$D$1:$K$1,0)),"")</f>
        <v>4819.10.00</v>
      </c>
      <c r="L267" s="8">
        <f>_xlfn.IFNA(INDEX('HS Codes'!$D$2:$K2821,MATCH($B267,'HS Codes'!$A$2:$A2821,0),MATCH(L$1,'HS Codes'!$D$1:$K$1,0)),"")</f>
        <v>0</v>
      </c>
      <c r="M267" s="8" t="str">
        <f>_xlfn.IFNA(INDEX('HS Codes'!$C$2:$C2821,MATCH($B267,'HS Codes'!$A$2:$A2821,0)),"")</f>
        <v>Paperboard 100% recycled cardboard</v>
      </c>
      <c r="N267" s="9"/>
      <c r="O267" s="9"/>
      <c r="P267" s="9"/>
      <c r="Q267" s="9"/>
    </row>
    <row r="268" spans="1:17" ht="15.75" customHeight="1">
      <c r="A268" s="7" t="s">
        <v>556</v>
      </c>
      <c r="B268" s="7"/>
      <c r="C268" s="7"/>
      <c r="D268" s="7"/>
      <c r="E268" s="7"/>
      <c r="F268" s="8" t="str">
        <f>_xlfn.IFNA(INDEX('HS Codes'!$D$2:$K2822,MATCH($B268,'HS Codes'!$A$2:$A2822,0),MATCH(F$1,'HS Codes'!$D$1:$K$1,0)),"")</f>
        <v/>
      </c>
      <c r="G268" s="8" t="str">
        <f>_xlfn.IFNA(INDEX('HS Codes'!$D$2:$K2822,MATCH($B268,'HS Codes'!$A$2:$A2822,0),MATCH(G$1,'HS Codes'!$D$1:$K$1,0)),"")</f>
        <v/>
      </c>
      <c r="H268" s="8" t="str">
        <f>_xlfn.IFNA(INDEX('HS Codes'!$D$2:$K2822,MATCH($B268,'HS Codes'!$A$2:$A2822,0),MATCH(H$1,'HS Codes'!$D$1:$K$1,0)),"")</f>
        <v/>
      </c>
      <c r="I268" s="8" t="str">
        <f>_xlfn.IFNA(INDEX('HS Codes'!$D$2:$K2822,MATCH($B268,'HS Codes'!$A$2:$A2822,0),MATCH(I$1,'HS Codes'!$D$1:$K$1,0)),"")</f>
        <v/>
      </c>
      <c r="J268" s="8" t="str">
        <f>_xlfn.IFNA(INDEX('HS Codes'!$D$2:$K2822,MATCH($B268,'HS Codes'!$A$2:$A2822,0),MATCH(J$1,'HS Codes'!$D$1:$K$1,0)),"")</f>
        <v/>
      </c>
      <c r="K268" s="8" t="str">
        <f>_xlfn.IFNA(INDEX('HS Codes'!$D$2:$K2822,MATCH($B268,'HS Codes'!$A$2:$A2822,0),MATCH(K$1,'HS Codes'!$D$1:$K$1,0)),"")</f>
        <v/>
      </c>
      <c r="L268" s="8" t="str">
        <f>_xlfn.IFNA(INDEX('HS Codes'!$D$2:$K2822,MATCH($B268,'HS Codes'!$A$2:$A2822,0),MATCH(L$1,'HS Codes'!$D$1:$K$1,0)),"")</f>
        <v/>
      </c>
      <c r="M268" s="8" t="str">
        <f>_xlfn.IFNA(INDEX('HS Codes'!$C$2:$C2822,MATCH($B268,'HS Codes'!$A$2:$A2822,0)),"")</f>
        <v/>
      </c>
      <c r="N268" s="9"/>
      <c r="O268" s="9"/>
      <c r="P268" s="9"/>
      <c r="Q268" s="9"/>
    </row>
    <row r="269" spans="1:17" ht="15.75" customHeight="1">
      <c r="A269" s="7" t="s">
        <v>557</v>
      </c>
      <c r="B269" s="7" t="s">
        <v>159</v>
      </c>
      <c r="C269" s="7" t="s">
        <v>278</v>
      </c>
      <c r="D269" s="7" t="s">
        <v>160</v>
      </c>
      <c r="E269" s="7" t="s">
        <v>160</v>
      </c>
      <c r="F269" s="8" t="str">
        <f>_xlfn.IFNA(INDEX('HS Codes'!$D$2:$K2823,MATCH($B269,'HS Codes'!$A$2:$A2823,0),MATCH(F$1,'HS Codes'!$D$1:$K$1,0)),"")</f>
        <v>6302.53.00.20</v>
      </c>
      <c r="G269" s="8">
        <f>_xlfn.IFNA(INDEX('HS Codes'!$D$2:$K2823,MATCH($B269,'HS Codes'!$A$2:$A2823,0),MATCH(G$1,'HS Codes'!$D$1:$K$1,0)),"")</f>
        <v>6302531000</v>
      </c>
      <c r="H269" s="8">
        <f>_xlfn.IFNA(INDEX('HS Codes'!$D$2:$K2823,MATCH($B269,'HS Codes'!$A$2:$A2823,0),MATCH(H$1,'HS Codes'!$D$1:$K$1,0)),"")</f>
        <v>6302531000</v>
      </c>
      <c r="I269" s="8">
        <f>_xlfn.IFNA(INDEX('HS Codes'!$D$2:$K2823,MATCH($B269,'HS Codes'!$A$2:$A2823,0),MATCH(I$1,'HS Codes'!$D$1:$K$1,0)),"")</f>
        <v>63029310</v>
      </c>
      <c r="J269" s="8">
        <f>_xlfn.IFNA(INDEX('HS Codes'!$D$2:$K2823,MATCH($B269,'HS Codes'!$A$2:$A2823,0),MATCH(J$1,'HS Codes'!$D$1:$K$1,0)),"")</f>
        <v>0</v>
      </c>
      <c r="K269" s="8" t="str">
        <f>_xlfn.IFNA(INDEX('HS Codes'!$D$2:$K2823,MATCH($B269,'HS Codes'!$A$2:$A2823,0),MATCH(K$1,'HS Codes'!$D$1:$K$1,0)),"")</f>
        <v>6302.53.00</v>
      </c>
      <c r="L269" s="8">
        <f>_xlfn.IFNA(INDEX('HS Codes'!$D$2:$K2823,MATCH($B269,'HS Codes'!$A$2:$A2823,0),MATCH(L$1,'HS Codes'!$D$1:$K$1,0)),"")</f>
        <v>0</v>
      </c>
      <c r="M269" s="8" t="str">
        <f>_xlfn.IFNA(INDEX('HS Codes'!$C$2:$C2823,MATCH($B269,'HS Codes'!$A$2:$A2823,0)),"")</f>
        <v>Kitchen Linen 100% recycled 300 GSM/83% polyester/17% polyamide (no cotton)</v>
      </c>
      <c r="N269" s="9"/>
      <c r="O269" s="9"/>
      <c r="P269" s="9"/>
      <c r="Q269" s="9"/>
    </row>
    <row r="270" spans="1:17" ht="15.75" customHeight="1">
      <c r="A270" s="7" t="s">
        <v>558</v>
      </c>
      <c r="B270" s="7" t="s">
        <v>164</v>
      </c>
      <c r="C270" s="7" t="s">
        <v>278</v>
      </c>
      <c r="D270" s="7" t="s">
        <v>165</v>
      </c>
      <c r="E270" s="7" t="s">
        <v>348</v>
      </c>
      <c r="F270" s="8" t="str">
        <f>_xlfn.IFNA(INDEX('HS Codes'!$D$2:$K2824,MATCH($B270,'HS Codes'!$A$2:$A2824,0),MATCH(F$1,'HS Codes'!$D$1:$K$1,0)),"")</f>
        <v>6302.93.2000</v>
      </c>
      <c r="G270" s="8">
        <f>_xlfn.IFNA(INDEX('HS Codes'!$D$2:$K2824,MATCH($B270,'HS Codes'!$A$2:$A2824,0),MATCH(G$1,'HS Codes'!$D$1:$K$1,0)),"")</f>
        <v>6302600090</v>
      </c>
      <c r="H270" s="8" t="str">
        <f>_xlfn.IFNA(INDEX('HS Codes'!$D$2:$K2824,MATCH($B270,'HS Codes'!$A$2:$A2824,0),MATCH(H$1,'HS Codes'!$D$1:$K$1,0)),"")</f>
        <v>6302.93.00.00</v>
      </c>
      <c r="I270" s="8">
        <f>_xlfn.IFNA(INDEX('HS Codes'!$D$2:$K2824,MATCH($B270,'HS Codes'!$A$2:$A2824,0),MATCH(I$1,'HS Codes'!$D$1:$K$1,0)),"")</f>
        <v>63029390</v>
      </c>
      <c r="J270" s="8">
        <f>_xlfn.IFNA(INDEX('HS Codes'!$D$2:$K2824,MATCH($B270,'HS Codes'!$A$2:$A2824,0),MATCH(J$1,'HS Codes'!$D$1:$K$1,0)),"")</f>
        <v>0</v>
      </c>
      <c r="K270" s="8" t="str">
        <f>_xlfn.IFNA(INDEX('HS Codes'!$D$2:$K2824,MATCH($B270,'HS Codes'!$A$2:$A2824,0),MATCH(K$1,'HS Codes'!$D$1:$K$1,0)),"")</f>
        <v>6302.39.00</v>
      </c>
      <c r="L270" s="8">
        <f>_xlfn.IFNA(INDEX('HS Codes'!$D$2:$K2824,MATCH($B270,'HS Codes'!$A$2:$A2824,0),MATCH(L$1,'HS Codes'!$D$1:$K$1,0)),"")</f>
        <v>63029120</v>
      </c>
      <c r="M270" s="8" t="str">
        <f>_xlfn.IFNA(INDEX('HS Codes'!$C$2:$C2824,MATCH($B270,'HS Codes'!$A$2:$A2824,0)),"")</f>
        <v>Beach Towel - Toilet Linen 100% recycled 220 GSM/83% polyester/17% polyamide includes cotton on the packing pouch drawstring</v>
      </c>
      <c r="N270" s="9"/>
      <c r="O270" s="9"/>
      <c r="P270" s="9"/>
      <c r="Q270" s="9"/>
    </row>
    <row r="271" spans="1:17" ht="15.75" customHeight="1">
      <c r="A271" s="7" t="s">
        <v>559</v>
      </c>
      <c r="B271" s="7"/>
      <c r="C271" s="7"/>
      <c r="D271" s="7"/>
      <c r="E271" s="7"/>
      <c r="F271" s="8" t="str">
        <f>_xlfn.IFNA(INDEX('HS Codes'!$D$2:$K2825,MATCH($B271,'HS Codes'!$A$2:$A2825,0),MATCH(F$1,'HS Codes'!$D$1:$K$1,0)),"")</f>
        <v/>
      </c>
      <c r="G271" s="8" t="str">
        <f>_xlfn.IFNA(INDEX('HS Codes'!$D$2:$K2825,MATCH($B271,'HS Codes'!$A$2:$A2825,0),MATCH(G$1,'HS Codes'!$D$1:$K$1,0)),"")</f>
        <v/>
      </c>
      <c r="H271" s="8" t="str">
        <f>_xlfn.IFNA(INDEX('HS Codes'!$D$2:$K2825,MATCH($B271,'HS Codes'!$A$2:$A2825,0),MATCH(H$1,'HS Codes'!$D$1:$K$1,0)),"")</f>
        <v/>
      </c>
      <c r="I271" s="8" t="str">
        <f>_xlfn.IFNA(INDEX('HS Codes'!$D$2:$K2825,MATCH($B271,'HS Codes'!$A$2:$A2825,0),MATCH(I$1,'HS Codes'!$D$1:$K$1,0)),"")</f>
        <v/>
      </c>
      <c r="J271" s="8" t="str">
        <f>_xlfn.IFNA(INDEX('HS Codes'!$D$2:$K2825,MATCH($B271,'HS Codes'!$A$2:$A2825,0),MATCH(J$1,'HS Codes'!$D$1:$K$1,0)),"")</f>
        <v/>
      </c>
      <c r="K271" s="8" t="str">
        <f>_xlfn.IFNA(INDEX('HS Codes'!$D$2:$K2825,MATCH($B271,'HS Codes'!$A$2:$A2825,0),MATCH(K$1,'HS Codes'!$D$1:$K$1,0)),"")</f>
        <v/>
      </c>
      <c r="L271" s="8" t="str">
        <f>_xlfn.IFNA(INDEX('HS Codes'!$D$2:$K2825,MATCH($B271,'HS Codes'!$A$2:$A2825,0),MATCH(L$1,'HS Codes'!$D$1:$K$1,0)),"")</f>
        <v/>
      </c>
      <c r="M271" s="8" t="str">
        <f>_xlfn.IFNA(INDEX('HS Codes'!$C$2:$C2825,MATCH($B271,'HS Codes'!$A$2:$A2825,0)),"")</f>
        <v/>
      </c>
      <c r="N271" s="9"/>
      <c r="O271" s="9"/>
      <c r="P271" s="9"/>
      <c r="Q271" s="9"/>
    </row>
    <row r="272" spans="1:17" ht="15.75" customHeight="1">
      <c r="A272" s="7" t="s">
        <v>560</v>
      </c>
      <c r="B272" s="7"/>
      <c r="C272" s="7"/>
      <c r="D272" s="7"/>
      <c r="E272" s="7"/>
      <c r="F272" s="8" t="str">
        <f>_xlfn.IFNA(INDEX('HS Codes'!$D$2:$K2826,MATCH($B272,'HS Codes'!$A$2:$A2826,0),MATCH(F$1,'HS Codes'!$D$1:$K$1,0)),"")</f>
        <v/>
      </c>
      <c r="G272" s="8" t="str">
        <f>_xlfn.IFNA(INDEX('HS Codes'!$D$2:$K2826,MATCH($B272,'HS Codes'!$A$2:$A2826,0),MATCH(G$1,'HS Codes'!$D$1:$K$1,0)),"")</f>
        <v/>
      </c>
      <c r="H272" s="8" t="str">
        <f>_xlfn.IFNA(INDEX('HS Codes'!$D$2:$K2826,MATCH($B272,'HS Codes'!$A$2:$A2826,0),MATCH(H$1,'HS Codes'!$D$1:$K$1,0)),"")</f>
        <v/>
      </c>
      <c r="I272" s="8" t="str">
        <f>_xlfn.IFNA(INDEX('HS Codes'!$D$2:$K2826,MATCH($B272,'HS Codes'!$A$2:$A2826,0),MATCH(I$1,'HS Codes'!$D$1:$K$1,0)),"")</f>
        <v/>
      </c>
      <c r="J272" s="8" t="str">
        <f>_xlfn.IFNA(INDEX('HS Codes'!$D$2:$K2826,MATCH($B272,'HS Codes'!$A$2:$A2826,0),MATCH(J$1,'HS Codes'!$D$1:$K$1,0)),"")</f>
        <v/>
      </c>
      <c r="K272" s="8" t="str">
        <f>_xlfn.IFNA(INDEX('HS Codes'!$D$2:$K2826,MATCH($B272,'HS Codes'!$A$2:$A2826,0),MATCH(K$1,'HS Codes'!$D$1:$K$1,0)),"")</f>
        <v/>
      </c>
      <c r="L272" s="8" t="str">
        <f>_xlfn.IFNA(INDEX('HS Codes'!$D$2:$K2826,MATCH($B272,'HS Codes'!$A$2:$A2826,0),MATCH(L$1,'HS Codes'!$D$1:$K$1,0)),"")</f>
        <v/>
      </c>
      <c r="M272" s="8" t="str">
        <f>_xlfn.IFNA(INDEX('HS Codes'!$C$2:$C2826,MATCH($B272,'HS Codes'!$A$2:$A2826,0)),"")</f>
        <v/>
      </c>
      <c r="N272" s="9"/>
      <c r="O272" s="9"/>
      <c r="P272" s="9"/>
      <c r="Q272" s="9"/>
    </row>
    <row r="273" spans="1:17" ht="15.75" customHeight="1">
      <c r="A273" s="7" t="s">
        <v>561</v>
      </c>
      <c r="B273" s="7"/>
      <c r="C273" s="7"/>
      <c r="D273" s="7"/>
      <c r="E273" s="7"/>
      <c r="F273" s="8" t="str">
        <f>_xlfn.IFNA(INDEX('HS Codes'!$D$2:$K2827,MATCH($B273,'HS Codes'!$A$2:$A2827,0),MATCH(F$1,'HS Codes'!$D$1:$K$1,0)),"")</f>
        <v/>
      </c>
      <c r="G273" s="8" t="str">
        <f>_xlfn.IFNA(INDEX('HS Codes'!$D$2:$K2827,MATCH($B273,'HS Codes'!$A$2:$A2827,0),MATCH(G$1,'HS Codes'!$D$1:$K$1,0)),"")</f>
        <v/>
      </c>
      <c r="H273" s="8" t="str">
        <f>_xlfn.IFNA(INDEX('HS Codes'!$D$2:$K2827,MATCH($B273,'HS Codes'!$A$2:$A2827,0),MATCH(H$1,'HS Codes'!$D$1:$K$1,0)),"")</f>
        <v/>
      </c>
      <c r="I273" s="8" t="str">
        <f>_xlfn.IFNA(INDEX('HS Codes'!$D$2:$K2827,MATCH($B273,'HS Codes'!$A$2:$A2827,0),MATCH(I$1,'HS Codes'!$D$1:$K$1,0)),"")</f>
        <v/>
      </c>
      <c r="J273" s="8" t="str">
        <f>_xlfn.IFNA(INDEX('HS Codes'!$D$2:$K2827,MATCH($B273,'HS Codes'!$A$2:$A2827,0),MATCH(J$1,'HS Codes'!$D$1:$K$1,0)),"")</f>
        <v/>
      </c>
      <c r="K273" s="8" t="str">
        <f>_xlfn.IFNA(INDEX('HS Codes'!$D$2:$K2827,MATCH($B273,'HS Codes'!$A$2:$A2827,0),MATCH(K$1,'HS Codes'!$D$1:$K$1,0)),"")</f>
        <v/>
      </c>
      <c r="L273" s="8" t="str">
        <f>_xlfn.IFNA(INDEX('HS Codes'!$D$2:$K2827,MATCH($B273,'HS Codes'!$A$2:$A2827,0),MATCH(L$1,'HS Codes'!$D$1:$K$1,0)),"")</f>
        <v/>
      </c>
      <c r="M273" s="8" t="str">
        <f>_xlfn.IFNA(INDEX('HS Codes'!$C$2:$C2827,MATCH($B273,'HS Codes'!$A$2:$A2827,0)),"")</f>
        <v/>
      </c>
      <c r="N273" s="9"/>
      <c r="O273" s="9"/>
      <c r="P273" s="9"/>
      <c r="Q273" s="9"/>
    </row>
    <row r="274" spans="1:17" ht="15.75" customHeight="1">
      <c r="A274" s="7" t="s">
        <v>562</v>
      </c>
      <c r="B274" s="7"/>
      <c r="C274" s="7"/>
      <c r="D274" s="7"/>
      <c r="E274" s="7"/>
      <c r="F274" s="8" t="str">
        <f>_xlfn.IFNA(INDEX('HS Codes'!$D$2:$K2828,MATCH($B274,'HS Codes'!$A$2:$A2828,0),MATCH(F$1,'HS Codes'!$D$1:$K$1,0)),"")</f>
        <v/>
      </c>
      <c r="G274" s="8" t="str">
        <f>_xlfn.IFNA(INDEX('HS Codes'!$D$2:$K2828,MATCH($B274,'HS Codes'!$A$2:$A2828,0),MATCH(G$1,'HS Codes'!$D$1:$K$1,0)),"")</f>
        <v/>
      </c>
      <c r="H274" s="8" t="str">
        <f>_xlfn.IFNA(INDEX('HS Codes'!$D$2:$K2828,MATCH($B274,'HS Codes'!$A$2:$A2828,0),MATCH(H$1,'HS Codes'!$D$1:$K$1,0)),"")</f>
        <v/>
      </c>
      <c r="I274" s="8" t="str">
        <f>_xlfn.IFNA(INDEX('HS Codes'!$D$2:$K2828,MATCH($B274,'HS Codes'!$A$2:$A2828,0),MATCH(I$1,'HS Codes'!$D$1:$K$1,0)),"")</f>
        <v/>
      </c>
      <c r="J274" s="8" t="str">
        <f>_xlfn.IFNA(INDEX('HS Codes'!$D$2:$K2828,MATCH($B274,'HS Codes'!$A$2:$A2828,0),MATCH(J$1,'HS Codes'!$D$1:$K$1,0)),"")</f>
        <v/>
      </c>
      <c r="K274" s="8" t="str">
        <f>_xlfn.IFNA(INDEX('HS Codes'!$D$2:$K2828,MATCH($B274,'HS Codes'!$A$2:$A2828,0),MATCH(K$1,'HS Codes'!$D$1:$K$1,0)),"")</f>
        <v/>
      </c>
      <c r="L274" s="8" t="str">
        <f>_xlfn.IFNA(INDEX('HS Codes'!$D$2:$K2828,MATCH($B274,'HS Codes'!$A$2:$A2828,0),MATCH(L$1,'HS Codes'!$D$1:$K$1,0)),"")</f>
        <v/>
      </c>
      <c r="M274" s="8" t="str">
        <f>_xlfn.IFNA(INDEX('HS Codes'!$C$2:$C2828,MATCH($B274,'HS Codes'!$A$2:$A2828,0)),"")</f>
        <v/>
      </c>
      <c r="N274" s="9"/>
      <c r="O274" s="9"/>
      <c r="P274" s="9"/>
      <c r="Q274" s="9"/>
    </row>
    <row r="275" spans="1:17" ht="15.75" customHeight="1">
      <c r="A275" s="7" t="s">
        <v>563</v>
      </c>
      <c r="B275" s="7"/>
      <c r="C275" s="7"/>
      <c r="D275" s="7"/>
      <c r="E275" s="7"/>
      <c r="F275" s="8" t="str">
        <f>_xlfn.IFNA(INDEX('HS Codes'!$D$2:$K2829,MATCH($B275,'HS Codes'!$A$2:$A2829,0),MATCH(F$1,'HS Codes'!$D$1:$K$1,0)),"")</f>
        <v/>
      </c>
      <c r="G275" s="8" t="str">
        <f>_xlfn.IFNA(INDEX('HS Codes'!$D$2:$K2829,MATCH($B275,'HS Codes'!$A$2:$A2829,0),MATCH(G$1,'HS Codes'!$D$1:$K$1,0)),"")</f>
        <v/>
      </c>
      <c r="H275" s="8" t="str">
        <f>_xlfn.IFNA(INDEX('HS Codes'!$D$2:$K2829,MATCH($B275,'HS Codes'!$A$2:$A2829,0),MATCH(H$1,'HS Codes'!$D$1:$K$1,0)),"")</f>
        <v/>
      </c>
      <c r="I275" s="8" t="str">
        <f>_xlfn.IFNA(INDEX('HS Codes'!$D$2:$K2829,MATCH($B275,'HS Codes'!$A$2:$A2829,0),MATCH(I$1,'HS Codes'!$D$1:$K$1,0)),"")</f>
        <v/>
      </c>
      <c r="J275" s="8" t="str">
        <f>_xlfn.IFNA(INDEX('HS Codes'!$D$2:$K2829,MATCH($B275,'HS Codes'!$A$2:$A2829,0),MATCH(J$1,'HS Codes'!$D$1:$K$1,0)),"")</f>
        <v/>
      </c>
      <c r="K275" s="8" t="str">
        <f>_xlfn.IFNA(INDEX('HS Codes'!$D$2:$K2829,MATCH($B275,'HS Codes'!$A$2:$A2829,0),MATCH(K$1,'HS Codes'!$D$1:$K$1,0)),"")</f>
        <v/>
      </c>
      <c r="L275" s="8" t="str">
        <f>_xlfn.IFNA(INDEX('HS Codes'!$D$2:$K2829,MATCH($B275,'HS Codes'!$A$2:$A2829,0),MATCH(L$1,'HS Codes'!$D$1:$K$1,0)),"")</f>
        <v/>
      </c>
      <c r="M275" s="8" t="str">
        <f>_xlfn.IFNA(INDEX('HS Codes'!$C$2:$C2829,MATCH($B275,'HS Codes'!$A$2:$A2829,0)),"")</f>
        <v/>
      </c>
      <c r="N275" s="9"/>
      <c r="O275" s="9"/>
      <c r="P275" s="9"/>
      <c r="Q275" s="9"/>
    </row>
    <row r="276" spans="1:17" ht="15.75" customHeight="1">
      <c r="A276" s="7" t="s">
        <v>564</v>
      </c>
      <c r="B276" s="7"/>
      <c r="C276" s="7"/>
      <c r="D276" s="7"/>
      <c r="E276" s="7"/>
      <c r="F276" s="8" t="str">
        <f>_xlfn.IFNA(INDEX('HS Codes'!$D$2:$K2830,MATCH($B276,'HS Codes'!$A$2:$A2830,0),MATCH(F$1,'HS Codes'!$D$1:$K$1,0)),"")</f>
        <v/>
      </c>
      <c r="G276" s="8" t="str">
        <f>_xlfn.IFNA(INDEX('HS Codes'!$D$2:$K2830,MATCH($B276,'HS Codes'!$A$2:$A2830,0),MATCH(G$1,'HS Codes'!$D$1:$K$1,0)),"")</f>
        <v/>
      </c>
      <c r="H276" s="8" t="str">
        <f>_xlfn.IFNA(INDEX('HS Codes'!$D$2:$K2830,MATCH($B276,'HS Codes'!$A$2:$A2830,0),MATCH(H$1,'HS Codes'!$D$1:$K$1,0)),"")</f>
        <v/>
      </c>
      <c r="I276" s="8" t="str">
        <f>_xlfn.IFNA(INDEX('HS Codes'!$D$2:$K2830,MATCH($B276,'HS Codes'!$A$2:$A2830,0),MATCH(I$1,'HS Codes'!$D$1:$K$1,0)),"")</f>
        <v/>
      </c>
      <c r="J276" s="8" t="str">
        <f>_xlfn.IFNA(INDEX('HS Codes'!$D$2:$K2830,MATCH($B276,'HS Codes'!$A$2:$A2830,0),MATCH(J$1,'HS Codes'!$D$1:$K$1,0)),"")</f>
        <v/>
      </c>
      <c r="K276" s="8" t="str">
        <f>_xlfn.IFNA(INDEX('HS Codes'!$D$2:$K2830,MATCH($B276,'HS Codes'!$A$2:$A2830,0),MATCH(K$1,'HS Codes'!$D$1:$K$1,0)),"")</f>
        <v/>
      </c>
      <c r="L276" s="8" t="str">
        <f>_xlfn.IFNA(INDEX('HS Codes'!$D$2:$K2830,MATCH($B276,'HS Codes'!$A$2:$A2830,0),MATCH(L$1,'HS Codes'!$D$1:$K$1,0)),"")</f>
        <v/>
      </c>
      <c r="M276" s="8" t="str">
        <f>_xlfn.IFNA(INDEX('HS Codes'!$C$2:$C2830,MATCH($B276,'HS Codes'!$A$2:$A2830,0)),"")</f>
        <v/>
      </c>
      <c r="N276" s="9"/>
      <c r="O276" s="9"/>
      <c r="P276" s="9"/>
      <c r="Q276" s="9"/>
    </row>
    <row r="277" spans="1:17" ht="15.75" customHeight="1">
      <c r="A277" s="7" t="s">
        <v>565</v>
      </c>
      <c r="B277" s="7"/>
      <c r="C277" s="7"/>
      <c r="D277" s="7"/>
      <c r="E277" s="7"/>
      <c r="F277" s="8" t="str">
        <f>_xlfn.IFNA(INDEX('HS Codes'!$D$2:$K2831,MATCH($B277,'HS Codes'!$A$2:$A2831,0),MATCH(F$1,'HS Codes'!$D$1:$K$1,0)),"")</f>
        <v/>
      </c>
      <c r="G277" s="8" t="str">
        <f>_xlfn.IFNA(INDEX('HS Codes'!$D$2:$K2831,MATCH($B277,'HS Codes'!$A$2:$A2831,0),MATCH(G$1,'HS Codes'!$D$1:$K$1,0)),"")</f>
        <v/>
      </c>
      <c r="H277" s="8" t="str">
        <f>_xlfn.IFNA(INDEX('HS Codes'!$D$2:$K2831,MATCH($B277,'HS Codes'!$A$2:$A2831,0),MATCH(H$1,'HS Codes'!$D$1:$K$1,0)),"")</f>
        <v/>
      </c>
      <c r="I277" s="8" t="str">
        <f>_xlfn.IFNA(INDEX('HS Codes'!$D$2:$K2831,MATCH($B277,'HS Codes'!$A$2:$A2831,0),MATCH(I$1,'HS Codes'!$D$1:$K$1,0)),"")</f>
        <v/>
      </c>
      <c r="J277" s="8" t="str">
        <f>_xlfn.IFNA(INDEX('HS Codes'!$D$2:$K2831,MATCH($B277,'HS Codes'!$A$2:$A2831,0),MATCH(J$1,'HS Codes'!$D$1:$K$1,0)),"")</f>
        <v/>
      </c>
      <c r="K277" s="8" t="str">
        <f>_xlfn.IFNA(INDEX('HS Codes'!$D$2:$K2831,MATCH($B277,'HS Codes'!$A$2:$A2831,0),MATCH(K$1,'HS Codes'!$D$1:$K$1,0)),"")</f>
        <v/>
      </c>
      <c r="L277" s="8" t="str">
        <f>_xlfn.IFNA(INDEX('HS Codes'!$D$2:$K2831,MATCH($B277,'HS Codes'!$A$2:$A2831,0),MATCH(L$1,'HS Codes'!$D$1:$K$1,0)),"")</f>
        <v/>
      </c>
      <c r="M277" s="8" t="str">
        <f>_xlfn.IFNA(INDEX('HS Codes'!$C$2:$C2831,MATCH($B277,'HS Codes'!$A$2:$A2831,0)),"")</f>
        <v/>
      </c>
      <c r="N277" s="9"/>
      <c r="O277" s="9"/>
      <c r="P277" s="9"/>
      <c r="Q277" s="9"/>
    </row>
    <row r="278" spans="1:17" ht="15.75" customHeight="1">
      <c r="A278" s="7" t="s">
        <v>566</v>
      </c>
      <c r="B278" s="7"/>
      <c r="C278" s="7"/>
      <c r="D278" s="7"/>
      <c r="E278" s="7"/>
      <c r="F278" s="8" t="str">
        <f>_xlfn.IFNA(INDEX('HS Codes'!$D$2:$K2832,MATCH($B278,'HS Codes'!$A$2:$A2832,0),MATCH(F$1,'HS Codes'!$D$1:$K$1,0)),"")</f>
        <v/>
      </c>
      <c r="G278" s="8" t="str">
        <f>_xlfn.IFNA(INDEX('HS Codes'!$D$2:$K2832,MATCH($B278,'HS Codes'!$A$2:$A2832,0),MATCH(G$1,'HS Codes'!$D$1:$K$1,0)),"")</f>
        <v/>
      </c>
      <c r="H278" s="8" t="str">
        <f>_xlfn.IFNA(INDEX('HS Codes'!$D$2:$K2832,MATCH($B278,'HS Codes'!$A$2:$A2832,0),MATCH(H$1,'HS Codes'!$D$1:$K$1,0)),"")</f>
        <v/>
      </c>
      <c r="I278" s="8" t="str">
        <f>_xlfn.IFNA(INDEX('HS Codes'!$D$2:$K2832,MATCH($B278,'HS Codes'!$A$2:$A2832,0),MATCH(I$1,'HS Codes'!$D$1:$K$1,0)),"")</f>
        <v/>
      </c>
      <c r="J278" s="8" t="str">
        <f>_xlfn.IFNA(INDEX('HS Codes'!$D$2:$K2832,MATCH($B278,'HS Codes'!$A$2:$A2832,0),MATCH(J$1,'HS Codes'!$D$1:$K$1,0)),"")</f>
        <v/>
      </c>
      <c r="K278" s="8" t="str">
        <f>_xlfn.IFNA(INDEX('HS Codes'!$D$2:$K2832,MATCH($B278,'HS Codes'!$A$2:$A2832,0),MATCH(K$1,'HS Codes'!$D$1:$K$1,0)),"")</f>
        <v/>
      </c>
      <c r="L278" s="8" t="str">
        <f>_xlfn.IFNA(INDEX('HS Codes'!$D$2:$K2832,MATCH($B278,'HS Codes'!$A$2:$A2832,0),MATCH(L$1,'HS Codes'!$D$1:$K$1,0)),"")</f>
        <v/>
      </c>
      <c r="M278" s="8" t="str">
        <f>_xlfn.IFNA(INDEX('HS Codes'!$C$2:$C2832,MATCH($B278,'HS Codes'!$A$2:$A2832,0)),"")</f>
        <v/>
      </c>
      <c r="N278" s="9"/>
      <c r="O278" s="9"/>
      <c r="P278" s="9"/>
      <c r="Q278" s="9"/>
    </row>
    <row r="279" spans="1:17" ht="15.75" customHeight="1">
      <c r="A279" s="7" t="s">
        <v>567</v>
      </c>
      <c r="B279" s="7"/>
      <c r="C279" s="7"/>
      <c r="D279" s="7"/>
      <c r="E279" s="7"/>
      <c r="F279" s="8" t="str">
        <f>_xlfn.IFNA(INDEX('HS Codes'!$D$2:$K2833,MATCH($B279,'HS Codes'!$A$2:$A2833,0),MATCH(F$1,'HS Codes'!$D$1:$K$1,0)),"")</f>
        <v/>
      </c>
      <c r="G279" s="8" t="str">
        <f>_xlfn.IFNA(INDEX('HS Codes'!$D$2:$K2833,MATCH($B279,'HS Codes'!$A$2:$A2833,0),MATCH(G$1,'HS Codes'!$D$1:$K$1,0)),"")</f>
        <v/>
      </c>
      <c r="H279" s="8" t="str">
        <f>_xlfn.IFNA(INDEX('HS Codes'!$D$2:$K2833,MATCH($B279,'HS Codes'!$A$2:$A2833,0),MATCH(H$1,'HS Codes'!$D$1:$K$1,0)),"")</f>
        <v/>
      </c>
      <c r="I279" s="8" t="str">
        <f>_xlfn.IFNA(INDEX('HS Codes'!$D$2:$K2833,MATCH($B279,'HS Codes'!$A$2:$A2833,0),MATCH(I$1,'HS Codes'!$D$1:$K$1,0)),"")</f>
        <v/>
      </c>
      <c r="J279" s="8" t="str">
        <f>_xlfn.IFNA(INDEX('HS Codes'!$D$2:$K2833,MATCH($B279,'HS Codes'!$A$2:$A2833,0),MATCH(J$1,'HS Codes'!$D$1:$K$1,0)),"")</f>
        <v/>
      </c>
      <c r="K279" s="8" t="str">
        <f>_xlfn.IFNA(INDEX('HS Codes'!$D$2:$K2833,MATCH($B279,'HS Codes'!$A$2:$A2833,0),MATCH(K$1,'HS Codes'!$D$1:$K$1,0)),"")</f>
        <v/>
      </c>
      <c r="L279" s="8" t="str">
        <f>_xlfn.IFNA(INDEX('HS Codes'!$D$2:$K2833,MATCH($B279,'HS Codes'!$A$2:$A2833,0),MATCH(L$1,'HS Codes'!$D$1:$K$1,0)),"")</f>
        <v/>
      </c>
      <c r="M279" s="8" t="str">
        <f>_xlfn.IFNA(INDEX('HS Codes'!$C$2:$C2833,MATCH($B279,'HS Codes'!$A$2:$A2833,0)),"")</f>
        <v/>
      </c>
      <c r="N279" s="9"/>
      <c r="O279" s="9"/>
      <c r="P279" s="9"/>
      <c r="Q279" s="9"/>
    </row>
    <row r="280" spans="1:17" ht="15.75" customHeight="1">
      <c r="A280" s="7" t="s">
        <v>568</v>
      </c>
      <c r="B280" s="7"/>
      <c r="C280" s="7"/>
      <c r="D280" s="7"/>
      <c r="E280" s="7"/>
      <c r="F280" s="8" t="str">
        <f>_xlfn.IFNA(INDEX('HS Codes'!$D$2:$K2834,MATCH($B280,'HS Codes'!$A$2:$A2834,0),MATCH(F$1,'HS Codes'!$D$1:$K$1,0)),"")</f>
        <v/>
      </c>
      <c r="G280" s="8" t="str">
        <f>_xlfn.IFNA(INDEX('HS Codes'!$D$2:$K2834,MATCH($B280,'HS Codes'!$A$2:$A2834,0),MATCH(G$1,'HS Codes'!$D$1:$K$1,0)),"")</f>
        <v/>
      </c>
      <c r="H280" s="8" t="str">
        <f>_xlfn.IFNA(INDEX('HS Codes'!$D$2:$K2834,MATCH($B280,'HS Codes'!$A$2:$A2834,0),MATCH(H$1,'HS Codes'!$D$1:$K$1,0)),"")</f>
        <v/>
      </c>
      <c r="I280" s="8" t="str">
        <f>_xlfn.IFNA(INDEX('HS Codes'!$D$2:$K2834,MATCH($B280,'HS Codes'!$A$2:$A2834,0),MATCH(I$1,'HS Codes'!$D$1:$K$1,0)),"")</f>
        <v/>
      </c>
      <c r="J280" s="8" t="str">
        <f>_xlfn.IFNA(INDEX('HS Codes'!$D$2:$K2834,MATCH($B280,'HS Codes'!$A$2:$A2834,0),MATCH(J$1,'HS Codes'!$D$1:$K$1,0)),"")</f>
        <v/>
      </c>
      <c r="K280" s="8" t="str">
        <f>_xlfn.IFNA(INDEX('HS Codes'!$D$2:$K2834,MATCH($B280,'HS Codes'!$A$2:$A2834,0),MATCH(K$1,'HS Codes'!$D$1:$K$1,0)),"")</f>
        <v/>
      </c>
      <c r="L280" s="8" t="str">
        <f>_xlfn.IFNA(INDEX('HS Codes'!$D$2:$K2834,MATCH($B280,'HS Codes'!$A$2:$A2834,0),MATCH(L$1,'HS Codes'!$D$1:$K$1,0)),"")</f>
        <v/>
      </c>
      <c r="M280" s="8" t="str">
        <f>_xlfn.IFNA(INDEX('HS Codes'!$C$2:$C2834,MATCH($B280,'HS Codes'!$A$2:$A2834,0)),"")</f>
        <v/>
      </c>
      <c r="N280" s="9"/>
      <c r="O280" s="9"/>
      <c r="P280" s="9"/>
      <c r="Q280" s="9"/>
    </row>
    <row r="281" spans="1:17" ht="15.75" customHeight="1">
      <c r="A281" s="7" t="s">
        <v>569</v>
      </c>
      <c r="B281" s="7"/>
      <c r="C281" s="7"/>
      <c r="D281" s="7"/>
      <c r="E281" s="7"/>
      <c r="F281" s="8" t="str">
        <f>_xlfn.IFNA(INDEX('HS Codes'!$D$2:$K2835,MATCH($B281,'HS Codes'!$A$2:$A2835,0),MATCH(F$1,'HS Codes'!$D$1:$K$1,0)),"")</f>
        <v/>
      </c>
      <c r="G281" s="8" t="str">
        <f>_xlfn.IFNA(INDEX('HS Codes'!$D$2:$K2835,MATCH($B281,'HS Codes'!$A$2:$A2835,0),MATCH(G$1,'HS Codes'!$D$1:$K$1,0)),"")</f>
        <v/>
      </c>
      <c r="H281" s="8" t="str">
        <f>_xlfn.IFNA(INDEX('HS Codes'!$D$2:$K2835,MATCH($B281,'HS Codes'!$A$2:$A2835,0),MATCH(H$1,'HS Codes'!$D$1:$K$1,0)),"")</f>
        <v/>
      </c>
      <c r="I281" s="8" t="str">
        <f>_xlfn.IFNA(INDEX('HS Codes'!$D$2:$K2835,MATCH($B281,'HS Codes'!$A$2:$A2835,0),MATCH(I$1,'HS Codes'!$D$1:$K$1,0)),"")</f>
        <v/>
      </c>
      <c r="J281" s="8" t="str">
        <f>_xlfn.IFNA(INDEX('HS Codes'!$D$2:$K2835,MATCH($B281,'HS Codes'!$A$2:$A2835,0),MATCH(J$1,'HS Codes'!$D$1:$K$1,0)),"")</f>
        <v/>
      </c>
      <c r="K281" s="8" t="str">
        <f>_xlfn.IFNA(INDEX('HS Codes'!$D$2:$K2835,MATCH($B281,'HS Codes'!$A$2:$A2835,0),MATCH(K$1,'HS Codes'!$D$1:$K$1,0)),"")</f>
        <v/>
      </c>
      <c r="L281" s="8" t="str">
        <f>_xlfn.IFNA(INDEX('HS Codes'!$D$2:$K2835,MATCH($B281,'HS Codes'!$A$2:$A2835,0),MATCH(L$1,'HS Codes'!$D$1:$K$1,0)),"")</f>
        <v/>
      </c>
      <c r="M281" s="8" t="str">
        <f>_xlfn.IFNA(INDEX('HS Codes'!$C$2:$C2835,MATCH($B281,'HS Codes'!$A$2:$A2835,0)),"")</f>
        <v/>
      </c>
      <c r="N281" s="9"/>
      <c r="O281" s="9"/>
      <c r="P281" s="9"/>
      <c r="Q281" s="9"/>
    </row>
    <row r="282" spans="1:17" ht="15.75" customHeight="1">
      <c r="A282" s="7" t="s">
        <v>570</v>
      </c>
      <c r="B282" s="7"/>
      <c r="C282" s="7"/>
      <c r="D282" s="7"/>
      <c r="E282" s="7"/>
      <c r="F282" s="8" t="str">
        <f>_xlfn.IFNA(INDEX('HS Codes'!$D$2:$K2836,MATCH($B282,'HS Codes'!$A$2:$A2836,0),MATCH(F$1,'HS Codes'!$D$1:$K$1,0)),"")</f>
        <v/>
      </c>
      <c r="G282" s="8" t="str">
        <f>_xlfn.IFNA(INDEX('HS Codes'!$D$2:$K2836,MATCH($B282,'HS Codes'!$A$2:$A2836,0),MATCH(G$1,'HS Codes'!$D$1:$K$1,0)),"")</f>
        <v/>
      </c>
      <c r="H282" s="8" t="str">
        <f>_xlfn.IFNA(INDEX('HS Codes'!$D$2:$K2836,MATCH($B282,'HS Codes'!$A$2:$A2836,0),MATCH(H$1,'HS Codes'!$D$1:$K$1,0)),"")</f>
        <v/>
      </c>
      <c r="I282" s="8" t="str">
        <f>_xlfn.IFNA(INDEX('HS Codes'!$D$2:$K2836,MATCH($B282,'HS Codes'!$A$2:$A2836,0),MATCH(I$1,'HS Codes'!$D$1:$K$1,0)),"")</f>
        <v/>
      </c>
      <c r="J282" s="8" t="str">
        <f>_xlfn.IFNA(INDEX('HS Codes'!$D$2:$K2836,MATCH($B282,'HS Codes'!$A$2:$A2836,0),MATCH(J$1,'HS Codes'!$D$1:$K$1,0)),"")</f>
        <v/>
      </c>
      <c r="K282" s="8" t="str">
        <f>_xlfn.IFNA(INDEX('HS Codes'!$D$2:$K2836,MATCH($B282,'HS Codes'!$A$2:$A2836,0),MATCH(K$1,'HS Codes'!$D$1:$K$1,0)),"")</f>
        <v/>
      </c>
      <c r="L282" s="8" t="str">
        <f>_xlfn.IFNA(INDEX('HS Codes'!$D$2:$K2836,MATCH($B282,'HS Codes'!$A$2:$A2836,0),MATCH(L$1,'HS Codes'!$D$1:$K$1,0)),"")</f>
        <v/>
      </c>
      <c r="M282" s="8" t="str">
        <f>_xlfn.IFNA(INDEX('HS Codes'!$C$2:$C2836,MATCH($B282,'HS Codes'!$A$2:$A2836,0)),"")</f>
        <v/>
      </c>
      <c r="N282" s="9"/>
      <c r="O282" s="9"/>
      <c r="P282" s="9"/>
      <c r="Q282" s="9"/>
    </row>
    <row r="283" spans="1:17" ht="15.75" customHeight="1">
      <c r="A283" s="7" t="s">
        <v>571</v>
      </c>
      <c r="B283" s="7"/>
      <c r="C283" s="7"/>
      <c r="D283" s="7"/>
      <c r="E283" s="7"/>
      <c r="F283" s="8" t="str">
        <f>_xlfn.IFNA(INDEX('HS Codes'!$D$2:$K2837,MATCH($B283,'HS Codes'!$A$2:$A2837,0),MATCH(F$1,'HS Codes'!$D$1:$K$1,0)),"")</f>
        <v/>
      </c>
      <c r="G283" s="8" t="str">
        <f>_xlfn.IFNA(INDEX('HS Codes'!$D$2:$K2837,MATCH($B283,'HS Codes'!$A$2:$A2837,0),MATCH(G$1,'HS Codes'!$D$1:$K$1,0)),"")</f>
        <v/>
      </c>
      <c r="H283" s="8" t="str">
        <f>_xlfn.IFNA(INDEX('HS Codes'!$D$2:$K2837,MATCH($B283,'HS Codes'!$A$2:$A2837,0),MATCH(H$1,'HS Codes'!$D$1:$K$1,0)),"")</f>
        <v/>
      </c>
      <c r="I283" s="8" t="str">
        <f>_xlfn.IFNA(INDEX('HS Codes'!$D$2:$K2837,MATCH($B283,'HS Codes'!$A$2:$A2837,0),MATCH(I$1,'HS Codes'!$D$1:$K$1,0)),"")</f>
        <v/>
      </c>
      <c r="J283" s="8" t="str">
        <f>_xlfn.IFNA(INDEX('HS Codes'!$D$2:$K2837,MATCH($B283,'HS Codes'!$A$2:$A2837,0),MATCH(J$1,'HS Codes'!$D$1:$K$1,0)),"")</f>
        <v/>
      </c>
      <c r="K283" s="8" t="str">
        <f>_xlfn.IFNA(INDEX('HS Codes'!$D$2:$K2837,MATCH($B283,'HS Codes'!$A$2:$A2837,0),MATCH(K$1,'HS Codes'!$D$1:$K$1,0)),"")</f>
        <v/>
      </c>
      <c r="L283" s="8" t="str">
        <f>_xlfn.IFNA(INDEX('HS Codes'!$D$2:$K2837,MATCH($B283,'HS Codes'!$A$2:$A2837,0),MATCH(L$1,'HS Codes'!$D$1:$K$1,0)),"")</f>
        <v/>
      </c>
      <c r="M283" s="8" t="str">
        <f>_xlfn.IFNA(INDEX('HS Codes'!$C$2:$C2837,MATCH($B283,'HS Codes'!$A$2:$A2837,0)),"")</f>
        <v/>
      </c>
      <c r="N283" s="9"/>
      <c r="O283" s="9"/>
      <c r="P283" s="9"/>
      <c r="Q283" s="9"/>
    </row>
    <row r="284" spans="1:17" ht="15.75" customHeight="1">
      <c r="A284" s="7" t="s">
        <v>572</v>
      </c>
      <c r="B284" s="7"/>
      <c r="C284" s="7"/>
      <c r="D284" s="7"/>
      <c r="E284" s="7"/>
      <c r="F284" s="8" t="str">
        <f>_xlfn.IFNA(INDEX('HS Codes'!$D$2:$K2838,MATCH($B284,'HS Codes'!$A$2:$A2838,0),MATCH(F$1,'HS Codes'!$D$1:$K$1,0)),"")</f>
        <v/>
      </c>
      <c r="G284" s="8" t="str">
        <f>_xlfn.IFNA(INDEX('HS Codes'!$D$2:$K2838,MATCH($B284,'HS Codes'!$A$2:$A2838,0),MATCH(G$1,'HS Codes'!$D$1:$K$1,0)),"")</f>
        <v/>
      </c>
      <c r="H284" s="8" t="str">
        <f>_xlfn.IFNA(INDEX('HS Codes'!$D$2:$K2838,MATCH($B284,'HS Codes'!$A$2:$A2838,0),MATCH(H$1,'HS Codes'!$D$1:$K$1,0)),"")</f>
        <v/>
      </c>
      <c r="I284" s="8" t="str">
        <f>_xlfn.IFNA(INDEX('HS Codes'!$D$2:$K2838,MATCH($B284,'HS Codes'!$A$2:$A2838,0),MATCH(I$1,'HS Codes'!$D$1:$K$1,0)),"")</f>
        <v/>
      </c>
      <c r="J284" s="8" t="str">
        <f>_xlfn.IFNA(INDEX('HS Codes'!$D$2:$K2838,MATCH($B284,'HS Codes'!$A$2:$A2838,0),MATCH(J$1,'HS Codes'!$D$1:$K$1,0)),"")</f>
        <v/>
      </c>
      <c r="K284" s="8" t="str">
        <f>_xlfn.IFNA(INDEX('HS Codes'!$D$2:$K2838,MATCH($B284,'HS Codes'!$A$2:$A2838,0),MATCH(K$1,'HS Codes'!$D$1:$K$1,0)),"")</f>
        <v/>
      </c>
      <c r="L284" s="8" t="str">
        <f>_xlfn.IFNA(INDEX('HS Codes'!$D$2:$K2838,MATCH($B284,'HS Codes'!$A$2:$A2838,0),MATCH(L$1,'HS Codes'!$D$1:$K$1,0)),"")</f>
        <v/>
      </c>
      <c r="M284" s="8" t="str">
        <f>_xlfn.IFNA(INDEX('HS Codes'!$C$2:$C2838,MATCH($B284,'HS Codes'!$A$2:$A2838,0)),"")</f>
        <v/>
      </c>
      <c r="N284" s="9"/>
      <c r="O284" s="9"/>
      <c r="P284" s="9"/>
      <c r="Q284" s="9"/>
    </row>
    <row r="285" spans="1:17" ht="15.75" customHeight="1">
      <c r="A285" s="7" t="s">
        <v>573</v>
      </c>
      <c r="B285" s="7"/>
      <c r="C285" s="7"/>
      <c r="D285" s="7"/>
      <c r="E285" s="7"/>
      <c r="F285" s="8" t="str">
        <f>_xlfn.IFNA(INDEX('HS Codes'!$D$2:$K2839,MATCH($B285,'HS Codes'!$A$2:$A2839,0),MATCH(F$1,'HS Codes'!$D$1:$K$1,0)),"")</f>
        <v/>
      </c>
      <c r="G285" s="8" t="str">
        <f>_xlfn.IFNA(INDEX('HS Codes'!$D$2:$K2839,MATCH($B285,'HS Codes'!$A$2:$A2839,0),MATCH(G$1,'HS Codes'!$D$1:$K$1,0)),"")</f>
        <v/>
      </c>
      <c r="H285" s="8" t="str">
        <f>_xlfn.IFNA(INDEX('HS Codes'!$D$2:$K2839,MATCH($B285,'HS Codes'!$A$2:$A2839,0),MATCH(H$1,'HS Codes'!$D$1:$K$1,0)),"")</f>
        <v/>
      </c>
      <c r="I285" s="8" t="str">
        <f>_xlfn.IFNA(INDEX('HS Codes'!$D$2:$K2839,MATCH($B285,'HS Codes'!$A$2:$A2839,0),MATCH(I$1,'HS Codes'!$D$1:$K$1,0)),"")</f>
        <v/>
      </c>
      <c r="J285" s="8" t="str">
        <f>_xlfn.IFNA(INDEX('HS Codes'!$D$2:$K2839,MATCH($B285,'HS Codes'!$A$2:$A2839,0),MATCH(J$1,'HS Codes'!$D$1:$K$1,0)),"")</f>
        <v/>
      </c>
      <c r="K285" s="8" t="str">
        <f>_xlfn.IFNA(INDEX('HS Codes'!$D$2:$K2839,MATCH($B285,'HS Codes'!$A$2:$A2839,0),MATCH(K$1,'HS Codes'!$D$1:$K$1,0)),"")</f>
        <v/>
      </c>
      <c r="L285" s="8" t="str">
        <f>_xlfn.IFNA(INDEX('HS Codes'!$D$2:$K2839,MATCH($B285,'HS Codes'!$A$2:$A2839,0),MATCH(L$1,'HS Codes'!$D$1:$K$1,0)),"")</f>
        <v/>
      </c>
      <c r="M285" s="8" t="str">
        <f>_xlfn.IFNA(INDEX('HS Codes'!$C$2:$C2839,MATCH($B285,'HS Codes'!$A$2:$A2839,0)),"")</f>
        <v/>
      </c>
      <c r="N285" s="9"/>
      <c r="O285" s="9"/>
      <c r="P285" s="9"/>
      <c r="Q285" s="9"/>
    </row>
    <row r="286" spans="1:17" ht="15.75" customHeight="1">
      <c r="A286" s="7" t="s">
        <v>574</v>
      </c>
      <c r="B286" s="7"/>
      <c r="C286" s="7"/>
      <c r="D286" s="7"/>
      <c r="E286" s="7"/>
      <c r="F286" s="8" t="str">
        <f>_xlfn.IFNA(INDEX('HS Codes'!$D$2:$K2840,MATCH($B286,'HS Codes'!$A$2:$A2840,0),MATCH(F$1,'HS Codes'!$D$1:$K$1,0)),"")</f>
        <v/>
      </c>
      <c r="G286" s="8" t="str">
        <f>_xlfn.IFNA(INDEX('HS Codes'!$D$2:$K2840,MATCH($B286,'HS Codes'!$A$2:$A2840,0),MATCH(G$1,'HS Codes'!$D$1:$K$1,0)),"")</f>
        <v/>
      </c>
      <c r="H286" s="8" t="str">
        <f>_xlfn.IFNA(INDEX('HS Codes'!$D$2:$K2840,MATCH($B286,'HS Codes'!$A$2:$A2840,0),MATCH(H$1,'HS Codes'!$D$1:$K$1,0)),"")</f>
        <v/>
      </c>
      <c r="I286" s="8" t="str">
        <f>_xlfn.IFNA(INDEX('HS Codes'!$D$2:$K2840,MATCH($B286,'HS Codes'!$A$2:$A2840,0),MATCH(I$1,'HS Codes'!$D$1:$K$1,0)),"")</f>
        <v/>
      </c>
      <c r="J286" s="8" t="str">
        <f>_xlfn.IFNA(INDEX('HS Codes'!$D$2:$K2840,MATCH($B286,'HS Codes'!$A$2:$A2840,0),MATCH(J$1,'HS Codes'!$D$1:$K$1,0)),"")</f>
        <v/>
      </c>
      <c r="K286" s="8" t="str">
        <f>_xlfn.IFNA(INDEX('HS Codes'!$D$2:$K2840,MATCH($B286,'HS Codes'!$A$2:$A2840,0),MATCH(K$1,'HS Codes'!$D$1:$K$1,0)),"")</f>
        <v/>
      </c>
      <c r="L286" s="8" t="str">
        <f>_xlfn.IFNA(INDEX('HS Codes'!$D$2:$K2840,MATCH($B286,'HS Codes'!$A$2:$A2840,0),MATCH(L$1,'HS Codes'!$D$1:$K$1,0)),"")</f>
        <v/>
      </c>
      <c r="M286" s="8" t="str">
        <f>_xlfn.IFNA(INDEX('HS Codes'!$C$2:$C2840,MATCH($B286,'HS Codes'!$A$2:$A2840,0)),"")</f>
        <v/>
      </c>
      <c r="N286" s="9"/>
      <c r="O286" s="9"/>
      <c r="P286" s="9"/>
      <c r="Q286" s="9"/>
    </row>
    <row r="287" spans="1:17" ht="15.75" customHeight="1">
      <c r="A287" s="7" t="s">
        <v>575</v>
      </c>
      <c r="B287" s="7"/>
      <c r="C287" s="7"/>
      <c r="D287" s="7"/>
      <c r="E287" s="7"/>
      <c r="F287" s="8" t="str">
        <f>_xlfn.IFNA(INDEX('HS Codes'!$D$2:$K2841,MATCH($B287,'HS Codes'!$A$2:$A2841,0),MATCH(F$1,'HS Codes'!$D$1:$K$1,0)),"")</f>
        <v/>
      </c>
      <c r="G287" s="8" t="str">
        <f>_xlfn.IFNA(INDEX('HS Codes'!$D$2:$K2841,MATCH($B287,'HS Codes'!$A$2:$A2841,0),MATCH(G$1,'HS Codes'!$D$1:$K$1,0)),"")</f>
        <v/>
      </c>
      <c r="H287" s="8" t="str">
        <f>_xlfn.IFNA(INDEX('HS Codes'!$D$2:$K2841,MATCH($B287,'HS Codes'!$A$2:$A2841,0),MATCH(H$1,'HS Codes'!$D$1:$K$1,0)),"")</f>
        <v/>
      </c>
      <c r="I287" s="8" t="str">
        <f>_xlfn.IFNA(INDEX('HS Codes'!$D$2:$K2841,MATCH($B287,'HS Codes'!$A$2:$A2841,0),MATCH(I$1,'HS Codes'!$D$1:$K$1,0)),"")</f>
        <v/>
      </c>
      <c r="J287" s="8" t="str">
        <f>_xlfn.IFNA(INDEX('HS Codes'!$D$2:$K2841,MATCH($B287,'HS Codes'!$A$2:$A2841,0),MATCH(J$1,'HS Codes'!$D$1:$K$1,0)),"")</f>
        <v/>
      </c>
      <c r="K287" s="8" t="str">
        <f>_xlfn.IFNA(INDEX('HS Codes'!$D$2:$K2841,MATCH($B287,'HS Codes'!$A$2:$A2841,0),MATCH(K$1,'HS Codes'!$D$1:$K$1,0)),"")</f>
        <v/>
      </c>
      <c r="L287" s="8" t="str">
        <f>_xlfn.IFNA(INDEX('HS Codes'!$D$2:$K2841,MATCH($B287,'HS Codes'!$A$2:$A2841,0),MATCH(L$1,'HS Codes'!$D$1:$K$1,0)),"")</f>
        <v/>
      </c>
      <c r="M287" s="8" t="str">
        <f>_xlfn.IFNA(INDEX('HS Codes'!$C$2:$C2841,MATCH($B287,'HS Codes'!$A$2:$A2841,0)),"")</f>
        <v/>
      </c>
      <c r="N287" s="9"/>
      <c r="O287" s="9"/>
      <c r="P287" s="9"/>
      <c r="Q287" s="9"/>
    </row>
    <row r="288" spans="1:17" ht="15.75" customHeight="1">
      <c r="A288" s="7" t="s">
        <v>576</v>
      </c>
      <c r="B288" s="7"/>
      <c r="C288" s="7"/>
      <c r="D288" s="7"/>
      <c r="E288" s="7"/>
      <c r="F288" s="8" t="str">
        <f>_xlfn.IFNA(INDEX('HS Codes'!$D$2:$K2842,MATCH($B288,'HS Codes'!$A$2:$A2842,0),MATCH(F$1,'HS Codes'!$D$1:$K$1,0)),"")</f>
        <v/>
      </c>
      <c r="G288" s="8" t="str">
        <f>_xlfn.IFNA(INDEX('HS Codes'!$D$2:$K2842,MATCH($B288,'HS Codes'!$A$2:$A2842,0),MATCH(G$1,'HS Codes'!$D$1:$K$1,0)),"")</f>
        <v/>
      </c>
      <c r="H288" s="8" t="str">
        <f>_xlfn.IFNA(INDEX('HS Codes'!$D$2:$K2842,MATCH($B288,'HS Codes'!$A$2:$A2842,0),MATCH(H$1,'HS Codes'!$D$1:$K$1,0)),"")</f>
        <v/>
      </c>
      <c r="I288" s="8" t="str">
        <f>_xlfn.IFNA(INDEX('HS Codes'!$D$2:$K2842,MATCH($B288,'HS Codes'!$A$2:$A2842,0),MATCH(I$1,'HS Codes'!$D$1:$K$1,0)),"")</f>
        <v/>
      </c>
      <c r="J288" s="8" t="str">
        <f>_xlfn.IFNA(INDEX('HS Codes'!$D$2:$K2842,MATCH($B288,'HS Codes'!$A$2:$A2842,0),MATCH(J$1,'HS Codes'!$D$1:$K$1,0)),"")</f>
        <v/>
      </c>
      <c r="K288" s="8" t="str">
        <f>_xlfn.IFNA(INDEX('HS Codes'!$D$2:$K2842,MATCH($B288,'HS Codes'!$A$2:$A2842,0),MATCH(K$1,'HS Codes'!$D$1:$K$1,0)),"")</f>
        <v/>
      </c>
      <c r="L288" s="8" t="str">
        <f>_xlfn.IFNA(INDEX('HS Codes'!$D$2:$K2842,MATCH($B288,'HS Codes'!$A$2:$A2842,0),MATCH(L$1,'HS Codes'!$D$1:$K$1,0)),"")</f>
        <v/>
      </c>
      <c r="M288" s="8" t="str">
        <f>_xlfn.IFNA(INDEX('HS Codes'!$C$2:$C2842,MATCH($B288,'HS Codes'!$A$2:$A2842,0)),"")</f>
        <v/>
      </c>
      <c r="N288" s="9"/>
      <c r="O288" s="9"/>
      <c r="P288" s="9"/>
      <c r="Q288" s="9"/>
    </row>
    <row r="289" spans="1:17" ht="15.75" customHeight="1">
      <c r="A289" s="7" t="s">
        <v>577</v>
      </c>
      <c r="B289" s="7"/>
      <c r="C289" s="7"/>
      <c r="D289" s="7"/>
      <c r="E289" s="7"/>
      <c r="F289" s="8" t="str">
        <f>_xlfn.IFNA(INDEX('HS Codes'!$D$2:$K2843,MATCH($B289,'HS Codes'!$A$2:$A2843,0),MATCH(F$1,'HS Codes'!$D$1:$K$1,0)),"")</f>
        <v/>
      </c>
      <c r="G289" s="8" t="str">
        <f>_xlfn.IFNA(INDEX('HS Codes'!$D$2:$K2843,MATCH($B289,'HS Codes'!$A$2:$A2843,0),MATCH(G$1,'HS Codes'!$D$1:$K$1,0)),"")</f>
        <v/>
      </c>
      <c r="H289" s="8" t="str">
        <f>_xlfn.IFNA(INDEX('HS Codes'!$D$2:$K2843,MATCH($B289,'HS Codes'!$A$2:$A2843,0),MATCH(H$1,'HS Codes'!$D$1:$K$1,0)),"")</f>
        <v/>
      </c>
      <c r="I289" s="8" t="str">
        <f>_xlfn.IFNA(INDEX('HS Codes'!$D$2:$K2843,MATCH($B289,'HS Codes'!$A$2:$A2843,0),MATCH(I$1,'HS Codes'!$D$1:$K$1,0)),"")</f>
        <v/>
      </c>
      <c r="J289" s="8" t="str">
        <f>_xlfn.IFNA(INDEX('HS Codes'!$D$2:$K2843,MATCH($B289,'HS Codes'!$A$2:$A2843,0),MATCH(J$1,'HS Codes'!$D$1:$K$1,0)),"")</f>
        <v/>
      </c>
      <c r="K289" s="8" t="str">
        <f>_xlfn.IFNA(INDEX('HS Codes'!$D$2:$K2843,MATCH($B289,'HS Codes'!$A$2:$A2843,0),MATCH(K$1,'HS Codes'!$D$1:$K$1,0)),"")</f>
        <v/>
      </c>
      <c r="L289" s="8" t="str">
        <f>_xlfn.IFNA(INDEX('HS Codes'!$D$2:$K2843,MATCH($B289,'HS Codes'!$A$2:$A2843,0),MATCH(L$1,'HS Codes'!$D$1:$K$1,0)),"")</f>
        <v/>
      </c>
      <c r="M289" s="8" t="str">
        <f>_xlfn.IFNA(INDEX('HS Codes'!$C$2:$C2843,MATCH($B289,'HS Codes'!$A$2:$A2843,0)),"")</f>
        <v/>
      </c>
      <c r="N289" s="9"/>
      <c r="O289" s="9"/>
      <c r="P289" s="9"/>
      <c r="Q289" s="9"/>
    </row>
    <row r="290" spans="1:17" ht="15.75" customHeight="1">
      <c r="A290" s="7" t="s">
        <v>578</v>
      </c>
      <c r="B290" s="7"/>
      <c r="C290" s="7"/>
      <c r="D290" s="7"/>
      <c r="E290" s="7"/>
      <c r="F290" s="8" t="str">
        <f>_xlfn.IFNA(INDEX('HS Codes'!$D$2:$K2844,MATCH($B290,'HS Codes'!$A$2:$A2844,0),MATCH(F$1,'HS Codes'!$D$1:$K$1,0)),"")</f>
        <v/>
      </c>
      <c r="G290" s="8" t="str">
        <f>_xlfn.IFNA(INDEX('HS Codes'!$D$2:$K2844,MATCH($B290,'HS Codes'!$A$2:$A2844,0),MATCH(G$1,'HS Codes'!$D$1:$K$1,0)),"")</f>
        <v/>
      </c>
      <c r="H290" s="8" t="str">
        <f>_xlfn.IFNA(INDEX('HS Codes'!$D$2:$K2844,MATCH($B290,'HS Codes'!$A$2:$A2844,0),MATCH(H$1,'HS Codes'!$D$1:$K$1,0)),"")</f>
        <v/>
      </c>
      <c r="I290" s="8" t="str">
        <f>_xlfn.IFNA(INDEX('HS Codes'!$D$2:$K2844,MATCH($B290,'HS Codes'!$A$2:$A2844,0),MATCH(I$1,'HS Codes'!$D$1:$K$1,0)),"")</f>
        <v/>
      </c>
      <c r="J290" s="8" t="str">
        <f>_xlfn.IFNA(INDEX('HS Codes'!$D$2:$K2844,MATCH($B290,'HS Codes'!$A$2:$A2844,0),MATCH(J$1,'HS Codes'!$D$1:$K$1,0)),"")</f>
        <v/>
      </c>
      <c r="K290" s="8" t="str">
        <f>_xlfn.IFNA(INDEX('HS Codes'!$D$2:$K2844,MATCH($B290,'HS Codes'!$A$2:$A2844,0),MATCH(K$1,'HS Codes'!$D$1:$K$1,0)),"")</f>
        <v/>
      </c>
      <c r="L290" s="8" t="str">
        <f>_xlfn.IFNA(INDEX('HS Codes'!$D$2:$K2844,MATCH($B290,'HS Codes'!$A$2:$A2844,0),MATCH(L$1,'HS Codes'!$D$1:$K$1,0)),"")</f>
        <v/>
      </c>
      <c r="M290" s="8" t="str">
        <f>_xlfn.IFNA(INDEX('HS Codes'!$C$2:$C2844,MATCH($B290,'HS Codes'!$A$2:$A2844,0)),"")</f>
        <v/>
      </c>
      <c r="N290" s="9"/>
      <c r="O290" s="9"/>
      <c r="P290" s="9"/>
      <c r="Q290" s="9"/>
    </row>
    <row r="291" spans="1:17" ht="15.75" customHeight="1">
      <c r="A291" s="7" t="s">
        <v>579</v>
      </c>
      <c r="B291" s="7"/>
      <c r="C291" s="7"/>
      <c r="D291" s="7"/>
      <c r="E291" s="7"/>
      <c r="F291" s="8" t="str">
        <f>_xlfn.IFNA(INDEX('HS Codes'!$D$2:$K2845,MATCH($B291,'HS Codes'!$A$2:$A2845,0),MATCH(F$1,'HS Codes'!$D$1:$K$1,0)),"")</f>
        <v/>
      </c>
      <c r="G291" s="8" t="str">
        <f>_xlfn.IFNA(INDEX('HS Codes'!$D$2:$K2845,MATCH($B291,'HS Codes'!$A$2:$A2845,0),MATCH(G$1,'HS Codes'!$D$1:$K$1,0)),"")</f>
        <v/>
      </c>
      <c r="H291" s="8" t="str">
        <f>_xlfn.IFNA(INDEX('HS Codes'!$D$2:$K2845,MATCH($B291,'HS Codes'!$A$2:$A2845,0),MATCH(H$1,'HS Codes'!$D$1:$K$1,0)),"")</f>
        <v/>
      </c>
      <c r="I291" s="8" t="str">
        <f>_xlfn.IFNA(INDEX('HS Codes'!$D$2:$K2845,MATCH($B291,'HS Codes'!$A$2:$A2845,0),MATCH(I$1,'HS Codes'!$D$1:$K$1,0)),"")</f>
        <v/>
      </c>
      <c r="J291" s="8" t="str">
        <f>_xlfn.IFNA(INDEX('HS Codes'!$D$2:$K2845,MATCH($B291,'HS Codes'!$A$2:$A2845,0),MATCH(J$1,'HS Codes'!$D$1:$K$1,0)),"")</f>
        <v/>
      </c>
      <c r="K291" s="8" t="str">
        <f>_xlfn.IFNA(INDEX('HS Codes'!$D$2:$K2845,MATCH($B291,'HS Codes'!$A$2:$A2845,0),MATCH(K$1,'HS Codes'!$D$1:$K$1,0)),"")</f>
        <v/>
      </c>
      <c r="L291" s="8" t="str">
        <f>_xlfn.IFNA(INDEX('HS Codes'!$D$2:$K2845,MATCH($B291,'HS Codes'!$A$2:$A2845,0),MATCH(L$1,'HS Codes'!$D$1:$K$1,0)),"")</f>
        <v/>
      </c>
      <c r="M291" s="8" t="str">
        <f>_xlfn.IFNA(INDEX('HS Codes'!$C$2:$C2845,MATCH($B291,'HS Codes'!$A$2:$A2845,0)),"")</f>
        <v/>
      </c>
      <c r="N291" s="9"/>
      <c r="O291" s="9"/>
      <c r="P291" s="9"/>
      <c r="Q291" s="9"/>
    </row>
    <row r="292" spans="1:17" ht="15.75" customHeight="1">
      <c r="A292" s="7" t="s">
        <v>580</v>
      </c>
      <c r="B292" s="7"/>
      <c r="C292" s="7"/>
      <c r="D292" s="7"/>
      <c r="E292" s="7"/>
      <c r="F292" s="8" t="str">
        <f>_xlfn.IFNA(INDEX('HS Codes'!$D$2:$K2846,MATCH($B292,'HS Codes'!$A$2:$A2846,0),MATCH(F$1,'HS Codes'!$D$1:$K$1,0)),"")</f>
        <v/>
      </c>
      <c r="G292" s="8" t="str">
        <f>_xlfn.IFNA(INDEX('HS Codes'!$D$2:$K2846,MATCH($B292,'HS Codes'!$A$2:$A2846,0),MATCH(G$1,'HS Codes'!$D$1:$K$1,0)),"")</f>
        <v/>
      </c>
      <c r="H292" s="8" t="str">
        <f>_xlfn.IFNA(INDEX('HS Codes'!$D$2:$K2846,MATCH($B292,'HS Codes'!$A$2:$A2846,0),MATCH(H$1,'HS Codes'!$D$1:$K$1,0)),"")</f>
        <v/>
      </c>
      <c r="I292" s="8" t="str">
        <f>_xlfn.IFNA(INDEX('HS Codes'!$D$2:$K2846,MATCH($B292,'HS Codes'!$A$2:$A2846,0),MATCH(I$1,'HS Codes'!$D$1:$K$1,0)),"")</f>
        <v/>
      </c>
      <c r="J292" s="8" t="str">
        <f>_xlfn.IFNA(INDEX('HS Codes'!$D$2:$K2846,MATCH($B292,'HS Codes'!$A$2:$A2846,0),MATCH(J$1,'HS Codes'!$D$1:$K$1,0)),"")</f>
        <v/>
      </c>
      <c r="K292" s="8" t="str">
        <f>_xlfn.IFNA(INDEX('HS Codes'!$D$2:$K2846,MATCH($B292,'HS Codes'!$A$2:$A2846,0),MATCH(K$1,'HS Codes'!$D$1:$K$1,0)),"")</f>
        <v/>
      </c>
      <c r="L292" s="8" t="str">
        <f>_xlfn.IFNA(INDEX('HS Codes'!$D$2:$K2846,MATCH($B292,'HS Codes'!$A$2:$A2846,0),MATCH(L$1,'HS Codes'!$D$1:$K$1,0)),"")</f>
        <v/>
      </c>
      <c r="M292" s="8" t="str">
        <f>_xlfn.IFNA(INDEX('HS Codes'!$C$2:$C2846,MATCH($B292,'HS Codes'!$A$2:$A2846,0)),"")</f>
        <v/>
      </c>
      <c r="N292" s="9"/>
      <c r="O292" s="9"/>
      <c r="P292" s="9"/>
      <c r="Q292" s="9"/>
    </row>
    <row r="293" spans="1:17" ht="15.75" customHeight="1">
      <c r="A293" s="7" t="s">
        <v>581</v>
      </c>
      <c r="B293" s="7"/>
      <c r="C293" s="7"/>
      <c r="D293" s="7"/>
      <c r="E293" s="7"/>
      <c r="F293" s="8" t="str">
        <f>_xlfn.IFNA(INDEX('HS Codes'!$D$2:$K2847,MATCH($B293,'HS Codes'!$A$2:$A2847,0),MATCH(F$1,'HS Codes'!$D$1:$K$1,0)),"")</f>
        <v/>
      </c>
      <c r="G293" s="8" t="str">
        <f>_xlfn.IFNA(INDEX('HS Codes'!$D$2:$K2847,MATCH($B293,'HS Codes'!$A$2:$A2847,0),MATCH(G$1,'HS Codes'!$D$1:$K$1,0)),"")</f>
        <v/>
      </c>
      <c r="H293" s="8" t="str">
        <f>_xlfn.IFNA(INDEX('HS Codes'!$D$2:$K2847,MATCH($B293,'HS Codes'!$A$2:$A2847,0),MATCH(H$1,'HS Codes'!$D$1:$K$1,0)),"")</f>
        <v/>
      </c>
      <c r="I293" s="8" t="str">
        <f>_xlfn.IFNA(INDEX('HS Codes'!$D$2:$K2847,MATCH($B293,'HS Codes'!$A$2:$A2847,0),MATCH(I$1,'HS Codes'!$D$1:$K$1,0)),"")</f>
        <v/>
      </c>
      <c r="J293" s="8" t="str">
        <f>_xlfn.IFNA(INDEX('HS Codes'!$D$2:$K2847,MATCH($B293,'HS Codes'!$A$2:$A2847,0),MATCH(J$1,'HS Codes'!$D$1:$K$1,0)),"")</f>
        <v/>
      </c>
      <c r="K293" s="8" t="str">
        <f>_xlfn.IFNA(INDEX('HS Codes'!$D$2:$K2847,MATCH($B293,'HS Codes'!$A$2:$A2847,0),MATCH(K$1,'HS Codes'!$D$1:$K$1,0)),"")</f>
        <v/>
      </c>
      <c r="L293" s="8" t="str">
        <f>_xlfn.IFNA(INDEX('HS Codes'!$D$2:$K2847,MATCH($B293,'HS Codes'!$A$2:$A2847,0),MATCH(L$1,'HS Codes'!$D$1:$K$1,0)),"")</f>
        <v/>
      </c>
      <c r="M293" s="8" t="str">
        <f>_xlfn.IFNA(INDEX('HS Codes'!$C$2:$C2847,MATCH($B293,'HS Codes'!$A$2:$A2847,0)),"")</f>
        <v/>
      </c>
      <c r="N293" s="9"/>
      <c r="O293" s="9"/>
      <c r="P293" s="9"/>
      <c r="Q293" s="9"/>
    </row>
    <row r="294" spans="1:17" ht="15.75" customHeight="1">
      <c r="A294" s="7" t="s">
        <v>582</v>
      </c>
      <c r="B294" s="7" t="s">
        <v>257</v>
      </c>
      <c r="C294" s="7"/>
      <c r="D294" s="7" t="s">
        <v>258</v>
      </c>
      <c r="E294" s="7"/>
      <c r="F294" s="8" t="str">
        <f>_xlfn.IFNA(INDEX('HS Codes'!$D$2:$K2848,MATCH($B294,'HS Codes'!$A$2:$A2848,0),MATCH(F$1,'HS Codes'!$D$1:$K$1,0)),"")</f>
        <v>4819.40.0020</v>
      </c>
      <c r="G294" s="8">
        <f>_xlfn.IFNA(INDEX('HS Codes'!$D$2:$K2848,MATCH($B294,'HS Codes'!$A$2:$A2848,0),MATCH(G$1,'HS Codes'!$D$1:$K$1,0)),"")</f>
        <v>4819100000</v>
      </c>
      <c r="H294" s="8" t="str">
        <f>_xlfn.IFNA(INDEX('HS Codes'!$D$2:$K2848,MATCH($B294,'HS Codes'!$A$2:$A2848,0),MATCH(H$1,'HS Codes'!$D$1:$K$1,0)),"")</f>
        <v>4819.40.0020</v>
      </c>
      <c r="I294" s="8">
        <f>_xlfn.IFNA(INDEX('HS Codes'!$D$2:$K2848,MATCH($B294,'HS Codes'!$A$2:$A2848,0),MATCH(I$1,'HS Codes'!$D$1:$K$1,0)),"")</f>
        <v>4817100000</v>
      </c>
      <c r="J294" s="8">
        <f>_xlfn.IFNA(INDEX('HS Codes'!$D$2:$K2848,MATCH($B294,'HS Codes'!$A$2:$A2848,0),MATCH(J$1,'HS Codes'!$D$1:$K$1,0)),"")</f>
        <v>0</v>
      </c>
      <c r="K294" s="8" t="str">
        <f>_xlfn.IFNA(INDEX('HS Codes'!$D$2:$K2848,MATCH($B294,'HS Codes'!$A$2:$A2848,0),MATCH(K$1,'HS Codes'!$D$1:$K$1,0)),"")</f>
        <v>4819.10.00</v>
      </c>
      <c r="L294" s="8">
        <f>_xlfn.IFNA(INDEX('HS Codes'!$D$2:$K2848,MATCH($B294,'HS Codes'!$A$2:$A2848,0),MATCH(L$1,'HS Codes'!$D$1:$K$1,0)),"")</f>
        <v>4817</v>
      </c>
      <c r="M294" s="8" t="str">
        <f>_xlfn.IFNA(INDEX('HS Codes'!$C$2:$C2848,MATCH($B294,'HS Codes'!$A$2:$A2848,0)),"")</f>
        <v>Packing Bag paper material</v>
      </c>
      <c r="N294" s="9"/>
      <c r="O294" s="9"/>
      <c r="P294" s="9"/>
      <c r="Q294" s="9"/>
    </row>
    <row r="295" spans="1:17" ht="15.75" customHeight="1">
      <c r="A295" s="7" t="s">
        <v>583</v>
      </c>
      <c r="B295" s="7" t="s">
        <v>257</v>
      </c>
      <c r="C295" s="7"/>
      <c r="D295" s="7" t="s">
        <v>258</v>
      </c>
      <c r="E295" s="7"/>
      <c r="F295" s="8" t="str">
        <f>_xlfn.IFNA(INDEX('HS Codes'!$D$2:$K2849,MATCH($B295,'HS Codes'!$A$2:$A2849,0),MATCH(F$1,'HS Codes'!$D$1:$K$1,0)),"")</f>
        <v>4819.40.0020</v>
      </c>
      <c r="G295" s="8">
        <f>_xlfn.IFNA(INDEX('HS Codes'!$D$2:$K2849,MATCH($B295,'HS Codes'!$A$2:$A2849,0),MATCH(G$1,'HS Codes'!$D$1:$K$1,0)),"")</f>
        <v>4819100000</v>
      </c>
      <c r="H295" s="8" t="str">
        <f>_xlfn.IFNA(INDEX('HS Codes'!$D$2:$K2849,MATCH($B295,'HS Codes'!$A$2:$A2849,0),MATCH(H$1,'HS Codes'!$D$1:$K$1,0)),"")</f>
        <v>4819.40.0020</v>
      </c>
      <c r="I295" s="8">
        <f>_xlfn.IFNA(INDEX('HS Codes'!$D$2:$K2849,MATCH($B295,'HS Codes'!$A$2:$A2849,0),MATCH(I$1,'HS Codes'!$D$1:$K$1,0)),"")</f>
        <v>4817100000</v>
      </c>
      <c r="J295" s="8">
        <f>_xlfn.IFNA(INDEX('HS Codes'!$D$2:$K2849,MATCH($B295,'HS Codes'!$A$2:$A2849,0),MATCH(J$1,'HS Codes'!$D$1:$K$1,0)),"")</f>
        <v>0</v>
      </c>
      <c r="K295" s="8" t="str">
        <f>_xlfn.IFNA(INDEX('HS Codes'!$D$2:$K2849,MATCH($B295,'HS Codes'!$A$2:$A2849,0),MATCH(K$1,'HS Codes'!$D$1:$K$1,0)),"")</f>
        <v>4819.10.00</v>
      </c>
      <c r="L295" s="8">
        <f>_xlfn.IFNA(INDEX('HS Codes'!$D$2:$K2849,MATCH($B295,'HS Codes'!$A$2:$A2849,0),MATCH(L$1,'HS Codes'!$D$1:$K$1,0)),"")</f>
        <v>4817</v>
      </c>
      <c r="M295" s="8" t="str">
        <f>_xlfn.IFNA(INDEX('HS Codes'!$C$2:$C2849,MATCH($B295,'HS Codes'!$A$2:$A2849,0)),"")</f>
        <v>Packing Bag paper material</v>
      </c>
      <c r="N295" s="9"/>
      <c r="O295" s="9"/>
      <c r="P295" s="9"/>
      <c r="Q295" s="9"/>
    </row>
    <row r="296" spans="1:17" ht="15.75" customHeight="1">
      <c r="A296" s="7" t="s">
        <v>584</v>
      </c>
      <c r="B296" s="7" t="s">
        <v>257</v>
      </c>
      <c r="C296" s="7"/>
      <c r="D296" s="7" t="s">
        <v>258</v>
      </c>
      <c r="E296" s="7"/>
      <c r="F296" s="8" t="str">
        <f>_xlfn.IFNA(INDEX('HS Codes'!$D$2:$K2850,MATCH($B296,'HS Codes'!$A$2:$A2850,0),MATCH(F$1,'HS Codes'!$D$1:$K$1,0)),"")</f>
        <v>4819.40.0020</v>
      </c>
      <c r="G296" s="8">
        <f>_xlfn.IFNA(INDEX('HS Codes'!$D$2:$K2850,MATCH($B296,'HS Codes'!$A$2:$A2850,0),MATCH(G$1,'HS Codes'!$D$1:$K$1,0)),"")</f>
        <v>4819100000</v>
      </c>
      <c r="H296" s="8" t="str">
        <f>_xlfn.IFNA(INDEX('HS Codes'!$D$2:$K2850,MATCH($B296,'HS Codes'!$A$2:$A2850,0),MATCH(H$1,'HS Codes'!$D$1:$K$1,0)),"")</f>
        <v>4819.40.0020</v>
      </c>
      <c r="I296" s="8">
        <f>_xlfn.IFNA(INDEX('HS Codes'!$D$2:$K2850,MATCH($B296,'HS Codes'!$A$2:$A2850,0),MATCH(I$1,'HS Codes'!$D$1:$K$1,0)),"")</f>
        <v>4817100000</v>
      </c>
      <c r="J296" s="8">
        <f>_xlfn.IFNA(INDEX('HS Codes'!$D$2:$K2850,MATCH($B296,'HS Codes'!$A$2:$A2850,0),MATCH(J$1,'HS Codes'!$D$1:$K$1,0)),"")</f>
        <v>0</v>
      </c>
      <c r="K296" s="8" t="str">
        <f>_xlfn.IFNA(INDEX('HS Codes'!$D$2:$K2850,MATCH($B296,'HS Codes'!$A$2:$A2850,0),MATCH(K$1,'HS Codes'!$D$1:$K$1,0)),"")</f>
        <v>4819.10.00</v>
      </c>
      <c r="L296" s="8">
        <f>_xlfn.IFNA(INDEX('HS Codes'!$D$2:$K2850,MATCH($B296,'HS Codes'!$A$2:$A2850,0),MATCH(L$1,'HS Codes'!$D$1:$K$1,0)),"")</f>
        <v>4817</v>
      </c>
      <c r="M296" s="8" t="str">
        <f>_xlfn.IFNA(INDEX('HS Codes'!$C$2:$C2850,MATCH($B296,'HS Codes'!$A$2:$A2850,0)),"")</f>
        <v>Packing Bag paper material</v>
      </c>
      <c r="N296" s="9"/>
      <c r="O296" s="9"/>
      <c r="P296" s="9"/>
      <c r="Q296" s="9"/>
    </row>
    <row r="297" spans="1:17" ht="15.75" customHeight="1">
      <c r="A297" s="7" t="s">
        <v>585</v>
      </c>
      <c r="B297" s="7" t="s">
        <v>159</v>
      </c>
      <c r="C297" s="7" t="s">
        <v>278</v>
      </c>
      <c r="D297" s="7" t="s">
        <v>160</v>
      </c>
      <c r="E297" s="7" t="s">
        <v>160</v>
      </c>
      <c r="F297" s="8" t="str">
        <f>_xlfn.IFNA(INDEX('HS Codes'!$D$2:$K2851,MATCH($B297,'HS Codes'!$A$2:$A2851,0),MATCH(F$1,'HS Codes'!$D$1:$K$1,0)),"")</f>
        <v>6302.53.00.20</v>
      </c>
      <c r="G297" s="8">
        <f>_xlfn.IFNA(INDEX('HS Codes'!$D$2:$K2851,MATCH($B297,'HS Codes'!$A$2:$A2851,0),MATCH(G$1,'HS Codes'!$D$1:$K$1,0)),"")</f>
        <v>6302531000</v>
      </c>
      <c r="H297" s="8">
        <f>_xlfn.IFNA(INDEX('HS Codes'!$D$2:$K2851,MATCH($B297,'HS Codes'!$A$2:$A2851,0),MATCH(H$1,'HS Codes'!$D$1:$K$1,0)),"")</f>
        <v>6302531000</v>
      </c>
      <c r="I297" s="8">
        <f>_xlfn.IFNA(INDEX('HS Codes'!$D$2:$K2851,MATCH($B297,'HS Codes'!$A$2:$A2851,0),MATCH(I$1,'HS Codes'!$D$1:$K$1,0)),"")</f>
        <v>63029310</v>
      </c>
      <c r="J297" s="8">
        <f>_xlfn.IFNA(INDEX('HS Codes'!$D$2:$K2851,MATCH($B297,'HS Codes'!$A$2:$A2851,0),MATCH(J$1,'HS Codes'!$D$1:$K$1,0)),"")</f>
        <v>0</v>
      </c>
      <c r="K297" s="8" t="str">
        <f>_xlfn.IFNA(INDEX('HS Codes'!$D$2:$K2851,MATCH($B297,'HS Codes'!$A$2:$A2851,0),MATCH(K$1,'HS Codes'!$D$1:$K$1,0)),"")</f>
        <v>6302.53.00</v>
      </c>
      <c r="L297" s="8">
        <f>_xlfn.IFNA(INDEX('HS Codes'!$D$2:$K2851,MATCH($B297,'HS Codes'!$A$2:$A2851,0),MATCH(L$1,'HS Codes'!$D$1:$K$1,0)),"")</f>
        <v>0</v>
      </c>
      <c r="M297" s="8" t="str">
        <f>_xlfn.IFNA(INDEX('HS Codes'!$C$2:$C2851,MATCH($B297,'HS Codes'!$A$2:$A2851,0)),"")</f>
        <v>Kitchen Linen 100% recycled 300 GSM/83% polyester/17% polyamide (no cotton)</v>
      </c>
      <c r="N297" s="9"/>
      <c r="O297" s="9"/>
      <c r="P297" s="9"/>
      <c r="Q297" s="9"/>
    </row>
    <row r="298" spans="1:17" ht="15.75" customHeight="1">
      <c r="A298" s="7" t="s">
        <v>586</v>
      </c>
      <c r="B298" s="7" t="s">
        <v>159</v>
      </c>
      <c r="C298" s="7" t="s">
        <v>278</v>
      </c>
      <c r="D298" s="7" t="s">
        <v>160</v>
      </c>
      <c r="E298" s="7" t="s">
        <v>160</v>
      </c>
      <c r="F298" s="8" t="str">
        <f>_xlfn.IFNA(INDEX('HS Codes'!$D$2:$K2852,MATCH($B298,'HS Codes'!$A$2:$A2852,0),MATCH(F$1,'HS Codes'!$D$1:$K$1,0)),"")</f>
        <v>6302.53.00.20</v>
      </c>
      <c r="G298" s="8">
        <f>_xlfn.IFNA(INDEX('HS Codes'!$D$2:$K2852,MATCH($B298,'HS Codes'!$A$2:$A2852,0),MATCH(G$1,'HS Codes'!$D$1:$K$1,0)),"")</f>
        <v>6302531000</v>
      </c>
      <c r="H298" s="8">
        <f>_xlfn.IFNA(INDEX('HS Codes'!$D$2:$K2852,MATCH($B298,'HS Codes'!$A$2:$A2852,0),MATCH(H$1,'HS Codes'!$D$1:$K$1,0)),"")</f>
        <v>6302531000</v>
      </c>
      <c r="I298" s="8">
        <f>_xlfn.IFNA(INDEX('HS Codes'!$D$2:$K2852,MATCH($B298,'HS Codes'!$A$2:$A2852,0),MATCH(I$1,'HS Codes'!$D$1:$K$1,0)),"")</f>
        <v>63029310</v>
      </c>
      <c r="J298" s="8">
        <f>_xlfn.IFNA(INDEX('HS Codes'!$D$2:$K2852,MATCH($B298,'HS Codes'!$A$2:$A2852,0),MATCH(J$1,'HS Codes'!$D$1:$K$1,0)),"")</f>
        <v>0</v>
      </c>
      <c r="K298" s="8" t="str">
        <f>_xlfn.IFNA(INDEX('HS Codes'!$D$2:$K2852,MATCH($B298,'HS Codes'!$A$2:$A2852,0),MATCH(K$1,'HS Codes'!$D$1:$K$1,0)),"")</f>
        <v>6302.53.00</v>
      </c>
      <c r="L298" s="8">
        <f>_xlfn.IFNA(INDEX('HS Codes'!$D$2:$K2852,MATCH($B298,'HS Codes'!$A$2:$A2852,0),MATCH(L$1,'HS Codes'!$D$1:$K$1,0)),"")</f>
        <v>0</v>
      </c>
      <c r="M298" s="8" t="str">
        <f>_xlfn.IFNA(INDEX('HS Codes'!$C$2:$C2852,MATCH($B298,'HS Codes'!$A$2:$A2852,0)),"")</f>
        <v>Kitchen Linen 100% recycled 300 GSM/83% polyester/17% polyamide (no cotton)</v>
      </c>
      <c r="N298" s="9"/>
      <c r="O298" s="9"/>
      <c r="P298" s="9"/>
      <c r="Q298" s="9"/>
    </row>
    <row r="299" spans="1:17" ht="15.75" customHeight="1">
      <c r="A299" s="7" t="s">
        <v>587</v>
      </c>
      <c r="B299" s="7" t="s">
        <v>159</v>
      </c>
      <c r="C299" s="7" t="s">
        <v>278</v>
      </c>
      <c r="D299" s="7" t="s">
        <v>160</v>
      </c>
      <c r="E299" s="7" t="s">
        <v>160</v>
      </c>
      <c r="F299" s="8" t="str">
        <f>_xlfn.IFNA(INDEX('HS Codes'!$D$2:$K2853,MATCH($B299,'HS Codes'!$A$2:$A2853,0),MATCH(F$1,'HS Codes'!$D$1:$K$1,0)),"")</f>
        <v>6302.53.00.20</v>
      </c>
      <c r="G299" s="8">
        <f>_xlfn.IFNA(INDEX('HS Codes'!$D$2:$K2853,MATCH($B299,'HS Codes'!$A$2:$A2853,0),MATCH(G$1,'HS Codes'!$D$1:$K$1,0)),"")</f>
        <v>6302531000</v>
      </c>
      <c r="H299" s="8">
        <f>_xlfn.IFNA(INDEX('HS Codes'!$D$2:$K2853,MATCH($B299,'HS Codes'!$A$2:$A2853,0),MATCH(H$1,'HS Codes'!$D$1:$K$1,0)),"")</f>
        <v>6302531000</v>
      </c>
      <c r="I299" s="8">
        <f>_xlfn.IFNA(INDEX('HS Codes'!$D$2:$K2853,MATCH($B299,'HS Codes'!$A$2:$A2853,0),MATCH(I$1,'HS Codes'!$D$1:$K$1,0)),"")</f>
        <v>63029310</v>
      </c>
      <c r="J299" s="8">
        <f>_xlfn.IFNA(INDEX('HS Codes'!$D$2:$K2853,MATCH($B299,'HS Codes'!$A$2:$A2853,0),MATCH(J$1,'HS Codes'!$D$1:$K$1,0)),"")</f>
        <v>0</v>
      </c>
      <c r="K299" s="8" t="str">
        <f>_xlfn.IFNA(INDEX('HS Codes'!$D$2:$K2853,MATCH($B299,'HS Codes'!$A$2:$A2853,0),MATCH(K$1,'HS Codes'!$D$1:$K$1,0)),"")</f>
        <v>6302.53.00</v>
      </c>
      <c r="L299" s="8">
        <f>_xlfn.IFNA(INDEX('HS Codes'!$D$2:$K2853,MATCH($B299,'HS Codes'!$A$2:$A2853,0),MATCH(L$1,'HS Codes'!$D$1:$K$1,0)),"")</f>
        <v>0</v>
      </c>
      <c r="M299" s="8" t="str">
        <f>_xlfn.IFNA(INDEX('HS Codes'!$C$2:$C2853,MATCH($B299,'HS Codes'!$A$2:$A2853,0)),"")</f>
        <v>Kitchen Linen 100% recycled 300 GSM/83% polyester/17% polyamide (no cotton)</v>
      </c>
      <c r="N299" s="9"/>
      <c r="O299" s="9"/>
      <c r="P299" s="9"/>
      <c r="Q299" s="9"/>
    </row>
    <row r="300" spans="1:17" ht="15.75" customHeight="1">
      <c r="A300" s="7" t="s">
        <v>588</v>
      </c>
      <c r="B300" s="7" t="s">
        <v>159</v>
      </c>
      <c r="C300" s="7" t="s">
        <v>278</v>
      </c>
      <c r="D300" s="7" t="s">
        <v>160</v>
      </c>
      <c r="E300" s="7" t="s">
        <v>160</v>
      </c>
      <c r="F300" s="8" t="str">
        <f>_xlfn.IFNA(INDEX('HS Codes'!$D$2:$K2854,MATCH($B300,'HS Codes'!$A$2:$A2854,0),MATCH(F$1,'HS Codes'!$D$1:$K$1,0)),"")</f>
        <v>6302.53.00.20</v>
      </c>
      <c r="G300" s="8">
        <f>_xlfn.IFNA(INDEX('HS Codes'!$D$2:$K2854,MATCH($B300,'HS Codes'!$A$2:$A2854,0),MATCH(G$1,'HS Codes'!$D$1:$K$1,0)),"")</f>
        <v>6302531000</v>
      </c>
      <c r="H300" s="8">
        <f>_xlfn.IFNA(INDEX('HS Codes'!$D$2:$K2854,MATCH($B300,'HS Codes'!$A$2:$A2854,0),MATCH(H$1,'HS Codes'!$D$1:$K$1,0)),"")</f>
        <v>6302531000</v>
      </c>
      <c r="I300" s="8">
        <f>_xlfn.IFNA(INDEX('HS Codes'!$D$2:$K2854,MATCH($B300,'HS Codes'!$A$2:$A2854,0),MATCH(I$1,'HS Codes'!$D$1:$K$1,0)),"")</f>
        <v>63029310</v>
      </c>
      <c r="J300" s="8">
        <f>_xlfn.IFNA(INDEX('HS Codes'!$D$2:$K2854,MATCH($B300,'HS Codes'!$A$2:$A2854,0),MATCH(J$1,'HS Codes'!$D$1:$K$1,0)),"")</f>
        <v>0</v>
      </c>
      <c r="K300" s="8" t="str">
        <f>_xlfn.IFNA(INDEX('HS Codes'!$D$2:$K2854,MATCH($B300,'HS Codes'!$A$2:$A2854,0),MATCH(K$1,'HS Codes'!$D$1:$K$1,0)),"")</f>
        <v>6302.53.00</v>
      </c>
      <c r="L300" s="8">
        <f>_xlfn.IFNA(INDEX('HS Codes'!$D$2:$K2854,MATCH($B300,'HS Codes'!$A$2:$A2854,0),MATCH(L$1,'HS Codes'!$D$1:$K$1,0)),"")</f>
        <v>0</v>
      </c>
      <c r="M300" s="8" t="str">
        <f>_xlfn.IFNA(INDEX('HS Codes'!$C$2:$C2854,MATCH($B300,'HS Codes'!$A$2:$A2854,0)),"")</f>
        <v>Kitchen Linen 100% recycled 300 GSM/83% polyester/17% polyamide (no cotton)</v>
      </c>
      <c r="N300" s="9"/>
      <c r="O300" s="9"/>
      <c r="P300" s="9"/>
      <c r="Q300" s="9"/>
    </row>
    <row r="301" spans="1:17" ht="15.75" customHeight="1">
      <c r="A301" s="7" t="s">
        <v>589</v>
      </c>
      <c r="B301" s="7" t="s">
        <v>159</v>
      </c>
      <c r="C301" s="7" t="s">
        <v>278</v>
      </c>
      <c r="D301" s="7" t="s">
        <v>160</v>
      </c>
      <c r="E301" s="7" t="s">
        <v>160</v>
      </c>
      <c r="F301" s="8" t="str">
        <f>_xlfn.IFNA(INDEX('HS Codes'!$D$2:$K2855,MATCH($B301,'HS Codes'!$A$2:$A2855,0),MATCH(F$1,'HS Codes'!$D$1:$K$1,0)),"")</f>
        <v>6302.53.00.20</v>
      </c>
      <c r="G301" s="8">
        <f>_xlfn.IFNA(INDEX('HS Codes'!$D$2:$K2855,MATCH($B301,'HS Codes'!$A$2:$A2855,0),MATCH(G$1,'HS Codes'!$D$1:$K$1,0)),"")</f>
        <v>6302531000</v>
      </c>
      <c r="H301" s="8">
        <f>_xlfn.IFNA(INDEX('HS Codes'!$D$2:$K2855,MATCH($B301,'HS Codes'!$A$2:$A2855,0),MATCH(H$1,'HS Codes'!$D$1:$K$1,0)),"")</f>
        <v>6302531000</v>
      </c>
      <c r="I301" s="8">
        <f>_xlfn.IFNA(INDEX('HS Codes'!$D$2:$K2855,MATCH($B301,'HS Codes'!$A$2:$A2855,0),MATCH(I$1,'HS Codes'!$D$1:$K$1,0)),"")</f>
        <v>63029310</v>
      </c>
      <c r="J301" s="8">
        <f>_xlfn.IFNA(INDEX('HS Codes'!$D$2:$K2855,MATCH($B301,'HS Codes'!$A$2:$A2855,0),MATCH(J$1,'HS Codes'!$D$1:$K$1,0)),"")</f>
        <v>0</v>
      </c>
      <c r="K301" s="8" t="str">
        <f>_xlfn.IFNA(INDEX('HS Codes'!$D$2:$K2855,MATCH($B301,'HS Codes'!$A$2:$A2855,0),MATCH(K$1,'HS Codes'!$D$1:$K$1,0)),"")</f>
        <v>6302.53.00</v>
      </c>
      <c r="L301" s="8">
        <f>_xlfn.IFNA(INDEX('HS Codes'!$D$2:$K2855,MATCH($B301,'HS Codes'!$A$2:$A2855,0),MATCH(L$1,'HS Codes'!$D$1:$K$1,0)),"")</f>
        <v>0</v>
      </c>
      <c r="M301" s="8" t="str">
        <f>_xlfn.IFNA(INDEX('HS Codes'!$C$2:$C2855,MATCH($B301,'HS Codes'!$A$2:$A2855,0)),"")</f>
        <v>Kitchen Linen 100% recycled 300 GSM/83% polyester/17% polyamide (no cotton)</v>
      </c>
      <c r="N301" s="9"/>
      <c r="O301" s="9"/>
      <c r="P301" s="9"/>
      <c r="Q301" s="9"/>
    </row>
    <row r="302" spans="1:17" ht="15.75" customHeight="1">
      <c r="A302" s="7" t="s">
        <v>590</v>
      </c>
      <c r="B302" s="7" t="s">
        <v>159</v>
      </c>
      <c r="C302" s="7" t="s">
        <v>278</v>
      </c>
      <c r="D302" s="7" t="s">
        <v>160</v>
      </c>
      <c r="E302" s="7" t="s">
        <v>160</v>
      </c>
      <c r="F302" s="8" t="str">
        <f>_xlfn.IFNA(INDEX('HS Codes'!$D$2:$K2856,MATCH($B302,'HS Codes'!$A$2:$A2856,0),MATCH(F$1,'HS Codes'!$D$1:$K$1,0)),"")</f>
        <v>6302.53.00.20</v>
      </c>
      <c r="G302" s="8">
        <f>_xlfn.IFNA(INDEX('HS Codes'!$D$2:$K2856,MATCH($B302,'HS Codes'!$A$2:$A2856,0),MATCH(G$1,'HS Codes'!$D$1:$K$1,0)),"")</f>
        <v>6302531000</v>
      </c>
      <c r="H302" s="8">
        <f>_xlfn.IFNA(INDEX('HS Codes'!$D$2:$K2856,MATCH($B302,'HS Codes'!$A$2:$A2856,0),MATCH(H$1,'HS Codes'!$D$1:$K$1,0)),"")</f>
        <v>6302531000</v>
      </c>
      <c r="I302" s="8">
        <f>_xlfn.IFNA(INDEX('HS Codes'!$D$2:$K2856,MATCH($B302,'HS Codes'!$A$2:$A2856,0),MATCH(I$1,'HS Codes'!$D$1:$K$1,0)),"")</f>
        <v>63029310</v>
      </c>
      <c r="J302" s="8">
        <f>_xlfn.IFNA(INDEX('HS Codes'!$D$2:$K2856,MATCH($B302,'HS Codes'!$A$2:$A2856,0),MATCH(J$1,'HS Codes'!$D$1:$K$1,0)),"")</f>
        <v>0</v>
      </c>
      <c r="K302" s="8" t="str">
        <f>_xlfn.IFNA(INDEX('HS Codes'!$D$2:$K2856,MATCH($B302,'HS Codes'!$A$2:$A2856,0),MATCH(K$1,'HS Codes'!$D$1:$K$1,0)),"")</f>
        <v>6302.53.00</v>
      </c>
      <c r="L302" s="8">
        <f>_xlfn.IFNA(INDEX('HS Codes'!$D$2:$K2856,MATCH($B302,'HS Codes'!$A$2:$A2856,0),MATCH(L$1,'HS Codes'!$D$1:$K$1,0)),"")</f>
        <v>0</v>
      </c>
      <c r="M302" s="8" t="str">
        <f>_xlfn.IFNA(INDEX('HS Codes'!$C$2:$C2856,MATCH($B302,'HS Codes'!$A$2:$A2856,0)),"")</f>
        <v>Kitchen Linen 100% recycled 300 GSM/83% polyester/17% polyamide (no cotton)</v>
      </c>
      <c r="N302" s="9"/>
      <c r="O302" s="9"/>
      <c r="P302" s="9"/>
      <c r="Q302" s="9"/>
    </row>
    <row r="303" spans="1:17" ht="15.75" customHeight="1">
      <c r="A303" s="7" t="s">
        <v>591</v>
      </c>
      <c r="B303" s="7" t="s">
        <v>159</v>
      </c>
      <c r="C303" s="7" t="s">
        <v>278</v>
      </c>
      <c r="D303" s="7" t="s">
        <v>160</v>
      </c>
      <c r="E303" s="7" t="s">
        <v>160</v>
      </c>
      <c r="F303" s="8" t="str">
        <f>_xlfn.IFNA(INDEX('HS Codes'!$D$2:$K2857,MATCH($B303,'HS Codes'!$A$2:$A2857,0),MATCH(F$1,'HS Codes'!$D$1:$K$1,0)),"")</f>
        <v>6302.53.00.20</v>
      </c>
      <c r="G303" s="8">
        <f>_xlfn.IFNA(INDEX('HS Codes'!$D$2:$K2857,MATCH($B303,'HS Codes'!$A$2:$A2857,0),MATCH(G$1,'HS Codes'!$D$1:$K$1,0)),"")</f>
        <v>6302531000</v>
      </c>
      <c r="H303" s="8">
        <f>_xlfn.IFNA(INDEX('HS Codes'!$D$2:$K2857,MATCH($B303,'HS Codes'!$A$2:$A2857,0),MATCH(H$1,'HS Codes'!$D$1:$K$1,0)),"")</f>
        <v>6302531000</v>
      </c>
      <c r="I303" s="8">
        <f>_xlfn.IFNA(INDEX('HS Codes'!$D$2:$K2857,MATCH($B303,'HS Codes'!$A$2:$A2857,0),MATCH(I$1,'HS Codes'!$D$1:$K$1,0)),"")</f>
        <v>63029310</v>
      </c>
      <c r="J303" s="8">
        <f>_xlfn.IFNA(INDEX('HS Codes'!$D$2:$K2857,MATCH($B303,'HS Codes'!$A$2:$A2857,0),MATCH(J$1,'HS Codes'!$D$1:$K$1,0)),"")</f>
        <v>0</v>
      </c>
      <c r="K303" s="8" t="str">
        <f>_xlfn.IFNA(INDEX('HS Codes'!$D$2:$K2857,MATCH($B303,'HS Codes'!$A$2:$A2857,0),MATCH(K$1,'HS Codes'!$D$1:$K$1,0)),"")</f>
        <v>6302.53.00</v>
      </c>
      <c r="L303" s="8">
        <f>_xlfn.IFNA(INDEX('HS Codes'!$D$2:$K2857,MATCH($B303,'HS Codes'!$A$2:$A2857,0),MATCH(L$1,'HS Codes'!$D$1:$K$1,0)),"")</f>
        <v>0</v>
      </c>
      <c r="M303" s="8" t="str">
        <f>_xlfn.IFNA(INDEX('HS Codes'!$C$2:$C2857,MATCH($B303,'HS Codes'!$A$2:$A2857,0)),"")</f>
        <v>Kitchen Linen 100% recycled 300 GSM/83% polyester/17% polyamide (no cotton)</v>
      </c>
      <c r="N303" s="9"/>
      <c r="O303" s="9"/>
      <c r="P303" s="9"/>
      <c r="Q303" s="9"/>
    </row>
    <row r="304" spans="1:17" ht="15.75" customHeight="1">
      <c r="A304" s="7" t="s">
        <v>592</v>
      </c>
      <c r="B304" s="7" t="s">
        <v>159</v>
      </c>
      <c r="C304" s="7" t="s">
        <v>278</v>
      </c>
      <c r="D304" s="7" t="s">
        <v>160</v>
      </c>
      <c r="E304" s="7" t="s">
        <v>160</v>
      </c>
      <c r="F304" s="8" t="str">
        <f>_xlfn.IFNA(INDEX('HS Codes'!$D$2:$K2858,MATCH($B304,'HS Codes'!$A$2:$A2858,0),MATCH(F$1,'HS Codes'!$D$1:$K$1,0)),"")</f>
        <v>6302.53.00.20</v>
      </c>
      <c r="G304" s="8">
        <f>_xlfn.IFNA(INDEX('HS Codes'!$D$2:$K2858,MATCH($B304,'HS Codes'!$A$2:$A2858,0),MATCH(G$1,'HS Codes'!$D$1:$K$1,0)),"")</f>
        <v>6302531000</v>
      </c>
      <c r="H304" s="8">
        <f>_xlfn.IFNA(INDEX('HS Codes'!$D$2:$K2858,MATCH($B304,'HS Codes'!$A$2:$A2858,0),MATCH(H$1,'HS Codes'!$D$1:$K$1,0)),"")</f>
        <v>6302531000</v>
      </c>
      <c r="I304" s="8">
        <f>_xlfn.IFNA(INDEX('HS Codes'!$D$2:$K2858,MATCH($B304,'HS Codes'!$A$2:$A2858,0),MATCH(I$1,'HS Codes'!$D$1:$K$1,0)),"")</f>
        <v>63029310</v>
      </c>
      <c r="J304" s="8">
        <f>_xlfn.IFNA(INDEX('HS Codes'!$D$2:$K2858,MATCH($B304,'HS Codes'!$A$2:$A2858,0),MATCH(J$1,'HS Codes'!$D$1:$K$1,0)),"")</f>
        <v>0</v>
      </c>
      <c r="K304" s="8" t="str">
        <f>_xlfn.IFNA(INDEX('HS Codes'!$D$2:$K2858,MATCH($B304,'HS Codes'!$A$2:$A2858,0),MATCH(K$1,'HS Codes'!$D$1:$K$1,0)),"")</f>
        <v>6302.53.00</v>
      </c>
      <c r="L304" s="8">
        <f>_xlfn.IFNA(INDEX('HS Codes'!$D$2:$K2858,MATCH($B304,'HS Codes'!$A$2:$A2858,0),MATCH(L$1,'HS Codes'!$D$1:$K$1,0)),"")</f>
        <v>0</v>
      </c>
      <c r="M304" s="8" t="str">
        <f>_xlfn.IFNA(INDEX('HS Codes'!$C$2:$C2858,MATCH($B304,'HS Codes'!$A$2:$A2858,0)),"")</f>
        <v>Kitchen Linen 100% recycled 300 GSM/83% polyester/17% polyamide (no cotton)</v>
      </c>
      <c r="N304" s="9"/>
      <c r="O304" s="9"/>
      <c r="P304" s="9"/>
      <c r="Q304" s="9"/>
    </row>
    <row r="305" spans="1:17" ht="15.75" customHeight="1">
      <c r="A305" s="7" t="s">
        <v>593</v>
      </c>
      <c r="B305" s="7" t="s">
        <v>159</v>
      </c>
      <c r="C305" s="7" t="s">
        <v>278</v>
      </c>
      <c r="D305" s="7" t="s">
        <v>160</v>
      </c>
      <c r="E305" s="7" t="s">
        <v>160</v>
      </c>
      <c r="F305" s="8" t="str">
        <f>_xlfn.IFNA(INDEX('HS Codes'!$D$2:$K2859,MATCH($B305,'HS Codes'!$A$2:$A2859,0),MATCH(F$1,'HS Codes'!$D$1:$K$1,0)),"")</f>
        <v>6302.53.00.20</v>
      </c>
      <c r="G305" s="8">
        <f>_xlfn.IFNA(INDEX('HS Codes'!$D$2:$K2859,MATCH($B305,'HS Codes'!$A$2:$A2859,0),MATCH(G$1,'HS Codes'!$D$1:$K$1,0)),"")</f>
        <v>6302531000</v>
      </c>
      <c r="H305" s="8">
        <f>_xlfn.IFNA(INDEX('HS Codes'!$D$2:$K2859,MATCH($B305,'HS Codes'!$A$2:$A2859,0),MATCH(H$1,'HS Codes'!$D$1:$K$1,0)),"")</f>
        <v>6302531000</v>
      </c>
      <c r="I305" s="8">
        <f>_xlfn.IFNA(INDEX('HS Codes'!$D$2:$K2859,MATCH($B305,'HS Codes'!$A$2:$A2859,0),MATCH(I$1,'HS Codes'!$D$1:$K$1,0)),"")</f>
        <v>63029310</v>
      </c>
      <c r="J305" s="8">
        <f>_xlfn.IFNA(INDEX('HS Codes'!$D$2:$K2859,MATCH($B305,'HS Codes'!$A$2:$A2859,0),MATCH(J$1,'HS Codes'!$D$1:$K$1,0)),"")</f>
        <v>0</v>
      </c>
      <c r="K305" s="8" t="str">
        <f>_xlfn.IFNA(INDEX('HS Codes'!$D$2:$K2859,MATCH($B305,'HS Codes'!$A$2:$A2859,0),MATCH(K$1,'HS Codes'!$D$1:$K$1,0)),"")</f>
        <v>6302.53.00</v>
      </c>
      <c r="L305" s="8">
        <f>_xlfn.IFNA(INDEX('HS Codes'!$D$2:$K2859,MATCH($B305,'HS Codes'!$A$2:$A2859,0),MATCH(L$1,'HS Codes'!$D$1:$K$1,0)),"")</f>
        <v>0</v>
      </c>
      <c r="M305" s="8" t="str">
        <f>_xlfn.IFNA(INDEX('HS Codes'!$C$2:$C2859,MATCH($B305,'HS Codes'!$A$2:$A2859,0)),"")</f>
        <v>Kitchen Linen 100% recycled 300 GSM/83% polyester/17% polyamide (no cotton)</v>
      </c>
      <c r="N305" s="9"/>
      <c r="O305" s="9"/>
      <c r="P305" s="9"/>
      <c r="Q305" s="9"/>
    </row>
    <row r="306" spans="1:17" ht="15.75" customHeight="1">
      <c r="A306" s="7" t="s">
        <v>594</v>
      </c>
      <c r="B306" s="7" t="s">
        <v>159</v>
      </c>
      <c r="C306" s="7" t="s">
        <v>278</v>
      </c>
      <c r="D306" s="7" t="s">
        <v>160</v>
      </c>
      <c r="E306" s="7" t="s">
        <v>160</v>
      </c>
      <c r="F306" s="8" t="str">
        <f>_xlfn.IFNA(INDEX('HS Codes'!$D$2:$K2860,MATCH($B306,'HS Codes'!$A$2:$A2860,0),MATCH(F$1,'HS Codes'!$D$1:$K$1,0)),"")</f>
        <v>6302.53.00.20</v>
      </c>
      <c r="G306" s="8">
        <f>_xlfn.IFNA(INDEX('HS Codes'!$D$2:$K2860,MATCH($B306,'HS Codes'!$A$2:$A2860,0),MATCH(G$1,'HS Codes'!$D$1:$K$1,0)),"")</f>
        <v>6302531000</v>
      </c>
      <c r="H306" s="8">
        <f>_xlfn.IFNA(INDEX('HS Codes'!$D$2:$K2860,MATCH($B306,'HS Codes'!$A$2:$A2860,0),MATCH(H$1,'HS Codes'!$D$1:$K$1,0)),"")</f>
        <v>6302531000</v>
      </c>
      <c r="I306" s="8">
        <f>_xlfn.IFNA(INDEX('HS Codes'!$D$2:$K2860,MATCH($B306,'HS Codes'!$A$2:$A2860,0),MATCH(I$1,'HS Codes'!$D$1:$K$1,0)),"")</f>
        <v>63029310</v>
      </c>
      <c r="J306" s="8">
        <f>_xlfn.IFNA(INDEX('HS Codes'!$D$2:$K2860,MATCH($B306,'HS Codes'!$A$2:$A2860,0),MATCH(J$1,'HS Codes'!$D$1:$K$1,0)),"")</f>
        <v>0</v>
      </c>
      <c r="K306" s="8" t="str">
        <f>_xlfn.IFNA(INDEX('HS Codes'!$D$2:$K2860,MATCH($B306,'HS Codes'!$A$2:$A2860,0),MATCH(K$1,'HS Codes'!$D$1:$K$1,0)),"")</f>
        <v>6302.53.00</v>
      </c>
      <c r="L306" s="8">
        <f>_xlfn.IFNA(INDEX('HS Codes'!$D$2:$K2860,MATCH($B306,'HS Codes'!$A$2:$A2860,0),MATCH(L$1,'HS Codes'!$D$1:$K$1,0)),"")</f>
        <v>0</v>
      </c>
      <c r="M306" s="8" t="str">
        <f>_xlfn.IFNA(INDEX('HS Codes'!$C$2:$C2860,MATCH($B306,'HS Codes'!$A$2:$A2860,0)),"")</f>
        <v>Kitchen Linen 100% recycled 300 GSM/83% polyester/17% polyamide (no cotton)</v>
      </c>
      <c r="N306" s="9"/>
      <c r="O306" s="9"/>
      <c r="P306" s="9"/>
      <c r="Q306" s="9"/>
    </row>
    <row r="307" spans="1:17" ht="15.75" customHeight="1">
      <c r="A307" s="7" t="s">
        <v>595</v>
      </c>
      <c r="B307" s="7" t="s">
        <v>159</v>
      </c>
      <c r="C307" s="7" t="s">
        <v>278</v>
      </c>
      <c r="D307" s="7" t="s">
        <v>160</v>
      </c>
      <c r="E307" s="7" t="s">
        <v>160</v>
      </c>
      <c r="F307" s="8" t="str">
        <f>_xlfn.IFNA(INDEX('HS Codes'!$D$2:$K2861,MATCH($B307,'HS Codes'!$A$2:$A2861,0),MATCH(F$1,'HS Codes'!$D$1:$K$1,0)),"")</f>
        <v>6302.53.00.20</v>
      </c>
      <c r="G307" s="8">
        <f>_xlfn.IFNA(INDEX('HS Codes'!$D$2:$K2861,MATCH($B307,'HS Codes'!$A$2:$A2861,0),MATCH(G$1,'HS Codes'!$D$1:$K$1,0)),"")</f>
        <v>6302531000</v>
      </c>
      <c r="H307" s="8">
        <f>_xlfn.IFNA(INDEX('HS Codes'!$D$2:$K2861,MATCH($B307,'HS Codes'!$A$2:$A2861,0),MATCH(H$1,'HS Codes'!$D$1:$K$1,0)),"")</f>
        <v>6302531000</v>
      </c>
      <c r="I307" s="8">
        <f>_xlfn.IFNA(INDEX('HS Codes'!$D$2:$K2861,MATCH($B307,'HS Codes'!$A$2:$A2861,0),MATCH(I$1,'HS Codes'!$D$1:$K$1,0)),"")</f>
        <v>63029310</v>
      </c>
      <c r="J307" s="8">
        <f>_xlfn.IFNA(INDEX('HS Codes'!$D$2:$K2861,MATCH($B307,'HS Codes'!$A$2:$A2861,0),MATCH(J$1,'HS Codes'!$D$1:$K$1,0)),"")</f>
        <v>0</v>
      </c>
      <c r="K307" s="8" t="str">
        <f>_xlfn.IFNA(INDEX('HS Codes'!$D$2:$K2861,MATCH($B307,'HS Codes'!$A$2:$A2861,0),MATCH(K$1,'HS Codes'!$D$1:$K$1,0)),"")</f>
        <v>6302.53.00</v>
      </c>
      <c r="L307" s="8">
        <f>_xlfn.IFNA(INDEX('HS Codes'!$D$2:$K2861,MATCH($B307,'HS Codes'!$A$2:$A2861,0),MATCH(L$1,'HS Codes'!$D$1:$K$1,0)),"")</f>
        <v>0</v>
      </c>
      <c r="M307" s="8" t="str">
        <f>_xlfn.IFNA(INDEX('HS Codes'!$C$2:$C2861,MATCH($B307,'HS Codes'!$A$2:$A2861,0)),"")</f>
        <v>Kitchen Linen 100% recycled 300 GSM/83% polyester/17% polyamide (no cotton)</v>
      </c>
      <c r="N307" s="9"/>
      <c r="O307" s="9"/>
      <c r="P307" s="9"/>
      <c r="Q307" s="9"/>
    </row>
    <row r="308" spans="1:17" ht="15.75" customHeight="1">
      <c r="A308" s="7" t="s">
        <v>596</v>
      </c>
      <c r="B308" s="7" t="s">
        <v>159</v>
      </c>
      <c r="C308" s="7" t="s">
        <v>278</v>
      </c>
      <c r="D308" s="7" t="s">
        <v>160</v>
      </c>
      <c r="E308" s="7" t="s">
        <v>160</v>
      </c>
      <c r="F308" s="8" t="str">
        <f>_xlfn.IFNA(INDEX('HS Codes'!$D$2:$K2862,MATCH($B308,'HS Codes'!$A$2:$A2862,0),MATCH(F$1,'HS Codes'!$D$1:$K$1,0)),"")</f>
        <v>6302.53.00.20</v>
      </c>
      <c r="G308" s="8">
        <f>_xlfn.IFNA(INDEX('HS Codes'!$D$2:$K2862,MATCH($B308,'HS Codes'!$A$2:$A2862,0),MATCH(G$1,'HS Codes'!$D$1:$K$1,0)),"")</f>
        <v>6302531000</v>
      </c>
      <c r="H308" s="8">
        <f>_xlfn.IFNA(INDEX('HS Codes'!$D$2:$K2862,MATCH($B308,'HS Codes'!$A$2:$A2862,0),MATCH(H$1,'HS Codes'!$D$1:$K$1,0)),"")</f>
        <v>6302531000</v>
      </c>
      <c r="I308" s="8">
        <f>_xlfn.IFNA(INDEX('HS Codes'!$D$2:$K2862,MATCH($B308,'HS Codes'!$A$2:$A2862,0),MATCH(I$1,'HS Codes'!$D$1:$K$1,0)),"")</f>
        <v>63029310</v>
      </c>
      <c r="J308" s="8">
        <f>_xlfn.IFNA(INDEX('HS Codes'!$D$2:$K2862,MATCH($B308,'HS Codes'!$A$2:$A2862,0),MATCH(J$1,'HS Codes'!$D$1:$K$1,0)),"")</f>
        <v>0</v>
      </c>
      <c r="K308" s="8" t="str">
        <f>_xlfn.IFNA(INDEX('HS Codes'!$D$2:$K2862,MATCH($B308,'HS Codes'!$A$2:$A2862,0),MATCH(K$1,'HS Codes'!$D$1:$K$1,0)),"")</f>
        <v>6302.53.00</v>
      </c>
      <c r="L308" s="8">
        <f>_xlfn.IFNA(INDEX('HS Codes'!$D$2:$K2862,MATCH($B308,'HS Codes'!$A$2:$A2862,0),MATCH(L$1,'HS Codes'!$D$1:$K$1,0)),"")</f>
        <v>0</v>
      </c>
      <c r="M308" s="8" t="str">
        <f>_xlfn.IFNA(INDEX('HS Codes'!$C$2:$C2862,MATCH($B308,'HS Codes'!$A$2:$A2862,0)),"")</f>
        <v>Kitchen Linen 100% recycled 300 GSM/83% polyester/17% polyamide (no cotton)</v>
      </c>
      <c r="N308" s="9"/>
      <c r="O308" s="9"/>
      <c r="P308" s="9"/>
      <c r="Q308" s="9"/>
    </row>
    <row r="309" spans="1:17" ht="15.75" customHeight="1">
      <c r="A309" s="7" t="s">
        <v>597</v>
      </c>
      <c r="B309" s="7" t="s">
        <v>159</v>
      </c>
      <c r="C309" s="7" t="s">
        <v>278</v>
      </c>
      <c r="D309" s="7" t="s">
        <v>160</v>
      </c>
      <c r="E309" s="7" t="s">
        <v>160</v>
      </c>
      <c r="F309" s="8" t="str">
        <f>_xlfn.IFNA(INDEX('HS Codes'!$D$2:$K2863,MATCH($B309,'HS Codes'!$A$2:$A2863,0),MATCH(F$1,'HS Codes'!$D$1:$K$1,0)),"")</f>
        <v>6302.53.00.20</v>
      </c>
      <c r="G309" s="8">
        <f>_xlfn.IFNA(INDEX('HS Codes'!$D$2:$K2863,MATCH($B309,'HS Codes'!$A$2:$A2863,0),MATCH(G$1,'HS Codes'!$D$1:$K$1,0)),"")</f>
        <v>6302531000</v>
      </c>
      <c r="H309" s="8">
        <f>_xlfn.IFNA(INDEX('HS Codes'!$D$2:$K2863,MATCH($B309,'HS Codes'!$A$2:$A2863,0),MATCH(H$1,'HS Codes'!$D$1:$K$1,0)),"")</f>
        <v>6302531000</v>
      </c>
      <c r="I309" s="8">
        <f>_xlfn.IFNA(INDEX('HS Codes'!$D$2:$K2863,MATCH($B309,'HS Codes'!$A$2:$A2863,0),MATCH(I$1,'HS Codes'!$D$1:$K$1,0)),"")</f>
        <v>63029310</v>
      </c>
      <c r="J309" s="8">
        <f>_xlfn.IFNA(INDEX('HS Codes'!$D$2:$K2863,MATCH($B309,'HS Codes'!$A$2:$A2863,0),MATCH(J$1,'HS Codes'!$D$1:$K$1,0)),"")</f>
        <v>0</v>
      </c>
      <c r="K309" s="8" t="str">
        <f>_xlfn.IFNA(INDEX('HS Codes'!$D$2:$K2863,MATCH($B309,'HS Codes'!$A$2:$A2863,0),MATCH(K$1,'HS Codes'!$D$1:$K$1,0)),"")</f>
        <v>6302.53.00</v>
      </c>
      <c r="L309" s="8">
        <f>_xlfn.IFNA(INDEX('HS Codes'!$D$2:$K2863,MATCH($B309,'HS Codes'!$A$2:$A2863,0),MATCH(L$1,'HS Codes'!$D$1:$K$1,0)),"")</f>
        <v>0</v>
      </c>
      <c r="M309" s="8" t="str">
        <f>_xlfn.IFNA(INDEX('HS Codes'!$C$2:$C2863,MATCH($B309,'HS Codes'!$A$2:$A2863,0)),"")</f>
        <v>Kitchen Linen 100% recycled 300 GSM/83% polyester/17% polyamide (no cotton)</v>
      </c>
      <c r="N309" s="9"/>
      <c r="O309" s="9"/>
      <c r="P309" s="9"/>
      <c r="Q309" s="9"/>
    </row>
    <row r="310" spans="1:17" ht="15.75" customHeight="1">
      <c r="A310" s="7" t="s">
        <v>598</v>
      </c>
      <c r="B310" s="7" t="s">
        <v>159</v>
      </c>
      <c r="C310" s="7" t="s">
        <v>278</v>
      </c>
      <c r="D310" s="7" t="s">
        <v>160</v>
      </c>
      <c r="E310" s="7" t="s">
        <v>160</v>
      </c>
      <c r="F310" s="8" t="str">
        <f>_xlfn.IFNA(INDEX('HS Codes'!$D$2:$K2864,MATCH($B310,'HS Codes'!$A$2:$A2864,0),MATCH(F$1,'HS Codes'!$D$1:$K$1,0)),"")</f>
        <v>6302.53.00.20</v>
      </c>
      <c r="G310" s="8">
        <f>_xlfn.IFNA(INDEX('HS Codes'!$D$2:$K2864,MATCH($B310,'HS Codes'!$A$2:$A2864,0),MATCH(G$1,'HS Codes'!$D$1:$K$1,0)),"")</f>
        <v>6302531000</v>
      </c>
      <c r="H310" s="8">
        <f>_xlfn.IFNA(INDEX('HS Codes'!$D$2:$K2864,MATCH($B310,'HS Codes'!$A$2:$A2864,0),MATCH(H$1,'HS Codes'!$D$1:$K$1,0)),"")</f>
        <v>6302531000</v>
      </c>
      <c r="I310" s="8">
        <f>_xlfn.IFNA(INDEX('HS Codes'!$D$2:$K2864,MATCH($B310,'HS Codes'!$A$2:$A2864,0),MATCH(I$1,'HS Codes'!$D$1:$K$1,0)),"")</f>
        <v>63029310</v>
      </c>
      <c r="J310" s="8">
        <f>_xlfn.IFNA(INDEX('HS Codes'!$D$2:$K2864,MATCH($B310,'HS Codes'!$A$2:$A2864,0),MATCH(J$1,'HS Codes'!$D$1:$K$1,0)),"")</f>
        <v>0</v>
      </c>
      <c r="K310" s="8" t="str">
        <f>_xlfn.IFNA(INDEX('HS Codes'!$D$2:$K2864,MATCH($B310,'HS Codes'!$A$2:$A2864,0),MATCH(K$1,'HS Codes'!$D$1:$K$1,0)),"")</f>
        <v>6302.53.00</v>
      </c>
      <c r="L310" s="8">
        <f>_xlfn.IFNA(INDEX('HS Codes'!$D$2:$K2864,MATCH($B310,'HS Codes'!$A$2:$A2864,0),MATCH(L$1,'HS Codes'!$D$1:$K$1,0)),"")</f>
        <v>0</v>
      </c>
      <c r="M310" s="8" t="str">
        <f>_xlfn.IFNA(INDEX('HS Codes'!$C$2:$C2864,MATCH($B310,'HS Codes'!$A$2:$A2864,0)),"")</f>
        <v>Kitchen Linen 100% recycled 300 GSM/83% polyester/17% polyamide (no cotton)</v>
      </c>
      <c r="N310" s="9"/>
      <c r="O310" s="9"/>
      <c r="P310" s="9"/>
      <c r="Q310" s="9"/>
    </row>
    <row r="311" spans="1:17" ht="15.75" customHeight="1">
      <c r="A311" s="7" t="s">
        <v>599</v>
      </c>
      <c r="B311" s="7" t="s">
        <v>159</v>
      </c>
      <c r="C311" s="7" t="s">
        <v>278</v>
      </c>
      <c r="D311" s="7" t="s">
        <v>160</v>
      </c>
      <c r="E311" s="7" t="s">
        <v>160</v>
      </c>
      <c r="F311" s="8" t="str">
        <f>_xlfn.IFNA(INDEX('HS Codes'!$D$2:$K2865,MATCH($B311,'HS Codes'!$A$2:$A2865,0),MATCH(F$1,'HS Codes'!$D$1:$K$1,0)),"")</f>
        <v>6302.53.00.20</v>
      </c>
      <c r="G311" s="8">
        <f>_xlfn.IFNA(INDEX('HS Codes'!$D$2:$K2865,MATCH($B311,'HS Codes'!$A$2:$A2865,0),MATCH(G$1,'HS Codes'!$D$1:$K$1,0)),"")</f>
        <v>6302531000</v>
      </c>
      <c r="H311" s="8">
        <f>_xlfn.IFNA(INDEX('HS Codes'!$D$2:$K2865,MATCH($B311,'HS Codes'!$A$2:$A2865,0),MATCH(H$1,'HS Codes'!$D$1:$K$1,0)),"")</f>
        <v>6302531000</v>
      </c>
      <c r="I311" s="8">
        <f>_xlfn.IFNA(INDEX('HS Codes'!$D$2:$K2865,MATCH($B311,'HS Codes'!$A$2:$A2865,0),MATCH(I$1,'HS Codes'!$D$1:$K$1,0)),"")</f>
        <v>63029310</v>
      </c>
      <c r="J311" s="8">
        <f>_xlfn.IFNA(INDEX('HS Codes'!$D$2:$K2865,MATCH($B311,'HS Codes'!$A$2:$A2865,0),MATCH(J$1,'HS Codes'!$D$1:$K$1,0)),"")</f>
        <v>0</v>
      </c>
      <c r="K311" s="8" t="str">
        <f>_xlfn.IFNA(INDEX('HS Codes'!$D$2:$K2865,MATCH($B311,'HS Codes'!$A$2:$A2865,0),MATCH(K$1,'HS Codes'!$D$1:$K$1,0)),"")</f>
        <v>6302.53.00</v>
      </c>
      <c r="L311" s="8">
        <f>_xlfn.IFNA(INDEX('HS Codes'!$D$2:$K2865,MATCH($B311,'HS Codes'!$A$2:$A2865,0),MATCH(L$1,'HS Codes'!$D$1:$K$1,0)),"")</f>
        <v>0</v>
      </c>
      <c r="M311" s="8" t="str">
        <f>_xlfn.IFNA(INDEX('HS Codes'!$C$2:$C2865,MATCH($B311,'HS Codes'!$A$2:$A2865,0)),"")</f>
        <v>Kitchen Linen 100% recycled 300 GSM/83% polyester/17% polyamide (no cotton)</v>
      </c>
      <c r="N311" s="9"/>
      <c r="O311" s="9"/>
      <c r="P311" s="9"/>
      <c r="Q311" s="9"/>
    </row>
    <row r="312" spans="1:17" ht="15.75" customHeight="1">
      <c r="A312" s="7" t="s">
        <v>600</v>
      </c>
      <c r="B312" s="7" t="s">
        <v>159</v>
      </c>
      <c r="C312" s="7" t="s">
        <v>278</v>
      </c>
      <c r="D312" s="7" t="s">
        <v>160</v>
      </c>
      <c r="E312" s="7" t="s">
        <v>160</v>
      </c>
      <c r="F312" s="8" t="str">
        <f>_xlfn.IFNA(INDEX('HS Codes'!$D$2:$K2866,MATCH($B312,'HS Codes'!$A$2:$A2866,0),MATCH(F$1,'HS Codes'!$D$1:$K$1,0)),"")</f>
        <v>6302.53.00.20</v>
      </c>
      <c r="G312" s="8">
        <f>_xlfn.IFNA(INDEX('HS Codes'!$D$2:$K2866,MATCH($B312,'HS Codes'!$A$2:$A2866,0),MATCH(G$1,'HS Codes'!$D$1:$K$1,0)),"")</f>
        <v>6302531000</v>
      </c>
      <c r="H312" s="8">
        <f>_xlfn.IFNA(INDEX('HS Codes'!$D$2:$K2866,MATCH($B312,'HS Codes'!$A$2:$A2866,0),MATCH(H$1,'HS Codes'!$D$1:$K$1,0)),"")</f>
        <v>6302531000</v>
      </c>
      <c r="I312" s="8">
        <f>_xlfn.IFNA(INDEX('HS Codes'!$D$2:$K2866,MATCH($B312,'HS Codes'!$A$2:$A2866,0),MATCH(I$1,'HS Codes'!$D$1:$K$1,0)),"")</f>
        <v>63029310</v>
      </c>
      <c r="J312" s="8">
        <f>_xlfn.IFNA(INDEX('HS Codes'!$D$2:$K2866,MATCH($B312,'HS Codes'!$A$2:$A2866,0),MATCH(J$1,'HS Codes'!$D$1:$K$1,0)),"")</f>
        <v>0</v>
      </c>
      <c r="K312" s="8" t="str">
        <f>_xlfn.IFNA(INDEX('HS Codes'!$D$2:$K2866,MATCH($B312,'HS Codes'!$A$2:$A2866,0),MATCH(K$1,'HS Codes'!$D$1:$K$1,0)),"")</f>
        <v>6302.53.00</v>
      </c>
      <c r="L312" s="8">
        <f>_xlfn.IFNA(INDEX('HS Codes'!$D$2:$K2866,MATCH($B312,'HS Codes'!$A$2:$A2866,0),MATCH(L$1,'HS Codes'!$D$1:$K$1,0)),"")</f>
        <v>0</v>
      </c>
      <c r="M312" s="8" t="str">
        <f>_xlfn.IFNA(INDEX('HS Codes'!$C$2:$C2866,MATCH($B312,'HS Codes'!$A$2:$A2866,0)),"")</f>
        <v>Kitchen Linen 100% recycled 300 GSM/83% polyester/17% polyamide (no cotton)</v>
      </c>
      <c r="N312" s="9"/>
      <c r="O312" s="9"/>
      <c r="P312" s="9"/>
      <c r="Q312" s="9"/>
    </row>
    <row r="313" spans="1:17" ht="15.75" customHeight="1">
      <c r="A313" s="7" t="s">
        <v>601</v>
      </c>
      <c r="B313" s="7" t="s">
        <v>159</v>
      </c>
      <c r="C313" s="7" t="s">
        <v>278</v>
      </c>
      <c r="D313" s="7" t="s">
        <v>160</v>
      </c>
      <c r="E313" s="7" t="s">
        <v>160</v>
      </c>
      <c r="F313" s="8" t="str">
        <f>_xlfn.IFNA(INDEX('HS Codes'!$D$2:$K2867,MATCH($B313,'HS Codes'!$A$2:$A2867,0),MATCH(F$1,'HS Codes'!$D$1:$K$1,0)),"")</f>
        <v>6302.53.00.20</v>
      </c>
      <c r="G313" s="8">
        <f>_xlfn.IFNA(INDEX('HS Codes'!$D$2:$K2867,MATCH($B313,'HS Codes'!$A$2:$A2867,0),MATCH(G$1,'HS Codes'!$D$1:$K$1,0)),"")</f>
        <v>6302531000</v>
      </c>
      <c r="H313" s="8">
        <f>_xlfn.IFNA(INDEX('HS Codes'!$D$2:$K2867,MATCH($B313,'HS Codes'!$A$2:$A2867,0),MATCH(H$1,'HS Codes'!$D$1:$K$1,0)),"")</f>
        <v>6302531000</v>
      </c>
      <c r="I313" s="8">
        <f>_xlfn.IFNA(INDEX('HS Codes'!$D$2:$K2867,MATCH($B313,'HS Codes'!$A$2:$A2867,0),MATCH(I$1,'HS Codes'!$D$1:$K$1,0)),"")</f>
        <v>63029310</v>
      </c>
      <c r="J313" s="8">
        <f>_xlfn.IFNA(INDEX('HS Codes'!$D$2:$K2867,MATCH($B313,'HS Codes'!$A$2:$A2867,0),MATCH(J$1,'HS Codes'!$D$1:$K$1,0)),"")</f>
        <v>0</v>
      </c>
      <c r="K313" s="8" t="str">
        <f>_xlfn.IFNA(INDEX('HS Codes'!$D$2:$K2867,MATCH($B313,'HS Codes'!$A$2:$A2867,0),MATCH(K$1,'HS Codes'!$D$1:$K$1,0)),"")</f>
        <v>6302.53.00</v>
      </c>
      <c r="L313" s="8">
        <f>_xlfn.IFNA(INDEX('HS Codes'!$D$2:$K2867,MATCH($B313,'HS Codes'!$A$2:$A2867,0),MATCH(L$1,'HS Codes'!$D$1:$K$1,0)),"")</f>
        <v>0</v>
      </c>
      <c r="M313" s="8" t="str">
        <f>_xlfn.IFNA(INDEX('HS Codes'!$C$2:$C2867,MATCH($B313,'HS Codes'!$A$2:$A2867,0)),"")</f>
        <v>Kitchen Linen 100% recycled 300 GSM/83% polyester/17% polyamide (no cotton)</v>
      </c>
      <c r="N313" s="9"/>
      <c r="O313" s="9"/>
      <c r="P313" s="9"/>
      <c r="Q313" s="9"/>
    </row>
    <row r="314" spans="1:17" ht="15.75" customHeight="1">
      <c r="A314" s="7" t="s">
        <v>602</v>
      </c>
      <c r="B314" s="7" t="s">
        <v>159</v>
      </c>
      <c r="C314" s="7" t="s">
        <v>278</v>
      </c>
      <c r="D314" s="7" t="s">
        <v>160</v>
      </c>
      <c r="E314" s="7" t="s">
        <v>160</v>
      </c>
      <c r="F314" s="8" t="str">
        <f>_xlfn.IFNA(INDEX('HS Codes'!$D$2:$K2868,MATCH($B314,'HS Codes'!$A$2:$A2868,0),MATCH(F$1,'HS Codes'!$D$1:$K$1,0)),"")</f>
        <v>6302.53.00.20</v>
      </c>
      <c r="G314" s="8">
        <f>_xlfn.IFNA(INDEX('HS Codes'!$D$2:$K2868,MATCH($B314,'HS Codes'!$A$2:$A2868,0),MATCH(G$1,'HS Codes'!$D$1:$K$1,0)),"")</f>
        <v>6302531000</v>
      </c>
      <c r="H314" s="8">
        <f>_xlfn.IFNA(INDEX('HS Codes'!$D$2:$K2868,MATCH($B314,'HS Codes'!$A$2:$A2868,0),MATCH(H$1,'HS Codes'!$D$1:$K$1,0)),"")</f>
        <v>6302531000</v>
      </c>
      <c r="I314" s="8">
        <f>_xlfn.IFNA(INDEX('HS Codes'!$D$2:$K2868,MATCH($B314,'HS Codes'!$A$2:$A2868,0),MATCH(I$1,'HS Codes'!$D$1:$K$1,0)),"")</f>
        <v>63029310</v>
      </c>
      <c r="J314" s="8">
        <f>_xlfn.IFNA(INDEX('HS Codes'!$D$2:$K2868,MATCH($B314,'HS Codes'!$A$2:$A2868,0),MATCH(J$1,'HS Codes'!$D$1:$K$1,0)),"")</f>
        <v>0</v>
      </c>
      <c r="K314" s="8" t="str">
        <f>_xlfn.IFNA(INDEX('HS Codes'!$D$2:$K2868,MATCH($B314,'HS Codes'!$A$2:$A2868,0),MATCH(K$1,'HS Codes'!$D$1:$K$1,0)),"")</f>
        <v>6302.53.00</v>
      </c>
      <c r="L314" s="8">
        <f>_xlfn.IFNA(INDEX('HS Codes'!$D$2:$K2868,MATCH($B314,'HS Codes'!$A$2:$A2868,0),MATCH(L$1,'HS Codes'!$D$1:$K$1,0)),"")</f>
        <v>0</v>
      </c>
      <c r="M314" s="8" t="str">
        <f>_xlfn.IFNA(INDEX('HS Codes'!$C$2:$C2868,MATCH($B314,'HS Codes'!$A$2:$A2868,0)),"")</f>
        <v>Kitchen Linen 100% recycled 300 GSM/83% polyester/17% polyamide (no cotton)</v>
      </c>
      <c r="N314" s="9"/>
      <c r="O314" s="9"/>
      <c r="P314" s="9"/>
      <c r="Q314" s="9"/>
    </row>
    <row r="315" spans="1:17" ht="15.75" customHeight="1">
      <c r="A315" s="7" t="s">
        <v>603</v>
      </c>
      <c r="B315" s="7" t="s">
        <v>159</v>
      </c>
      <c r="C315" s="7" t="s">
        <v>278</v>
      </c>
      <c r="D315" s="7" t="s">
        <v>160</v>
      </c>
      <c r="E315" s="7" t="s">
        <v>160</v>
      </c>
      <c r="F315" s="8" t="str">
        <f>_xlfn.IFNA(INDEX('HS Codes'!$D$2:$K2869,MATCH($B315,'HS Codes'!$A$2:$A2869,0),MATCH(F$1,'HS Codes'!$D$1:$K$1,0)),"")</f>
        <v>6302.53.00.20</v>
      </c>
      <c r="G315" s="8">
        <f>_xlfn.IFNA(INDEX('HS Codes'!$D$2:$K2869,MATCH($B315,'HS Codes'!$A$2:$A2869,0),MATCH(G$1,'HS Codes'!$D$1:$K$1,0)),"")</f>
        <v>6302531000</v>
      </c>
      <c r="H315" s="8">
        <f>_xlfn.IFNA(INDEX('HS Codes'!$D$2:$K2869,MATCH($B315,'HS Codes'!$A$2:$A2869,0),MATCH(H$1,'HS Codes'!$D$1:$K$1,0)),"")</f>
        <v>6302531000</v>
      </c>
      <c r="I315" s="8">
        <f>_xlfn.IFNA(INDEX('HS Codes'!$D$2:$K2869,MATCH($B315,'HS Codes'!$A$2:$A2869,0),MATCH(I$1,'HS Codes'!$D$1:$K$1,0)),"")</f>
        <v>63029310</v>
      </c>
      <c r="J315" s="8">
        <f>_xlfn.IFNA(INDEX('HS Codes'!$D$2:$K2869,MATCH($B315,'HS Codes'!$A$2:$A2869,0),MATCH(J$1,'HS Codes'!$D$1:$K$1,0)),"")</f>
        <v>0</v>
      </c>
      <c r="K315" s="8" t="str">
        <f>_xlfn.IFNA(INDEX('HS Codes'!$D$2:$K2869,MATCH($B315,'HS Codes'!$A$2:$A2869,0),MATCH(K$1,'HS Codes'!$D$1:$K$1,0)),"")</f>
        <v>6302.53.00</v>
      </c>
      <c r="L315" s="8">
        <f>_xlfn.IFNA(INDEX('HS Codes'!$D$2:$K2869,MATCH($B315,'HS Codes'!$A$2:$A2869,0),MATCH(L$1,'HS Codes'!$D$1:$K$1,0)),"")</f>
        <v>0</v>
      </c>
      <c r="M315" s="8" t="str">
        <f>_xlfn.IFNA(INDEX('HS Codes'!$C$2:$C2869,MATCH($B315,'HS Codes'!$A$2:$A2869,0)),"")</f>
        <v>Kitchen Linen 100% recycled 300 GSM/83% polyester/17% polyamide (no cotton)</v>
      </c>
      <c r="N315" s="9"/>
      <c r="O315" s="9"/>
      <c r="P315" s="9"/>
      <c r="Q315" s="9"/>
    </row>
    <row r="316" spans="1:17" ht="15.75" customHeight="1">
      <c r="A316" s="7" t="s">
        <v>604</v>
      </c>
      <c r="B316" s="7" t="s">
        <v>159</v>
      </c>
      <c r="C316" s="7" t="s">
        <v>278</v>
      </c>
      <c r="D316" s="7" t="s">
        <v>160</v>
      </c>
      <c r="E316" s="7" t="s">
        <v>160</v>
      </c>
      <c r="F316" s="8" t="str">
        <f>_xlfn.IFNA(INDEX('HS Codes'!$D$2:$K2870,MATCH($B316,'HS Codes'!$A$2:$A2870,0),MATCH(F$1,'HS Codes'!$D$1:$K$1,0)),"")</f>
        <v>6302.53.00.20</v>
      </c>
      <c r="G316" s="8">
        <f>_xlfn.IFNA(INDEX('HS Codes'!$D$2:$K2870,MATCH($B316,'HS Codes'!$A$2:$A2870,0),MATCH(G$1,'HS Codes'!$D$1:$K$1,0)),"")</f>
        <v>6302531000</v>
      </c>
      <c r="H316" s="8">
        <f>_xlfn.IFNA(INDEX('HS Codes'!$D$2:$K2870,MATCH($B316,'HS Codes'!$A$2:$A2870,0),MATCH(H$1,'HS Codes'!$D$1:$K$1,0)),"")</f>
        <v>6302531000</v>
      </c>
      <c r="I316" s="8">
        <f>_xlfn.IFNA(INDEX('HS Codes'!$D$2:$K2870,MATCH($B316,'HS Codes'!$A$2:$A2870,0),MATCH(I$1,'HS Codes'!$D$1:$K$1,0)),"")</f>
        <v>63029310</v>
      </c>
      <c r="J316" s="8">
        <f>_xlfn.IFNA(INDEX('HS Codes'!$D$2:$K2870,MATCH($B316,'HS Codes'!$A$2:$A2870,0),MATCH(J$1,'HS Codes'!$D$1:$K$1,0)),"")</f>
        <v>0</v>
      </c>
      <c r="K316" s="8" t="str">
        <f>_xlfn.IFNA(INDEX('HS Codes'!$D$2:$K2870,MATCH($B316,'HS Codes'!$A$2:$A2870,0),MATCH(K$1,'HS Codes'!$D$1:$K$1,0)),"")</f>
        <v>6302.53.00</v>
      </c>
      <c r="L316" s="8">
        <f>_xlfn.IFNA(INDEX('HS Codes'!$D$2:$K2870,MATCH($B316,'HS Codes'!$A$2:$A2870,0),MATCH(L$1,'HS Codes'!$D$1:$K$1,0)),"")</f>
        <v>0</v>
      </c>
      <c r="M316" s="8" t="str">
        <f>_xlfn.IFNA(INDEX('HS Codes'!$C$2:$C2870,MATCH($B316,'HS Codes'!$A$2:$A2870,0)),"")</f>
        <v>Kitchen Linen 100% recycled 300 GSM/83% polyester/17% polyamide (no cotton)</v>
      </c>
      <c r="N316" s="9"/>
      <c r="O316" s="9"/>
      <c r="P316" s="9"/>
      <c r="Q316" s="9"/>
    </row>
    <row r="317" spans="1:17" ht="15.75" customHeight="1">
      <c r="A317" s="7" t="s">
        <v>605</v>
      </c>
      <c r="B317" s="7" t="s">
        <v>159</v>
      </c>
      <c r="C317" s="7" t="s">
        <v>278</v>
      </c>
      <c r="D317" s="7" t="s">
        <v>160</v>
      </c>
      <c r="E317" s="7" t="s">
        <v>160</v>
      </c>
      <c r="F317" s="8" t="str">
        <f>_xlfn.IFNA(INDEX('HS Codes'!$D$2:$K2871,MATCH($B317,'HS Codes'!$A$2:$A2871,0),MATCH(F$1,'HS Codes'!$D$1:$K$1,0)),"")</f>
        <v>6302.53.00.20</v>
      </c>
      <c r="G317" s="8">
        <f>_xlfn.IFNA(INDEX('HS Codes'!$D$2:$K2871,MATCH($B317,'HS Codes'!$A$2:$A2871,0),MATCH(G$1,'HS Codes'!$D$1:$K$1,0)),"")</f>
        <v>6302531000</v>
      </c>
      <c r="H317" s="8">
        <f>_xlfn.IFNA(INDEX('HS Codes'!$D$2:$K2871,MATCH($B317,'HS Codes'!$A$2:$A2871,0),MATCH(H$1,'HS Codes'!$D$1:$K$1,0)),"")</f>
        <v>6302531000</v>
      </c>
      <c r="I317" s="8">
        <f>_xlfn.IFNA(INDEX('HS Codes'!$D$2:$K2871,MATCH($B317,'HS Codes'!$A$2:$A2871,0),MATCH(I$1,'HS Codes'!$D$1:$K$1,0)),"")</f>
        <v>63029310</v>
      </c>
      <c r="J317" s="8">
        <f>_xlfn.IFNA(INDEX('HS Codes'!$D$2:$K2871,MATCH($B317,'HS Codes'!$A$2:$A2871,0),MATCH(J$1,'HS Codes'!$D$1:$K$1,0)),"")</f>
        <v>0</v>
      </c>
      <c r="K317" s="8" t="str">
        <f>_xlfn.IFNA(INDEX('HS Codes'!$D$2:$K2871,MATCH($B317,'HS Codes'!$A$2:$A2871,0),MATCH(K$1,'HS Codes'!$D$1:$K$1,0)),"")</f>
        <v>6302.53.00</v>
      </c>
      <c r="L317" s="8">
        <f>_xlfn.IFNA(INDEX('HS Codes'!$D$2:$K2871,MATCH($B317,'HS Codes'!$A$2:$A2871,0),MATCH(L$1,'HS Codes'!$D$1:$K$1,0)),"")</f>
        <v>0</v>
      </c>
      <c r="M317" s="8" t="str">
        <f>_xlfn.IFNA(INDEX('HS Codes'!$C$2:$C2871,MATCH($B317,'HS Codes'!$A$2:$A2871,0)),"")</f>
        <v>Kitchen Linen 100% recycled 300 GSM/83% polyester/17% polyamide (no cotton)</v>
      </c>
      <c r="N317" s="9"/>
      <c r="O317" s="9"/>
      <c r="P317" s="9"/>
      <c r="Q317" s="9"/>
    </row>
    <row r="318" spans="1:17" ht="15.75" customHeight="1">
      <c r="A318" s="7" t="s">
        <v>606</v>
      </c>
      <c r="B318" s="7" t="s">
        <v>159</v>
      </c>
      <c r="C318" s="7" t="s">
        <v>278</v>
      </c>
      <c r="D318" s="7" t="s">
        <v>160</v>
      </c>
      <c r="E318" s="7" t="s">
        <v>160</v>
      </c>
      <c r="F318" s="8" t="str">
        <f>_xlfn.IFNA(INDEX('HS Codes'!$D$2:$K2872,MATCH($B318,'HS Codes'!$A$2:$A2872,0),MATCH(F$1,'HS Codes'!$D$1:$K$1,0)),"")</f>
        <v>6302.53.00.20</v>
      </c>
      <c r="G318" s="8">
        <f>_xlfn.IFNA(INDEX('HS Codes'!$D$2:$K2872,MATCH($B318,'HS Codes'!$A$2:$A2872,0),MATCH(G$1,'HS Codes'!$D$1:$K$1,0)),"")</f>
        <v>6302531000</v>
      </c>
      <c r="H318" s="8">
        <f>_xlfn.IFNA(INDEX('HS Codes'!$D$2:$K2872,MATCH($B318,'HS Codes'!$A$2:$A2872,0),MATCH(H$1,'HS Codes'!$D$1:$K$1,0)),"")</f>
        <v>6302531000</v>
      </c>
      <c r="I318" s="8">
        <f>_xlfn.IFNA(INDEX('HS Codes'!$D$2:$K2872,MATCH($B318,'HS Codes'!$A$2:$A2872,0),MATCH(I$1,'HS Codes'!$D$1:$K$1,0)),"")</f>
        <v>63029310</v>
      </c>
      <c r="J318" s="8">
        <f>_xlfn.IFNA(INDEX('HS Codes'!$D$2:$K2872,MATCH($B318,'HS Codes'!$A$2:$A2872,0),MATCH(J$1,'HS Codes'!$D$1:$K$1,0)),"")</f>
        <v>0</v>
      </c>
      <c r="K318" s="8" t="str">
        <f>_xlfn.IFNA(INDEX('HS Codes'!$D$2:$K2872,MATCH($B318,'HS Codes'!$A$2:$A2872,0),MATCH(K$1,'HS Codes'!$D$1:$K$1,0)),"")</f>
        <v>6302.53.00</v>
      </c>
      <c r="L318" s="8">
        <f>_xlfn.IFNA(INDEX('HS Codes'!$D$2:$K2872,MATCH($B318,'HS Codes'!$A$2:$A2872,0),MATCH(L$1,'HS Codes'!$D$1:$K$1,0)),"")</f>
        <v>0</v>
      </c>
      <c r="M318" s="8" t="str">
        <f>_xlfn.IFNA(INDEX('HS Codes'!$C$2:$C2872,MATCH($B318,'HS Codes'!$A$2:$A2872,0)),"")</f>
        <v>Kitchen Linen 100% recycled 300 GSM/83% polyester/17% polyamide (no cotton)</v>
      </c>
      <c r="N318" s="9"/>
      <c r="O318" s="9"/>
      <c r="P318" s="9"/>
      <c r="Q318" s="9"/>
    </row>
    <row r="319" spans="1:17" ht="15.75" customHeight="1">
      <c r="A319" s="7" t="s">
        <v>607</v>
      </c>
      <c r="B319" s="7" t="s">
        <v>159</v>
      </c>
      <c r="C319" s="7" t="s">
        <v>278</v>
      </c>
      <c r="D319" s="7" t="s">
        <v>160</v>
      </c>
      <c r="E319" s="7" t="s">
        <v>160</v>
      </c>
      <c r="F319" s="8" t="str">
        <f>_xlfn.IFNA(INDEX('HS Codes'!$D$2:$K2873,MATCH($B319,'HS Codes'!$A$2:$A2873,0),MATCH(F$1,'HS Codes'!$D$1:$K$1,0)),"")</f>
        <v>6302.53.00.20</v>
      </c>
      <c r="G319" s="8">
        <f>_xlfn.IFNA(INDEX('HS Codes'!$D$2:$K2873,MATCH($B319,'HS Codes'!$A$2:$A2873,0),MATCH(G$1,'HS Codes'!$D$1:$K$1,0)),"")</f>
        <v>6302531000</v>
      </c>
      <c r="H319" s="8">
        <f>_xlfn.IFNA(INDEX('HS Codes'!$D$2:$K2873,MATCH($B319,'HS Codes'!$A$2:$A2873,0),MATCH(H$1,'HS Codes'!$D$1:$K$1,0)),"")</f>
        <v>6302531000</v>
      </c>
      <c r="I319" s="8">
        <f>_xlfn.IFNA(INDEX('HS Codes'!$D$2:$K2873,MATCH($B319,'HS Codes'!$A$2:$A2873,0),MATCH(I$1,'HS Codes'!$D$1:$K$1,0)),"")</f>
        <v>63029310</v>
      </c>
      <c r="J319" s="8">
        <f>_xlfn.IFNA(INDEX('HS Codes'!$D$2:$K2873,MATCH($B319,'HS Codes'!$A$2:$A2873,0),MATCH(J$1,'HS Codes'!$D$1:$K$1,0)),"")</f>
        <v>0</v>
      </c>
      <c r="K319" s="8" t="str">
        <f>_xlfn.IFNA(INDEX('HS Codes'!$D$2:$K2873,MATCH($B319,'HS Codes'!$A$2:$A2873,0),MATCH(K$1,'HS Codes'!$D$1:$K$1,0)),"")</f>
        <v>6302.53.00</v>
      </c>
      <c r="L319" s="8">
        <f>_xlfn.IFNA(INDEX('HS Codes'!$D$2:$K2873,MATCH($B319,'HS Codes'!$A$2:$A2873,0),MATCH(L$1,'HS Codes'!$D$1:$K$1,0)),"")</f>
        <v>0</v>
      </c>
      <c r="M319" s="8" t="str">
        <f>_xlfn.IFNA(INDEX('HS Codes'!$C$2:$C2873,MATCH($B319,'HS Codes'!$A$2:$A2873,0)),"")</f>
        <v>Kitchen Linen 100% recycled 300 GSM/83% polyester/17% polyamide (no cotton)</v>
      </c>
      <c r="N319" s="9"/>
      <c r="O319" s="9"/>
      <c r="P319" s="9"/>
      <c r="Q319" s="9"/>
    </row>
    <row r="320" spans="1:17" ht="15.75" customHeight="1">
      <c r="A320" s="7" t="s">
        <v>608</v>
      </c>
      <c r="B320" s="7" t="s">
        <v>159</v>
      </c>
      <c r="C320" s="7" t="s">
        <v>278</v>
      </c>
      <c r="D320" s="7" t="s">
        <v>160</v>
      </c>
      <c r="E320" s="7" t="s">
        <v>160</v>
      </c>
      <c r="F320" s="8" t="str">
        <f>_xlfn.IFNA(INDEX('HS Codes'!$D$2:$K2874,MATCH($B320,'HS Codes'!$A$2:$A2874,0),MATCH(F$1,'HS Codes'!$D$1:$K$1,0)),"")</f>
        <v>6302.53.00.20</v>
      </c>
      <c r="G320" s="8">
        <f>_xlfn.IFNA(INDEX('HS Codes'!$D$2:$K2874,MATCH($B320,'HS Codes'!$A$2:$A2874,0),MATCH(G$1,'HS Codes'!$D$1:$K$1,0)),"")</f>
        <v>6302531000</v>
      </c>
      <c r="H320" s="8">
        <f>_xlfn.IFNA(INDEX('HS Codes'!$D$2:$K2874,MATCH($B320,'HS Codes'!$A$2:$A2874,0),MATCH(H$1,'HS Codes'!$D$1:$K$1,0)),"")</f>
        <v>6302531000</v>
      </c>
      <c r="I320" s="8">
        <f>_xlfn.IFNA(INDEX('HS Codes'!$D$2:$K2874,MATCH($B320,'HS Codes'!$A$2:$A2874,0),MATCH(I$1,'HS Codes'!$D$1:$K$1,0)),"")</f>
        <v>63029310</v>
      </c>
      <c r="J320" s="8">
        <f>_xlfn.IFNA(INDEX('HS Codes'!$D$2:$K2874,MATCH($B320,'HS Codes'!$A$2:$A2874,0),MATCH(J$1,'HS Codes'!$D$1:$K$1,0)),"")</f>
        <v>0</v>
      </c>
      <c r="K320" s="8" t="str">
        <f>_xlfn.IFNA(INDEX('HS Codes'!$D$2:$K2874,MATCH($B320,'HS Codes'!$A$2:$A2874,0),MATCH(K$1,'HS Codes'!$D$1:$K$1,0)),"")</f>
        <v>6302.53.00</v>
      </c>
      <c r="L320" s="8">
        <f>_xlfn.IFNA(INDEX('HS Codes'!$D$2:$K2874,MATCH($B320,'HS Codes'!$A$2:$A2874,0),MATCH(L$1,'HS Codes'!$D$1:$K$1,0)),"")</f>
        <v>0</v>
      </c>
      <c r="M320" s="8" t="str">
        <f>_xlfn.IFNA(INDEX('HS Codes'!$C$2:$C2874,MATCH($B320,'HS Codes'!$A$2:$A2874,0)),"")</f>
        <v>Kitchen Linen 100% recycled 300 GSM/83% polyester/17% polyamide (no cotton)</v>
      </c>
      <c r="N320" s="9"/>
      <c r="O320" s="9"/>
      <c r="P320" s="9"/>
      <c r="Q320" s="9"/>
    </row>
    <row r="321" spans="1:17" ht="15.75" customHeight="1">
      <c r="A321" s="7" t="s">
        <v>609</v>
      </c>
      <c r="B321" s="7" t="s">
        <v>159</v>
      </c>
      <c r="C321" s="7" t="s">
        <v>278</v>
      </c>
      <c r="D321" s="7" t="s">
        <v>160</v>
      </c>
      <c r="E321" s="7" t="s">
        <v>160</v>
      </c>
      <c r="F321" s="8" t="str">
        <f>_xlfn.IFNA(INDEX('HS Codes'!$D$2:$K2875,MATCH($B321,'HS Codes'!$A$2:$A2875,0),MATCH(F$1,'HS Codes'!$D$1:$K$1,0)),"")</f>
        <v>6302.53.00.20</v>
      </c>
      <c r="G321" s="8">
        <f>_xlfn.IFNA(INDEX('HS Codes'!$D$2:$K2875,MATCH($B321,'HS Codes'!$A$2:$A2875,0),MATCH(G$1,'HS Codes'!$D$1:$K$1,0)),"")</f>
        <v>6302531000</v>
      </c>
      <c r="H321" s="8">
        <f>_xlfn.IFNA(INDEX('HS Codes'!$D$2:$K2875,MATCH($B321,'HS Codes'!$A$2:$A2875,0),MATCH(H$1,'HS Codes'!$D$1:$K$1,0)),"")</f>
        <v>6302531000</v>
      </c>
      <c r="I321" s="8">
        <f>_xlfn.IFNA(INDEX('HS Codes'!$D$2:$K2875,MATCH($B321,'HS Codes'!$A$2:$A2875,0),MATCH(I$1,'HS Codes'!$D$1:$K$1,0)),"")</f>
        <v>63029310</v>
      </c>
      <c r="J321" s="8">
        <f>_xlfn.IFNA(INDEX('HS Codes'!$D$2:$K2875,MATCH($B321,'HS Codes'!$A$2:$A2875,0),MATCH(J$1,'HS Codes'!$D$1:$K$1,0)),"")</f>
        <v>0</v>
      </c>
      <c r="K321" s="8" t="str">
        <f>_xlfn.IFNA(INDEX('HS Codes'!$D$2:$K2875,MATCH($B321,'HS Codes'!$A$2:$A2875,0),MATCH(K$1,'HS Codes'!$D$1:$K$1,0)),"")</f>
        <v>6302.53.00</v>
      </c>
      <c r="L321" s="8">
        <f>_xlfn.IFNA(INDEX('HS Codes'!$D$2:$K2875,MATCH($B321,'HS Codes'!$A$2:$A2875,0),MATCH(L$1,'HS Codes'!$D$1:$K$1,0)),"")</f>
        <v>0</v>
      </c>
      <c r="M321" s="8" t="str">
        <f>_xlfn.IFNA(INDEX('HS Codes'!$C$2:$C2875,MATCH($B321,'HS Codes'!$A$2:$A2875,0)),"")</f>
        <v>Kitchen Linen 100% recycled 300 GSM/83% polyester/17% polyamide (no cotton)</v>
      </c>
      <c r="N321" s="9"/>
      <c r="O321" s="9"/>
      <c r="P321" s="9"/>
      <c r="Q321" s="9"/>
    </row>
    <row r="322" spans="1:17" ht="15.75" customHeight="1">
      <c r="A322" s="7" t="s">
        <v>610</v>
      </c>
      <c r="B322" s="7" t="s">
        <v>159</v>
      </c>
      <c r="C322" s="7" t="s">
        <v>278</v>
      </c>
      <c r="D322" s="7" t="s">
        <v>160</v>
      </c>
      <c r="E322" s="7" t="s">
        <v>160</v>
      </c>
      <c r="F322" s="8" t="str">
        <f>_xlfn.IFNA(INDEX('HS Codes'!$D$2:$K2876,MATCH($B322,'HS Codes'!$A$2:$A2876,0),MATCH(F$1,'HS Codes'!$D$1:$K$1,0)),"")</f>
        <v>6302.53.00.20</v>
      </c>
      <c r="G322" s="8">
        <f>_xlfn.IFNA(INDEX('HS Codes'!$D$2:$K2876,MATCH($B322,'HS Codes'!$A$2:$A2876,0),MATCH(G$1,'HS Codes'!$D$1:$K$1,0)),"")</f>
        <v>6302531000</v>
      </c>
      <c r="H322" s="8">
        <f>_xlfn.IFNA(INDEX('HS Codes'!$D$2:$K2876,MATCH($B322,'HS Codes'!$A$2:$A2876,0),MATCH(H$1,'HS Codes'!$D$1:$K$1,0)),"")</f>
        <v>6302531000</v>
      </c>
      <c r="I322" s="8">
        <f>_xlfn.IFNA(INDEX('HS Codes'!$D$2:$K2876,MATCH($B322,'HS Codes'!$A$2:$A2876,0),MATCH(I$1,'HS Codes'!$D$1:$K$1,0)),"")</f>
        <v>63029310</v>
      </c>
      <c r="J322" s="8">
        <f>_xlfn.IFNA(INDEX('HS Codes'!$D$2:$K2876,MATCH($B322,'HS Codes'!$A$2:$A2876,0),MATCH(J$1,'HS Codes'!$D$1:$K$1,0)),"")</f>
        <v>0</v>
      </c>
      <c r="K322" s="8" t="str">
        <f>_xlfn.IFNA(INDEX('HS Codes'!$D$2:$K2876,MATCH($B322,'HS Codes'!$A$2:$A2876,0),MATCH(K$1,'HS Codes'!$D$1:$K$1,0)),"")</f>
        <v>6302.53.00</v>
      </c>
      <c r="L322" s="8">
        <f>_xlfn.IFNA(INDEX('HS Codes'!$D$2:$K2876,MATCH($B322,'HS Codes'!$A$2:$A2876,0),MATCH(L$1,'HS Codes'!$D$1:$K$1,0)),"")</f>
        <v>0</v>
      </c>
      <c r="M322" s="8" t="str">
        <f>_xlfn.IFNA(INDEX('HS Codes'!$C$2:$C2876,MATCH($B322,'HS Codes'!$A$2:$A2876,0)),"")</f>
        <v>Kitchen Linen 100% recycled 300 GSM/83% polyester/17% polyamide (no cotton)</v>
      </c>
      <c r="N322" s="9"/>
      <c r="O322" s="9"/>
      <c r="P322" s="9"/>
      <c r="Q322" s="9"/>
    </row>
    <row r="323" spans="1:17" ht="15.75" customHeight="1">
      <c r="A323" s="7" t="s">
        <v>611</v>
      </c>
      <c r="B323" s="7" t="s">
        <v>159</v>
      </c>
      <c r="C323" s="7" t="s">
        <v>278</v>
      </c>
      <c r="D323" s="7" t="s">
        <v>160</v>
      </c>
      <c r="E323" s="7" t="s">
        <v>160</v>
      </c>
      <c r="F323" s="8" t="str">
        <f>_xlfn.IFNA(INDEX('HS Codes'!$D$2:$K2877,MATCH($B323,'HS Codes'!$A$2:$A2877,0),MATCH(F$1,'HS Codes'!$D$1:$K$1,0)),"")</f>
        <v>6302.53.00.20</v>
      </c>
      <c r="G323" s="8">
        <f>_xlfn.IFNA(INDEX('HS Codes'!$D$2:$K2877,MATCH($B323,'HS Codes'!$A$2:$A2877,0),MATCH(G$1,'HS Codes'!$D$1:$K$1,0)),"")</f>
        <v>6302531000</v>
      </c>
      <c r="H323" s="8">
        <f>_xlfn.IFNA(INDEX('HS Codes'!$D$2:$K2877,MATCH($B323,'HS Codes'!$A$2:$A2877,0),MATCH(H$1,'HS Codes'!$D$1:$K$1,0)),"")</f>
        <v>6302531000</v>
      </c>
      <c r="I323" s="8">
        <f>_xlfn.IFNA(INDEX('HS Codes'!$D$2:$K2877,MATCH($B323,'HS Codes'!$A$2:$A2877,0),MATCH(I$1,'HS Codes'!$D$1:$K$1,0)),"")</f>
        <v>63029310</v>
      </c>
      <c r="J323" s="8">
        <f>_xlfn.IFNA(INDEX('HS Codes'!$D$2:$K2877,MATCH($B323,'HS Codes'!$A$2:$A2877,0),MATCH(J$1,'HS Codes'!$D$1:$K$1,0)),"")</f>
        <v>0</v>
      </c>
      <c r="K323" s="8" t="str">
        <f>_xlfn.IFNA(INDEX('HS Codes'!$D$2:$K2877,MATCH($B323,'HS Codes'!$A$2:$A2877,0),MATCH(K$1,'HS Codes'!$D$1:$K$1,0)),"")</f>
        <v>6302.53.00</v>
      </c>
      <c r="L323" s="8">
        <f>_xlfn.IFNA(INDEX('HS Codes'!$D$2:$K2877,MATCH($B323,'HS Codes'!$A$2:$A2877,0),MATCH(L$1,'HS Codes'!$D$1:$K$1,0)),"")</f>
        <v>0</v>
      </c>
      <c r="M323" s="8" t="str">
        <f>_xlfn.IFNA(INDEX('HS Codes'!$C$2:$C2877,MATCH($B323,'HS Codes'!$A$2:$A2877,0)),"")</f>
        <v>Kitchen Linen 100% recycled 300 GSM/83% polyester/17% polyamide (no cotton)</v>
      </c>
      <c r="N323" s="9"/>
      <c r="O323" s="9"/>
      <c r="P323" s="9"/>
      <c r="Q323" s="9"/>
    </row>
    <row r="324" spans="1:17" ht="15.75" customHeight="1">
      <c r="A324" s="7" t="s">
        <v>612</v>
      </c>
      <c r="B324" s="7" t="s">
        <v>159</v>
      </c>
      <c r="C324" s="7" t="s">
        <v>278</v>
      </c>
      <c r="D324" s="7" t="s">
        <v>160</v>
      </c>
      <c r="E324" s="7" t="s">
        <v>160</v>
      </c>
      <c r="F324" s="8" t="str">
        <f>_xlfn.IFNA(INDEX('HS Codes'!$D$2:$K2878,MATCH($B324,'HS Codes'!$A$2:$A2878,0),MATCH(F$1,'HS Codes'!$D$1:$K$1,0)),"")</f>
        <v>6302.53.00.20</v>
      </c>
      <c r="G324" s="8">
        <f>_xlfn.IFNA(INDEX('HS Codes'!$D$2:$K2878,MATCH($B324,'HS Codes'!$A$2:$A2878,0),MATCH(G$1,'HS Codes'!$D$1:$K$1,0)),"")</f>
        <v>6302531000</v>
      </c>
      <c r="H324" s="8">
        <f>_xlfn.IFNA(INDEX('HS Codes'!$D$2:$K2878,MATCH($B324,'HS Codes'!$A$2:$A2878,0),MATCH(H$1,'HS Codes'!$D$1:$K$1,0)),"")</f>
        <v>6302531000</v>
      </c>
      <c r="I324" s="8">
        <f>_xlfn.IFNA(INDEX('HS Codes'!$D$2:$K2878,MATCH($B324,'HS Codes'!$A$2:$A2878,0),MATCH(I$1,'HS Codes'!$D$1:$K$1,0)),"")</f>
        <v>63029310</v>
      </c>
      <c r="J324" s="8">
        <f>_xlfn.IFNA(INDEX('HS Codes'!$D$2:$K2878,MATCH($B324,'HS Codes'!$A$2:$A2878,0),MATCH(J$1,'HS Codes'!$D$1:$K$1,0)),"")</f>
        <v>0</v>
      </c>
      <c r="K324" s="8" t="str">
        <f>_xlfn.IFNA(INDEX('HS Codes'!$D$2:$K2878,MATCH($B324,'HS Codes'!$A$2:$A2878,0),MATCH(K$1,'HS Codes'!$D$1:$K$1,0)),"")</f>
        <v>6302.53.00</v>
      </c>
      <c r="L324" s="8">
        <f>_xlfn.IFNA(INDEX('HS Codes'!$D$2:$K2878,MATCH($B324,'HS Codes'!$A$2:$A2878,0),MATCH(L$1,'HS Codes'!$D$1:$K$1,0)),"")</f>
        <v>0</v>
      </c>
      <c r="M324" s="8" t="str">
        <f>_xlfn.IFNA(INDEX('HS Codes'!$C$2:$C2878,MATCH($B324,'HS Codes'!$A$2:$A2878,0)),"")</f>
        <v>Kitchen Linen 100% recycled 300 GSM/83% polyester/17% polyamide (no cotton)</v>
      </c>
      <c r="N324" s="9"/>
      <c r="O324" s="9"/>
      <c r="P324" s="9"/>
      <c r="Q324" s="9"/>
    </row>
    <row r="325" spans="1:17" ht="15.75" customHeight="1">
      <c r="A325" s="7" t="s">
        <v>613</v>
      </c>
      <c r="B325" s="7" t="s">
        <v>159</v>
      </c>
      <c r="C325" s="7" t="s">
        <v>278</v>
      </c>
      <c r="D325" s="7" t="s">
        <v>160</v>
      </c>
      <c r="E325" s="7" t="s">
        <v>160</v>
      </c>
      <c r="F325" s="8" t="str">
        <f>_xlfn.IFNA(INDEX('HS Codes'!$D$2:$K2879,MATCH($B325,'HS Codes'!$A$2:$A2879,0),MATCH(F$1,'HS Codes'!$D$1:$K$1,0)),"")</f>
        <v>6302.53.00.20</v>
      </c>
      <c r="G325" s="8">
        <f>_xlfn.IFNA(INDEX('HS Codes'!$D$2:$K2879,MATCH($B325,'HS Codes'!$A$2:$A2879,0),MATCH(G$1,'HS Codes'!$D$1:$K$1,0)),"")</f>
        <v>6302531000</v>
      </c>
      <c r="H325" s="8">
        <f>_xlfn.IFNA(INDEX('HS Codes'!$D$2:$K2879,MATCH($B325,'HS Codes'!$A$2:$A2879,0),MATCH(H$1,'HS Codes'!$D$1:$K$1,0)),"")</f>
        <v>6302531000</v>
      </c>
      <c r="I325" s="8">
        <f>_xlfn.IFNA(INDEX('HS Codes'!$D$2:$K2879,MATCH($B325,'HS Codes'!$A$2:$A2879,0),MATCH(I$1,'HS Codes'!$D$1:$K$1,0)),"")</f>
        <v>63029310</v>
      </c>
      <c r="J325" s="8">
        <f>_xlfn.IFNA(INDEX('HS Codes'!$D$2:$K2879,MATCH($B325,'HS Codes'!$A$2:$A2879,0),MATCH(J$1,'HS Codes'!$D$1:$K$1,0)),"")</f>
        <v>0</v>
      </c>
      <c r="K325" s="8" t="str">
        <f>_xlfn.IFNA(INDEX('HS Codes'!$D$2:$K2879,MATCH($B325,'HS Codes'!$A$2:$A2879,0),MATCH(K$1,'HS Codes'!$D$1:$K$1,0)),"")</f>
        <v>6302.53.00</v>
      </c>
      <c r="L325" s="8">
        <f>_xlfn.IFNA(INDEX('HS Codes'!$D$2:$K2879,MATCH($B325,'HS Codes'!$A$2:$A2879,0),MATCH(L$1,'HS Codes'!$D$1:$K$1,0)),"")</f>
        <v>0</v>
      </c>
      <c r="M325" s="8" t="str">
        <f>_xlfn.IFNA(INDEX('HS Codes'!$C$2:$C2879,MATCH($B325,'HS Codes'!$A$2:$A2879,0)),"")</f>
        <v>Kitchen Linen 100% recycled 300 GSM/83% polyester/17% polyamide (no cotton)</v>
      </c>
      <c r="N325" s="9"/>
      <c r="O325" s="9"/>
      <c r="P325" s="9"/>
      <c r="Q325" s="9"/>
    </row>
    <row r="326" spans="1:17" ht="15.75" customHeight="1">
      <c r="A326" s="7" t="s">
        <v>614</v>
      </c>
      <c r="B326" s="7" t="s">
        <v>159</v>
      </c>
      <c r="C326" s="7" t="s">
        <v>278</v>
      </c>
      <c r="D326" s="7" t="s">
        <v>160</v>
      </c>
      <c r="E326" s="7" t="s">
        <v>160</v>
      </c>
      <c r="F326" s="8" t="str">
        <f>_xlfn.IFNA(INDEX('HS Codes'!$D$2:$K2880,MATCH($B326,'HS Codes'!$A$2:$A2880,0),MATCH(F$1,'HS Codes'!$D$1:$K$1,0)),"")</f>
        <v>6302.53.00.20</v>
      </c>
      <c r="G326" s="8">
        <f>_xlfn.IFNA(INDEX('HS Codes'!$D$2:$K2880,MATCH($B326,'HS Codes'!$A$2:$A2880,0),MATCH(G$1,'HS Codes'!$D$1:$K$1,0)),"")</f>
        <v>6302531000</v>
      </c>
      <c r="H326" s="8">
        <f>_xlfn.IFNA(INDEX('HS Codes'!$D$2:$K2880,MATCH($B326,'HS Codes'!$A$2:$A2880,0),MATCH(H$1,'HS Codes'!$D$1:$K$1,0)),"")</f>
        <v>6302531000</v>
      </c>
      <c r="I326" s="8">
        <f>_xlfn.IFNA(INDEX('HS Codes'!$D$2:$K2880,MATCH($B326,'HS Codes'!$A$2:$A2880,0),MATCH(I$1,'HS Codes'!$D$1:$K$1,0)),"")</f>
        <v>63029310</v>
      </c>
      <c r="J326" s="8">
        <f>_xlfn.IFNA(INDEX('HS Codes'!$D$2:$K2880,MATCH($B326,'HS Codes'!$A$2:$A2880,0),MATCH(J$1,'HS Codes'!$D$1:$K$1,0)),"")</f>
        <v>0</v>
      </c>
      <c r="K326" s="8" t="str">
        <f>_xlfn.IFNA(INDEX('HS Codes'!$D$2:$K2880,MATCH($B326,'HS Codes'!$A$2:$A2880,0),MATCH(K$1,'HS Codes'!$D$1:$K$1,0)),"")</f>
        <v>6302.53.00</v>
      </c>
      <c r="L326" s="8">
        <f>_xlfn.IFNA(INDEX('HS Codes'!$D$2:$K2880,MATCH($B326,'HS Codes'!$A$2:$A2880,0),MATCH(L$1,'HS Codes'!$D$1:$K$1,0)),"")</f>
        <v>0</v>
      </c>
      <c r="M326" s="8" t="str">
        <f>_xlfn.IFNA(INDEX('HS Codes'!$C$2:$C2880,MATCH($B326,'HS Codes'!$A$2:$A2880,0)),"")</f>
        <v>Kitchen Linen 100% recycled 300 GSM/83% polyester/17% polyamide (no cotton)</v>
      </c>
      <c r="N326" s="9"/>
      <c r="O326" s="9"/>
      <c r="P326" s="9"/>
      <c r="Q326" s="9"/>
    </row>
    <row r="327" spans="1:17" ht="15.75" customHeight="1">
      <c r="A327" s="7" t="s">
        <v>615</v>
      </c>
      <c r="B327" s="7" t="s">
        <v>159</v>
      </c>
      <c r="C327" s="7" t="s">
        <v>278</v>
      </c>
      <c r="D327" s="7" t="s">
        <v>160</v>
      </c>
      <c r="E327" s="7" t="s">
        <v>160</v>
      </c>
      <c r="F327" s="8" t="str">
        <f>_xlfn.IFNA(INDEX('HS Codes'!$D$2:$K2881,MATCH($B327,'HS Codes'!$A$2:$A2881,0),MATCH(F$1,'HS Codes'!$D$1:$K$1,0)),"")</f>
        <v>6302.53.00.20</v>
      </c>
      <c r="G327" s="8">
        <f>_xlfn.IFNA(INDEX('HS Codes'!$D$2:$K2881,MATCH($B327,'HS Codes'!$A$2:$A2881,0),MATCH(G$1,'HS Codes'!$D$1:$K$1,0)),"")</f>
        <v>6302531000</v>
      </c>
      <c r="H327" s="8">
        <f>_xlfn.IFNA(INDEX('HS Codes'!$D$2:$K2881,MATCH($B327,'HS Codes'!$A$2:$A2881,0),MATCH(H$1,'HS Codes'!$D$1:$K$1,0)),"")</f>
        <v>6302531000</v>
      </c>
      <c r="I327" s="8">
        <f>_xlfn.IFNA(INDEX('HS Codes'!$D$2:$K2881,MATCH($B327,'HS Codes'!$A$2:$A2881,0),MATCH(I$1,'HS Codes'!$D$1:$K$1,0)),"")</f>
        <v>63029310</v>
      </c>
      <c r="J327" s="8">
        <f>_xlfn.IFNA(INDEX('HS Codes'!$D$2:$K2881,MATCH($B327,'HS Codes'!$A$2:$A2881,0),MATCH(J$1,'HS Codes'!$D$1:$K$1,0)),"")</f>
        <v>0</v>
      </c>
      <c r="K327" s="8" t="str">
        <f>_xlfn.IFNA(INDEX('HS Codes'!$D$2:$K2881,MATCH($B327,'HS Codes'!$A$2:$A2881,0),MATCH(K$1,'HS Codes'!$D$1:$K$1,0)),"")</f>
        <v>6302.53.00</v>
      </c>
      <c r="L327" s="8">
        <f>_xlfn.IFNA(INDEX('HS Codes'!$D$2:$K2881,MATCH($B327,'HS Codes'!$A$2:$A2881,0),MATCH(L$1,'HS Codes'!$D$1:$K$1,0)),"")</f>
        <v>0</v>
      </c>
      <c r="M327" s="8" t="str">
        <f>_xlfn.IFNA(INDEX('HS Codes'!$C$2:$C2881,MATCH($B327,'HS Codes'!$A$2:$A2881,0)),"")</f>
        <v>Kitchen Linen 100% recycled 300 GSM/83% polyester/17% polyamide (no cotton)</v>
      </c>
      <c r="N327" s="9"/>
      <c r="O327" s="9"/>
      <c r="P327" s="9"/>
      <c r="Q327" s="9"/>
    </row>
    <row r="328" spans="1:17" ht="15.75" customHeight="1">
      <c r="A328" s="7" t="s">
        <v>616</v>
      </c>
      <c r="B328" s="7" t="s">
        <v>159</v>
      </c>
      <c r="C328" s="7" t="s">
        <v>278</v>
      </c>
      <c r="D328" s="7" t="s">
        <v>160</v>
      </c>
      <c r="E328" s="7" t="s">
        <v>160</v>
      </c>
      <c r="F328" s="8" t="str">
        <f>_xlfn.IFNA(INDEX('HS Codes'!$D$2:$K2882,MATCH($B328,'HS Codes'!$A$2:$A2882,0),MATCH(F$1,'HS Codes'!$D$1:$K$1,0)),"")</f>
        <v>6302.53.00.20</v>
      </c>
      <c r="G328" s="8">
        <f>_xlfn.IFNA(INDEX('HS Codes'!$D$2:$K2882,MATCH($B328,'HS Codes'!$A$2:$A2882,0),MATCH(G$1,'HS Codes'!$D$1:$K$1,0)),"")</f>
        <v>6302531000</v>
      </c>
      <c r="H328" s="8">
        <f>_xlfn.IFNA(INDEX('HS Codes'!$D$2:$K2882,MATCH($B328,'HS Codes'!$A$2:$A2882,0),MATCH(H$1,'HS Codes'!$D$1:$K$1,0)),"")</f>
        <v>6302531000</v>
      </c>
      <c r="I328" s="8">
        <f>_xlfn.IFNA(INDEX('HS Codes'!$D$2:$K2882,MATCH($B328,'HS Codes'!$A$2:$A2882,0),MATCH(I$1,'HS Codes'!$D$1:$K$1,0)),"")</f>
        <v>63029310</v>
      </c>
      <c r="J328" s="8">
        <f>_xlfn.IFNA(INDEX('HS Codes'!$D$2:$K2882,MATCH($B328,'HS Codes'!$A$2:$A2882,0),MATCH(J$1,'HS Codes'!$D$1:$K$1,0)),"")</f>
        <v>0</v>
      </c>
      <c r="K328" s="8" t="str">
        <f>_xlfn.IFNA(INDEX('HS Codes'!$D$2:$K2882,MATCH($B328,'HS Codes'!$A$2:$A2882,0),MATCH(K$1,'HS Codes'!$D$1:$K$1,0)),"")</f>
        <v>6302.53.00</v>
      </c>
      <c r="L328" s="8">
        <f>_xlfn.IFNA(INDEX('HS Codes'!$D$2:$K2882,MATCH($B328,'HS Codes'!$A$2:$A2882,0),MATCH(L$1,'HS Codes'!$D$1:$K$1,0)),"")</f>
        <v>0</v>
      </c>
      <c r="M328" s="8" t="str">
        <f>_xlfn.IFNA(INDEX('HS Codes'!$C$2:$C2882,MATCH($B328,'HS Codes'!$A$2:$A2882,0)),"")</f>
        <v>Kitchen Linen 100% recycled 300 GSM/83% polyester/17% polyamide (no cotton)</v>
      </c>
      <c r="N328" s="9"/>
      <c r="O328" s="9"/>
      <c r="P328" s="9"/>
      <c r="Q328" s="9"/>
    </row>
    <row r="329" spans="1:17" ht="15.75" customHeight="1">
      <c r="A329" s="7" t="s">
        <v>617</v>
      </c>
      <c r="B329" s="7" t="s">
        <v>159</v>
      </c>
      <c r="C329" s="7" t="s">
        <v>278</v>
      </c>
      <c r="D329" s="7" t="s">
        <v>160</v>
      </c>
      <c r="E329" s="7" t="s">
        <v>160</v>
      </c>
      <c r="F329" s="8" t="str">
        <f>_xlfn.IFNA(INDEX('HS Codes'!$D$2:$K2883,MATCH($B329,'HS Codes'!$A$2:$A2883,0),MATCH(F$1,'HS Codes'!$D$1:$K$1,0)),"")</f>
        <v>6302.53.00.20</v>
      </c>
      <c r="G329" s="8">
        <f>_xlfn.IFNA(INDEX('HS Codes'!$D$2:$K2883,MATCH($B329,'HS Codes'!$A$2:$A2883,0),MATCH(G$1,'HS Codes'!$D$1:$K$1,0)),"")</f>
        <v>6302531000</v>
      </c>
      <c r="H329" s="8">
        <f>_xlfn.IFNA(INDEX('HS Codes'!$D$2:$K2883,MATCH($B329,'HS Codes'!$A$2:$A2883,0),MATCH(H$1,'HS Codes'!$D$1:$K$1,0)),"")</f>
        <v>6302531000</v>
      </c>
      <c r="I329" s="8">
        <f>_xlfn.IFNA(INDEX('HS Codes'!$D$2:$K2883,MATCH($B329,'HS Codes'!$A$2:$A2883,0),MATCH(I$1,'HS Codes'!$D$1:$K$1,0)),"")</f>
        <v>63029310</v>
      </c>
      <c r="J329" s="8">
        <f>_xlfn.IFNA(INDEX('HS Codes'!$D$2:$K2883,MATCH($B329,'HS Codes'!$A$2:$A2883,0),MATCH(J$1,'HS Codes'!$D$1:$K$1,0)),"")</f>
        <v>0</v>
      </c>
      <c r="K329" s="8" t="str">
        <f>_xlfn.IFNA(INDEX('HS Codes'!$D$2:$K2883,MATCH($B329,'HS Codes'!$A$2:$A2883,0),MATCH(K$1,'HS Codes'!$D$1:$K$1,0)),"")</f>
        <v>6302.53.00</v>
      </c>
      <c r="L329" s="8">
        <f>_xlfn.IFNA(INDEX('HS Codes'!$D$2:$K2883,MATCH($B329,'HS Codes'!$A$2:$A2883,0),MATCH(L$1,'HS Codes'!$D$1:$K$1,0)),"")</f>
        <v>0</v>
      </c>
      <c r="M329" s="8" t="str">
        <f>_xlfn.IFNA(INDEX('HS Codes'!$C$2:$C2883,MATCH($B329,'HS Codes'!$A$2:$A2883,0)),"")</f>
        <v>Kitchen Linen 100% recycled 300 GSM/83% polyester/17% polyamide (no cotton)</v>
      </c>
      <c r="N329" s="9"/>
      <c r="O329" s="9"/>
      <c r="P329" s="9"/>
      <c r="Q329" s="9"/>
    </row>
    <row r="330" spans="1:17" ht="15.75" customHeight="1">
      <c r="A330" s="7" t="s">
        <v>618</v>
      </c>
      <c r="B330" s="7" t="s">
        <v>159</v>
      </c>
      <c r="C330" s="7" t="s">
        <v>278</v>
      </c>
      <c r="D330" s="7" t="s">
        <v>160</v>
      </c>
      <c r="E330" s="7" t="s">
        <v>160</v>
      </c>
      <c r="F330" s="8" t="str">
        <f>_xlfn.IFNA(INDEX('HS Codes'!$D$2:$K2884,MATCH($B330,'HS Codes'!$A$2:$A2884,0),MATCH(F$1,'HS Codes'!$D$1:$K$1,0)),"")</f>
        <v>6302.53.00.20</v>
      </c>
      <c r="G330" s="8">
        <f>_xlfn.IFNA(INDEX('HS Codes'!$D$2:$K2884,MATCH($B330,'HS Codes'!$A$2:$A2884,0),MATCH(G$1,'HS Codes'!$D$1:$K$1,0)),"")</f>
        <v>6302531000</v>
      </c>
      <c r="H330" s="8">
        <f>_xlfn.IFNA(INDEX('HS Codes'!$D$2:$K2884,MATCH($B330,'HS Codes'!$A$2:$A2884,0),MATCH(H$1,'HS Codes'!$D$1:$K$1,0)),"")</f>
        <v>6302531000</v>
      </c>
      <c r="I330" s="8">
        <f>_xlfn.IFNA(INDEX('HS Codes'!$D$2:$K2884,MATCH($B330,'HS Codes'!$A$2:$A2884,0),MATCH(I$1,'HS Codes'!$D$1:$K$1,0)),"")</f>
        <v>63029310</v>
      </c>
      <c r="J330" s="8">
        <f>_xlfn.IFNA(INDEX('HS Codes'!$D$2:$K2884,MATCH($B330,'HS Codes'!$A$2:$A2884,0),MATCH(J$1,'HS Codes'!$D$1:$K$1,0)),"")</f>
        <v>0</v>
      </c>
      <c r="K330" s="8" t="str">
        <f>_xlfn.IFNA(INDEX('HS Codes'!$D$2:$K2884,MATCH($B330,'HS Codes'!$A$2:$A2884,0),MATCH(K$1,'HS Codes'!$D$1:$K$1,0)),"")</f>
        <v>6302.53.00</v>
      </c>
      <c r="L330" s="8">
        <f>_xlfn.IFNA(INDEX('HS Codes'!$D$2:$K2884,MATCH($B330,'HS Codes'!$A$2:$A2884,0),MATCH(L$1,'HS Codes'!$D$1:$K$1,0)),"")</f>
        <v>0</v>
      </c>
      <c r="M330" s="8" t="str">
        <f>_xlfn.IFNA(INDEX('HS Codes'!$C$2:$C2884,MATCH($B330,'HS Codes'!$A$2:$A2884,0)),"")</f>
        <v>Kitchen Linen 100% recycled 300 GSM/83% polyester/17% polyamide (no cotton)</v>
      </c>
      <c r="N330" s="9"/>
      <c r="O330" s="9"/>
      <c r="P330" s="9"/>
      <c r="Q330" s="9"/>
    </row>
    <row r="331" spans="1:17" ht="15.75" customHeight="1">
      <c r="A331" s="7" t="s">
        <v>619</v>
      </c>
      <c r="B331" s="7" t="s">
        <v>159</v>
      </c>
      <c r="C331" s="7" t="s">
        <v>278</v>
      </c>
      <c r="D331" s="7" t="s">
        <v>160</v>
      </c>
      <c r="E331" s="7" t="s">
        <v>160</v>
      </c>
      <c r="F331" s="8" t="str">
        <f>_xlfn.IFNA(INDEX('HS Codes'!$D$2:$K2885,MATCH($B331,'HS Codes'!$A$2:$A2885,0),MATCH(F$1,'HS Codes'!$D$1:$K$1,0)),"")</f>
        <v>6302.53.00.20</v>
      </c>
      <c r="G331" s="8">
        <f>_xlfn.IFNA(INDEX('HS Codes'!$D$2:$K2885,MATCH($B331,'HS Codes'!$A$2:$A2885,0),MATCH(G$1,'HS Codes'!$D$1:$K$1,0)),"")</f>
        <v>6302531000</v>
      </c>
      <c r="H331" s="8">
        <f>_xlfn.IFNA(INDEX('HS Codes'!$D$2:$K2885,MATCH($B331,'HS Codes'!$A$2:$A2885,0),MATCH(H$1,'HS Codes'!$D$1:$K$1,0)),"")</f>
        <v>6302531000</v>
      </c>
      <c r="I331" s="8">
        <f>_xlfn.IFNA(INDEX('HS Codes'!$D$2:$K2885,MATCH($B331,'HS Codes'!$A$2:$A2885,0),MATCH(I$1,'HS Codes'!$D$1:$K$1,0)),"")</f>
        <v>63029310</v>
      </c>
      <c r="J331" s="8">
        <f>_xlfn.IFNA(INDEX('HS Codes'!$D$2:$K2885,MATCH($B331,'HS Codes'!$A$2:$A2885,0),MATCH(J$1,'HS Codes'!$D$1:$K$1,0)),"")</f>
        <v>0</v>
      </c>
      <c r="K331" s="8" t="str">
        <f>_xlfn.IFNA(INDEX('HS Codes'!$D$2:$K2885,MATCH($B331,'HS Codes'!$A$2:$A2885,0),MATCH(K$1,'HS Codes'!$D$1:$K$1,0)),"")</f>
        <v>6302.53.00</v>
      </c>
      <c r="L331" s="8">
        <f>_xlfn.IFNA(INDEX('HS Codes'!$D$2:$K2885,MATCH($B331,'HS Codes'!$A$2:$A2885,0),MATCH(L$1,'HS Codes'!$D$1:$K$1,0)),"")</f>
        <v>0</v>
      </c>
      <c r="M331" s="8" t="str">
        <f>_xlfn.IFNA(INDEX('HS Codes'!$C$2:$C2885,MATCH($B331,'HS Codes'!$A$2:$A2885,0)),"")</f>
        <v>Kitchen Linen 100% recycled 300 GSM/83% polyester/17% polyamide (no cotton)</v>
      </c>
      <c r="N331" s="9"/>
      <c r="O331" s="9"/>
      <c r="P331" s="9"/>
      <c r="Q331" s="9"/>
    </row>
    <row r="332" spans="1:17" ht="15.75" customHeight="1">
      <c r="A332" s="7" t="s">
        <v>620</v>
      </c>
      <c r="B332" s="7" t="s">
        <v>159</v>
      </c>
      <c r="C332" s="7" t="s">
        <v>278</v>
      </c>
      <c r="D332" s="7" t="s">
        <v>160</v>
      </c>
      <c r="E332" s="7" t="s">
        <v>160</v>
      </c>
      <c r="F332" s="8" t="str">
        <f>_xlfn.IFNA(INDEX('HS Codes'!$D$2:$K2886,MATCH($B332,'HS Codes'!$A$2:$A2886,0),MATCH(F$1,'HS Codes'!$D$1:$K$1,0)),"")</f>
        <v>6302.53.00.20</v>
      </c>
      <c r="G332" s="8">
        <f>_xlfn.IFNA(INDEX('HS Codes'!$D$2:$K2886,MATCH($B332,'HS Codes'!$A$2:$A2886,0),MATCH(G$1,'HS Codes'!$D$1:$K$1,0)),"")</f>
        <v>6302531000</v>
      </c>
      <c r="H332" s="8">
        <f>_xlfn.IFNA(INDEX('HS Codes'!$D$2:$K2886,MATCH($B332,'HS Codes'!$A$2:$A2886,0),MATCH(H$1,'HS Codes'!$D$1:$K$1,0)),"")</f>
        <v>6302531000</v>
      </c>
      <c r="I332" s="8">
        <f>_xlfn.IFNA(INDEX('HS Codes'!$D$2:$K2886,MATCH($B332,'HS Codes'!$A$2:$A2886,0),MATCH(I$1,'HS Codes'!$D$1:$K$1,0)),"")</f>
        <v>63029310</v>
      </c>
      <c r="J332" s="8">
        <f>_xlfn.IFNA(INDEX('HS Codes'!$D$2:$K2886,MATCH($B332,'HS Codes'!$A$2:$A2886,0),MATCH(J$1,'HS Codes'!$D$1:$K$1,0)),"")</f>
        <v>0</v>
      </c>
      <c r="K332" s="8" t="str">
        <f>_xlfn.IFNA(INDEX('HS Codes'!$D$2:$K2886,MATCH($B332,'HS Codes'!$A$2:$A2886,0),MATCH(K$1,'HS Codes'!$D$1:$K$1,0)),"")</f>
        <v>6302.53.00</v>
      </c>
      <c r="L332" s="8">
        <f>_xlfn.IFNA(INDEX('HS Codes'!$D$2:$K2886,MATCH($B332,'HS Codes'!$A$2:$A2886,0),MATCH(L$1,'HS Codes'!$D$1:$K$1,0)),"")</f>
        <v>0</v>
      </c>
      <c r="M332" s="8" t="str">
        <f>_xlfn.IFNA(INDEX('HS Codes'!$C$2:$C2886,MATCH($B332,'HS Codes'!$A$2:$A2886,0)),"")</f>
        <v>Kitchen Linen 100% recycled 300 GSM/83% polyester/17% polyamide (no cotton)</v>
      </c>
      <c r="N332" s="9"/>
      <c r="O332" s="9"/>
      <c r="P332" s="9"/>
      <c r="Q332" s="9"/>
    </row>
    <row r="333" spans="1:17" ht="15.75" customHeight="1">
      <c r="A333" s="7" t="s">
        <v>621</v>
      </c>
      <c r="B333" s="7" t="s">
        <v>159</v>
      </c>
      <c r="C333" s="7" t="s">
        <v>278</v>
      </c>
      <c r="D333" s="7" t="s">
        <v>160</v>
      </c>
      <c r="E333" s="7" t="s">
        <v>160</v>
      </c>
      <c r="F333" s="8" t="str">
        <f>_xlfn.IFNA(INDEX('HS Codes'!$D$2:$K2887,MATCH($B333,'HS Codes'!$A$2:$A2887,0),MATCH(F$1,'HS Codes'!$D$1:$K$1,0)),"")</f>
        <v>6302.53.00.20</v>
      </c>
      <c r="G333" s="8">
        <f>_xlfn.IFNA(INDEX('HS Codes'!$D$2:$K2887,MATCH($B333,'HS Codes'!$A$2:$A2887,0),MATCH(G$1,'HS Codes'!$D$1:$K$1,0)),"")</f>
        <v>6302531000</v>
      </c>
      <c r="H333" s="8">
        <f>_xlfn.IFNA(INDEX('HS Codes'!$D$2:$K2887,MATCH($B333,'HS Codes'!$A$2:$A2887,0),MATCH(H$1,'HS Codes'!$D$1:$K$1,0)),"")</f>
        <v>6302531000</v>
      </c>
      <c r="I333" s="8">
        <f>_xlfn.IFNA(INDEX('HS Codes'!$D$2:$K2887,MATCH($B333,'HS Codes'!$A$2:$A2887,0),MATCH(I$1,'HS Codes'!$D$1:$K$1,0)),"")</f>
        <v>63029310</v>
      </c>
      <c r="J333" s="8">
        <f>_xlfn.IFNA(INDEX('HS Codes'!$D$2:$K2887,MATCH($B333,'HS Codes'!$A$2:$A2887,0),MATCH(J$1,'HS Codes'!$D$1:$K$1,0)),"")</f>
        <v>0</v>
      </c>
      <c r="K333" s="8" t="str">
        <f>_xlfn.IFNA(INDEX('HS Codes'!$D$2:$K2887,MATCH($B333,'HS Codes'!$A$2:$A2887,0),MATCH(K$1,'HS Codes'!$D$1:$K$1,0)),"")</f>
        <v>6302.53.00</v>
      </c>
      <c r="L333" s="8">
        <f>_xlfn.IFNA(INDEX('HS Codes'!$D$2:$K2887,MATCH($B333,'HS Codes'!$A$2:$A2887,0),MATCH(L$1,'HS Codes'!$D$1:$K$1,0)),"")</f>
        <v>0</v>
      </c>
      <c r="M333" s="8" t="str">
        <f>_xlfn.IFNA(INDEX('HS Codes'!$C$2:$C2887,MATCH($B333,'HS Codes'!$A$2:$A2887,0)),"")</f>
        <v>Kitchen Linen 100% recycled 300 GSM/83% polyester/17% polyamide (no cotton)</v>
      </c>
      <c r="N333" s="9"/>
      <c r="O333" s="9"/>
      <c r="P333" s="9"/>
      <c r="Q333" s="9"/>
    </row>
    <row r="334" spans="1:17" ht="15.75" customHeight="1">
      <c r="A334" s="7" t="s">
        <v>622</v>
      </c>
      <c r="B334" s="7" t="s">
        <v>164</v>
      </c>
      <c r="C334" s="7" t="s">
        <v>278</v>
      </c>
      <c r="D334" s="7" t="s">
        <v>165</v>
      </c>
      <c r="E334" s="7" t="s">
        <v>348</v>
      </c>
      <c r="F334" s="8" t="str">
        <f>_xlfn.IFNA(INDEX('HS Codes'!$D$2:$K2888,MATCH($B334,'HS Codes'!$A$2:$A2888,0),MATCH(F$1,'HS Codes'!$D$1:$K$1,0)),"")</f>
        <v>6302.93.2000</v>
      </c>
      <c r="G334" s="8">
        <f>_xlfn.IFNA(INDEX('HS Codes'!$D$2:$K2888,MATCH($B334,'HS Codes'!$A$2:$A2888,0),MATCH(G$1,'HS Codes'!$D$1:$K$1,0)),"")</f>
        <v>6302600090</v>
      </c>
      <c r="H334" s="8" t="str">
        <f>_xlfn.IFNA(INDEX('HS Codes'!$D$2:$K2888,MATCH($B334,'HS Codes'!$A$2:$A2888,0),MATCH(H$1,'HS Codes'!$D$1:$K$1,0)),"")</f>
        <v>6302.93.00.00</v>
      </c>
      <c r="I334" s="8">
        <f>_xlfn.IFNA(INDEX('HS Codes'!$D$2:$K2888,MATCH($B334,'HS Codes'!$A$2:$A2888,0),MATCH(I$1,'HS Codes'!$D$1:$K$1,0)),"")</f>
        <v>63029390</v>
      </c>
      <c r="J334" s="8">
        <f>_xlfn.IFNA(INDEX('HS Codes'!$D$2:$K2888,MATCH($B334,'HS Codes'!$A$2:$A2888,0),MATCH(J$1,'HS Codes'!$D$1:$K$1,0)),"")</f>
        <v>0</v>
      </c>
      <c r="K334" s="8" t="str">
        <f>_xlfn.IFNA(INDEX('HS Codes'!$D$2:$K2888,MATCH($B334,'HS Codes'!$A$2:$A2888,0),MATCH(K$1,'HS Codes'!$D$1:$K$1,0)),"")</f>
        <v>6302.39.00</v>
      </c>
      <c r="L334" s="8">
        <f>_xlfn.IFNA(INDEX('HS Codes'!$D$2:$K2888,MATCH($B334,'HS Codes'!$A$2:$A2888,0),MATCH(L$1,'HS Codes'!$D$1:$K$1,0)),"")</f>
        <v>63029120</v>
      </c>
      <c r="M334" s="8" t="str">
        <f>_xlfn.IFNA(INDEX('HS Codes'!$C$2:$C2888,MATCH($B334,'HS Codes'!$A$2:$A2888,0)),"")</f>
        <v>Beach Towel - Toilet Linen 100% recycled 220 GSM/83% polyester/17% polyamide includes cotton on the packing pouch drawstring</v>
      </c>
      <c r="N334" s="9"/>
      <c r="O334" s="9"/>
      <c r="P334" s="9"/>
      <c r="Q334" s="9"/>
    </row>
    <row r="335" spans="1:17" ht="15.75" customHeight="1">
      <c r="A335" s="7" t="s">
        <v>623</v>
      </c>
      <c r="B335" s="7" t="s">
        <v>164</v>
      </c>
      <c r="C335" s="7" t="s">
        <v>278</v>
      </c>
      <c r="D335" s="7" t="s">
        <v>165</v>
      </c>
      <c r="E335" s="7" t="s">
        <v>348</v>
      </c>
      <c r="F335" s="8" t="str">
        <f>_xlfn.IFNA(INDEX('HS Codes'!$D$2:$K2889,MATCH($B335,'HS Codes'!$A$2:$A2889,0),MATCH(F$1,'HS Codes'!$D$1:$K$1,0)),"")</f>
        <v>6302.93.2000</v>
      </c>
      <c r="G335" s="8">
        <f>_xlfn.IFNA(INDEX('HS Codes'!$D$2:$K2889,MATCH($B335,'HS Codes'!$A$2:$A2889,0),MATCH(G$1,'HS Codes'!$D$1:$K$1,0)),"")</f>
        <v>6302600090</v>
      </c>
      <c r="H335" s="8" t="str">
        <f>_xlfn.IFNA(INDEX('HS Codes'!$D$2:$K2889,MATCH($B335,'HS Codes'!$A$2:$A2889,0),MATCH(H$1,'HS Codes'!$D$1:$K$1,0)),"")</f>
        <v>6302.93.00.00</v>
      </c>
      <c r="I335" s="8">
        <f>_xlfn.IFNA(INDEX('HS Codes'!$D$2:$K2889,MATCH($B335,'HS Codes'!$A$2:$A2889,0),MATCH(I$1,'HS Codes'!$D$1:$K$1,0)),"")</f>
        <v>63029390</v>
      </c>
      <c r="J335" s="8">
        <f>_xlfn.IFNA(INDEX('HS Codes'!$D$2:$K2889,MATCH($B335,'HS Codes'!$A$2:$A2889,0),MATCH(J$1,'HS Codes'!$D$1:$K$1,0)),"")</f>
        <v>0</v>
      </c>
      <c r="K335" s="8" t="str">
        <f>_xlfn.IFNA(INDEX('HS Codes'!$D$2:$K2889,MATCH($B335,'HS Codes'!$A$2:$A2889,0),MATCH(K$1,'HS Codes'!$D$1:$K$1,0)),"")</f>
        <v>6302.39.00</v>
      </c>
      <c r="L335" s="8">
        <f>_xlfn.IFNA(INDEX('HS Codes'!$D$2:$K2889,MATCH($B335,'HS Codes'!$A$2:$A2889,0),MATCH(L$1,'HS Codes'!$D$1:$K$1,0)),"")</f>
        <v>63029120</v>
      </c>
      <c r="M335" s="8" t="str">
        <f>_xlfn.IFNA(INDEX('HS Codes'!$C$2:$C2889,MATCH($B335,'HS Codes'!$A$2:$A2889,0)),"")</f>
        <v>Beach Towel - Toilet Linen 100% recycled 220 GSM/83% polyester/17% polyamide includes cotton on the packing pouch drawstring</v>
      </c>
      <c r="N335" s="9"/>
      <c r="O335" s="9"/>
      <c r="P335" s="9"/>
      <c r="Q335" s="9"/>
    </row>
    <row r="336" spans="1:17" ht="15.75" customHeight="1">
      <c r="A336" s="7" t="s">
        <v>624</v>
      </c>
      <c r="B336" s="7" t="s">
        <v>164</v>
      </c>
      <c r="C336" s="7" t="s">
        <v>278</v>
      </c>
      <c r="D336" s="7" t="s">
        <v>165</v>
      </c>
      <c r="E336" s="7" t="s">
        <v>348</v>
      </c>
      <c r="F336" s="8" t="str">
        <f>_xlfn.IFNA(INDEX('HS Codes'!$D$2:$K2890,MATCH($B336,'HS Codes'!$A$2:$A2890,0),MATCH(F$1,'HS Codes'!$D$1:$K$1,0)),"")</f>
        <v>6302.93.2000</v>
      </c>
      <c r="G336" s="8">
        <f>_xlfn.IFNA(INDEX('HS Codes'!$D$2:$K2890,MATCH($B336,'HS Codes'!$A$2:$A2890,0),MATCH(G$1,'HS Codes'!$D$1:$K$1,0)),"")</f>
        <v>6302600090</v>
      </c>
      <c r="H336" s="8" t="str">
        <f>_xlfn.IFNA(INDEX('HS Codes'!$D$2:$K2890,MATCH($B336,'HS Codes'!$A$2:$A2890,0),MATCH(H$1,'HS Codes'!$D$1:$K$1,0)),"")</f>
        <v>6302.93.00.00</v>
      </c>
      <c r="I336" s="8">
        <f>_xlfn.IFNA(INDEX('HS Codes'!$D$2:$K2890,MATCH($B336,'HS Codes'!$A$2:$A2890,0),MATCH(I$1,'HS Codes'!$D$1:$K$1,0)),"")</f>
        <v>63029390</v>
      </c>
      <c r="J336" s="8">
        <f>_xlfn.IFNA(INDEX('HS Codes'!$D$2:$K2890,MATCH($B336,'HS Codes'!$A$2:$A2890,0),MATCH(J$1,'HS Codes'!$D$1:$K$1,0)),"")</f>
        <v>0</v>
      </c>
      <c r="K336" s="8" t="str">
        <f>_xlfn.IFNA(INDEX('HS Codes'!$D$2:$K2890,MATCH($B336,'HS Codes'!$A$2:$A2890,0),MATCH(K$1,'HS Codes'!$D$1:$K$1,0)),"")</f>
        <v>6302.39.00</v>
      </c>
      <c r="L336" s="8">
        <f>_xlfn.IFNA(INDEX('HS Codes'!$D$2:$K2890,MATCH($B336,'HS Codes'!$A$2:$A2890,0),MATCH(L$1,'HS Codes'!$D$1:$K$1,0)),"")</f>
        <v>63029120</v>
      </c>
      <c r="M336" s="8" t="str">
        <f>_xlfn.IFNA(INDEX('HS Codes'!$C$2:$C2890,MATCH($B336,'HS Codes'!$A$2:$A2890,0)),"")</f>
        <v>Beach Towel - Toilet Linen 100% recycled 220 GSM/83% polyester/17% polyamide includes cotton on the packing pouch drawstring</v>
      </c>
      <c r="N336" s="9"/>
      <c r="O336" s="9"/>
      <c r="P336" s="9"/>
      <c r="Q336" s="9"/>
    </row>
    <row r="337" spans="1:17" ht="15.75" customHeight="1">
      <c r="A337" s="7" t="s">
        <v>625</v>
      </c>
      <c r="B337" s="7" t="s">
        <v>164</v>
      </c>
      <c r="C337" s="7" t="s">
        <v>278</v>
      </c>
      <c r="D337" s="7" t="s">
        <v>165</v>
      </c>
      <c r="E337" s="7" t="s">
        <v>348</v>
      </c>
      <c r="F337" s="8" t="str">
        <f>_xlfn.IFNA(INDEX('HS Codes'!$D$2:$K2891,MATCH($B337,'HS Codes'!$A$2:$A2891,0),MATCH(F$1,'HS Codes'!$D$1:$K$1,0)),"")</f>
        <v>6302.93.2000</v>
      </c>
      <c r="G337" s="8">
        <f>_xlfn.IFNA(INDEX('HS Codes'!$D$2:$K2891,MATCH($B337,'HS Codes'!$A$2:$A2891,0),MATCH(G$1,'HS Codes'!$D$1:$K$1,0)),"")</f>
        <v>6302600090</v>
      </c>
      <c r="H337" s="8" t="str">
        <f>_xlfn.IFNA(INDEX('HS Codes'!$D$2:$K2891,MATCH($B337,'HS Codes'!$A$2:$A2891,0),MATCH(H$1,'HS Codes'!$D$1:$K$1,0)),"")</f>
        <v>6302.93.00.00</v>
      </c>
      <c r="I337" s="8">
        <f>_xlfn.IFNA(INDEX('HS Codes'!$D$2:$K2891,MATCH($B337,'HS Codes'!$A$2:$A2891,0),MATCH(I$1,'HS Codes'!$D$1:$K$1,0)),"")</f>
        <v>63029390</v>
      </c>
      <c r="J337" s="8">
        <f>_xlfn.IFNA(INDEX('HS Codes'!$D$2:$K2891,MATCH($B337,'HS Codes'!$A$2:$A2891,0),MATCH(J$1,'HS Codes'!$D$1:$K$1,0)),"")</f>
        <v>0</v>
      </c>
      <c r="K337" s="8" t="str">
        <f>_xlfn.IFNA(INDEX('HS Codes'!$D$2:$K2891,MATCH($B337,'HS Codes'!$A$2:$A2891,0),MATCH(K$1,'HS Codes'!$D$1:$K$1,0)),"")</f>
        <v>6302.39.00</v>
      </c>
      <c r="L337" s="8">
        <f>_xlfn.IFNA(INDEX('HS Codes'!$D$2:$K2891,MATCH($B337,'HS Codes'!$A$2:$A2891,0),MATCH(L$1,'HS Codes'!$D$1:$K$1,0)),"")</f>
        <v>63029120</v>
      </c>
      <c r="M337" s="8" t="str">
        <f>_xlfn.IFNA(INDEX('HS Codes'!$C$2:$C2891,MATCH($B337,'HS Codes'!$A$2:$A2891,0)),"")</f>
        <v>Beach Towel - Toilet Linen 100% recycled 220 GSM/83% polyester/17% polyamide includes cotton on the packing pouch drawstring</v>
      </c>
      <c r="N337" s="9"/>
      <c r="O337" s="9"/>
      <c r="P337" s="9"/>
      <c r="Q337" s="9"/>
    </row>
    <row r="338" spans="1:17" ht="15.75" customHeight="1">
      <c r="A338" s="7" t="s">
        <v>626</v>
      </c>
      <c r="B338" s="7" t="s">
        <v>164</v>
      </c>
      <c r="C338" s="7" t="s">
        <v>278</v>
      </c>
      <c r="D338" s="7" t="s">
        <v>165</v>
      </c>
      <c r="E338" s="7" t="s">
        <v>348</v>
      </c>
      <c r="F338" s="8" t="str">
        <f>_xlfn.IFNA(INDEX('HS Codes'!$D$2:$K2892,MATCH($B338,'HS Codes'!$A$2:$A2892,0),MATCH(F$1,'HS Codes'!$D$1:$K$1,0)),"")</f>
        <v>6302.93.2000</v>
      </c>
      <c r="G338" s="8">
        <f>_xlfn.IFNA(INDEX('HS Codes'!$D$2:$K2892,MATCH($B338,'HS Codes'!$A$2:$A2892,0),MATCH(G$1,'HS Codes'!$D$1:$K$1,0)),"")</f>
        <v>6302600090</v>
      </c>
      <c r="H338" s="8" t="str">
        <f>_xlfn.IFNA(INDEX('HS Codes'!$D$2:$K2892,MATCH($B338,'HS Codes'!$A$2:$A2892,0),MATCH(H$1,'HS Codes'!$D$1:$K$1,0)),"")</f>
        <v>6302.93.00.00</v>
      </c>
      <c r="I338" s="8">
        <f>_xlfn.IFNA(INDEX('HS Codes'!$D$2:$K2892,MATCH($B338,'HS Codes'!$A$2:$A2892,0),MATCH(I$1,'HS Codes'!$D$1:$K$1,0)),"")</f>
        <v>63029390</v>
      </c>
      <c r="J338" s="8">
        <f>_xlfn.IFNA(INDEX('HS Codes'!$D$2:$K2892,MATCH($B338,'HS Codes'!$A$2:$A2892,0),MATCH(J$1,'HS Codes'!$D$1:$K$1,0)),"")</f>
        <v>0</v>
      </c>
      <c r="K338" s="8" t="str">
        <f>_xlfn.IFNA(INDEX('HS Codes'!$D$2:$K2892,MATCH($B338,'HS Codes'!$A$2:$A2892,0),MATCH(K$1,'HS Codes'!$D$1:$K$1,0)),"")</f>
        <v>6302.39.00</v>
      </c>
      <c r="L338" s="8">
        <f>_xlfn.IFNA(INDEX('HS Codes'!$D$2:$K2892,MATCH($B338,'HS Codes'!$A$2:$A2892,0),MATCH(L$1,'HS Codes'!$D$1:$K$1,0)),"")</f>
        <v>63029120</v>
      </c>
      <c r="M338" s="8" t="str">
        <f>_xlfn.IFNA(INDEX('HS Codes'!$C$2:$C2892,MATCH($B338,'HS Codes'!$A$2:$A2892,0)),"")</f>
        <v>Beach Towel - Toilet Linen 100% recycled 220 GSM/83% polyester/17% polyamide includes cotton on the packing pouch drawstring</v>
      </c>
      <c r="N338" s="9"/>
      <c r="O338" s="9"/>
      <c r="P338" s="9"/>
      <c r="Q338" s="9"/>
    </row>
    <row r="339" spans="1:17" ht="15.75" customHeight="1">
      <c r="A339" s="7" t="s">
        <v>627</v>
      </c>
      <c r="B339" s="7" t="s">
        <v>164</v>
      </c>
      <c r="C339" s="7" t="s">
        <v>278</v>
      </c>
      <c r="D339" s="7" t="s">
        <v>165</v>
      </c>
      <c r="E339" s="7" t="s">
        <v>348</v>
      </c>
      <c r="F339" s="8" t="str">
        <f>_xlfn.IFNA(INDEX('HS Codes'!$D$2:$K2893,MATCH($B339,'HS Codes'!$A$2:$A2893,0),MATCH(F$1,'HS Codes'!$D$1:$K$1,0)),"")</f>
        <v>6302.93.2000</v>
      </c>
      <c r="G339" s="8">
        <f>_xlfn.IFNA(INDEX('HS Codes'!$D$2:$K2893,MATCH($B339,'HS Codes'!$A$2:$A2893,0),MATCH(G$1,'HS Codes'!$D$1:$K$1,0)),"")</f>
        <v>6302600090</v>
      </c>
      <c r="H339" s="8" t="str">
        <f>_xlfn.IFNA(INDEX('HS Codes'!$D$2:$K2893,MATCH($B339,'HS Codes'!$A$2:$A2893,0),MATCH(H$1,'HS Codes'!$D$1:$K$1,0)),"")</f>
        <v>6302.93.00.00</v>
      </c>
      <c r="I339" s="8">
        <f>_xlfn.IFNA(INDEX('HS Codes'!$D$2:$K2893,MATCH($B339,'HS Codes'!$A$2:$A2893,0),MATCH(I$1,'HS Codes'!$D$1:$K$1,0)),"")</f>
        <v>63029390</v>
      </c>
      <c r="J339" s="8">
        <f>_xlfn.IFNA(INDEX('HS Codes'!$D$2:$K2893,MATCH($B339,'HS Codes'!$A$2:$A2893,0),MATCH(J$1,'HS Codes'!$D$1:$K$1,0)),"")</f>
        <v>0</v>
      </c>
      <c r="K339" s="8" t="str">
        <f>_xlfn.IFNA(INDEX('HS Codes'!$D$2:$K2893,MATCH($B339,'HS Codes'!$A$2:$A2893,0),MATCH(K$1,'HS Codes'!$D$1:$K$1,0)),"")</f>
        <v>6302.39.00</v>
      </c>
      <c r="L339" s="8">
        <f>_xlfn.IFNA(INDEX('HS Codes'!$D$2:$K2893,MATCH($B339,'HS Codes'!$A$2:$A2893,0),MATCH(L$1,'HS Codes'!$D$1:$K$1,0)),"")</f>
        <v>63029120</v>
      </c>
      <c r="M339" s="8" t="str">
        <f>_xlfn.IFNA(INDEX('HS Codes'!$C$2:$C2893,MATCH($B339,'HS Codes'!$A$2:$A2893,0)),"")</f>
        <v>Beach Towel - Toilet Linen 100% recycled 220 GSM/83% polyester/17% polyamide includes cotton on the packing pouch drawstring</v>
      </c>
      <c r="N339" s="9"/>
      <c r="O339" s="9"/>
      <c r="P339" s="9"/>
      <c r="Q339" s="9"/>
    </row>
    <row r="340" spans="1:17" ht="15.75" customHeight="1">
      <c r="A340" s="7" t="s">
        <v>628</v>
      </c>
      <c r="B340" s="7" t="s">
        <v>164</v>
      </c>
      <c r="C340" s="7" t="s">
        <v>278</v>
      </c>
      <c r="D340" s="7" t="s">
        <v>165</v>
      </c>
      <c r="E340" s="7" t="s">
        <v>348</v>
      </c>
      <c r="F340" s="8" t="str">
        <f>_xlfn.IFNA(INDEX('HS Codes'!$D$2:$K2894,MATCH($B340,'HS Codes'!$A$2:$A2894,0),MATCH(F$1,'HS Codes'!$D$1:$K$1,0)),"")</f>
        <v>6302.93.2000</v>
      </c>
      <c r="G340" s="8">
        <f>_xlfn.IFNA(INDEX('HS Codes'!$D$2:$K2894,MATCH($B340,'HS Codes'!$A$2:$A2894,0),MATCH(G$1,'HS Codes'!$D$1:$K$1,0)),"")</f>
        <v>6302600090</v>
      </c>
      <c r="H340" s="8" t="str">
        <f>_xlfn.IFNA(INDEX('HS Codes'!$D$2:$K2894,MATCH($B340,'HS Codes'!$A$2:$A2894,0),MATCH(H$1,'HS Codes'!$D$1:$K$1,0)),"")</f>
        <v>6302.93.00.00</v>
      </c>
      <c r="I340" s="8">
        <f>_xlfn.IFNA(INDEX('HS Codes'!$D$2:$K2894,MATCH($B340,'HS Codes'!$A$2:$A2894,0),MATCH(I$1,'HS Codes'!$D$1:$K$1,0)),"")</f>
        <v>63029390</v>
      </c>
      <c r="J340" s="8">
        <f>_xlfn.IFNA(INDEX('HS Codes'!$D$2:$K2894,MATCH($B340,'HS Codes'!$A$2:$A2894,0),MATCH(J$1,'HS Codes'!$D$1:$K$1,0)),"")</f>
        <v>0</v>
      </c>
      <c r="K340" s="8" t="str">
        <f>_xlfn.IFNA(INDEX('HS Codes'!$D$2:$K2894,MATCH($B340,'HS Codes'!$A$2:$A2894,0),MATCH(K$1,'HS Codes'!$D$1:$K$1,0)),"")</f>
        <v>6302.39.00</v>
      </c>
      <c r="L340" s="8">
        <f>_xlfn.IFNA(INDEX('HS Codes'!$D$2:$K2894,MATCH($B340,'HS Codes'!$A$2:$A2894,0),MATCH(L$1,'HS Codes'!$D$1:$K$1,0)),"")</f>
        <v>63029120</v>
      </c>
      <c r="M340" s="8" t="str">
        <f>_xlfn.IFNA(INDEX('HS Codes'!$C$2:$C2894,MATCH($B340,'HS Codes'!$A$2:$A2894,0)),"")</f>
        <v>Beach Towel - Toilet Linen 100% recycled 220 GSM/83% polyester/17% polyamide includes cotton on the packing pouch drawstring</v>
      </c>
      <c r="N340" s="9"/>
      <c r="O340" s="9"/>
      <c r="P340" s="9"/>
      <c r="Q340" s="9"/>
    </row>
    <row r="341" spans="1:17" ht="15.75" customHeight="1">
      <c r="A341" s="7" t="s">
        <v>629</v>
      </c>
      <c r="B341" s="7" t="s">
        <v>164</v>
      </c>
      <c r="C341" s="7" t="s">
        <v>278</v>
      </c>
      <c r="D341" s="7" t="s">
        <v>165</v>
      </c>
      <c r="E341" s="7" t="s">
        <v>348</v>
      </c>
      <c r="F341" s="8" t="str">
        <f>_xlfn.IFNA(INDEX('HS Codes'!$D$2:$K2895,MATCH($B341,'HS Codes'!$A$2:$A2895,0),MATCH(F$1,'HS Codes'!$D$1:$K$1,0)),"")</f>
        <v>6302.93.2000</v>
      </c>
      <c r="G341" s="8">
        <f>_xlfn.IFNA(INDEX('HS Codes'!$D$2:$K2895,MATCH($B341,'HS Codes'!$A$2:$A2895,0),MATCH(G$1,'HS Codes'!$D$1:$K$1,0)),"")</f>
        <v>6302600090</v>
      </c>
      <c r="H341" s="8" t="str">
        <f>_xlfn.IFNA(INDEX('HS Codes'!$D$2:$K2895,MATCH($B341,'HS Codes'!$A$2:$A2895,0),MATCH(H$1,'HS Codes'!$D$1:$K$1,0)),"")</f>
        <v>6302.93.00.00</v>
      </c>
      <c r="I341" s="8">
        <f>_xlfn.IFNA(INDEX('HS Codes'!$D$2:$K2895,MATCH($B341,'HS Codes'!$A$2:$A2895,0),MATCH(I$1,'HS Codes'!$D$1:$K$1,0)),"")</f>
        <v>63029390</v>
      </c>
      <c r="J341" s="8">
        <f>_xlfn.IFNA(INDEX('HS Codes'!$D$2:$K2895,MATCH($B341,'HS Codes'!$A$2:$A2895,0),MATCH(J$1,'HS Codes'!$D$1:$K$1,0)),"")</f>
        <v>0</v>
      </c>
      <c r="K341" s="8" t="str">
        <f>_xlfn.IFNA(INDEX('HS Codes'!$D$2:$K2895,MATCH($B341,'HS Codes'!$A$2:$A2895,0),MATCH(K$1,'HS Codes'!$D$1:$K$1,0)),"")</f>
        <v>6302.39.00</v>
      </c>
      <c r="L341" s="8">
        <f>_xlfn.IFNA(INDEX('HS Codes'!$D$2:$K2895,MATCH($B341,'HS Codes'!$A$2:$A2895,0),MATCH(L$1,'HS Codes'!$D$1:$K$1,0)),"")</f>
        <v>63029120</v>
      </c>
      <c r="M341" s="8" t="str">
        <f>_xlfn.IFNA(INDEX('HS Codes'!$C$2:$C2895,MATCH($B341,'HS Codes'!$A$2:$A2895,0)),"")</f>
        <v>Beach Towel - Toilet Linen 100% recycled 220 GSM/83% polyester/17% polyamide includes cotton on the packing pouch drawstring</v>
      </c>
      <c r="N341" s="9"/>
      <c r="O341" s="9"/>
      <c r="P341" s="9"/>
      <c r="Q341" s="9"/>
    </row>
    <row r="342" spans="1:17" ht="15.75" customHeight="1">
      <c r="A342" s="7" t="s">
        <v>630</v>
      </c>
      <c r="B342" s="7" t="s">
        <v>164</v>
      </c>
      <c r="C342" s="7" t="s">
        <v>278</v>
      </c>
      <c r="D342" s="7" t="s">
        <v>165</v>
      </c>
      <c r="E342" s="7" t="s">
        <v>348</v>
      </c>
      <c r="F342" s="8" t="str">
        <f>_xlfn.IFNA(INDEX('HS Codes'!$D$2:$K2896,MATCH($B342,'HS Codes'!$A$2:$A2896,0),MATCH(F$1,'HS Codes'!$D$1:$K$1,0)),"")</f>
        <v>6302.93.2000</v>
      </c>
      <c r="G342" s="8">
        <f>_xlfn.IFNA(INDEX('HS Codes'!$D$2:$K2896,MATCH($B342,'HS Codes'!$A$2:$A2896,0),MATCH(G$1,'HS Codes'!$D$1:$K$1,0)),"")</f>
        <v>6302600090</v>
      </c>
      <c r="H342" s="8" t="str">
        <f>_xlfn.IFNA(INDEX('HS Codes'!$D$2:$K2896,MATCH($B342,'HS Codes'!$A$2:$A2896,0),MATCH(H$1,'HS Codes'!$D$1:$K$1,0)),"")</f>
        <v>6302.93.00.00</v>
      </c>
      <c r="I342" s="8">
        <f>_xlfn.IFNA(INDEX('HS Codes'!$D$2:$K2896,MATCH($B342,'HS Codes'!$A$2:$A2896,0),MATCH(I$1,'HS Codes'!$D$1:$K$1,0)),"")</f>
        <v>63029390</v>
      </c>
      <c r="J342" s="8">
        <f>_xlfn.IFNA(INDEX('HS Codes'!$D$2:$K2896,MATCH($B342,'HS Codes'!$A$2:$A2896,0),MATCH(J$1,'HS Codes'!$D$1:$K$1,0)),"")</f>
        <v>0</v>
      </c>
      <c r="K342" s="8" t="str">
        <f>_xlfn.IFNA(INDEX('HS Codes'!$D$2:$K2896,MATCH($B342,'HS Codes'!$A$2:$A2896,0),MATCH(K$1,'HS Codes'!$D$1:$K$1,0)),"")</f>
        <v>6302.39.00</v>
      </c>
      <c r="L342" s="8">
        <f>_xlfn.IFNA(INDEX('HS Codes'!$D$2:$K2896,MATCH($B342,'HS Codes'!$A$2:$A2896,0),MATCH(L$1,'HS Codes'!$D$1:$K$1,0)),"")</f>
        <v>63029120</v>
      </c>
      <c r="M342" s="8" t="str">
        <f>_xlfn.IFNA(INDEX('HS Codes'!$C$2:$C2896,MATCH($B342,'HS Codes'!$A$2:$A2896,0)),"")</f>
        <v>Beach Towel - Toilet Linen 100% recycled 220 GSM/83% polyester/17% polyamide includes cotton on the packing pouch drawstring</v>
      </c>
      <c r="N342" s="9"/>
      <c r="O342" s="9"/>
      <c r="P342" s="9"/>
      <c r="Q342" s="9"/>
    </row>
    <row r="343" spans="1:17" ht="15.75" customHeight="1">
      <c r="A343" s="7" t="s">
        <v>631</v>
      </c>
      <c r="B343" s="7" t="s">
        <v>164</v>
      </c>
      <c r="C343" s="7" t="s">
        <v>278</v>
      </c>
      <c r="D343" s="7" t="s">
        <v>165</v>
      </c>
      <c r="E343" s="7" t="s">
        <v>348</v>
      </c>
      <c r="F343" s="8" t="str">
        <f>_xlfn.IFNA(INDEX('HS Codes'!$D$2:$K2897,MATCH($B343,'HS Codes'!$A$2:$A2897,0),MATCH(F$1,'HS Codes'!$D$1:$K$1,0)),"")</f>
        <v>6302.93.2000</v>
      </c>
      <c r="G343" s="8">
        <f>_xlfn.IFNA(INDEX('HS Codes'!$D$2:$K2897,MATCH($B343,'HS Codes'!$A$2:$A2897,0),MATCH(G$1,'HS Codes'!$D$1:$K$1,0)),"")</f>
        <v>6302600090</v>
      </c>
      <c r="H343" s="8" t="str">
        <f>_xlfn.IFNA(INDEX('HS Codes'!$D$2:$K2897,MATCH($B343,'HS Codes'!$A$2:$A2897,0),MATCH(H$1,'HS Codes'!$D$1:$K$1,0)),"")</f>
        <v>6302.93.00.00</v>
      </c>
      <c r="I343" s="8">
        <f>_xlfn.IFNA(INDEX('HS Codes'!$D$2:$K2897,MATCH($B343,'HS Codes'!$A$2:$A2897,0),MATCH(I$1,'HS Codes'!$D$1:$K$1,0)),"")</f>
        <v>63029390</v>
      </c>
      <c r="J343" s="8">
        <f>_xlfn.IFNA(INDEX('HS Codes'!$D$2:$K2897,MATCH($B343,'HS Codes'!$A$2:$A2897,0),MATCH(J$1,'HS Codes'!$D$1:$K$1,0)),"")</f>
        <v>0</v>
      </c>
      <c r="K343" s="8" t="str">
        <f>_xlfn.IFNA(INDEX('HS Codes'!$D$2:$K2897,MATCH($B343,'HS Codes'!$A$2:$A2897,0),MATCH(K$1,'HS Codes'!$D$1:$K$1,0)),"")</f>
        <v>6302.39.00</v>
      </c>
      <c r="L343" s="8">
        <f>_xlfn.IFNA(INDEX('HS Codes'!$D$2:$K2897,MATCH($B343,'HS Codes'!$A$2:$A2897,0),MATCH(L$1,'HS Codes'!$D$1:$K$1,0)),"")</f>
        <v>63029120</v>
      </c>
      <c r="M343" s="8" t="str">
        <f>_xlfn.IFNA(INDEX('HS Codes'!$C$2:$C2897,MATCH($B343,'HS Codes'!$A$2:$A2897,0)),"")</f>
        <v>Beach Towel - Toilet Linen 100% recycled 220 GSM/83% polyester/17% polyamide includes cotton on the packing pouch drawstring</v>
      </c>
      <c r="N343" s="9"/>
      <c r="O343" s="9"/>
      <c r="P343" s="9"/>
      <c r="Q343" s="9"/>
    </row>
    <row r="344" spans="1:17" ht="15.75" customHeight="1">
      <c r="A344" s="7" t="s">
        <v>632</v>
      </c>
      <c r="B344" s="7" t="s">
        <v>164</v>
      </c>
      <c r="C344" s="7" t="s">
        <v>278</v>
      </c>
      <c r="D344" s="7" t="s">
        <v>165</v>
      </c>
      <c r="E344" s="7" t="s">
        <v>348</v>
      </c>
      <c r="F344" s="8" t="str">
        <f>_xlfn.IFNA(INDEX('HS Codes'!$D$2:$K2898,MATCH($B344,'HS Codes'!$A$2:$A2898,0),MATCH(F$1,'HS Codes'!$D$1:$K$1,0)),"")</f>
        <v>6302.93.2000</v>
      </c>
      <c r="G344" s="8">
        <f>_xlfn.IFNA(INDEX('HS Codes'!$D$2:$K2898,MATCH($B344,'HS Codes'!$A$2:$A2898,0),MATCH(G$1,'HS Codes'!$D$1:$K$1,0)),"")</f>
        <v>6302600090</v>
      </c>
      <c r="H344" s="8" t="str">
        <f>_xlfn.IFNA(INDEX('HS Codes'!$D$2:$K2898,MATCH($B344,'HS Codes'!$A$2:$A2898,0),MATCH(H$1,'HS Codes'!$D$1:$K$1,0)),"")</f>
        <v>6302.93.00.00</v>
      </c>
      <c r="I344" s="8">
        <f>_xlfn.IFNA(INDEX('HS Codes'!$D$2:$K2898,MATCH($B344,'HS Codes'!$A$2:$A2898,0),MATCH(I$1,'HS Codes'!$D$1:$K$1,0)),"")</f>
        <v>63029390</v>
      </c>
      <c r="J344" s="8">
        <f>_xlfn.IFNA(INDEX('HS Codes'!$D$2:$K2898,MATCH($B344,'HS Codes'!$A$2:$A2898,0),MATCH(J$1,'HS Codes'!$D$1:$K$1,0)),"")</f>
        <v>0</v>
      </c>
      <c r="K344" s="8" t="str">
        <f>_xlfn.IFNA(INDEX('HS Codes'!$D$2:$K2898,MATCH($B344,'HS Codes'!$A$2:$A2898,0),MATCH(K$1,'HS Codes'!$D$1:$K$1,0)),"")</f>
        <v>6302.39.00</v>
      </c>
      <c r="L344" s="8">
        <f>_xlfn.IFNA(INDEX('HS Codes'!$D$2:$K2898,MATCH($B344,'HS Codes'!$A$2:$A2898,0),MATCH(L$1,'HS Codes'!$D$1:$K$1,0)),"")</f>
        <v>63029120</v>
      </c>
      <c r="M344" s="8" t="str">
        <f>_xlfn.IFNA(INDEX('HS Codes'!$C$2:$C2898,MATCH($B344,'HS Codes'!$A$2:$A2898,0)),"")</f>
        <v>Beach Towel - Toilet Linen 100% recycled 220 GSM/83% polyester/17% polyamide includes cotton on the packing pouch drawstring</v>
      </c>
      <c r="N344" s="9"/>
      <c r="O344" s="9"/>
      <c r="P344" s="9"/>
      <c r="Q344" s="9"/>
    </row>
    <row r="345" spans="1:17" ht="15.75" customHeight="1">
      <c r="A345" s="7" t="s">
        <v>633</v>
      </c>
      <c r="B345" s="7" t="s">
        <v>164</v>
      </c>
      <c r="C345" s="7" t="s">
        <v>278</v>
      </c>
      <c r="D345" s="7" t="s">
        <v>165</v>
      </c>
      <c r="E345" s="7" t="s">
        <v>348</v>
      </c>
      <c r="F345" s="8" t="str">
        <f>_xlfn.IFNA(INDEX('HS Codes'!$D$2:$K2899,MATCH($B345,'HS Codes'!$A$2:$A2899,0),MATCH(F$1,'HS Codes'!$D$1:$K$1,0)),"")</f>
        <v>6302.93.2000</v>
      </c>
      <c r="G345" s="8">
        <f>_xlfn.IFNA(INDEX('HS Codes'!$D$2:$K2899,MATCH($B345,'HS Codes'!$A$2:$A2899,0),MATCH(G$1,'HS Codes'!$D$1:$K$1,0)),"")</f>
        <v>6302600090</v>
      </c>
      <c r="H345" s="8" t="str">
        <f>_xlfn.IFNA(INDEX('HS Codes'!$D$2:$K2899,MATCH($B345,'HS Codes'!$A$2:$A2899,0),MATCH(H$1,'HS Codes'!$D$1:$K$1,0)),"")</f>
        <v>6302.93.00.00</v>
      </c>
      <c r="I345" s="8">
        <f>_xlfn.IFNA(INDEX('HS Codes'!$D$2:$K2899,MATCH($B345,'HS Codes'!$A$2:$A2899,0),MATCH(I$1,'HS Codes'!$D$1:$K$1,0)),"")</f>
        <v>63029390</v>
      </c>
      <c r="J345" s="8">
        <f>_xlfn.IFNA(INDEX('HS Codes'!$D$2:$K2899,MATCH($B345,'HS Codes'!$A$2:$A2899,0),MATCH(J$1,'HS Codes'!$D$1:$K$1,0)),"")</f>
        <v>0</v>
      </c>
      <c r="K345" s="8" t="str">
        <f>_xlfn.IFNA(INDEX('HS Codes'!$D$2:$K2899,MATCH($B345,'HS Codes'!$A$2:$A2899,0),MATCH(K$1,'HS Codes'!$D$1:$K$1,0)),"")</f>
        <v>6302.39.00</v>
      </c>
      <c r="L345" s="8">
        <f>_xlfn.IFNA(INDEX('HS Codes'!$D$2:$K2899,MATCH($B345,'HS Codes'!$A$2:$A2899,0),MATCH(L$1,'HS Codes'!$D$1:$K$1,0)),"")</f>
        <v>63029120</v>
      </c>
      <c r="M345" s="8" t="str">
        <f>_xlfn.IFNA(INDEX('HS Codes'!$C$2:$C2899,MATCH($B345,'HS Codes'!$A$2:$A2899,0)),"")</f>
        <v>Beach Towel - Toilet Linen 100% recycled 220 GSM/83% polyester/17% polyamide includes cotton on the packing pouch drawstring</v>
      </c>
      <c r="N345" s="9"/>
      <c r="O345" s="9"/>
      <c r="P345" s="9"/>
      <c r="Q345" s="9"/>
    </row>
    <row r="346" spans="1:17" ht="15.75" customHeight="1">
      <c r="A346" s="7" t="s">
        <v>634</v>
      </c>
      <c r="B346" s="7" t="s">
        <v>164</v>
      </c>
      <c r="C346" s="7" t="s">
        <v>278</v>
      </c>
      <c r="D346" s="7" t="s">
        <v>165</v>
      </c>
      <c r="E346" s="7" t="s">
        <v>348</v>
      </c>
      <c r="F346" s="8" t="str">
        <f>_xlfn.IFNA(INDEX('HS Codes'!$D$2:$K2900,MATCH($B346,'HS Codes'!$A$2:$A2900,0),MATCH(F$1,'HS Codes'!$D$1:$K$1,0)),"")</f>
        <v>6302.93.2000</v>
      </c>
      <c r="G346" s="8">
        <f>_xlfn.IFNA(INDEX('HS Codes'!$D$2:$K2900,MATCH($B346,'HS Codes'!$A$2:$A2900,0),MATCH(G$1,'HS Codes'!$D$1:$K$1,0)),"")</f>
        <v>6302600090</v>
      </c>
      <c r="H346" s="8" t="str">
        <f>_xlfn.IFNA(INDEX('HS Codes'!$D$2:$K2900,MATCH($B346,'HS Codes'!$A$2:$A2900,0),MATCH(H$1,'HS Codes'!$D$1:$K$1,0)),"")</f>
        <v>6302.93.00.00</v>
      </c>
      <c r="I346" s="8">
        <f>_xlfn.IFNA(INDEX('HS Codes'!$D$2:$K2900,MATCH($B346,'HS Codes'!$A$2:$A2900,0),MATCH(I$1,'HS Codes'!$D$1:$K$1,0)),"")</f>
        <v>63029390</v>
      </c>
      <c r="J346" s="8">
        <f>_xlfn.IFNA(INDEX('HS Codes'!$D$2:$K2900,MATCH($B346,'HS Codes'!$A$2:$A2900,0),MATCH(J$1,'HS Codes'!$D$1:$K$1,0)),"")</f>
        <v>0</v>
      </c>
      <c r="K346" s="8" t="str">
        <f>_xlfn.IFNA(INDEX('HS Codes'!$D$2:$K2900,MATCH($B346,'HS Codes'!$A$2:$A2900,0),MATCH(K$1,'HS Codes'!$D$1:$K$1,0)),"")</f>
        <v>6302.39.00</v>
      </c>
      <c r="L346" s="8">
        <f>_xlfn.IFNA(INDEX('HS Codes'!$D$2:$K2900,MATCH($B346,'HS Codes'!$A$2:$A2900,0),MATCH(L$1,'HS Codes'!$D$1:$K$1,0)),"")</f>
        <v>63029120</v>
      </c>
      <c r="M346" s="8" t="str">
        <f>_xlfn.IFNA(INDEX('HS Codes'!$C$2:$C2900,MATCH($B346,'HS Codes'!$A$2:$A2900,0)),"")</f>
        <v>Beach Towel - Toilet Linen 100% recycled 220 GSM/83% polyester/17% polyamide includes cotton on the packing pouch drawstring</v>
      </c>
      <c r="N346" s="9"/>
      <c r="O346" s="9"/>
      <c r="P346" s="9"/>
      <c r="Q346" s="9"/>
    </row>
    <row r="347" spans="1:17" ht="15.75" customHeight="1">
      <c r="A347" s="7" t="s">
        <v>635</v>
      </c>
      <c r="B347" s="7" t="s">
        <v>164</v>
      </c>
      <c r="C347" s="7" t="s">
        <v>278</v>
      </c>
      <c r="D347" s="7" t="s">
        <v>165</v>
      </c>
      <c r="E347" s="7" t="s">
        <v>348</v>
      </c>
      <c r="F347" s="8" t="str">
        <f>_xlfn.IFNA(INDEX('HS Codes'!$D$2:$K2901,MATCH($B347,'HS Codes'!$A$2:$A2901,0),MATCH(F$1,'HS Codes'!$D$1:$K$1,0)),"")</f>
        <v>6302.93.2000</v>
      </c>
      <c r="G347" s="8">
        <f>_xlfn.IFNA(INDEX('HS Codes'!$D$2:$K2901,MATCH($B347,'HS Codes'!$A$2:$A2901,0),MATCH(G$1,'HS Codes'!$D$1:$K$1,0)),"")</f>
        <v>6302600090</v>
      </c>
      <c r="H347" s="8" t="str">
        <f>_xlfn.IFNA(INDEX('HS Codes'!$D$2:$K2901,MATCH($B347,'HS Codes'!$A$2:$A2901,0),MATCH(H$1,'HS Codes'!$D$1:$K$1,0)),"")</f>
        <v>6302.93.00.00</v>
      </c>
      <c r="I347" s="8">
        <f>_xlfn.IFNA(INDEX('HS Codes'!$D$2:$K2901,MATCH($B347,'HS Codes'!$A$2:$A2901,0),MATCH(I$1,'HS Codes'!$D$1:$K$1,0)),"")</f>
        <v>63029390</v>
      </c>
      <c r="J347" s="8">
        <f>_xlfn.IFNA(INDEX('HS Codes'!$D$2:$K2901,MATCH($B347,'HS Codes'!$A$2:$A2901,0),MATCH(J$1,'HS Codes'!$D$1:$K$1,0)),"")</f>
        <v>0</v>
      </c>
      <c r="K347" s="8" t="str">
        <f>_xlfn.IFNA(INDEX('HS Codes'!$D$2:$K2901,MATCH($B347,'HS Codes'!$A$2:$A2901,0),MATCH(K$1,'HS Codes'!$D$1:$K$1,0)),"")</f>
        <v>6302.39.00</v>
      </c>
      <c r="L347" s="8">
        <f>_xlfn.IFNA(INDEX('HS Codes'!$D$2:$K2901,MATCH($B347,'HS Codes'!$A$2:$A2901,0),MATCH(L$1,'HS Codes'!$D$1:$K$1,0)),"")</f>
        <v>63029120</v>
      </c>
      <c r="M347" s="8" t="str">
        <f>_xlfn.IFNA(INDEX('HS Codes'!$C$2:$C2901,MATCH($B347,'HS Codes'!$A$2:$A2901,0)),"")</f>
        <v>Beach Towel - Toilet Linen 100% recycled 220 GSM/83% polyester/17% polyamide includes cotton on the packing pouch drawstring</v>
      </c>
      <c r="N347" s="9"/>
      <c r="O347" s="9"/>
      <c r="P347" s="9"/>
      <c r="Q347" s="9"/>
    </row>
    <row r="348" spans="1:17" ht="15.75" customHeight="1">
      <c r="A348" s="7" t="s">
        <v>636</v>
      </c>
      <c r="B348" s="7" t="s">
        <v>164</v>
      </c>
      <c r="C348" s="7" t="s">
        <v>278</v>
      </c>
      <c r="D348" s="7" t="s">
        <v>165</v>
      </c>
      <c r="E348" s="7" t="s">
        <v>348</v>
      </c>
      <c r="F348" s="8" t="str">
        <f>_xlfn.IFNA(INDEX('HS Codes'!$D$2:$K2902,MATCH($B348,'HS Codes'!$A$2:$A2902,0),MATCH(F$1,'HS Codes'!$D$1:$K$1,0)),"")</f>
        <v>6302.93.2000</v>
      </c>
      <c r="G348" s="8">
        <f>_xlfn.IFNA(INDEX('HS Codes'!$D$2:$K2902,MATCH($B348,'HS Codes'!$A$2:$A2902,0),MATCH(G$1,'HS Codes'!$D$1:$K$1,0)),"")</f>
        <v>6302600090</v>
      </c>
      <c r="H348" s="8" t="str">
        <f>_xlfn.IFNA(INDEX('HS Codes'!$D$2:$K2902,MATCH($B348,'HS Codes'!$A$2:$A2902,0),MATCH(H$1,'HS Codes'!$D$1:$K$1,0)),"")</f>
        <v>6302.93.00.00</v>
      </c>
      <c r="I348" s="8">
        <f>_xlfn.IFNA(INDEX('HS Codes'!$D$2:$K2902,MATCH($B348,'HS Codes'!$A$2:$A2902,0),MATCH(I$1,'HS Codes'!$D$1:$K$1,0)),"")</f>
        <v>63029390</v>
      </c>
      <c r="J348" s="8">
        <f>_xlfn.IFNA(INDEX('HS Codes'!$D$2:$K2902,MATCH($B348,'HS Codes'!$A$2:$A2902,0),MATCH(J$1,'HS Codes'!$D$1:$K$1,0)),"")</f>
        <v>0</v>
      </c>
      <c r="K348" s="8" t="str">
        <f>_xlfn.IFNA(INDEX('HS Codes'!$D$2:$K2902,MATCH($B348,'HS Codes'!$A$2:$A2902,0),MATCH(K$1,'HS Codes'!$D$1:$K$1,0)),"")</f>
        <v>6302.39.00</v>
      </c>
      <c r="L348" s="8">
        <f>_xlfn.IFNA(INDEX('HS Codes'!$D$2:$K2902,MATCH($B348,'HS Codes'!$A$2:$A2902,0),MATCH(L$1,'HS Codes'!$D$1:$K$1,0)),"")</f>
        <v>63029120</v>
      </c>
      <c r="M348" s="8" t="str">
        <f>_xlfn.IFNA(INDEX('HS Codes'!$C$2:$C2902,MATCH($B348,'HS Codes'!$A$2:$A2902,0)),"")</f>
        <v>Beach Towel - Toilet Linen 100% recycled 220 GSM/83% polyester/17% polyamide includes cotton on the packing pouch drawstring</v>
      </c>
      <c r="N348" s="9"/>
      <c r="O348" s="9"/>
      <c r="P348" s="9"/>
      <c r="Q348" s="9"/>
    </row>
    <row r="349" spans="1:17" ht="15.75" customHeight="1">
      <c r="A349" s="7" t="s">
        <v>637</v>
      </c>
      <c r="B349" s="7" t="s">
        <v>164</v>
      </c>
      <c r="C349" s="7" t="s">
        <v>278</v>
      </c>
      <c r="D349" s="7" t="s">
        <v>165</v>
      </c>
      <c r="E349" s="7" t="s">
        <v>348</v>
      </c>
      <c r="F349" s="8" t="str">
        <f>_xlfn.IFNA(INDEX('HS Codes'!$D$2:$K2903,MATCH($B349,'HS Codes'!$A$2:$A2903,0),MATCH(F$1,'HS Codes'!$D$1:$K$1,0)),"")</f>
        <v>6302.93.2000</v>
      </c>
      <c r="G349" s="8">
        <f>_xlfn.IFNA(INDEX('HS Codes'!$D$2:$K2903,MATCH($B349,'HS Codes'!$A$2:$A2903,0),MATCH(G$1,'HS Codes'!$D$1:$K$1,0)),"")</f>
        <v>6302600090</v>
      </c>
      <c r="H349" s="8" t="str">
        <f>_xlfn.IFNA(INDEX('HS Codes'!$D$2:$K2903,MATCH($B349,'HS Codes'!$A$2:$A2903,0),MATCH(H$1,'HS Codes'!$D$1:$K$1,0)),"")</f>
        <v>6302.93.00.00</v>
      </c>
      <c r="I349" s="8">
        <f>_xlfn.IFNA(INDEX('HS Codes'!$D$2:$K2903,MATCH($B349,'HS Codes'!$A$2:$A2903,0),MATCH(I$1,'HS Codes'!$D$1:$K$1,0)),"")</f>
        <v>63029390</v>
      </c>
      <c r="J349" s="8">
        <f>_xlfn.IFNA(INDEX('HS Codes'!$D$2:$K2903,MATCH($B349,'HS Codes'!$A$2:$A2903,0),MATCH(J$1,'HS Codes'!$D$1:$K$1,0)),"")</f>
        <v>0</v>
      </c>
      <c r="K349" s="8" t="str">
        <f>_xlfn.IFNA(INDEX('HS Codes'!$D$2:$K2903,MATCH($B349,'HS Codes'!$A$2:$A2903,0),MATCH(K$1,'HS Codes'!$D$1:$K$1,0)),"")</f>
        <v>6302.39.00</v>
      </c>
      <c r="L349" s="8">
        <f>_xlfn.IFNA(INDEX('HS Codes'!$D$2:$K2903,MATCH($B349,'HS Codes'!$A$2:$A2903,0),MATCH(L$1,'HS Codes'!$D$1:$K$1,0)),"")</f>
        <v>63029120</v>
      </c>
      <c r="M349" s="8" t="str">
        <f>_xlfn.IFNA(INDEX('HS Codes'!$C$2:$C2903,MATCH($B349,'HS Codes'!$A$2:$A2903,0)),"")</f>
        <v>Beach Towel - Toilet Linen 100% recycled 220 GSM/83% polyester/17% polyamide includes cotton on the packing pouch drawstring</v>
      </c>
      <c r="N349" s="9"/>
      <c r="O349" s="9"/>
      <c r="P349" s="9"/>
      <c r="Q349" s="9"/>
    </row>
    <row r="350" spans="1:17" ht="15.75" customHeight="1">
      <c r="A350" s="7" t="s">
        <v>638</v>
      </c>
      <c r="B350" s="7" t="s">
        <v>164</v>
      </c>
      <c r="C350" s="7" t="s">
        <v>278</v>
      </c>
      <c r="D350" s="7" t="s">
        <v>165</v>
      </c>
      <c r="E350" s="7" t="s">
        <v>348</v>
      </c>
      <c r="F350" s="8" t="str">
        <f>_xlfn.IFNA(INDEX('HS Codes'!$D$2:$K2904,MATCH($B350,'HS Codes'!$A$2:$A2904,0),MATCH(F$1,'HS Codes'!$D$1:$K$1,0)),"")</f>
        <v>6302.93.2000</v>
      </c>
      <c r="G350" s="8">
        <f>_xlfn.IFNA(INDEX('HS Codes'!$D$2:$K2904,MATCH($B350,'HS Codes'!$A$2:$A2904,0),MATCH(G$1,'HS Codes'!$D$1:$K$1,0)),"")</f>
        <v>6302600090</v>
      </c>
      <c r="H350" s="8" t="str">
        <f>_xlfn.IFNA(INDEX('HS Codes'!$D$2:$K2904,MATCH($B350,'HS Codes'!$A$2:$A2904,0),MATCH(H$1,'HS Codes'!$D$1:$K$1,0)),"")</f>
        <v>6302.93.00.00</v>
      </c>
      <c r="I350" s="8">
        <f>_xlfn.IFNA(INDEX('HS Codes'!$D$2:$K2904,MATCH($B350,'HS Codes'!$A$2:$A2904,0),MATCH(I$1,'HS Codes'!$D$1:$K$1,0)),"")</f>
        <v>63029390</v>
      </c>
      <c r="J350" s="8">
        <f>_xlfn.IFNA(INDEX('HS Codes'!$D$2:$K2904,MATCH($B350,'HS Codes'!$A$2:$A2904,0),MATCH(J$1,'HS Codes'!$D$1:$K$1,0)),"")</f>
        <v>0</v>
      </c>
      <c r="K350" s="8" t="str">
        <f>_xlfn.IFNA(INDEX('HS Codes'!$D$2:$K2904,MATCH($B350,'HS Codes'!$A$2:$A2904,0),MATCH(K$1,'HS Codes'!$D$1:$K$1,0)),"")</f>
        <v>6302.39.00</v>
      </c>
      <c r="L350" s="8">
        <f>_xlfn.IFNA(INDEX('HS Codes'!$D$2:$K2904,MATCH($B350,'HS Codes'!$A$2:$A2904,0),MATCH(L$1,'HS Codes'!$D$1:$K$1,0)),"")</f>
        <v>63029120</v>
      </c>
      <c r="M350" s="8" t="str">
        <f>_xlfn.IFNA(INDEX('HS Codes'!$C$2:$C2904,MATCH($B350,'HS Codes'!$A$2:$A2904,0)),"")</f>
        <v>Beach Towel - Toilet Linen 100% recycled 220 GSM/83% polyester/17% polyamide includes cotton on the packing pouch drawstring</v>
      </c>
      <c r="N350" s="9"/>
      <c r="O350" s="9"/>
      <c r="P350" s="9"/>
      <c r="Q350" s="9"/>
    </row>
    <row r="351" spans="1:17" ht="15.75" customHeight="1">
      <c r="A351" s="7" t="s">
        <v>639</v>
      </c>
      <c r="B351" s="7" t="s">
        <v>164</v>
      </c>
      <c r="C351" s="7" t="s">
        <v>278</v>
      </c>
      <c r="D351" s="7" t="s">
        <v>165</v>
      </c>
      <c r="E351" s="7" t="s">
        <v>348</v>
      </c>
      <c r="F351" s="8" t="str">
        <f>_xlfn.IFNA(INDEX('HS Codes'!$D$2:$K2905,MATCH($B351,'HS Codes'!$A$2:$A2905,0),MATCH(F$1,'HS Codes'!$D$1:$K$1,0)),"")</f>
        <v>6302.93.2000</v>
      </c>
      <c r="G351" s="8">
        <f>_xlfn.IFNA(INDEX('HS Codes'!$D$2:$K2905,MATCH($B351,'HS Codes'!$A$2:$A2905,0),MATCH(G$1,'HS Codes'!$D$1:$K$1,0)),"")</f>
        <v>6302600090</v>
      </c>
      <c r="H351" s="8" t="str">
        <f>_xlfn.IFNA(INDEX('HS Codes'!$D$2:$K2905,MATCH($B351,'HS Codes'!$A$2:$A2905,0),MATCH(H$1,'HS Codes'!$D$1:$K$1,0)),"")</f>
        <v>6302.93.00.00</v>
      </c>
      <c r="I351" s="8">
        <f>_xlfn.IFNA(INDEX('HS Codes'!$D$2:$K2905,MATCH($B351,'HS Codes'!$A$2:$A2905,0),MATCH(I$1,'HS Codes'!$D$1:$K$1,0)),"")</f>
        <v>63029390</v>
      </c>
      <c r="J351" s="8">
        <f>_xlfn.IFNA(INDEX('HS Codes'!$D$2:$K2905,MATCH($B351,'HS Codes'!$A$2:$A2905,0),MATCH(J$1,'HS Codes'!$D$1:$K$1,0)),"")</f>
        <v>0</v>
      </c>
      <c r="K351" s="8" t="str">
        <f>_xlfn.IFNA(INDEX('HS Codes'!$D$2:$K2905,MATCH($B351,'HS Codes'!$A$2:$A2905,0),MATCH(K$1,'HS Codes'!$D$1:$K$1,0)),"")</f>
        <v>6302.39.00</v>
      </c>
      <c r="L351" s="8">
        <f>_xlfn.IFNA(INDEX('HS Codes'!$D$2:$K2905,MATCH($B351,'HS Codes'!$A$2:$A2905,0),MATCH(L$1,'HS Codes'!$D$1:$K$1,0)),"")</f>
        <v>63029120</v>
      </c>
      <c r="M351" s="8" t="str">
        <f>_xlfn.IFNA(INDEX('HS Codes'!$C$2:$C2905,MATCH($B351,'HS Codes'!$A$2:$A2905,0)),"")</f>
        <v>Beach Towel - Toilet Linen 100% recycled 220 GSM/83% polyester/17% polyamide includes cotton on the packing pouch drawstring</v>
      </c>
      <c r="N351" s="9"/>
      <c r="O351" s="9"/>
      <c r="P351" s="9"/>
      <c r="Q351" s="9"/>
    </row>
    <row r="352" spans="1:17" ht="15.75" customHeight="1">
      <c r="A352" s="7" t="s">
        <v>640</v>
      </c>
      <c r="B352" s="7" t="s">
        <v>164</v>
      </c>
      <c r="C352" s="7" t="s">
        <v>278</v>
      </c>
      <c r="D352" s="7" t="s">
        <v>165</v>
      </c>
      <c r="E352" s="7" t="s">
        <v>348</v>
      </c>
      <c r="F352" s="8" t="str">
        <f>_xlfn.IFNA(INDEX('HS Codes'!$D$2:$K2906,MATCH($B352,'HS Codes'!$A$2:$A2906,0),MATCH(F$1,'HS Codes'!$D$1:$K$1,0)),"")</f>
        <v>6302.93.2000</v>
      </c>
      <c r="G352" s="8">
        <f>_xlfn.IFNA(INDEX('HS Codes'!$D$2:$K2906,MATCH($B352,'HS Codes'!$A$2:$A2906,0),MATCH(G$1,'HS Codes'!$D$1:$K$1,0)),"")</f>
        <v>6302600090</v>
      </c>
      <c r="H352" s="8" t="str">
        <f>_xlfn.IFNA(INDEX('HS Codes'!$D$2:$K2906,MATCH($B352,'HS Codes'!$A$2:$A2906,0),MATCH(H$1,'HS Codes'!$D$1:$K$1,0)),"")</f>
        <v>6302.93.00.00</v>
      </c>
      <c r="I352" s="8">
        <f>_xlfn.IFNA(INDEX('HS Codes'!$D$2:$K2906,MATCH($B352,'HS Codes'!$A$2:$A2906,0),MATCH(I$1,'HS Codes'!$D$1:$K$1,0)),"")</f>
        <v>63029390</v>
      </c>
      <c r="J352" s="8">
        <f>_xlfn.IFNA(INDEX('HS Codes'!$D$2:$K2906,MATCH($B352,'HS Codes'!$A$2:$A2906,0),MATCH(J$1,'HS Codes'!$D$1:$K$1,0)),"")</f>
        <v>0</v>
      </c>
      <c r="K352" s="8" t="str">
        <f>_xlfn.IFNA(INDEX('HS Codes'!$D$2:$K2906,MATCH($B352,'HS Codes'!$A$2:$A2906,0),MATCH(K$1,'HS Codes'!$D$1:$K$1,0)),"")</f>
        <v>6302.39.00</v>
      </c>
      <c r="L352" s="8">
        <f>_xlfn.IFNA(INDEX('HS Codes'!$D$2:$K2906,MATCH($B352,'HS Codes'!$A$2:$A2906,0),MATCH(L$1,'HS Codes'!$D$1:$K$1,0)),"")</f>
        <v>63029120</v>
      </c>
      <c r="M352" s="8" t="str">
        <f>_xlfn.IFNA(INDEX('HS Codes'!$C$2:$C2906,MATCH($B352,'HS Codes'!$A$2:$A2906,0)),"")</f>
        <v>Beach Towel - Toilet Linen 100% recycled 220 GSM/83% polyester/17% polyamide includes cotton on the packing pouch drawstring</v>
      </c>
      <c r="N352" s="9"/>
      <c r="O352" s="9"/>
      <c r="P352" s="9"/>
      <c r="Q352" s="9"/>
    </row>
    <row r="353" spans="1:17" ht="15.75" customHeight="1">
      <c r="A353" s="7" t="s">
        <v>641</v>
      </c>
      <c r="B353" s="7" t="s">
        <v>164</v>
      </c>
      <c r="C353" s="7" t="s">
        <v>278</v>
      </c>
      <c r="D353" s="7" t="s">
        <v>165</v>
      </c>
      <c r="E353" s="7" t="s">
        <v>348</v>
      </c>
      <c r="F353" s="8" t="str">
        <f>_xlfn.IFNA(INDEX('HS Codes'!$D$2:$K2907,MATCH($B353,'HS Codes'!$A$2:$A2907,0),MATCH(F$1,'HS Codes'!$D$1:$K$1,0)),"")</f>
        <v>6302.93.2000</v>
      </c>
      <c r="G353" s="8">
        <f>_xlfn.IFNA(INDEX('HS Codes'!$D$2:$K2907,MATCH($B353,'HS Codes'!$A$2:$A2907,0),MATCH(G$1,'HS Codes'!$D$1:$K$1,0)),"")</f>
        <v>6302600090</v>
      </c>
      <c r="H353" s="8" t="str">
        <f>_xlfn.IFNA(INDEX('HS Codes'!$D$2:$K2907,MATCH($B353,'HS Codes'!$A$2:$A2907,0),MATCH(H$1,'HS Codes'!$D$1:$K$1,0)),"")</f>
        <v>6302.93.00.00</v>
      </c>
      <c r="I353" s="8">
        <f>_xlfn.IFNA(INDEX('HS Codes'!$D$2:$K2907,MATCH($B353,'HS Codes'!$A$2:$A2907,0),MATCH(I$1,'HS Codes'!$D$1:$K$1,0)),"")</f>
        <v>63029390</v>
      </c>
      <c r="J353" s="8">
        <f>_xlfn.IFNA(INDEX('HS Codes'!$D$2:$K2907,MATCH($B353,'HS Codes'!$A$2:$A2907,0),MATCH(J$1,'HS Codes'!$D$1:$K$1,0)),"")</f>
        <v>0</v>
      </c>
      <c r="K353" s="8" t="str">
        <f>_xlfn.IFNA(INDEX('HS Codes'!$D$2:$K2907,MATCH($B353,'HS Codes'!$A$2:$A2907,0),MATCH(K$1,'HS Codes'!$D$1:$K$1,0)),"")</f>
        <v>6302.39.00</v>
      </c>
      <c r="L353" s="8">
        <f>_xlfn.IFNA(INDEX('HS Codes'!$D$2:$K2907,MATCH($B353,'HS Codes'!$A$2:$A2907,0),MATCH(L$1,'HS Codes'!$D$1:$K$1,0)),"")</f>
        <v>63029120</v>
      </c>
      <c r="M353" s="8" t="str">
        <f>_xlfn.IFNA(INDEX('HS Codes'!$C$2:$C2907,MATCH($B353,'HS Codes'!$A$2:$A2907,0)),"")</f>
        <v>Beach Towel - Toilet Linen 100% recycled 220 GSM/83% polyester/17% polyamide includes cotton on the packing pouch drawstring</v>
      </c>
      <c r="N353" s="9"/>
      <c r="O353" s="9"/>
      <c r="P353" s="9"/>
      <c r="Q353" s="9"/>
    </row>
    <row r="354" spans="1:17" ht="15.75" customHeight="1">
      <c r="A354" s="7" t="s">
        <v>642</v>
      </c>
      <c r="B354" s="7" t="s">
        <v>164</v>
      </c>
      <c r="C354" s="7" t="s">
        <v>278</v>
      </c>
      <c r="D354" s="7" t="s">
        <v>165</v>
      </c>
      <c r="E354" s="7" t="s">
        <v>348</v>
      </c>
      <c r="F354" s="8" t="str">
        <f>_xlfn.IFNA(INDEX('HS Codes'!$D$2:$K2908,MATCH($B354,'HS Codes'!$A$2:$A2908,0),MATCH(F$1,'HS Codes'!$D$1:$K$1,0)),"")</f>
        <v>6302.93.2000</v>
      </c>
      <c r="G354" s="8">
        <f>_xlfn.IFNA(INDEX('HS Codes'!$D$2:$K2908,MATCH($B354,'HS Codes'!$A$2:$A2908,0),MATCH(G$1,'HS Codes'!$D$1:$K$1,0)),"")</f>
        <v>6302600090</v>
      </c>
      <c r="H354" s="8" t="str">
        <f>_xlfn.IFNA(INDEX('HS Codes'!$D$2:$K2908,MATCH($B354,'HS Codes'!$A$2:$A2908,0),MATCH(H$1,'HS Codes'!$D$1:$K$1,0)),"")</f>
        <v>6302.93.00.00</v>
      </c>
      <c r="I354" s="8">
        <f>_xlfn.IFNA(INDEX('HS Codes'!$D$2:$K2908,MATCH($B354,'HS Codes'!$A$2:$A2908,0),MATCH(I$1,'HS Codes'!$D$1:$K$1,0)),"")</f>
        <v>63029390</v>
      </c>
      <c r="J354" s="8">
        <f>_xlfn.IFNA(INDEX('HS Codes'!$D$2:$K2908,MATCH($B354,'HS Codes'!$A$2:$A2908,0),MATCH(J$1,'HS Codes'!$D$1:$K$1,0)),"")</f>
        <v>0</v>
      </c>
      <c r="K354" s="8" t="str">
        <f>_xlfn.IFNA(INDEX('HS Codes'!$D$2:$K2908,MATCH($B354,'HS Codes'!$A$2:$A2908,0),MATCH(K$1,'HS Codes'!$D$1:$K$1,0)),"")</f>
        <v>6302.39.00</v>
      </c>
      <c r="L354" s="8">
        <f>_xlfn.IFNA(INDEX('HS Codes'!$D$2:$K2908,MATCH($B354,'HS Codes'!$A$2:$A2908,0),MATCH(L$1,'HS Codes'!$D$1:$K$1,0)),"")</f>
        <v>63029120</v>
      </c>
      <c r="M354" s="8" t="str">
        <f>_xlfn.IFNA(INDEX('HS Codes'!$C$2:$C2908,MATCH($B354,'HS Codes'!$A$2:$A2908,0)),"")</f>
        <v>Beach Towel - Toilet Linen 100% recycled 220 GSM/83% polyester/17% polyamide includes cotton on the packing pouch drawstring</v>
      </c>
      <c r="N354" s="9"/>
      <c r="O354" s="9"/>
      <c r="P354" s="9"/>
      <c r="Q354" s="9"/>
    </row>
    <row r="355" spans="1:17" ht="15.75" customHeight="1">
      <c r="A355" s="7" t="s">
        <v>643</v>
      </c>
      <c r="B355" s="7" t="s">
        <v>164</v>
      </c>
      <c r="C355" s="7" t="s">
        <v>278</v>
      </c>
      <c r="D355" s="7" t="s">
        <v>165</v>
      </c>
      <c r="E355" s="7" t="s">
        <v>348</v>
      </c>
      <c r="F355" s="8" t="str">
        <f>_xlfn.IFNA(INDEX('HS Codes'!$D$2:$K2909,MATCH($B355,'HS Codes'!$A$2:$A2909,0),MATCH(F$1,'HS Codes'!$D$1:$K$1,0)),"")</f>
        <v>6302.93.2000</v>
      </c>
      <c r="G355" s="8">
        <f>_xlfn.IFNA(INDEX('HS Codes'!$D$2:$K2909,MATCH($B355,'HS Codes'!$A$2:$A2909,0),MATCH(G$1,'HS Codes'!$D$1:$K$1,0)),"")</f>
        <v>6302600090</v>
      </c>
      <c r="H355" s="8" t="str">
        <f>_xlfn.IFNA(INDEX('HS Codes'!$D$2:$K2909,MATCH($B355,'HS Codes'!$A$2:$A2909,0),MATCH(H$1,'HS Codes'!$D$1:$K$1,0)),"")</f>
        <v>6302.93.00.00</v>
      </c>
      <c r="I355" s="8">
        <f>_xlfn.IFNA(INDEX('HS Codes'!$D$2:$K2909,MATCH($B355,'HS Codes'!$A$2:$A2909,0),MATCH(I$1,'HS Codes'!$D$1:$K$1,0)),"")</f>
        <v>63029390</v>
      </c>
      <c r="J355" s="8">
        <f>_xlfn.IFNA(INDEX('HS Codes'!$D$2:$K2909,MATCH($B355,'HS Codes'!$A$2:$A2909,0),MATCH(J$1,'HS Codes'!$D$1:$K$1,0)),"")</f>
        <v>0</v>
      </c>
      <c r="K355" s="8" t="str">
        <f>_xlfn.IFNA(INDEX('HS Codes'!$D$2:$K2909,MATCH($B355,'HS Codes'!$A$2:$A2909,0),MATCH(K$1,'HS Codes'!$D$1:$K$1,0)),"")</f>
        <v>6302.39.00</v>
      </c>
      <c r="L355" s="8">
        <f>_xlfn.IFNA(INDEX('HS Codes'!$D$2:$K2909,MATCH($B355,'HS Codes'!$A$2:$A2909,0),MATCH(L$1,'HS Codes'!$D$1:$K$1,0)),"")</f>
        <v>63029120</v>
      </c>
      <c r="M355" s="8" t="str">
        <f>_xlfn.IFNA(INDEX('HS Codes'!$C$2:$C2909,MATCH($B355,'HS Codes'!$A$2:$A2909,0)),"")</f>
        <v>Beach Towel - Toilet Linen 100% recycled 220 GSM/83% polyester/17% polyamide includes cotton on the packing pouch drawstring</v>
      </c>
      <c r="N355" s="9"/>
      <c r="O355" s="9"/>
      <c r="P355" s="9"/>
      <c r="Q355" s="9"/>
    </row>
    <row r="356" spans="1:17" ht="15.75" customHeight="1">
      <c r="A356" s="7" t="s">
        <v>644</v>
      </c>
      <c r="B356" s="7" t="s">
        <v>164</v>
      </c>
      <c r="C356" s="7" t="s">
        <v>278</v>
      </c>
      <c r="D356" s="7" t="s">
        <v>165</v>
      </c>
      <c r="E356" s="7" t="s">
        <v>348</v>
      </c>
      <c r="F356" s="8" t="str">
        <f>_xlfn.IFNA(INDEX('HS Codes'!$D$2:$K2910,MATCH($B356,'HS Codes'!$A$2:$A2910,0),MATCH(F$1,'HS Codes'!$D$1:$K$1,0)),"")</f>
        <v>6302.93.2000</v>
      </c>
      <c r="G356" s="8">
        <f>_xlfn.IFNA(INDEX('HS Codes'!$D$2:$K2910,MATCH($B356,'HS Codes'!$A$2:$A2910,0),MATCH(G$1,'HS Codes'!$D$1:$K$1,0)),"")</f>
        <v>6302600090</v>
      </c>
      <c r="H356" s="8" t="str">
        <f>_xlfn.IFNA(INDEX('HS Codes'!$D$2:$K2910,MATCH($B356,'HS Codes'!$A$2:$A2910,0),MATCH(H$1,'HS Codes'!$D$1:$K$1,0)),"")</f>
        <v>6302.93.00.00</v>
      </c>
      <c r="I356" s="8">
        <f>_xlfn.IFNA(INDEX('HS Codes'!$D$2:$K2910,MATCH($B356,'HS Codes'!$A$2:$A2910,0),MATCH(I$1,'HS Codes'!$D$1:$K$1,0)),"")</f>
        <v>63029390</v>
      </c>
      <c r="J356" s="8">
        <f>_xlfn.IFNA(INDEX('HS Codes'!$D$2:$K2910,MATCH($B356,'HS Codes'!$A$2:$A2910,0),MATCH(J$1,'HS Codes'!$D$1:$K$1,0)),"")</f>
        <v>0</v>
      </c>
      <c r="K356" s="8" t="str">
        <f>_xlfn.IFNA(INDEX('HS Codes'!$D$2:$K2910,MATCH($B356,'HS Codes'!$A$2:$A2910,0),MATCH(K$1,'HS Codes'!$D$1:$K$1,0)),"")</f>
        <v>6302.39.00</v>
      </c>
      <c r="L356" s="8">
        <f>_xlfn.IFNA(INDEX('HS Codes'!$D$2:$K2910,MATCH($B356,'HS Codes'!$A$2:$A2910,0),MATCH(L$1,'HS Codes'!$D$1:$K$1,0)),"")</f>
        <v>63029120</v>
      </c>
      <c r="M356" s="8" t="str">
        <f>_xlfn.IFNA(INDEX('HS Codes'!$C$2:$C2910,MATCH($B356,'HS Codes'!$A$2:$A2910,0)),"")</f>
        <v>Beach Towel - Toilet Linen 100% recycled 220 GSM/83% polyester/17% polyamide includes cotton on the packing pouch drawstring</v>
      </c>
      <c r="N356" s="9"/>
      <c r="O356" s="9"/>
      <c r="P356" s="9"/>
      <c r="Q356" s="9"/>
    </row>
    <row r="357" spans="1:17" ht="15.75" customHeight="1">
      <c r="A357" s="7" t="s">
        <v>645</v>
      </c>
      <c r="B357" s="7" t="s">
        <v>164</v>
      </c>
      <c r="C357" s="7" t="s">
        <v>278</v>
      </c>
      <c r="D357" s="7" t="s">
        <v>165</v>
      </c>
      <c r="E357" s="7" t="s">
        <v>348</v>
      </c>
      <c r="F357" s="8" t="str">
        <f>_xlfn.IFNA(INDEX('HS Codes'!$D$2:$K2911,MATCH($B357,'HS Codes'!$A$2:$A2911,0),MATCH(F$1,'HS Codes'!$D$1:$K$1,0)),"")</f>
        <v>6302.93.2000</v>
      </c>
      <c r="G357" s="8">
        <f>_xlfn.IFNA(INDEX('HS Codes'!$D$2:$K2911,MATCH($B357,'HS Codes'!$A$2:$A2911,0),MATCH(G$1,'HS Codes'!$D$1:$K$1,0)),"")</f>
        <v>6302600090</v>
      </c>
      <c r="H357" s="8" t="str">
        <f>_xlfn.IFNA(INDEX('HS Codes'!$D$2:$K2911,MATCH($B357,'HS Codes'!$A$2:$A2911,0),MATCH(H$1,'HS Codes'!$D$1:$K$1,0)),"")</f>
        <v>6302.93.00.00</v>
      </c>
      <c r="I357" s="8">
        <f>_xlfn.IFNA(INDEX('HS Codes'!$D$2:$K2911,MATCH($B357,'HS Codes'!$A$2:$A2911,0),MATCH(I$1,'HS Codes'!$D$1:$K$1,0)),"")</f>
        <v>63029390</v>
      </c>
      <c r="J357" s="8">
        <f>_xlfn.IFNA(INDEX('HS Codes'!$D$2:$K2911,MATCH($B357,'HS Codes'!$A$2:$A2911,0),MATCH(J$1,'HS Codes'!$D$1:$K$1,0)),"")</f>
        <v>0</v>
      </c>
      <c r="K357" s="8" t="str">
        <f>_xlfn.IFNA(INDEX('HS Codes'!$D$2:$K2911,MATCH($B357,'HS Codes'!$A$2:$A2911,0),MATCH(K$1,'HS Codes'!$D$1:$K$1,0)),"")</f>
        <v>6302.39.00</v>
      </c>
      <c r="L357" s="8">
        <f>_xlfn.IFNA(INDEX('HS Codes'!$D$2:$K2911,MATCH($B357,'HS Codes'!$A$2:$A2911,0),MATCH(L$1,'HS Codes'!$D$1:$K$1,0)),"")</f>
        <v>63029120</v>
      </c>
      <c r="M357" s="8" t="str">
        <f>_xlfn.IFNA(INDEX('HS Codes'!$C$2:$C2911,MATCH($B357,'HS Codes'!$A$2:$A2911,0)),"")</f>
        <v>Beach Towel - Toilet Linen 100% recycled 220 GSM/83% polyester/17% polyamide includes cotton on the packing pouch drawstring</v>
      </c>
      <c r="N357" s="9"/>
      <c r="O357" s="9"/>
      <c r="P357" s="9"/>
      <c r="Q357" s="9"/>
    </row>
    <row r="358" spans="1:17" ht="15.75" customHeight="1">
      <c r="A358" s="7" t="s">
        <v>646</v>
      </c>
      <c r="B358" s="7" t="s">
        <v>164</v>
      </c>
      <c r="C358" s="7" t="s">
        <v>278</v>
      </c>
      <c r="D358" s="7" t="s">
        <v>165</v>
      </c>
      <c r="E358" s="7" t="s">
        <v>348</v>
      </c>
      <c r="F358" s="8" t="str">
        <f>_xlfn.IFNA(INDEX('HS Codes'!$D$2:$K2912,MATCH($B358,'HS Codes'!$A$2:$A2912,0),MATCH(F$1,'HS Codes'!$D$1:$K$1,0)),"")</f>
        <v>6302.93.2000</v>
      </c>
      <c r="G358" s="8">
        <f>_xlfn.IFNA(INDEX('HS Codes'!$D$2:$K2912,MATCH($B358,'HS Codes'!$A$2:$A2912,0),MATCH(G$1,'HS Codes'!$D$1:$K$1,0)),"")</f>
        <v>6302600090</v>
      </c>
      <c r="H358" s="8" t="str">
        <f>_xlfn.IFNA(INDEX('HS Codes'!$D$2:$K2912,MATCH($B358,'HS Codes'!$A$2:$A2912,0),MATCH(H$1,'HS Codes'!$D$1:$K$1,0)),"")</f>
        <v>6302.93.00.00</v>
      </c>
      <c r="I358" s="8">
        <f>_xlfn.IFNA(INDEX('HS Codes'!$D$2:$K2912,MATCH($B358,'HS Codes'!$A$2:$A2912,0),MATCH(I$1,'HS Codes'!$D$1:$K$1,0)),"")</f>
        <v>63029390</v>
      </c>
      <c r="J358" s="8">
        <f>_xlfn.IFNA(INDEX('HS Codes'!$D$2:$K2912,MATCH($B358,'HS Codes'!$A$2:$A2912,0),MATCH(J$1,'HS Codes'!$D$1:$K$1,0)),"")</f>
        <v>0</v>
      </c>
      <c r="K358" s="8" t="str">
        <f>_xlfn.IFNA(INDEX('HS Codes'!$D$2:$K2912,MATCH($B358,'HS Codes'!$A$2:$A2912,0),MATCH(K$1,'HS Codes'!$D$1:$K$1,0)),"")</f>
        <v>6302.39.00</v>
      </c>
      <c r="L358" s="8">
        <f>_xlfn.IFNA(INDEX('HS Codes'!$D$2:$K2912,MATCH($B358,'HS Codes'!$A$2:$A2912,0),MATCH(L$1,'HS Codes'!$D$1:$K$1,0)),"")</f>
        <v>63029120</v>
      </c>
      <c r="M358" s="8" t="str">
        <f>_xlfn.IFNA(INDEX('HS Codes'!$C$2:$C2912,MATCH($B358,'HS Codes'!$A$2:$A2912,0)),"")</f>
        <v>Beach Towel - Toilet Linen 100% recycled 220 GSM/83% polyester/17% polyamide includes cotton on the packing pouch drawstring</v>
      </c>
      <c r="N358" s="9"/>
      <c r="O358" s="9"/>
      <c r="P358" s="9"/>
      <c r="Q358" s="9"/>
    </row>
    <row r="359" spans="1:17" ht="15.75" customHeight="1">
      <c r="A359" s="7" t="s">
        <v>647</v>
      </c>
      <c r="B359" s="7" t="s">
        <v>164</v>
      </c>
      <c r="C359" s="7" t="s">
        <v>278</v>
      </c>
      <c r="D359" s="7" t="s">
        <v>165</v>
      </c>
      <c r="E359" s="7" t="s">
        <v>348</v>
      </c>
      <c r="F359" s="8" t="str">
        <f>_xlfn.IFNA(INDEX('HS Codes'!$D$2:$K2913,MATCH($B359,'HS Codes'!$A$2:$A2913,0),MATCH(F$1,'HS Codes'!$D$1:$K$1,0)),"")</f>
        <v>6302.93.2000</v>
      </c>
      <c r="G359" s="8">
        <f>_xlfn.IFNA(INDEX('HS Codes'!$D$2:$K2913,MATCH($B359,'HS Codes'!$A$2:$A2913,0),MATCH(G$1,'HS Codes'!$D$1:$K$1,0)),"")</f>
        <v>6302600090</v>
      </c>
      <c r="H359" s="8" t="str">
        <f>_xlfn.IFNA(INDEX('HS Codes'!$D$2:$K2913,MATCH($B359,'HS Codes'!$A$2:$A2913,0),MATCH(H$1,'HS Codes'!$D$1:$K$1,0)),"")</f>
        <v>6302.93.00.00</v>
      </c>
      <c r="I359" s="8">
        <f>_xlfn.IFNA(INDEX('HS Codes'!$D$2:$K2913,MATCH($B359,'HS Codes'!$A$2:$A2913,0),MATCH(I$1,'HS Codes'!$D$1:$K$1,0)),"")</f>
        <v>63029390</v>
      </c>
      <c r="J359" s="8">
        <f>_xlfn.IFNA(INDEX('HS Codes'!$D$2:$K2913,MATCH($B359,'HS Codes'!$A$2:$A2913,0),MATCH(J$1,'HS Codes'!$D$1:$K$1,0)),"")</f>
        <v>0</v>
      </c>
      <c r="K359" s="8" t="str">
        <f>_xlfn.IFNA(INDEX('HS Codes'!$D$2:$K2913,MATCH($B359,'HS Codes'!$A$2:$A2913,0),MATCH(K$1,'HS Codes'!$D$1:$K$1,0)),"")</f>
        <v>6302.39.00</v>
      </c>
      <c r="L359" s="8">
        <f>_xlfn.IFNA(INDEX('HS Codes'!$D$2:$K2913,MATCH($B359,'HS Codes'!$A$2:$A2913,0),MATCH(L$1,'HS Codes'!$D$1:$K$1,0)),"")</f>
        <v>63029120</v>
      </c>
      <c r="M359" s="8" t="str">
        <f>_xlfn.IFNA(INDEX('HS Codes'!$C$2:$C2913,MATCH($B359,'HS Codes'!$A$2:$A2913,0)),"")</f>
        <v>Beach Towel - Toilet Linen 100% recycled 220 GSM/83% polyester/17% polyamide includes cotton on the packing pouch drawstring</v>
      </c>
      <c r="N359" s="9"/>
      <c r="O359" s="9"/>
      <c r="P359" s="9"/>
      <c r="Q359" s="9"/>
    </row>
    <row r="360" spans="1:17" ht="15.75" customHeight="1">
      <c r="A360" s="7" t="s">
        <v>648</v>
      </c>
      <c r="B360" s="7" t="s">
        <v>164</v>
      </c>
      <c r="C360" s="7" t="s">
        <v>278</v>
      </c>
      <c r="D360" s="7" t="s">
        <v>165</v>
      </c>
      <c r="E360" s="7" t="s">
        <v>348</v>
      </c>
      <c r="F360" s="8" t="str">
        <f>_xlfn.IFNA(INDEX('HS Codes'!$D$2:$K2914,MATCH($B360,'HS Codes'!$A$2:$A2914,0),MATCH(F$1,'HS Codes'!$D$1:$K$1,0)),"")</f>
        <v>6302.93.2000</v>
      </c>
      <c r="G360" s="8">
        <f>_xlfn.IFNA(INDEX('HS Codes'!$D$2:$K2914,MATCH($B360,'HS Codes'!$A$2:$A2914,0),MATCH(G$1,'HS Codes'!$D$1:$K$1,0)),"")</f>
        <v>6302600090</v>
      </c>
      <c r="H360" s="8" t="str">
        <f>_xlfn.IFNA(INDEX('HS Codes'!$D$2:$K2914,MATCH($B360,'HS Codes'!$A$2:$A2914,0),MATCH(H$1,'HS Codes'!$D$1:$K$1,0)),"")</f>
        <v>6302.93.00.00</v>
      </c>
      <c r="I360" s="8">
        <f>_xlfn.IFNA(INDEX('HS Codes'!$D$2:$K2914,MATCH($B360,'HS Codes'!$A$2:$A2914,0),MATCH(I$1,'HS Codes'!$D$1:$K$1,0)),"")</f>
        <v>63029390</v>
      </c>
      <c r="J360" s="8">
        <f>_xlfn.IFNA(INDEX('HS Codes'!$D$2:$K2914,MATCH($B360,'HS Codes'!$A$2:$A2914,0),MATCH(J$1,'HS Codes'!$D$1:$K$1,0)),"")</f>
        <v>0</v>
      </c>
      <c r="K360" s="8" t="str">
        <f>_xlfn.IFNA(INDEX('HS Codes'!$D$2:$K2914,MATCH($B360,'HS Codes'!$A$2:$A2914,0),MATCH(K$1,'HS Codes'!$D$1:$K$1,0)),"")</f>
        <v>6302.39.00</v>
      </c>
      <c r="L360" s="8">
        <f>_xlfn.IFNA(INDEX('HS Codes'!$D$2:$K2914,MATCH($B360,'HS Codes'!$A$2:$A2914,0),MATCH(L$1,'HS Codes'!$D$1:$K$1,0)),"")</f>
        <v>63029120</v>
      </c>
      <c r="M360" s="8" t="str">
        <f>_xlfn.IFNA(INDEX('HS Codes'!$C$2:$C2914,MATCH($B360,'HS Codes'!$A$2:$A2914,0)),"")</f>
        <v>Beach Towel - Toilet Linen 100% recycled 220 GSM/83% polyester/17% polyamide includes cotton on the packing pouch drawstring</v>
      </c>
      <c r="N360" s="9"/>
      <c r="O360" s="9"/>
      <c r="P360" s="9"/>
      <c r="Q360" s="9"/>
    </row>
    <row r="361" spans="1:17" ht="15.75" customHeight="1">
      <c r="A361" s="7" t="s">
        <v>649</v>
      </c>
      <c r="B361" s="7" t="s">
        <v>164</v>
      </c>
      <c r="C361" s="7" t="s">
        <v>278</v>
      </c>
      <c r="D361" s="7" t="s">
        <v>165</v>
      </c>
      <c r="E361" s="7" t="s">
        <v>348</v>
      </c>
      <c r="F361" s="8" t="str">
        <f>_xlfn.IFNA(INDEX('HS Codes'!$D$2:$K2915,MATCH($B361,'HS Codes'!$A$2:$A2915,0),MATCH(F$1,'HS Codes'!$D$1:$K$1,0)),"")</f>
        <v>6302.93.2000</v>
      </c>
      <c r="G361" s="8">
        <f>_xlfn.IFNA(INDEX('HS Codes'!$D$2:$K2915,MATCH($B361,'HS Codes'!$A$2:$A2915,0),MATCH(G$1,'HS Codes'!$D$1:$K$1,0)),"")</f>
        <v>6302600090</v>
      </c>
      <c r="H361" s="8" t="str">
        <f>_xlfn.IFNA(INDEX('HS Codes'!$D$2:$K2915,MATCH($B361,'HS Codes'!$A$2:$A2915,0),MATCH(H$1,'HS Codes'!$D$1:$K$1,0)),"")</f>
        <v>6302.93.00.00</v>
      </c>
      <c r="I361" s="8">
        <f>_xlfn.IFNA(INDEX('HS Codes'!$D$2:$K2915,MATCH($B361,'HS Codes'!$A$2:$A2915,0),MATCH(I$1,'HS Codes'!$D$1:$K$1,0)),"")</f>
        <v>63029390</v>
      </c>
      <c r="J361" s="8">
        <f>_xlfn.IFNA(INDEX('HS Codes'!$D$2:$K2915,MATCH($B361,'HS Codes'!$A$2:$A2915,0),MATCH(J$1,'HS Codes'!$D$1:$K$1,0)),"")</f>
        <v>0</v>
      </c>
      <c r="K361" s="8" t="str">
        <f>_xlfn.IFNA(INDEX('HS Codes'!$D$2:$K2915,MATCH($B361,'HS Codes'!$A$2:$A2915,0),MATCH(K$1,'HS Codes'!$D$1:$K$1,0)),"")</f>
        <v>6302.39.00</v>
      </c>
      <c r="L361" s="8">
        <f>_xlfn.IFNA(INDEX('HS Codes'!$D$2:$K2915,MATCH($B361,'HS Codes'!$A$2:$A2915,0),MATCH(L$1,'HS Codes'!$D$1:$K$1,0)),"")</f>
        <v>63029120</v>
      </c>
      <c r="M361" s="8" t="str">
        <f>_xlfn.IFNA(INDEX('HS Codes'!$C$2:$C2915,MATCH($B361,'HS Codes'!$A$2:$A2915,0)),"")</f>
        <v>Beach Towel - Toilet Linen 100% recycled 220 GSM/83% polyester/17% polyamide includes cotton on the packing pouch drawstring</v>
      </c>
      <c r="N361" s="9"/>
      <c r="O361" s="9"/>
      <c r="P361" s="9"/>
      <c r="Q361" s="9"/>
    </row>
    <row r="362" spans="1:17" ht="15.75" customHeight="1">
      <c r="A362" s="7" t="s">
        <v>650</v>
      </c>
      <c r="B362" s="7" t="s">
        <v>164</v>
      </c>
      <c r="C362" s="7" t="s">
        <v>278</v>
      </c>
      <c r="D362" s="7" t="s">
        <v>165</v>
      </c>
      <c r="E362" s="7" t="s">
        <v>348</v>
      </c>
      <c r="F362" s="8" t="str">
        <f>_xlfn.IFNA(INDEX('HS Codes'!$D$2:$K2916,MATCH($B362,'HS Codes'!$A$2:$A2916,0),MATCH(F$1,'HS Codes'!$D$1:$K$1,0)),"")</f>
        <v>6302.93.2000</v>
      </c>
      <c r="G362" s="8">
        <f>_xlfn.IFNA(INDEX('HS Codes'!$D$2:$K2916,MATCH($B362,'HS Codes'!$A$2:$A2916,0),MATCH(G$1,'HS Codes'!$D$1:$K$1,0)),"")</f>
        <v>6302600090</v>
      </c>
      <c r="H362" s="8" t="str">
        <f>_xlfn.IFNA(INDEX('HS Codes'!$D$2:$K2916,MATCH($B362,'HS Codes'!$A$2:$A2916,0),MATCH(H$1,'HS Codes'!$D$1:$K$1,0)),"")</f>
        <v>6302.93.00.00</v>
      </c>
      <c r="I362" s="8">
        <f>_xlfn.IFNA(INDEX('HS Codes'!$D$2:$K2916,MATCH($B362,'HS Codes'!$A$2:$A2916,0),MATCH(I$1,'HS Codes'!$D$1:$K$1,0)),"")</f>
        <v>63029390</v>
      </c>
      <c r="J362" s="8">
        <f>_xlfn.IFNA(INDEX('HS Codes'!$D$2:$K2916,MATCH($B362,'HS Codes'!$A$2:$A2916,0),MATCH(J$1,'HS Codes'!$D$1:$K$1,0)),"")</f>
        <v>0</v>
      </c>
      <c r="K362" s="8" t="str">
        <f>_xlfn.IFNA(INDEX('HS Codes'!$D$2:$K2916,MATCH($B362,'HS Codes'!$A$2:$A2916,0),MATCH(K$1,'HS Codes'!$D$1:$K$1,0)),"")</f>
        <v>6302.39.00</v>
      </c>
      <c r="L362" s="8">
        <f>_xlfn.IFNA(INDEX('HS Codes'!$D$2:$K2916,MATCH($B362,'HS Codes'!$A$2:$A2916,0),MATCH(L$1,'HS Codes'!$D$1:$K$1,0)),"")</f>
        <v>63029120</v>
      </c>
      <c r="M362" s="8" t="str">
        <f>_xlfn.IFNA(INDEX('HS Codes'!$C$2:$C2916,MATCH($B362,'HS Codes'!$A$2:$A2916,0)),"")</f>
        <v>Beach Towel - Toilet Linen 100% recycled 220 GSM/83% polyester/17% polyamide includes cotton on the packing pouch drawstring</v>
      </c>
      <c r="N362" s="9"/>
      <c r="O362" s="9"/>
      <c r="P362" s="9"/>
      <c r="Q362" s="9"/>
    </row>
    <row r="363" spans="1:17" ht="15.75" customHeight="1">
      <c r="A363" s="7" t="s">
        <v>651</v>
      </c>
      <c r="B363" s="7" t="s">
        <v>164</v>
      </c>
      <c r="C363" s="7" t="s">
        <v>278</v>
      </c>
      <c r="D363" s="7" t="s">
        <v>165</v>
      </c>
      <c r="E363" s="7" t="s">
        <v>348</v>
      </c>
      <c r="F363" s="8" t="str">
        <f>_xlfn.IFNA(INDEX('HS Codes'!$D$2:$K2917,MATCH($B363,'HS Codes'!$A$2:$A2917,0),MATCH(F$1,'HS Codes'!$D$1:$K$1,0)),"")</f>
        <v>6302.93.2000</v>
      </c>
      <c r="G363" s="8">
        <f>_xlfn.IFNA(INDEX('HS Codes'!$D$2:$K2917,MATCH($B363,'HS Codes'!$A$2:$A2917,0),MATCH(G$1,'HS Codes'!$D$1:$K$1,0)),"")</f>
        <v>6302600090</v>
      </c>
      <c r="H363" s="8" t="str">
        <f>_xlfn.IFNA(INDEX('HS Codes'!$D$2:$K2917,MATCH($B363,'HS Codes'!$A$2:$A2917,0),MATCH(H$1,'HS Codes'!$D$1:$K$1,0)),"")</f>
        <v>6302.93.00.00</v>
      </c>
      <c r="I363" s="8">
        <f>_xlfn.IFNA(INDEX('HS Codes'!$D$2:$K2917,MATCH($B363,'HS Codes'!$A$2:$A2917,0),MATCH(I$1,'HS Codes'!$D$1:$K$1,0)),"")</f>
        <v>63029390</v>
      </c>
      <c r="J363" s="8">
        <f>_xlfn.IFNA(INDEX('HS Codes'!$D$2:$K2917,MATCH($B363,'HS Codes'!$A$2:$A2917,0),MATCH(J$1,'HS Codes'!$D$1:$K$1,0)),"")</f>
        <v>0</v>
      </c>
      <c r="K363" s="8" t="str">
        <f>_xlfn.IFNA(INDEX('HS Codes'!$D$2:$K2917,MATCH($B363,'HS Codes'!$A$2:$A2917,0),MATCH(K$1,'HS Codes'!$D$1:$K$1,0)),"")</f>
        <v>6302.39.00</v>
      </c>
      <c r="L363" s="8">
        <f>_xlfn.IFNA(INDEX('HS Codes'!$D$2:$K2917,MATCH($B363,'HS Codes'!$A$2:$A2917,0),MATCH(L$1,'HS Codes'!$D$1:$K$1,0)),"")</f>
        <v>63029120</v>
      </c>
      <c r="M363" s="8" t="str">
        <f>_xlfn.IFNA(INDEX('HS Codes'!$C$2:$C2917,MATCH($B363,'HS Codes'!$A$2:$A2917,0)),"")</f>
        <v>Beach Towel - Toilet Linen 100% recycled 220 GSM/83% polyester/17% polyamide includes cotton on the packing pouch drawstring</v>
      </c>
      <c r="N363" s="9"/>
      <c r="O363" s="9"/>
      <c r="P363" s="9"/>
      <c r="Q363" s="9"/>
    </row>
    <row r="364" spans="1:17" ht="15.75" customHeight="1">
      <c r="A364" s="7" t="s">
        <v>652</v>
      </c>
      <c r="B364" s="7" t="s">
        <v>164</v>
      </c>
      <c r="C364" s="7" t="s">
        <v>278</v>
      </c>
      <c r="D364" s="7" t="s">
        <v>165</v>
      </c>
      <c r="E364" s="7" t="s">
        <v>348</v>
      </c>
      <c r="F364" s="8" t="str">
        <f>_xlfn.IFNA(INDEX('HS Codes'!$D$2:$K2918,MATCH($B364,'HS Codes'!$A$2:$A2918,0),MATCH(F$1,'HS Codes'!$D$1:$K$1,0)),"")</f>
        <v>6302.93.2000</v>
      </c>
      <c r="G364" s="8">
        <f>_xlfn.IFNA(INDEX('HS Codes'!$D$2:$K2918,MATCH($B364,'HS Codes'!$A$2:$A2918,0),MATCH(G$1,'HS Codes'!$D$1:$K$1,0)),"")</f>
        <v>6302600090</v>
      </c>
      <c r="H364" s="8" t="str">
        <f>_xlfn.IFNA(INDEX('HS Codes'!$D$2:$K2918,MATCH($B364,'HS Codes'!$A$2:$A2918,0),MATCH(H$1,'HS Codes'!$D$1:$K$1,0)),"")</f>
        <v>6302.93.00.00</v>
      </c>
      <c r="I364" s="8">
        <f>_xlfn.IFNA(INDEX('HS Codes'!$D$2:$K2918,MATCH($B364,'HS Codes'!$A$2:$A2918,0),MATCH(I$1,'HS Codes'!$D$1:$K$1,0)),"")</f>
        <v>63029390</v>
      </c>
      <c r="J364" s="8">
        <f>_xlfn.IFNA(INDEX('HS Codes'!$D$2:$K2918,MATCH($B364,'HS Codes'!$A$2:$A2918,0),MATCH(J$1,'HS Codes'!$D$1:$K$1,0)),"")</f>
        <v>0</v>
      </c>
      <c r="K364" s="8" t="str">
        <f>_xlfn.IFNA(INDEX('HS Codes'!$D$2:$K2918,MATCH($B364,'HS Codes'!$A$2:$A2918,0),MATCH(K$1,'HS Codes'!$D$1:$K$1,0)),"")</f>
        <v>6302.39.00</v>
      </c>
      <c r="L364" s="8">
        <f>_xlfn.IFNA(INDEX('HS Codes'!$D$2:$K2918,MATCH($B364,'HS Codes'!$A$2:$A2918,0),MATCH(L$1,'HS Codes'!$D$1:$K$1,0)),"")</f>
        <v>63029120</v>
      </c>
      <c r="M364" s="8" t="str">
        <f>_xlfn.IFNA(INDEX('HS Codes'!$C$2:$C2918,MATCH($B364,'HS Codes'!$A$2:$A2918,0)),"")</f>
        <v>Beach Towel - Toilet Linen 100% recycled 220 GSM/83% polyester/17% polyamide includes cotton on the packing pouch drawstring</v>
      </c>
      <c r="N364" s="9"/>
      <c r="O364" s="9"/>
      <c r="P364" s="9"/>
      <c r="Q364" s="9"/>
    </row>
    <row r="365" spans="1:17" ht="15.75" customHeight="1">
      <c r="A365" s="7" t="s">
        <v>653</v>
      </c>
      <c r="B365" s="7" t="s">
        <v>164</v>
      </c>
      <c r="C365" s="7" t="s">
        <v>278</v>
      </c>
      <c r="D365" s="7" t="s">
        <v>165</v>
      </c>
      <c r="E365" s="7" t="s">
        <v>348</v>
      </c>
      <c r="F365" s="8" t="str">
        <f>_xlfn.IFNA(INDEX('HS Codes'!$D$2:$K2919,MATCH($B365,'HS Codes'!$A$2:$A2919,0),MATCH(F$1,'HS Codes'!$D$1:$K$1,0)),"")</f>
        <v>6302.93.2000</v>
      </c>
      <c r="G365" s="8">
        <f>_xlfn.IFNA(INDEX('HS Codes'!$D$2:$K2919,MATCH($B365,'HS Codes'!$A$2:$A2919,0),MATCH(G$1,'HS Codes'!$D$1:$K$1,0)),"")</f>
        <v>6302600090</v>
      </c>
      <c r="H365" s="8" t="str">
        <f>_xlfn.IFNA(INDEX('HS Codes'!$D$2:$K2919,MATCH($B365,'HS Codes'!$A$2:$A2919,0),MATCH(H$1,'HS Codes'!$D$1:$K$1,0)),"")</f>
        <v>6302.93.00.00</v>
      </c>
      <c r="I365" s="8">
        <f>_xlfn.IFNA(INDEX('HS Codes'!$D$2:$K2919,MATCH($B365,'HS Codes'!$A$2:$A2919,0),MATCH(I$1,'HS Codes'!$D$1:$K$1,0)),"")</f>
        <v>63029390</v>
      </c>
      <c r="J365" s="8">
        <f>_xlfn.IFNA(INDEX('HS Codes'!$D$2:$K2919,MATCH($B365,'HS Codes'!$A$2:$A2919,0),MATCH(J$1,'HS Codes'!$D$1:$K$1,0)),"")</f>
        <v>0</v>
      </c>
      <c r="K365" s="8" t="str">
        <f>_xlfn.IFNA(INDEX('HS Codes'!$D$2:$K2919,MATCH($B365,'HS Codes'!$A$2:$A2919,0),MATCH(K$1,'HS Codes'!$D$1:$K$1,0)),"")</f>
        <v>6302.39.00</v>
      </c>
      <c r="L365" s="8">
        <f>_xlfn.IFNA(INDEX('HS Codes'!$D$2:$K2919,MATCH($B365,'HS Codes'!$A$2:$A2919,0),MATCH(L$1,'HS Codes'!$D$1:$K$1,0)),"")</f>
        <v>63029120</v>
      </c>
      <c r="M365" s="8" t="str">
        <f>_xlfn.IFNA(INDEX('HS Codes'!$C$2:$C2919,MATCH($B365,'HS Codes'!$A$2:$A2919,0)),"")</f>
        <v>Beach Towel - Toilet Linen 100% recycled 220 GSM/83% polyester/17% polyamide includes cotton on the packing pouch drawstring</v>
      </c>
      <c r="N365" s="9"/>
      <c r="O365" s="9"/>
      <c r="P365" s="9"/>
      <c r="Q365" s="9"/>
    </row>
    <row r="366" spans="1:17" ht="15.75" customHeight="1">
      <c r="A366" s="7" t="s">
        <v>654</v>
      </c>
      <c r="B366" s="7" t="s">
        <v>164</v>
      </c>
      <c r="C366" s="7" t="s">
        <v>278</v>
      </c>
      <c r="D366" s="7" t="s">
        <v>165</v>
      </c>
      <c r="E366" s="7" t="s">
        <v>348</v>
      </c>
      <c r="F366" s="8" t="str">
        <f>_xlfn.IFNA(INDEX('HS Codes'!$D$2:$K2920,MATCH($B366,'HS Codes'!$A$2:$A2920,0),MATCH(F$1,'HS Codes'!$D$1:$K$1,0)),"")</f>
        <v>6302.93.2000</v>
      </c>
      <c r="G366" s="8">
        <f>_xlfn.IFNA(INDEX('HS Codes'!$D$2:$K2920,MATCH($B366,'HS Codes'!$A$2:$A2920,0),MATCH(G$1,'HS Codes'!$D$1:$K$1,0)),"")</f>
        <v>6302600090</v>
      </c>
      <c r="H366" s="8" t="str">
        <f>_xlfn.IFNA(INDEX('HS Codes'!$D$2:$K2920,MATCH($B366,'HS Codes'!$A$2:$A2920,0),MATCH(H$1,'HS Codes'!$D$1:$K$1,0)),"")</f>
        <v>6302.93.00.00</v>
      </c>
      <c r="I366" s="8">
        <f>_xlfn.IFNA(INDEX('HS Codes'!$D$2:$K2920,MATCH($B366,'HS Codes'!$A$2:$A2920,0),MATCH(I$1,'HS Codes'!$D$1:$K$1,0)),"")</f>
        <v>63029390</v>
      </c>
      <c r="J366" s="8">
        <f>_xlfn.IFNA(INDEX('HS Codes'!$D$2:$K2920,MATCH($B366,'HS Codes'!$A$2:$A2920,0),MATCH(J$1,'HS Codes'!$D$1:$K$1,0)),"")</f>
        <v>0</v>
      </c>
      <c r="K366" s="8" t="str">
        <f>_xlfn.IFNA(INDEX('HS Codes'!$D$2:$K2920,MATCH($B366,'HS Codes'!$A$2:$A2920,0),MATCH(K$1,'HS Codes'!$D$1:$K$1,0)),"")</f>
        <v>6302.39.00</v>
      </c>
      <c r="L366" s="8">
        <f>_xlfn.IFNA(INDEX('HS Codes'!$D$2:$K2920,MATCH($B366,'HS Codes'!$A$2:$A2920,0),MATCH(L$1,'HS Codes'!$D$1:$K$1,0)),"")</f>
        <v>63029120</v>
      </c>
      <c r="M366" s="8" t="str">
        <f>_xlfn.IFNA(INDEX('HS Codes'!$C$2:$C2920,MATCH($B366,'HS Codes'!$A$2:$A2920,0)),"")</f>
        <v>Beach Towel - Toilet Linen 100% recycled 220 GSM/83% polyester/17% polyamide includes cotton on the packing pouch drawstring</v>
      </c>
      <c r="N366" s="9"/>
      <c r="O366" s="9"/>
      <c r="P366" s="9"/>
      <c r="Q366" s="9"/>
    </row>
    <row r="367" spans="1:17" ht="15.75" customHeight="1">
      <c r="A367" s="7" t="s">
        <v>655</v>
      </c>
      <c r="B367" s="7" t="s">
        <v>164</v>
      </c>
      <c r="C367" s="7" t="s">
        <v>278</v>
      </c>
      <c r="D367" s="7" t="s">
        <v>165</v>
      </c>
      <c r="E367" s="7" t="s">
        <v>348</v>
      </c>
      <c r="F367" s="8" t="str">
        <f>_xlfn.IFNA(INDEX('HS Codes'!$D$2:$K2921,MATCH($B367,'HS Codes'!$A$2:$A2921,0),MATCH(F$1,'HS Codes'!$D$1:$K$1,0)),"")</f>
        <v>6302.93.2000</v>
      </c>
      <c r="G367" s="8">
        <f>_xlfn.IFNA(INDEX('HS Codes'!$D$2:$K2921,MATCH($B367,'HS Codes'!$A$2:$A2921,0),MATCH(G$1,'HS Codes'!$D$1:$K$1,0)),"")</f>
        <v>6302600090</v>
      </c>
      <c r="H367" s="8" t="str">
        <f>_xlfn.IFNA(INDEX('HS Codes'!$D$2:$K2921,MATCH($B367,'HS Codes'!$A$2:$A2921,0),MATCH(H$1,'HS Codes'!$D$1:$K$1,0)),"")</f>
        <v>6302.93.00.00</v>
      </c>
      <c r="I367" s="8">
        <f>_xlfn.IFNA(INDEX('HS Codes'!$D$2:$K2921,MATCH($B367,'HS Codes'!$A$2:$A2921,0),MATCH(I$1,'HS Codes'!$D$1:$K$1,0)),"")</f>
        <v>63029390</v>
      </c>
      <c r="J367" s="8">
        <f>_xlfn.IFNA(INDEX('HS Codes'!$D$2:$K2921,MATCH($B367,'HS Codes'!$A$2:$A2921,0),MATCH(J$1,'HS Codes'!$D$1:$K$1,0)),"")</f>
        <v>0</v>
      </c>
      <c r="K367" s="8" t="str">
        <f>_xlfn.IFNA(INDEX('HS Codes'!$D$2:$K2921,MATCH($B367,'HS Codes'!$A$2:$A2921,0),MATCH(K$1,'HS Codes'!$D$1:$K$1,0)),"")</f>
        <v>6302.39.00</v>
      </c>
      <c r="L367" s="8">
        <f>_xlfn.IFNA(INDEX('HS Codes'!$D$2:$K2921,MATCH($B367,'HS Codes'!$A$2:$A2921,0),MATCH(L$1,'HS Codes'!$D$1:$K$1,0)),"")</f>
        <v>63029120</v>
      </c>
      <c r="M367" s="8" t="str">
        <f>_xlfn.IFNA(INDEX('HS Codes'!$C$2:$C2921,MATCH($B367,'HS Codes'!$A$2:$A2921,0)),"")</f>
        <v>Beach Towel - Toilet Linen 100% recycled 220 GSM/83% polyester/17% polyamide includes cotton on the packing pouch drawstring</v>
      </c>
      <c r="N367" s="9"/>
      <c r="O367" s="9"/>
      <c r="P367" s="9"/>
      <c r="Q367" s="9"/>
    </row>
    <row r="368" spans="1:17" ht="15.75" customHeight="1">
      <c r="A368" s="7" t="s">
        <v>656</v>
      </c>
      <c r="B368" s="7" t="s">
        <v>164</v>
      </c>
      <c r="C368" s="7" t="s">
        <v>278</v>
      </c>
      <c r="D368" s="7" t="s">
        <v>165</v>
      </c>
      <c r="E368" s="7" t="s">
        <v>348</v>
      </c>
      <c r="F368" s="8" t="str">
        <f>_xlfn.IFNA(INDEX('HS Codes'!$D$2:$K2922,MATCH($B368,'HS Codes'!$A$2:$A2922,0),MATCH(F$1,'HS Codes'!$D$1:$K$1,0)),"")</f>
        <v>6302.93.2000</v>
      </c>
      <c r="G368" s="8">
        <f>_xlfn.IFNA(INDEX('HS Codes'!$D$2:$K2922,MATCH($B368,'HS Codes'!$A$2:$A2922,0),MATCH(G$1,'HS Codes'!$D$1:$K$1,0)),"")</f>
        <v>6302600090</v>
      </c>
      <c r="H368" s="8" t="str">
        <f>_xlfn.IFNA(INDEX('HS Codes'!$D$2:$K2922,MATCH($B368,'HS Codes'!$A$2:$A2922,0),MATCH(H$1,'HS Codes'!$D$1:$K$1,0)),"")</f>
        <v>6302.93.00.00</v>
      </c>
      <c r="I368" s="8">
        <f>_xlfn.IFNA(INDEX('HS Codes'!$D$2:$K2922,MATCH($B368,'HS Codes'!$A$2:$A2922,0),MATCH(I$1,'HS Codes'!$D$1:$K$1,0)),"")</f>
        <v>63029390</v>
      </c>
      <c r="J368" s="8">
        <f>_xlfn.IFNA(INDEX('HS Codes'!$D$2:$K2922,MATCH($B368,'HS Codes'!$A$2:$A2922,0),MATCH(J$1,'HS Codes'!$D$1:$K$1,0)),"")</f>
        <v>0</v>
      </c>
      <c r="K368" s="8" t="str">
        <f>_xlfn.IFNA(INDEX('HS Codes'!$D$2:$K2922,MATCH($B368,'HS Codes'!$A$2:$A2922,0),MATCH(K$1,'HS Codes'!$D$1:$K$1,0)),"")</f>
        <v>6302.39.00</v>
      </c>
      <c r="L368" s="8">
        <f>_xlfn.IFNA(INDEX('HS Codes'!$D$2:$K2922,MATCH($B368,'HS Codes'!$A$2:$A2922,0),MATCH(L$1,'HS Codes'!$D$1:$K$1,0)),"")</f>
        <v>63029120</v>
      </c>
      <c r="M368" s="8" t="str">
        <f>_xlfn.IFNA(INDEX('HS Codes'!$C$2:$C2922,MATCH($B368,'HS Codes'!$A$2:$A2922,0)),"")</f>
        <v>Beach Towel - Toilet Linen 100% recycled 220 GSM/83% polyester/17% polyamide includes cotton on the packing pouch drawstring</v>
      </c>
      <c r="N368" s="9"/>
      <c r="O368" s="9"/>
      <c r="P368" s="9"/>
      <c r="Q368" s="9"/>
    </row>
    <row r="369" spans="1:17" ht="15.75" customHeight="1">
      <c r="A369" s="7" t="s">
        <v>657</v>
      </c>
      <c r="B369" s="7" t="s">
        <v>164</v>
      </c>
      <c r="C369" s="7" t="s">
        <v>278</v>
      </c>
      <c r="D369" s="7" t="s">
        <v>165</v>
      </c>
      <c r="E369" s="7" t="s">
        <v>348</v>
      </c>
      <c r="F369" s="8" t="str">
        <f>_xlfn.IFNA(INDEX('HS Codes'!$D$2:$K2923,MATCH($B369,'HS Codes'!$A$2:$A2923,0),MATCH(F$1,'HS Codes'!$D$1:$K$1,0)),"")</f>
        <v>6302.93.2000</v>
      </c>
      <c r="G369" s="8">
        <f>_xlfn.IFNA(INDEX('HS Codes'!$D$2:$K2923,MATCH($B369,'HS Codes'!$A$2:$A2923,0),MATCH(G$1,'HS Codes'!$D$1:$K$1,0)),"")</f>
        <v>6302600090</v>
      </c>
      <c r="H369" s="8" t="str">
        <f>_xlfn.IFNA(INDEX('HS Codes'!$D$2:$K2923,MATCH($B369,'HS Codes'!$A$2:$A2923,0),MATCH(H$1,'HS Codes'!$D$1:$K$1,0)),"")</f>
        <v>6302.93.00.00</v>
      </c>
      <c r="I369" s="8">
        <f>_xlfn.IFNA(INDEX('HS Codes'!$D$2:$K2923,MATCH($B369,'HS Codes'!$A$2:$A2923,0),MATCH(I$1,'HS Codes'!$D$1:$K$1,0)),"")</f>
        <v>63029390</v>
      </c>
      <c r="J369" s="8">
        <f>_xlfn.IFNA(INDEX('HS Codes'!$D$2:$K2923,MATCH($B369,'HS Codes'!$A$2:$A2923,0),MATCH(J$1,'HS Codes'!$D$1:$K$1,0)),"")</f>
        <v>0</v>
      </c>
      <c r="K369" s="8" t="str">
        <f>_xlfn.IFNA(INDEX('HS Codes'!$D$2:$K2923,MATCH($B369,'HS Codes'!$A$2:$A2923,0),MATCH(K$1,'HS Codes'!$D$1:$K$1,0)),"")</f>
        <v>6302.39.00</v>
      </c>
      <c r="L369" s="8">
        <f>_xlfn.IFNA(INDEX('HS Codes'!$D$2:$K2923,MATCH($B369,'HS Codes'!$A$2:$A2923,0),MATCH(L$1,'HS Codes'!$D$1:$K$1,0)),"")</f>
        <v>63029120</v>
      </c>
      <c r="M369" s="8" t="str">
        <f>_xlfn.IFNA(INDEX('HS Codes'!$C$2:$C2923,MATCH($B369,'HS Codes'!$A$2:$A2923,0)),"")</f>
        <v>Beach Towel - Toilet Linen 100% recycled 220 GSM/83% polyester/17% polyamide includes cotton on the packing pouch drawstring</v>
      </c>
      <c r="N369" s="9"/>
      <c r="O369" s="9"/>
      <c r="P369" s="9"/>
      <c r="Q369" s="9"/>
    </row>
    <row r="370" spans="1:17" ht="15.75" customHeight="1">
      <c r="A370" s="7" t="s">
        <v>658</v>
      </c>
      <c r="B370" s="7" t="s">
        <v>164</v>
      </c>
      <c r="C370" s="7" t="s">
        <v>278</v>
      </c>
      <c r="D370" s="7" t="s">
        <v>165</v>
      </c>
      <c r="E370" s="7" t="s">
        <v>348</v>
      </c>
      <c r="F370" s="8" t="str">
        <f>_xlfn.IFNA(INDEX('HS Codes'!$D$2:$K2924,MATCH($B370,'HS Codes'!$A$2:$A2924,0),MATCH(F$1,'HS Codes'!$D$1:$K$1,0)),"")</f>
        <v>6302.93.2000</v>
      </c>
      <c r="G370" s="8">
        <f>_xlfn.IFNA(INDEX('HS Codes'!$D$2:$K2924,MATCH($B370,'HS Codes'!$A$2:$A2924,0),MATCH(G$1,'HS Codes'!$D$1:$K$1,0)),"")</f>
        <v>6302600090</v>
      </c>
      <c r="H370" s="8" t="str">
        <f>_xlfn.IFNA(INDEX('HS Codes'!$D$2:$K2924,MATCH($B370,'HS Codes'!$A$2:$A2924,0),MATCH(H$1,'HS Codes'!$D$1:$K$1,0)),"")</f>
        <v>6302.93.00.00</v>
      </c>
      <c r="I370" s="8">
        <f>_xlfn.IFNA(INDEX('HS Codes'!$D$2:$K2924,MATCH($B370,'HS Codes'!$A$2:$A2924,0),MATCH(I$1,'HS Codes'!$D$1:$K$1,0)),"")</f>
        <v>63029390</v>
      </c>
      <c r="J370" s="8">
        <f>_xlfn.IFNA(INDEX('HS Codes'!$D$2:$K2924,MATCH($B370,'HS Codes'!$A$2:$A2924,0),MATCH(J$1,'HS Codes'!$D$1:$K$1,0)),"")</f>
        <v>0</v>
      </c>
      <c r="K370" s="8" t="str">
        <f>_xlfn.IFNA(INDEX('HS Codes'!$D$2:$K2924,MATCH($B370,'HS Codes'!$A$2:$A2924,0),MATCH(K$1,'HS Codes'!$D$1:$K$1,0)),"")</f>
        <v>6302.39.00</v>
      </c>
      <c r="L370" s="8">
        <f>_xlfn.IFNA(INDEX('HS Codes'!$D$2:$K2924,MATCH($B370,'HS Codes'!$A$2:$A2924,0),MATCH(L$1,'HS Codes'!$D$1:$K$1,0)),"")</f>
        <v>63029120</v>
      </c>
      <c r="M370" s="8" t="str">
        <f>_xlfn.IFNA(INDEX('HS Codes'!$C$2:$C2924,MATCH($B370,'HS Codes'!$A$2:$A2924,0)),"")</f>
        <v>Beach Towel - Toilet Linen 100% recycled 220 GSM/83% polyester/17% polyamide includes cotton on the packing pouch drawstring</v>
      </c>
      <c r="N370" s="9"/>
      <c r="O370" s="9"/>
      <c r="P370" s="9"/>
      <c r="Q370" s="9"/>
    </row>
    <row r="371" spans="1:17" ht="15.75" customHeight="1">
      <c r="A371" s="7" t="s">
        <v>659</v>
      </c>
      <c r="B371" s="7" t="s">
        <v>164</v>
      </c>
      <c r="C371" s="7" t="s">
        <v>278</v>
      </c>
      <c r="D371" s="7" t="s">
        <v>165</v>
      </c>
      <c r="E371" s="7" t="s">
        <v>348</v>
      </c>
      <c r="F371" s="8" t="str">
        <f>_xlfn.IFNA(INDEX('HS Codes'!$D$2:$K2925,MATCH($B371,'HS Codes'!$A$2:$A2925,0),MATCH(F$1,'HS Codes'!$D$1:$K$1,0)),"")</f>
        <v>6302.93.2000</v>
      </c>
      <c r="G371" s="8">
        <f>_xlfn.IFNA(INDEX('HS Codes'!$D$2:$K2925,MATCH($B371,'HS Codes'!$A$2:$A2925,0),MATCH(G$1,'HS Codes'!$D$1:$K$1,0)),"")</f>
        <v>6302600090</v>
      </c>
      <c r="H371" s="8" t="str">
        <f>_xlfn.IFNA(INDEX('HS Codes'!$D$2:$K2925,MATCH($B371,'HS Codes'!$A$2:$A2925,0),MATCH(H$1,'HS Codes'!$D$1:$K$1,0)),"")</f>
        <v>6302.93.00.00</v>
      </c>
      <c r="I371" s="8">
        <f>_xlfn.IFNA(INDEX('HS Codes'!$D$2:$K2925,MATCH($B371,'HS Codes'!$A$2:$A2925,0),MATCH(I$1,'HS Codes'!$D$1:$K$1,0)),"")</f>
        <v>63029390</v>
      </c>
      <c r="J371" s="8">
        <f>_xlfn.IFNA(INDEX('HS Codes'!$D$2:$K2925,MATCH($B371,'HS Codes'!$A$2:$A2925,0),MATCH(J$1,'HS Codes'!$D$1:$K$1,0)),"")</f>
        <v>0</v>
      </c>
      <c r="K371" s="8" t="str">
        <f>_xlfn.IFNA(INDEX('HS Codes'!$D$2:$K2925,MATCH($B371,'HS Codes'!$A$2:$A2925,0),MATCH(K$1,'HS Codes'!$D$1:$K$1,0)),"")</f>
        <v>6302.39.00</v>
      </c>
      <c r="L371" s="8">
        <f>_xlfn.IFNA(INDEX('HS Codes'!$D$2:$K2925,MATCH($B371,'HS Codes'!$A$2:$A2925,0),MATCH(L$1,'HS Codes'!$D$1:$K$1,0)),"")</f>
        <v>63029120</v>
      </c>
      <c r="M371" s="8" t="str">
        <f>_xlfn.IFNA(INDEX('HS Codes'!$C$2:$C2925,MATCH($B371,'HS Codes'!$A$2:$A2925,0)),"")</f>
        <v>Beach Towel - Toilet Linen 100% recycled 220 GSM/83% polyester/17% polyamide includes cotton on the packing pouch drawstring</v>
      </c>
      <c r="N371" s="9"/>
      <c r="O371" s="9"/>
      <c r="P371" s="9"/>
      <c r="Q371" s="9"/>
    </row>
    <row r="372" spans="1:17" ht="15.75" customHeight="1">
      <c r="A372" s="7" t="s">
        <v>660</v>
      </c>
      <c r="B372" s="7" t="s">
        <v>164</v>
      </c>
      <c r="C372" s="7" t="s">
        <v>278</v>
      </c>
      <c r="D372" s="7" t="s">
        <v>165</v>
      </c>
      <c r="E372" s="7" t="s">
        <v>348</v>
      </c>
      <c r="F372" s="8" t="str">
        <f>_xlfn.IFNA(INDEX('HS Codes'!$D$2:$K2926,MATCH($B372,'HS Codes'!$A$2:$A2926,0),MATCH(F$1,'HS Codes'!$D$1:$K$1,0)),"")</f>
        <v>6302.93.2000</v>
      </c>
      <c r="G372" s="8">
        <f>_xlfn.IFNA(INDEX('HS Codes'!$D$2:$K2926,MATCH($B372,'HS Codes'!$A$2:$A2926,0),MATCH(G$1,'HS Codes'!$D$1:$K$1,0)),"")</f>
        <v>6302600090</v>
      </c>
      <c r="H372" s="8" t="str">
        <f>_xlfn.IFNA(INDEX('HS Codes'!$D$2:$K2926,MATCH($B372,'HS Codes'!$A$2:$A2926,0),MATCH(H$1,'HS Codes'!$D$1:$K$1,0)),"")</f>
        <v>6302.93.00.00</v>
      </c>
      <c r="I372" s="8">
        <f>_xlfn.IFNA(INDEX('HS Codes'!$D$2:$K2926,MATCH($B372,'HS Codes'!$A$2:$A2926,0),MATCH(I$1,'HS Codes'!$D$1:$K$1,0)),"")</f>
        <v>63029390</v>
      </c>
      <c r="J372" s="8">
        <f>_xlfn.IFNA(INDEX('HS Codes'!$D$2:$K2926,MATCH($B372,'HS Codes'!$A$2:$A2926,0),MATCH(J$1,'HS Codes'!$D$1:$K$1,0)),"")</f>
        <v>0</v>
      </c>
      <c r="K372" s="8" t="str">
        <f>_xlfn.IFNA(INDEX('HS Codes'!$D$2:$K2926,MATCH($B372,'HS Codes'!$A$2:$A2926,0),MATCH(K$1,'HS Codes'!$D$1:$K$1,0)),"")</f>
        <v>6302.39.00</v>
      </c>
      <c r="L372" s="8">
        <f>_xlfn.IFNA(INDEX('HS Codes'!$D$2:$K2926,MATCH($B372,'HS Codes'!$A$2:$A2926,0),MATCH(L$1,'HS Codes'!$D$1:$K$1,0)),"")</f>
        <v>63029120</v>
      </c>
      <c r="M372" s="8" t="str">
        <f>_xlfn.IFNA(INDEX('HS Codes'!$C$2:$C2926,MATCH($B372,'HS Codes'!$A$2:$A2926,0)),"")</f>
        <v>Beach Towel - Toilet Linen 100% recycled 220 GSM/83% polyester/17% polyamide includes cotton on the packing pouch drawstring</v>
      </c>
      <c r="N372" s="9"/>
      <c r="O372" s="9"/>
      <c r="P372" s="9"/>
      <c r="Q372" s="9"/>
    </row>
    <row r="373" spans="1:17" ht="15.75" customHeight="1">
      <c r="A373" s="7" t="s">
        <v>661</v>
      </c>
      <c r="B373" s="7" t="s">
        <v>164</v>
      </c>
      <c r="C373" s="7" t="s">
        <v>278</v>
      </c>
      <c r="D373" s="7" t="s">
        <v>165</v>
      </c>
      <c r="E373" s="7" t="s">
        <v>348</v>
      </c>
      <c r="F373" s="8" t="str">
        <f>_xlfn.IFNA(INDEX('HS Codes'!$D$2:$K2927,MATCH($B373,'HS Codes'!$A$2:$A2927,0),MATCH(F$1,'HS Codes'!$D$1:$K$1,0)),"")</f>
        <v>6302.93.2000</v>
      </c>
      <c r="G373" s="8">
        <f>_xlfn.IFNA(INDEX('HS Codes'!$D$2:$K2927,MATCH($B373,'HS Codes'!$A$2:$A2927,0),MATCH(G$1,'HS Codes'!$D$1:$K$1,0)),"")</f>
        <v>6302600090</v>
      </c>
      <c r="H373" s="8" t="str">
        <f>_xlfn.IFNA(INDEX('HS Codes'!$D$2:$K2927,MATCH($B373,'HS Codes'!$A$2:$A2927,0),MATCH(H$1,'HS Codes'!$D$1:$K$1,0)),"")</f>
        <v>6302.93.00.00</v>
      </c>
      <c r="I373" s="8">
        <f>_xlfn.IFNA(INDEX('HS Codes'!$D$2:$K2927,MATCH($B373,'HS Codes'!$A$2:$A2927,0),MATCH(I$1,'HS Codes'!$D$1:$K$1,0)),"")</f>
        <v>63029390</v>
      </c>
      <c r="J373" s="8">
        <f>_xlfn.IFNA(INDEX('HS Codes'!$D$2:$K2927,MATCH($B373,'HS Codes'!$A$2:$A2927,0),MATCH(J$1,'HS Codes'!$D$1:$K$1,0)),"")</f>
        <v>0</v>
      </c>
      <c r="K373" s="8" t="str">
        <f>_xlfn.IFNA(INDEX('HS Codes'!$D$2:$K2927,MATCH($B373,'HS Codes'!$A$2:$A2927,0),MATCH(K$1,'HS Codes'!$D$1:$K$1,0)),"")</f>
        <v>6302.39.00</v>
      </c>
      <c r="L373" s="8">
        <f>_xlfn.IFNA(INDEX('HS Codes'!$D$2:$K2927,MATCH($B373,'HS Codes'!$A$2:$A2927,0),MATCH(L$1,'HS Codes'!$D$1:$K$1,0)),"")</f>
        <v>63029120</v>
      </c>
      <c r="M373" s="8" t="str">
        <f>_xlfn.IFNA(INDEX('HS Codes'!$C$2:$C2927,MATCH($B373,'HS Codes'!$A$2:$A2927,0)),"")</f>
        <v>Beach Towel - Toilet Linen 100% recycled 220 GSM/83% polyester/17% polyamide includes cotton on the packing pouch drawstring</v>
      </c>
      <c r="N373" s="9"/>
      <c r="O373" s="9"/>
      <c r="P373" s="9"/>
      <c r="Q373" s="9"/>
    </row>
    <row r="374" spans="1:17" ht="15.75" customHeight="1">
      <c r="A374" s="7" t="s">
        <v>662</v>
      </c>
      <c r="B374" s="7" t="s">
        <v>164</v>
      </c>
      <c r="C374" s="7" t="s">
        <v>278</v>
      </c>
      <c r="D374" s="7" t="s">
        <v>165</v>
      </c>
      <c r="E374" s="7" t="s">
        <v>348</v>
      </c>
      <c r="F374" s="8" t="str">
        <f>_xlfn.IFNA(INDEX('HS Codes'!$D$2:$K2928,MATCH($B374,'HS Codes'!$A$2:$A2928,0),MATCH(F$1,'HS Codes'!$D$1:$K$1,0)),"")</f>
        <v>6302.93.2000</v>
      </c>
      <c r="G374" s="8">
        <f>_xlfn.IFNA(INDEX('HS Codes'!$D$2:$K2928,MATCH($B374,'HS Codes'!$A$2:$A2928,0),MATCH(G$1,'HS Codes'!$D$1:$K$1,0)),"")</f>
        <v>6302600090</v>
      </c>
      <c r="H374" s="8" t="str">
        <f>_xlfn.IFNA(INDEX('HS Codes'!$D$2:$K2928,MATCH($B374,'HS Codes'!$A$2:$A2928,0),MATCH(H$1,'HS Codes'!$D$1:$K$1,0)),"")</f>
        <v>6302.93.00.00</v>
      </c>
      <c r="I374" s="8">
        <f>_xlfn.IFNA(INDEX('HS Codes'!$D$2:$K2928,MATCH($B374,'HS Codes'!$A$2:$A2928,0),MATCH(I$1,'HS Codes'!$D$1:$K$1,0)),"")</f>
        <v>63029390</v>
      </c>
      <c r="J374" s="8">
        <f>_xlfn.IFNA(INDEX('HS Codes'!$D$2:$K2928,MATCH($B374,'HS Codes'!$A$2:$A2928,0),MATCH(J$1,'HS Codes'!$D$1:$K$1,0)),"")</f>
        <v>0</v>
      </c>
      <c r="K374" s="8" t="str">
        <f>_xlfn.IFNA(INDEX('HS Codes'!$D$2:$K2928,MATCH($B374,'HS Codes'!$A$2:$A2928,0),MATCH(K$1,'HS Codes'!$D$1:$K$1,0)),"")</f>
        <v>6302.39.00</v>
      </c>
      <c r="L374" s="8">
        <f>_xlfn.IFNA(INDEX('HS Codes'!$D$2:$K2928,MATCH($B374,'HS Codes'!$A$2:$A2928,0),MATCH(L$1,'HS Codes'!$D$1:$K$1,0)),"")</f>
        <v>63029120</v>
      </c>
      <c r="M374" s="8" t="str">
        <f>_xlfn.IFNA(INDEX('HS Codes'!$C$2:$C2928,MATCH($B374,'HS Codes'!$A$2:$A2928,0)),"")</f>
        <v>Beach Towel - Toilet Linen 100% recycled 220 GSM/83% polyester/17% polyamide includes cotton on the packing pouch drawstring</v>
      </c>
      <c r="N374" s="9"/>
      <c r="O374" s="9"/>
      <c r="P374" s="9"/>
      <c r="Q374" s="9"/>
    </row>
    <row r="375" spans="1:17" ht="15.75" customHeight="1">
      <c r="A375" s="7" t="s">
        <v>663</v>
      </c>
      <c r="B375" s="7" t="s">
        <v>164</v>
      </c>
      <c r="C375" s="7" t="s">
        <v>278</v>
      </c>
      <c r="D375" s="7" t="s">
        <v>165</v>
      </c>
      <c r="E375" s="7" t="s">
        <v>348</v>
      </c>
      <c r="F375" s="8" t="str">
        <f>_xlfn.IFNA(INDEX('HS Codes'!$D$2:$K2929,MATCH($B375,'HS Codes'!$A$2:$A2929,0),MATCH(F$1,'HS Codes'!$D$1:$K$1,0)),"")</f>
        <v>6302.93.2000</v>
      </c>
      <c r="G375" s="8">
        <f>_xlfn.IFNA(INDEX('HS Codes'!$D$2:$K2929,MATCH($B375,'HS Codes'!$A$2:$A2929,0),MATCH(G$1,'HS Codes'!$D$1:$K$1,0)),"")</f>
        <v>6302600090</v>
      </c>
      <c r="H375" s="8" t="str">
        <f>_xlfn.IFNA(INDEX('HS Codes'!$D$2:$K2929,MATCH($B375,'HS Codes'!$A$2:$A2929,0),MATCH(H$1,'HS Codes'!$D$1:$K$1,0)),"")</f>
        <v>6302.93.00.00</v>
      </c>
      <c r="I375" s="8">
        <f>_xlfn.IFNA(INDEX('HS Codes'!$D$2:$K2929,MATCH($B375,'HS Codes'!$A$2:$A2929,0),MATCH(I$1,'HS Codes'!$D$1:$K$1,0)),"")</f>
        <v>63029390</v>
      </c>
      <c r="J375" s="8">
        <f>_xlfn.IFNA(INDEX('HS Codes'!$D$2:$K2929,MATCH($B375,'HS Codes'!$A$2:$A2929,0),MATCH(J$1,'HS Codes'!$D$1:$K$1,0)),"")</f>
        <v>0</v>
      </c>
      <c r="K375" s="8" t="str">
        <f>_xlfn.IFNA(INDEX('HS Codes'!$D$2:$K2929,MATCH($B375,'HS Codes'!$A$2:$A2929,0),MATCH(K$1,'HS Codes'!$D$1:$K$1,0)),"")</f>
        <v>6302.39.00</v>
      </c>
      <c r="L375" s="8">
        <f>_xlfn.IFNA(INDEX('HS Codes'!$D$2:$K2929,MATCH($B375,'HS Codes'!$A$2:$A2929,0),MATCH(L$1,'HS Codes'!$D$1:$K$1,0)),"")</f>
        <v>63029120</v>
      </c>
      <c r="M375" s="8" t="str">
        <f>_xlfn.IFNA(INDEX('HS Codes'!$C$2:$C2929,MATCH($B375,'HS Codes'!$A$2:$A2929,0)),"")</f>
        <v>Beach Towel - Toilet Linen 100% recycled 220 GSM/83% polyester/17% polyamide includes cotton on the packing pouch drawstring</v>
      </c>
      <c r="N375" s="9"/>
      <c r="O375" s="9"/>
      <c r="P375" s="9"/>
      <c r="Q375" s="9"/>
    </row>
    <row r="376" spans="1:17" ht="15.75" customHeight="1">
      <c r="A376" s="7" t="s">
        <v>664</v>
      </c>
      <c r="B376" s="7" t="s">
        <v>164</v>
      </c>
      <c r="C376" s="7" t="s">
        <v>278</v>
      </c>
      <c r="D376" s="7" t="s">
        <v>165</v>
      </c>
      <c r="E376" s="7" t="s">
        <v>348</v>
      </c>
      <c r="F376" s="8" t="str">
        <f>_xlfn.IFNA(INDEX('HS Codes'!$D$2:$K2930,MATCH($B376,'HS Codes'!$A$2:$A2930,0),MATCH(F$1,'HS Codes'!$D$1:$K$1,0)),"")</f>
        <v>6302.93.2000</v>
      </c>
      <c r="G376" s="8">
        <f>_xlfn.IFNA(INDEX('HS Codes'!$D$2:$K2930,MATCH($B376,'HS Codes'!$A$2:$A2930,0),MATCH(G$1,'HS Codes'!$D$1:$K$1,0)),"")</f>
        <v>6302600090</v>
      </c>
      <c r="H376" s="8" t="str">
        <f>_xlfn.IFNA(INDEX('HS Codes'!$D$2:$K2930,MATCH($B376,'HS Codes'!$A$2:$A2930,0),MATCH(H$1,'HS Codes'!$D$1:$K$1,0)),"")</f>
        <v>6302.93.00.00</v>
      </c>
      <c r="I376" s="8">
        <f>_xlfn.IFNA(INDEX('HS Codes'!$D$2:$K2930,MATCH($B376,'HS Codes'!$A$2:$A2930,0),MATCH(I$1,'HS Codes'!$D$1:$K$1,0)),"")</f>
        <v>63029390</v>
      </c>
      <c r="J376" s="8">
        <f>_xlfn.IFNA(INDEX('HS Codes'!$D$2:$K2930,MATCH($B376,'HS Codes'!$A$2:$A2930,0),MATCH(J$1,'HS Codes'!$D$1:$K$1,0)),"")</f>
        <v>0</v>
      </c>
      <c r="K376" s="8" t="str">
        <f>_xlfn.IFNA(INDEX('HS Codes'!$D$2:$K2930,MATCH($B376,'HS Codes'!$A$2:$A2930,0),MATCH(K$1,'HS Codes'!$D$1:$K$1,0)),"")</f>
        <v>6302.39.00</v>
      </c>
      <c r="L376" s="8">
        <f>_xlfn.IFNA(INDEX('HS Codes'!$D$2:$K2930,MATCH($B376,'HS Codes'!$A$2:$A2930,0),MATCH(L$1,'HS Codes'!$D$1:$K$1,0)),"")</f>
        <v>63029120</v>
      </c>
      <c r="M376" s="8" t="str">
        <f>_xlfn.IFNA(INDEX('HS Codes'!$C$2:$C2930,MATCH($B376,'HS Codes'!$A$2:$A2930,0)),"")</f>
        <v>Beach Towel - Toilet Linen 100% recycled 220 GSM/83% polyester/17% polyamide includes cotton on the packing pouch drawstring</v>
      </c>
      <c r="N376" s="9"/>
      <c r="O376" s="9"/>
      <c r="P376" s="9"/>
      <c r="Q376" s="9"/>
    </row>
    <row r="377" spans="1:17" ht="15.75" customHeight="1">
      <c r="A377" s="7" t="s">
        <v>665</v>
      </c>
      <c r="B377" s="7" t="s">
        <v>164</v>
      </c>
      <c r="C377" s="7" t="s">
        <v>278</v>
      </c>
      <c r="D377" s="7" t="s">
        <v>165</v>
      </c>
      <c r="E377" s="7" t="s">
        <v>348</v>
      </c>
      <c r="F377" s="8" t="str">
        <f>_xlfn.IFNA(INDEX('HS Codes'!$D$2:$K2931,MATCH($B377,'HS Codes'!$A$2:$A2931,0),MATCH(F$1,'HS Codes'!$D$1:$K$1,0)),"")</f>
        <v>6302.93.2000</v>
      </c>
      <c r="G377" s="8">
        <f>_xlfn.IFNA(INDEX('HS Codes'!$D$2:$K2931,MATCH($B377,'HS Codes'!$A$2:$A2931,0),MATCH(G$1,'HS Codes'!$D$1:$K$1,0)),"")</f>
        <v>6302600090</v>
      </c>
      <c r="H377" s="8" t="str">
        <f>_xlfn.IFNA(INDEX('HS Codes'!$D$2:$K2931,MATCH($B377,'HS Codes'!$A$2:$A2931,0),MATCH(H$1,'HS Codes'!$D$1:$K$1,0)),"")</f>
        <v>6302.93.00.00</v>
      </c>
      <c r="I377" s="8">
        <f>_xlfn.IFNA(INDEX('HS Codes'!$D$2:$K2931,MATCH($B377,'HS Codes'!$A$2:$A2931,0),MATCH(I$1,'HS Codes'!$D$1:$K$1,0)),"")</f>
        <v>63029390</v>
      </c>
      <c r="J377" s="8">
        <f>_xlfn.IFNA(INDEX('HS Codes'!$D$2:$K2931,MATCH($B377,'HS Codes'!$A$2:$A2931,0),MATCH(J$1,'HS Codes'!$D$1:$K$1,0)),"")</f>
        <v>0</v>
      </c>
      <c r="K377" s="8" t="str">
        <f>_xlfn.IFNA(INDEX('HS Codes'!$D$2:$K2931,MATCH($B377,'HS Codes'!$A$2:$A2931,0),MATCH(K$1,'HS Codes'!$D$1:$K$1,0)),"")</f>
        <v>6302.39.00</v>
      </c>
      <c r="L377" s="8">
        <f>_xlfn.IFNA(INDEX('HS Codes'!$D$2:$K2931,MATCH($B377,'HS Codes'!$A$2:$A2931,0),MATCH(L$1,'HS Codes'!$D$1:$K$1,0)),"")</f>
        <v>63029120</v>
      </c>
      <c r="M377" s="8" t="str">
        <f>_xlfn.IFNA(INDEX('HS Codes'!$C$2:$C2931,MATCH($B377,'HS Codes'!$A$2:$A2931,0)),"")</f>
        <v>Beach Towel - Toilet Linen 100% recycled 220 GSM/83% polyester/17% polyamide includes cotton on the packing pouch drawstring</v>
      </c>
      <c r="N377" s="9"/>
      <c r="O377" s="9"/>
      <c r="P377" s="9"/>
      <c r="Q377" s="9"/>
    </row>
    <row r="378" spans="1:17" ht="15.75" customHeight="1">
      <c r="A378" s="7" t="s">
        <v>666</v>
      </c>
      <c r="B378" s="7" t="s">
        <v>164</v>
      </c>
      <c r="C378" s="7" t="s">
        <v>278</v>
      </c>
      <c r="D378" s="7" t="s">
        <v>165</v>
      </c>
      <c r="E378" s="7" t="s">
        <v>348</v>
      </c>
      <c r="F378" s="8" t="str">
        <f>_xlfn.IFNA(INDEX('HS Codes'!$D$2:$K2932,MATCH($B378,'HS Codes'!$A$2:$A2932,0),MATCH(F$1,'HS Codes'!$D$1:$K$1,0)),"")</f>
        <v>6302.93.2000</v>
      </c>
      <c r="G378" s="8">
        <f>_xlfn.IFNA(INDEX('HS Codes'!$D$2:$K2932,MATCH($B378,'HS Codes'!$A$2:$A2932,0),MATCH(G$1,'HS Codes'!$D$1:$K$1,0)),"")</f>
        <v>6302600090</v>
      </c>
      <c r="H378" s="8" t="str">
        <f>_xlfn.IFNA(INDEX('HS Codes'!$D$2:$K2932,MATCH($B378,'HS Codes'!$A$2:$A2932,0),MATCH(H$1,'HS Codes'!$D$1:$K$1,0)),"")</f>
        <v>6302.93.00.00</v>
      </c>
      <c r="I378" s="8">
        <f>_xlfn.IFNA(INDEX('HS Codes'!$D$2:$K2932,MATCH($B378,'HS Codes'!$A$2:$A2932,0),MATCH(I$1,'HS Codes'!$D$1:$K$1,0)),"")</f>
        <v>63029390</v>
      </c>
      <c r="J378" s="8">
        <f>_xlfn.IFNA(INDEX('HS Codes'!$D$2:$K2932,MATCH($B378,'HS Codes'!$A$2:$A2932,0),MATCH(J$1,'HS Codes'!$D$1:$K$1,0)),"")</f>
        <v>0</v>
      </c>
      <c r="K378" s="8" t="str">
        <f>_xlfn.IFNA(INDEX('HS Codes'!$D$2:$K2932,MATCH($B378,'HS Codes'!$A$2:$A2932,0),MATCH(K$1,'HS Codes'!$D$1:$K$1,0)),"")</f>
        <v>6302.39.00</v>
      </c>
      <c r="L378" s="8">
        <f>_xlfn.IFNA(INDEX('HS Codes'!$D$2:$K2932,MATCH($B378,'HS Codes'!$A$2:$A2932,0),MATCH(L$1,'HS Codes'!$D$1:$K$1,0)),"")</f>
        <v>63029120</v>
      </c>
      <c r="M378" s="8" t="str">
        <f>_xlfn.IFNA(INDEX('HS Codes'!$C$2:$C2932,MATCH($B378,'HS Codes'!$A$2:$A2932,0)),"")</f>
        <v>Beach Towel - Toilet Linen 100% recycled 220 GSM/83% polyester/17% polyamide includes cotton on the packing pouch drawstring</v>
      </c>
      <c r="N378" s="9"/>
      <c r="O378" s="9"/>
      <c r="P378" s="9"/>
      <c r="Q378" s="9"/>
    </row>
    <row r="379" spans="1:17" ht="15.75" customHeight="1">
      <c r="A379" s="7" t="s">
        <v>667</v>
      </c>
      <c r="B379" s="7" t="s">
        <v>164</v>
      </c>
      <c r="C379" s="7" t="s">
        <v>278</v>
      </c>
      <c r="D379" s="7" t="s">
        <v>165</v>
      </c>
      <c r="E379" s="7" t="s">
        <v>348</v>
      </c>
      <c r="F379" s="8" t="str">
        <f>_xlfn.IFNA(INDEX('HS Codes'!$D$2:$K2933,MATCH($B379,'HS Codes'!$A$2:$A2933,0),MATCH(F$1,'HS Codes'!$D$1:$K$1,0)),"")</f>
        <v>6302.93.2000</v>
      </c>
      <c r="G379" s="8">
        <f>_xlfn.IFNA(INDEX('HS Codes'!$D$2:$K2933,MATCH($B379,'HS Codes'!$A$2:$A2933,0),MATCH(G$1,'HS Codes'!$D$1:$K$1,0)),"")</f>
        <v>6302600090</v>
      </c>
      <c r="H379" s="8" t="str">
        <f>_xlfn.IFNA(INDEX('HS Codes'!$D$2:$K2933,MATCH($B379,'HS Codes'!$A$2:$A2933,0),MATCH(H$1,'HS Codes'!$D$1:$K$1,0)),"")</f>
        <v>6302.93.00.00</v>
      </c>
      <c r="I379" s="8">
        <f>_xlfn.IFNA(INDEX('HS Codes'!$D$2:$K2933,MATCH($B379,'HS Codes'!$A$2:$A2933,0),MATCH(I$1,'HS Codes'!$D$1:$K$1,0)),"")</f>
        <v>63029390</v>
      </c>
      <c r="J379" s="8">
        <f>_xlfn.IFNA(INDEX('HS Codes'!$D$2:$K2933,MATCH($B379,'HS Codes'!$A$2:$A2933,0),MATCH(J$1,'HS Codes'!$D$1:$K$1,0)),"")</f>
        <v>0</v>
      </c>
      <c r="K379" s="8" t="str">
        <f>_xlfn.IFNA(INDEX('HS Codes'!$D$2:$K2933,MATCH($B379,'HS Codes'!$A$2:$A2933,0),MATCH(K$1,'HS Codes'!$D$1:$K$1,0)),"")</f>
        <v>6302.39.00</v>
      </c>
      <c r="L379" s="8">
        <f>_xlfn.IFNA(INDEX('HS Codes'!$D$2:$K2933,MATCH($B379,'HS Codes'!$A$2:$A2933,0),MATCH(L$1,'HS Codes'!$D$1:$K$1,0)),"")</f>
        <v>63029120</v>
      </c>
      <c r="M379" s="8" t="str">
        <f>_xlfn.IFNA(INDEX('HS Codes'!$C$2:$C2933,MATCH($B379,'HS Codes'!$A$2:$A2933,0)),"")</f>
        <v>Beach Towel - Toilet Linen 100% recycled 220 GSM/83% polyester/17% polyamide includes cotton on the packing pouch drawstring</v>
      </c>
      <c r="N379" s="9"/>
      <c r="O379" s="9"/>
      <c r="P379" s="9"/>
      <c r="Q379" s="9"/>
    </row>
    <row r="380" spans="1:17" ht="15.75" customHeight="1">
      <c r="A380" s="7" t="s">
        <v>668</v>
      </c>
      <c r="B380" s="7" t="s">
        <v>164</v>
      </c>
      <c r="C380" s="7" t="s">
        <v>278</v>
      </c>
      <c r="D380" s="7" t="s">
        <v>165</v>
      </c>
      <c r="E380" s="7" t="s">
        <v>348</v>
      </c>
      <c r="F380" s="8" t="str">
        <f>_xlfn.IFNA(INDEX('HS Codes'!$D$2:$K2934,MATCH($B380,'HS Codes'!$A$2:$A2934,0),MATCH(F$1,'HS Codes'!$D$1:$K$1,0)),"")</f>
        <v>6302.93.2000</v>
      </c>
      <c r="G380" s="8">
        <f>_xlfn.IFNA(INDEX('HS Codes'!$D$2:$K2934,MATCH($B380,'HS Codes'!$A$2:$A2934,0),MATCH(G$1,'HS Codes'!$D$1:$K$1,0)),"")</f>
        <v>6302600090</v>
      </c>
      <c r="H380" s="8" t="str">
        <f>_xlfn.IFNA(INDEX('HS Codes'!$D$2:$K2934,MATCH($B380,'HS Codes'!$A$2:$A2934,0),MATCH(H$1,'HS Codes'!$D$1:$K$1,0)),"")</f>
        <v>6302.93.00.00</v>
      </c>
      <c r="I380" s="8">
        <f>_xlfn.IFNA(INDEX('HS Codes'!$D$2:$K2934,MATCH($B380,'HS Codes'!$A$2:$A2934,0),MATCH(I$1,'HS Codes'!$D$1:$K$1,0)),"")</f>
        <v>63029390</v>
      </c>
      <c r="J380" s="8">
        <f>_xlfn.IFNA(INDEX('HS Codes'!$D$2:$K2934,MATCH($B380,'HS Codes'!$A$2:$A2934,0),MATCH(J$1,'HS Codes'!$D$1:$K$1,0)),"")</f>
        <v>0</v>
      </c>
      <c r="K380" s="8" t="str">
        <f>_xlfn.IFNA(INDEX('HS Codes'!$D$2:$K2934,MATCH($B380,'HS Codes'!$A$2:$A2934,0),MATCH(K$1,'HS Codes'!$D$1:$K$1,0)),"")</f>
        <v>6302.39.00</v>
      </c>
      <c r="L380" s="8">
        <f>_xlfn.IFNA(INDEX('HS Codes'!$D$2:$K2934,MATCH($B380,'HS Codes'!$A$2:$A2934,0),MATCH(L$1,'HS Codes'!$D$1:$K$1,0)),"")</f>
        <v>63029120</v>
      </c>
      <c r="M380" s="8" t="str">
        <f>_xlfn.IFNA(INDEX('HS Codes'!$C$2:$C2934,MATCH($B380,'HS Codes'!$A$2:$A2934,0)),"")</f>
        <v>Beach Towel - Toilet Linen 100% recycled 220 GSM/83% polyester/17% polyamide includes cotton on the packing pouch drawstring</v>
      </c>
      <c r="N380" s="9"/>
      <c r="O380" s="9"/>
      <c r="P380" s="9"/>
      <c r="Q380" s="9"/>
    </row>
    <row r="381" spans="1:17" ht="15.75" customHeight="1">
      <c r="A381" s="7" t="s">
        <v>669</v>
      </c>
      <c r="B381" s="7" t="s">
        <v>164</v>
      </c>
      <c r="C381" s="7" t="s">
        <v>278</v>
      </c>
      <c r="D381" s="7" t="s">
        <v>165</v>
      </c>
      <c r="E381" s="7" t="s">
        <v>348</v>
      </c>
      <c r="F381" s="8" t="str">
        <f>_xlfn.IFNA(INDEX('HS Codes'!$D$2:$K2935,MATCH($B381,'HS Codes'!$A$2:$A2935,0),MATCH(F$1,'HS Codes'!$D$1:$K$1,0)),"")</f>
        <v>6302.93.2000</v>
      </c>
      <c r="G381" s="8">
        <f>_xlfn.IFNA(INDEX('HS Codes'!$D$2:$K2935,MATCH($B381,'HS Codes'!$A$2:$A2935,0),MATCH(G$1,'HS Codes'!$D$1:$K$1,0)),"")</f>
        <v>6302600090</v>
      </c>
      <c r="H381" s="8" t="str">
        <f>_xlfn.IFNA(INDEX('HS Codes'!$D$2:$K2935,MATCH($B381,'HS Codes'!$A$2:$A2935,0),MATCH(H$1,'HS Codes'!$D$1:$K$1,0)),"")</f>
        <v>6302.93.00.00</v>
      </c>
      <c r="I381" s="8">
        <f>_xlfn.IFNA(INDEX('HS Codes'!$D$2:$K2935,MATCH($B381,'HS Codes'!$A$2:$A2935,0),MATCH(I$1,'HS Codes'!$D$1:$K$1,0)),"")</f>
        <v>63029390</v>
      </c>
      <c r="J381" s="8">
        <f>_xlfn.IFNA(INDEX('HS Codes'!$D$2:$K2935,MATCH($B381,'HS Codes'!$A$2:$A2935,0),MATCH(J$1,'HS Codes'!$D$1:$K$1,0)),"")</f>
        <v>0</v>
      </c>
      <c r="K381" s="8" t="str">
        <f>_xlfn.IFNA(INDEX('HS Codes'!$D$2:$K2935,MATCH($B381,'HS Codes'!$A$2:$A2935,0),MATCH(K$1,'HS Codes'!$D$1:$K$1,0)),"")</f>
        <v>6302.39.00</v>
      </c>
      <c r="L381" s="8">
        <f>_xlfn.IFNA(INDEX('HS Codes'!$D$2:$K2935,MATCH($B381,'HS Codes'!$A$2:$A2935,0),MATCH(L$1,'HS Codes'!$D$1:$K$1,0)),"")</f>
        <v>63029120</v>
      </c>
      <c r="M381" s="8" t="str">
        <f>_xlfn.IFNA(INDEX('HS Codes'!$C$2:$C2935,MATCH($B381,'HS Codes'!$A$2:$A2935,0)),"")</f>
        <v>Beach Towel - Toilet Linen 100% recycled 220 GSM/83% polyester/17% polyamide includes cotton on the packing pouch drawstring</v>
      </c>
      <c r="N381" s="9"/>
      <c r="O381" s="9"/>
      <c r="P381" s="9"/>
      <c r="Q381" s="9"/>
    </row>
    <row r="382" spans="1:17" ht="15.75" customHeight="1">
      <c r="A382" s="7" t="s">
        <v>670</v>
      </c>
      <c r="B382" s="7" t="s">
        <v>164</v>
      </c>
      <c r="C382" s="7" t="s">
        <v>278</v>
      </c>
      <c r="D382" s="7" t="s">
        <v>165</v>
      </c>
      <c r="E382" s="7" t="s">
        <v>348</v>
      </c>
      <c r="F382" s="8" t="str">
        <f>_xlfn.IFNA(INDEX('HS Codes'!$D$2:$K2936,MATCH($B382,'HS Codes'!$A$2:$A2936,0),MATCH(F$1,'HS Codes'!$D$1:$K$1,0)),"")</f>
        <v>6302.93.2000</v>
      </c>
      <c r="G382" s="8">
        <f>_xlfn.IFNA(INDEX('HS Codes'!$D$2:$K2936,MATCH($B382,'HS Codes'!$A$2:$A2936,0),MATCH(G$1,'HS Codes'!$D$1:$K$1,0)),"")</f>
        <v>6302600090</v>
      </c>
      <c r="H382" s="8" t="str">
        <f>_xlfn.IFNA(INDEX('HS Codes'!$D$2:$K2936,MATCH($B382,'HS Codes'!$A$2:$A2936,0),MATCH(H$1,'HS Codes'!$D$1:$K$1,0)),"")</f>
        <v>6302.93.00.00</v>
      </c>
      <c r="I382" s="8">
        <f>_xlfn.IFNA(INDEX('HS Codes'!$D$2:$K2936,MATCH($B382,'HS Codes'!$A$2:$A2936,0),MATCH(I$1,'HS Codes'!$D$1:$K$1,0)),"")</f>
        <v>63029390</v>
      </c>
      <c r="J382" s="8">
        <f>_xlfn.IFNA(INDEX('HS Codes'!$D$2:$K2936,MATCH($B382,'HS Codes'!$A$2:$A2936,0),MATCH(J$1,'HS Codes'!$D$1:$K$1,0)),"")</f>
        <v>0</v>
      </c>
      <c r="K382" s="8" t="str">
        <f>_xlfn.IFNA(INDEX('HS Codes'!$D$2:$K2936,MATCH($B382,'HS Codes'!$A$2:$A2936,0),MATCH(K$1,'HS Codes'!$D$1:$K$1,0)),"")</f>
        <v>6302.39.00</v>
      </c>
      <c r="L382" s="8">
        <f>_xlfn.IFNA(INDEX('HS Codes'!$D$2:$K2936,MATCH($B382,'HS Codes'!$A$2:$A2936,0),MATCH(L$1,'HS Codes'!$D$1:$K$1,0)),"")</f>
        <v>63029120</v>
      </c>
      <c r="M382" s="8" t="str">
        <f>_xlfn.IFNA(INDEX('HS Codes'!$C$2:$C2936,MATCH($B382,'HS Codes'!$A$2:$A2936,0)),"")</f>
        <v>Beach Towel - Toilet Linen 100% recycled 220 GSM/83% polyester/17% polyamide includes cotton on the packing pouch drawstring</v>
      </c>
      <c r="N382" s="9"/>
      <c r="O382" s="9"/>
      <c r="P382" s="9"/>
      <c r="Q382" s="9"/>
    </row>
    <row r="383" spans="1:17" ht="15.75" customHeight="1">
      <c r="A383" s="7" t="s">
        <v>671</v>
      </c>
      <c r="B383" s="7" t="s">
        <v>164</v>
      </c>
      <c r="C383" s="7" t="s">
        <v>278</v>
      </c>
      <c r="D383" s="7" t="s">
        <v>165</v>
      </c>
      <c r="E383" s="7" t="s">
        <v>348</v>
      </c>
      <c r="F383" s="8" t="str">
        <f>_xlfn.IFNA(INDEX('HS Codes'!$D$2:$K2937,MATCH($B383,'HS Codes'!$A$2:$A2937,0),MATCH(F$1,'HS Codes'!$D$1:$K$1,0)),"")</f>
        <v>6302.93.2000</v>
      </c>
      <c r="G383" s="8">
        <f>_xlfn.IFNA(INDEX('HS Codes'!$D$2:$K2937,MATCH($B383,'HS Codes'!$A$2:$A2937,0),MATCH(G$1,'HS Codes'!$D$1:$K$1,0)),"")</f>
        <v>6302600090</v>
      </c>
      <c r="H383" s="8" t="str">
        <f>_xlfn.IFNA(INDEX('HS Codes'!$D$2:$K2937,MATCH($B383,'HS Codes'!$A$2:$A2937,0),MATCH(H$1,'HS Codes'!$D$1:$K$1,0)),"")</f>
        <v>6302.93.00.00</v>
      </c>
      <c r="I383" s="8">
        <f>_xlfn.IFNA(INDEX('HS Codes'!$D$2:$K2937,MATCH($B383,'HS Codes'!$A$2:$A2937,0),MATCH(I$1,'HS Codes'!$D$1:$K$1,0)),"")</f>
        <v>63029390</v>
      </c>
      <c r="J383" s="8">
        <f>_xlfn.IFNA(INDEX('HS Codes'!$D$2:$K2937,MATCH($B383,'HS Codes'!$A$2:$A2937,0),MATCH(J$1,'HS Codes'!$D$1:$K$1,0)),"")</f>
        <v>0</v>
      </c>
      <c r="K383" s="8" t="str">
        <f>_xlfn.IFNA(INDEX('HS Codes'!$D$2:$K2937,MATCH($B383,'HS Codes'!$A$2:$A2937,0),MATCH(K$1,'HS Codes'!$D$1:$K$1,0)),"")</f>
        <v>6302.39.00</v>
      </c>
      <c r="L383" s="8">
        <f>_xlfn.IFNA(INDEX('HS Codes'!$D$2:$K2937,MATCH($B383,'HS Codes'!$A$2:$A2937,0),MATCH(L$1,'HS Codes'!$D$1:$K$1,0)),"")</f>
        <v>63029120</v>
      </c>
      <c r="M383" s="8" t="str">
        <f>_xlfn.IFNA(INDEX('HS Codes'!$C$2:$C2937,MATCH($B383,'HS Codes'!$A$2:$A2937,0)),"")</f>
        <v>Beach Towel - Toilet Linen 100% recycled 220 GSM/83% polyester/17% polyamide includes cotton on the packing pouch drawstring</v>
      </c>
      <c r="N383" s="9"/>
      <c r="O383" s="9"/>
      <c r="P383" s="9"/>
      <c r="Q383" s="9"/>
    </row>
    <row r="384" spans="1:17" ht="15.75" customHeight="1">
      <c r="A384" s="7" t="s">
        <v>672</v>
      </c>
      <c r="B384" s="7" t="s">
        <v>164</v>
      </c>
      <c r="C384" s="7" t="s">
        <v>278</v>
      </c>
      <c r="D384" s="7" t="s">
        <v>165</v>
      </c>
      <c r="E384" s="7" t="s">
        <v>348</v>
      </c>
      <c r="F384" s="8" t="str">
        <f>_xlfn.IFNA(INDEX('HS Codes'!$D$2:$K2938,MATCH($B384,'HS Codes'!$A$2:$A2938,0),MATCH(F$1,'HS Codes'!$D$1:$K$1,0)),"")</f>
        <v>6302.93.2000</v>
      </c>
      <c r="G384" s="8">
        <f>_xlfn.IFNA(INDEX('HS Codes'!$D$2:$K2938,MATCH($B384,'HS Codes'!$A$2:$A2938,0),MATCH(G$1,'HS Codes'!$D$1:$K$1,0)),"")</f>
        <v>6302600090</v>
      </c>
      <c r="H384" s="8" t="str">
        <f>_xlfn.IFNA(INDEX('HS Codes'!$D$2:$K2938,MATCH($B384,'HS Codes'!$A$2:$A2938,0),MATCH(H$1,'HS Codes'!$D$1:$K$1,0)),"")</f>
        <v>6302.93.00.00</v>
      </c>
      <c r="I384" s="8">
        <f>_xlfn.IFNA(INDEX('HS Codes'!$D$2:$K2938,MATCH($B384,'HS Codes'!$A$2:$A2938,0),MATCH(I$1,'HS Codes'!$D$1:$K$1,0)),"")</f>
        <v>63029390</v>
      </c>
      <c r="J384" s="8">
        <f>_xlfn.IFNA(INDEX('HS Codes'!$D$2:$K2938,MATCH($B384,'HS Codes'!$A$2:$A2938,0),MATCH(J$1,'HS Codes'!$D$1:$K$1,0)),"")</f>
        <v>0</v>
      </c>
      <c r="K384" s="8" t="str">
        <f>_xlfn.IFNA(INDEX('HS Codes'!$D$2:$K2938,MATCH($B384,'HS Codes'!$A$2:$A2938,0),MATCH(K$1,'HS Codes'!$D$1:$K$1,0)),"")</f>
        <v>6302.39.00</v>
      </c>
      <c r="L384" s="8">
        <f>_xlfn.IFNA(INDEX('HS Codes'!$D$2:$K2938,MATCH($B384,'HS Codes'!$A$2:$A2938,0),MATCH(L$1,'HS Codes'!$D$1:$K$1,0)),"")</f>
        <v>63029120</v>
      </c>
      <c r="M384" s="8" t="str">
        <f>_xlfn.IFNA(INDEX('HS Codes'!$C$2:$C2938,MATCH($B384,'HS Codes'!$A$2:$A2938,0)),"")</f>
        <v>Beach Towel - Toilet Linen 100% recycled 220 GSM/83% polyester/17% polyamide includes cotton on the packing pouch drawstring</v>
      </c>
      <c r="N384" s="9"/>
      <c r="O384" s="9"/>
      <c r="P384" s="9"/>
      <c r="Q384" s="9"/>
    </row>
    <row r="385" spans="1:17" ht="15.75" customHeight="1">
      <c r="A385" s="7" t="s">
        <v>673</v>
      </c>
      <c r="B385" s="7" t="s">
        <v>164</v>
      </c>
      <c r="C385" s="7" t="s">
        <v>278</v>
      </c>
      <c r="D385" s="7" t="s">
        <v>165</v>
      </c>
      <c r="E385" s="7" t="s">
        <v>348</v>
      </c>
      <c r="F385" s="8" t="str">
        <f>_xlfn.IFNA(INDEX('HS Codes'!$D$2:$K2939,MATCH($B385,'HS Codes'!$A$2:$A2939,0),MATCH(F$1,'HS Codes'!$D$1:$K$1,0)),"")</f>
        <v>6302.93.2000</v>
      </c>
      <c r="G385" s="8">
        <f>_xlfn.IFNA(INDEX('HS Codes'!$D$2:$K2939,MATCH($B385,'HS Codes'!$A$2:$A2939,0),MATCH(G$1,'HS Codes'!$D$1:$K$1,0)),"")</f>
        <v>6302600090</v>
      </c>
      <c r="H385" s="8" t="str">
        <f>_xlfn.IFNA(INDEX('HS Codes'!$D$2:$K2939,MATCH($B385,'HS Codes'!$A$2:$A2939,0),MATCH(H$1,'HS Codes'!$D$1:$K$1,0)),"")</f>
        <v>6302.93.00.00</v>
      </c>
      <c r="I385" s="8">
        <f>_xlfn.IFNA(INDEX('HS Codes'!$D$2:$K2939,MATCH($B385,'HS Codes'!$A$2:$A2939,0),MATCH(I$1,'HS Codes'!$D$1:$K$1,0)),"")</f>
        <v>63029390</v>
      </c>
      <c r="J385" s="8">
        <f>_xlfn.IFNA(INDEX('HS Codes'!$D$2:$K2939,MATCH($B385,'HS Codes'!$A$2:$A2939,0),MATCH(J$1,'HS Codes'!$D$1:$K$1,0)),"")</f>
        <v>0</v>
      </c>
      <c r="K385" s="8" t="str">
        <f>_xlfn.IFNA(INDEX('HS Codes'!$D$2:$K2939,MATCH($B385,'HS Codes'!$A$2:$A2939,0),MATCH(K$1,'HS Codes'!$D$1:$K$1,0)),"")</f>
        <v>6302.39.00</v>
      </c>
      <c r="L385" s="8">
        <f>_xlfn.IFNA(INDEX('HS Codes'!$D$2:$K2939,MATCH($B385,'HS Codes'!$A$2:$A2939,0),MATCH(L$1,'HS Codes'!$D$1:$K$1,0)),"")</f>
        <v>63029120</v>
      </c>
      <c r="M385" s="8" t="str">
        <f>_xlfn.IFNA(INDEX('HS Codes'!$C$2:$C2939,MATCH($B385,'HS Codes'!$A$2:$A2939,0)),"")</f>
        <v>Beach Towel - Toilet Linen 100% recycled 220 GSM/83% polyester/17% polyamide includes cotton on the packing pouch drawstring</v>
      </c>
      <c r="N385" s="9"/>
      <c r="O385" s="9"/>
      <c r="P385" s="9"/>
      <c r="Q385" s="9"/>
    </row>
    <row r="386" spans="1:17" ht="15.75" customHeight="1">
      <c r="A386" s="7" t="s">
        <v>674</v>
      </c>
      <c r="B386" s="7" t="s">
        <v>164</v>
      </c>
      <c r="C386" s="7" t="s">
        <v>278</v>
      </c>
      <c r="D386" s="7" t="s">
        <v>165</v>
      </c>
      <c r="E386" s="7" t="s">
        <v>348</v>
      </c>
      <c r="F386" s="8" t="str">
        <f>_xlfn.IFNA(INDEX('HS Codes'!$D$2:$K2940,MATCH($B386,'HS Codes'!$A$2:$A2940,0),MATCH(F$1,'HS Codes'!$D$1:$K$1,0)),"")</f>
        <v>6302.93.2000</v>
      </c>
      <c r="G386" s="8">
        <f>_xlfn.IFNA(INDEX('HS Codes'!$D$2:$K2940,MATCH($B386,'HS Codes'!$A$2:$A2940,0),MATCH(G$1,'HS Codes'!$D$1:$K$1,0)),"")</f>
        <v>6302600090</v>
      </c>
      <c r="H386" s="8" t="str">
        <f>_xlfn.IFNA(INDEX('HS Codes'!$D$2:$K2940,MATCH($B386,'HS Codes'!$A$2:$A2940,0),MATCH(H$1,'HS Codes'!$D$1:$K$1,0)),"")</f>
        <v>6302.93.00.00</v>
      </c>
      <c r="I386" s="8">
        <f>_xlfn.IFNA(INDEX('HS Codes'!$D$2:$K2940,MATCH($B386,'HS Codes'!$A$2:$A2940,0),MATCH(I$1,'HS Codes'!$D$1:$K$1,0)),"")</f>
        <v>63029390</v>
      </c>
      <c r="J386" s="8">
        <f>_xlfn.IFNA(INDEX('HS Codes'!$D$2:$K2940,MATCH($B386,'HS Codes'!$A$2:$A2940,0),MATCH(J$1,'HS Codes'!$D$1:$K$1,0)),"")</f>
        <v>0</v>
      </c>
      <c r="K386" s="8" t="str">
        <f>_xlfn.IFNA(INDEX('HS Codes'!$D$2:$K2940,MATCH($B386,'HS Codes'!$A$2:$A2940,0),MATCH(K$1,'HS Codes'!$D$1:$K$1,0)),"")</f>
        <v>6302.39.00</v>
      </c>
      <c r="L386" s="8">
        <f>_xlfn.IFNA(INDEX('HS Codes'!$D$2:$K2940,MATCH($B386,'HS Codes'!$A$2:$A2940,0),MATCH(L$1,'HS Codes'!$D$1:$K$1,0)),"")</f>
        <v>63029120</v>
      </c>
      <c r="M386" s="8" t="str">
        <f>_xlfn.IFNA(INDEX('HS Codes'!$C$2:$C2940,MATCH($B386,'HS Codes'!$A$2:$A2940,0)),"")</f>
        <v>Beach Towel - Toilet Linen 100% recycled 220 GSM/83% polyester/17% polyamide includes cotton on the packing pouch drawstring</v>
      </c>
      <c r="N386" s="9"/>
      <c r="O386" s="9"/>
      <c r="P386" s="9"/>
      <c r="Q386" s="9"/>
    </row>
    <row r="387" spans="1:17" ht="15.75" customHeight="1">
      <c r="A387" s="7" t="s">
        <v>675</v>
      </c>
      <c r="B387" s="7" t="s">
        <v>164</v>
      </c>
      <c r="C387" s="7" t="s">
        <v>278</v>
      </c>
      <c r="D387" s="7" t="s">
        <v>165</v>
      </c>
      <c r="E387" s="7" t="s">
        <v>348</v>
      </c>
      <c r="F387" s="8" t="str">
        <f>_xlfn.IFNA(INDEX('HS Codes'!$D$2:$K2941,MATCH($B387,'HS Codes'!$A$2:$A2941,0),MATCH(F$1,'HS Codes'!$D$1:$K$1,0)),"")</f>
        <v>6302.93.2000</v>
      </c>
      <c r="G387" s="8">
        <f>_xlfn.IFNA(INDEX('HS Codes'!$D$2:$K2941,MATCH($B387,'HS Codes'!$A$2:$A2941,0),MATCH(G$1,'HS Codes'!$D$1:$K$1,0)),"")</f>
        <v>6302600090</v>
      </c>
      <c r="H387" s="8" t="str">
        <f>_xlfn.IFNA(INDEX('HS Codes'!$D$2:$K2941,MATCH($B387,'HS Codes'!$A$2:$A2941,0),MATCH(H$1,'HS Codes'!$D$1:$K$1,0)),"")</f>
        <v>6302.93.00.00</v>
      </c>
      <c r="I387" s="8">
        <f>_xlfn.IFNA(INDEX('HS Codes'!$D$2:$K2941,MATCH($B387,'HS Codes'!$A$2:$A2941,0),MATCH(I$1,'HS Codes'!$D$1:$K$1,0)),"")</f>
        <v>63029390</v>
      </c>
      <c r="J387" s="8">
        <f>_xlfn.IFNA(INDEX('HS Codes'!$D$2:$K2941,MATCH($B387,'HS Codes'!$A$2:$A2941,0),MATCH(J$1,'HS Codes'!$D$1:$K$1,0)),"")</f>
        <v>0</v>
      </c>
      <c r="K387" s="8" t="str">
        <f>_xlfn.IFNA(INDEX('HS Codes'!$D$2:$K2941,MATCH($B387,'HS Codes'!$A$2:$A2941,0),MATCH(K$1,'HS Codes'!$D$1:$K$1,0)),"")</f>
        <v>6302.39.00</v>
      </c>
      <c r="L387" s="8">
        <f>_xlfn.IFNA(INDEX('HS Codes'!$D$2:$K2941,MATCH($B387,'HS Codes'!$A$2:$A2941,0),MATCH(L$1,'HS Codes'!$D$1:$K$1,0)),"")</f>
        <v>63029120</v>
      </c>
      <c r="M387" s="8" t="str">
        <f>_xlfn.IFNA(INDEX('HS Codes'!$C$2:$C2941,MATCH($B387,'HS Codes'!$A$2:$A2941,0)),"")</f>
        <v>Beach Towel - Toilet Linen 100% recycled 220 GSM/83% polyester/17% polyamide includes cotton on the packing pouch drawstring</v>
      </c>
      <c r="N387" s="9"/>
      <c r="O387" s="9"/>
      <c r="P387" s="9"/>
      <c r="Q387" s="9"/>
    </row>
    <row r="388" spans="1:17" ht="15.75" customHeight="1">
      <c r="A388" s="7" t="s">
        <v>676</v>
      </c>
      <c r="B388" s="7" t="s">
        <v>164</v>
      </c>
      <c r="C388" s="7" t="s">
        <v>278</v>
      </c>
      <c r="D388" s="7" t="s">
        <v>165</v>
      </c>
      <c r="E388" s="7" t="s">
        <v>348</v>
      </c>
      <c r="F388" s="8" t="str">
        <f>_xlfn.IFNA(INDEX('HS Codes'!$D$2:$K2942,MATCH($B388,'HS Codes'!$A$2:$A2942,0),MATCH(F$1,'HS Codes'!$D$1:$K$1,0)),"")</f>
        <v>6302.93.2000</v>
      </c>
      <c r="G388" s="8">
        <f>_xlfn.IFNA(INDEX('HS Codes'!$D$2:$K2942,MATCH($B388,'HS Codes'!$A$2:$A2942,0),MATCH(G$1,'HS Codes'!$D$1:$K$1,0)),"")</f>
        <v>6302600090</v>
      </c>
      <c r="H388" s="8" t="str">
        <f>_xlfn.IFNA(INDEX('HS Codes'!$D$2:$K2942,MATCH($B388,'HS Codes'!$A$2:$A2942,0),MATCH(H$1,'HS Codes'!$D$1:$K$1,0)),"")</f>
        <v>6302.93.00.00</v>
      </c>
      <c r="I388" s="8">
        <f>_xlfn.IFNA(INDEX('HS Codes'!$D$2:$K2942,MATCH($B388,'HS Codes'!$A$2:$A2942,0),MATCH(I$1,'HS Codes'!$D$1:$K$1,0)),"")</f>
        <v>63029390</v>
      </c>
      <c r="J388" s="8">
        <f>_xlfn.IFNA(INDEX('HS Codes'!$D$2:$K2942,MATCH($B388,'HS Codes'!$A$2:$A2942,0),MATCH(J$1,'HS Codes'!$D$1:$K$1,0)),"")</f>
        <v>0</v>
      </c>
      <c r="K388" s="8" t="str">
        <f>_xlfn.IFNA(INDEX('HS Codes'!$D$2:$K2942,MATCH($B388,'HS Codes'!$A$2:$A2942,0),MATCH(K$1,'HS Codes'!$D$1:$K$1,0)),"")</f>
        <v>6302.39.00</v>
      </c>
      <c r="L388" s="8">
        <f>_xlfn.IFNA(INDEX('HS Codes'!$D$2:$K2942,MATCH($B388,'HS Codes'!$A$2:$A2942,0),MATCH(L$1,'HS Codes'!$D$1:$K$1,0)),"")</f>
        <v>63029120</v>
      </c>
      <c r="M388" s="8" t="str">
        <f>_xlfn.IFNA(INDEX('HS Codes'!$C$2:$C2942,MATCH($B388,'HS Codes'!$A$2:$A2942,0)),"")</f>
        <v>Beach Towel - Toilet Linen 100% recycled 220 GSM/83% polyester/17% polyamide includes cotton on the packing pouch drawstring</v>
      </c>
      <c r="N388" s="9"/>
      <c r="O388" s="9"/>
      <c r="P388" s="9"/>
      <c r="Q388" s="9"/>
    </row>
    <row r="389" spans="1:17" ht="15.75" customHeight="1">
      <c r="A389" s="7" t="s">
        <v>677</v>
      </c>
      <c r="B389" s="7" t="s">
        <v>164</v>
      </c>
      <c r="C389" s="7" t="s">
        <v>278</v>
      </c>
      <c r="D389" s="7" t="s">
        <v>165</v>
      </c>
      <c r="E389" s="7" t="s">
        <v>348</v>
      </c>
      <c r="F389" s="8" t="str">
        <f>_xlfn.IFNA(INDEX('HS Codes'!$D$2:$K2943,MATCH($B389,'HS Codes'!$A$2:$A2943,0),MATCH(F$1,'HS Codes'!$D$1:$K$1,0)),"")</f>
        <v>6302.93.2000</v>
      </c>
      <c r="G389" s="8">
        <f>_xlfn.IFNA(INDEX('HS Codes'!$D$2:$K2943,MATCH($B389,'HS Codes'!$A$2:$A2943,0),MATCH(G$1,'HS Codes'!$D$1:$K$1,0)),"")</f>
        <v>6302600090</v>
      </c>
      <c r="H389" s="8" t="str">
        <f>_xlfn.IFNA(INDEX('HS Codes'!$D$2:$K2943,MATCH($B389,'HS Codes'!$A$2:$A2943,0),MATCH(H$1,'HS Codes'!$D$1:$K$1,0)),"")</f>
        <v>6302.93.00.00</v>
      </c>
      <c r="I389" s="8">
        <f>_xlfn.IFNA(INDEX('HS Codes'!$D$2:$K2943,MATCH($B389,'HS Codes'!$A$2:$A2943,0),MATCH(I$1,'HS Codes'!$D$1:$K$1,0)),"")</f>
        <v>63029390</v>
      </c>
      <c r="J389" s="8">
        <f>_xlfn.IFNA(INDEX('HS Codes'!$D$2:$K2943,MATCH($B389,'HS Codes'!$A$2:$A2943,0),MATCH(J$1,'HS Codes'!$D$1:$K$1,0)),"")</f>
        <v>0</v>
      </c>
      <c r="K389" s="8" t="str">
        <f>_xlfn.IFNA(INDEX('HS Codes'!$D$2:$K2943,MATCH($B389,'HS Codes'!$A$2:$A2943,0),MATCH(K$1,'HS Codes'!$D$1:$K$1,0)),"")</f>
        <v>6302.39.00</v>
      </c>
      <c r="L389" s="8">
        <f>_xlfn.IFNA(INDEX('HS Codes'!$D$2:$K2943,MATCH($B389,'HS Codes'!$A$2:$A2943,0),MATCH(L$1,'HS Codes'!$D$1:$K$1,0)),"")</f>
        <v>63029120</v>
      </c>
      <c r="M389" s="8" t="str">
        <f>_xlfn.IFNA(INDEX('HS Codes'!$C$2:$C2943,MATCH($B389,'HS Codes'!$A$2:$A2943,0)),"")</f>
        <v>Beach Towel - Toilet Linen 100% recycled 220 GSM/83% polyester/17% polyamide includes cotton on the packing pouch drawstring</v>
      </c>
      <c r="N389" s="9"/>
      <c r="O389" s="9"/>
      <c r="P389" s="9"/>
      <c r="Q389" s="9"/>
    </row>
    <row r="390" spans="1:17" ht="15.75" customHeight="1">
      <c r="A390" s="7" t="s">
        <v>678</v>
      </c>
      <c r="B390" s="7" t="s">
        <v>164</v>
      </c>
      <c r="C390" s="7" t="s">
        <v>278</v>
      </c>
      <c r="D390" s="7" t="s">
        <v>165</v>
      </c>
      <c r="E390" s="7" t="s">
        <v>348</v>
      </c>
      <c r="F390" s="8" t="str">
        <f>_xlfn.IFNA(INDEX('HS Codes'!$D$2:$K2944,MATCH($B390,'HS Codes'!$A$2:$A2944,0),MATCH(F$1,'HS Codes'!$D$1:$K$1,0)),"")</f>
        <v>6302.93.2000</v>
      </c>
      <c r="G390" s="8">
        <f>_xlfn.IFNA(INDEX('HS Codes'!$D$2:$K2944,MATCH($B390,'HS Codes'!$A$2:$A2944,0),MATCH(G$1,'HS Codes'!$D$1:$K$1,0)),"")</f>
        <v>6302600090</v>
      </c>
      <c r="H390" s="8" t="str">
        <f>_xlfn.IFNA(INDEX('HS Codes'!$D$2:$K2944,MATCH($B390,'HS Codes'!$A$2:$A2944,0),MATCH(H$1,'HS Codes'!$D$1:$K$1,0)),"")</f>
        <v>6302.93.00.00</v>
      </c>
      <c r="I390" s="8">
        <f>_xlfn.IFNA(INDEX('HS Codes'!$D$2:$K2944,MATCH($B390,'HS Codes'!$A$2:$A2944,0),MATCH(I$1,'HS Codes'!$D$1:$K$1,0)),"")</f>
        <v>63029390</v>
      </c>
      <c r="J390" s="8">
        <f>_xlfn.IFNA(INDEX('HS Codes'!$D$2:$K2944,MATCH($B390,'HS Codes'!$A$2:$A2944,0),MATCH(J$1,'HS Codes'!$D$1:$K$1,0)),"")</f>
        <v>0</v>
      </c>
      <c r="K390" s="8" t="str">
        <f>_xlfn.IFNA(INDEX('HS Codes'!$D$2:$K2944,MATCH($B390,'HS Codes'!$A$2:$A2944,0),MATCH(K$1,'HS Codes'!$D$1:$K$1,0)),"")</f>
        <v>6302.39.00</v>
      </c>
      <c r="L390" s="8">
        <f>_xlfn.IFNA(INDEX('HS Codes'!$D$2:$K2944,MATCH($B390,'HS Codes'!$A$2:$A2944,0),MATCH(L$1,'HS Codes'!$D$1:$K$1,0)),"")</f>
        <v>63029120</v>
      </c>
      <c r="M390" s="8" t="str">
        <f>_xlfn.IFNA(INDEX('HS Codes'!$C$2:$C2944,MATCH($B390,'HS Codes'!$A$2:$A2944,0)),"")</f>
        <v>Beach Towel - Toilet Linen 100% recycled 220 GSM/83% polyester/17% polyamide includes cotton on the packing pouch drawstring</v>
      </c>
      <c r="N390" s="9"/>
      <c r="O390" s="9"/>
      <c r="P390" s="9"/>
      <c r="Q390" s="9"/>
    </row>
    <row r="391" spans="1:17" ht="15.75" customHeight="1">
      <c r="A391" s="7" t="s">
        <v>679</v>
      </c>
      <c r="B391" s="7" t="s">
        <v>164</v>
      </c>
      <c r="C391" s="7" t="s">
        <v>278</v>
      </c>
      <c r="D391" s="7" t="s">
        <v>165</v>
      </c>
      <c r="E391" s="7" t="s">
        <v>348</v>
      </c>
      <c r="F391" s="8" t="str">
        <f>_xlfn.IFNA(INDEX('HS Codes'!$D$2:$K2945,MATCH($B391,'HS Codes'!$A$2:$A2945,0),MATCH(F$1,'HS Codes'!$D$1:$K$1,0)),"")</f>
        <v>6302.93.2000</v>
      </c>
      <c r="G391" s="8">
        <f>_xlfn.IFNA(INDEX('HS Codes'!$D$2:$K2945,MATCH($B391,'HS Codes'!$A$2:$A2945,0),MATCH(G$1,'HS Codes'!$D$1:$K$1,0)),"")</f>
        <v>6302600090</v>
      </c>
      <c r="H391" s="8" t="str">
        <f>_xlfn.IFNA(INDEX('HS Codes'!$D$2:$K2945,MATCH($B391,'HS Codes'!$A$2:$A2945,0),MATCH(H$1,'HS Codes'!$D$1:$K$1,0)),"")</f>
        <v>6302.93.00.00</v>
      </c>
      <c r="I391" s="8">
        <f>_xlfn.IFNA(INDEX('HS Codes'!$D$2:$K2945,MATCH($B391,'HS Codes'!$A$2:$A2945,0),MATCH(I$1,'HS Codes'!$D$1:$K$1,0)),"")</f>
        <v>63029390</v>
      </c>
      <c r="J391" s="8">
        <f>_xlfn.IFNA(INDEX('HS Codes'!$D$2:$K2945,MATCH($B391,'HS Codes'!$A$2:$A2945,0),MATCH(J$1,'HS Codes'!$D$1:$K$1,0)),"")</f>
        <v>0</v>
      </c>
      <c r="K391" s="8" t="str">
        <f>_xlfn.IFNA(INDEX('HS Codes'!$D$2:$K2945,MATCH($B391,'HS Codes'!$A$2:$A2945,0),MATCH(K$1,'HS Codes'!$D$1:$K$1,0)),"")</f>
        <v>6302.39.00</v>
      </c>
      <c r="L391" s="8">
        <f>_xlfn.IFNA(INDEX('HS Codes'!$D$2:$K2945,MATCH($B391,'HS Codes'!$A$2:$A2945,0),MATCH(L$1,'HS Codes'!$D$1:$K$1,0)),"")</f>
        <v>63029120</v>
      </c>
      <c r="M391" s="8" t="str">
        <f>_xlfn.IFNA(INDEX('HS Codes'!$C$2:$C2945,MATCH($B391,'HS Codes'!$A$2:$A2945,0)),"")</f>
        <v>Beach Towel - Toilet Linen 100% recycled 220 GSM/83% polyester/17% polyamide includes cotton on the packing pouch drawstring</v>
      </c>
      <c r="N391" s="9"/>
      <c r="O391" s="9"/>
      <c r="P391" s="9"/>
      <c r="Q391" s="9"/>
    </row>
    <row r="392" spans="1:17" ht="15.75" customHeight="1">
      <c r="A392" s="7" t="s">
        <v>680</v>
      </c>
      <c r="B392" s="7" t="s">
        <v>164</v>
      </c>
      <c r="C392" s="7" t="s">
        <v>278</v>
      </c>
      <c r="D392" s="7" t="s">
        <v>165</v>
      </c>
      <c r="E392" s="7" t="s">
        <v>348</v>
      </c>
      <c r="F392" s="8" t="str">
        <f>_xlfn.IFNA(INDEX('HS Codes'!$D$2:$K2946,MATCH($B392,'HS Codes'!$A$2:$A2946,0),MATCH(F$1,'HS Codes'!$D$1:$K$1,0)),"")</f>
        <v>6302.93.2000</v>
      </c>
      <c r="G392" s="8">
        <f>_xlfn.IFNA(INDEX('HS Codes'!$D$2:$K2946,MATCH($B392,'HS Codes'!$A$2:$A2946,0),MATCH(G$1,'HS Codes'!$D$1:$K$1,0)),"")</f>
        <v>6302600090</v>
      </c>
      <c r="H392" s="8" t="str">
        <f>_xlfn.IFNA(INDEX('HS Codes'!$D$2:$K2946,MATCH($B392,'HS Codes'!$A$2:$A2946,0),MATCH(H$1,'HS Codes'!$D$1:$K$1,0)),"")</f>
        <v>6302.93.00.00</v>
      </c>
      <c r="I392" s="8">
        <f>_xlfn.IFNA(INDEX('HS Codes'!$D$2:$K2946,MATCH($B392,'HS Codes'!$A$2:$A2946,0),MATCH(I$1,'HS Codes'!$D$1:$K$1,0)),"")</f>
        <v>63029390</v>
      </c>
      <c r="J392" s="8">
        <f>_xlfn.IFNA(INDEX('HS Codes'!$D$2:$K2946,MATCH($B392,'HS Codes'!$A$2:$A2946,0),MATCH(J$1,'HS Codes'!$D$1:$K$1,0)),"")</f>
        <v>0</v>
      </c>
      <c r="K392" s="8" t="str">
        <f>_xlfn.IFNA(INDEX('HS Codes'!$D$2:$K2946,MATCH($B392,'HS Codes'!$A$2:$A2946,0),MATCH(K$1,'HS Codes'!$D$1:$K$1,0)),"")</f>
        <v>6302.39.00</v>
      </c>
      <c r="L392" s="8">
        <f>_xlfn.IFNA(INDEX('HS Codes'!$D$2:$K2946,MATCH($B392,'HS Codes'!$A$2:$A2946,0),MATCH(L$1,'HS Codes'!$D$1:$K$1,0)),"")</f>
        <v>63029120</v>
      </c>
      <c r="M392" s="8" t="str">
        <f>_xlfn.IFNA(INDEX('HS Codes'!$C$2:$C2946,MATCH($B392,'HS Codes'!$A$2:$A2946,0)),"")</f>
        <v>Beach Towel - Toilet Linen 100% recycled 220 GSM/83% polyester/17% polyamide includes cotton on the packing pouch drawstring</v>
      </c>
      <c r="N392" s="9"/>
      <c r="O392" s="9"/>
      <c r="P392" s="9"/>
      <c r="Q392" s="9"/>
    </row>
    <row r="393" spans="1:17" ht="15.75" customHeight="1">
      <c r="A393" s="7" t="s">
        <v>681</v>
      </c>
      <c r="B393" s="7" t="s">
        <v>164</v>
      </c>
      <c r="C393" s="7" t="s">
        <v>278</v>
      </c>
      <c r="D393" s="7" t="s">
        <v>165</v>
      </c>
      <c r="E393" s="7" t="s">
        <v>348</v>
      </c>
      <c r="F393" s="8" t="str">
        <f>_xlfn.IFNA(INDEX('HS Codes'!$D$2:$K2947,MATCH($B393,'HS Codes'!$A$2:$A2947,0),MATCH(F$1,'HS Codes'!$D$1:$K$1,0)),"")</f>
        <v>6302.93.2000</v>
      </c>
      <c r="G393" s="8">
        <f>_xlfn.IFNA(INDEX('HS Codes'!$D$2:$K2947,MATCH($B393,'HS Codes'!$A$2:$A2947,0),MATCH(G$1,'HS Codes'!$D$1:$K$1,0)),"")</f>
        <v>6302600090</v>
      </c>
      <c r="H393" s="8" t="str">
        <f>_xlfn.IFNA(INDEX('HS Codes'!$D$2:$K2947,MATCH($B393,'HS Codes'!$A$2:$A2947,0),MATCH(H$1,'HS Codes'!$D$1:$K$1,0)),"")</f>
        <v>6302.93.00.00</v>
      </c>
      <c r="I393" s="8">
        <f>_xlfn.IFNA(INDEX('HS Codes'!$D$2:$K2947,MATCH($B393,'HS Codes'!$A$2:$A2947,0),MATCH(I$1,'HS Codes'!$D$1:$K$1,0)),"")</f>
        <v>63029390</v>
      </c>
      <c r="J393" s="8">
        <f>_xlfn.IFNA(INDEX('HS Codes'!$D$2:$K2947,MATCH($B393,'HS Codes'!$A$2:$A2947,0),MATCH(J$1,'HS Codes'!$D$1:$K$1,0)),"")</f>
        <v>0</v>
      </c>
      <c r="K393" s="8" t="str">
        <f>_xlfn.IFNA(INDEX('HS Codes'!$D$2:$K2947,MATCH($B393,'HS Codes'!$A$2:$A2947,0),MATCH(K$1,'HS Codes'!$D$1:$K$1,0)),"")</f>
        <v>6302.39.00</v>
      </c>
      <c r="L393" s="8">
        <f>_xlfn.IFNA(INDEX('HS Codes'!$D$2:$K2947,MATCH($B393,'HS Codes'!$A$2:$A2947,0),MATCH(L$1,'HS Codes'!$D$1:$K$1,0)),"")</f>
        <v>63029120</v>
      </c>
      <c r="M393" s="8" t="str">
        <f>_xlfn.IFNA(INDEX('HS Codes'!$C$2:$C2947,MATCH($B393,'HS Codes'!$A$2:$A2947,0)),"")</f>
        <v>Beach Towel - Toilet Linen 100% recycled 220 GSM/83% polyester/17% polyamide includes cotton on the packing pouch drawstring</v>
      </c>
      <c r="N393" s="9"/>
      <c r="O393" s="9"/>
      <c r="P393" s="9"/>
      <c r="Q393" s="9"/>
    </row>
    <row r="394" spans="1:17" ht="15.75" customHeight="1">
      <c r="A394" s="7" t="s">
        <v>682</v>
      </c>
      <c r="B394" s="7" t="s">
        <v>164</v>
      </c>
      <c r="C394" s="7" t="s">
        <v>278</v>
      </c>
      <c r="D394" s="7" t="s">
        <v>165</v>
      </c>
      <c r="E394" s="7" t="s">
        <v>348</v>
      </c>
      <c r="F394" s="8" t="str">
        <f>_xlfn.IFNA(INDEX('HS Codes'!$D$2:$K2948,MATCH($B394,'HS Codes'!$A$2:$A2948,0),MATCH(F$1,'HS Codes'!$D$1:$K$1,0)),"")</f>
        <v>6302.93.2000</v>
      </c>
      <c r="G394" s="8">
        <f>_xlfn.IFNA(INDEX('HS Codes'!$D$2:$K2948,MATCH($B394,'HS Codes'!$A$2:$A2948,0),MATCH(G$1,'HS Codes'!$D$1:$K$1,0)),"")</f>
        <v>6302600090</v>
      </c>
      <c r="H394" s="8" t="str">
        <f>_xlfn.IFNA(INDEX('HS Codes'!$D$2:$K2948,MATCH($B394,'HS Codes'!$A$2:$A2948,0),MATCH(H$1,'HS Codes'!$D$1:$K$1,0)),"")</f>
        <v>6302.93.00.00</v>
      </c>
      <c r="I394" s="8">
        <f>_xlfn.IFNA(INDEX('HS Codes'!$D$2:$K2948,MATCH($B394,'HS Codes'!$A$2:$A2948,0),MATCH(I$1,'HS Codes'!$D$1:$K$1,0)),"")</f>
        <v>63029390</v>
      </c>
      <c r="J394" s="8">
        <f>_xlfn.IFNA(INDEX('HS Codes'!$D$2:$K2948,MATCH($B394,'HS Codes'!$A$2:$A2948,0),MATCH(J$1,'HS Codes'!$D$1:$K$1,0)),"")</f>
        <v>0</v>
      </c>
      <c r="K394" s="8" t="str">
        <f>_xlfn.IFNA(INDEX('HS Codes'!$D$2:$K2948,MATCH($B394,'HS Codes'!$A$2:$A2948,0),MATCH(K$1,'HS Codes'!$D$1:$K$1,0)),"")</f>
        <v>6302.39.00</v>
      </c>
      <c r="L394" s="8">
        <f>_xlfn.IFNA(INDEX('HS Codes'!$D$2:$K2948,MATCH($B394,'HS Codes'!$A$2:$A2948,0),MATCH(L$1,'HS Codes'!$D$1:$K$1,0)),"")</f>
        <v>63029120</v>
      </c>
      <c r="M394" s="8" t="str">
        <f>_xlfn.IFNA(INDEX('HS Codes'!$C$2:$C2948,MATCH($B394,'HS Codes'!$A$2:$A2948,0)),"")</f>
        <v>Beach Towel - Toilet Linen 100% recycled 220 GSM/83% polyester/17% polyamide includes cotton on the packing pouch drawstring</v>
      </c>
      <c r="N394" s="9"/>
      <c r="O394" s="9"/>
      <c r="P394" s="9"/>
      <c r="Q394" s="9"/>
    </row>
    <row r="395" spans="1:17" ht="15.75" customHeight="1">
      <c r="A395" s="7" t="s">
        <v>683</v>
      </c>
      <c r="B395" s="7" t="s">
        <v>164</v>
      </c>
      <c r="C395" s="7" t="s">
        <v>278</v>
      </c>
      <c r="D395" s="7" t="s">
        <v>165</v>
      </c>
      <c r="E395" s="7" t="s">
        <v>348</v>
      </c>
      <c r="F395" s="8" t="str">
        <f>_xlfn.IFNA(INDEX('HS Codes'!$D$2:$K2949,MATCH($B395,'HS Codes'!$A$2:$A2949,0),MATCH(F$1,'HS Codes'!$D$1:$K$1,0)),"")</f>
        <v>6302.93.2000</v>
      </c>
      <c r="G395" s="8">
        <f>_xlfn.IFNA(INDEX('HS Codes'!$D$2:$K2949,MATCH($B395,'HS Codes'!$A$2:$A2949,0),MATCH(G$1,'HS Codes'!$D$1:$K$1,0)),"")</f>
        <v>6302600090</v>
      </c>
      <c r="H395" s="8" t="str">
        <f>_xlfn.IFNA(INDEX('HS Codes'!$D$2:$K2949,MATCH($B395,'HS Codes'!$A$2:$A2949,0),MATCH(H$1,'HS Codes'!$D$1:$K$1,0)),"")</f>
        <v>6302.93.00.00</v>
      </c>
      <c r="I395" s="8">
        <f>_xlfn.IFNA(INDEX('HS Codes'!$D$2:$K2949,MATCH($B395,'HS Codes'!$A$2:$A2949,0),MATCH(I$1,'HS Codes'!$D$1:$K$1,0)),"")</f>
        <v>63029390</v>
      </c>
      <c r="J395" s="8">
        <f>_xlfn.IFNA(INDEX('HS Codes'!$D$2:$K2949,MATCH($B395,'HS Codes'!$A$2:$A2949,0),MATCH(J$1,'HS Codes'!$D$1:$K$1,0)),"")</f>
        <v>0</v>
      </c>
      <c r="K395" s="8" t="str">
        <f>_xlfn.IFNA(INDEX('HS Codes'!$D$2:$K2949,MATCH($B395,'HS Codes'!$A$2:$A2949,0),MATCH(K$1,'HS Codes'!$D$1:$K$1,0)),"")</f>
        <v>6302.39.00</v>
      </c>
      <c r="L395" s="8">
        <f>_xlfn.IFNA(INDEX('HS Codes'!$D$2:$K2949,MATCH($B395,'HS Codes'!$A$2:$A2949,0),MATCH(L$1,'HS Codes'!$D$1:$K$1,0)),"")</f>
        <v>63029120</v>
      </c>
      <c r="M395" s="8" t="str">
        <f>_xlfn.IFNA(INDEX('HS Codes'!$C$2:$C2949,MATCH($B395,'HS Codes'!$A$2:$A2949,0)),"")</f>
        <v>Beach Towel - Toilet Linen 100% recycled 220 GSM/83% polyester/17% polyamide includes cotton on the packing pouch drawstring</v>
      </c>
      <c r="N395" s="9"/>
      <c r="O395" s="9"/>
      <c r="P395" s="9"/>
      <c r="Q395" s="9"/>
    </row>
    <row r="396" spans="1:17" ht="15.75" customHeight="1">
      <c r="A396" s="7" t="s">
        <v>684</v>
      </c>
      <c r="B396" s="7" t="s">
        <v>164</v>
      </c>
      <c r="C396" s="7" t="s">
        <v>278</v>
      </c>
      <c r="D396" s="7" t="s">
        <v>165</v>
      </c>
      <c r="E396" s="7" t="s">
        <v>348</v>
      </c>
      <c r="F396" s="8" t="str">
        <f>_xlfn.IFNA(INDEX('HS Codes'!$D$2:$K2950,MATCH($B396,'HS Codes'!$A$2:$A2950,0),MATCH(F$1,'HS Codes'!$D$1:$K$1,0)),"")</f>
        <v>6302.93.2000</v>
      </c>
      <c r="G396" s="8">
        <f>_xlfn.IFNA(INDEX('HS Codes'!$D$2:$K2950,MATCH($B396,'HS Codes'!$A$2:$A2950,0),MATCH(G$1,'HS Codes'!$D$1:$K$1,0)),"")</f>
        <v>6302600090</v>
      </c>
      <c r="H396" s="8" t="str">
        <f>_xlfn.IFNA(INDEX('HS Codes'!$D$2:$K2950,MATCH($B396,'HS Codes'!$A$2:$A2950,0),MATCH(H$1,'HS Codes'!$D$1:$K$1,0)),"")</f>
        <v>6302.93.00.00</v>
      </c>
      <c r="I396" s="8">
        <f>_xlfn.IFNA(INDEX('HS Codes'!$D$2:$K2950,MATCH($B396,'HS Codes'!$A$2:$A2950,0),MATCH(I$1,'HS Codes'!$D$1:$K$1,0)),"")</f>
        <v>63029390</v>
      </c>
      <c r="J396" s="8">
        <f>_xlfn.IFNA(INDEX('HS Codes'!$D$2:$K2950,MATCH($B396,'HS Codes'!$A$2:$A2950,0),MATCH(J$1,'HS Codes'!$D$1:$K$1,0)),"")</f>
        <v>0</v>
      </c>
      <c r="K396" s="8" t="str">
        <f>_xlfn.IFNA(INDEX('HS Codes'!$D$2:$K2950,MATCH($B396,'HS Codes'!$A$2:$A2950,0),MATCH(K$1,'HS Codes'!$D$1:$K$1,0)),"")</f>
        <v>6302.39.00</v>
      </c>
      <c r="L396" s="8">
        <f>_xlfn.IFNA(INDEX('HS Codes'!$D$2:$K2950,MATCH($B396,'HS Codes'!$A$2:$A2950,0),MATCH(L$1,'HS Codes'!$D$1:$K$1,0)),"")</f>
        <v>63029120</v>
      </c>
      <c r="M396" s="8" t="str">
        <f>_xlfn.IFNA(INDEX('HS Codes'!$C$2:$C2950,MATCH($B396,'HS Codes'!$A$2:$A2950,0)),"")</f>
        <v>Beach Towel - Toilet Linen 100% recycled 220 GSM/83% polyester/17% polyamide includes cotton on the packing pouch drawstring</v>
      </c>
      <c r="N396" s="9"/>
      <c r="O396" s="9"/>
      <c r="P396" s="9"/>
      <c r="Q396" s="9"/>
    </row>
    <row r="397" spans="1:17" ht="15.75" customHeight="1">
      <c r="A397" s="7" t="s">
        <v>685</v>
      </c>
      <c r="B397" s="7" t="s">
        <v>164</v>
      </c>
      <c r="C397" s="7" t="s">
        <v>278</v>
      </c>
      <c r="D397" s="7" t="s">
        <v>165</v>
      </c>
      <c r="E397" s="7" t="s">
        <v>348</v>
      </c>
      <c r="F397" s="8" t="str">
        <f>_xlfn.IFNA(INDEX('HS Codes'!$D$2:$K2951,MATCH($B397,'HS Codes'!$A$2:$A2951,0),MATCH(F$1,'HS Codes'!$D$1:$K$1,0)),"")</f>
        <v>6302.93.2000</v>
      </c>
      <c r="G397" s="8">
        <f>_xlfn.IFNA(INDEX('HS Codes'!$D$2:$K2951,MATCH($B397,'HS Codes'!$A$2:$A2951,0),MATCH(G$1,'HS Codes'!$D$1:$K$1,0)),"")</f>
        <v>6302600090</v>
      </c>
      <c r="H397" s="8" t="str">
        <f>_xlfn.IFNA(INDEX('HS Codes'!$D$2:$K2951,MATCH($B397,'HS Codes'!$A$2:$A2951,0),MATCH(H$1,'HS Codes'!$D$1:$K$1,0)),"")</f>
        <v>6302.93.00.00</v>
      </c>
      <c r="I397" s="8">
        <f>_xlfn.IFNA(INDEX('HS Codes'!$D$2:$K2951,MATCH($B397,'HS Codes'!$A$2:$A2951,0),MATCH(I$1,'HS Codes'!$D$1:$K$1,0)),"")</f>
        <v>63029390</v>
      </c>
      <c r="J397" s="8">
        <f>_xlfn.IFNA(INDEX('HS Codes'!$D$2:$K2951,MATCH($B397,'HS Codes'!$A$2:$A2951,0),MATCH(J$1,'HS Codes'!$D$1:$K$1,0)),"")</f>
        <v>0</v>
      </c>
      <c r="K397" s="8" t="str">
        <f>_xlfn.IFNA(INDEX('HS Codes'!$D$2:$K2951,MATCH($B397,'HS Codes'!$A$2:$A2951,0),MATCH(K$1,'HS Codes'!$D$1:$K$1,0)),"")</f>
        <v>6302.39.00</v>
      </c>
      <c r="L397" s="8">
        <f>_xlfn.IFNA(INDEX('HS Codes'!$D$2:$K2951,MATCH($B397,'HS Codes'!$A$2:$A2951,0),MATCH(L$1,'HS Codes'!$D$1:$K$1,0)),"")</f>
        <v>63029120</v>
      </c>
      <c r="M397" s="8" t="str">
        <f>_xlfn.IFNA(INDEX('HS Codes'!$C$2:$C2951,MATCH($B397,'HS Codes'!$A$2:$A2951,0)),"")</f>
        <v>Beach Towel - Toilet Linen 100% recycled 220 GSM/83% polyester/17% polyamide includes cotton on the packing pouch drawstring</v>
      </c>
      <c r="N397" s="9"/>
      <c r="O397" s="9"/>
      <c r="P397" s="9"/>
      <c r="Q397" s="9"/>
    </row>
    <row r="398" spans="1:17" ht="15.75" customHeight="1">
      <c r="A398" s="7" t="s">
        <v>686</v>
      </c>
      <c r="B398" s="7" t="s">
        <v>164</v>
      </c>
      <c r="C398" s="7" t="s">
        <v>278</v>
      </c>
      <c r="D398" s="7" t="s">
        <v>165</v>
      </c>
      <c r="E398" s="7" t="s">
        <v>348</v>
      </c>
      <c r="F398" s="8" t="str">
        <f>_xlfn.IFNA(INDEX('HS Codes'!$D$2:$K2952,MATCH($B398,'HS Codes'!$A$2:$A2952,0),MATCH(F$1,'HS Codes'!$D$1:$K$1,0)),"")</f>
        <v>6302.93.2000</v>
      </c>
      <c r="G398" s="8">
        <f>_xlfn.IFNA(INDEX('HS Codes'!$D$2:$K2952,MATCH($B398,'HS Codes'!$A$2:$A2952,0),MATCH(G$1,'HS Codes'!$D$1:$K$1,0)),"")</f>
        <v>6302600090</v>
      </c>
      <c r="H398" s="8" t="str">
        <f>_xlfn.IFNA(INDEX('HS Codes'!$D$2:$K2952,MATCH($B398,'HS Codes'!$A$2:$A2952,0),MATCH(H$1,'HS Codes'!$D$1:$K$1,0)),"")</f>
        <v>6302.93.00.00</v>
      </c>
      <c r="I398" s="8">
        <f>_xlfn.IFNA(INDEX('HS Codes'!$D$2:$K2952,MATCH($B398,'HS Codes'!$A$2:$A2952,0),MATCH(I$1,'HS Codes'!$D$1:$K$1,0)),"")</f>
        <v>63029390</v>
      </c>
      <c r="J398" s="8">
        <f>_xlfn.IFNA(INDEX('HS Codes'!$D$2:$K2952,MATCH($B398,'HS Codes'!$A$2:$A2952,0),MATCH(J$1,'HS Codes'!$D$1:$K$1,0)),"")</f>
        <v>0</v>
      </c>
      <c r="K398" s="8" t="str">
        <f>_xlfn.IFNA(INDEX('HS Codes'!$D$2:$K2952,MATCH($B398,'HS Codes'!$A$2:$A2952,0),MATCH(K$1,'HS Codes'!$D$1:$K$1,0)),"")</f>
        <v>6302.39.00</v>
      </c>
      <c r="L398" s="8">
        <f>_xlfn.IFNA(INDEX('HS Codes'!$D$2:$K2952,MATCH($B398,'HS Codes'!$A$2:$A2952,0),MATCH(L$1,'HS Codes'!$D$1:$K$1,0)),"")</f>
        <v>63029120</v>
      </c>
      <c r="M398" s="8" t="str">
        <f>_xlfn.IFNA(INDEX('HS Codes'!$C$2:$C2952,MATCH($B398,'HS Codes'!$A$2:$A2952,0)),"")</f>
        <v>Beach Towel - Toilet Linen 100% recycled 220 GSM/83% polyester/17% polyamide includes cotton on the packing pouch drawstring</v>
      </c>
      <c r="N398" s="9"/>
      <c r="O398" s="9"/>
      <c r="P398" s="9"/>
      <c r="Q398" s="9"/>
    </row>
    <row r="399" spans="1:17" ht="15.75" customHeight="1">
      <c r="A399" s="7" t="s">
        <v>687</v>
      </c>
      <c r="B399" s="7" t="s">
        <v>164</v>
      </c>
      <c r="C399" s="7" t="s">
        <v>278</v>
      </c>
      <c r="D399" s="7" t="s">
        <v>165</v>
      </c>
      <c r="E399" s="7" t="s">
        <v>348</v>
      </c>
      <c r="F399" s="8" t="str">
        <f>_xlfn.IFNA(INDEX('HS Codes'!$D$2:$K2953,MATCH($B399,'HS Codes'!$A$2:$A2953,0),MATCH(F$1,'HS Codes'!$D$1:$K$1,0)),"")</f>
        <v>6302.93.2000</v>
      </c>
      <c r="G399" s="8">
        <f>_xlfn.IFNA(INDEX('HS Codes'!$D$2:$K2953,MATCH($B399,'HS Codes'!$A$2:$A2953,0),MATCH(G$1,'HS Codes'!$D$1:$K$1,0)),"")</f>
        <v>6302600090</v>
      </c>
      <c r="H399" s="8" t="str">
        <f>_xlfn.IFNA(INDEX('HS Codes'!$D$2:$K2953,MATCH($B399,'HS Codes'!$A$2:$A2953,0),MATCH(H$1,'HS Codes'!$D$1:$K$1,0)),"")</f>
        <v>6302.93.00.00</v>
      </c>
      <c r="I399" s="8">
        <f>_xlfn.IFNA(INDEX('HS Codes'!$D$2:$K2953,MATCH($B399,'HS Codes'!$A$2:$A2953,0),MATCH(I$1,'HS Codes'!$D$1:$K$1,0)),"")</f>
        <v>63029390</v>
      </c>
      <c r="J399" s="8">
        <f>_xlfn.IFNA(INDEX('HS Codes'!$D$2:$K2953,MATCH($B399,'HS Codes'!$A$2:$A2953,0),MATCH(J$1,'HS Codes'!$D$1:$K$1,0)),"")</f>
        <v>0</v>
      </c>
      <c r="K399" s="8" t="str">
        <f>_xlfn.IFNA(INDEX('HS Codes'!$D$2:$K2953,MATCH($B399,'HS Codes'!$A$2:$A2953,0),MATCH(K$1,'HS Codes'!$D$1:$K$1,0)),"")</f>
        <v>6302.39.00</v>
      </c>
      <c r="L399" s="8">
        <f>_xlfn.IFNA(INDEX('HS Codes'!$D$2:$K2953,MATCH($B399,'HS Codes'!$A$2:$A2953,0),MATCH(L$1,'HS Codes'!$D$1:$K$1,0)),"")</f>
        <v>63029120</v>
      </c>
      <c r="M399" s="8" t="str">
        <f>_xlfn.IFNA(INDEX('HS Codes'!$C$2:$C2953,MATCH($B399,'HS Codes'!$A$2:$A2953,0)),"")</f>
        <v>Beach Towel - Toilet Linen 100% recycled 220 GSM/83% polyester/17% polyamide includes cotton on the packing pouch drawstring</v>
      </c>
      <c r="N399" s="9"/>
      <c r="O399" s="9"/>
      <c r="P399" s="9"/>
      <c r="Q399" s="9"/>
    </row>
    <row r="400" spans="1:17" ht="15.75" customHeight="1">
      <c r="A400" s="7" t="s">
        <v>688</v>
      </c>
      <c r="B400" s="7" t="s">
        <v>164</v>
      </c>
      <c r="C400" s="7" t="s">
        <v>278</v>
      </c>
      <c r="D400" s="7" t="s">
        <v>165</v>
      </c>
      <c r="E400" s="7" t="s">
        <v>348</v>
      </c>
      <c r="F400" s="8" t="str">
        <f>_xlfn.IFNA(INDEX('HS Codes'!$D$2:$K2954,MATCH($B400,'HS Codes'!$A$2:$A2954,0),MATCH(F$1,'HS Codes'!$D$1:$K$1,0)),"")</f>
        <v>6302.93.2000</v>
      </c>
      <c r="G400" s="8">
        <f>_xlfn.IFNA(INDEX('HS Codes'!$D$2:$K2954,MATCH($B400,'HS Codes'!$A$2:$A2954,0),MATCH(G$1,'HS Codes'!$D$1:$K$1,0)),"")</f>
        <v>6302600090</v>
      </c>
      <c r="H400" s="8" t="str">
        <f>_xlfn.IFNA(INDEX('HS Codes'!$D$2:$K2954,MATCH($B400,'HS Codes'!$A$2:$A2954,0),MATCH(H$1,'HS Codes'!$D$1:$K$1,0)),"")</f>
        <v>6302.93.00.00</v>
      </c>
      <c r="I400" s="8">
        <f>_xlfn.IFNA(INDEX('HS Codes'!$D$2:$K2954,MATCH($B400,'HS Codes'!$A$2:$A2954,0),MATCH(I$1,'HS Codes'!$D$1:$K$1,0)),"")</f>
        <v>63029390</v>
      </c>
      <c r="J400" s="8">
        <f>_xlfn.IFNA(INDEX('HS Codes'!$D$2:$K2954,MATCH($B400,'HS Codes'!$A$2:$A2954,0),MATCH(J$1,'HS Codes'!$D$1:$K$1,0)),"")</f>
        <v>0</v>
      </c>
      <c r="K400" s="8" t="str">
        <f>_xlfn.IFNA(INDEX('HS Codes'!$D$2:$K2954,MATCH($B400,'HS Codes'!$A$2:$A2954,0),MATCH(K$1,'HS Codes'!$D$1:$K$1,0)),"")</f>
        <v>6302.39.00</v>
      </c>
      <c r="L400" s="8">
        <f>_xlfn.IFNA(INDEX('HS Codes'!$D$2:$K2954,MATCH($B400,'HS Codes'!$A$2:$A2954,0),MATCH(L$1,'HS Codes'!$D$1:$K$1,0)),"")</f>
        <v>63029120</v>
      </c>
      <c r="M400" s="8" t="str">
        <f>_xlfn.IFNA(INDEX('HS Codes'!$C$2:$C2954,MATCH($B400,'HS Codes'!$A$2:$A2954,0)),"")</f>
        <v>Beach Towel - Toilet Linen 100% recycled 220 GSM/83% polyester/17% polyamide includes cotton on the packing pouch drawstring</v>
      </c>
      <c r="N400" s="9"/>
      <c r="O400" s="9"/>
      <c r="P400" s="9"/>
      <c r="Q400" s="9"/>
    </row>
    <row r="401" spans="1:17" ht="15.75" customHeight="1">
      <c r="A401" s="7" t="s">
        <v>689</v>
      </c>
      <c r="B401" s="7" t="s">
        <v>164</v>
      </c>
      <c r="C401" s="7" t="s">
        <v>278</v>
      </c>
      <c r="D401" s="7" t="s">
        <v>165</v>
      </c>
      <c r="E401" s="7" t="s">
        <v>348</v>
      </c>
      <c r="F401" s="8" t="str">
        <f>_xlfn.IFNA(INDEX('HS Codes'!$D$2:$K2955,MATCH($B401,'HS Codes'!$A$2:$A2955,0),MATCH(F$1,'HS Codes'!$D$1:$K$1,0)),"")</f>
        <v>6302.93.2000</v>
      </c>
      <c r="G401" s="8">
        <f>_xlfn.IFNA(INDEX('HS Codes'!$D$2:$K2955,MATCH($B401,'HS Codes'!$A$2:$A2955,0),MATCH(G$1,'HS Codes'!$D$1:$K$1,0)),"")</f>
        <v>6302600090</v>
      </c>
      <c r="H401" s="8" t="str">
        <f>_xlfn.IFNA(INDEX('HS Codes'!$D$2:$K2955,MATCH($B401,'HS Codes'!$A$2:$A2955,0),MATCH(H$1,'HS Codes'!$D$1:$K$1,0)),"")</f>
        <v>6302.93.00.00</v>
      </c>
      <c r="I401" s="8">
        <f>_xlfn.IFNA(INDEX('HS Codes'!$D$2:$K2955,MATCH($B401,'HS Codes'!$A$2:$A2955,0),MATCH(I$1,'HS Codes'!$D$1:$K$1,0)),"")</f>
        <v>63029390</v>
      </c>
      <c r="J401" s="8">
        <f>_xlfn.IFNA(INDEX('HS Codes'!$D$2:$K2955,MATCH($B401,'HS Codes'!$A$2:$A2955,0),MATCH(J$1,'HS Codes'!$D$1:$K$1,0)),"")</f>
        <v>0</v>
      </c>
      <c r="K401" s="8" t="str">
        <f>_xlfn.IFNA(INDEX('HS Codes'!$D$2:$K2955,MATCH($B401,'HS Codes'!$A$2:$A2955,0),MATCH(K$1,'HS Codes'!$D$1:$K$1,0)),"")</f>
        <v>6302.39.00</v>
      </c>
      <c r="L401" s="8">
        <f>_xlfn.IFNA(INDEX('HS Codes'!$D$2:$K2955,MATCH($B401,'HS Codes'!$A$2:$A2955,0),MATCH(L$1,'HS Codes'!$D$1:$K$1,0)),"")</f>
        <v>63029120</v>
      </c>
      <c r="M401" s="8" t="str">
        <f>_xlfn.IFNA(INDEX('HS Codes'!$C$2:$C2955,MATCH($B401,'HS Codes'!$A$2:$A2955,0)),"")</f>
        <v>Beach Towel - Toilet Linen 100% recycled 220 GSM/83% polyester/17% polyamide includes cotton on the packing pouch drawstring</v>
      </c>
      <c r="N401" s="9"/>
      <c r="O401" s="9"/>
      <c r="P401" s="9"/>
      <c r="Q401" s="9"/>
    </row>
    <row r="402" spans="1:17" ht="15.75" customHeight="1">
      <c r="A402" s="7" t="s">
        <v>690</v>
      </c>
      <c r="B402" s="7" t="s">
        <v>164</v>
      </c>
      <c r="C402" s="7" t="s">
        <v>278</v>
      </c>
      <c r="D402" s="7" t="s">
        <v>165</v>
      </c>
      <c r="E402" s="7" t="s">
        <v>348</v>
      </c>
      <c r="F402" s="8" t="str">
        <f>_xlfn.IFNA(INDEX('HS Codes'!$D$2:$K2956,MATCH($B402,'HS Codes'!$A$2:$A2956,0),MATCH(F$1,'HS Codes'!$D$1:$K$1,0)),"")</f>
        <v>6302.93.2000</v>
      </c>
      <c r="G402" s="8">
        <f>_xlfn.IFNA(INDEX('HS Codes'!$D$2:$K2956,MATCH($B402,'HS Codes'!$A$2:$A2956,0),MATCH(G$1,'HS Codes'!$D$1:$K$1,0)),"")</f>
        <v>6302600090</v>
      </c>
      <c r="H402" s="8" t="str">
        <f>_xlfn.IFNA(INDEX('HS Codes'!$D$2:$K2956,MATCH($B402,'HS Codes'!$A$2:$A2956,0),MATCH(H$1,'HS Codes'!$D$1:$K$1,0)),"")</f>
        <v>6302.93.00.00</v>
      </c>
      <c r="I402" s="8">
        <f>_xlfn.IFNA(INDEX('HS Codes'!$D$2:$K2956,MATCH($B402,'HS Codes'!$A$2:$A2956,0),MATCH(I$1,'HS Codes'!$D$1:$K$1,0)),"")</f>
        <v>63029390</v>
      </c>
      <c r="J402" s="8">
        <f>_xlfn.IFNA(INDEX('HS Codes'!$D$2:$K2956,MATCH($B402,'HS Codes'!$A$2:$A2956,0),MATCH(J$1,'HS Codes'!$D$1:$K$1,0)),"")</f>
        <v>0</v>
      </c>
      <c r="K402" s="8" t="str">
        <f>_xlfn.IFNA(INDEX('HS Codes'!$D$2:$K2956,MATCH($B402,'HS Codes'!$A$2:$A2956,0),MATCH(K$1,'HS Codes'!$D$1:$K$1,0)),"")</f>
        <v>6302.39.00</v>
      </c>
      <c r="L402" s="8">
        <f>_xlfn.IFNA(INDEX('HS Codes'!$D$2:$K2956,MATCH($B402,'HS Codes'!$A$2:$A2956,0),MATCH(L$1,'HS Codes'!$D$1:$K$1,0)),"")</f>
        <v>63029120</v>
      </c>
      <c r="M402" s="8" t="str">
        <f>_xlfn.IFNA(INDEX('HS Codes'!$C$2:$C2956,MATCH($B402,'HS Codes'!$A$2:$A2956,0)),"")</f>
        <v>Beach Towel - Toilet Linen 100% recycled 220 GSM/83% polyester/17% polyamide includes cotton on the packing pouch drawstring</v>
      </c>
      <c r="N402" s="9"/>
      <c r="O402" s="9"/>
      <c r="P402" s="9"/>
      <c r="Q402" s="9"/>
    </row>
    <row r="403" spans="1:17" ht="15.75" customHeight="1">
      <c r="A403" s="7" t="s">
        <v>691</v>
      </c>
      <c r="B403" s="7" t="s">
        <v>164</v>
      </c>
      <c r="C403" s="7" t="s">
        <v>278</v>
      </c>
      <c r="D403" s="7" t="s">
        <v>165</v>
      </c>
      <c r="E403" s="7" t="s">
        <v>348</v>
      </c>
      <c r="F403" s="8" t="str">
        <f>_xlfn.IFNA(INDEX('HS Codes'!$D$2:$K2957,MATCH($B403,'HS Codes'!$A$2:$A2957,0),MATCH(F$1,'HS Codes'!$D$1:$K$1,0)),"")</f>
        <v>6302.93.2000</v>
      </c>
      <c r="G403" s="8">
        <f>_xlfn.IFNA(INDEX('HS Codes'!$D$2:$K2957,MATCH($B403,'HS Codes'!$A$2:$A2957,0),MATCH(G$1,'HS Codes'!$D$1:$K$1,0)),"")</f>
        <v>6302600090</v>
      </c>
      <c r="H403" s="8" t="str">
        <f>_xlfn.IFNA(INDEX('HS Codes'!$D$2:$K2957,MATCH($B403,'HS Codes'!$A$2:$A2957,0),MATCH(H$1,'HS Codes'!$D$1:$K$1,0)),"")</f>
        <v>6302.93.00.00</v>
      </c>
      <c r="I403" s="8">
        <f>_xlfn.IFNA(INDEX('HS Codes'!$D$2:$K2957,MATCH($B403,'HS Codes'!$A$2:$A2957,0),MATCH(I$1,'HS Codes'!$D$1:$K$1,0)),"")</f>
        <v>63029390</v>
      </c>
      <c r="J403" s="8">
        <f>_xlfn.IFNA(INDEX('HS Codes'!$D$2:$K2957,MATCH($B403,'HS Codes'!$A$2:$A2957,0),MATCH(J$1,'HS Codes'!$D$1:$K$1,0)),"")</f>
        <v>0</v>
      </c>
      <c r="K403" s="8" t="str">
        <f>_xlfn.IFNA(INDEX('HS Codes'!$D$2:$K2957,MATCH($B403,'HS Codes'!$A$2:$A2957,0),MATCH(K$1,'HS Codes'!$D$1:$K$1,0)),"")</f>
        <v>6302.39.00</v>
      </c>
      <c r="L403" s="8">
        <f>_xlfn.IFNA(INDEX('HS Codes'!$D$2:$K2957,MATCH($B403,'HS Codes'!$A$2:$A2957,0),MATCH(L$1,'HS Codes'!$D$1:$K$1,0)),"")</f>
        <v>63029120</v>
      </c>
      <c r="M403" s="8" t="str">
        <f>_xlfn.IFNA(INDEX('HS Codes'!$C$2:$C2957,MATCH($B403,'HS Codes'!$A$2:$A2957,0)),"")</f>
        <v>Beach Towel - Toilet Linen 100% recycled 220 GSM/83% polyester/17% polyamide includes cotton on the packing pouch drawstring</v>
      </c>
      <c r="N403" s="9"/>
      <c r="O403" s="9"/>
      <c r="P403" s="9"/>
      <c r="Q403" s="9"/>
    </row>
    <row r="404" spans="1:17" ht="15.75" customHeight="1">
      <c r="A404" s="7" t="s">
        <v>692</v>
      </c>
      <c r="B404" s="7" t="s">
        <v>164</v>
      </c>
      <c r="C404" s="7" t="s">
        <v>278</v>
      </c>
      <c r="D404" s="7" t="s">
        <v>165</v>
      </c>
      <c r="E404" s="7" t="s">
        <v>348</v>
      </c>
      <c r="F404" s="8" t="str">
        <f>_xlfn.IFNA(INDEX('HS Codes'!$D$2:$K2958,MATCH($B404,'HS Codes'!$A$2:$A2958,0),MATCH(F$1,'HS Codes'!$D$1:$K$1,0)),"")</f>
        <v>6302.93.2000</v>
      </c>
      <c r="G404" s="8">
        <f>_xlfn.IFNA(INDEX('HS Codes'!$D$2:$K2958,MATCH($B404,'HS Codes'!$A$2:$A2958,0),MATCH(G$1,'HS Codes'!$D$1:$K$1,0)),"")</f>
        <v>6302600090</v>
      </c>
      <c r="H404" s="8" t="str">
        <f>_xlfn.IFNA(INDEX('HS Codes'!$D$2:$K2958,MATCH($B404,'HS Codes'!$A$2:$A2958,0),MATCH(H$1,'HS Codes'!$D$1:$K$1,0)),"")</f>
        <v>6302.93.00.00</v>
      </c>
      <c r="I404" s="8">
        <f>_xlfn.IFNA(INDEX('HS Codes'!$D$2:$K2958,MATCH($B404,'HS Codes'!$A$2:$A2958,0),MATCH(I$1,'HS Codes'!$D$1:$K$1,0)),"")</f>
        <v>63029390</v>
      </c>
      <c r="J404" s="8">
        <f>_xlfn.IFNA(INDEX('HS Codes'!$D$2:$K2958,MATCH($B404,'HS Codes'!$A$2:$A2958,0),MATCH(J$1,'HS Codes'!$D$1:$K$1,0)),"")</f>
        <v>0</v>
      </c>
      <c r="K404" s="8" t="str">
        <f>_xlfn.IFNA(INDEX('HS Codes'!$D$2:$K2958,MATCH($B404,'HS Codes'!$A$2:$A2958,0),MATCH(K$1,'HS Codes'!$D$1:$K$1,0)),"")</f>
        <v>6302.39.00</v>
      </c>
      <c r="L404" s="8">
        <f>_xlfn.IFNA(INDEX('HS Codes'!$D$2:$K2958,MATCH($B404,'HS Codes'!$A$2:$A2958,0),MATCH(L$1,'HS Codes'!$D$1:$K$1,0)),"")</f>
        <v>63029120</v>
      </c>
      <c r="M404" s="8" t="str">
        <f>_xlfn.IFNA(INDEX('HS Codes'!$C$2:$C2958,MATCH($B404,'HS Codes'!$A$2:$A2958,0)),"")</f>
        <v>Beach Towel - Toilet Linen 100% recycled 220 GSM/83% polyester/17% polyamide includes cotton on the packing pouch drawstring</v>
      </c>
      <c r="N404" s="9"/>
      <c r="O404" s="9"/>
      <c r="P404" s="9"/>
      <c r="Q404" s="9"/>
    </row>
    <row r="405" spans="1:17" ht="15.75" customHeight="1">
      <c r="A405" s="7" t="s">
        <v>693</v>
      </c>
      <c r="B405" s="7" t="s">
        <v>164</v>
      </c>
      <c r="C405" s="7" t="s">
        <v>278</v>
      </c>
      <c r="D405" s="7" t="s">
        <v>165</v>
      </c>
      <c r="E405" s="7" t="s">
        <v>348</v>
      </c>
      <c r="F405" s="8" t="str">
        <f>_xlfn.IFNA(INDEX('HS Codes'!$D$2:$K2959,MATCH($B405,'HS Codes'!$A$2:$A2959,0),MATCH(F$1,'HS Codes'!$D$1:$K$1,0)),"")</f>
        <v>6302.93.2000</v>
      </c>
      <c r="G405" s="8">
        <f>_xlfn.IFNA(INDEX('HS Codes'!$D$2:$K2959,MATCH($B405,'HS Codes'!$A$2:$A2959,0),MATCH(G$1,'HS Codes'!$D$1:$K$1,0)),"")</f>
        <v>6302600090</v>
      </c>
      <c r="H405" s="8" t="str">
        <f>_xlfn.IFNA(INDEX('HS Codes'!$D$2:$K2959,MATCH($B405,'HS Codes'!$A$2:$A2959,0),MATCH(H$1,'HS Codes'!$D$1:$K$1,0)),"")</f>
        <v>6302.93.00.00</v>
      </c>
      <c r="I405" s="8">
        <f>_xlfn.IFNA(INDEX('HS Codes'!$D$2:$K2959,MATCH($B405,'HS Codes'!$A$2:$A2959,0),MATCH(I$1,'HS Codes'!$D$1:$K$1,0)),"")</f>
        <v>63029390</v>
      </c>
      <c r="J405" s="8">
        <f>_xlfn.IFNA(INDEX('HS Codes'!$D$2:$K2959,MATCH($B405,'HS Codes'!$A$2:$A2959,0),MATCH(J$1,'HS Codes'!$D$1:$K$1,0)),"")</f>
        <v>0</v>
      </c>
      <c r="K405" s="8" t="str">
        <f>_xlfn.IFNA(INDEX('HS Codes'!$D$2:$K2959,MATCH($B405,'HS Codes'!$A$2:$A2959,0),MATCH(K$1,'HS Codes'!$D$1:$K$1,0)),"")</f>
        <v>6302.39.00</v>
      </c>
      <c r="L405" s="8">
        <f>_xlfn.IFNA(INDEX('HS Codes'!$D$2:$K2959,MATCH($B405,'HS Codes'!$A$2:$A2959,0),MATCH(L$1,'HS Codes'!$D$1:$K$1,0)),"")</f>
        <v>63029120</v>
      </c>
      <c r="M405" s="8" t="str">
        <f>_xlfn.IFNA(INDEX('HS Codes'!$C$2:$C2959,MATCH($B405,'HS Codes'!$A$2:$A2959,0)),"")</f>
        <v>Beach Towel - Toilet Linen 100% recycled 220 GSM/83% polyester/17% polyamide includes cotton on the packing pouch drawstring</v>
      </c>
      <c r="N405" s="9"/>
      <c r="O405" s="9"/>
      <c r="P405" s="9"/>
      <c r="Q405" s="9"/>
    </row>
    <row r="406" spans="1:17" ht="15.75" customHeight="1">
      <c r="A406" s="7" t="s">
        <v>694</v>
      </c>
      <c r="B406" s="7" t="s">
        <v>164</v>
      </c>
      <c r="C406" s="7" t="s">
        <v>278</v>
      </c>
      <c r="D406" s="7" t="s">
        <v>165</v>
      </c>
      <c r="E406" s="7" t="s">
        <v>348</v>
      </c>
      <c r="F406" s="8" t="str">
        <f>_xlfn.IFNA(INDEX('HS Codes'!$D$2:$K2960,MATCH($B406,'HS Codes'!$A$2:$A2960,0),MATCH(F$1,'HS Codes'!$D$1:$K$1,0)),"")</f>
        <v>6302.93.2000</v>
      </c>
      <c r="G406" s="8">
        <f>_xlfn.IFNA(INDEX('HS Codes'!$D$2:$K2960,MATCH($B406,'HS Codes'!$A$2:$A2960,0),MATCH(G$1,'HS Codes'!$D$1:$K$1,0)),"")</f>
        <v>6302600090</v>
      </c>
      <c r="H406" s="8" t="str">
        <f>_xlfn.IFNA(INDEX('HS Codes'!$D$2:$K2960,MATCH($B406,'HS Codes'!$A$2:$A2960,0),MATCH(H$1,'HS Codes'!$D$1:$K$1,0)),"")</f>
        <v>6302.93.00.00</v>
      </c>
      <c r="I406" s="8">
        <f>_xlfn.IFNA(INDEX('HS Codes'!$D$2:$K2960,MATCH($B406,'HS Codes'!$A$2:$A2960,0),MATCH(I$1,'HS Codes'!$D$1:$K$1,0)),"")</f>
        <v>63029390</v>
      </c>
      <c r="J406" s="8">
        <f>_xlfn.IFNA(INDEX('HS Codes'!$D$2:$K2960,MATCH($B406,'HS Codes'!$A$2:$A2960,0),MATCH(J$1,'HS Codes'!$D$1:$K$1,0)),"")</f>
        <v>0</v>
      </c>
      <c r="K406" s="8" t="str">
        <f>_xlfn.IFNA(INDEX('HS Codes'!$D$2:$K2960,MATCH($B406,'HS Codes'!$A$2:$A2960,0),MATCH(K$1,'HS Codes'!$D$1:$K$1,0)),"")</f>
        <v>6302.39.00</v>
      </c>
      <c r="L406" s="8">
        <f>_xlfn.IFNA(INDEX('HS Codes'!$D$2:$K2960,MATCH($B406,'HS Codes'!$A$2:$A2960,0),MATCH(L$1,'HS Codes'!$D$1:$K$1,0)),"")</f>
        <v>63029120</v>
      </c>
      <c r="M406" s="8" t="str">
        <f>_xlfn.IFNA(INDEX('HS Codes'!$C$2:$C2960,MATCH($B406,'HS Codes'!$A$2:$A2960,0)),"")</f>
        <v>Beach Towel - Toilet Linen 100% recycled 220 GSM/83% polyester/17% polyamide includes cotton on the packing pouch drawstring</v>
      </c>
      <c r="N406" s="9"/>
      <c r="O406" s="9"/>
      <c r="P406" s="9"/>
      <c r="Q406" s="9"/>
    </row>
    <row r="407" spans="1:17" ht="15.75" customHeight="1">
      <c r="A407" s="7" t="s">
        <v>695</v>
      </c>
      <c r="B407" s="7" t="s">
        <v>164</v>
      </c>
      <c r="C407" s="7" t="s">
        <v>278</v>
      </c>
      <c r="D407" s="7" t="s">
        <v>165</v>
      </c>
      <c r="E407" s="7" t="s">
        <v>348</v>
      </c>
      <c r="F407" s="8" t="str">
        <f>_xlfn.IFNA(INDEX('HS Codes'!$D$2:$K2961,MATCH($B407,'HS Codes'!$A$2:$A2961,0),MATCH(F$1,'HS Codes'!$D$1:$K$1,0)),"")</f>
        <v>6302.93.2000</v>
      </c>
      <c r="G407" s="8">
        <f>_xlfn.IFNA(INDEX('HS Codes'!$D$2:$K2961,MATCH($B407,'HS Codes'!$A$2:$A2961,0),MATCH(G$1,'HS Codes'!$D$1:$K$1,0)),"")</f>
        <v>6302600090</v>
      </c>
      <c r="H407" s="8" t="str">
        <f>_xlfn.IFNA(INDEX('HS Codes'!$D$2:$K2961,MATCH($B407,'HS Codes'!$A$2:$A2961,0),MATCH(H$1,'HS Codes'!$D$1:$K$1,0)),"")</f>
        <v>6302.93.00.00</v>
      </c>
      <c r="I407" s="8">
        <f>_xlfn.IFNA(INDEX('HS Codes'!$D$2:$K2961,MATCH($B407,'HS Codes'!$A$2:$A2961,0),MATCH(I$1,'HS Codes'!$D$1:$K$1,0)),"")</f>
        <v>63029390</v>
      </c>
      <c r="J407" s="8">
        <f>_xlfn.IFNA(INDEX('HS Codes'!$D$2:$K2961,MATCH($B407,'HS Codes'!$A$2:$A2961,0),MATCH(J$1,'HS Codes'!$D$1:$K$1,0)),"")</f>
        <v>0</v>
      </c>
      <c r="K407" s="8" t="str">
        <f>_xlfn.IFNA(INDEX('HS Codes'!$D$2:$K2961,MATCH($B407,'HS Codes'!$A$2:$A2961,0),MATCH(K$1,'HS Codes'!$D$1:$K$1,0)),"")</f>
        <v>6302.39.00</v>
      </c>
      <c r="L407" s="8">
        <f>_xlfn.IFNA(INDEX('HS Codes'!$D$2:$K2961,MATCH($B407,'HS Codes'!$A$2:$A2961,0),MATCH(L$1,'HS Codes'!$D$1:$K$1,0)),"")</f>
        <v>63029120</v>
      </c>
      <c r="M407" s="8" t="str">
        <f>_xlfn.IFNA(INDEX('HS Codes'!$C$2:$C2961,MATCH($B407,'HS Codes'!$A$2:$A2961,0)),"")</f>
        <v>Beach Towel - Toilet Linen 100% recycled 220 GSM/83% polyester/17% polyamide includes cotton on the packing pouch drawstring</v>
      </c>
      <c r="N407" s="9"/>
      <c r="O407" s="9"/>
      <c r="P407" s="9"/>
      <c r="Q407" s="9"/>
    </row>
    <row r="408" spans="1:17" ht="15.75" customHeight="1">
      <c r="A408" s="7" t="s">
        <v>696</v>
      </c>
      <c r="B408" s="7" t="s">
        <v>164</v>
      </c>
      <c r="C408" s="7" t="s">
        <v>278</v>
      </c>
      <c r="D408" s="7" t="s">
        <v>165</v>
      </c>
      <c r="E408" s="7" t="s">
        <v>348</v>
      </c>
      <c r="F408" s="8" t="str">
        <f>_xlfn.IFNA(INDEX('HS Codes'!$D$2:$K2962,MATCH($B408,'HS Codes'!$A$2:$A2962,0),MATCH(F$1,'HS Codes'!$D$1:$K$1,0)),"")</f>
        <v>6302.93.2000</v>
      </c>
      <c r="G408" s="8">
        <f>_xlfn.IFNA(INDEX('HS Codes'!$D$2:$K2962,MATCH($B408,'HS Codes'!$A$2:$A2962,0),MATCH(G$1,'HS Codes'!$D$1:$K$1,0)),"")</f>
        <v>6302600090</v>
      </c>
      <c r="H408" s="8" t="str">
        <f>_xlfn.IFNA(INDEX('HS Codes'!$D$2:$K2962,MATCH($B408,'HS Codes'!$A$2:$A2962,0),MATCH(H$1,'HS Codes'!$D$1:$K$1,0)),"")</f>
        <v>6302.93.00.00</v>
      </c>
      <c r="I408" s="8">
        <f>_xlfn.IFNA(INDEX('HS Codes'!$D$2:$K2962,MATCH($B408,'HS Codes'!$A$2:$A2962,0),MATCH(I$1,'HS Codes'!$D$1:$K$1,0)),"")</f>
        <v>63029390</v>
      </c>
      <c r="J408" s="8">
        <f>_xlfn.IFNA(INDEX('HS Codes'!$D$2:$K2962,MATCH($B408,'HS Codes'!$A$2:$A2962,0),MATCH(J$1,'HS Codes'!$D$1:$K$1,0)),"")</f>
        <v>0</v>
      </c>
      <c r="K408" s="8" t="str">
        <f>_xlfn.IFNA(INDEX('HS Codes'!$D$2:$K2962,MATCH($B408,'HS Codes'!$A$2:$A2962,0),MATCH(K$1,'HS Codes'!$D$1:$K$1,0)),"")</f>
        <v>6302.39.00</v>
      </c>
      <c r="L408" s="8">
        <f>_xlfn.IFNA(INDEX('HS Codes'!$D$2:$K2962,MATCH($B408,'HS Codes'!$A$2:$A2962,0),MATCH(L$1,'HS Codes'!$D$1:$K$1,0)),"")</f>
        <v>63029120</v>
      </c>
      <c r="M408" s="8" t="str">
        <f>_xlfn.IFNA(INDEX('HS Codes'!$C$2:$C2962,MATCH($B408,'HS Codes'!$A$2:$A2962,0)),"")</f>
        <v>Beach Towel - Toilet Linen 100% recycled 220 GSM/83% polyester/17% polyamide includes cotton on the packing pouch drawstring</v>
      </c>
      <c r="N408" s="9"/>
      <c r="O408" s="9"/>
      <c r="P408" s="9"/>
      <c r="Q408" s="9"/>
    </row>
    <row r="409" spans="1:17" ht="15.75" customHeight="1">
      <c r="A409" s="7" t="s">
        <v>697</v>
      </c>
      <c r="B409" s="7" t="s">
        <v>164</v>
      </c>
      <c r="C409" s="7" t="s">
        <v>278</v>
      </c>
      <c r="D409" s="7" t="s">
        <v>165</v>
      </c>
      <c r="E409" s="7" t="s">
        <v>348</v>
      </c>
      <c r="F409" s="8" t="str">
        <f>_xlfn.IFNA(INDEX('HS Codes'!$D$2:$K2963,MATCH($B409,'HS Codes'!$A$2:$A2963,0),MATCH(F$1,'HS Codes'!$D$1:$K$1,0)),"")</f>
        <v>6302.93.2000</v>
      </c>
      <c r="G409" s="8">
        <f>_xlfn.IFNA(INDEX('HS Codes'!$D$2:$K2963,MATCH($B409,'HS Codes'!$A$2:$A2963,0),MATCH(G$1,'HS Codes'!$D$1:$K$1,0)),"")</f>
        <v>6302600090</v>
      </c>
      <c r="H409" s="8" t="str">
        <f>_xlfn.IFNA(INDEX('HS Codes'!$D$2:$K2963,MATCH($B409,'HS Codes'!$A$2:$A2963,0),MATCH(H$1,'HS Codes'!$D$1:$K$1,0)),"")</f>
        <v>6302.93.00.00</v>
      </c>
      <c r="I409" s="8">
        <f>_xlfn.IFNA(INDEX('HS Codes'!$D$2:$K2963,MATCH($B409,'HS Codes'!$A$2:$A2963,0),MATCH(I$1,'HS Codes'!$D$1:$K$1,0)),"")</f>
        <v>63029390</v>
      </c>
      <c r="J409" s="8">
        <f>_xlfn.IFNA(INDEX('HS Codes'!$D$2:$K2963,MATCH($B409,'HS Codes'!$A$2:$A2963,0),MATCH(J$1,'HS Codes'!$D$1:$K$1,0)),"")</f>
        <v>0</v>
      </c>
      <c r="K409" s="8" t="str">
        <f>_xlfn.IFNA(INDEX('HS Codes'!$D$2:$K2963,MATCH($B409,'HS Codes'!$A$2:$A2963,0),MATCH(K$1,'HS Codes'!$D$1:$K$1,0)),"")</f>
        <v>6302.39.00</v>
      </c>
      <c r="L409" s="8">
        <f>_xlfn.IFNA(INDEX('HS Codes'!$D$2:$K2963,MATCH($B409,'HS Codes'!$A$2:$A2963,0),MATCH(L$1,'HS Codes'!$D$1:$K$1,0)),"")</f>
        <v>63029120</v>
      </c>
      <c r="M409" s="8" t="str">
        <f>_xlfn.IFNA(INDEX('HS Codes'!$C$2:$C2963,MATCH($B409,'HS Codes'!$A$2:$A2963,0)),"")</f>
        <v>Beach Towel - Toilet Linen 100% recycled 220 GSM/83% polyester/17% polyamide includes cotton on the packing pouch drawstring</v>
      </c>
      <c r="N409" s="9"/>
      <c r="O409" s="9"/>
      <c r="P409" s="9"/>
      <c r="Q409" s="9"/>
    </row>
    <row r="410" spans="1:17" ht="15.75" customHeight="1">
      <c r="A410" s="7" t="s">
        <v>698</v>
      </c>
      <c r="B410" s="7" t="s">
        <v>164</v>
      </c>
      <c r="C410" s="7" t="s">
        <v>278</v>
      </c>
      <c r="D410" s="7" t="s">
        <v>165</v>
      </c>
      <c r="E410" s="7" t="s">
        <v>348</v>
      </c>
      <c r="F410" s="8" t="str">
        <f>_xlfn.IFNA(INDEX('HS Codes'!$D$2:$K2964,MATCH($B410,'HS Codes'!$A$2:$A2964,0),MATCH(F$1,'HS Codes'!$D$1:$K$1,0)),"")</f>
        <v>6302.93.2000</v>
      </c>
      <c r="G410" s="8">
        <f>_xlfn.IFNA(INDEX('HS Codes'!$D$2:$K2964,MATCH($B410,'HS Codes'!$A$2:$A2964,0),MATCH(G$1,'HS Codes'!$D$1:$K$1,0)),"")</f>
        <v>6302600090</v>
      </c>
      <c r="H410" s="8" t="str">
        <f>_xlfn.IFNA(INDEX('HS Codes'!$D$2:$K2964,MATCH($B410,'HS Codes'!$A$2:$A2964,0),MATCH(H$1,'HS Codes'!$D$1:$K$1,0)),"")</f>
        <v>6302.93.00.00</v>
      </c>
      <c r="I410" s="8">
        <f>_xlfn.IFNA(INDEX('HS Codes'!$D$2:$K2964,MATCH($B410,'HS Codes'!$A$2:$A2964,0),MATCH(I$1,'HS Codes'!$D$1:$K$1,0)),"")</f>
        <v>63029390</v>
      </c>
      <c r="J410" s="8">
        <f>_xlfn.IFNA(INDEX('HS Codes'!$D$2:$K2964,MATCH($B410,'HS Codes'!$A$2:$A2964,0),MATCH(J$1,'HS Codes'!$D$1:$K$1,0)),"")</f>
        <v>0</v>
      </c>
      <c r="K410" s="8" t="str">
        <f>_xlfn.IFNA(INDEX('HS Codes'!$D$2:$K2964,MATCH($B410,'HS Codes'!$A$2:$A2964,0),MATCH(K$1,'HS Codes'!$D$1:$K$1,0)),"")</f>
        <v>6302.39.00</v>
      </c>
      <c r="L410" s="8">
        <f>_xlfn.IFNA(INDEX('HS Codes'!$D$2:$K2964,MATCH($B410,'HS Codes'!$A$2:$A2964,0),MATCH(L$1,'HS Codes'!$D$1:$K$1,0)),"")</f>
        <v>63029120</v>
      </c>
      <c r="M410" s="8" t="str">
        <f>_xlfn.IFNA(INDEX('HS Codes'!$C$2:$C2964,MATCH($B410,'HS Codes'!$A$2:$A2964,0)),"")</f>
        <v>Beach Towel - Toilet Linen 100% recycled 220 GSM/83% polyester/17% polyamide includes cotton on the packing pouch drawstring</v>
      </c>
      <c r="N410" s="9"/>
      <c r="O410" s="9"/>
      <c r="P410" s="9"/>
      <c r="Q410" s="9"/>
    </row>
    <row r="411" spans="1:17" ht="15.75" customHeight="1">
      <c r="A411" s="7" t="s">
        <v>699</v>
      </c>
      <c r="B411" s="7" t="s">
        <v>164</v>
      </c>
      <c r="C411" s="7" t="s">
        <v>278</v>
      </c>
      <c r="D411" s="7" t="s">
        <v>165</v>
      </c>
      <c r="E411" s="7" t="s">
        <v>348</v>
      </c>
      <c r="F411" s="8" t="str">
        <f>_xlfn.IFNA(INDEX('HS Codes'!$D$2:$K2965,MATCH($B411,'HS Codes'!$A$2:$A2965,0),MATCH(F$1,'HS Codes'!$D$1:$K$1,0)),"")</f>
        <v>6302.93.2000</v>
      </c>
      <c r="G411" s="8">
        <f>_xlfn.IFNA(INDEX('HS Codes'!$D$2:$K2965,MATCH($B411,'HS Codes'!$A$2:$A2965,0),MATCH(G$1,'HS Codes'!$D$1:$K$1,0)),"")</f>
        <v>6302600090</v>
      </c>
      <c r="H411" s="8" t="str">
        <f>_xlfn.IFNA(INDEX('HS Codes'!$D$2:$K2965,MATCH($B411,'HS Codes'!$A$2:$A2965,0),MATCH(H$1,'HS Codes'!$D$1:$K$1,0)),"")</f>
        <v>6302.93.00.00</v>
      </c>
      <c r="I411" s="8">
        <f>_xlfn.IFNA(INDEX('HS Codes'!$D$2:$K2965,MATCH($B411,'HS Codes'!$A$2:$A2965,0),MATCH(I$1,'HS Codes'!$D$1:$K$1,0)),"")</f>
        <v>63029390</v>
      </c>
      <c r="J411" s="8">
        <f>_xlfn.IFNA(INDEX('HS Codes'!$D$2:$K2965,MATCH($B411,'HS Codes'!$A$2:$A2965,0),MATCH(J$1,'HS Codes'!$D$1:$K$1,0)),"")</f>
        <v>0</v>
      </c>
      <c r="K411" s="8" t="str">
        <f>_xlfn.IFNA(INDEX('HS Codes'!$D$2:$K2965,MATCH($B411,'HS Codes'!$A$2:$A2965,0),MATCH(K$1,'HS Codes'!$D$1:$K$1,0)),"")</f>
        <v>6302.39.00</v>
      </c>
      <c r="L411" s="8">
        <f>_xlfn.IFNA(INDEX('HS Codes'!$D$2:$K2965,MATCH($B411,'HS Codes'!$A$2:$A2965,0),MATCH(L$1,'HS Codes'!$D$1:$K$1,0)),"")</f>
        <v>63029120</v>
      </c>
      <c r="M411" s="8" t="str">
        <f>_xlfn.IFNA(INDEX('HS Codes'!$C$2:$C2965,MATCH($B411,'HS Codes'!$A$2:$A2965,0)),"")</f>
        <v>Beach Towel - Toilet Linen 100% recycled 220 GSM/83% polyester/17% polyamide includes cotton on the packing pouch drawstring</v>
      </c>
      <c r="N411" s="9"/>
      <c r="O411" s="9"/>
      <c r="P411" s="9"/>
      <c r="Q411" s="9"/>
    </row>
    <row r="412" spans="1:17" ht="15.75" customHeight="1">
      <c r="A412" s="7" t="s">
        <v>700</v>
      </c>
      <c r="B412" s="7" t="s">
        <v>164</v>
      </c>
      <c r="C412" s="7" t="s">
        <v>278</v>
      </c>
      <c r="D412" s="7" t="s">
        <v>165</v>
      </c>
      <c r="E412" s="7" t="s">
        <v>348</v>
      </c>
      <c r="F412" s="8" t="str">
        <f>_xlfn.IFNA(INDEX('HS Codes'!$D$2:$K2966,MATCH($B412,'HS Codes'!$A$2:$A2966,0),MATCH(F$1,'HS Codes'!$D$1:$K$1,0)),"")</f>
        <v>6302.93.2000</v>
      </c>
      <c r="G412" s="8">
        <f>_xlfn.IFNA(INDEX('HS Codes'!$D$2:$K2966,MATCH($B412,'HS Codes'!$A$2:$A2966,0),MATCH(G$1,'HS Codes'!$D$1:$K$1,0)),"")</f>
        <v>6302600090</v>
      </c>
      <c r="H412" s="8" t="str">
        <f>_xlfn.IFNA(INDEX('HS Codes'!$D$2:$K2966,MATCH($B412,'HS Codes'!$A$2:$A2966,0),MATCH(H$1,'HS Codes'!$D$1:$K$1,0)),"")</f>
        <v>6302.93.00.00</v>
      </c>
      <c r="I412" s="8">
        <f>_xlfn.IFNA(INDEX('HS Codes'!$D$2:$K2966,MATCH($B412,'HS Codes'!$A$2:$A2966,0),MATCH(I$1,'HS Codes'!$D$1:$K$1,0)),"")</f>
        <v>63029390</v>
      </c>
      <c r="J412" s="8">
        <f>_xlfn.IFNA(INDEX('HS Codes'!$D$2:$K2966,MATCH($B412,'HS Codes'!$A$2:$A2966,0),MATCH(J$1,'HS Codes'!$D$1:$K$1,0)),"")</f>
        <v>0</v>
      </c>
      <c r="K412" s="8" t="str">
        <f>_xlfn.IFNA(INDEX('HS Codes'!$D$2:$K2966,MATCH($B412,'HS Codes'!$A$2:$A2966,0),MATCH(K$1,'HS Codes'!$D$1:$K$1,0)),"")</f>
        <v>6302.39.00</v>
      </c>
      <c r="L412" s="8">
        <f>_xlfn.IFNA(INDEX('HS Codes'!$D$2:$K2966,MATCH($B412,'HS Codes'!$A$2:$A2966,0),MATCH(L$1,'HS Codes'!$D$1:$K$1,0)),"")</f>
        <v>63029120</v>
      </c>
      <c r="M412" s="8" t="str">
        <f>_xlfn.IFNA(INDEX('HS Codes'!$C$2:$C2966,MATCH($B412,'HS Codes'!$A$2:$A2966,0)),"")</f>
        <v>Beach Towel - Toilet Linen 100% recycled 220 GSM/83% polyester/17% polyamide includes cotton on the packing pouch drawstring</v>
      </c>
      <c r="N412" s="9"/>
      <c r="O412" s="9"/>
      <c r="P412" s="9"/>
      <c r="Q412" s="9"/>
    </row>
    <row r="413" spans="1:17" ht="15.75" customHeight="1">
      <c r="A413" s="7" t="s">
        <v>701</v>
      </c>
      <c r="B413" s="7" t="s">
        <v>164</v>
      </c>
      <c r="C413" s="7" t="s">
        <v>278</v>
      </c>
      <c r="D413" s="7" t="s">
        <v>165</v>
      </c>
      <c r="E413" s="7" t="s">
        <v>348</v>
      </c>
      <c r="F413" s="8" t="str">
        <f>_xlfn.IFNA(INDEX('HS Codes'!$D$2:$K2967,MATCH($B413,'HS Codes'!$A$2:$A2967,0),MATCH(F$1,'HS Codes'!$D$1:$K$1,0)),"")</f>
        <v>6302.93.2000</v>
      </c>
      <c r="G413" s="8">
        <f>_xlfn.IFNA(INDEX('HS Codes'!$D$2:$K2967,MATCH($B413,'HS Codes'!$A$2:$A2967,0),MATCH(G$1,'HS Codes'!$D$1:$K$1,0)),"")</f>
        <v>6302600090</v>
      </c>
      <c r="H413" s="8" t="str">
        <f>_xlfn.IFNA(INDEX('HS Codes'!$D$2:$K2967,MATCH($B413,'HS Codes'!$A$2:$A2967,0),MATCH(H$1,'HS Codes'!$D$1:$K$1,0)),"")</f>
        <v>6302.93.00.00</v>
      </c>
      <c r="I413" s="8">
        <f>_xlfn.IFNA(INDEX('HS Codes'!$D$2:$K2967,MATCH($B413,'HS Codes'!$A$2:$A2967,0),MATCH(I$1,'HS Codes'!$D$1:$K$1,0)),"")</f>
        <v>63029390</v>
      </c>
      <c r="J413" s="8">
        <f>_xlfn.IFNA(INDEX('HS Codes'!$D$2:$K2967,MATCH($B413,'HS Codes'!$A$2:$A2967,0),MATCH(J$1,'HS Codes'!$D$1:$K$1,0)),"")</f>
        <v>0</v>
      </c>
      <c r="K413" s="8" t="str">
        <f>_xlfn.IFNA(INDEX('HS Codes'!$D$2:$K2967,MATCH($B413,'HS Codes'!$A$2:$A2967,0),MATCH(K$1,'HS Codes'!$D$1:$K$1,0)),"")</f>
        <v>6302.39.00</v>
      </c>
      <c r="L413" s="8">
        <f>_xlfn.IFNA(INDEX('HS Codes'!$D$2:$K2967,MATCH($B413,'HS Codes'!$A$2:$A2967,0),MATCH(L$1,'HS Codes'!$D$1:$K$1,0)),"")</f>
        <v>63029120</v>
      </c>
      <c r="M413" s="8" t="str">
        <f>_xlfn.IFNA(INDEX('HS Codes'!$C$2:$C2967,MATCH($B413,'HS Codes'!$A$2:$A2967,0)),"")</f>
        <v>Beach Towel - Toilet Linen 100% recycled 220 GSM/83% polyester/17% polyamide includes cotton on the packing pouch drawstring</v>
      </c>
      <c r="N413" s="9"/>
      <c r="O413" s="9"/>
      <c r="P413" s="9"/>
      <c r="Q413" s="9"/>
    </row>
    <row r="414" spans="1:17" ht="15.75" customHeight="1">
      <c r="A414" s="7" t="s">
        <v>702</v>
      </c>
      <c r="B414" s="7" t="s">
        <v>164</v>
      </c>
      <c r="C414" s="7" t="s">
        <v>278</v>
      </c>
      <c r="D414" s="7" t="s">
        <v>165</v>
      </c>
      <c r="E414" s="7" t="s">
        <v>348</v>
      </c>
      <c r="F414" s="8" t="str">
        <f>_xlfn.IFNA(INDEX('HS Codes'!$D$2:$K2968,MATCH($B414,'HS Codes'!$A$2:$A2968,0),MATCH(F$1,'HS Codes'!$D$1:$K$1,0)),"")</f>
        <v>6302.93.2000</v>
      </c>
      <c r="G414" s="8">
        <f>_xlfn.IFNA(INDEX('HS Codes'!$D$2:$K2968,MATCH($B414,'HS Codes'!$A$2:$A2968,0),MATCH(G$1,'HS Codes'!$D$1:$K$1,0)),"")</f>
        <v>6302600090</v>
      </c>
      <c r="H414" s="8" t="str">
        <f>_xlfn.IFNA(INDEX('HS Codes'!$D$2:$K2968,MATCH($B414,'HS Codes'!$A$2:$A2968,0),MATCH(H$1,'HS Codes'!$D$1:$K$1,0)),"")</f>
        <v>6302.93.00.00</v>
      </c>
      <c r="I414" s="8">
        <f>_xlfn.IFNA(INDEX('HS Codes'!$D$2:$K2968,MATCH($B414,'HS Codes'!$A$2:$A2968,0),MATCH(I$1,'HS Codes'!$D$1:$K$1,0)),"")</f>
        <v>63029390</v>
      </c>
      <c r="J414" s="8">
        <f>_xlfn.IFNA(INDEX('HS Codes'!$D$2:$K2968,MATCH($B414,'HS Codes'!$A$2:$A2968,0),MATCH(J$1,'HS Codes'!$D$1:$K$1,0)),"")</f>
        <v>0</v>
      </c>
      <c r="K414" s="8" t="str">
        <f>_xlfn.IFNA(INDEX('HS Codes'!$D$2:$K2968,MATCH($B414,'HS Codes'!$A$2:$A2968,0),MATCH(K$1,'HS Codes'!$D$1:$K$1,0)),"")</f>
        <v>6302.39.00</v>
      </c>
      <c r="L414" s="8">
        <f>_xlfn.IFNA(INDEX('HS Codes'!$D$2:$K2968,MATCH($B414,'HS Codes'!$A$2:$A2968,0),MATCH(L$1,'HS Codes'!$D$1:$K$1,0)),"")</f>
        <v>63029120</v>
      </c>
      <c r="M414" s="8" t="str">
        <f>_xlfn.IFNA(INDEX('HS Codes'!$C$2:$C2968,MATCH($B414,'HS Codes'!$A$2:$A2968,0)),"")</f>
        <v>Beach Towel - Toilet Linen 100% recycled 220 GSM/83% polyester/17% polyamide includes cotton on the packing pouch drawstring</v>
      </c>
      <c r="N414" s="9"/>
      <c r="O414" s="9"/>
      <c r="P414" s="9"/>
      <c r="Q414" s="9"/>
    </row>
    <row r="415" spans="1:17" ht="15.75" customHeight="1">
      <c r="A415" s="7" t="s">
        <v>703</v>
      </c>
      <c r="B415" s="7" t="s">
        <v>164</v>
      </c>
      <c r="C415" s="7" t="s">
        <v>278</v>
      </c>
      <c r="D415" s="7" t="s">
        <v>165</v>
      </c>
      <c r="E415" s="7" t="s">
        <v>348</v>
      </c>
      <c r="F415" s="8" t="str">
        <f>_xlfn.IFNA(INDEX('HS Codes'!$D$2:$K2969,MATCH($B415,'HS Codes'!$A$2:$A2969,0),MATCH(F$1,'HS Codes'!$D$1:$K$1,0)),"")</f>
        <v>6302.93.2000</v>
      </c>
      <c r="G415" s="8">
        <f>_xlfn.IFNA(INDEX('HS Codes'!$D$2:$K2969,MATCH($B415,'HS Codes'!$A$2:$A2969,0),MATCH(G$1,'HS Codes'!$D$1:$K$1,0)),"")</f>
        <v>6302600090</v>
      </c>
      <c r="H415" s="8" t="str">
        <f>_xlfn.IFNA(INDEX('HS Codes'!$D$2:$K2969,MATCH($B415,'HS Codes'!$A$2:$A2969,0),MATCH(H$1,'HS Codes'!$D$1:$K$1,0)),"")</f>
        <v>6302.93.00.00</v>
      </c>
      <c r="I415" s="8">
        <f>_xlfn.IFNA(INDEX('HS Codes'!$D$2:$K2969,MATCH($B415,'HS Codes'!$A$2:$A2969,0),MATCH(I$1,'HS Codes'!$D$1:$K$1,0)),"")</f>
        <v>63029390</v>
      </c>
      <c r="J415" s="8">
        <f>_xlfn.IFNA(INDEX('HS Codes'!$D$2:$K2969,MATCH($B415,'HS Codes'!$A$2:$A2969,0),MATCH(J$1,'HS Codes'!$D$1:$K$1,0)),"")</f>
        <v>0</v>
      </c>
      <c r="K415" s="8" t="str">
        <f>_xlfn.IFNA(INDEX('HS Codes'!$D$2:$K2969,MATCH($B415,'HS Codes'!$A$2:$A2969,0),MATCH(K$1,'HS Codes'!$D$1:$K$1,0)),"")</f>
        <v>6302.39.00</v>
      </c>
      <c r="L415" s="8">
        <f>_xlfn.IFNA(INDEX('HS Codes'!$D$2:$K2969,MATCH($B415,'HS Codes'!$A$2:$A2969,0),MATCH(L$1,'HS Codes'!$D$1:$K$1,0)),"")</f>
        <v>63029120</v>
      </c>
      <c r="M415" s="8" t="str">
        <f>_xlfn.IFNA(INDEX('HS Codes'!$C$2:$C2969,MATCH($B415,'HS Codes'!$A$2:$A2969,0)),"")</f>
        <v>Beach Towel - Toilet Linen 100% recycled 220 GSM/83% polyester/17% polyamide includes cotton on the packing pouch drawstring</v>
      </c>
      <c r="N415" s="9"/>
      <c r="O415" s="9"/>
      <c r="P415" s="9"/>
      <c r="Q415" s="9"/>
    </row>
    <row r="416" spans="1:17" ht="15.75" customHeight="1">
      <c r="A416" s="7" t="s">
        <v>704</v>
      </c>
      <c r="B416" s="7" t="s">
        <v>164</v>
      </c>
      <c r="C416" s="7" t="s">
        <v>278</v>
      </c>
      <c r="D416" s="7" t="s">
        <v>165</v>
      </c>
      <c r="E416" s="7" t="s">
        <v>348</v>
      </c>
      <c r="F416" s="8" t="str">
        <f>_xlfn.IFNA(INDEX('HS Codes'!$D$2:$K2970,MATCH($B416,'HS Codes'!$A$2:$A2970,0),MATCH(F$1,'HS Codes'!$D$1:$K$1,0)),"")</f>
        <v>6302.93.2000</v>
      </c>
      <c r="G416" s="8">
        <f>_xlfn.IFNA(INDEX('HS Codes'!$D$2:$K2970,MATCH($B416,'HS Codes'!$A$2:$A2970,0),MATCH(G$1,'HS Codes'!$D$1:$K$1,0)),"")</f>
        <v>6302600090</v>
      </c>
      <c r="H416" s="8" t="str">
        <f>_xlfn.IFNA(INDEX('HS Codes'!$D$2:$K2970,MATCH($B416,'HS Codes'!$A$2:$A2970,0),MATCH(H$1,'HS Codes'!$D$1:$K$1,0)),"")</f>
        <v>6302.93.00.00</v>
      </c>
      <c r="I416" s="8">
        <f>_xlfn.IFNA(INDEX('HS Codes'!$D$2:$K2970,MATCH($B416,'HS Codes'!$A$2:$A2970,0),MATCH(I$1,'HS Codes'!$D$1:$K$1,0)),"")</f>
        <v>63029390</v>
      </c>
      <c r="J416" s="8">
        <f>_xlfn.IFNA(INDEX('HS Codes'!$D$2:$K2970,MATCH($B416,'HS Codes'!$A$2:$A2970,0),MATCH(J$1,'HS Codes'!$D$1:$K$1,0)),"")</f>
        <v>0</v>
      </c>
      <c r="K416" s="8" t="str">
        <f>_xlfn.IFNA(INDEX('HS Codes'!$D$2:$K2970,MATCH($B416,'HS Codes'!$A$2:$A2970,0),MATCH(K$1,'HS Codes'!$D$1:$K$1,0)),"")</f>
        <v>6302.39.00</v>
      </c>
      <c r="L416" s="8">
        <f>_xlfn.IFNA(INDEX('HS Codes'!$D$2:$K2970,MATCH($B416,'HS Codes'!$A$2:$A2970,0),MATCH(L$1,'HS Codes'!$D$1:$K$1,0)),"")</f>
        <v>63029120</v>
      </c>
      <c r="M416" s="8" t="str">
        <f>_xlfn.IFNA(INDEX('HS Codes'!$C$2:$C2970,MATCH($B416,'HS Codes'!$A$2:$A2970,0)),"")</f>
        <v>Beach Towel - Toilet Linen 100% recycled 220 GSM/83% polyester/17% polyamide includes cotton on the packing pouch drawstring</v>
      </c>
      <c r="N416" s="9"/>
      <c r="O416" s="9"/>
      <c r="P416" s="9"/>
      <c r="Q416" s="9"/>
    </row>
    <row r="417" spans="1:17" ht="15.75" customHeight="1">
      <c r="A417" s="7" t="s">
        <v>705</v>
      </c>
      <c r="B417" s="7" t="s">
        <v>164</v>
      </c>
      <c r="C417" s="7" t="s">
        <v>278</v>
      </c>
      <c r="D417" s="7" t="s">
        <v>165</v>
      </c>
      <c r="E417" s="7" t="s">
        <v>348</v>
      </c>
      <c r="F417" s="8" t="str">
        <f>_xlfn.IFNA(INDEX('HS Codes'!$D$2:$K2971,MATCH($B417,'HS Codes'!$A$2:$A2971,0),MATCH(F$1,'HS Codes'!$D$1:$K$1,0)),"")</f>
        <v>6302.93.2000</v>
      </c>
      <c r="G417" s="8">
        <f>_xlfn.IFNA(INDEX('HS Codes'!$D$2:$K2971,MATCH($B417,'HS Codes'!$A$2:$A2971,0),MATCH(G$1,'HS Codes'!$D$1:$K$1,0)),"")</f>
        <v>6302600090</v>
      </c>
      <c r="H417" s="8" t="str">
        <f>_xlfn.IFNA(INDEX('HS Codes'!$D$2:$K2971,MATCH($B417,'HS Codes'!$A$2:$A2971,0),MATCH(H$1,'HS Codes'!$D$1:$K$1,0)),"")</f>
        <v>6302.93.00.00</v>
      </c>
      <c r="I417" s="8">
        <f>_xlfn.IFNA(INDEX('HS Codes'!$D$2:$K2971,MATCH($B417,'HS Codes'!$A$2:$A2971,0),MATCH(I$1,'HS Codes'!$D$1:$K$1,0)),"")</f>
        <v>63029390</v>
      </c>
      <c r="J417" s="8">
        <f>_xlfn.IFNA(INDEX('HS Codes'!$D$2:$K2971,MATCH($B417,'HS Codes'!$A$2:$A2971,0),MATCH(J$1,'HS Codes'!$D$1:$K$1,0)),"")</f>
        <v>0</v>
      </c>
      <c r="K417" s="8" t="str">
        <f>_xlfn.IFNA(INDEX('HS Codes'!$D$2:$K2971,MATCH($B417,'HS Codes'!$A$2:$A2971,0),MATCH(K$1,'HS Codes'!$D$1:$K$1,0)),"")</f>
        <v>6302.39.00</v>
      </c>
      <c r="L417" s="8">
        <f>_xlfn.IFNA(INDEX('HS Codes'!$D$2:$K2971,MATCH($B417,'HS Codes'!$A$2:$A2971,0),MATCH(L$1,'HS Codes'!$D$1:$K$1,0)),"")</f>
        <v>63029120</v>
      </c>
      <c r="M417" s="8" t="str">
        <f>_xlfn.IFNA(INDEX('HS Codes'!$C$2:$C2971,MATCH($B417,'HS Codes'!$A$2:$A2971,0)),"")</f>
        <v>Beach Towel - Toilet Linen 100% recycled 220 GSM/83% polyester/17% polyamide includes cotton on the packing pouch drawstring</v>
      </c>
      <c r="N417" s="9"/>
      <c r="O417" s="9"/>
      <c r="P417" s="9"/>
      <c r="Q417" s="9"/>
    </row>
    <row r="418" spans="1:17" ht="15.75" customHeight="1">
      <c r="A418" s="7" t="s">
        <v>706</v>
      </c>
      <c r="B418" s="7" t="s">
        <v>164</v>
      </c>
      <c r="C418" s="7" t="s">
        <v>278</v>
      </c>
      <c r="D418" s="7" t="s">
        <v>165</v>
      </c>
      <c r="E418" s="7" t="s">
        <v>348</v>
      </c>
      <c r="F418" s="8" t="str">
        <f>_xlfn.IFNA(INDEX('HS Codes'!$D$2:$K2972,MATCH($B418,'HS Codes'!$A$2:$A2972,0),MATCH(F$1,'HS Codes'!$D$1:$K$1,0)),"")</f>
        <v>6302.93.2000</v>
      </c>
      <c r="G418" s="8">
        <f>_xlfn.IFNA(INDEX('HS Codes'!$D$2:$K2972,MATCH($B418,'HS Codes'!$A$2:$A2972,0),MATCH(G$1,'HS Codes'!$D$1:$K$1,0)),"")</f>
        <v>6302600090</v>
      </c>
      <c r="H418" s="8" t="str">
        <f>_xlfn.IFNA(INDEX('HS Codes'!$D$2:$K2972,MATCH($B418,'HS Codes'!$A$2:$A2972,0),MATCH(H$1,'HS Codes'!$D$1:$K$1,0)),"")</f>
        <v>6302.93.00.00</v>
      </c>
      <c r="I418" s="8">
        <f>_xlfn.IFNA(INDEX('HS Codes'!$D$2:$K2972,MATCH($B418,'HS Codes'!$A$2:$A2972,0),MATCH(I$1,'HS Codes'!$D$1:$K$1,0)),"")</f>
        <v>63029390</v>
      </c>
      <c r="J418" s="8">
        <f>_xlfn.IFNA(INDEX('HS Codes'!$D$2:$K2972,MATCH($B418,'HS Codes'!$A$2:$A2972,0),MATCH(J$1,'HS Codes'!$D$1:$K$1,0)),"")</f>
        <v>0</v>
      </c>
      <c r="K418" s="8" t="str">
        <f>_xlfn.IFNA(INDEX('HS Codes'!$D$2:$K2972,MATCH($B418,'HS Codes'!$A$2:$A2972,0),MATCH(K$1,'HS Codes'!$D$1:$K$1,0)),"")</f>
        <v>6302.39.00</v>
      </c>
      <c r="L418" s="8">
        <f>_xlfn.IFNA(INDEX('HS Codes'!$D$2:$K2972,MATCH($B418,'HS Codes'!$A$2:$A2972,0),MATCH(L$1,'HS Codes'!$D$1:$K$1,0)),"")</f>
        <v>63029120</v>
      </c>
      <c r="M418" s="8" t="str">
        <f>_xlfn.IFNA(INDEX('HS Codes'!$C$2:$C2972,MATCH($B418,'HS Codes'!$A$2:$A2972,0)),"")</f>
        <v>Beach Towel - Toilet Linen 100% recycled 220 GSM/83% polyester/17% polyamide includes cotton on the packing pouch drawstring</v>
      </c>
      <c r="N418" s="9"/>
      <c r="O418" s="9"/>
      <c r="P418" s="9"/>
      <c r="Q418" s="9"/>
    </row>
    <row r="419" spans="1:17" ht="15.75" customHeight="1">
      <c r="A419" s="7" t="s">
        <v>707</v>
      </c>
      <c r="B419" s="7" t="s">
        <v>164</v>
      </c>
      <c r="C419" s="7" t="s">
        <v>278</v>
      </c>
      <c r="D419" s="7" t="s">
        <v>165</v>
      </c>
      <c r="E419" s="7" t="s">
        <v>348</v>
      </c>
      <c r="F419" s="8" t="str">
        <f>_xlfn.IFNA(INDEX('HS Codes'!$D$2:$K2973,MATCH($B419,'HS Codes'!$A$2:$A2973,0),MATCH(F$1,'HS Codes'!$D$1:$K$1,0)),"")</f>
        <v>6302.93.2000</v>
      </c>
      <c r="G419" s="8">
        <f>_xlfn.IFNA(INDEX('HS Codes'!$D$2:$K2973,MATCH($B419,'HS Codes'!$A$2:$A2973,0),MATCH(G$1,'HS Codes'!$D$1:$K$1,0)),"")</f>
        <v>6302600090</v>
      </c>
      <c r="H419" s="8" t="str">
        <f>_xlfn.IFNA(INDEX('HS Codes'!$D$2:$K2973,MATCH($B419,'HS Codes'!$A$2:$A2973,0),MATCH(H$1,'HS Codes'!$D$1:$K$1,0)),"")</f>
        <v>6302.93.00.00</v>
      </c>
      <c r="I419" s="8">
        <f>_xlfn.IFNA(INDEX('HS Codes'!$D$2:$K2973,MATCH($B419,'HS Codes'!$A$2:$A2973,0),MATCH(I$1,'HS Codes'!$D$1:$K$1,0)),"")</f>
        <v>63029390</v>
      </c>
      <c r="J419" s="8">
        <f>_xlfn.IFNA(INDEX('HS Codes'!$D$2:$K2973,MATCH($B419,'HS Codes'!$A$2:$A2973,0),MATCH(J$1,'HS Codes'!$D$1:$K$1,0)),"")</f>
        <v>0</v>
      </c>
      <c r="K419" s="8" t="str">
        <f>_xlfn.IFNA(INDEX('HS Codes'!$D$2:$K2973,MATCH($B419,'HS Codes'!$A$2:$A2973,0),MATCH(K$1,'HS Codes'!$D$1:$K$1,0)),"")</f>
        <v>6302.39.00</v>
      </c>
      <c r="L419" s="8">
        <f>_xlfn.IFNA(INDEX('HS Codes'!$D$2:$K2973,MATCH($B419,'HS Codes'!$A$2:$A2973,0),MATCH(L$1,'HS Codes'!$D$1:$K$1,0)),"")</f>
        <v>63029120</v>
      </c>
      <c r="M419" s="8" t="str">
        <f>_xlfn.IFNA(INDEX('HS Codes'!$C$2:$C2973,MATCH($B419,'HS Codes'!$A$2:$A2973,0)),"")</f>
        <v>Beach Towel - Toilet Linen 100% recycled 220 GSM/83% polyester/17% polyamide includes cotton on the packing pouch drawstring</v>
      </c>
      <c r="N419" s="9"/>
      <c r="O419" s="9"/>
      <c r="P419" s="9"/>
      <c r="Q419" s="9"/>
    </row>
    <row r="420" spans="1:17" ht="15.75" customHeight="1">
      <c r="A420" s="7" t="s">
        <v>708</v>
      </c>
      <c r="B420" s="7" t="s">
        <v>164</v>
      </c>
      <c r="C420" s="7" t="s">
        <v>278</v>
      </c>
      <c r="D420" s="7" t="s">
        <v>165</v>
      </c>
      <c r="E420" s="7" t="s">
        <v>348</v>
      </c>
      <c r="F420" s="8" t="str">
        <f>_xlfn.IFNA(INDEX('HS Codes'!$D$2:$K2974,MATCH($B420,'HS Codes'!$A$2:$A2974,0),MATCH(F$1,'HS Codes'!$D$1:$K$1,0)),"")</f>
        <v>6302.93.2000</v>
      </c>
      <c r="G420" s="8">
        <f>_xlfn.IFNA(INDEX('HS Codes'!$D$2:$K2974,MATCH($B420,'HS Codes'!$A$2:$A2974,0),MATCH(G$1,'HS Codes'!$D$1:$K$1,0)),"")</f>
        <v>6302600090</v>
      </c>
      <c r="H420" s="8" t="str">
        <f>_xlfn.IFNA(INDEX('HS Codes'!$D$2:$K2974,MATCH($B420,'HS Codes'!$A$2:$A2974,0),MATCH(H$1,'HS Codes'!$D$1:$K$1,0)),"")</f>
        <v>6302.93.00.00</v>
      </c>
      <c r="I420" s="8">
        <f>_xlfn.IFNA(INDEX('HS Codes'!$D$2:$K2974,MATCH($B420,'HS Codes'!$A$2:$A2974,0),MATCH(I$1,'HS Codes'!$D$1:$K$1,0)),"")</f>
        <v>63029390</v>
      </c>
      <c r="J420" s="8">
        <f>_xlfn.IFNA(INDEX('HS Codes'!$D$2:$K2974,MATCH($B420,'HS Codes'!$A$2:$A2974,0),MATCH(J$1,'HS Codes'!$D$1:$K$1,0)),"")</f>
        <v>0</v>
      </c>
      <c r="K420" s="8" t="str">
        <f>_xlfn.IFNA(INDEX('HS Codes'!$D$2:$K2974,MATCH($B420,'HS Codes'!$A$2:$A2974,0),MATCH(K$1,'HS Codes'!$D$1:$K$1,0)),"")</f>
        <v>6302.39.00</v>
      </c>
      <c r="L420" s="8">
        <f>_xlfn.IFNA(INDEX('HS Codes'!$D$2:$K2974,MATCH($B420,'HS Codes'!$A$2:$A2974,0),MATCH(L$1,'HS Codes'!$D$1:$K$1,0)),"")</f>
        <v>63029120</v>
      </c>
      <c r="M420" s="8" t="str">
        <f>_xlfn.IFNA(INDEX('HS Codes'!$C$2:$C2974,MATCH($B420,'HS Codes'!$A$2:$A2974,0)),"")</f>
        <v>Beach Towel - Toilet Linen 100% recycled 220 GSM/83% polyester/17% polyamide includes cotton on the packing pouch drawstring</v>
      </c>
      <c r="N420" s="9"/>
      <c r="O420" s="9"/>
      <c r="P420" s="9"/>
      <c r="Q420" s="9"/>
    </row>
    <row r="421" spans="1:17" ht="15.75" customHeight="1">
      <c r="A421" s="7" t="s">
        <v>709</v>
      </c>
      <c r="B421" s="7" t="s">
        <v>164</v>
      </c>
      <c r="C421" s="7" t="s">
        <v>278</v>
      </c>
      <c r="D421" s="7" t="s">
        <v>165</v>
      </c>
      <c r="E421" s="7" t="s">
        <v>348</v>
      </c>
      <c r="F421" s="8" t="str">
        <f>_xlfn.IFNA(INDEX('HS Codes'!$D$2:$K2975,MATCH($B421,'HS Codes'!$A$2:$A2975,0),MATCH(F$1,'HS Codes'!$D$1:$K$1,0)),"")</f>
        <v>6302.93.2000</v>
      </c>
      <c r="G421" s="8">
        <f>_xlfn.IFNA(INDEX('HS Codes'!$D$2:$K2975,MATCH($B421,'HS Codes'!$A$2:$A2975,0),MATCH(G$1,'HS Codes'!$D$1:$K$1,0)),"")</f>
        <v>6302600090</v>
      </c>
      <c r="H421" s="8" t="str">
        <f>_xlfn.IFNA(INDEX('HS Codes'!$D$2:$K2975,MATCH($B421,'HS Codes'!$A$2:$A2975,0),MATCH(H$1,'HS Codes'!$D$1:$K$1,0)),"")</f>
        <v>6302.93.00.00</v>
      </c>
      <c r="I421" s="8">
        <f>_xlfn.IFNA(INDEX('HS Codes'!$D$2:$K2975,MATCH($B421,'HS Codes'!$A$2:$A2975,0),MATCH(I$1,'HS Codes'!$D$1:$K$1,0)),"")</f>
        <v>63029390</v>
      </c>
      <c r="J421" s="8">
        <f>_xlfn.IFNA(INDEX('HS Codes'!$D$2:$K2975,MATCH($B421,'HS Codes'!$A$2:$A2975,0),MATCH(J$1,'HS Codes'!$D$1:$K$1,0)),"")</f>
        <v>0</v>
      </c>
      <c r="K421" s="8" t="str">
        <f>_xlfn.IFNA(INDEX('HS Codes'!$D$2:$K2975,MATCH($B421,'HS Codes'!$A$2:$A2975,0),MATCH(K$1,'HS Codes'!$D$1:$K$1,0)),"")</f>
        <v>6302.39.00</v>
      </c>
      <c r="L421" s="8">
        <f>_xlfn.IFNA(INDEX('HS Codes'!$D$2:$K2975,MATCH($B421,'HS Codes'!$A$2:$A2975,0),MATCH(L$1,'HS Codes'!$D$1:$K$1,0)),"")</f>
        <v>63029120</v>
      </c>
      <c r="M421" s="8" t="str">
        <f>_xlfn.IFNA(INDEX('HS Codes'!$C$2:$C2975,MATCH($B421,'HS Codes'!$A$2:$A2975,0)),"")</f>
        <v>Beach Towel - Toilet Linen 100% recycled 220 GSM/83% polyester/17% polyamide includes cotton on the packing pouch drawstring</v>
      </c>
      <c r="N421" s="9"/>
      <c r="O421" s="9"/>
      <c r="P421" s="9"/>
      <c r="Q421" s="9"/>
    </row>
    <row r="422" spans="1:17" ht="15.75" customHeight="1">
      <c r="A422" s="7" t="s">
        <v>710</v>
      </c>
      <c r="B422" s="7" t="s">
        <v>164</v>
      </c>
      <c r="C422" s="7" t="s">
        <v>278</v>
      </c>
      <c r="D422" s="7" t="s">
        <v>165</v>
      </c>
      <c r="E422" s="7" t="s">
        <v>348</v>
      </c>
      <c r="F422" s="8" t="str">
        <f>_xlfn.IFNA(INDEX('HS Codes'!$D$2:$K2976,MATCH($B422,'HS Codes'!$A$2:$A2976,0),MATCH(F$1,'HS Codes'!$D$1:$K$1,0)),"")</f>
        <v>6302.93.2000</v>
      </c>
      <c r="G422" s="8">
        <f>_xlfn.IFNA(INDEX('HS Codes'!$D$2:$K2976,MATCH($B422,'HS Codes'!$A$2:$A2976,0),MATCH(G$1,'HS Codes'!$D$1:$K$1,0)),"")</f>
        <v>6302600090</v>
      </c>
      <c r="H422" s="8" t="str">
        <f>_xlfn.IFNA(INDEX('HS Codes'!$D$2:$K2976,MATCH($B422,'HS Codes'!$A$2:$A2976,0),MATCH(H$1,'HS Codes'!$D$1:$K$1,0)),"")</f>
        <v>6302.93.00.00</v>
      </c>
      <c r="I422" s="8">
        <f>_xlfn.IFNA(INDEX('HS Codes'!$D$2:$K2976,MATCH($B422,'HS Codes'!$A$2:$A2976,0),MATCH(I$1,'HS Codes'!$D$1:$K$1,0)),"")</f>
        <v>63029390</v>
      </c>
      <c r="J422" s="8">
        <f>_xlfn.IFNA(INDEX('HS Codes'!$D$2:$K2976,MATCH($B422,'HS Codes'!$A$2:$A2976,0),MATCH(J$1,'HS Codes'!$D$1:$K$1,0)),"")</f>
        <v>0</v>
      </c>
      <c r="K422" s="8" t="str">
        <f>_xlfn.IFNA(INDEX('HS Codes'!$D$2:$K2976,MATCH($B422,'HS Codes'!$A$2:$A2976,0),MATCH(K$1,'HS Codes'!$D$1:$K$1,0)),"")</f>
        <v>6302.39.00</v>
      </c>
      <c r="L422" s="8">
        <f>_xlfn.IFNA(INDEX('HS Codes'!$D$2:$K2976,MATCH($B422,'HS Codes'!$A$2:$A2976,0),MATCH(L$1,'HS Codes'!$D$1:$K$1,0)),"")</f>
        <v>63029120</v>
      </c>
      <c r="M422" s="8" t="str">
        <f>_xlfn.IFNA(INDEX('HS Codes'!$C$2:$C2976,MATCH($B422,'HS Codes'!$A$2:$A2976,0)),"")</f>
        <v>Beach Towel - Toilet Linen 100% recycled 220 GSM/83% polyester/17% polyamide includes cotton on the packing pouch drawstring</v>
      </c>
      <c r="N422" s="9"/>
      <c r="O422" s="9"/>
      <c r="P422" s="9"/>
      <c r="Q422" s="9"/>
    </row>
    <row r="423" spans="1:17" ht="15.75" customHeight="1">
      <c r="A423" s="7" t="s">
        <v>711</v>
      </c>
      <c r="B423" s="7" t="s">
        <v>164</v>
      </c>
      <c r="C423" s="7" t="s">
        <v>278</v>
      </c>
      <c r="D423" s="7" t="s">
        <v>165</v>
      </c>
      <c r="E423" s="7" t="s">
        <v>348</v>
      </c>
      <c r="F423" s="8" t="str">
        <f>_xlfn.IFNA(INDEX('HS Codes'!$D$2:$K2977,MATCH($B423,'HS Codes'!$A$2:$A2977,0),MATCH(F$1,'HS Codes'!$D$1:$K$1,0)),"")</f>
        <v>6302.93.2000</v>
      </c>
      <c r="G423" s="8">
        <f>_xlfn.IFNA(INDEX('HS Codes'!$D$2:$K2977,MATCH($B423,'HS Codes'!$A$2:$A2977,0),MATCH(G$1,'HS Codes'!$D$1:$K$1,0)),"")</f>
        <v>6302600090</v>
      </c>
      <c r="H423" s="8" t="str">
        <f>_xlfn.IFNA(INDEX('HS Codes'!$D$2:$K2977,MATCH($B423,'HS Codes'!$A$2:$A2977,0),MATCH(H$1,'HS Codes'!$D$1:$K$1,0)),"")</f>
        <v>6302.93.00.00</v>
      </c>
      <c r="I423" s="8">
        <f>_xlfn.IFNA(INDEX('HS Codes'!$D$2:$K2977,MATCH($B423,'HS Codes'!$A$2:$A2977,0),MATCH(I$1,'HS Codes'!$D$1:$K$1,0)),"")</f>
        <v>63029390</v>
      </c>
      <c r="J423" s="8">
        <f>_xlfn.IFNA(INDEX('HS Codes'!$D$2:$K2977,MATCH($B423,'HS Codes'!$A$2:$A2977,0),MATCH(J$1,'HS Codes'!$D$1:$K$1,0)),"")</f>
        <v>0</v>
      </c>
      <c r="K423" s="8" t="str">
        <f>_xlfn.IFNA(INDEX('HS Codes'!$D$2:$K2977,MATCH($B423,'HS Codes'!$A$2:$A2977,0),MATCH(K$1,'HS Codes'!$D$1:$K$1,0)),"")</f>
        <v>6302.39.00</v>
      </c>
      <c r="L423" s="8">
        <f>_xlfn.IFNA(INDEX('HS Codes'!$D$2:$K2977,MATCH($B423,'HS Codes'!$A$2:$A2977,0),MATCH(L$1,'HS Codes'!$D$1:$K$1,0)),"")</f>
        <v>63029120</v>
      </c>
      <c r="M423" s="8" t="str">
        <f>_xlfn.IFNA(INDEX('HS Codes'!$C$2:$C2977,MATCH($B423,'HS Codes'!$A$2:$A2977,0)),"")</f>
        <v>Beach Towel - Toilet Linen 100% recycled 220 GSM/83% polyester/17% polyamide includes cotton on the packing pouch drawstring</v>
      </c>
      <c r="N423" s="9"/>
      <c r="O423" s="9"/>
      <c r="P423" s="9"/>
      <c r="Q423" s="9"/>
    </row>
    <row r="424" spans="1:17" ht="15.75" customHeight="1">
      <c r="A424" s="7" t="s">
        <v>712</v>
      </c>
      <c r="B424" s="7" t="s">
        <v>164</v>
      </c>
      <c r="C424" s="7" t="s">
        <v>278</v>
      </c>
      <c r="D424" s="7" t="s">
        <v>165</v>
      </c>
      <c r="E424" s="7" t="s">
        <v>348</v>
      </c>
      <c r="F424" s="8" t="str">
        <f>_xlfn.IFNA(INDEX('HS Codes'!$D$2:$K2978,MATCH($B424,'HS Codes'!$A$2:$A2978,0),MATCH(F$1,'HS Codes'!$D$1:$K$1,0)),"")</f>
        <v>6302.93.2000</v>
      </c>
      <c r="G424" s="8">
        <f>_xlfn.IFNA(INDEX('HS Codes'!$D$2:$K2978,MATCH($B424,'HS Codes'!$A$2:$A2978,0),MATCH(G$1,'HS Codes'!$D$1:$K$1,0)),"")</f>
        <v>6302600090</v>
      </c>
      <c r="H424" s="8" t="str">
        <f>_xlfn.IFNA(INDEX('HS Codes'!$D$2:$K2978,MATCH($B424,'HS Codes'!$A$2:$A2978,0),MATCH(H$1,'HS Codes'!$D$1:$K$1,0)),"")</f>
        <v>6302.93.00.00</v>
      </c>
      <c r="I424" s="8">
        <f>_xlfn.IFNA(INDEX('HS Codes'!$D$2:$K2978,MATCH($B424,'HS Codes'!$A$2:$A2978,0),MATCH(I$1,'HS Codes'!$D$1:$K$1,0)),"")</f>
        <v>63029390</v>
      </c>
      <c r="J424" s="8">
        <f>_xlfn.IFNA(INDEX('HS Codes'!$D$2:$K2978,MATCH($B424,'HS Codes'!$A$2:$A2978,0),MATCH(J$1,'HS Codes'!$D$1:$K$1,0)),"")</f>
        <v>0</v>
      </c>
      <c r="K424" s="8" t="str">
        <f>_xlfn.IFNA(INDEX('HS Codes'!$D$2:$K2978,MATCH($B424,'HS Codes'!$A$2:$A2978,0),MATCH(K$1,'HS Codes'!$D$1:$K$1,0)),"")</f>
        <v>6302.39.00</v>
      </c>
      <c r="L424" s="8">
        <f>_xlfn.IFNA(INDEX('HS Codes'!$D$2:$K2978,MATCH($B424,'HS Codes'!$A$2:$A2978,0),MATCH(L$1,'HS Codes'!$D$1:$K$1,0)),"")</f>
        <v>63029120</v>
      </c>
      <c r="M424" s="8" t="str">
        <f>_xlfn.IFNA(INDEX('HS Codes'!$C$2:$C2978,MATCH($B424,'HS Codes'!$A$2:$A2978,0)),"")</f>
        <v>Beach Towel - Toilet Linen 100% recycled 220 GSM/83% polyester/17% polyamide includes cotton on the packing pouch drawstring</v>
      </c>
      <c r="N424" s="9"/>
      <c r="O424" s="9"/>
      <c r="P424" s="9"/>
      <c r="Q424" s="9"/>
    </row>
    <row r="425" spans="1:17" ht="15.75" customHeight="1">
      <c r="A425" s="7" t="s">
        <v>713</v>
      </c>
      <c r="B425" s="7" t="s">
        <v>164</v>
      </c>
      <c r="C425" s="7" t="s">
        <v>278</v>
      </c>
      <c r="D425" s="7" t="s">
        <v>165</v>
      </c>
      <c r="E425" s="7" t="s">
        <v>348</v>
      </c>
      <c r="F425" s="8" t="str">
        <f>_xlfn.IFNA(INDEX('HS Codes'!$D$2:$K2979,MATCH($B425,'HS Codes'!$A$2:$A2979,0),MATCH(F$1,'HS Codes'!$D$1:$K$1,0)),"")</f>
        <v>6302.93.2000</v>
      </c>
      <c r="G425" s="8">
        <f>_xlfn.IFNA(INDEX('HS Codes'!$D$2:$K2979,MATCH($B425,'HS Codes'!$A$2:$A2979,0),MATCH(G$1,'HS Codes'!$D$1:$K$1,0)),"")</f>
        <v>6302600090</v>
      </c>
      <c r="H425" s="8" t="str">
        <f>_xlfn.IFNA(INDEX('HS Codes'!$D$2:$K2979,MATCH($B425,'HS Codes'!$A$2:$A2979,0),MATCH(H$1,'HS Codes'!$D$1:$K$1,0)),"")</f>
        <v>6302.93.00.00</v>
      </c>
      <c r="I425" s="8">
        <f>_xlfn.IFNA(INDEX('HS Codes'!$D$2:$K2979,MATCH($B425,'HS Codes'!$A$2:$A2979,0),MATCH(I$1,'HS Codes'!$D$1:$K$1,0)),"")</f>
        <v>63029390</v>
      </c>
      <c r="J425" s="8">
        <f>_xlfn.IFNA(INDEX('HS Codes'!$D$2:$K2979,MATCH($B425,'HS Codes'!$A$2:$A2979,0),MATCH(J$1,'HS Codes'!$D$1:$K$1,0)),"")</f>
        <v>0</v>
      </c>
      <c r="K425" s="8" t="str">
        <f>_xlfn.IFNA(INDEX('HS Codes'!$D$2:$K2979,MATCH($B425,'HS Codes'!$A$2:$A2979,0),MATCH(K$1,'HS Codes'!$D$1:$K$1,0)),"")</f>
        <v>6302.39.00</v>
      </c>
      <c r="L425" s="8">
        <f>_xlfn.IFNA(INDEX('HS Codes'!$D$2:$K2979,MATCH($B425,'HS Codes'!$A$2:$A2979,0),MATCH(L$1,'HS Codes'!$D$1:$K$1,0)),"")</f>
        <v>63029120</v>
      </c>
      <c r="M425" s="8" t="str">
        <f>_xlfn.IFNA(INDEX('HS Codes'!$C$2:$C2979,MATCH($B425,'HS Codes'!$A$2:$A2979,0)),"")</f>
        <v>Beach Towel - Toilet Linen 100% recycled 220 GSM/83% polyester/17% polyamide includes cotton on the packing pouch drawstring</v>
      </c>
      <c r="N425" s="9"/>
      <c r="O425" s="9"/>
      <c r="P425" s="9"/>
      <c r="Q425" s="9"/>
    </row>
    <row r="426" spans="1:17" ht="15.75" customHeight="1">
      <c r="A426" s="7" t="s">
        <v>714</v>
      </c>
      <c r="B426" s="7" t="s">
        <v>164</v>
      </c>
      <c r="C426" s="7" t="s">
        <v>278</v>
      </c>
      <c r="D426" s="7" t="s">
        <v>165</v>
      </c>
      <c r="E426" s="7" t="s">
        <v>348</v>
      </c>
      <c r="F426" s="8" t="str">
        <f>_xlfn.IFNA(INDEX('HS Codes'!$D$2:$K2980,MATCH($B426,'HS Codes'!$A$2:$A2980,0),MATCH(F$1,'HS Codes'!$D$1:$K$1,0)),"")</f>
        <v>6302.93.2000</v>
      </c>
      <c r="G426" s="8">
        <f>_xlfn.IFNA(INDEX('HS Codes'!$D$2:$K2980,MATCH($B426,'HS Codes'!$A$2:$A2980,0),MATCH(G$1,'HS Codes'!$D$1:$K$1,0)),"")</f>
        <v>6302600090</v>
      </c>
      <c r="H426" s="8" t="str">
        <f>_xlfn.IFNA(INDEX('HS Codes'!$D$2:$K2980,MATCH($B426,'HS Codes'!$A$2:$A2980,0),MATCH(H$1,'HS Codes'!$D$1:$K$1,0)),"")</f>
        <v>6302.93.00.00</v>
      </c>
      <c r="I426" s="8">
        <f>_xlfn.IFNA(INDEX('HS Codes'!$D$2:$K2980,MATCH($B426,'HS Codes'!$A$2:$A2980,0),MATCH(I$1,'HS Codes'!$D$1:$K$1,0)),"")</f>
        <v>63029390</v>
      </c>
      <c r="J426" s="8">
        <f>_xlfn.IFNA(INDEX('HS Codes'!$D$2:$K2980,MATCH($B426,'HS Codes'!$A$2:$A2980,0),MATCH(J$1,'HS Codes'!$D$1:$K$1,0)),"")</f>
        <v>0</v>
      </c>
      <c r="K426" s="8" t="str">
        <f>_xlfn.IFNA(INDEX('HS Codes'!$D$2:$K2980,MATCH($B426,'HS Codes'!$A$2:$A2980,0),MATCH(K$1,'HS Codes'!$D$1:$K$1,0)),"")</f>
        <v>6302.39.00</v>
      </c>
      <c r="L426" s="8">
        <f>_xlfn.IFNA(INDEX('HS Codes'!$D$2:$K2980,MATCH($B426,'HS Codes'!$A$2:$A2980,0),MATCH(L$1,'HS Codes'!$D$1:$K$1,0)),"")</f>
        <v>63029120</v>
      </c>
      <c r="M426" s="8" t="str">
        <f>_xlfn.IFNA(INDEX('HS Codes'!$C$2:$C2980,MATCH($B426,'HS Codes'!$A$2:$A2980,0)),"")</f>
        <v>Beach Towel - Toilet Linen 100% recycled 220 GSM/83% polyester/17% polyamide includes cotton on the packing pouch drawstring</v>
      </c>
      <c r="N426" s="9"/>
      <c r="O426" s="9"/>
      <c r="P426" s="9"/>
      <c r="Q426" s="9"/>
    </row>
    <row r="427" spans="1:17" ht="15.75" customHeight="1">
      <c r="A427" s="7" t="s">
        <v>715</v>
      </c>
      <c r="B427" s="7" t="s">
        <v>164</v>
      </c>
      <c r="C427" s="7" t="s">
        <v>278</v>
      </c>
      <c r="D427" s="7" t="s">
        <v>165</v>
      </c>
      <c r="E427" s="7" t="s">
        <v>348</v>
      </c>
      <c r="F427" s="8" t="str">
        <f>_xlfn.IFNA(INDEX('HS Codes'!$D$2:$K2981,MATCH($B427,'HS Codes'!$A$2:$A2981,0),MATCH(F$1,'HS Codes'!$D$1:$K$1,0)),"")</f>
        <v>6302.93.2000</v>
      </c>
      <c r="G427" s="8">
        <f>_xlfn.IFNA(INDEX('HS Codes'!$D$2:$K2981,MATCH($B427,'HS Codes'!$A$2:$A2981,0),MATCH(G$1,'HS Codes'!$D$1:$K$1,0)),"")</f>
        <v>6302600090</v>
      </c>
      <c r="H427" s="8" t="str">
        <f>_xlfn.IFNA(INDEX('HS Codes'!$D$2:$K2981,MATCH($B427,'HS Codes'!$A$2:$A2981,0),MATCH(H$1,'HS Codes'!$D$1:$K$1,0)),"")</f>
        <v>6302.93.00.00</v>
      </c>
      <c r="I427" s="8">
        <f>_xlfn.IFNA(INDEX('HS Codes'!$D$2:$K2981,MATCH($B427,'HS Codes'!$A$2:$A2981,0),MATCH(I$1,'HS Codes'!$D$1:$K$1,0)),"")</f>
        <v>63029390</v>
      </c>
      <c r="J427" s="8">
        <f>_xlfn.IFNA(INDEX('HS Codes'!$D$2:$K2981,MATCH($B427,'HS Codes'!$A$2:$A2981,0),MATCH(J$1,'HS Codes'!$D$1:$K$1,0)),"")</f>
        <v>0</v>
      </c>
      <c r="K427" s="8" t="str">
        <f>_xlfn.IFNA(INDEX('HS Codes'!$D$2:$K2981,MATCH($B427,'HS Codes'!$A$2:$A2981,0),MATCH(K$1,'HS Codes'!$D$1:$K$1,0)),"")</f>
        <v>6302.39.00</v>
      </c>
      <c r="L427" s="8">
        <f>_xlfn.IFNA(INDEX('HS Codes'!$D$2:$K2981,MATCH($B427,'HS Codes'!$A$2:$A2981,0),MATCH(L$1,'HS Codes'!$D$1:$K$1,0)),"")</f>
        <v>63029120</v>
      </c>
      <c r="M427" s="8" t="str">
        <f>_xlfn.IFNA(INDEX('HS Codes'!$C$2:$C2981,MATCH($B427,'HS Codes'!$A$2:$A2981,0)),"")</f>
        <v>Beach Towel - Toilet Linen 100% recycled 220 GSM/83% polyester/17% polyamide includes cotton on the packing pouch drawstring</v>
      </c>
      <c r="N427" s="9"/>
      <c r="O427" s="9"/>
      <c r="P427" s="9"/>
      <c r="Q427" s="9"/>
    </row>
    <row r="428" spans="1:17" ht="15.75" customHeight="1">
      <c r="A428" s="7" t="s">
        <v>716</v>
      </c>
      <c r="B428" s="7" t="s">
        <v>164</v>
      </c>
      <c r="C428" s="7" t="s">
        <v>278</v>
      </c>
      <c r="D428" s="7" t="s">
        <v>165</v>
      </c>
      <c r="E428" s="7" t="s">
        <v>348</v>
      </c>
      <c r="F428" s="8" t="str">
        <f>_xlfn.IFNA(INDEX('HS Codes'!$D$2:$K2982,MATCH($B428,'HS Codes'!$A$2:$A2982,0),MATCH(F$1,'HS Codes'!$D$1:$K$1,0)),"")</f>
        <v>6302.93.2000</v>
      </c>
      <c r="G428" s="8">
        <f>_xlfn.IFNA(INDEX('HS Codes'!$D$2:$K2982,MATCH($B428,'HS Codes'!$A$2:$A2982,0),MATCH(G$1,'HS Codes'!$D$1:$K$1,0)),"")</f>
        <v>6302600090</v>
      </c>
      <c r="H428" s="8" t="str">
        <f>_xlfn.IFNA(INDEX('HS Codes'!$D$2:$K2982,MATCH($B428,'HS Codes'!$A$2:$A2982,0),MATCH(H$1,'HS Codes'!$D$1:$K$1,0)),"")</f>
        <v>6302.93.00.00</v>
      </c>
      <c r="I428" s="8">
        <f>_xlfn.IFNA(INDEX('HS Codes'!$D$2:$K2982,MATCH($B428,'HS Codes'!$A$2:$A2982,0),MATCH(I$1,'HS Codes'!$D$1:$K$1,0)),"")</f>
        <v>63029390</v>
      </c>
      <c r="J428" s="8">
        <f>_xlfn.IFNA(INDEX('HS Codes'!$D$2:$K2982,MATCH($B428,'HS Codes'!$A$2:$A2982,0),MATCH(J$1,'HS Codes'!$D$1:$K$1,0)),"")</f>
        <v>0</v>
      </c>
      <c r="K428" s="8" t="str">
        <f>_xlfn.IFNA(INDEX('HS Codes'!$D$2:$K2982,MATCH($B428,'HS Codes'!$A$2:$A2982,0),MATCH(K$1,'HS Codes'!$D$1:$K$1,0)),"")</f>
        <v>6302.39.00</v>
      </c>
      <c r="L428" s="8">
        <f>_xlfn.IFNA(INDEX('HS Codes'!$D$2:$K2982,MATCH($B428,'HS Codes'!$A$2:$A2982,0),MATCH(L$1,'HS Codes'!$D$1:$K$1,0)),"")</f>
        <v>63029120</v>
      </c>
      <c r="M428" s="8" t="str">
        <f>_xlfn.IFNA(INDEX('HS Codes'!$C$2:$C2982,MATCH($B428,'HS Codes'!$A$2:$A2982,0)),"")</f>
        <v>Beach Towel - Toilet Linen 100% recycled 220 GSM/83% polyester/17% polyamide includes cotton on the packing pouch drawstring</v>
      </c>
      <c r="N428" s="9"/>
      <c r="O428" s="9"/>
      <c r="P428" s="9"/>
      <c r="Q428" s="9"/>
    </row>
    <row r="429" spans="1:17" ht="15.75" customHeight="1">
      <c r="A429" s="7" t="s">
        <v>717</v>
      </c>
      <c r="B429" s="7" t="s">
        <v>164</v>
      </c>
      <c r="C429" s="7" t="s">
        <v>278</v>
      </c>
      <c r="D429" s="7" t="s">
        <v>165</v>
      </c>
      <c r="E429" s="7" t="s">
        <v>348</v>
      </c>
      <c r="F429" s="8" t="str">
        <f>_xlfn.IFNA(INDEX('HS Codes'!$D$2:$K2983,MATCH($B429,'HS Codes'!$A$2:$A2983,0),MATCH(F$1,'HS Codes'!$D$1:$K$1,0)),"")</f>
        <v>6302.93.2000</v>
      </c>
      <c r="G429" s="8">
        <f>_xlfn.IFNA(INDEX('HS Codes'!$D$2:$K2983,MATCH($B429,'HS Codes'!$A$2:$A2983,0),MATCH(G$1,'HS Codes'!$D$1:$K$1,0)),"")</f>
        <v>6302600090</v>
      </c>
      <c r="H429" s="8" t="str">
        <f>_xlfn.IFNA(INDEX('HS Codes'!$D$2:$K2983,MATCH($B429,'HS Codes'!$A$2:$A2983,0),MATCH(H$1,'HS Codes'!$D$1:$K$1,0)),"")</f>
        <v>6302.93.00.00</v>
      </c>
      <c r="I429" s="8">
        <f>_xlfn.IFNA(INDEX('HS Codes'!$D$2:$K2983,MATCH($B429,'HS Codes'!$A$2:$A2983,0),MATCH(I$1,'HS Codes'!$D$1:$K$1,0)),"")</f>
        <v>63029390</v>
      </c>
      <c r="J429" s="8">
        <f>_xlfn.IFNA(INDEX('HS Codes'!$D$2:$K2983,MATCH($B429,'HS Codes'!$A$2:$A2983,0),MATCH(J$1,'HS Codes'!$D$1:$K$1,0)),"")</f>
        <v>0</v>
      </c>
      <c r="K429" s="8" t="str">
        <f>_xlfn.IFNA(INDEX('HS Codes'!$D$2:$K2983,MATCH($B429,'HS Codes'!$A$2:$A2983,0),MATCH(K$1,'HS Codes'!$D$1:$K$1,0)),"")</f>
        <v>6302.39.00</v>
      </c>
      <c r="L429" s="8">
        <f>_xlfn.IFNA(INDEX('HS Codes'!$D$2:$K2983,MATCH($B429,'HS Codes'!$A$2:$A2983,0),MATCH(L$1,'HS Codes'!$D$1:$K$1,0)),"")</f>
        <v>63029120</v>
      </c>
      <c r="M429" s="8" t="str">
        <f>_xlfn.IFNA(INDEX('HS Codes'!$C$2:$C2983,MATCH($B429,'HS Codes'!$A$2:$A2983,0)),"")</f>
        <v>Beach Towel - Toilet Linen 100% recycled 220 GSM/83% polyester/17% polyamide includes cotton on the packing pouch drawstring</v>
      </c>
      <c r="N429" s="9"/>
      <c r="O429" s="9"/>
      <c r="P429" s="9"/>
      <c r="Q429" s="9"/>
    </row>
    <row r="430" spans="1:17" ht="15.75" customHeight="1">
      <c r="A430" s="7" t="s">
        <v>718</v>
      </c>
      <c r="B430" s="7" t="s">
        <v>164</v>
      </c>
      <c r="C430" s="7" t="s">
        <v>278</v>
      </c>
      <c r="D430" s="7" t="s">
        <v>165</v>
      </c>
      <c r="E430" s="7" t="s">
        <v>348</v>
      </c>
      <c r="F430" s="8" t="str">
        <f>_xlfn.IFNA(INDEX('HS Codes'!$D$2:$K2984,MATCH($B430,'HS Codes'!$A$2:$A2984,0),MATCH(F$1,'HS Codes'!$D$1:$K$1,0)),"")</f>
        <v>6302.93.2000</v>
      </c>
      <c r="G430" s="8">
        <f>_xlfn.IFNA(INDEX('HS Codes'!$D$2:$K2984,MATCH($B430,'HS Codes'!$A$2:$A2984,0),MATCH(G$1,'HS Codes'!$D$1:$K$1,0)),"")</f>
        <v>6302600090</v>
      </c>
      <c r="H430" s="8" t="str">
        <f>_xlfn.IFNA(INDEX('HS Codes'!$D$2:$K2984,MATCH($B430,'HS Codes'!$A$2:$A2984,0),MATCH(H$1,'HS Codes'!$D$1:$K$1,0)),"")</f>
        <v>6302.93.00.00</v>
      </c>
      <c r="I430" s="8">
        <f>_xlfn.IFNA(INDEX('HS Codes'!$D$2:$K2984,MATCH($B430,'HS Codes'!$A$2:$A2984,0),MATCH(I$1,'HS Codes'!$D$1:$K$1,0)),"")</f>
        <v>63029390</v>
      </c>
      <c r="J430" s="8">
        <f>_xlfn.IFNA(INDEX('HS Codes'!$D$2:$K2984,MATCH($B430,'HS Codes'!$A$2:$A2984,0),MATCH(J$1,'HS Codes'!$D$1:$K$1,0)),"")</f>
        <v>0</v>
      </c>
      <c r="K430" s="8" t="str">
        <f>_xlfn.IFNA(INDEX('HS Codes'!$D$2:$K2984,MATCH($B430,'HS Codes'!$A$2:$A2984,0),MATCH(K$1,'HS Codes'!$D$1:$K$1,0)),"")</f>
        <v>6302.39.00</v>
      </c>
      <c r="L430" s="8">
        <f>_xlfn.IFNA(INDEX('HS Codes'!$D$2:$K2984,MATCH($B430,'HS Codes'!$A$2:$A2984,0),MATCH(L$1,'HS Codes'!$D$1:$K$1,0)),"")</f>
        <v>63029120</v>
      </c>
      <c r="M430" s="8" t="str">
        <f>_xlfn.IFNA(INDEX('HS Codes'!$C$2:$C2984,MATCH($B430,'HS Codes'!$A$2:$A2984,0)),"")</f>
        <v>Beach Towel - Toilet Linen 100% recycled 220 GSM/83% polyester/17% polyamide includes cotton on the packing pouch drawstring</v>
      </c>
      <c r="N430" s="9"/>
      <c r="O430" s="9"/>
      <c r="P430" s="9"/>
      <c r="Q430" s="9"/>
    </row>
    <row r="431" spans="1:17" ht="15.75" customHeight="1">
      <c r="A431" s="7" t="s">
        <v>719</v>
      </c>
      <c r="B431" s="7" t="s">
        <v>164</v>
      </c>
      <c r="C431" s="7" t="s">
        <v>278</v>
      </c>
      <c r="D431" s="7" t="s">
        <v>165</v>
      </c>
      <c r="E431" s="7" t="s">
        <v>348</v>
      </c>
      <c r="F431" s="8" t="str">
        <f>_xlfn.IFNA(INDEX('HS Codes'!$D$2:$K2985,MATCH($B431,'HS Codes'!$A$2:$A2985,0),MATCH(F$1,'HS Codes'!$D$1:$K$1,0)),"")</f>
        <v>6302.93.2000</v>
      </c>
      <c r="G431" s="8">
        <f>_xlfn.IFNA(INDEX('HS Codes'!$D$2:$K2985,MATCH($B431,'HS Codes'!$A$2:$A2985,0),MATCH(G$1,'HS Codes'!$D$1:$K$1,0)),"")</f>
        <v>6302600090</v>
      </c>
      <c r="H431" s="8" t="str">
        <f>_xlfn.IFNA(INDEX('HS Codes'!$D$2:$K2985,MATCH($B431,'HS Codes'!$A$2:$A2985,0),MATCH(H$1,'HS Codes'!$D$1:$K$1,0)),"")</f>
        <v>6302.93.00.00</v>
      </c>
      <c r="I431" s="8">
        <f>_xlfn.IFNA(INDEX('HS Codes'!$D$2:$K2985,MATCH($B431,'HS Codes'!$A$2:$A2985,0),MATCH(I$1,'HS Codes'!$D$1:$K$1,0)),"")</f>
        <v>63029390</v>
      </c>
      <c r="J431" s="8">
        <f>_xlfn.IFNA(INDEX('HS Codes'!$D$2:$K2985,MATCH($B431,'HS Codes'!$A$2:$A2985,0),MATCH(J$1,'HS Codes'!$D$1:$K$1,0)),"")</f>
        <v>0</v>
      </c>
      <c r="K431" s="8" t="str">
        <f>_xlfn.IFNA(INDEX('HS Codes'!$D$2:$K2985,MATCH($B431,'HS Codes'!$A$2:$A2985,0),MATCH(K$1,'HS Codes'!$D$1:$K$1,0)),"")</f>
        <v>6302.39.00</v>
      </c>
      <c r="L431" s="8">
        <f>_xlfn.IFNA(INDEX('HS Codes'!$D$2:$K2985,MATCH($B431,'HS Codes'!$A$2:$A2985,0),MATCH(L$1,'HS Codes'!$D$1:$K$1,0)),"")</f>
        <v>63029120</v>
      </c>
      <c r="M431" s="8" t="str">
        <f>_xlfn.IFNA(INDEX('HS Codes'!$C$2:$C2985,MATCH($B431,'HS Codes'!$A$2:$A2985,0)),"")</f>
        <v>Beach Towel - Toilet Linen 100% recycled 220 GSM/83% polyester/17% polyamide includes cotton on the packing pouch drawstring</v>
      </c>
      <c r="N431" s="9"/>
      <c r="O431" s="9"/>
      <c r="P431" s="9"/>
      <c r="Q431" s="9"/>
    </row>
    <row r="432" spans="1:17" ht="15.75" customHeight="1">
      <c r="A432" s="7" t="s">
        <v>720</v>
      </c>
      <c r="B432" s="7" t="s">
        <v>164</v>
      </c>
      <c r="C432" s="7" t="s">
        <v>278</v>
      </c>
      <c r="D432" s="7" t="s">
        <v>165</v>
      </c>
      <c r="E432" s="7" t="s">
        <v>348</v>
      </c>
      <c r="F432" s="8" t="str">
        <f>_xlfn.IFNA(INDEX('HS Codes'!$D$2:$K2986,MATCH($B432,'HS Codes'!$A$2:$A2986,0),MATCH(F$1,'HS Codes'!$D$1:$K$1,0)),"")</f>
        <v>6302.93.2000</v>
      </c>
      <c r="G432" s="8">
        <f>_xlfn.IFNA(INDEX('HS Codes'!$D$2:$K2986,MATCH($B432,'HS Codes'!$A$2:$A2986,0),MATCH(G$1,'HS Codes'!$D$1:$K$1,0)),"")</f>
        <v>6302600090</v>
      </c>
      <c r="H432" s="8" t="str">
        <f>_xlfn.IFNA(INDEX('HS Codes'!$D$2:$K2986,MATCH($B432,'HS Codes'!$A$2:$A2986,0),MATCH(H$1,'HS Codes'!$D$1:$K$1,0)),"")</f>
        <v>6302.93.00.00</v>
      </c>
      <c r="I432" s="8">
        <f>_xlfn.IFNA(INDEX('HS Codes'!$D$2:$K2986,MATCH($B432,'HS Codes'!$A$2:$A2986,0),MATCH(I$1,'HS Codes'!$D$1:$K$1,0)),"")</f>
        <v>63029390</v>
      </c>
      <c r="J432" s="8">
        <f>_xlfn.IFNA(INDEX('HS Codes'!$D$2:$K2986,MATCH($B432,'HS Codes'!$A$2:$A2986,0),MATCH(J$1,'HS Codes'!$D$1:$K$1,0)),"")</f>
        <v>0</v>
      </c>
      <c r="K432" s="8" t="str">
        <f>_xlfn.IFNA(INDEX('HS Codes'!$D$2:$K2986,MATCH($B432,'HS Codes'!$A$2:$A2986,0),MATCH(K$1,'HS Codes'!$D$1:$K$1,0)),"")</f>
        <v>6302.39.00</v>
      </c>
      <c r="L432" s="8">
        <f>_xlfn.IFNA(INDEX('HS Codes'!$D$2:$K2986,MATCH($B432,'HS Codes'!$A$2:$A2986,0),MATCH(L$1,'HS Codes'!$D$1:$K$1,0)),"")</f>
        <v>63029120</v>
      </c>
      <c r="M432" s="8" t="str">
        <f>_xlfn.IFNA(INDEX('HS Codes'!$C$2:$C2986,MATCH($B432,'HS Codes'!$A$2:$A2986,0)),"")</f>
        <v>Beach Towel - Toilet Linen 100% recycled 220 GSM/83% polyester/17% polyamide includes cotton on the packing pouch drawstring</v>
      </c>
      <c r="N432" s="9"/>
      <c r="O432" s="9"/>
      <c r="P432" s="9"/>
      <c r="Q432" s="9"/>
    </row>
    <row r="433" spans="1:17" ht="15.75" customHeight="1">
      <c r="A433" s="7" t="s">
        <v>721</v>
      </c>
      <c r="B433" s="7" t="s">
        <v>164</v>
      </c>
      <c r="C433" s="7" t="s">
        <v>278</v>
      </c>
      <c r="D433" s="7" t="s">
        <v>165</v>
      </c>
      <c r="E433" s="7" t="s">
        <v>348</v>
      </c>
      <c r="F433" s="8" t="str">
        <f>_xlfn.IFNA(INDEX('HS Codes'!$D$2:$K2987,MATCH($B433,'HS Codes'!$A$2:$A2987,0),MATCH(F$1,'HS Codes'!$D$1:$K$1,0)),"")</f>
        <v>6302.93.2000</v>
      </c>
      <c r="G433" s="8">
        <f>_xlfn.IFNA(INDEX('HS Codes'!$D$2:$K2987,MATCH($B433,'HS Codes'!$A$2:$A2987,0),MATCH(G$1,'HS Codes'!$D$1:$K$1,0)),"")</f>
        <v>6302600090</v>
      </c>
      <c r="H433" s="8" t="str">
        <f>_xlfn.IFNA(INDEX('HS Codes'!$D$2:$K2987,MATCH($B433,'HS Codes'!$A$2:$A2987,0),MATCH(H$1,'HS Codes'!$D$1:$K$1,0)),"")</f>
        <v>6302.93.00.00</v>
      </c>
      <c r="I433" s="8">
        <f>_xlfn.IFNA(INDEX('HS Codes'!$D$2:$K2987,MATCH($B433,'HS Codes'!$A$2:$A2987,0),MATCH(I$1,'HS Codes'!$D$1:$K$1,0)),"")</f>
        <v>63029390</v>
      </c>
      <c r="J433" s="8">
        <f>_xlfn.IFNA(INDEX('HS Codes'!$D$2:$K2987,MATCH($B433,'HS Codes'!$A$2:$A2987,0),MATCH(J$1,'HS Codes'!$D$1:$K$1,0)),"")</f>
        <v>0</v>
      </c>
      <c r="K433" s="8" t="str">
        <f>_xlfn.IFNA(INDEX('HS Codes'!$D$2:$K2987,MATCH($B433,'HS Codes'!$A$2:$A2987,0),MATCH(K$1,'HS Codes'!$D$1:$K$1,0)),"")</f>
        <v>6302.39.00</v>
      </c>
      <c r="L433" s="8">
        <f>_xlfn.IFNA(INDEX('HS Codes'!$D$2:$K2987,MATCH($B433,'HS Codes'!$A$2:$A2987,0),MATCH(L$1,'HS Codes'!$D$1:$K$1,0)),"")</f>
        <v>63029120</v>
      </c>
      <c r="M433" s="8" t="str">
        <f>_xlfn.IFNA(INDEX('HS Codes'!$C$2:$C2987,MATCH($B433,'HS Codes'!$A$2:$A2987,0)),"")</f>
        <v>Beach Towel - Toilet Linen 100% recycled 220 GSM/83% polyester/17% polyamide includes cotton on the packing pouch drawstring</v>
      </c>
      <c r="N433" s="9"/>
      <c r="O433" s="9"/>
      <c r="P433" s="9"/>
      <c r="Q433" s="9"/>
    </row>
    <row r="434" spans="1:17" ht="15.75" customHeight="1">
      <c r="A434" s="7" t="s">
        <v>722</v>
      </c>
      <c r="B434" s="7" t="s">
        <v>164</v>
      </c>
      <c r="C434" s="7" t="s">
        <v>278</v>
      </c>
      <c r="D434" s="7" t="s">
        <v>165</v>
      </c>
      <c r="E434" s="7" t="s">
        <v>348</v>
      </c>
      <c r="F434" s="8" t="str">
        <f>_xlfn.IFNA(INDEX('HS Codes'!$D$2:$K2988,MATCH($B434,'HS Codes'!$A$2:$A2988,0),MATCH(F$1,'HS Codes'!$D$1:$K$1,0)),"")</f>
        <v>6302.93.2000</v>
      </c>
      <c r="G434" s="8">
        <f>_xlfn.IFNA(INDEX('HS Codes'!$D$2:$K2988,MATCH($B434,'HS Codes'!$A$2:$A2988,0),MATCH(G$1,'HS Codes'!$D$1:$K$1,0)),"")</f>
        <v>6302600090</v>
      </c>
      <c r="H434" s="8" t="str">
        <f>_xlfn.IFNA(INDEX('HS Codes'!$D$2:$K2988,MATCH($B434,'HS Codes'!$A$2:$A2988,0),MATCH(H$1,'HS Codes'!$D$1:$K$1,0)),"")</f>
        <v>6302.93.00.00</v>
      </c>
      <c r="I434" s="8">
        <f>_xlfn.IFNA(INDEX('HS Codes'!$D$2:$K2988,MATCH($B434,'HS Codes'!$A$2:$A2988,0),MATCH(I$1,'HS Codes'!$D$1:$K$1,0)),"")</f>
        <v>63029390</v>
      </c>
      <c r="J434" s="8">
        <f>_xlfn.IFNA(INDEX('HS Codes'!$D$2:$K2988,MATCH($B434,'HS Codes'!$A$2:$A2988,0),MATCH(J$1,'HS Codes'!$D$1:$K$1,0)),"")</f>
        <v>0</v>
      </c>
      <c r="K434" s="8" t="str">
        <f>_xlfn.IFNA(INDEX('HS Codes'!$D$2:$K2988,MATCH($B434,'HS Codes'!$A$2:$A2988,0),MATCH(K$1,'HS Codes'!$D$1:$K$1,0)),"")</f>
        <v>6302.39.00</v>
      </c>
      <c r="L434" s="8">
        <f>_xlfn.IFNA(INDEX('HS Codes'!$D$2:$K2988,MATCH($B434,'HS Codes'!$A$2:$A2988,0),MATCH(L$1,'HS Codes'!$D$1:$K$1,0)),"")</f>
        <v>63029120</v>
      </c>
      <c r="M434" s="8" t="str">
        <f>_xlfn.IFNA(INDEX('HS Codes'!$C$2:$C2988,MATCH($B434,'HS Codes'!$A$2:$A2988,0)),"")</f>
        <v>Beach Towel - Toilet Linen 100% recycled 220 GSM/83% polyester/17% polyamide includes cotton on the packing pouch drawstring</v>
      </c>
      <c r="N434" s="9"/>
      <c r="O434" s="9"/>
      <c r="P434" s="9"/>
      <c r="Q434" s="9"/>
    </row>
    <row r="435" spans="1:17" ht="15.75" customHeight="1">
      <c r="A435" s="7" t="s">
        <v>723</v>
      </c>
      <c r="B435" s="7" t="s">
        <v>164</v>
      </c>
      <c r="C435" s="7" t="s">
        <v>278</v>
      </c>
      <c r="D435" s="7" t="s">
        <v>165</v>
      </c>
      <c r="E435" s="7" t="s">
        <v>348</v>
      </c>
      <c r="F435" s="8" t="str">
        <f>_xlfn.IFNA(INDEX('HS Codes'!$D$2:$K2989,MATCH($B435,'HS Codes'!$A$2:$A2989,0),MATCH(F$1,'HS Codes'!$D$1:$K$1,0)),"")</f>
        <v>6302.93.2000</v>
      </c>
      <c r="G435" s="8">
        <f>_xlfn.IFNA(INDEX('HS Codes'!$D$2:$K2989,MATCH($B435,'HS Codes'!$A$2:$A2989,0),MATCH(G$1,'HS Codes'!$D$1:$K$1,0)),"")</f>
        <v>6302600090</v>
      </c>
      <c r="H435" s="8" t="str">
        <f>_xlfn.IFNA(INDEX('HS Codes'!$D$2:$K2989,MATCH($B435,'HS Codes'!$A$2:$A2989,0),MATCH(H$1,'HS Codes'!$D$1:$K$1,0)),"")</f>
        <v>6302.93.00.00</v>
      </c>
      <c r="I435" s="8">
        <f>_xlfn.IFNA(INDEX('HS Codes'!$D$2:$K2989,MATCH($B435,'HS Codes'!$A$2:$A2989,0),MATCH(I$1,'HS Codes'!$D$1:$K$1,0)),"")</f>
        <v>63029390</v>
      </c>
      <c r="J435" s="8">
        <f>_xlfn.IFNA(INDEX('HS Codes'!$D$2:$K2989,MATCH($B435,'HS Codes'!$A$2:$A2989,0),MATCH(J$1,'HS Codes'!$D$1:$K$1,0)),"")</f>
        <v>0</v>
      </c>
      <c r="K435" s="8" t="str">
        <f>_xlfn.IFNA(INDEX('HS Codes'!$D$2:$K2989,MATCH($B435,'HS Codes'!$A$2:$A2989,0),MATCH(K$1,'HS Codes'!$D$1:$K$1,0)),"")</f>
        <v>6302.39.00</v>
      </c>
      <c r="L435" s="8">
        <f>_xlfn.IFNA(INDEX('HS Codes'!$D$2:$K2989,MATCH($B435,'HS Codes'!$A$2:$A2989,0),MATCH(L$1,'HS Codes'!$D$1:$K$1,0)),"")</f>
        <v>63029120</v>
      </c>
      <c r="M435" s="8" t="str">
        <f>_xlfn.IFNA(INDEX('HS Codes'!$C$2:$C2989,MATCH($B435,'HS Codes'!$A$2:$A2989,0)),"")</f>
        <v>Beach Towel - Toilet Linen 100% recycled 220 GSM/83% polyester/17% polyamide includes cotton on the packing pouch drawstring</v>
      </c>
      <c r="N435" s="9"/>
      <c r="O435" s="9"/>
      <c r="P435" s="9"/>
      <c r="Q435" s="9"/>
    </row>
    <row r="436" spans="1:17" ht="15.75" customHeight="1">
      <c r="A436" s="7" t="s">
        <v>724</v>
      </c>
      <c r="B436" s="7" t="s">
        <v>164</v>
      </c>
      <c r="C436" s="7" t="s">
        <v>278</v>
      </c>
      <c r="D436" s="7" t="s">
        <v>165</v>
      </c>
      <c r="E436" s="7" t="s">
        <v>348</v>
      </c>
      <c r="F436" s="8" t="str">
        <f>_xlfn.IFNA(INDEX('HS Codes'!$D$2:$K2990,MATCH($B436,'HS Codes'!$A$2:$A2990,0),MATCH(F$1,'HS Codes'!$D$1:$K$1,0)),"")</f>
        <v>6302.93.2000</v>
      </c>
      <c r="G436" s="8">
        <f>_xlfn.IFNA(INDEX('HS Codes'!$D$2:$K2990,MATCH($B436,'HS Codes'!$A$2:$A2990,0),MATCH(G$1,'HS Codes'!$D$1:$K$1,0)),"")</f>
        <v>6302600090</v>
      </c>
      <c r="H436" s="8" t="str">
        <f>_xlfn.IFNA(INDEX('HS Codes'!$D$2:$K2990,MATCH($B436,'HS Codes'!$A$2:$A2990,0),MATCH(H$1,'HS Codes'!$D$1:$K$1,0)),"")</f>
        <v>6302.93.00.00</v>
      </c>
      <c r="I436" s="8">
        <f>_xlfn.IFNA(INDEX('HS Codes'!$D$2:$K2990,MATCH($B436,'HS Codes'!$A$2:$A2990,0),MATCH(I$1,'HS Codes'!$D$1:$K$1,0)),"")</f>
        <v>63029390</v>
      </c>
      <c r="J436" s="8">
        <f>_xlfn.IFNA(INDEX('HS Codes'!$D$2:$K2990,MATCH($B436,'HS Codes'!$A$2:$A2990,0),MATCH(J$1,'HS Codes'!$D$1:$K$1,0)),"")</f>
        <v>0</v>
      </c>
      <c r="K436" s="8" t="str">
        <f>_xlfn.IFNA(INDEX('HS Codes'!$D$2:$K2990,MATCH($B436,'HS Codes'!$A$2:$A2990,0),MATCH(K$1,'HS Codes'!$D$1:$K$1,0)),"")</f>
        <v>6302.39.00</v>
      </c>
      <c r="L436" s="8">
        <f>_xlfn.IFNA(INDEX('HS Codes'!$D$2:$K2990,MATCH($B436,'HS Codes'!$A$2:$A2990,0),MATCH(L$1,'HS Codes'!$D$1:$K$1,0)),"")</f>
        <v>63029120</v>
      </c>
      <c r="M436" s="8" t="str">
        <f>_xlfn.IFNA(INDEX('HS Codes'!$C$2:$C2990,MATCH($B436,'HS Codes'!$A$2:$A2990,0)),"")</f>
        <v>Beach Towel - Toilet Linen 100% recycled 220 GSM/83% polyester/17% polyamide includes cotton on the packing pouch drawstring</v>
      </c>
      <c r="N436" s="9"/>
      <c r="O436" s="9"/>
      <c r="P436" s="9"/>
      <c r="Q436" s="9"/>
    </row>
    <row r="437" spans="1:17" ht="15.75" customHeight="1">
      <c r="A437" s="7" t="s">
        <v>725</v>
      </c>
      <c r="B437" s="7" t="s">
        <v>164</v>
      </c>
      <c r="C437" s="7" t="s">
        <v>278</v>
      </c>
      <c r="D437" s="7" t="s">
        <v>165</v>
      </c>
      <c r="E437" s="7" t="s">
        <v>348</v>
      </c>
      <c r="F437" s="8" t="str">
        <f>_xlfn.IFNA(INDEX('HS Codes'!$D$2:$K2991,MATCH($B437,'HS Codes'!$A$2:$A2991,0),MATCH(F$1,'HS Codes'!$D$1:$K$1,0)),"")</f>
        <v>6302.93.2000</v>
      </c>
      <c r="G437" s="8">
        <f>_xlfn.IFNA(INDEX('HS Codes'!$D$2:$K2991,MATCH($B437,'HS Codes'!$A$2:$A2991,0),MATCH(G$1,'HS Codes'!$D$1:$K$1,0)),"")</f>
        <v>6302600090</v>
      </c>
      <c r="H437" s="8" t="str">
        <f>_xlfn.IFNA(INDEX('HS Codes'!$D$2:$K2991,MATCH($B437,'HS Codes'!$A$2:$A2991,0),MATCH(H$1,'HS Codes'!$D$1:$K$1,0)),"")</f>
        <v>6302.93.00.00</v>
      </c>
      <c r="I437" s="8">
        <f>_xlfn.IFNA(INDEX('HS Codes'!$D$2:$K2991,MATCH($B437,'HS Codes'!$A$2:$A2991,0),MATCH(I$1,'HS Codes'!$D$1:$K$1,0)),"")</f>
        <v>63029390</v>
      </c>
      <c r="J437" s="8">
        <f>_xlfn.IFNA(INDEX('HS Codes'!$D$2:$K2991,MATCH($B437,'HS Codes'!$A$2:$A2991,0),MATCH(J$1,'HS Codes'!$D$1:$K$1,0)),"")</f>
        <v>0</v>
      </c>
      <c r="K437" s="8" t="str">
        <f>_xlfn.IFNA(INDEX('HS Codes'!$D$2:$K2991,MATCH($B437,'HS Codes'!$A$2:$A2991,0),MATCH(K$1,'HS Codes'!$D$1:$K$1,0)),"")</f>
        <v>6302.39.00</v>
      </c>
      <c r="L437" s="8">
        <f>_xlfn.IFNA(INDEX('HS Codes'!$D$2:$K2991,MATCH($B437,'HS Codes'!$A$2:$A2991,0),MATCH(L$1,'HS Codes'!$D$1:$K$1,0)),"")</f>
        <v>63029120</v>
      </c>
      <c r="M437" s="8" t="str">
        <f>_xlfn.IFNA(INDEX('HS Codes'!$C$2:$C2991,MATCH($B437,'HS Codes'!$A$2:$A2991,0)),"")</f>
        <v>Beach Towel - Toilet Linen 100% recycled 220 GSM/83% polyester/17% polyamide includes cotton on the packing pouch drawstring</v>
      </c>
      <c r="N437" s="9"/>
      <c r="O437" s="9"/>
      <c r="P437" s="9"/>
      <c r="Q437" s="9"/>
    </row>
    <row r="438" spans="1:17" ht="15.75" customHeight="1">
      <c r="A438" s="7" t="s">
        <v>726</v>
      </c>
      <c r="B438" s="7" t="s">
        <v>164</v>
      </c>
      <c r="C438" s="7" t="s">
        <v>278</v>
      </c>
      <c r="D438" s="7" t="s">
        <v>165</v>
      </c>
      <c r="E438" s="7" t="s">
        <v>348</v>
      </c>
      <c r="F438" s="8" t="str">
        <f>_xlfn.IFNA(INDEX('HS Codes'!$D$2:$K2992,MATCH($B438,'HS Codes'!$A$2:$A2992,0),MATCH(F$1,'HS Codes'!$D$1:$K$1,0)),"")</f>
        <v>6302.93.2000</v>
      </c>
      <c r="G438" s="8">
        <f>_xlfn.IFNA(INDEX('HS Codes'!$D$2:$K2992,MATCH($B438,'HS Codes'!$A$2:$A2992,0),MATCH(G$1,'HS Codes'!$D$1:$K$1,0)),"")</f>
        <v>6302600090</v>
      </c>
      <c r="H438" s="8" t="str">
        <f>_xlfn.IFNA(INDEX('HS Codes'!$D$2:$K2992,MATCH($B438,'HS Codes'!$A$2:$A2992,0),MATCH(H$1,'HS Codes'!$D$1:$K$1,0)),"")</f>
        <v>6302.93.00.00</v>
      </c>
      <c r="I438" s="8">
        <f>_xlfn.IFNA(INDEX('HS Codes'!$D$2:$K2992,MATCH($B438,'HS Codes'!$A$2:$A2992,0),MATCH(I$1,'HS Codes'!$D$1:$K$1,0)),"")</f>
        <v>63029390</v>
      </c>
      <c r="J438" s="8">
        <f>_xlfn.IFNA(INDEX('HS Codes'!$D$2:$K2992,MATCH($B438,'HS Codes'!$A$2:$A2992,0),MATCH(J$1,'HS Codes'!$D$1:$K$1,0)),"")</f>
        <v>0</v>
      </c>
      <c r="K438" s="8" t="str">
        <f>_xlfn.IFNA(INDEX('HS Codes'!$D$2:$K2992,MATCH($B438,'HS Codes'!$A$2:$A2992,0),MATCH(K$1,'HS Codes'!$D$1:$K$1,0)),"")</f>
        <v>6302.39.00</v>
      </c>
      <c r="L438" s="8">
        <f>_xlfn.IFNA(INDEX('HS Codes'!$D$2:$K2992,MATCH($B438,'HS Codes'!$A$2:$A2992,0),MATCH(L$1,'HS Codes'!$D$1:$K$1,0)),"")</f>
        <v>63029120</v>
      </c>
      <c r="M438" s="8" t="str">
        <f>_xlfn.IFNA(INDEX('HS Codes'!$C$2:$C2992,MATCH($B438,'HS Codes'!$A$2:$A2992,0)),"")</f>
        <v>Beach Towel - Toilet Linen 100% recycled 220 GSM/83% polyester/17% polyamide includes cotton on the packing pouch drawstring</v>
      </c>
      <c r="N438" s="9"/>
      <c r="O438" s="9"/>
      <c r="P438" s="9"/>
      <c r="Q438" s="9"/>
    </row>
    <row r="439" spans="1:17" ht="15.75" customHeight="1">
      <c r="A439" s="7" t="s">
        <v>727</v>
      </c>
      <c r="B439" s="7" t="s">
        <v>164</v>
      </c>
      <c r="C439" s="7" t="s">
        <v>278</v>
      </c>
      <c r="D439" s="7" t="s">
        <v>165</v>
      </c>
      <c r="E439" s="7" t="s">
        <v>348</v>
      </c>
      <c r="F439" s="8" t="str">
        <f>_xlfn.IFNA(INDEX('HS Codes'!$D$2:$K2993,MATCH($B439,'HS Codes'!$A$2:$A2993,0),MATCH(F$1,'HS Codes'!$D$1:$K$1,0)),"")</f>
        <v>6302.93.2000</v>
      </c>
      <c r="G439" s="8">
        <f>_xlfn.IFNA(INDEX('HS Codes'!$D$2:$K2993,MATCH($B439,'HS Codes'!$A$2:$A2993,0),MATCH(G$1,'HS Codes'!$D$1:$K$1,0)),"")</f>
        <v>6302600090</v>
      </c>
      <c r="H439" s="8" t="str">
        <f>_xlfn.IFNA(INDEX('HS Codes'!$D$2:$K2993,MATCH($B439,'HS Codes'!$A$2:$A2993,0),MATCH(H$1,'HS Codes'!$D$1:$K$1,0)),"")</f>
        <v>6302.93.00.00</v>
      </c>
      <c r="I439" s="8">
        <f>_xlfn.IFNA(INDEX('HS Codes'!$D$2:$K2993,MATCH($B439,'HS Codes'!$A$2:$A2993,0),MATCH(I$1,'HS Codes'!$D$1:$K$1,0)),"")</f>
        <v>63029390</v>
      </c>
      <c r="J439" s="8">
        <f>_xlfn.IFNA(INDEX('HS Codes'!$D$2:$K2993,MATCH($B439,'HS Codes'!$A$2:$A2993,0),MATCH(J$1,'HS Codes'!$D$1:$K$1,0)),"")</f>
        <v>0</v>
      </c>
      <c r="K439" s="8" t="str">
        <f>_xlfn.IFNA(INDEX('HS Codes'!$D$2:$K2993,MATCH($B439,'HS Codes'!$A$2:$A2993,0),MATCH(K$1,'HS Codes'!$D$1:$K$1,0)),"")</f>
        <v>6302.39.00</v>
      </c>
      <c r="L439" s="8">
        <f>_xlfn.IFNA(INDEX('HS Codes'!$D$2:$K2993,MATCH($B439,'HS Codes'!$A$2:$A2993,0),MATCH(L$1,'HS Codes'!$D$1:$K$1,0)),"")</f>
        <v>63029120</v>
      </c>
      <c r="M439" s="8" t="str">
        <f>_xlfn.IFNA(INDEX('HS Codes'!$C$2:$C2993,MATCH($B439,'HS Codes'!$A$2:$A2993,0)),"")</f>
        <v>Beach Towel - Toilet Linen 100% recycled 220 GSM/83% polyester/17% polyamide includes cotton on the packing pouch drawstring</v>
      </c>
      <c r="N439" s="9"/>
      <c r="O439" s="9"/>
      <c r="P439" s="9"/>
      <c r="Q439" s="9"/>
    </row>
    <row r="440" spans="1:17" ht="15.75" customHeight="1">
      <c r="A440" s="7" t="s">
        <v>728</v>
      </c>
      <c r="B440" s="7" t="s">
        <v>164</v>
      </c>
      <c r="C440" s="7" t="s">
        <v>278</v>
      </c>
      <c r="D440" s="7" t="s">
        <v>165</v>
      </c>
      <c r="E440" s="7" t="s">
        <v>348</v>
      </c>
      <c r="F440" s="8" t="str">
        <f>_xlfn.IFNA(INDEX('HS Codes'!$D$2:$K2994,MATCH($B440,'HS Codes'!$A$2:$A2994,0),MATCH(F$1,'HS Codes'!$D$1:$K$1,0)),"")</f>
        <v>6302.93.2000</v>
      </c>
      <c r="G440" s="8">
        <f>_xlfn.IFNA(INDEX('HS Codes'!$D$2:$K2994,MATCH($B440,'HS Codes'!$A$2:$A2994,0),MATCH(G$1,'HS Codes'!$D$1:$K$1,0)),"")</f>
        <v>6302600090</v>
      </c>
      <c r="H440" s="8" t="str">
        <f>_xlfn.IFNA(INDEX('HS Codes'!$D$2:$K2994,MATCH($B440,'HS Codes'!$A$2:$A2994,0),MATCH(H$1,'HS Codes'!$D$1:$K$1,0)),"")</f>
        <v>6302.93.00.00</v>
      </c>
      <c r="I440" s="8">
        <f>_xlfn.IFNA(INDEX('HS Codes'!$D$2:$K2994,MATCH($B440,'HS Codes'!$A$2:$A2994,0),MATCH(I$1,'HS Codes'!$D$1:$K$1,0)),"")</f>
        <v>63029390</v>
      </c>
      <c r="J440" s="8">
        <f>_xlfn.IFNA(INDEX('HS Codes'!$D$2:$K2994,MATCH($B440,'HS Codes'!$A$2:$A2994,0),MATCH(J$1,'HS Codes'!$D$1:$K$1,0)),"")</f>
        <v>0</v>
      </c>
      <c r="K440" s="8" t="str">
        <f>_xlfn.IFNA(INDEX('HS Codes'!$D$2:$K2994,MATCH($B440,'HS Codes'!$A$2:$A2994,0),MATCH(K$1,'HS Codes'!$D$1:$K$1,0)),"")</f>
        <v>6302.39.00</v>
      </c>
      <c r="L440" s="8">
        <f>_xlfn.IFNA(INDEX('HS Codes'!$D$2:$K2994,MATCH($B440,'HS Codes'!$A$2:$A2994,0),MATCH(L$1,'HS Codes'!$D$1:$K$1,0)),"")</f>
        <v>63029120</v>
      </c>
      <c r="M440" s="8" t="str">
        <f>_xlfn.IFNA(INDEX('HS Codes'!$C$2:$C2994,MATCH($B440,'HS Codes'!$A$2:$A2994,0)),"")</f>
        <v>Beach Towel - Toilet Linen 100% recycled 220 GSM/83% polyester/17% polyamide includes cotton on the packing pouch drawstring</v>
      </c>
      <c r="N440" s="9"/>
      <c r="O440" s="9"/>
      <c r="P440" s="9"/>
      <c r="Q440" s="9"/>
    </row>
    <row r="441" spans="1:17" ht="15.75" customHeight="1">
      <c r="A441" s="7" t="s">
        <v>729</v>
      </c>
      <c r="B441" s="7" t="s">
        <v>164</v>
      </c>
      <c r="C441" s="7" t="s">
        <v>278</v>
      </c>
      <c r="D441" s="7" t="s">
        <v>165</v>
      </c>
      <c r="E441" s="7" t="s">
        <v>348</v>
      </c>
      <c r="F441" s="8" t="str">
        <f>_xlfn.IFNA(INDEX('HS Codes'!$D$2:$K2995,MATCH($B441,'HS Codes'!$A$2:$A2995,0),MATCH(F$1,'HS Codes'!$D$1:$K$1,0)),"")</f>
        <v>6302.93.2000</v>
      </c>
      <c r="G441" s="8">
        <f>_xlfn.IFNA(INDEX('HS Codes'!$D$2:$K2995,MATCH($B441,'HS Codes'!$A$2:$A2995,0),MATCH(G$1,'HS Codes'!$D$1:$K$1,0)),"")</f>
        <v>6302600090</v>
      </c>
      <c r="H441" s="8" t="str">
        <f>_xlfn.IFNA(INDEX('HS Codes'!$D$2:$K2995,MATCH($B441,'HS Codes'!$A$2:$A2995,0),MATCH(H$1,'HS Codes'!$D$1:$K$1,0)),"")</f>
        <v>6302.93.00.00</v>
      </c>
      <c r="I441" s="8">
        <f>_xlfn.IFNA(INDEX('HS Codes'!$D$2:$K2995,MATCH($B441,'HS Codes'!$A$2:$A2995,0),MATCH(I$1,'HS Codes'!$D$1:$K$1,0)),"")</f>
        <v>63029390</v>
      </c>
      <c r="J441" s="8">
        <f>_xlfn.IFNA(INDEX('HS Codes'!$D$2:$K2995,MATCH($B441,'HS Codes'!$A$2:$A2995,0),MATCH(J$1,'HS Codes'!$D$1:$K$1,0)),"")</f>
        <v>0</v>
      </c>
      <c r="K441" s="8" t="str">
        <f>_xlfn.IFNA(INDEX('HS Codes'!$D$2:$K2995,MATCH($B441,'HS Codes'!$A$2:$A2995,0),MATCH(K$1,'HS Codes'!$D$1:$K$1,0)),"")</f>
        <v>6302.39.00</v>
      </c>
      <c r="L441" s="8">
        <f>_xlfn.IFNA(INDEX('HS Codes'!$D$2:$K2995,MATCH($B441,'HS Codes'!$A$2:$A2995,0),MATCH(L$1,'HS Codes'!$D$1:$K$1,0)),"")</f>
        <v>63029120</v>
      </c>
      <c r="M441" s="8" t="str">
        <f>_xlfn.IFNA(INDEX('HS Codes'!$C$2:$C2995,MATCH($B441,'HS Codes'!$A$2:$A2995,0)),"")</f>
        <v>Beach Towel - Toilet Linen 100% recycled 220 GSM/83% polyester/17% polyamide includes cotton on the packing pouch drawstring</v>
      </c>
      <c r="N441" s="9"/>
      <c r="O441" s="9"/>
      <c r="P441" s="9"/>
      <c r="Q441" s="9"/>
    </row>
    <row r="442" spans="1:17" ht="15.75" customHeight="1">
      <c r="A442" s="7" t="s">
        <v>730</v>
      </c>
      <c r="B442" s="7" t="s">
        <v>164</v>
      </c>
      <c r="C442" s="7" t="s">
        <v>278</v>
      </c>
      <c r="D442" s="7" t="s">
        <v>165</v>
      </c>
      <c r="E442" s="7" t="s">
        <v>348</v>
      </c>
      <c r="F442" s="8" t="str">
        <f>_xlfn.IFNA(INDEX('HS Codes'!$D$2:$K2996,MATCH($B442,'HS Codes'!$A$2:$A2996,0),MATCH(F$1,'HS Codes'!$D$1:$K$1,0)),"")</f>
        <v>6302.93.2000</v>
      </c>
      <c r="G442" s="8">
        <f>_xlfn.IFNA(INDEX('HS Codes'!$D$2:$K2996,MATCH($B442,'HS Codes'!$A$2:$A2996,0),MATCH(G$1,'HS Codes'!$D$1:$K$1,0)),"")</f>
        <v>6302600090</v>
      </c>
      <c r="H442" s="8" t="str">
        <f>_xlfn.IFNA(INDEX('HS Codes'!$D$2:$K2996,MATCH($B442,'HS Codes'!$A$2:$A2996,0),MATCH(H$1,'HS Codes'!$D$1:$K$1,0)),"")</f>
        <v>6302.93.00.00</v>
      </c>
      <c r="I442" s="8">
        <f>_xlfn.IFNA(INDEX('HS Codes'!$D$2:$K2996,MATCH($B442,'HS Codes'!$A$2:$A2996,0),MATCH(I$1,'HS Codes'!$D$1:$K$1,0)),"")</f>
        <v>63029390</v>
      </c>
      <c r="J442" s="8">
        <f>_xlfn.IFNA(INDEX('HS Codes'!$D$2:$K2996,MATCH($B442,'HS Codes'!$A$2:$A2996,0),MATCH(J$1,'HS Codes'!$D$1:$K$1,0)),"")</f>
        <v>0</v>
      </c>
      <c r="K442" s="8" t="str">
        <f>_xlfn.IFNA(INDEX('HS Codes'!$D$2:$K2996,MATCH($B442,'HS Codes'!$A$2:$A2996,0),MATCH(K$1,'HS Codes'!$D$1:$K$1,0)),"")</f>
        <v>6302.39.00</v>
      </c>
      <c r="L442" s="8">
        <f>_xlfn.IFNA(INDEX('HS Codes'!$D$2:$K2996,MATCH($B442,'HS Codes'!$A$2:$A2996,0),MATCH(L$1,'HS Codes'!$D$1:$K$1,0)),"")</f>
        <v>63029120</v>
      </c>
      <c r="M442" s="8" t="str">
        <f>_xlfn.IFNA(INDEX('HS Codes'!$C$2:$C2996,MATCH($B442,'HS Codes'!$A$2:$A2996,0)),"")</f>
        <v>Beach Towel - Toilet Linen 100% recycled 220 GSM/83% polyester/17% polyamide includes cotton on the packing pouch drawstring</v>
      </c>
      <c r="N442" s="9"/>
      <c r="O442" s="9"/>
      <c r="P442" s="9"/>
      <c r="Q442" s="9"/>
    </row>
    <row r="443" spans="1:17" ht="15.75" customHeight="1">
      <c r="A443" s="7" t="s">
        <v>731</v>
      </c>
      <c r="B443" s="7" t="s">
        <v>164</v>
      </c>
      <c r="C443" s="7" t="s">
        <v>278</v>
      </c>
      <c r="D443" s="7" t="s">
        <v>165</v>
      </c>
      <c r="E443" s="7" t="s">
        <v>348</v>
      </c>
      <c r="F443" s="8" t="str">
        <f>_xlfn.IFNA(INDEX('HS Codes'!$D$2:$K2997,MATCH($B443,'HS Codes'!$A$2:$A2997,0),MATCH(F$1,'HS Codes'!$D$1:$K$1,0)),"")</f>
        <v>6302.93.2000</v>
      </c>
      <c r="G443" s="8">
        <f>_xlfn.IFNA(INDEX('HS Codes'!$D$2:$K2997,MATCH($B443,'HS Codes'!$A$2:$A2997,0),MATCH(G$1,'HS Codes'!$D$1:$K$1,0)),"")</f>
        <v>6302600090</v>
      </c>
      <c r="H443" s="8" t="str">
        <f>_xlfn.IFNA(INDEX('HS Codes'!$D$2:$K2997,MATCH($B443,'HS Codes'!$A$2:$A2997,0),MATCH(H$1,'HS Codes'!$D$1:$K$1,0)),"")</f>
        <v>6302.93.00.00</v>
      </c>
      <c r="I443" s="8">
        <f>_xlfn.IFNA(INDEX('HS Codes'!$D$2:$K2997,MATCH($B443,'HS Codes'!$A$2:$A2997,0),MATCH(I$1,'HS Codes'!$D$1:$K$1,0)),"")</f>
        <v>63029390</v>
      </c>
      <c r="J443" s="8">
        <f>_xlfn.IFNA(INDEX('HS Codes'!$D$2:$K2997,MATCH($B443,'HS Codes'!$A$2:$A2997,0),MATCH(J$1,'HS Codes'!$D$1:$K$1,0)),"")</f>
        <v>0</v>
      </c>
      <c r="K443" s="8" t="str">
        <f>_xlfn.IFNA(INDEX('HS Codes'!$D$2:$K2997,MATCH($B443,'HS Codes'!$A$2:$A2997,0),MATCH(K$1,'HS Codes'!$D$1:$K$1,0)),"")</f>
        <v>6302.39.00</v>
      </c>
      <c r="L443" s="8">
        <f>_xlfn.IFNA(INDEX('HS Codes'!$D$2:$K2997,MATCH($B443,'HS Codes'!$A$2:$A2997,0),MATCH(L$1,'HS Codes'!$D$1:$K$1,0)),"")</f>
        <v>63029120</v>
      </c>
      <c r="M443" s="8" t="str">
        <f>_xlfn.IFNA(INDEX('HS Codes'!$C$2:$C2997,MATCH($B443,'HS Codes'!$A$2:$A2997,0)),"")</f>
        <v>Beach Towel - Toilet Linen 100% recycled 220 GSM/83% polyester/17% polyamide includes cotton on the packing pouch drawstring</v>
      </c>
      <c r="N443" s="9"/>
      <c r="O443" s="9"/>
      <c r="P443" s="9"/>
      <c r="Q443" s="9"/>
    </row>
    <row r="444" spans="1:17" ht="15.75" customHeight="1">
      <c r="A444" s="7" t="s">
        <v>732</v>
      </c>
      <c r="B444" s="7" t="s">
        <v>164</v>
      </c>
      <c r="C444" s="7" t="s">
        <v>278</v>
      </c>
      <c r="D444" s="7" t="s">
        <v>165</v>
      </c>
      <c r="E444" s="7" t="s">
        <v>348</v>
      </c>
      <c r="F444" s="8" t="str">
        <f>_xlfn.IFNA(INDEX('HS Codes'!$D$2:$K2998,MATCH($B444,'HS Codes'!$A$2:$A2998,0),MATCH(F$1,'HS Codes'!$D$1:$K$1,0)),"")</f>
        <v>6302.93.2000</v>
      </c>
      <c r="G444" s="8">
        <f>_xlfn.IFNA(INDEX('HS Codes'!$D$2:$K2998,MATCH($B444,'HS Codes'!$A$2:$A2998,0),MATCH(G$1,'HS Codes'!$D$1:$K$1,0)),"")</f>
        <v>6302600090</v>
      </c>
      <c r="H444" s="8" t="str">
        <f>_xlfn.IFNA(INDEX('HS Codes'!$D$2:$K2998,MATCH($B444,'HS Codes'!$A$2:$A2998,0),MATCH(H$1,'HS Codes'!$D$1:$K$1,0)),"")</f>
        <v>6302.93.00.00</v>
      </c>
      <c r="I444" s="8">
        <f>_xlfn.IFNA(INDEX('HS Codes'!$D$2:$K2998,MATCH($B444,'HS Codes'!$A$2:$A2998,0),MATCH(I$1,'HS Codes'!$D$1:$K$1,0)),"")</f>
        <v>63029390</v>
      </c>
      <c r="J444" s="8">
        <f>_xlfn.IFNA(INDEX('HS Codes'!$D$2:$K2998,MATCH($B444,'HS Codes'!$A$2:$A2998,0),MATCH(J$1,'HS Codes'!$D$1:$K$1,0)),"")</f>
        <v>0</v>
      </c>
      <c r="K444" s="8" t="str">
        <f>_xlfn.IFNA(INDEX('HS Codes'!$D$2:$K2998,MATCH($B444,'HS Codes'!$A$2:$A2998,0),MATCH(K$1,'HS Codes'!$D$1:$K$1,0)),"")</f>
        <v>6302.39.00</v>
      </c>
      <c r="L444" s="8">
        <f>_xlfn.IFNA(INDEX('HS Codes'!$D$2:$K2998,MATCH($B444,'HS Codes'!$A$2:$A2998,0),MATCH(L$1,'HS Codes'!$D$1:$K$1,0)),"")</f>
        <v>63029120</v>
      </c>
      <c r="M444" s="8" t="str">
        <f>_xlfn.IFNA(INDEX('HS Codes'!$C$2:$C2998,MATCH($B444,'HS Codes'!$A$2:$A2998,0)),"")</f>
        <v>Beach Towel - Toilet Linen 100% recycled 220 GSM/83% polyester/17% polyamide includes cotton on the packing pouch drawstring</v>
      </c>
      <c r="N444" s="9"/>
      <c r="O444" s="9"/>
      <c r="P444" s="9"/>
      <c r="Q444" s="9"/>
    </row>
    <row r="445" spans="1:17" ht="15.75" customHeight="1">
      <c r="A445" s="7" t="s">
        <v>733</v>
      </c>
      <c r="B445" s="7" t="s">
        <v>164</v>
      </c>
      <c r="C445" s="7" t="s">
        <v>278</v>
      </c>
      <c r="D445" s="7" t="s">
        <v>165</v>
      </c>
      <c r="E445" s="7" t="s">
        <v>348</v>
      </c>
      <c r="F445" s="8" t="str">
        <f>_xlfn.IFNA(INDEX('HS Codes'!$D$2:$K2999,MATCH($B445,'HS Codes'!$A$2:$A2999,0),MATCH(F$1,'HS Codes'!$D$1:$K$1,0)),"")</f>
        <v>6302.93.2000</v>
      </c>
      <c r="G445" s="8">
        <f>_xlfn.IFNA(INDEX('HS Codes'!$D$2:$K2999,MATCH($B445,'HS Codes'!$A$2:$A2999,0),MATCH(G$1,'HS Codes'!$D$1:$K$1,0)),"")</f>
        <v>6302600090</v>
      </c>
      <c r="H445" s="8" t="str">
        <f>_xlfn.IFNA(INDEX('HS Codes'!$D$2:$K2999,MATCH($B445,'HS Codes'!$A$2:$A2999,0),MATCH(H$1,'HS Codes'!$D$1:$K$1,0)),"")</f>
        <v>6302.93.00.00</v>
      </c>
      <c r="I445" s="8">
        <f>_xlfn.IFNA(INDEX('HS Codes'!$D$2:$K2999,MATCH($B445,'HS Codes'!$A$2:$A2999,0),MATCH(I$1,'HS Codes'!$D$1:$K$1,0)),"")</f>
        <v>63029390</v>
      </c>
      <c r="J445" s="8">
        <f>_xlfn.IFNA(INDEX('HS Codes'!$D$2:$K2999,MATCH($B445,'HS Codes'!$A$2:$A2999,0),MATCH(J$1,'HS Codes'!$D$1:$K$1,0)),"")</f>
        <v>0</v>
      </c>
      <c r="K445" s="8" t="str">
        <f>_xlfn.IFNA(INDEX('HS Codes'!$D$2:$K2999,MATCH($B445,'HS Codes'!$A$2:$A2999,0),MATCH(K$1,'HS Codes'!$D$1:$K$1,0)),"")</f>
        <v>6302.39.00</v>
      </c>
      <c r="L445" s="8">
        <f>_xlfn.IFNA(INDEX('HS Codes'!$D$2:$K2999,MATCH($B445,'HS Codes'!$A$2:$A2999,0),MATCH(L$1,'HS Codes'!$D$1:$K$1,0)),"")</f>
        <v>63029120</v>
      </c>
      <c r="M445" s="8" t="str">
        <f>_xlfn.IFNA(INDEX('HS Codes'!$C$2:$C2999,MATCH($B445,'HS Codes'!$A$2:$A2999,0)),"")</f>
        <v>Beach Towel - Toilet Linen 100% recycled 220 GSM/83% polyester/17% polyamide includes cotton on the packing pouch drawstring</v>
      </c>
      <c r="N445" s="9"/>
      <c r="O445" s="9"/>
      <c r="P445" s="9"/>
      <c r="Q445" s="9"/>
    </row>
    <row r="446" spans="1:17" ht="15.75" customHeight="1">
      <c r="A446" s="7" t="s">
        <v>734</v>
      </c>
      <c r="B446" s="7" t="s">
        <v>164</v>
      </c>
      <c r="C446" s="7" t="s">
        <v>278</v>
      </c>
      <c r="D446" s="7" t="s">
        <v>165</v>
      </c>
      <c r="E446" s="7" t="s">
        <v>348</v>
      </c>
      <c r="F446" s="8" t="str">
        <f>_xlfn.IFNA(INDEX('HS Codes'!$D$2:$K3000,MATCH($B446,'HS Codes'!$A$2:$A3000,0),MATCH(F$1,'HS Codes'!$D$1:$K$1,0)),"")</f>
        <v>6302.93.2000</v>
      </c>
      <c r="G446" s="8">
        <f>_xlfn.IFNA(INDEX('HS Codes'!$D$2:$K3000,MATCH($B446,'HS Codes'!$A$2:$A3000,0),MATCH(G$1,'HS Codes'!$D$1:$K$1,0)),"")</f>
        <v>6302600090</v>
      </c>
      <c r="H446" s="8" t="str">
        <f>_xlfn.IFNA(INDEX('HS Codes'!$D$2:$K3000,MATCH($B446,'HS Codes'!$A$2:$A3000,0),MATCH(H$1,'HS Codes'!$D$1:$K$1,0)),"")</f>
        <v>6302.93.00.00</v>
      </c>
      <c r="I446" s="8">
        <f>_xlfn.IFNA(INDEX('HS Codes'!$D$2:$K3000,MATCH($B446,'HS Codes'!$A$2:$A3000,0),MATCH(I$1,'HS Codes'!$D$1:$K$1,0)),"")</f>
        <v>63029390</v>
      </c>
      <c r="J446" s="8">
        <f>_xlfn.IFNA(INDEX('HS Codes'!$D$2:$K3000,MATCH($B446,'HS Codes'!$A$2:$A3000,0),MATCH(J$1,'HS Codes'!$D$1:$K$1,0)),"")</f>
        <v>0</v>
      </c>
      <c r="K446" s="8" t="str">
        <f>_xlfn.IFNA(INDEX('HS Codes'!$D$2:$K3000,MATCH($B446,'HS Codes'!$A$2:$A3000,0),MATCH(K$1,'HS Codes'!$D$1:$K$1,0)),"")</f>
        <v>6302.39.00</v>
      </c>
      <c r="L446" s="8">
        <f>_xlfn.IFNA(INDEX('HS Codes'!$D$2:$K3000,MATCH($B446,'HS Codes'!$A$2:$A3000,0),MATCH(L$1,'HS Codes'!$D$1:$K$1,0)),"")</f>
        <v>63029120</v>
      </c>
      <c r="M446" s="8" t="str">
        <f>_xlfn.IFNA(INDEX('HS Codes'!$C$2:$C3000,MATCH($B446,'HS Codes'!$A$2:$A3000,0)),"")</f>
        <v>Beach Towel - Toilet Linen 100% recycled 220 GSM/83% polyester/17% polyamide includes cotton on the packing pouch drawstring</v>
      </c>
      <c r="N446" s="9"/>
      <c r="O446" s="9"/>
      <c r="P446" s="9"/>
      <c r="Q446" s="9"/>
    </row>
    <row r="447" spans="1:17" ht="15.75" customHeight="1">
      <c r="A447" s="7" t="s">
        <v>735</v>
      </c>
      <c r="B447" s="7" t="s">
        <v>164</v>
      </c>
      <c r="C447" s="7" t="s">
        <v>278</v>
      </c>
      <c r="D447" s="7" t="s">
        <v>165</v>
      </c>
      <c r="E447" s="7" t="s">
        <v>348</v>
      </c>
      <c r="F447" s="8" t="str">
        <f>_xlfn.IFNA(INDEX('HS Codes'!$D$2:$K3001,MATCH($B447,'HS Codes'!$A$2:$A3001,0),MATCH(F$1,'HS Codes'!$D$1:$K$1,0)),"")</f>
        <v>6302.93.2000</v>
      </c>
      <c r="G447" s="8">
        <f>_xlfn.IFNA(INDEX('HS Codes'!$D$2:$K3001,MATCH($B447,'HS Codes'!$A$2:$A3001,0),MATCH(G$1,'HS Codes'!$D$1:$K$1,0)),"")</f>
        <v>6302600090</v>
      </c>
      <c r="H447" s="8" t="str">
        <f>_xlfn.IFNA(INDEX('HS Codes'!$D$2:$K3001,MATCH($B447,'HS Codes'!$A$2:$A3001,0),MATCH(H$1,'HS Codes'!$D$1:$K$1,0)),"")</f>
        <v>6302.93.00.00</v>
      </c>
      <c r="I447" s="8">
        <f>_xlfn.IFNA(INDEX('HS Codes'!$D$2:$K3001,MATCH($B447,'HS Codes'!$A$2:$A3001,0),MATCH(I$1,'HS Codes'!$D$1:$K$1,0)),"")</f>
        <v>63029390</v>
      </c>
      <c r="J447" s="8">
        <f>_xlfn.IFNA(INDEX('HS Codes'!$D$2:$K3001,MATCH($B447,'HS Codes'!$A$2:$A3001,0),MATCH(J$1,'HS Codes'!$D$1:$K$1,0)),"")</f>
        <v>0</v>
      </c>
      <c r="K447" s="8" t="str">
        <f>_xlfn.IFNA(INDEX('HS Codes'!$D$2:$K3001,MATCH($B447,'HS Codes'!$A$2:$A3001,0),MATCH(K$1,'HS Codes'!$D$1:$K$1,0)),"")</f>
        <v>6302.39.00</v>
      </c>
      <c r="L447" s="8">
        <f>_xlfn.IFNA(INDEX('HS Codes'!$D$2:$K3001,MATCH($B447,'HS Codes'!$A$2:$A3001,0),MATCH(L$1,'HS Codes'!$D$1:$K$1,0)),"")</f>
        <v>63029120</v>
      </c>
      <c r="M447" s="8" t="str">
        <f>_xlfn.IFNA(INDEX('HS Codes'!$C$2:$C3001,MATCH($B447,'HS Codes'!$A$2:$A3001,0)),"")</f>
        <v>Beach Towel - Toilet Linen 100% recycled 220 GSM/83% polyester/17% polyamide includes cotton on the packing pouch drawstring</v>
      </c>
      <c r="N447" s="9"/>
      <c r="O447" s="9"/>
      <c r="P447" s="9"/>
      <c r="Q447" s="9"/>
    </row>
    <row r="448" spans="1:17" ht="15.75" customHeight="1">
      <c r="A448" s="7" t="s">
        <v>736</v>
      </c>
      <c r="B448" s="7" t="s">
        <v>164</v>
      </c>
      <c r="C448" s="7" t="s">
        <v>278</v>
      </c>
      <c r="D448" s="7" t="s">
        <v>165</v>
      </c>
      <c r="E448" s="7" t="s">
        <v>348</v>
      </c>
      <c r="F448" s="8" t="str">
        <f>_xlfn.IFNA(INDEX('HS Codes'!$D$2:$K3002,MATCH($B448,'HS Codes'!$A$2:$A3002,0),MATCH(F$1,'HS Codes'!$D$1:$K$1,0)),"")</f>
        <v>6302.93.2000</v>
      </c>
      <c r="G448" s="8">
        <f>_xlfn.IFNA(INDEX('HS Codes'!$D$2:$K3002,MATCH($B448,'HS Codes'!$A$2:$A3002,0),MATCH(G$1,'HS Codes'!$D$1:$K$1,0)),"")</f>
        <v>6302600090</v>
      </c>
      <c r="H448" s="8" t="str">
        <f>_xlfn.IFNA(INDEX('HS Codes'!$D$2:$K3002,MATCH($B448,'HS Codes'!$A$2:$A3002,0),MATCH(H$1,'HS Codes'!$D$1:$K$1,0)),"")</f>
        <v>6302.93.00.00</v>
      </c>
      <c r="I448" s="8">
        <f>_xlfn.IFNA(INDEX('HS Codes'!$D$2:$K3002,MATCH($B448,'HS Codes'!$A$2:$A3002,0),MATCH(I$1,'HS Codes'!$D$1:$K$1,0)),"")</f>
        <v>63029390</v>
      </c>
      <c r="J448" s="8">
        <f>_xlfn.IFNA(INDEX('HS Codes'!$D$2:$K3002,MATCH($B448,'HS Codes'!$A$2:$A3002,0),MATCH(J$1,'HS Codes'!$D$1:$K$1,0)),"")</f>
        <v>0</v>
      </c>
      <c r="K448" s="8" t="str">
        <f>_xlfn.IFNA(INDEX('HS Codes'!$D$2:$K3002,MATCH($B448,'HS Codes'!$A$2:$A3002,0),MATCH(K$1,'HS Codes'!$D$1:$K$1,0)),"")</f>
        <v>6302.39.00</v>
      </c>
      <c r="L448" s="8">
        <f>_xlfn.IFNA(INDEX('HS Codes'!$D$2:$K3002,MATCH($B448,'HS Codes'!$A$2:$A3002,0),MATCH(L$1,'HS Codes'!$D$1:$K$1,0)),"")</f>
        <v>63029120</v>
      </c>
      <c r="M448" s="8" t="str">
        <f>_xlfn.IFNA(INDEX('HS Codes'!$C$2:$C3002,MATCH($B448,'HS Codes'!$A$2:$A3002,0)),"")</f>
        <v>Beach Towel - Toilet Linen 100% recycled 220 GSM/83% polyester/17% polyamide includes cotton on the packing pouch drawstring</v>
      </c>
      <c r="N448" s="9"/>
      <c r="O448" s="9"/>
      <c r="P448" s="9"/>
      <c r="Q448" s="9"/>
    </row>
    <row r="449" spans="1:17" ht="15.75" customHeight="1">
      <c r="A449" s="7" t="s">
        <v>737</v>
      </c>
      <c r="B449" s="7" t="s">
        <v>164</v>
      </c>
      <c r="C449" s="7" t="s">
        <v>278</v>
      </c>
      <c r="D449" s="7" t="s">
        <v>165</v>
      </c>
      <c r="E449" s="7" t="s">
        <v>348</v>
      </c>
      <c r="F449" s="8" t="str">
        <f>_xlfn.IFNA(INDEX('HS Codes'!$D$2:$K3003,MATCH($B449,'HS Codes'!$A$2:$A3003,0),MATCH(F$1,'HS Codes'!$D$1:$K$1,0)),"")</f>
        <v>6302.93.2000</v>
      </c>
      <c r="G449" s="8">
        <f>_xlfn.IFNA(INDEX('HS Codes'!$D$2:$K3003,MATCH($B449,'HS Codes'!$A$2:$A3003,0),MATCH(G$1,'HS Codes'!$D$1:$K$1,0)),"")</f>
        <v>6302600090</v>
      </c>
      <c r="H449" s="8" t="str">
        <f>_xlfn.IFNA(INDEX('HS Codes'!$D$2:$K3003,MATCH($B449,'HS Codes'!$A$2:$A3003,0),MATCH(H$1,'HS Codes'!$D$1:$K$1,0)),"")</f>
        <v>6302.93.00.00</v>
      </c>
      <c r="I449" s="8">
        <f>_xlfn.IFNA(INDEX('HS Codes'!$D$2:$K3003,MATCH($B449,'HS Codes'!$A$2:$A3003,0),MATCH(I$1,'HS Codes'!$D$1:$K$1,0)),"")</f>
        <v>63029390</v>
      </c>
      <c r="J449" s="8">
        <f>_xlfn.IFNA(INDEX('HS Codes'!$D$2:$K3003,MATCH($B449,'HS Codes'!$A$2:$A3003,0),MATCH(J$1,'HS Codes'!$D$1:$K$1,0)),"")</f>
        <v>0</v>
      </c>
      <c r="K449" s="8" t="str">
        <f>_xlfn.IFNA(INDEX('HS Codes'!$D$2:$K3003,MATCH($B449,'HS Codes'!$A$2:$A3003,0),MATCH(K$1,'HS Codes'!$D$1:$K$1,0)),"")</f>
        <v>6302.39.00</v>
      </c>
      <c r="L449" s="8">
        <f>_xlfn.IFNA(INDEX('HS Codes'!$D$2:$K3003,MATCH($B449,'HS Codes'!$A$2:$A3003,0),MATCH(L$1,'HS Codes'!$D$1:$K$1,0)),"")</f>
        <v>63029120</v>
      </c>
      <c r="M449" s="8" t="str">
        <f>_xlfn.IFNA(INDEX('HS Codes'!$C$2:$C3003,MATCH($B449,'HS Codes'!$A$2:$A3003,0)),"")</f>
        <v>Beach Towel - Toilet Linen 100% recycled 220 GSM/83% polyester/17% polyamide includes cotton on the packing pouch drawstring</v>
      </c>
      <c r="N449" s="9"/>
      <c r="O449" s="9"/>
      <c r="P449" s="9"/>
      <c r="Q449" s="9"/>
    </row>
    <row r="450" spans="1:17" ht="15.75" customHeight="1">
      <c r="A450" s="7" t="s">
        <v>738</v>
      </c>
      <c r="B450" s="7" t="s">
        <v>164</v>
      </c>
      <c r="C450" s="7" t="s">
        <v>278</v>
      </c>
      <c r="D450" s="7" t="s">
        <v>165</v>
      </c>
      <c r="E450" s="7" t="s">
        <v>348</v>
      </c>
      <c r="F450" s="8" t="str">
        <f>_xlfn.IFNA(INDEX('HS Codes'!$D$2:$K3004,MATCH($B450,'HS Codes'!$A$2:$A3004,0),MATCH(F$1,'HS Codes'!$D$1:$K$1,0)),"")</f>
        <v>6302.93.2000</v>
      </c>
      <c r="G450" s="8">
        <f>_xlfn.IFNA(INDEX('HS Codes'!$D$2:$K3004,MATCH($B450,'HS Codes'!$A$2:$A3004,0),MATCH(G$1,'HS Codes'!$D$1:$K$1,0)),"")</f>
        <v>6302600090</v>
      </c>
      <c r="H450" s="8" t="str">
        <f>_xlfn.IFNA(INDEX('HS Codes'!$D$2:$K3004,MATCH($B450,'HS Codes'!$A$2:$A3004,0),MATCH(H$1,'HS Codes'!$D$1:$K$1,0)),"")</f>
        <v>6302.93.00.00</v>
      </c>
      <c r="I450" s="8">
        <f>_xlfn.IFNA(INDEX('HS Codes'!$D$2:$K3004,MATCH($B450,'HS Codes'!$A$2:$A3004,0),MATCH(I$1,'HS Codes'!$D$1:$K$1,0)),"")</f>
        <v>63029390</v>
      </c>
      <c r="J450" s="8">
        <f>_xlfn.IFNA(INDEX('HS Codes'!$D$2:$K3004,MATCH($B450,'HS Codes'!$A$2:$A3004,0),MATCH(J$1,'HS Codes'!$D$1:$K$1,0)),"")</f>
        <v>0</v>
      </c>
      <c r="K450" s="8" t="str">
        <f>_xlfn.IFNA(INDEX('HS Codes'!$D$2:$K3004,MATCH($B450,'HS Codes'!$A$2:$A3004,0),MATCH(K$1,'HS Codes'!$D$1:$K$1,0)),"")</f>
        <v>6302.39.00</v>
      </c>
      <c r="L450" s="8">
        <f>_xlfn.IFNA(INDEX('HS Codes'!$D$2:$K3004,MATCH($B450,'HS Codes'!$A$2:$A3004,0),MATCH(L$1,'HS Codes'!$D$1:$K$1,0)),"")</f>
        <v>63029120</v>
      </c>
      <c r="M450" s="8" t="str">
        <f>_xlfn.IFNA(INDEX('HS Codes'!$C$2:$C3004,MATCH($B450,'HS Codes'!$A$2:$A3004,0)),"")</f>
        <v>Beach Towel - Toilet Linen 100% recycled 220 GSM/83% polyester/17% polyamide includes cotton on the packing pouch drawstring</v>
      </c>
      <c r="N450" s="9"/>
      <c r="O450" s="9"/>
      <c r="P450" s="9"/>
      <c r="Q450" s="9"/>
    </row>
    <row r="451" spans="1:17" ht="15.75" customHeight="1">
      <c r="A451" s="7" t="s">
        <v>739</v>
      </c>
      <c r="B451" s="7" t="s">
        <v>164</v>
      </c>
      <c r="C451" s="7" t="s">
        <v>278</v>
      </c>
      <c r="D451" s="7" t="s">
        <v>165</v>
      </c>
      <c r="E451" s="7" t="s">
        <v>348</v>
      </c>
      <c r="F451" s="8" t="str">
        <f>_xlfn.IFNA(INDEX('HS Codes'!$D$2:$K3005,MATCH($B451,'HS Codes'!$A$2:$A3005,0),MATCH(F$1,'HS Codes'!$D$1:$K$1,0)),"")</f>
        <v>6302.93.2000</v>
      </c>
      <c r="G451" s="8">
        <f>_xlfn.IFNA(INDEX('HS Codes'!$D$2:$K3005,MATCH($B451,'HS Codes'!$A$2:$A3005,0),MATCH(G$1,'HS Codes'!$D$1:$K$1,0)),"")</f>
        <v>6302600090</v>
      </c>
      <c r="H451" s="8" t="str">
        <f>_xlfn.IFNA(INDEX('HS Codes'!$D$2:$K3005,MATCH($B451,'HS Codes'!$A$2:$A3005,0),MATCH(H$1,'HS Codes'!$D$1:$K$1,0)),"")</f>
        <v>6302.93.00.00</v>
      </c>
      <c r="I451" s="8">
        <f>_xlfn.IFNA(INDEX('HS Codes'!$D$2:$K3005,MATCH($B451,'HS Codes'!$A$2:$A3005,0),MATCH(I$1,'HS Codes'!$D$1:$K$1,0)),"")</f>
        <v>63029390</v>
      </c>
      <c r="J451" s="8">
        <f>_xlfn.IFNA(INDEX('HS Codes'!$D$2:$K3005,MATCH($B451,'HS Codes'!$A$2:$A3005,0),MATCH(J$1,'HS Codes'!$D$1:$K$1,0)),"")</f>
        <v>0</v>
      </c>
      <c r="K451" s="8" t="str">
        <f>_xlfn.IFNA(INDEX('HS Codes'!$D$2:$K3005,MATCH($B451,'HS Codes'!$A$2:$A3005,0),MATCH(K$1,'HS Codes'!$D$1:$K$1,0)),"")</f>
        <v>6302.39.00</v>
      </c>
      <c r="L451" s="8">
        <f>_xlfn.IFNA(INDEX('HS Codes'!$D$2:$K3005,MATCH($B451,'HS Codes'!$A$2:$A3005,0),MATCH(L$1,'HS Codes'!$D$1:$K$1,0)),"")</f>
        <v>63029120</v>
      </c>
      <c r="M451" s="8" t="str">
        <f>_xlfn.IFNA(INDEX('HS Codes'!$C$2:$C3005,MATCH($B451,'HS Codes'!$A$2:$A3005,0)),"")</f>
        <v>Beach Towel - Toilet Linen 100% recycled 220 GSM/83% polyester/17% polyamide includes cotton on the packing pouch drawstring</v>
      </c>
      <c r="N451" s="9"/>
      <c r="O451" s="9"/>
      <c r="P451" s="9"/>
      <c r="Q451" s="9"/>
    </row>
    <row r="452" spans="1:17" ht="15.75" customHeight="1">
      <c r="A452" s="7" t="s">
        <v>740</v>
      </c>
      <c r="B452" s="7" t="s">
        <v>164</v>
      </c>
      <c r="C452" s="7" t="s">
        <v>278</v>
      </c>
      <c r="D452" s="7" t="s">
        <v>165</v>
      </c>
      <c r="E452" s="7" t="s">
        <v>348</v>
      </c>
      <c r="F452" s="8" t="str">
        <f>_xlfn.IFNA(INDEX('HS Codes'!$D$2:$K3006,MATCH($B452,'HS Codes'!$A$2:$A3006,0),MATCH(F$1,'HS Codes'!$D$1:$K$1,0)),"")</f>
        <v>6302.93.2000</v>
      </c>
      <c r="G452" s="8">
        <f>_xlfn.IFNA(INDEX('HS Codes'!$D$2:$K3006,MATCH($B452,'HS Codes'!$A$2:$A3006,0),MATCH(G$1,'HS Codes'!$D$1:$K$1,0)),"")</f>
        <v>6302600090</v>
      </c>
      <c r="H452" s="8" t="str">
        <f>_xlfn.IFNA(INDEX('HS Codes'!$D$2:$K3006,MATCH($B452,'HS Codes'!$A$2:$A3006,0),MATCH(H$1,'HS Codes'!$D$1:$K$1,0)),"")</f>
        <v>6302.93.00.00</v>
      </c>
      <c r="I452" s="8">
        <f>_xlfn.IFNA(INDEX('HS Codes'!$D$2:$K3006,MATCH($B452,'HS Codes'!$A$2:$A3006,0),MATCH(I$1,'HS Codes'!$D$1:$K$1,0)),"")</f>
        <v>63029390</v>
      </c>
      <c r="J452" s="8">
        <f>_xlfn.IFNA(INDEX('HS Codes'!$D$2:$K3006,MATCH($B452,'HS Codes'!$A$2:$A3006,0),MATCH(J$1,'HS Codes'!$D$1:$K$1,0)),"")</f>
        <v>0</v>
      </c>
      <c r="K452" s="8" t="str">
        <f>_xlfn.IFNA(INDEX('HS Codes'!$D$2:$K3006,MATCH($B452,'HS Codes'!$A$2:$A3006,0),MATCH(K$1,'HS Codes'!$D$1:$K$1,0)),"")</f>
        <v>6302.39.00</v>
      </c>
      <c r="L452" s="8">
        <f>_xlfn.IFNA(INDEX('HS Codes'!$D$2:$K3006,MATCH($B452,'HS Codes'!$A$2:$A3006,0),MATCH(L$1,'HS Codes'!$D$1:$K$1,0)),"")</f>
        <v>63029120</v>
      </c>
      <c r="M452" s="8" t="str">
        <f>_xlfn.IFNA(INDEX('HS Codes'!$C$2:$C3006,MATCH($B452,'HS Codes'!$A$2:$A3006,0)),"")</f>
        <v>Beach Towel - Toilet Linen 100% recycled 220 GSM/83% polyester/17% polyamide includes cotton on the packing pouch drawstring</v>
      </c>
      <c r="N452" s="9"/>
      <c r="O452" s="9"/>
      <c r="P452" s="9"/>
      <c r="Q452" s="9"/>
    </row>
    <row r="453" spans="1:17" ht="15.75" customHeight="1">
      <c r="A453" s="7" t="s">
        <v>741</v>
      </c>
      <c r="B453" s="7" t="s">
        <v>164</v>
      </c>
      <c r="C453" s="7" t="s">
        <v>278</v>
      </c>
      <c r="D453" s="7" t="s">
        <v>165</v>
      </c>
      <c r="E453" s="7" t="s">
        <v>348</v>
      </c>
      <c r="F453" s="8" t="str">
        <f>_xlfn.IFNA(INDEX('HS Codes'!$D$2:$K3007,MATCH($B453,'HS Codes'!$A$2:$A3007,0),MATCH(F$1,'HS Codes'!$D$1:$K$1,0)),"")</f>
        <v>6302.93.2000</v>
      </c>
      <c r="G453" s="8">
        <f>_xlfn.IFNA(INDEX('HS Codes'!$D$2:$K3007,MATCH($B453,'HS Codes'!$A$2:$A3007,0),MATCH(G$1,'HS Codes'!$D$1:$K$1,0)),"")</f>
        <v>6302600090</v>
      </c>
      <c r="H453" s="8" t="str">
        <f>_xlfn.IFNA(INDEX('HS Codes'!$D$2:$K3007,MATCH($B453,'HS Codes'!$A$2:$A3007,0),MATCH(H$1,'HS Codes'!$D$1:$K$1,0)),"")</f>
        <v>6302.93.00.00</v>
      </c>
      <c r="I453" s="8">
        <f>_xlfn.IFNA(INDEX('HS Codes'!$D$2:$K3007,MATCH($B453,'HS Codes'!$A$2:$A3007,0),MATCH(I$1,'HS Codes'!$D$1:$K$1,0)),"")</f>
        <v>63029390</v>
      </c>
      <c r="J453" s="8">
        <f>_xlfn.IFNA(INDEX('HS Codes'!$D$2:$K3007,MATCH($B453,'HS Codes'!$A$2:$A3007,0),MATCH(J$1,'HS Codes'!$D$1:$K$1,0)),"")</f>
        <v>0</v>
      </c>
      <c r="K453" s="8" t="str">
        <f>_xlfn.IFNA(INDEX('HS Codes'!$D$2:$K3007,MATCH($B453,'HS Codes'!$A$2:$A3007,0),MATCH(K$1,'HS Codes'!$D$1:$K$1,0)),"")</f>
        <v>6302.39.00</v>
      </c>
      <c r="L453" s="8">
        <f>_xlfn.IFNA(INDEX('HS Codes'!$D$2:$K3007,MATCH($B453,'HS Codes'!$A$2:$A3007,0),MATCH(L$1,'HS Codes'!$D$1:$K$1,0)),"")</f>
        <v>63029120</v>
      </c>
      <c r="M453" s="8" t="str">
        <f>_xlfn.IFNA(INDEX('HS Codes'!$C$2:$C3007,MATCH($B453,'HS Codes'!$A$2:$A3007,0)),"")</f>
        <v>Beach Towel - Toilet Linen 100% recycled 220 GSM/83% polyester/17% polyamide includes cotton on the packing pouch drawstring</v>
      </c>
      <c r="N453" s="9"/>
      <c r="O453" s="9"/>
      <c r="P453" s="9"/>
      <c r="Q453" s="9"/>
    </row>
    <row r="454" spans="1:17" ht="15.75" customHeight="1">
      <c r="A454" s="7" t="s">
        <v>742</v>
      </c>
      <c r="B454" s="7" t="s">
        <v>164</v>
      </c>
      <c r="C454" s="7" t="s">
        <v>278</v>
      </c>
      <c r="D454" s="7" t="s">
        <v>165</v>
      </c>
      <c r="E454" s="7" t="s">
        <v>348</v>
      </c>
      <c r="F454" s="8" t="str">
        <f>_xlfn.IFNA(INDEX('HS Codes'!$D$2:$K3008,MATCH($B454,'HS Codes'!$A$2:$A3008,0),MATCH(F$1,'HS Codes'!$D$1:$K$1,0)),"")</f>
        <v>6302.93.2000</v>
      </c>
      <c r="G454" s="8">
        <f>_xlfn.IFNA(INDEX('HS Codes'!$D$2:$K3008,MATCH($B454,'HS Codes'!$A$2:$A3008,0),MATCH(G$1,'HS Codes'!$D$1:$K$1,0)),"")</f>
        <v>6302600090</v>
      </c>
      <c r="H454" s="8" t="str">
        <f>_xlfn.IFNA(INDEX('HS Codes'!$D$2:$K3008,MATCH($B454,'HS Codes'!$A$2:$A3008,0),MATCH(H$1,'HS Codes'!$D$1:$K$1,0)),"")</f>
        <v>6302.93.00.00</v>
      </c>
      <c r="I454" s="8">
        <f>_xlfn.IFNA(INDEX('HS Codes'!$D$2:$K3008,MATCH($B454,'HS Codes'!$A$2:$A3008,0),MATCH(I$1,'HS Codes'!$D$1:$K$1,0)),"")</f>
        <v>63029390</v>
      </c>
      <c r="J454" s="8">
        <f>_xlfn.IFNA(INDEX('HS Codes'!$D$2:$K3008,MATCH($B454,'HS Codes'!$A$2:$A3008,0),MATCH(J$1,'HS Codes'!$D$1:$K$1,0)),"")</f>
        <v>0</v>
      </c>
      <c r="K454" s="8" t="str">
        <f>_xlfn.IFNA(INDEX('HS Codes'!$D$2:$K3008,MATCH($B454,'HS Codes'!$A$2:$A3008,0),MATCH(K$1,'HS Codes'!$D$1:$K$1,0)),"")</f>
        <v>6302.39.00</v>
      </c>
      <c r="L454" s="8">
        <f>_xlfn.IFNA(INDEX('HS Codes'!$D$2:$K3008,MATCH($B454,'HS Codes'!$A$2:$A3008,0),MATCH(L$1,'HS Codes'!$D$1:$K$1,0)),"")</f>
        <v>63029120</v>
      </c>
      <c r="M454" s="8" t="str">
        <f>_xlfn.IFNA(INDEX('HS Codes'!$C$2:$C3008,MATCH($B454,'HS Codes'!$A$2:$A3008,0)),"")</f>
        <v>Beach Towel - Toilet Linen 100% recycled 220 GSM/83% polyester/17% polyamide includes cotton on the packing pouch drawstring</v>
      </c>
      <c r="N454" s="9"/>
      <c r="O454" s="9"/>
      <c r="P454" s="9"/>
      <c r="Q454" s="9"/>
    </row>
    <row r="455" spans="1:17" ht="15.75" customHeight="1">
      <c r="A455" s="7" t="s">
        <v>743</v>
      </c>
      <c r="B455" s="7" t="s">
        <v>164</v>
      </c>
      <c r="C455" s="7" t="s">
        <v>278</v>
      </c>
      <c r="D455" s="7" t="s">
        <v>165</v>
      </c>
      <c r="E455" s="7" t="s">
        <v>348</v>
      </c>
      <c r="F455" s="8" t="str">
        <f>_xlfn.IFNA(INDEX('HS Codes'!$D$2:$K3009,MATCH($B455,'HS Codes'!$A$2:$A3009,0),MATCH(F$1,'HS Codes'!$D$1:$K$1,0)),"")</f>
        <v>6302.93.2000</v>
      </c>
      <c r="G455" s="8">
        <f>_xlfn.IFNA(INDEX('HS Codes'!$D$2:$K3009,MATCH($B455,'HS Codes'!$A$2:$A3009,0),MATCH(G$1,'HS Codes'!$D$1:$K$1,0)),"")</f>
        <v>6302600090</v>
      </c>
      <c r="H455" s="8" t="str">
        <f>_xlfn.IFNA(INDEX('HS Codes'!$D$2:$K3009,MATCH($B455,'HS Codes'!$A$2:$A3009,0),MATCH(H$1,'HS Codes'!$D$1:$K$1,0)),"")</f>
        <v>6302.93.00.00</v>
      </c>
      <c r="I455" s="8">
        <f>_xlfn.IFNA(INDEX('HS Codes'!$D$2:$K3009,MATCH($B455,'HS Codes'!$A$2:$A3009,0),MATCH(I$1,'HS Codes'!$D$1:$K$1,0)),"")</f>
        <v>63029390</v>
      </c>
      <c r="J455" s="8">
        <f>_xlfn.IFNA(INDEX('HS Codes'!$D$2:$K3009,MATCH($B455,'HS Codes'!$A$2:$A3009,0),MATCH(J$1,'HS Codes'!$D$1:$K$1,0)),"")</f>
        <v>0</v>
      </c>
      <c r="K455" s="8" t="str">
        <f>_xlfn.IFNA(INDEX('HS Codes'!$D$2:$K3009,MATCH($B455,'HS Codes'!$A$2:$A3009,0),MATCH(K$1,'HS Codes'!$D$1:$K$1,0)),"")</f>
        <v>6302.39.00</v>
      </c>
      <c r="L455" s="8">
        <f>_xlfn.IFNA(INDEX('HS Codes'!$D$2:$K3009,MATCH($B455,'HS Codes'!$A$2:$A3009,0),MATCH(L$1,'HS Codes'!$D$1:$K$1,0)),"")</f>
        <v>63029120</v>
      </c>
      <c r="M455" s="8" t="str">
        <f>_xlfn.IFNA(INDEX('HS Codes'!$C$2:$C3009,MATCH($B455,'HS Codes'!$A$2:$A3009,0)),"")</f>
        <v>Beach Towel - Toilet Linen 100% recycled 220 GSM/83% polyester/17% polyamide includes cotton on the packing pouch drawstring</v>
      </c>
      <c r="N455" s="9"/>
      <c r="O455" s="9"/>
      <c r="P455" s="9"/>
      <c r="Q455" s="9"/>
    </row>
    <row r="456" spans="1:17" ht="15.75" customHeight="1">
      <c r="A456" s="7" t="s">
        <v>744</v>
      </c>
      <c r="B456" s="7" t="s">
        <v>164</v>
      </c>
      <c r="C456" s="7" t="s">
        <v>278</v>
      </c>
      <c r="D456" s="7" t="s">
        <v>165</v>
      </c>
      <c r="E456" s="7" t="s">
        <v>348</v>
      </c>
      <c r="F456" s="8" t="str">
        <f>_xlfn.IFNA(INDEX('HS Codes'!$D$2:$K3010,MATCH($B456,'HS Codes'!$A$2:$A3010,0),MATCH(F$1,'HS Codes'!$D$1:$K$1,0)),"")</f>
        <v>6302.93.2000</v>
      </c>
      <c r="G456" s="8">
        <f>_xlfn.IFNA(INDEX('HS Codes'!$D$2:$K3010,MATCH($B456,'HS Codes'!$A$2:$A3010,0),MATCH(G$1,'HS Codes'!$D$1:$K$1,0)),"")</f>
        <v>6302600090</v>
      </c>
      <c r="H456" s="8" t="str">
        <f>_xlfn.IFNA(INDEX('HS Codes'!$D$2:$K3010,MATCH($B456,'HS Codes'!$A$2:$A3010,0),MATCH(H$1,'HS Codes'!$D$1:$K$1,0)),"")</f>
        <v>6302.93.00.00</v>
      </c>
      <c r="I456" s="8">
        <f>_xlfn.IFNA(INDEX('HS Codes'!$D$2:$K3010,MATCH($B456,'HS Codes'!$A$2:$A3010,0),MATCH(I$1,'HS Codes'!$D$1:$K$1,0)),"")</f>
        <v>63029390</v>
      </c>
      <c r="J456" s="8">
        <f>_xlfn.IFNA(INDEX('HS Codes'!$D$2:$K3010,MATCH($B456,'HS Codes'!$A$2:$A3010,0),MATCH(J$1,'HS Codes'!$D$1:$K$1,0)),"")</f>
        <v>0</v>
      </c>
      <c r="K456" s="8" t="str">
        <f>_xlfn.IFNA(INDEX('HS Codes'!$D$2:$K3010,MATCH($B456,'HS Codes'!$A$2:$A3010,0),MATCH(K$1,'HS Codes'!$D$1:$K$1,0)),"")</f>
        <v>6302.39.00</v>
      </c>
      <c r="L456" s="8">
        <f>_xlfn.IFNA(INDEX('HS Codes'!$D$2:$K3010,MATCH($B456,'HS Codes'!$A$2:$A3010,0),MATCH(L$1,'HS Codes'!$D$1:$K$1,0)),"")</f>
        <v>63029120</v>
      </c>
      <c r="M456" s="8" t="str">
        <f>_xlfn.IFNA(INDEX('HS Codes'!$C$2:$C3010,MATCH($B456,'HS Codes'!$A$2:$A3010,0)),"")</f>
        <v>Beach Towel - Toilet Linen 100% recycled 220 GSM/83% polyester/17% polyamide includes cotton on the packing pouch drawstring</v>
      </c>
      <c r="N456" s="9"/>
      <c r="O456" s="9"/>
      <c r="P456" s="9"/>
      <c r="Q456" s="9"/>
    </row>
    <row r="457" spans="1:17" ht="15.75" customHeight="1">
      <c r="A457" s="7" t="s">
        <v>745</v>
      </c>
      <c r="B457" s="7" t="s">
        <v>164</v>
      </c>
      <c r="C457" s="7" t="s">
        <v>278</v>
      </c>
      <c r="D457" s="7" t="s">
        <v>165</v>
      </c>
      <c r="E457" s="7" t="s">
        <v>348</v>
      </c>
      <c r="F457" s="8" t="str">
        <f>_xlfn.IFNA(INDEX('HS Codes'!$D$2:$K3011,MATCH($B457,'HS Codes'!$A$2:$A3011,0),MATCH(F$1,'HS Codes'!$D$1:$K$1,0)),"")</f>
        <v>6302.93.2000</v>
      </c>
      <c r="G457" s="8">
        <f>_xlfn.IFNA(INDEX('HS Codes'!$D$2:$K3011,MATCH($B457,'HS Codes'!$A$2:$A3011,0),MATCH(G$1,'HS Codes'!$D$1:$K$1,0)),"")</f>
        <v>6302600090</v>
      </c>
      <c r="H457" s="8" t="str">
        <f>_xlfn.IFNA(INDEX('HS Codes'!$D$2:$K3011,MATCH($B457,'HS Codes'!$A$2:$A3011,0),MATCH(H$1,'HS Codes'!$D$1:$K$1,0)),"")</f>
        <v>6302.93.00.00</v>
      </c>
      <c r="I457" s="8">
        <f>_xlfn.IFNA(INDEX('HS Codes'!$D$2:$K3011,MATCH($B457,'HS Codes'!$A$2:$A3011,0),MATCH(I$1,'HS Codes'!$D$1:$K$1,0)),"")</f>
        <v>63029390</v>
      </c>
      <c r="J457" s="8">
        <f>_xlfn.IFNA(INDEX('HS Codes'!$D$2:$K3011,MATCH($B457,'HS Codes'!$A$2:$A3011,0),MATCH(J$1,'HS Codes'!$D$1:$K$1,0)),"")</f>
        <v>0</v>
      </c>
      <c r="K457" s="8" t="str">
        <f>_xlfn.IFNA(INDEX('HS Codes'!$D$2:$K3011,MATCH($B457,'HS Codes'!$A$2:$A3011,0),MATCH(K$1,'HS Codes'!$D$1:$K$1,0)),"")</f>
        <v>6302.39.00</v>
      </c>
      <c r="L457" s="8">
        <f>_xlfn.IFNA(INDEX('HS Codes'!$D$2:$K3011,MATCH($B457,'HS Codes'!$A$2:$A3011,0),MATCH(L$1,'HS Codes'!$D$1:$K$1,0)),"")</f>
        <v>63029120</v>
      </c>
      <c r="M457" s="8" t="str">
        <f>_xlfn.IFNA(INDEX('HS Codes'!$C$2:$C3011,MATCH($B457,'HS Codes'!$A$2:$A3011,0)),"")</f>
        <v>Beach Towel - Toilet Linen 100% recycled 220 GSM/83% polyester/17% polyamide includes cotton on the packing pouch drawstring</v>
      </c>
      <c r="N457" s="9"/>
      <c r="O457" s="9"/>
      <c r="P457" s="9"/>
      <c r="Q457" s="9"/>
    </row>
    <row r="458" spans="1:17" ht="15.75" customHeight="1">
      <c r="A458" s="7" t="s">
        <v>746</v>
      </c>
      <c r="B458" s="7" t="s">
        <v>164</v>
      </c>
      <c r="C458" s="7" t="s">
        <v>278</v>
      </c>
      <c r="D458" s="7" t="s">
        <v>165</v>
      </c>
      <c r="E458" s="7" t="s">
        <v>348</v>
      </c>
      <c r="F458" s="8" t="str">
        <f>_xlfn.IFNA(INDEX('HS Codes'!$D$2:$K3012,MATCH($B458,'HS Codes'!$A$2:$A3012,0),MATCH(F$1,'HS Codes'!$D$1:$K$1,0)),"")</f>
        <v>6302.93.2000</v>
      </c>
      <c r="G458" s="8">
        <f>_xlfn.IFNA(INDEX('HS Codes'!$D$2:$K3012,MATCH($B458,'HS Codes'!$A$2:$A3012,0),MATCH(G$1,'HS Codes'!$D$1:$K$1,0)),"")</f>
        <v>6302600090</v>
      </c>
      <c r="H458" s="8" t="str">
        <f>_xlfn.IFNA(INDEX('HS Codes'!$D$2:$K3012,MATCH($B458,'HS Codes'!$A$2:$A3012,0),MATCH(H$1,'HS Codes'!$D$1:$K$1,0)),"")</f>
        <v>6302.93.00.00</v>
      </c>
      <c r="I458" s="8">
        <f>_xlfn.IFNA(INDEX('HS Codes'!$D$2:$K3012,MATCH($B458,'HS Codes'!$A$2:$A3012,0),MATCH(I$1,'HS Codes'!$D$1:$K$1,0)),"")</f>
        <v>63029390</v>
      </c>
      <c r="J458" s="8">
        <f>_xlfn.IFNA(INDEX('HS Codes'!$D$2:$K3012,MATCH($B458,'HS Codes'!$A$2:$A3012,0),MATCH(J$1,'HS Codes'!$D$1:$K$1,0)),"")</f>
        <v>0</v>
      </c>
      <c r="K458" s="8" t="str">
        <f>_xlfn.IFNA(INDEX('HS Codes'!$D$2:$K3012,MATCH($B458,'HS Codes'!$A$2:$A3012,0),MATCH(K$1,'HS Codes'!$D$1:$K$1,0)),"")</f>
        <v>6302.39.00</v>
      </c>
      <c r="L458" s="8">
        <f>_xlfn.IFNA(INDEX('HS Codes'!$D$2:$K3012,MATCH($B458,'HS Codes'!$A$2:$A3012,0),MATCH(L$1,'HS Codes'!$D$1:$K$1,0)),"")</f>
        <v>63029120</v>
      </c>
      <c r="M458" s="8" t="str">
        <f>_xlfn.IFNA(INDEX('HS Codes'!$C$2:$C3012,MATCH($B458,'HS Codes'!$A$2:$A3012,0)),"")</f>
        <v>Beach Towel - Toilet Linen 100% recycled 220 GSM/83% polyester/17% polyamide includes cotton on the packing pouch drawstring</v>
      </c>
      <c r="N458" s="9"/>
      <c r="O458" s="9"/>
      <c r="P458" s="9"/>
      <c r="Q458" s="9"/>
    </row>
    <row r="459" spans="1:17" ht="15.75" customHeight="1">
      <c r="A459" s="7" t="s">
        <v>747</v>
      </c>
      <c r="B459" s="7" t="s">
        <v>164</v>
      </c>
      <c r="C459" s="7" t="s">
        <v>278</v>
      </c>
      <c r="D459" s="7" t="s">
        <v>165</v>
      </c>
      <c r="E459" s="7" t="s">
        <v>348</v>
      </c>
      <c r="F459" s="8" t="str">
        <f>_xlfn.IFNA(INDEX('HS Codes'!$D$2:$K3013,MATCH($B459,'HS Codes'!$A$2:$A3013,0),MATCH(F$1,'HS Codes'!$D$1:$K$1,0)),"")</f>
        <v>6302.93.2000</v>
      </c>
      <c r="G459" s="8">
        <f>_xlfn.IFNA(INDEX('HS Codes'!$D$2:$K3013,MATCH($B459,'HS Codes'!$A$2:$A3013,0),MATCH(G$1,'HS Codes'!$D$1:$K$1,0)),"")</f>
        <v>6302600090</v>
      </c>
      <c r="H459" s="8" t="str">
        <f>_xlfn.IFNA(INDEX('HS Codes'!$D$2:$K3013,MATCH($B459,'HS Codes'!$A$2:$A3013,0),MATCH(H$1,'HS Codes'!$D$1:$K$1,0)),"")</f>
        <v>6302.93.00.00</v>
      </c>
      <c r="I459" s="8">
        <f>_xlfn.IFNA(INDEX('HS Codes'!$D$2:$K3013,MATCH($B459,'HS Codes'!$A$2:$A3013,0),MATCH(I$1,'HS Codes'!$D$1:$K$1,0)),"")</f>
        <v>63029390</v>
      </c>
      <c r="J459" s="8">
        <f>_xlfn.IFNA(INDEX('HS Codes'!$D$2:$K3013,MATCH($B459,'HS Codes'!$A$2:$A3013,0),MATCH(J$1,'HS Codes'!$D$1:$K$1,0)),"")</f>
        <v>0</v>
      </c>
      <c r="K459" s="8" t="str">
        <f>_xlfn.IFNA(INDEX('HS Codes'!$D$2:$K3013,MATCH($B459,'HS Codes'!$A$2:$A3013,0),MATCH(K$1,'HS Codes'!$D$1:$K$1,0)),"")</f>
        <v>6302.39.00</v>
      </c>
      <c r="L459" s="8">
        <f>_xlfn.IFNA(INDEX('HS Codes'!$D$2:$K3013,MATCH($B459,'HS Codes'!$A$2:$A3013,0),MATCH(L$1,'HS Codes'!$D$1:$K$1,0)),"")</f>
        <v>63029120</v>
      </c>
      <c r="M459" s="8" t="str">
        <f>_xlfn.IFNA(INDEX('HS Codes'!$C$2:$C3013,MATCH($B459,'HS Codes'!$A$2:$A3013,0)),"")</f>
        <v>Beach Towel - Toilet Linen 100% recycled 220 GSM/83% polyester/17% polyamide includes cotton on the packing pouch drawstring</v>
      </c>
      <c r="N459" s="9"/>
      <c r="O459" s="9"/>
      <c r="P459" s="9"/>
      <c r="Q459" s="9"/>
    </row>
    <row r="460" spans="1:17" ht="15.75" customHeight="1">
      <c r="A460" s="7" t="s">
        <v>748</v>
      </c>
      <c r="B460" s="7" t="s">
        <v>164</v>
      </c>
      <c r="C460" s="7" t="s">
        <v>278</v>
      </c>
      <c r="D460" s="7" t="s">
        <v>165</v>
      </c>
      <c r="E460" s="7" t="s">
        <v>348</v>
      </c>
      <c r="F460" s="8" t="str">
        <f>_xlfn.IFNA(INDEX('HS Codes'!$D$2:$K3014,MATCH($B460,'HS Codes'!$A$2:$A3014,0),MATCH(F$1,'HS Codes'!$D$1:$K$1,0)),"")</f>
        <v>6302.93.2000</v>
      </c>
      <c r="G460" s="8">
        <f>_xlfn.IFNA(INDEX('HS Codes'!$D$2:$K3014,MATCH($B460,'HS Codes'!$A$2:$A3014,0),MATCH(G$1,'HS Codes'!$D$1:$K$1,0)),"")</f>
        <v>6302600090</v>
      </c>
      <c r="H460" s="8" t="str">
        <f>_xlfn.IFNA(INDEX('HS Codes'!$D$2:$K3014,MATCH($B460,'HS Codes'!$A$2:$A3014,0),MATCH(H$1,'HS Codes'!$D$1:$K$1,0)),"")</f>
        <v>6302.93.00.00</v>
      </c>
      <c r="I460" s="8">
        <f>_xlfn.IFNA(INDEX('HS Codes'!$D$2:$K3014,MATCH($B460,'HS Codes'!$A$2:$A3014,0),MATCH(I$1,'HS Codes'!$D$1:$K$1,0)),"")</f>
        <v>63029390</v>
      </c>
      <c r="J460" s="8">
        <f>_xlfn.IFNA(INDEX('HS Codes'!$D$2:$K3014,MATCH($B460,'HS Codes'!$A$2:$A3014,0),MATCH(J$1,'HS Codes'!$D$1:$K$1,0)),"")</f>
        <v>0</v>
      </c>
      <c r="K460" s="8" t="str">
        <f>_xlfn.IFNA(INDEX('HS Codes'!$D$2:$K3014,MATCH($B460,'HS Codes'!$A$2:$A3014,0),MATCH(K$1,'HS Codes'!$D$1:$K$1,0)),"")</f>
        <v>6302.39.00</v>
      </c>
      <c r="L460" s="8">
        <f>_xlfn.IFNA(INDEX('HS Codes'!$D$2:$K3014,MATCH($B460,'HS Codes'!$A$2:$A3014,0),MATCH(L$1,'HS Codes'!$D$1:$K$1,0)),"")</f>
        <v>63029120</v>
      </c>
      <c r="M460" s="8" t="str">
        <f>_xlfn.IFNA(INDEX('HS Codes'!$C$2:$C3014,MATCH($B460,'HS Codes'!$A$2:$A3014,0)),"")</f>
        <v>Beach Towel - Toilet Linen 100% recycled 220 GSM/83% polyester/17% polyamide includes cotton on the packing pouch drawstring</v>
      </c>
      <c r="N460" s="9"/>
      <c r="O460" s="9"/>
      <c r="P460" s="9"/>
      <c r="Q460" s="9"/>
    </row>
    <row r="461" spans="1:17" ht="15.75" customHeight="1">
      <c r="A461" s="7" t="s">
        <v>749</v>
      </c>
      <c r="B461" s="7" t="s">
        <v>164</v>
      </c>
      <c r="C461" s="7" t="s">
        <v>278</v>
      </c>
      <c r="D461" s="7" t="s">
        <v>165</v>
      </c>
      <c r="E461" s="7" t="s">
        <v>348</v>
      </c>
      <c r="F461" s="8" t="str">
        <f>_xlfn.IFNA(INDEX('HS Codes'!$D$2:$K3015,MATCH($B461,'HS Codes'!$A$2:$A3015,0),MATCH(F$1,'HS Codes'!$D$1:$K$1,0)),"")</f>
        <v>6302.93.2000</v>
      </c>
      <c r="G461" s="8">
        <f>_xlfn.IFNA(INDEX('HS Codes'!$D$2:$K3015,MATCH($B461,'HS Codes'!$A$2:$A3015,0),MATCH(G$1,'HS Codes'!$D$1:$K$1,0)),"")</f>
        <v>6302600090</v>
      </c>
      <c r="H461" s="8" t="str">
        <f>_xlfn.IFNA(INDEX('HS Codes'!$D$2:$K3015,MATCH($B461,'HS Codes'!$A$2:$A3015,0),MATCH(H$1,'HS Codes'!$D$1:$K$1,0)),"")</f>
        <v>6302.93.00.00</v>
      </c>
      <c r="I461" s="8">
        <f>_xlfn.IFNA(INDEX('HS Codes'!$D$2:$K3015,MATCH($B461,'HS Codes'!$A$2:$A3015,0),MATCH(I$1,'HS Codes'!$D$1:$K$1,0)),"")</f>
        <v>63029390</v>
      </c>
      <c r="J461" s="8">
        <f>_xlfn.IFNA(INDEX('HS Codes'!$D$2:$K3015,MATCH($B461,'HS Codes'!$A$2:$A3015,0),MATCH(J$1,'HS Codes'!$D$1:$K$1,0)),"")</f>
        <v>0</v>
      </c>
      <c r="K461" s="8" t="str">
        <f>_xlfn.IFNA(INDEX('HS Codes'!$D$2:$K3015,MATCH($B461,'HS Codes'!$A$2:$A3015,0),MATCH(K$1,'HS Codes'!$D$1:$K$1,0)),"")</f>
        <v>6302.39.00</v>
      </c>
      <c r="L461" s="8">
        <f>_xlfn.IFNA(INDEX('HS Codes'!$D$2:$K3015,MATCH($B461,'HS Codes'!$A$2:$A3015,0),MATCH(L$1,'HS Codes'!$D$1:$K$1,0)),"")</f>
        <v>63029120</v>
      </c>
      <c r="M461" s="8" t="str">
        <f>_xlfn.IFNA(INDEX('HS Codes'!$C$2:$C3015,MATCH($B461,'HS Codes'!$A$2:$A3015,0)),"")</f>
        <v>Beach Towel - Toilet Linen 100% recycled 220 GSM/83% polyester/17% polyamide includes cotton on the packing pouch drawstring</v>
      </c>
      <c r="N461" s="9"/>
      <c r="O461" s="9"/>
      <c r="P461" s="9"/>
      <c r="Q461" s="9"/>
    </row>
    <row r="462" spans="1:17" ht="15.75" customHeight="1">
      <c r="A462" s="7" t="s">
        <v>750</v>
      </c>
      <c r="B462" s="7" t="s">
        <v>164</v>
      </c>
      <c r="C462" s="7" t="s">
        <v>278</v>
      </c>
      <c r="D462" s="7" t="s">
        <v>165</v>
      </c>
      <c r="E462" s="7" t="s">
        <v>348</v>
      </c>
      <c r="F462" s="8" t="str">
        <f>_xlfn.IFNA(INDEX('HS Codes'!$D$2:$K3016,MATCH($B462,'HS Codes'!$A$2:$A3016,0),MATCH(F$1,'HS Codes'!$D$1:$K$1,0)),"")</f>
        <v>6302.93.2000</v>
      </c>
      <c r="G462" s="8">
        <f>_xlfn.IFNA(INDEX('HS Codes'!$D$2:$K3016,MATCH($B462,'HS Codes'!$A$2:$A3016,0),MATCH(G$1,'HS Codes'!$D$1:$K$1,0)),"")</f>
        <v>6302600090</v>
      </c>
      <c r="H462" s="8" t="str">
        <f>_xlfn.IFNA(INDEX('HS Codes'!$D$2:$K3016,MATCH($B462,'HS Codes'!$A$2:$A3016,0),MATCH(H$1,'HS Codes'!$D$1:$K$1,0)),"")</f>
        <v>6302.93.00.00</v>
      </c>
      <c r="I462" s="8">
        <f>_xlfn.IFNA(INDEX('HS Codes'!$D$2:$K3016,MATCH($B462,'HS Codes'!$A$2:$A3016,0),MATCH(I$1,'HS Codes'!$D$1:$K$1,0)),"")</f>
        <v>63029390</v>
      </c>
      <c r="J462" s="8">
        <f>_xlfn.IFNA(INDEX('HS Codes'!$D$2:$K3016,MATCH($B462,'HS Codes'!$A$2:$A3016,0),MATCH(J$1,'HS Codes'!$D$1:$K$1,0)),"")</f>
        <v>0</v>
      </c>
      <c r="K462" s="8" t="str">
        <f>_xlfn.IFNA(INDEX('HS Codes'!$D$2:$K3016,MATCH($B462,'HS Codes'!$A$2:$A3016,0),MATCH(K$1,'HS Codes'!$D$1:$K$1,0)),"")</f>
        <v>6302.39.00</v>
      </c>
      <c r="L462" s="8">
        <f>_xlfn.IFNA(INDEX('HS Codes'!$D$2:$K3016,MATCH($B462,'HS Codes'!$A$2:$A3016,0),MATCH(L$1,'HS Codes'!$D$1:$K$1,0)),"")</f>
        <v>63029120</v>
      </c>
      <c r="M462" s="8" t="str">
        <f>_xlfn.IFNA(INDEX('HS Codes'!$C$2:$C3016,MATCH($B462,'HS Codes'!$A$2:$A3016,0)),"")</f>
        <v>Beach Towel - Toilet Linen 100% recycled 220 GSM/83% polyester/17% polyamide includes cotton on the packing pouch drawstring</v>
      </c>
      <c r="N462" s="9"/>
      <c r="O462" s="9"/>
      <c r="P462" s="9"/>
      <c r="Q462" s="9"/>
    </row>
    <row r="463" spans="1:17" ht="15.75" customHeight="1">
      <c r="A463" s="7" t="s">
        <v>751</v>
      </c>
      <c r="B463" s="7" t="s">
        <v>167</v>
      </c>
      <c r="C463" s="7" t="s">
        <v>278</v>
      </c>
      <c r="D463" s="7" t="s">
        <v>168</v>
      </c>
      <c r="E463" s="7" t="s">
        <v>752</v>
      </c>
      <c r="F463" s="8" t="str">
        <f>_xlfn.IFNA(INDEX('HS Codes'!$D$2:$K3017,MATCH($B463,'HS Codes'!$A$2:$A3017,0),MATCH(F$1,'HS Codes'!$D$1:$K$1,0)),"")</f>
        <v>6302.93.2000</v>
      </c>
      <c r="G463" s="8">
        <f>_xlfn.IFNA(INDEX('HS Codes'!$D$2:$K3017,MATCH($B463,'HS Codes'!$A$2:$A3017,0),MATCH(G$1,'HS Codes'!$D$1:$K$1,0)),"")</f>
        <v>6302600090</v>
      </c>
      <c r="H463" s="8" t="str">
        <f>_xlfn.IFNA(INDEX('HS Codes'!$D$2:$K3017,MATCH($B463,'HS Codes'!$A$2:$A3017,0),MATCH(H$1,'HS Codes'!$D$1:$K$1,0)),"")</f>
        <v>6302.93.00.00</v>
      </c>
      <c r="I463" s="8">
        <f>_xlfn.IFNA(INDEX('HS Codes'!$D$2:$K3017,MATCH($B463,'HS Codes'!$A$2:$A3017,0),MATCH(I$1,'HS Codes'!$D$1:$K$1,0)),"")</f>
        <v>6302939000</v>
      </c>
      <c r="J463" s="8">
        <f>_xlfn.IFNA(INDEX('HS Codes'!$D$2:$K3017,MATCH($B463,'HS Codes'!$A$2:$A3017,0),MATCH(J$1,'HS Codes'!$D$1:$K$1,0)),"")</f>
        <v>0</v>
      </c>
      <c r="K463" s="8" t="str">
        <f>_xlfn.IFNA(INDEX('HS Codes'!$D$2:$K3017,MATCH($B463,'HS Codes'!$A$2:$A3017,0),MATCH(K$1,'HS Codes'!$D$1:$K$1,0)),"")</f>
        <v>6302.39.00</v>
      </c>
      <c r="L463" s="8">
        <f>_xlfn.IFNA(INDEX('HS Codes'!$D$2:$K3017,MATCH($B463,'HS Codes'!$A$2:$A3017,0),MATCH(L$1,'HS Codes'!$D$1:$K$1,0)),"")</f>
        <v>63029120</v>
      </c>
      <c r="M463" s="8" t="str">
        <f>_xlfn.IFNA(INDEX('HS Codes'!$C$2:$C3017,MATCH($B463,'HS Codes'!$A$2:$A3017,0)),"")</f>
        <v>Beach Towel - Toilet Linen 100% recycled 220 GSM/83% polyester/17% polyamide includes cotton on the packing pouch drawstring</v>
      </c>
      <c r="N463" s="9"/>
      <c r="O463" s="9"/>
      <c r="P463" s="9"/>
      <c r="Q463" s="9"/>
    </row>
    <row r="464" spans="1:17" ht="15.75" customHeight="1">
      <c r="A464" s="7" t="s">
        <v>753</v>
      </c>
      <c r="B464" s="7" t="s">
        <v>167</v>
      </c>
      <c r="C464" s="7" t="s">
        <v>278</v>
      </c>
      <c r="D464" s="7" t="s">
        <v>168</v>
      </c>
      <c r="E464" s="7" t="s">
        <v>752</v>
      </c>
      <c r="F464" s="8" t="str">
        <f>_xlfn.IFNA(INDEX('HS Codes'!$D$2:$K3018,MATCH($B464,'HS Codes'!$A$2:$A3018,0),MATCH(F$1,'HS Codes'!$D$1:$K$1,0)),"")</f>
        <v>6302.93.2000</v>
      </c>
      <c r="G464" s="8">
        <f>_xlfn.IFNA(INDEX('HS Codes'!$D$2:$K3018,MATCH($B464,'HS Codes'!$A$2:$A3018,0),MATCH(G$1,'HS Codes'!$D$1:$K$1,0)),"")</f>
        <v>6302600090</v>
      </c>
      <c r="H464" s="8" t="str">
        <f>_xlfn.IFNA(INDEX('HS Codes'!$D$2:$K3018,MATCH($B464,'HS Codes'!$A$2:$A3018,0),MATCH(H$1,'HS Codes'!$D$1:$K$1,0)),"")</f>
        <v>6302.93.00.00</v>
      </c>
      <c r="I464" s="8">
        <f>_xlfn.IFNA(INDEX('HS Codes'!$D$2:$K3018,MATCH($B464,'HS Codes'!$A$2:$A3018,0),MATCH(I$1,'HS Codes'!$D$1:$K$1,0)),"")</f>
        <v>6302939000</v>
      </c>
      <c r="J464" s="8">
        <f>_xlfn.IFNA(INDEX('HS Codes'!$D$2:$K3018,MATCH($B464,'HS Codes'!$A$2:$A3018,0),MATCH(J$1,'HS Codes'!$D$1:$K$1,0)),"")</f>
        <v>0</v>
      </c>
      <c r="K464" s="8" t="str">
        <f>_xlfn.IFNA(INDEX('HS Codes'!$D$2:$K3018,MATCH($B464,'HS Codes'!$A$2:$A3018,0),MATCH(K$1,'HS Codes'!$D$1:$K$1,0)),"")</f>
        <v>6302.39.00</v>
      </c>
      <c r="L464" s="8">
        <f>_xlfn.IFNA(INDEX('HS Codes'!$D$2:$K3018,MATCH($B464,'HS Codes'!$A$2:$A3018,0),MATCH(L$1,'HS Codes'!$D$1:$K$1,0)),"")</f>
        <v>63029120</v>
      </c>
      <c r="M464" s="8" t="str">
        <f>_xlfn.IFNA(INDEX('HS Codes'!$C$2:$C3018,MATCH($B464,'HS Codes'!$A$2:$A3018,0)),"")</f>
        <v>Beach Towel - Toilet Linen 100% recycled 220 GSM/83% polyester/17% polyamide includes cotton on the packing pouch drawstring</v>
      </c>
      <c r="N464" s="9"/>
      <c r="O464" s="9"/>
      <c r="P464" s="9"/>
      <c r="Q464" s="9"/>
    </row>
    <row r="465" spans="1:17" ht="15.75" customHeight="1">
      <c r="A465" s="7" t="s">
        <v>754</v>
      </c>
      <c r="B465" s="7" t="s">
        <v>167</v>
      </c>
      <c r="C465" s="7" t="s">
        <v>278</v>
      </c>
      <c r="D465" s="7" t="s">
        <v>168</v>
      </c>
      <c r="E465" s="7" t="s">
        <v>752</v>
      </c>
      <c r="F465" s="8" t="str">
        <f>_xlfn.IFNA(INDEX('HS Codes'!$D$2:$K3019,MATCH($B465,'HS Codes'!$A$2:$A3019,0),MATCH(F$1,'HS Codes'!$D$1:$K$1,0)),"")</f>
        <v>6302.93.2000</v>
      </c>
      <c r="G465" s="8">
        <f>_xlfn.IFNA(INDEX('HS Codes'!$D$2:$K3019,MATCH($B465,'HS Codes'!$A$2:$A3019,0),MATCH(G$1,'HS Codes'!$D$1:$K$1,0)),"")</f>
        <v>6302600090</v>
      </c>
      <c r="H465" s="8" t="str">
        <f>_xlfn.IFNA(INDEX('HS Codes'!$D$2:$K3019,MATCH($B465,'HS Codes'!$A$2:$A3019,0),MATCH(H$1,'HS Codes'!$D$1:$K$1,0)),"")</f>
        <v>6302.93.00.00</v>
      </c>
      <c r="I465" s="8">
        <f>_xlfn.IFNA(INDEX('HS Codes'!$D$2:$K3019,MATCH($B465,'HS Codes'!$A$2:$A3019,0),MATCH(I$1,'HS Codes'!$D$1:$K$1,0)),"")</f>
        <v>6302939000</v>
      </c>
      <c r="J465" s="8">
        <f>_xlfn.IFNA(INDEX('HS Codes'!$D$2:$K3019,MATCH($B465,'HS Codes'!$A$2:$A3019,0),MATCH(J$1,'HS Codes'!$D$1:$K$1,0)),"")</f>
        <v>0</v>
      </c>
      <c r="K465" s="8" t="str">
        <f>_xlfn.IFNA(INDEX('HS Codes'!$D$2:$K3019,MATCH($B465,'HS Codes'!$A$2:$A3019,0),MATCH(K$1,'HS Codes'!$D$1:$K$1,0)),"")</f>
        <v>6302.39.00</v>
      </c>
      <c r="L465" s="8">
        <f>_xlfn.IFNA(INDEX('HS Codes'!$D$2:$K3019,MATCH($B465,'HS Codes'!$A$2:$A3019,0),MATCH(L$1,'HS Codes'!$D$1:$K$1,0)),"")</f>
        <v>63029120</v>
      </c>
      <c r="M465" s="8" t="str">
        <f>_xlfn.IFNA(INDEX('HS Codes'!$C$2:$C3019,MATCH($B465,'HS Codes'!$A$2:$A3019,0)),"")</f>
        <v>Beach Towel - Toilet Linen 100% recycled 220 GSM/83% polyester/17% polyamide includes cotton on the packing pouch drawstring</v>
      </c>
      <c r="N465" s="9"/>
      <c r="O465" s="9"/>
      <c r="P465" s="9"/>
      <c r="Q465" s="9"/>
    </row>
    <row r="466" spans="1:17" ht="15.75" customHeight="1">
      <c r="A466" s="7" t="s">
        <v>755</v>
      </c>
      <c r="B466" s="7" t="s">
        <v>167</v>
      </c>
      <c r="C466" s="7" t="s">
        <v>278</v>
      </c>
      <c r="D466" s="7" t="s">
        <v>168</v>
      </c>
      <c r="E466" s="7" t="s">
        <v>752</v>
      </c>
      <c r="F466" s="8" t="str">
        <f>_xlfn.IFNA(INDEX('HS Codes'!$D$2:$K3020,MATCH($B466,'HS Codes'!$A$2:$A3020,0),MATCH(F$1,'HS Codes'!$D$1:$K$1,0)),"")</f>
        <v>6302.93.2000</v>
      </c>
      <c r="G466" s="8">
        <f>_xlfn.IFNA(INDEX('HS Codes'!$D$2:$K3020,MATCH($B466,'HS Codes'!$A$2:$A3020,0),MATCH(G$1,'HS Codes'!$D$1:$K$1,0)),"")</f>
        <v>6302600090</v>
      </c>
      <c r="H466" s="8" t="str">
        <f>_xlfn.IFNA(INDEX('HS Codes'!$D$2:$K3020,MATCH($B466,'HS Codes'!$A$2:$A3020,0),MATCH(H$1,'HS Codes'!$D$1:$K$1,0)),"")</f>
        <v>6302.93.00.00</v>
      </c>
      <c r="I466" s="8">
        <f>_xlfn.IFNA(INDEX('HS Codes'!$D$2:$K3020,MATCH($B466,'HS Codes'!$A$2:$A3020,0),MATCH(I$1,'HS Codes'!$D$1:$K$1,0)),"")</f>
        <v>6302939000</v>
      </c>
      <c r="J466" s="8">
        <f>_xlfn.IFNA(INDEX('HS Codes'!$D$2:$K3020,MATCH($B466,'HS Codes'!$A$2:$A3020,0),MATCH(J$1,'HS Codes'!$D$1:$K$1,0)),"")</f>
        <v>0</v>
      </c>
      <c r="K466" s="8" t="str">
        <f>_xlfn.IFNA(INDEX('HS Codes'!$D$2:$K3020,MATCH($B466,'HS Codes'!$A$2:$A3020,0),MATCH(K$1,'HS Codes'!$D$1:$K$1,0)),"")</f>
        <v>6302.39.00</v>
      </c>
      <c r="L466" s="8">
        <f>_xlfn.IFNA(INDEX('HS Codes'!$D$2:$K3020,MATCH($B466,'HS Codes'!$A$2:$A3020,0),MATCH(L$1,'HS Codes'!$D$1:$K$1,0)),"")</f>
        <v>63029120</v>
      </c>
      <c r="M466" s="8" t="str">
        <f>_xlfn.IFNA(INDEX('HS Codes'!$C$2:$C3020,MATCH($B466,'HS Codes'!$A$2:$A3020,0)),"")</f>
        <v>Beach Towel - Toilet Linen 100% recycled 220 GSM/83% polyester/17% polyamide includes cotton on the packing pouch drawstring</v>
      </c>
      <c r="N466" s="9"/>
      <c r="O466" s="9"/>
      <c r="P466" s="9"/>
      <c r="Q466" s="9"/>
    </row>
    <row r="467" spans="1:17" ht="15.75" customHeight="1">
      <c r="A467" s="7" t="s">
        <v>756</v>
      </c>
      <c r="B467" s="7" t="s">
        <v>167</v>
      </c>
      <c r="C467" s="7" t="s">
        <v>278</v>
      </c>
      <c r="D467" s="7" t="s">
        <v>168</v>
      </c>
      <c r="E467" s="7" t="s">
        <v>752</v>
      </c>
      <c r="F467" s="8" t="str">
        <f>_xlfn.IFNA(INDEX('HS Codes'!$D$2:$K3021,MATCH($B467,'HS Codes'!$A$2:$A3021,0),MATCH(F$1,'HS Codes'!$D$1:$K$1,0)),"")</f>
        <v>6302.93.2000</v>
      </c>
      <c r="G467" s="8">
        <f>_xlfn.IFNA(INDEX('HS Codes'!$D$2:$K3021,MATCH($B467,'HS Codes'!$A$2:$A3021,0),MATCH(G$1,'HS Codes'!$D$1:$K$1,0)),"")</f>
        <v>6302600090</v>
      </c>
      <c r="H467" s="8" t="str">
        <f>_xlfn.IFNA(INDEX('HS Codes'!$D$2:$K3021,MATCH($B467,'HS Codes'!$A$2:$A3021,0),MATCH(H$1,'HS Codes'!$D$1:$K$1,0)),"")</f>
        <v>6302.93.00.00</v>
      </c>
      <c r="I467" s="8">
        <f>_xlfn.IFNA(INDEX('HS Codes'!$D$2:$K3021,MATCH($B467,'HS Codes'!$A$2:$A3021,0),MATCH(I$1,'HS Codes'!$D$1:$K$1,0)),"")</f>
        <v>6302939000</v>
      </c>
      <c r="J467" s="8">
        <f>_xlfn.IFNA(INDEX('HS Codes'!$D$2:$K3021,MATCH($B467,'HS Codes'!$A$2:$A3021,0),MATCH(J$1,'HS Codes'!$D$1:$K$1,0)),"")</f>
        <v>0</v>
      </c>
      <c r="K467" s="8" t="str">
        <f>_xlfn.IFNA(INDEX('HS Codes'!$D$2:$K3021,MATCH($B467,'HS Codes'!$A$2:$A3021,0),MATCH(K$1,'HS Codes'!$D$1:$K$1,0)),"")</f>
        <v>6302.39.00</v>
      </c>
      <c r="L467" s="8">
        <f>_xlfn.IFNA(INDEX('HS Codes'!$D$2:$K3021,MATCH($B467,'HS Codes'!$A$2:$A3021,0),MATCH(L$1,'HS Codes'!$D$1:$K$1,0)),"")</f>
        <v>63029120</v>
      </c>
      <c r="M467" s="8" t="str">
        <f>_xlfn.IFNA(INDEX('HS Codes'!$C$2:$C3021,MATCH($B467,'HS Codes'!$A$2:$A3021,0)),"")</f>
        <v>Beach Towel - Toilet Linen 100% recycled 220 GSM/83% polyester/17% polyamide includes cotton on the packing pouch drawstring</v>
      </c>
      <c r="N467" s="9"/>
      <c r="O467" s="9"/>
      <c r="P467" s="9"/>
      <c r="Q467" s="9"/>
    </row>
    <row r="468" spans="1:17" ht="15.75" customHeight="1">
      <c r="A468" s="7" t="s">
        <v>757</v>
      </c>
      <c r="B468" s="7" t="s">
        <v>167</v>
      </c>
      <c r="C468" s="7" t="s">
        <v>278</v>
      </c>
      <c r="D468" s="7" t="s">
        <v>168</v>
      </c>
      <c r="E468" s="7" t="s">
        <v>752</v>
      </c>
      <c r="F468" s="8" t="str">
        <f>_xlfn.IFNA(INDEX('HS Codes'!$D$2:$K3022,MATCH($B468,'HS Codes'!$A$2:$A3022,0),MATCH(F$1,'HS Codes'!$D$1:$K$1,0)),"")</f>
        <v>6302.93.2000</v>
      </c>
      <c r="G468" s="8">
        <f>_xlfn.IFNA(INDEX('HS Codes'!$D$2:$K3022,MATCH($B468,'HS Codes'!$A$2:$A3022,0),MATCH(G$1,'HS Codes'!$D$1:$K$1,0)),"")</f>
        <v>6302600090</v>
      </c>
      <c r="H468" s="8" t="str">
        <f>_xlfn.IFNA(INDEX('HS Codes'!$D$2:$K3022,MATCH($B468,'HS Codes'!$A$2:$A3022,0),MATCH(H$1,'HS Codes'!$D$1:$K$1,0)),"")</f>
        <v>6302.93.00.00</v>
      </c>
      <c r="I468" s="8">
        <f>_xlfn.IFNA(INDEX('HS Codes'!$D$2:$K3022,MATCH($B468,'HS Codes'!$A$2:$A3022,0),MATCH(I$1,'HS Codes'!$D$1:$K$1,0)),"")</f>
        <v>6302939000</v>
      </c>
      <c r="J468" s="8">
        <f>_xlfn.IFNA(INDEX('HS Codes'!$D$2:$K3022,MATCH($B468,'HS Codes'!$A$2:$A3022,0),MATCH(J$1,'HS Codes'!$D$1:$K$1,0)),"")</f>
        <v>0</v>
      </c>
      <c r="K468" s="8" t="str">
        <f>_xlfn.IFNA(INDEX('HS Codes'!$D$2:$K3022,MATCH($B468,'HS Codes'!$A$2:$A3022,0),MATCH(K$1,'HS Codes'!$D$1:$K$1,0)),"")</f>
        <v>6302.39.00</v>
      </c>
      <c r="L468" s="8">
        <f>_xlfn.IFNA(INDEX('HS Codes'!$D$2:$K3022,MATCH($B468,'HS Codes'!$A$2:$A3022,0),MATCH(L$1,'HS Codes'!$D$1:$K$1,0)),"")</f>
        <v>63029120</v>
      </c>
      <c r="M468" s="8" t="str">
        <f>_xlfn.IFNA(INDEX('HS Codes'!$C$2:$C3022,MATCH($B468,'HS Codes'!$A$2:$A3022,0)),"")</f>
        <v>Beach Towel - Toilet Linen 100% recycled 220 GSM/83% polyester/17% polyamide includes cotton on the packing pouch drawstring</v>
      </c>
      <c r="N468" s="9"/>
      <c r="O468" s="9"/>
      <c r="P468" s="9"/>
      <c r="Q468" s="9"/>
    </row>
    <row r="469" spans="1:17" ht="15.75" customHeight="1">
      <c r="A469" s="7" t="s">
        <v>758</v>
      </c>
      <c r="B469" s="7" t="s">
        <v>167</v>
      </c>
      <c r="C469" s="7" t="s">
        <v>278</v>
      </c>
      <c r="D469" s="7" t="s">
        <v>168</v>
      </c>
      <c r="E469" s="7" t="s">
        <v>752</v>
      </c>
      <c r="F469" s="8" t="str">
        <f>_xlfn.IFNA(INDEX('HS Codes'!$D$2:$K3023,MATCH($B469,'HS Codes'!$A$2:$A3023,0),MATCH(F$1,'HS Codes'!$D$1:$K$1,0)),"")</f>
        <v>6302.93.2000</v>
      </c>
      <c r="G469" s="8">
        <f>_xlfn.IFNA(INDEX('HS Codes'!$D$2:$K3023,MATCH($B469,'HS Codes'!$A$2:$A3023,0),MATCH(G$1,'HS Codes'!$D$1:$K$1,0)),"")</f>
        <v>6302600090</v>
      </c>
      <c r="H469" s="8" t="str">
        <f>_xlfn.IFNA(INDEX('HS Codes'!$D$2:$K3023,MATCH($B469,'HS Codes'!$A$2:$A3023,0),MATCH(H$1,'HS Codes'!$D$1:$K$1,0)),"")</f>
        <v>6302.93.00.00</v>
      </c>
      <c r="I469" s="8">
        <f>_xlfn.IFNA(INDEX('HS Codes'!$D$2:$K3023,MATCH($B469,'HS Codes'!$A$2:$A3023,0),MATCH(I$1,'HS Codes'!$D$1:$K$1,0)),"")</f>
        <v>6302939000</v>
      </c>
      <c r="J469" s="8">
        <f>_xlfn.IFNA(INDEX('HS Codes'!$D$2:$K3023,MATCH($B469,'HS Codes'!$A$2:$A3023,0),MATCH(J$1,'HS Codes'!$D$1:$K$1,0)),"")</f>
        <v>0</v>
      </c>
      <c r="K469" s="8" t="str">
        <f>_xlfn.IFNA(INDEX('HS Codes'!$D$2:$K3023,MATCH($B469,'HS Codes'!$A$2:$A3023,0),MATCH(K$1,'HS Codes'!$D$1:$K$1,0)),"")</f>
        <v>6302.39.00</v>
      </c>
      <c r="L469" s="8">
        <f>_xlfn.IFNA(INDEX('HS Codes'!$D$2:$K3023,MATCH($B469,'HS Codes'!$A$2:$A3023,0),MATCH(L$1,'HS Codes'!$D$1:$K$1,0)),"")</f>
        <v>63029120</v>
      </c>
      <c r="M469" s="8" t="str">
        <f>_xlfn.IFNA(INDEX('HS Codes'!$C$2:$C3023,MATCH($B469,'HS Codes'!$A$2:$A3023,0)),"")</f>
        <v>Beach Towel - Toilet Linen 100% recycled 220 GSM/83% polyester/17% polyamide includes cotton on the packing pouch drawstring</v>
      </c>
      <c r="N469" s="9"/>
      <c r="O469" s="9"/>
      <c r="P469" s="9"/>
      <c r="Q469" s="9"/>
    </row>
    <row r="470" spans="1:17" ht="15.75" customHeight="1">
      <c r="A470" s="7" t="s">
        <v>759</v>
      </c>
      <c r="B470" s="7" t="s">
        <v>167</v>
      </c>
      <c r="C470" s="7" t="s">
        <v>278</v>
      </c>
      <c r="D470" s="7" t="s">
        <v>168</v>
      </c>
      <c r="E470" s="7" t="s">
        <v>752</v>
      </c>
      <c r="F470" s="8" t="str">
        <f>_xlfn.IFNA(INDEX('HS Codes'!$D$2:$K3024,MATCH($B470,'HS Codes'!$A$2:$A3024,0),MATCH(F$1,'HS Codes'!$D$1:$K$1,0)),"")</f>
        <v>6302.93.2000</v>
      </c>
      <c r="G470" s="8">
        <f>_xlfn.IFNA(INDEX('HS Codes'!$D$2:$K3024,MATCH($B470,'HS Codes'!$A$2:$A3024,0),MATCH(G$1,'HS Codes'!$D$1:$K$1,0)),"")</f>
        <v>6302600090</v>
      </c>
      <c r="H470" s="8" t="str">
        <f>_xlfn.IFNA(INDEX('HS Codes'!$D$2:$K3024,MATCH($B470,'HS Codes'!$A$2:$A3024,0),MATCH(H$1,'HS Codes'!$D$1:$K$1,0)),"")</f>
        <v>6302.93.00.00</v>
      </c>
      <c r="I470" s="8">
        <f>_xlfn.IFNA(INDEX('HS Codes'!$D$2:$K3024,MATCH($B470,'HS Codes'!$A$2:$A3024,0),MATCH(I$1,'HS Codes'!$D$1:$K$1,0)),"")</f>
        <v>6302939000</v>
      </c>
      <c r="J470" s="8">
        <f>_xlfn.IFNA(INDEX('HS Codes'!$D$2:$K3024,MATCH($B470,'HS Codes'!$A$2:$A3024,0),MATCH(J$1,'HS Codes'!$D$1:$K$1,0)),"")</f>
        <v>0</v>
      </c>
      <c r="K470" s="8" t="str">
        <f>_xlfn.IFNA(INDEX('HS Codes'!$D$2:$K3024,MATCH($B470,'HS Codes'!$A$2:$A3024,0),MATCH(K$1,'HS Codes'!$D$1:$K$1,0)),"")</f>
        <v>6302.39.00</v>
      </c>
      <c r="L470" s="8">
        <f>_xlfn.IFNA(INDEX('HS Codes'!$D$2:$K3024,MATCH($B470,'HS Codes'!$A$2:$A3024,0),MATCH(L$1,'HS Codes'!$D$1:$K$1,0)),"")</f>
        <v>63029120</v>
      </c>
      <c r="M470" s="8" t="str">
        <f>_xlfn.IFNA(INDEX('HS Codes'!$C$2:$C3024,MATCH($B470,'HS Codes'!$A$2:$A3024,0)),"")</f>
        <v>Beach Towel - Toilet Linen 100% recycled 220 GSM/83% polyester/17% polyamide includes cotton on the packing pouch drawstring</v>
      </c>
      <c r="N470" s="9"/>
      <c r="O470" s="9"/>
      <c r="P470" s="9"/>
      <c r="Q470" s="9"/>
    </row>
    <row r="471" spans="1:17" ht="15.75" customHeight="1">
      <c r="A471" s="7" t="s">
        <v>760</v>
      </c>
      <c r="B471" s="7" t="s">
        <v>167</v>
      </c>
      <c r="C471" s="7" t="s">
        <v>278</v>
      </c>
      <c r="D471" s="7" t="s">
        <v>168</v>
      </c>
      <c r="E471" s="7" t="s">
        <v>752</v>
      </c>
      <c r="F471" s="8" t="str">
        <f>_xlfn.IFNA(INDEX('HS Codes'!$D$2:$K3025,MATCH($B471,'HS Codes'!$A$2:$A3025,0),MATCH(F$1,'HS Codes'!$D$1:$K$1,0)),"")</f>
        <v>6302.93.2000</v>
      </c>
      <c r="G471" s="8">
        <f>_xlfn.IFNA(INDEX('HS Codes'!$D$2:$K3025,MATCH($B471,'HS Codes'!$A$2:$A3025,0),MATCH(G$1,'HS Codes'!$D$1:$K$1,0)),"")</f>
        <v>6302600090</v>
      </c>
      <c r="H471" s="8" t="str">
        <f>_xlfn.IFNA(INDEX('HS Codes'!$D$2:$K3025,MATCH($B471,'HS Codes'!$A$2:$A3025,0),MATCH(H$1,'HS Codes'!$D$1:$K$1,0)),"")</f>
        <v>6302.93.00.00</v>
      </c>
      <c r="I471" s="8">
        <f>_xlfn.IFNA(INDEX('HS Codes'!$D$2:$K3025,MATCH($B471,'HS Codes'!$A$2:$A3025,0),MATCH(I$1,'HS Codes'!$D$1:$K$1,0)),"")</f>
        <v>6302939000</v>
      </c>
      <c r="J471" s="8">
        <f>_xlfn.IFNA(INDEX('HS Codes'!$D$2:$K3025,MATCH($B471,'HS Codes'!$A$2:$A3025,0),MATCH(J$1,'HS Codes'!$D$1:$K$1,0)),"")</f>
        <v>0</v>
      </c>
      <c r="K471" s="8" t="str">
        <f>_xlfn.IFNA(INDEX('HS Codes'!$D$2:$K3025,MATCH($B471,'HS Codes'!$A$2:$A3025,0),MATCH(K$1,'HS Codes'!$D$1:$K$1,0)),"")</f>
        <v>6302.39.00</v>
      </c>
      <c r="L471" s="8">
        <f>_xlfn.IFNA(INDEX('HS Codes'!$D$2:$K3025,MATCH($B471,'HS Codes'!$A$2:$A3025,0),MATCH(L$1,'HS Codes'!$D$1:$K$1,0)),"")</f>
        <v>63029120</v>
      </c>
      <c r="M471" s="8" t="str">
        <f>_xlfn.IFNA(INDEX('HS Codes'!$C$2:$C3025,MATCH($B471,'HS Codes'!$A$2:$A3025,0)),"")</f>
        <v>Beach Towel - Toilet Linen 100% recycled 220 GSM/83% polyester/17% polyamide includes cotton on the packing pouch drawstring</v>
      </c>
      <c r="N471" s="9"/>
      <c r="O471" s="9"/>
      <c r="P471" s="9"/>
      <c r="Q471" s="9"/>
    </row>
    <row r="472" spans="1:17" ht="15.75" customHeight="1">
      <c r="A472" s="7" t="s">
        <v>761</v>
      </c>
      <c r="B472" s="7" t="s">
        <v>167</v>
      </c>
      <c r="C472" s="7" t="s">
        <v>278</v>
      </c>
      <c r="D472" s="7" t="s">
        <v>168</v>
      </c>
      <c r="E472" s="7" t="s">
        <v>752</v>
      </c>
      <c r="F472" s="8" t="str">
        <f>_xlfn.IFNA(INDEX('HS Codes'!$D$2:$K3026,MATCH($B472,'HS Codes'!$A$2:$A3026,0),MATCH(F$1,'HS Codes'!$D$1:$K$1,0)),"")</f>
        <v>6302.93.2000</v>
      </c>
      <c r="G472" s="8">
        <f>_xlfn.IFNA(INDEX('HS Codes'!$D$2:$K3026,MATCH($B472,'HS Codes'!$A$2:$A3026,0),MATCH(G$1,'HS Codes'!$D$1:$K$1,0)),"")</f>
        <v>6302600090</v>
      </c>
      <c r="H472" s="8" t="str">
        <f>_xlfn.IFNA(INDEX('HS Codes'!$D$2:$K3026,MATCH($B472,'HS Codes'!$A$2:$A3026,0),MATCH(H$1,'HS Codes'!$D$1:$K$1,0)),"")</f>
        <v>6302.93.00.00</v>
      </c>
      <c r="I472" s="8">
        <f>_xlfn.IFNA(INDEX('HS Codes'!$D$2:$K3026,MATCH($B472,'HS Codes'!$A$2:$A3026,0),MATCH(I$1,'HS Codes'!$D$1:$K$1,0)),"")</f>
        <v>6302939000</v>
      </c>
      <c r="J472" s="8">
        <f>_xlfn.IFNA(INDEX('HS Codes'!$D$2:$K3026,MATCH($B472,'HS Codes'!$A$2:$A3026,0),MATCH(J$1,'HS Codes'!$D$1:$K$1,0)),"")</f>
        <v>0</v>
      </c>
      <c r="K472" s="8" t="str">
        <f>_xlfn.IFNA(INDEX('HS Codes'!$D$2:$K3026,MATCH($B472,'HS Codes'!$A$2:$A3026,0),MATCH(K$1,'HS Codes'!$D$1:$K$1,0)),"")</f>
        <v>6302.39.00</v>
      </c>
      <c r="L472" s="8">
        <f>_xlfn.IFNA(INDEX('HS Codes'!$D$2:$K3026,MATCH($B472,'HS Codes'!$A$2:$A3026,0),MATCH(L$1,'HS Codes'!$D$1:$K$1,0)),"")</f>
        <v>63029120</v>
      </c>
      <c r="M472" s="8" t="str">
        <f>_xlfn.IFNA(INDEX('HS Codes'!$C$2:$C3026,MATCH($B472,'HS Codes'!$A$2:$A3026,0)),"")</f>
        <v>Beach Towel - Toilet Linen 100% recycled 220 GSM/83% polyester/17% polyamide includes cotton on the packing pouch drawstring</v>
      </c>
      <c r="N472" s="9"/>
      <c r="O472" s="9"/>
      <c r="P472" s="9"/>
      <c r="Q472" s="9"/>
    </row>
    <row r="473" spans="1:17" ht="15.75" customHeight="1">
      <c r="A473" s="7" t="s">
        <v>762</v>
      </c>
      <c r="B473" s="7" t="s">
        <v>167</v>
      </c>
      <c r="C473" s="7" t="s">
        <v>278</v>
      </c>
      <c r="D473" s="7" t="s">
        <v>168</v>
      </c>
      <c r="E473" s="7" t="s">
        <v>752</v>
      </c>
      <c r="F473" s="8" t="str">
        <f>_xlfn.IFNA(INDEX('HS Codes'!$D$2:$K3027,MATCH($B473,'HS Codes'!$A$2:$A3027,0),MATCH(F$1,'HS Codes'!$D$1:$K$1,0)),"")</f>
        <v>6302.93.2000</v>
      </c>
      <c r="G473" s="8">
        <f>_xlfn.IFNA(INDEX('HS Codes'!$D$2:$K3027,MATCH($B473,'HS Codes'!$A$2:$A3027,0),MATCH(G$1,'HS Codes'!$D$1:$K$1,0)),"")</f>
        <v>6302600090</v>
      </c>
      <c r="H473" s="8" t="str">
        <f>_xlfn.IFNA(INDEX('HS Codes'!$D$2:$K3027,MATCH($B473,'HS Codes'!$A$2:$A3027,0),MATCH(H$1,'HS Codes'!$D$1:$K$1,0)),"")</f>
        <v>6302.93.00.00</v>
      </c>
      <c r="I473" s="8">
        <f>_xlfn.IFNA(INDEX('HS Codes'!$D$2:$K3027,MATCH($B473,'HS Codes'!$A$2:$A3027,0),MATCH(I$1,'HS Codes'!$D$1:$K$1,0)),"")</f>
        <v>6302939000</v>
      </c>
      <c r="J473" s="8">
        <f>_xlfn.IFNA(INDEX('HS Codes'!$D$2:$K3027,MATCH($B473,'HS Codes'!$A$2:$A3027,0),MATCH(J$1,'HS Codes'!$D$1:$K$1,0)),"")</f>
        <v>0</v>
      </c>
      <c r="K473" s="8" t="str">
        <f>_xlfn.IFNA(INDEX('HS Codes'!$D$2:$K3027,MATCH($B473,'HS Codes'!$A$2:$A3027,0),MATCH(K$1,'HS Codes'!$D$1:$K$1,0)),"")</f>
        <v>6302.39.00</v>
      </c>
      <c r="L473" s="8">
        <f>_xlfn.IFNA(INDEX('HS Codes'!$D$2:$K3027,MATCH($B473,'HS Codes'!$A$2:$A3027,0),MATCH(L$1,'HS Codes'!$D$1:$K$1,0)),"")</f>
        <v>63029120</v>
      </c>
      <c r="M473" s="8" t="str">
        <f>_xlfn.IFNA(INDEX('HS Codes'!$C$2:$C3027,MATCH($B473,'HS Codes'!$A$2:$A3027,0)),"")</f>
        <v>Beach Towel - Toilet Linen 100% recycled 220 GSM/83% polyester/17% polyamide includes cotton on the packing pouch drawstring</v>
      </c>
      <c r="N473" s="9"/>
      <c r="O473" s="9"/>
      <c r="P473" s="9"/>
      <c r="Q473" s="9"/>
    </row>
    <row r="474" spans="1:17" ht="15.75" customHeight="1">
      <c r="A474" s="7" t="s">
        <v>763</v>
      </c>
      <c r="B474" s="7" t="s">
        <v>167</v>
      </c>
      <c r="C474" s="7" t="s">
        <v>278</v>
      </c>
      <c r="D474" s="7" t="s">
        <v>168</v>
      </c>
      <c r="E474" s="7" t="s">
        <v>752</v>
      </c>
      <c r="F474" s="8" t="str">
        <f>_xlfn.IFNA(INDEX('HS Codes'!$D$2:$K3028,MATCH($B474,'HS Codes'!$A$2:$A3028,0),MATCH(F$1,'HS Codes'!$D$1:$K$1,0)),"")</f>
        <v>6302.93.2000</v>
      </c>
      <c r="G474" s="8">
        <f>_xlfn.IFNA(INDEX('HS Codes'!$D$2:$K3028,MATCH($B474,'HS Codes'!$A$2:$A3028,0),MATCH(G$1,'HS Codes'!$D$1:$K$1,0)),"")</f>
        <v>6302600090</v>
      </c>
      <c r="H474" s="8" t="str">
        <f>_xlfn.IFNA(INDEX('HS Codes'!$D$2:$K3028,MATCH($B474,'HS Codes'!$A$2:$A3028,0),MATCH(H$1,'HS Codes'!$D$1:$K$1,0)),"")</f>
        <v>6302.93.00.00</v>
      </c>
      <c r="I474" s="8">
        <f>_xlfn.IFNA(INDEX('HS Codes'!$D$2:$K3028,MATCH($B474,'HS Codes'!$A$2:$A3028,0),MATCH(I$1,'HS Codes'!$D$1:$K$1,0)),"")</f>
        <v>6302939000</v>
      </c>
      <c r="J474" s="8">
        <f>_xlfn.IFNA(INDEX('HS Codes'!$D$2:$K3028,MATCH($B474,'HS Codes'!$A$2:$A3028,0),MATCH(J$1,'HS Codes'!$D$1:$K$1,0)),"")</f>
        <v>0</v>
      </c>
      <c r="K474" s="8" t="str">
        <f>_xlfn.IFNA(INDEX('HS Codes'!$D$2:$K3028,MATCH($B474,'HS Codes'!$A$2:$A3028,0),MATCH(K$1,'HS Codes'!$D$1:$K$1,0)),"")</f>
        <v>6302.39.00</v>
      </c>
      <c r="L474" s="8">
        <f>_xlfn.IFNA(INDEX('HS Codes'!$D$2:$K3028,MATCH($B474,'HS Codes'!$A$2:$A3028,0),MATCH(L$1,'HS Codes'!$D$1:$K$1,0)),"")</f>
        <v>63029120</v>
      </c>
      <c r="M474" s="8" t="str">
        <f>_xlfn.IFNA(INDEX('HS Codes'!$C$2:$C3028,MATCH($B474,'HS Codes'!$A$2:$A3028,0)),"")</f>
        <v>Beach Towel - Toilet Linen 100% recycled 220 GSM/83% polyester/17% polyamide includes cotton on the packing pouch drawstring</v>
      </c>
      <c r="N474" s="9"/>
      <c r="O474" s="9"/>
      <c r="P474" s="9"/>
      <c r="Q474" s="9"/>
    </row>
    <row r="475" spans="1:17" ht="15.75" customHeight="1">
      <c r="A475" s="7" t="s">
        <v>764</v>
      </c>
      <c r="B475" s="7" t="s">
        <v>167</v>
      </c>
      <c r="C475" s="7" t="s">
        <v>278</v>
      </c>
      <c r="D475" s="7" t="s">
        <v>168</v>
      </c>
      <c r="E475" s="7" t="s">
        <v>752</v>
      </c>
      <c r="F475" s="8" t="str">
        <f>_xlfn.IFNA(INDEX('HS Codes'!$D$2:$K3029,MATCH($B475,'HS Codes'!$A$2:$A3029,0),MATCH(F$1,'HS Codes'!$D$1:$K$1,0)),"")</f>
        <v>6302.93.2000</v>
      </c>
      <c r="G475" s="8">
        <f>_xlfn.IFNA(INDEX('HS Codes'!$D$2:$K3029,MATCH($B475,'HS Codes'!$A$2:$A3029,0),MATCH(G$1,'HS Codes'!$D$1:$K$1,0)),"")</f>
        <v>6302600090</v>
      </c>
      <c r="H475" s="8" t="str">
        <f>_xlfn.IFNA(INDEX('HS Codes'!$D$2:$K3029,MATCH($B475,'HS Codes'!$A$2:$A3029,0),MATCH(H$1,'HS Codes'!$D$1:$K$1,0)),"")</f>
        <v>6302.93.00.00</v>
      </c>
      <c r="I475" s="8">
        <f>_xlfn.IFNA(INDEX('HS Codes'!$D$2:$K3029,MATCH($B475,'HS Codes'!$A$2:$A3029,0),MATCH(I$1,'HS Codes'!$D$1:$K$1,0)),"")</f>
        <v>6302939000</v>
      </c>
      <c r="J475" s="8">
        <f>_xlfn.IFNA(INDEX('HS Codes'!$D$2:$K3029,MATCH($B475,'HS Codes'!$A$2:$A3029,0),MATCH(J$1,'HS Codes'!$D$1:$K$1,0)),"")</f>
        <v>0</v>
      </c>
      <c r="K475" s="8" t="str">
        <f>_xlfn.IFNA(INDEX('HS Codes'!$D$2:$K3029,MATCH($B475,'HS Codes'!$A$2:$A3029,0),MATCH(K$1,'HS Codes'!$D$1:$K$1,0)),"")</f>
        <v>6302.39.00</v>
      </c>
      <c r="L475" s="8">
        <f>_xlfn.IFNA(INDEX('HS Codes'!$D$2:$K3029,MATCH($B475,'HS Codes'!$A$2:$A3029,0),MATCH(L$1,'HS Codes'!$D$1:$K$1,0)),"")</f>
        <v>63029120</v>
      </c>
      <c r="M475" s="8" t="str">
        <f>_xlfn.IFNA(INDEX('HS Codes'!$C$2:$C3029,MATCH($B475,'HS Codes'!$A$2:$A3029,0)),"")</f>
        <v>Beach Towel - Toilet Linen 100% recycled 220 GSM/83% polyester/17% polyamide includes cotton on the packing pouch drawstring</v>
      </c>
      <c r="N475" s="9"/>
      <c r="O475" s="9"/>
      <c r="P475" s="9"/>
      <c r="Q475" s="9"/>
    </row>
    <row r="476" spans="1:17" ht="15.75" customHeight="1">
      <c r="A476" s="7" t="s">
        <v>765</v>
      </c>
      <c r="B476" s="7" t="s">
        <v>164</v>
      </c>
      <c r="C476" s="7" t="s">
        <v>278</v>
      </c>
      <c r="D476" s="7" t="s">
        <v>165</v>
      </c>
      <c r="E476" s="7" t="s">
        <v>348</v>
      </c>
      <c r="F476" s="8" t="str">
        <f>_xlfn.IFNA(INDEX('HS Codes'!$D$2:$K3030,MATCH($B476,'HS Codes'!$A$2:$A3030,0),MATCH(F$1,'HS Codes'!$D$1:$K$1,0)),"")</f>
        <v>6302.93.2000</v>
      </c>
      <c r="G476" s="8">
        <f>_xlfn.IFNA(INDEX('HS Codes'!$D$2:$K3030,MATCH($B476,'HS Codes'!$A$2:$A3030,0),MATCH(G$1,'HS Codes'!$D$1:$K$1,0)),"")</f>
        <v>6302600090</v>
      </c>
      <c r="H476" s="8" t="str">
        <f>_xlfn.IFNA(INDEX('HS Codes'!$D$2:$K3030,MATCH($B476,'HS Codes'!$A$2:$A3030,0),MATCH(H$1,'HS Codes'!$D$1:$K$1,0)),"")</f>
        <v>6302.93.00.00</v>
      </c>
      <c r="I476" s="8">
        <f>_xlfn.IFNA(INDEX('HS Codes'!$D$2:$K3030,MATCH($B476,'HS Codes'!$A$2:$A3030,0),MATCH(I$1,'HS Codes'!$D$1:$K$1,0)),"")</f>
        <v>63029390</v>
      </c>
      <c r="J476" s="8">
        <f>_xlfn.IFNA(INDEX('HS Codes'!$D$2:$K3030,MATCH($B476,'HS Codes'!$A$2:$A3030,0),MATCH(J$1,'HS Codes'!$D$1:$K$1,0)),"")</f>
        <v>0</v>
      </c>
      <c r="K476" s="8" t="str">
        <f>_xlfn.IFNA(INDEX('HS Codes'!$D$2:$K3030,MATCH($B476,'HS Codes'!$A$2:$A3030,0),MATCH(K$1,'HS Codes'!$D$1:$K$1,0)),"")</f>
        <v>6302.39.00</v>
      </c>
      <c r="L476" s="8">
        <f>_xlfn.IFNA(INDEX('HS Codes'!$D$2:$K3030,MATCH($B476,'HS Codes'!$A$2:$A3030,0),MATCH(L$1,'HS Codes'!$D$1:$K$1,0)),"")</f>
        <v>63029120</v>
      </c>
      <c r="M476" s="8" t="str">
        <f>_xlfn.IFNA(INDEX('HS Codes'!$C$2:$C3030,MATCH($B476,'HS Codes'!$A$2:$A3030,0)),"")</f>
        <v>Beach Towel - Toilet Linen 100% recycled 220 GSM/83% polyester/17% polyamide includes cotton on the packing pouch drawstring</v>
      </c>
      <c r="N476" s="9"/>
      <c r="O476" s="9"/>
      <c r="P476" s="9"/>
      <c r="Q476" s="9"/>
    </row>
    <row r="477" spans="1:17" ht="15.75" customHeight="1">
      <c r="A477" s="7" t="s">
        <v>766</v>
      </c>
      <c r="B477" s="7" t="s">
        <v>164</v>
      </c>
      <c r="C477" s="7" t="s">
        <v>278</v>
      </c>
      <c r="D477" s="7" t="s">
        <v>165</v>
      </c>
      <c r="E477" s="7" t="s">
        <v>348</v>
      </c>
      <c r="F477" s="8" t="str">
        <f>_xlfn.IFNA(INDEX('HS Codes'!$D$2:$K3031,MATCH($B477,'HS Codes'!$A$2:$A3031,0),MATCH(F$1,'HS Codes'!$D$1:$K$1,0)),"")</f>
        <v>6302.93.2000</v>
      </c>
      <c r="G477" s="8">
        <f>_xlfn.IFNA(INDEX('HS Codes'!$D$2:$K3031,MATCH($B477,'HS Codes'!$A$2:$A3031,0),MATCH(G$1,'HS Codes'!$D$1:$K$1,0)),"")</f>
        <v>6302600090</v>
      </c>
      <c r="H477" s="8" t="str">
        <f>_xlfn.IFNA(INDEX('HS Codes'!$D$2:$K3031,MATCH($B477,'HS Codes'!$A$2:$A3031,0),MATCH(H$1,'HS Codes'!$D$1:$K$1,0)),"")</f>
        <v>6302.93.00.00</v>
      </c>
      <c r="I477" s="8">
        <f>_xlfn.IFNA(INDEX('HS Codes'!$D$2:$K3031,MATCH($B477,'HS Codes'!$A$2:$A3031,0),MATCH(I$1,'HS Codes'!$D$1:$K$1,0)),"")</f>
        <v>63029390</v>
      </c>
      <c r="J477" s="8">
        <f>_xlfn.IFNA(INDEX('HS Codes'!$D$2:$K3031,MATCH($B477,'HS Codes'!$A$2:$A3031,0),MATCH(J$1,'HS Codes'!$D$1:$K$1,0)),"")</f>
        <v>0</v>
      </c>
      <c r="K477" s="8" t="str">
        <f>_xlfn.IFNA(INDEX('HS Codes'!$D$2:$K3031,MATCH($B477,'HS Codes'!$A$2:$A3031,0),MATCH(K$1,'HS Codes'!$D$1:$K$1,0)),"")</f>
        <v>6302.39.00</v>
      </c>
      <c r="L477" s="8">
        <f>_xlfn.IFNA(INDEX('HS Codes'!$D$2:$K3031,MATCH($B477,'HS Codes'!$A$2:$A3031,0),MATCH(L$1,'HS Codes'!$D$1:$K$1,0)),"")</f>
        <v>63029120</v>
      </c>
      <c r="M477" s="8" t="str">
        <f>_xlfn.IFNA(INDEX('HS Codes'!$C$2:$C3031,MATCH($B477,'HS Codes'!$A$2:$A3031,0)),"")</f>
        <v>Beach Towel - Toilet Linen 100% recycled 220 GSM/83% polyester/17% polyamide includes cotton on the packing pouch drawstring</v>
      </c>
      <c r="N477" s="9"/>
      <c r="O477" s="9"/>
      <c r="P477" s="9"/>
      <c r="Q477" s="9"/>
    </row>
    <row r="478" spans="1:17" ht="15.75" customHeight="1">
      <c r="A478" s="7" t="s">
        <v>767</v>
      </c>
      <c r="B478" s="7" t="s">
        <v>164</v>
      </c>
      <c r="C478" s="7" t="s">
        <v>278</v>
      </c>
      <c r="D478" s="7" t="s">
        <v>165</v>
      </c>
      <c r="E478" s="7" t="s">
        <v>348</v>
      </c>
      <c r="F478" s="8" t="str">
        <f>_xlfn.IFNA(INDEX('HS Codes'!$D$2:$K3032,MATCH($B478,'HS Codes'!$A$2:$A3032,0),MATCH(F$1,'HS Codes'!$D$1:$K$1,0)),"")</f>
        <v>6302.93.2000</v>
      </c>
      <c r="G478" s="8">
        <f>_xlfn.IFNA(INDEX('HS Codes'!$D$2:$K3032,MATCH($B478,'HS Codes'!$A$2:$A3032,0),MATCH(G$1,'HS Codes'!$D$1:$K$1,0)),"")</f>
        <v>6302600090</v>
      </c>
      <c r="H478" s="8" t="str">
        <f>_xlfn.IFNA(INDEX('HS Codes'!$D$2:$K3032,MATCH($B478,'HS Codes'!$A$2:$A3032,0),MATCH(H$1,'HS Codes'!$D$1:$K$1,0)),"")</f>
        <v>6302.93.00.00</v>
      </c>
      <c r="I478" s="8">
        <f>_xlfn.IFNA(INDEX('HS Codes'!$D$2:$K3032,MATCH($B478,'HS Codes'!$A$2:$A3032,0),MATCH(I$1,'HS Codes'!$D$1:$K$1,0)),"")</f>
        <v>63029390</v>
      </c>
      <c r="J478" s="8">
        <f>_xlfn.IFNA(INDEX('HS Codes'!$D$2:$K3032,MATCH($B478,'HS Codes'!$A$2:$A3032,0),MATCH(J$1,'HS Codes'!$D$1:$K$1,0)),"")</f>
        <v>0</v>
      </c>
      <c r="K478" s="8" t="str">
        <f>_xlfn.IFNA(INDEX('HS Codes'!$D$2:$K3032,MATCH($B478,'HS Codes'!$A$2:$A3032,0),MATCH(K$1,'HS Codes'!$D$1:$K$1,0)),"")</f>
        <v>6302.39.00</v>
      </c>
      <c r="L478" s="8">
        <f>_xlfn.IFNA(INDEX('HS Codes'!$D$2:$K3032,MATCH($B478,'HS Codes'!$A$2:$A3032,0),MATCH(L$1,'HS Codes'!$D$1:$K$1,0)),"")</f>
        <v>63029120</v>
      </c>
      <c r="M478" s="8" t="str">
        <f>_xlfn.IFNA(INDEX('HS Codes'!$C$2:$C3032,MATCH($B478,'HS Codes'!$A$2:$A3032,0)),"")</f>
        <v>Beach Towel - Toilet Linen 100% recycled 220 GSM/83% polyester/17% polyamide includes cotton on the packing pouch drawstring</v>
      </c>
      <c r="N478" s="9"/>
      <c r="O478" s="9"/>
      <c r="P478" s="9"/>
      <c r="Q478" s="9"/>
    </row>
    <row r="479" spans="1:17" ht="15.75" customHeight="1">
      <c r="A479" s="7" t="s">
        <v>768</v>
      </c>
      <c r="B479" s="7" t="s">
        <v>164</v>
      </c>
      <c r="C479" s="7" t="s">
        <v>278</v>
      </c>
      <c r="D479" s="7" t="s">
        <v>165</v>
      </c>
      <c r="E479" s="7" t="s">
        <v>348</v>
      </c>
      <c r="F479" s="8" t="str">
        <f>_xlfn.IFNA(INDEX('HS Codes'!$D$2:$K3033,MATCH($B479,'HS Codes'!$A$2:$A3033,0),MATCH(F$1,'HS Codes'!$D$1:$K$1,0)),"")</f>
        <v>6302.93.2000</v>
      </c>
      <c r="G479" s="8">
        <f>_xlfn.IFNA(INDEX('HS Codes'!$D$2:$K3033,MATCH($B479,'HS Codes'!$A$2:$A3033,0),MATCH(G$1,'HS Codes'!$D$1:$K$1,0)),"")</f>
        <v>6302600090</v>
      </c>
      <c r="H479" s="8" t="str">
        <f>_xlfn.IFNA(INDEX('HS Codes'!$D$2:$K3033,MATCH($B479,'HS Codes'!$A$2:$A3033,0),MATCH(H$1,'HS Codes'!$D$1:$K$1,0)),"")</f>
        <v>6302.93.00.00</v>
      </c>
      <c r="I479" s="8">
        <f>_xlfn.IFNA(INDEX('HS Codes'!$D$2:$K3033,MATCH($B479,'HS Codes'!$A$2:$A3033,0),MATCH(I$1,'HS Codes'!$D$1:$K$1,0)),"")</f>
        <v>63029390</v>
      </c>
      <c r="J479" s="8">
        <f>_xlfn.IFNA(INDEX('HS Codes'!$D$2:$K3033,MATCH($B479,'HS Codes'!$A$2:$A3033,0),MATCH(J$1,'HS Codes'!$D$1:$K$1,0)),"")</f>
        <v>0</v>
      </c>
      <c r="K479" s="8" t="str">
        <f>_xlfn.IFNA(INDEX('HS Codes'!$D$2:$K3033,MATCH($B479,'HS Codes'!$A$2:$A3033,0),MATCH(K$1,'HS Codes'!$D$1:$K$1,0)),"")</f>
        <v>6302.39.00</v>
      </c>
      <c r="L479" s="8">
        <f>_xlfn.IFNA(INDEX('HS Codes'!$D$2:$K3033,MATCH($B479,'HS Codes'!$A$2:$A3033,0),MATCH(L$1,'HS Codes'!$D$1:$K$1,0)),"")</f>
        <v>63029120</v>
      </c>
      <c r="M479" s="8" t="str">
        <f>_xlfn.IFNA(INDEX('HS Codes'!$C$2:$C3033,MATCH($B479,'HS Codes'!$A$2:$A3033,0)),"")</f>
        <v>Beach Towel - Toilet Linen 100% recycled 220 GSM/83% polyester/17% polyamide includes cotton on the packing pouch drawstring</v>
      </c>
      <c r="N479" s="9"/>
      <c r="O479" s="9"/>
      <c r="P479" s="9"/>
      <c r="Q479" s="9"/>
    </row>
    <row r="480" spans="1:17" ht="15.75" customHeight="1">
      <c r="A480" s="7" t="s">
        <v>769</v>
      </c>
      <c r="B480" s="7" t="s">
        <v>164</v>
      </c>
      <c r="C480" s="7" t="s">
        <v>278</v>
      </c>
      <c r="D480" s="7" t="s">
        <v>165</v>
      </c>
      <c r="E480" s="7" t="s">
        <v>348</v>
      </c>
      <c r="F480" s="8" t="str">
        <f>_xlfn.IFNA(INDEX('HS Codes'!$D$2:$K3034,MATCH($B480,'HS Codes'!$A$2:$A3034,0),MATCH(F$1,'HS Codes'!$D$1:$K$1,0)),"")</f>
        <v>6302.93.2000</v>
      </c>
      <c r="G480" s="8">
        <f>_xlfn.IFNA(INDEX('HS Codes'!$D$2:$K3034,MATCH($B480,'HS Codes'!$A$2:$A3034,0),MATCH(G$1,'HS Codes'!$D$1:$K$1,0)),"")</f>
        <v>6302600090</v>
      </c>
      <c r="H480" s="8" t="str">
        <f>_xlfn.IFNA(INDEX('HS Codes'!$D$2:$K3034,MATCH($B480,'HS Codes'!$A$2:$A3034,0),MATCH(H$1,'HS Codes'!$D$1:$K$1,0)),"")</f>
        <v>6302.93.00.00</v>
      </c>
      <c r="I480" s="8">
        <f>_xlfn.IFNA(INDEX('HS Codes'!$D$2:$K3034,MATCH($B480,'HS Codes'!$A$2:$A3034,0),MATCH(I$1,'HS Codes'!$D$1:$K$1,0)),"")</f>
        <v>63029390</v>
      </c>
      <c r="J480" s="8">
        <f>_xlfn.IFNA(INDEX('HS Codes'!$D$2:$K3034,MATCH($B480,'HS Codes'!$A$2:$A3034,0),MATCH(J$1,'HS Codes'!$D$1:$K$1,0)),"")</f>
        <v>0</v>
      </c>
      <c r="K480" s="8" t="str">
        <f>_xlfn.IFNA(INDEX('HS Codes'!$D$2:$K3034,MATCH($B480,'HS Codes'!$A$2:$A3034,0),MATCH(K$1,'HS Codes'!$D$1:$K$1,0)),"")</f>
        <v>6302.39.00</v>
      </c>
      <c r="L480" s="8">
        <f>_xlfn.IFNA(INDEX('HS Codes'!$D$2:$K3034,MATCH($B480,'HS Codes'!$A$2:$A3034,0),MATCH(L$1,'HS Codes'!$D$1:$K$1,0)),"")</f>
        <v>63029120</v>
      </c>
      <c r="M480" s="8" t="str">
        <f>_xlfn.IFNA(INDEX('HS Codes'!$C$2:$C3034,MATCH($B480,'HS Codes'!$A$2:$A3034,0)),"")</f>
        <v>Beach Towel - Toilet Linen 100% recycled 220 GSM/83% polyester/17% polyamide includes cotton on the packing pouch drawstring</v>
      </c>
      <c r="N480" s="9"/>
      <c r="O480" s="9"/>
      <c r="P480" s="9"/>
      <c r="Q480" s="9"/>
    </row>
    <row r="481" spans="1:17" ht="15.75" customHeight="1">
      <c r="A481" s="7" t="s">
        <v>770</v>
      </c>
      <c r="B481" s="7" t="s">
        <v>164</v>
      </c>
      <c r="C481" s="7" t="s">
        <v>278</v>
      </c>
      <c r="D481" s="7" t="s">
        <v>165</v>
      </c>
      <c r="E481" s="7" t="s">
        <v>348</v>
      </c>
      <c r="F481" s="8" t="str">
        <f>_xlfn.IFNA(INDEX('HS Codes'!$D$2:$K3035,MATCH($B481,'HS Codes'!$A$2:$A3035,0),MATCH(F$1,'HS Codes'!$D$1:$K$1,0)),"")</f>
        <v>6302.93.2000</v>
      </c>
      <c r="G481" s="8">
        <f>_xlfn.IFNA(INDEX('HS Codes'!$D$2:$K3035,MATCH($B481,'HS Codes'!$A$2:$A3035,0),MATCH(G$1,'HS Codes'!$D$1:$K$1,0)),"")</f>
        <v>6302600090</v>
      </c>
      <c r="H481" s="8" t="str">
        <f>_xlfn.IFNA(INDEX('HS Codes'!$D$2:$K3035,MATCH($B481,'HS Codes'!$A$2:$A3035,0),MATCH(H$1,'HS Codes'!$D$1:$K$1,0)),"")</f>
        <v>6302.93.00.00</v>
      </c>
      <c r="I481" s="8">
        <f>_xlfn.IFNA(INDEX('HS Codes'!$D$2:$K3035,MATCH($B481,'HS Codes'!$A$2:$A3035,0),MATCH(I$1,'HS Codes'!$D$1:$K$1,0)),"")</f>
        <v>63029390</v>
      </c>
      <c r="J481" s="8">
        <f>_xlfn.IFNA(INDEX('HS Codes'!$D$2:$K3035,MATCH($B481,'HS Codes'!$A$2:$A3035,0),MATCH(J$1,'HS Codes'!$D$1:$K$1,0)),"")</f>
        <v>0</v>
      </c>
      <c r="K481" s="8" t="str">
        <f>_xlfn.IFNA(INDEX('HS Codes'!$D$2:$K3035,MATCH($B481,'HS Codes'!$A$2:$A3035,0),MATCH(K$1,'HS Codes'!$D$1:$K$1,0)),"")</f>
        <v>6302.39.00</v>
      </c>
      <c r="L481" s="8">
        <f>_xlfn.IFNA(INDEX('HS Codes'!$D$2:$K3035,MATCH($B481,'HS Codes'!$A$2:$A3035,0),MATCH(L$1,'HS Codes'!$D$1:$K$1,0)),"")</f>
        <v>63029120</v>
      </c>
      <c r="M481" s="8" t="str">
        <f>_xlfn.IFNA(INDEX('HS Codes'!$C$2:$C3035,MATCH($B481,'HS Codes'!$A$2:$A3035,0)),"")</f>
        <v>Beach Towel - Toilet Linen 100% recycled 220 GSM/83% polyester/17% polyamide includes cotton on the packing pouch drawstring</v>
      </c>
      <c r="N481" s="9"/>
      <c r="O481" s="9"/>
      <c r="P481" s="9"/>
      <c r="Q481" s="9"/>
    </row>
    <row r="482" spans="1:17" ht="15.75" customHeight="1">
      <c r="A482" s="7" t="s">
        <v>771</v>
      </c>
      <c r="B482" s="7" t="s">
        <v>164</v>
      </c>
      <c r="C482" s="7" t="s">
        <v>278</v>
      </c>
      <c r="D482" s="7" t="s">
        <v>165</v>
      </c>
      <c r="E482" s="7" t="s">
        <v>348</v>
      </c>
      <c r="F482" s="8" t="str">
        <f>_xlfn.IFNA(INDEX('HS Codes'!$D$2:$K3036,MATCH($B482,'HS Codes'!$A$2:$A3036,0),MATCH(F$1,'HS Codes'!$D$1:$K$1,0)),"")</f>
        <v>6302.93.2000</v>
      </c>
      <c r="G482" s="8">
        <f>_xlfn.IFNA(INDEX('HS Codes'!$D$2:$K3036,MATCH($B482,'HS Codes'!$A$2:$A3036,0),MATCH(G$1,'HS Codes'!$D$1:$K$1,0)),"")</f>
        <v>6302600090</v>
      </c>
      <c r="H482" s="8" t="str">
        <f>_xlfn.IFNA(INDEX('HS Codes'!$D$2:$K3036,MATCH($B482,'HS Codes'!$A$2:$A3036,0),MATCH(H$1,'HS Codes'!$D$1:$K$1,0)),"")</f>
        <v>6302.93.00.00</v>
      </c>
      <c r="I482" s="8">
        <f>_xlfn.IFNA(INDEX('HS Codes'!$D$2:$K3036,MATCH($B482,'HS Codes'!$A$2:$A3036,0),MATCH(I$1,'HS Codes'!$D$1:$K$1,0)),"")</f>
        <v>63029390</v>
      </c>
      <c r="J482" s="8">
        <f>_xlfn.IFNA(INDEX('HS Codes'!$D$2:$K3036,MATCH($B482,'HS Codes'!$A$2:$A3036,0),MATCH(J$1,'HS Codes'!$D$1:$K$1,0)),"")</f>
        <v>0</v>
      </c>
      <c r="K482" s="8" t="str">
        <f>_xlfn.IFNA(INDEX('HS Codes'!$D$2:$K3036,MATCH($B482,'HS Codes'!$A$2:$A3036,0),MATCH(K$1,'HS Codes'!$D$1:$K$1,0)),"")</f>
        <v>6302.39.00</v>
      </c>
      <c r="L482" s="8">
        <f>_xlfn.IFNA(INDEX('HS Codes'!$D$2:$K3036,MATCH($B482,'HS Codes'!$A$2:$A3036,0),MATCH(L$1,'HS Codes'!$D$1:$K$1,0)),"")</f>
        <v>63029120</v>
      </c>
      <c r="M482" s="8" t="str">
        <f>_xlfn.IFNA(INDEX('HS Codes'!$C$2:$C3036,MATCH($B482,'HS Codes'!$A$2:$A3036,0)),"")</f>
        <v>Beach Towel - Toilet Linen 100% recycled 220 GSM/83% polyester/17% polyamide includes cotton on the packing pouch drawstring</v>
      </c>
      <c r="N482" s="9"/>
      <c r="O482" s="9"/>
      <c r="P482" s="9"/>
      <c r="Q482" s="9"/>
    </row>
    <row r="483" spans="1:17" ht="15.75" customHeight="1">
      <c r="A483" s="7" t="s">
        <v>772</v>
      </c>
      <c r="B483" s="7" t="s">
        <v>164</v>
      </c>
      <c r="C483" s="7" t="s">
        <v>278</v>
      </c>
      <c r="D483" s="7" t="s">
        <v>165</v>
      </c>
      <c r="E483" s="7" t="s">
        <v>348</v>
      </c>
      <c r="F483" s="8" t="str">
        <f>_xlfn.IFNA(INDEX('HS Codes'!$D$2:$K3037,MATCH($B483,'HS Codes'!$A$2:$A3037,0),MATCH(F$1,'HS Codes'!$D$1:$K$1,0)),"")</f>
        <v>6302.93.2000</v>
      </c>
      <c r="G483" s="8">
        <f>_xlfn.IFNA(INDEX('HS Codes'!$D$2:$K3037,MATCH($B483,'HS Codes'!$A$2:$A3037,0),MATCH(G$1,'HS Codes'!$D$1:$K$1,0)),"")</f>
        <v>6302600090</v>
      </c>
      <c r="H483" s="8" t="str">
        <f>_xlfn.IFNA(INDEX('HS Codes'!$D$2:$K3037,MATCH($B483,'HS Codes'!$A$2:$A3037,0),MATCH(H$1,'HS Codes'!$D$1:$K$1,0)),"")</f>
        <v>6302.93.00.00</v>
      </c>
      <c r="I483" s="8">
        <f>_xlfn.IFNA(INDEX('HS Codes'!$D$2:$K3037,MATCH($B483,'HS Codes'!$A$2:$A3037,0),MATCH(I$1,'HS Codes'!$D$1:$K$1,0)),"")</f>
        <v>63029390</v>
      </c>
      <c r="J483" s="8">
        <f>_xlfn.IFNA(INDEX('HS Codes'!$D$2:$K3037,MATCH($B483,'HS Codes'!$A$2:$A3037,0),MATCH(J$1,'HS Codes'!$D$1:$K$1,0)),"")</f>
        <v>0</v>
      </c>
      <c r="K483" s="8" t="str">
        <f>_xlfn.IFNA(INDEX('HS Codes'!$D$2:$K3037,MATCH($B483,'HS Codes'!$A$2:$A3037,0),MATCH(K$1,'HS Codes'!$D$1:$K$1,0)),"")</f>
        <v>6302.39.00</v>
      </c>
      <c r="L483" s="8">
        <f>_xlfn.IFNA(INDEX('HS Codes'!$D$2:$K3037,MATCH($B483,'HS Codes'!$A$2:$A3037,0),MATCH(L$1,'HS Codes'!$D$1:$K$1,0)),"")</f>
        <v>63029120</v>
      </c>
      <c r="M483" s="8" t="str">
        <f>_xlfn.IFNA(INDEX('HS Codes'!$C$2:$C3037,MATCH($B483,'HS Codes'!$A$2:$A3037,0)),"")</f>
        <v>Beach Towel - Toilet Linen 100% recycled 220 GSM/83% polyester/17% polyamide includes cotton on the packing pouch drawstring</v>
      </c>
      <c r="N483" s="9"/>
      <c r="O483" s="9"/>
      <c r="P483" s="9"/>
      <c r="Q483" s="9"/>
    </row>
    <row r="484" spans="1:17" ht="15.75" customHeight="1">
      <c r="A484" s="7" t="s">
        <v>773</v>
      </c>
      <c r="B484" s="7" t="s">
        <v>164</v>
      </c>
      <c r="C484" s="7" t="s">
        <v>278</v>
      </c>
      <c r="D484" s="7" t="s">
        <v>165</v>
      </c>
      <c r="E484" s="7" t="s">
        <v>348</v>
      </c>
      <c r="F484" s="8" t="str">
        <f>_xlfn.IFNA(INDEX('HS Codes'!$D$2:$K3038,MATCH($B484,'HS Codes'!$A$2:$A3038,0),MATCH(F$1,'HS Codes'!$D$1:$K$1,0)),"")</f>
        <v>6302.93.2000</v>
      </c>
      <c r="G484" s="8">
        <f>_xlfn.IFNA(INDEX('HS Codes'!$D$2:$K3038,MATCH($B484,'HS Codes'!$A$2:$A3038,0),MATCH(G$1,'HS Codes'!$D$1:$K$1,0)),"")</f>
        <v>6302600090</v>
      </c>
      <c r="H484" s="8" t="str">
        <f>_xlfn.IFNA(INDEX('HS Codes'!$D$2:$K3038,MATCH($B484,'HS Codes'!$A$2:$A3038,0),MATCH(H$1,'HS Codes'!$D$1:$K$1,0)),"")</f>
        <v>6302.93.00.00</v>
      </c>
      <c r="I484" s="8">
        <f>_xlfn.IFNA(INDEX('HS Codes'!$D$2:$K3038,MATCH($B484,'HS Codes'!$A$2:$A3038,0),MATCH(I$1,'HS Codes'!$D$1:$K$1,0)),"")</f>
        <v>63029390</v>
      </c>
      <c r="J484" s="8">
        <f>_xlfn.IFNA(INDEX('HS Codes'!$D$2:$K3038,MATCH($B484,'HS Codes'!$A$2:$A3038,0),MATCH(J$1,'HS Codes'!$D$1:$K$1,0)),"")</f>
        <v>0</v>
      </c>
      <c r="K484" s="8" t="str">
        <f>_xlfn.IFNA(INDEX('HS Codes'!$D$2:$K3038,MATCH($B484,'HS Codes'!$A$2:$A3038,0),MATCH(K$1,'HS Codes'!$D$1:$K$1,0)),"")</f>
        <v>6302.39.00</v>
      </c>
      <c r="L484" s="8">
        <f>_xlfn.IFNA(INDEX('HS Codes'!$D$2:$K3038,MATCH($B484,'HS Codes'!$A$2:$A3038,0),MATCH(L$1,'HS Codes'!$D$1:$K$1,0)),"")</f>
        <v>63029120</v>
      </c>
      <c r="M484" s="8" t="str">
        <f>_xlfn.IFNA(INDEX('HS Codes'!$C$2:$C3038,MATCH($B484,'HS Codes'!$A$2:$A3038,0)),"")</f>
        <v>Beach Towel - Toilet Linen 100% recycled 220 GSM/83% polyester/17% polyamide includes cotton on the packing pouch drawstring</v>
      </c>
      <c r="N484" s="9"/>
      <c r="O484" s="9"/>
      <c r="P484" s="9"/>
      <c r="Q484" s="9"/>
    </row>
    <row r="485" spans="1:17" ht="15.75" customHeight="1">
      <c r="A485" s="7" t="s">
        <v>774</v>
      </c>
      <c r="B485" s="7" t="s">
        <v>164</v>
      </c>
      <c r="C485" s="7" t="s">
        <v>278</v>
      </c>
      <c r="D485" s="7" t="s">
        <v>165</v>
      </c>
      <c r="E485" s="7" t="s">
        <v>348</v>
      </c>
      <c r="F485" s="8" t="str">
        <f>_xlfn.IFNA(INDEX('HS Codes'!$D$2:$K3039,MATCH($B485,'HS Codes'!$A$2:$A3039,0),MATCH(F$1,'HS Codes'!$D$1:$K$1,0)),"")</f>
        <v>6302.93.2000</v>
      </c>
      <c r="G485" s="8">
        <f>_xlfn.IFNA(INDEX('HS Codes'!$D$2:$K3039,MATCH($B485,'HS Codes'!$A$2:$A3039,0),MATCH(G$1,'HS Codes'!$D$1:$K$1,0)),"")</f>
        <v>6302600090</v>
      </c>
      <c r="H485" s="8" t="str">
        <f>_xlfn.IFNA(INDEX('HS Codes'!$D$2:$K3039,MATCH($B485,'HS Codes'!$A$2:$A3039,0),MATCH(H$1,'HS Codes'!$D$1:$K$1,0)),"")</f>
        <v>6302.93.00.00</v>
      </c>
      <c r="I485" s="8">
        <f>_xlfn.IFNA(INDEX('HS Codes'!$D$2:$K3039,MATCH($B485,'HS Codes'!$A$2:$A3039,0),MATCH(I$1,'HS Codes'!$D$1:$K$1,0)),"")</f>
        <v>63029390</v>
      </c>
      <c r="J485" s="8">
        <f>_xlfn.IFNA(INDEX('HS Codes'!$D$2:$K3039,MATCH($B485,'HS Codes'!$A$2:$A3039,0),MATCH(J$1,'HS Codes'!$D$1:$K$1,0)),"")</f>
        <v>0</v>
      </c>
      <c r="K485" s="8" t="str">
        <f>_xlfn.IFNA(INDEX('HS Codes'!$D$2:$K3039,MATCH($B485,'HS Codes'!$A$2:$A3039,0),MATCH(K$1,'HS Codes'!$D$1:$K$1,0)),"")</f>
        <v>6302.39.00</v>
      </c>
      <c r="L485" s="8">
        <f>_xlfn.IFNA(INDEX('HS Codes'!$D$2:$K3039,MATCH($B485,'HS Codes'!$A$2:$A3039,0),MATCH(L$1,'HS Codes'!$D$1:$K$1,0)),"")</f>
        <v>63029120</v>
      </c>
      <c r="M485" s="8" t="str">
        <f>_xlfn.IFNA(INDEX('HS Codes'!$C$2:$C3039,MATCH($B485,'HS Codes'!$A$2:$A3039,0)),"")</f>
        <v>Beach Towel - Toilet Linen 100% recycled 220 GSM/83% polyester/17% polyamide includes cotton on the packing pouch drawstring</v>
      </c>
      <c r="N485" s="9"/>
      <c r="O485" s="9"/>
      <c r="P485" s="9"/>
      <c r="Q485" s="9"/>
    </row>
    <row r="486" spans="1:17" ht="15.75" customHeight="1">
      <c r="A486" s="7" t="s">
        <v>775</v>
      </c>
      <c r="B486" s="7" t="s">
        <v>164</v>
      </c>
      <c r="C486" s="7" t="s">
        <v>278</v>
      </c>
      <c r="D486" s="7" t="s">
        <v>165</v>
      </c>
      <c r="E486" s="7" t="s">
        <v>348</v>
      </c>
      <c r="F486" s="8" t="str">
        <f>_xlfn.IFNA(INDEX('HS Codes'!$D$2:$K3040,MATCH($B486,'HS Codes'!$A$2:$A3040,0),MATCH(F$1,'HS Codes'!$D$1:$K$1,0)),"")</f>
        <v>6302.93.2000</v>
      </c>
      <c r="G486" s="8">
        <f>_xlfn.IFNA(INDEX('HS Codes'!$D$2:$K3040,MATCH($B486,'HS Codes'!$A$2:$A3040,0),MATCH(G$1,'HS Codes'!$D$1:$K$1,0)),"")</f>
        <v>6302600090</v>
      </c>
      <c r="H486" s="8" t="str">
        <f>_xlfn.IFNA(INDEX('HS Codes'!$D$2:$K3040,MATCH($B486,'HS Codes'!$A$2:$A3040,0),MATCH(H$1,'HS Codes'!$D$1:$K$1,0)),"")</f>
        <v>6302.93.00.00</v>
      </c>
      <c r="I486" s="8">
        <f>_xlfn.IFNA(INDEX('HS Codes'!$D$2:$K3040,MATCH($B486,'HS Codes'!$A$2:$A3040,0),MATCH(I$1,'HS Codes'!$D$1:$K$1,0)),"")</f>
        <v>63029390</v>
      </c>
      <c r="J486" s="8">
        <f>_xlfn.IFNA(INDEX('HS Codes'!$D$2:$K3040,MATCH($B486,'HS Codes'!$A$2:$A3040,0),MATCH(J$1,'HS Codes'!$D$1:$K$1,0)),"")</f>
        <v>0</v>
      </c>
      <c r="K486" s="8" t="str">
        <f>_xlfn.IFNA(INDEX('HS Codes'!$D$2:$K3040,MATCH($B486,'HS Codes'!$A$2:$A3040,0),MATCH(K$1,'HS Codes'!$D$1:$K$1,0)),"")</f>
        <v>6302.39.00</v>
      </c>
      <c r="L486" s="8">
        <f>_xlfn.IFNA(INDEX('HS Codes'!$D$2:$K3040,MATCH($B486,'HS Codes'!$A$2:$A3040,0),MATCH(L$1,'HS Codes'!$D$1:$K$1,0)),"")</f>
        <v>63029120</v>
      </c>
      <c r="M486" s="8" t="str">
        <f>_xlfn.IFNA(INDEX('HS Codes'!$C$2:$C3040,MATCH($B486,'HS Codes'!$A$2:$A3040,0)),"")</f>
        <v>Beach Towel - Toilet Linen 100% recycled 220 GSM/83% polyester/17% polyamide includes cotton on the packing pouch drawstring</v>
      </c>
      <c r="N486" s="9"/>
      <c r="O486" s="9"/>
      <c r="P486" s="9"/>
      <c r="Q486" s="9"/>
    </row>
    <row r="487" spans="1:17" ht="15.75" customHeight="1">
      <c r="A487" s="7" t="s">
        <v>776</v>
      </c>
      <c r="B487" s="7" t="s">
        <v>164</v>
      </c>
      <c r="C487" s="7" t="s">
        <v>278</v>
      </c>
      <c r="D487" s="7" t="s">
        <v>165</v>
      </c>
      <c r="E487" s="7" t="s">
        <v>348</v>
      </c>
      <c r="F487" s="8" t="str">
        <f>_xlfn.IFNA(INDEX('HS Codes'!$D$2:$K3041,MATCH($B487,'HS Codes'!$A$2:$A3041,0),MATCH(F$1,'HS Codes'!$D$1:$K$1,0)),"")</f>
        <v>6302.93.2000</v>
      </c>
      <c r="G487" s="8">
        <f>_xlfn.IFNA(INDEX('HS Codes'!$D$2:$K3041,MATCH($B487,'HS Codes'!$A$2:$A3041,0),MATCH(G$1,'HS Codes'!$D$1:$K$1,0)),"")</f>
        <v>6302600090</v>
      </c>
      <c r="H487" s="8" t="str">
        <f>_xlfn.IFNA(INDEX('HS Codes'!$D$2:$K3041,MATCH($B487,'HS Codes'!$A$2:$A3041,0),MATCH(H$1,'HS Codes'!$D$1:$K$1,0)),"")</f>
        <v>6302.93.00.00</v>
      </c>
      <c r="I487" s="8">
        <f>_xlfn.IFNA(INDEX('HS Codes'!$D$2:$K3041,MATCH($B487,'HS Codes'!$A$2:$A3041,0),MATCH(I$1,'HS Codes'!$D$1:$K$1,0)),"")</f>
        <v>63029390</v>
      </c>
      <c r="J487" s="8">
        <f>_xlfn.IFNA(INDEX('HS Codes'!$D$2:$K3041,MATCH($B487,'HS Codes'!$A$2:$A3041,0),MATCH(J$1,'HS Codes'!$D$1:$K$1,0)),"")</f>
        <v>0</v>
      </c>
      <c r="K487" s="8" t="str">
        <f>_xlfn.IFNA(INDEX('HS Codes'!$D$2:$K3041,MATCH($B487,'HS Codes'!$A$2:$A3041,0),MATCH(K$1,'HS Codes'!$D$1:$K$1,0)),"")</f>
        <v>6302.39.00</v>
      </c>
      <c r="L487" s="8">
        <f>_xlfn.IFNA(INDEX('HS Codes'!$D$2:$K3041,MATCH($B487,'HS Codes'!$A$2:$A3041,0),MATCH(L$1,'HS Codes'!$D$1:$K$1,0)),"")</f>
        <v>63029120</v>
      </c>
      <c r="M487" s="8" t="str">
        <f>_xlfn.IFNA(INDEX('HS Codes'!$C$2:$C3041,MATCH($B487,'HS Codes'!$A$2:$A3041,0)),"")</f>
        <v>Beach Towel - Toilet Linen 100% recycled 220 GSM/83% polyester/17% polyamide includes cotton on the packing pouch drawstring</v>
      </c>
      <c r="N487" s="9"/>
      <c r="O487" s="9"/>
      <c r="P487" s="9"/>
      <c r="Q487" s="9"/>
    </row>
    <row r="488" spans="1:17" ht="15.75" customHeight="1">
      <c r="A488" s="7" t="s">
        <v>777</v>
      </c>
      <c r="B488" s="7" t="s">
        <v>164</v>
      </c>
      <c r="C488" s="7" t="s">
        <v>278</v>
      </c>
      <c r="D488" s="7" t="s">
        <v>165</v>
      </c>
      <c r="E488" s="7" t="s">
        <v>348</v>
      </c>
      <c r="F488" s="8" t="str">
        <f>_xlfn.IFNA(INDEX('HS Codes'!$D$2:$K3042,MATCH($B488,'HS Codes'!$A$2:$A3042,0),MATCH(F$1,'HS Codes'!$D$1:$K$1,0)),"")</f>
        <v>6302.93.2000</v>
      </c>
      <c r="G488" s="8">
        <f>_xlfn.IFNA(INDEX('HS Codes'!$D$2:$K3042,MATCH($B488,'HS Codes'!$A$2:$A3042,0),MATCH(G$1,'HS Codes'!$D$1:$K$1,0)),"")</f>
        <v>6302600090</v>
      </c>
      <c r="H488" s="8" t="str">
        <f>_xlfn.IFNA(INDEX('HS Codes'!$D$2:$K3042,MATCH($B488,'HS Codes'!$A$2:$A3042,0),MATCH(H$1,'HS Codes'!$D$1:$K$1,0)),"")</f>
        <v>6302.93.00.00</v>
      </c>
      <c r="I488" s="8">
        <f>_xlfn.IFNA(INDEX('HS Codes'!$D$2:$K3042,MATCH($B488,'HS Codes'!$A$2:$A3042,0),MATCH(I$1,'HS Codes'!$D$1:$K$1,0)),"")</f>
        <v>63029390</v>
      </c>
      <c r="J488" s="8">
        <f>_xlfn.IFNA(INDEX('HS Codes'!$D$2:$K3042,MATCH($B488,'HS Codes'!$A$2:$A3042,0),MATCH(J$1,'HS Codes'!$D$1:$K$1,0)),"")</f>
        <v>0</v>
      </c>
      <c r="K488" s="8" t="str">
        <f>_xlfn.IFNA(INDEX('HS Codes'!$D$2:$K3042,MATCH($B488,'HS Codes'!$A$2:$A3042,0),MATCH(K$1,'HS Codes'!$D$1:$K$1,0)),"")</f>
        <v>6302.39.00</v>
      </c>
      <c r="L488" s="8">
        <f>_xlfn.IFNA(INDEX('HS Codes'!$D$2:$K3042,MATCH($B488,'HS Codes'!$A$2:$A3042,0),MATCH(L$1,'HS Codes'!$D$1:$K$1,0)),"")</f>
        <v>63029120</v>
      </c>
      <c r="M488" s="8" t="str">
        <f>_xlfn.IFNA(INDEX('HS Codes'!$C$2:$C3042,MATCH($B488,'HS Codes'!$A$2:$A3042,0)),"")</f>
        <v>Beach Towel - Toilet Linen 100% recycled 220 GSM/83% polyester/17% polyamide includes cotton on the packing pouch drawstring</v>
      </c>
      <c r="N488" s="9"/>
      <c r="O488" s="9"/>
      <c r="P488" s="9"/>
      <c r="Q488" s="9"/>
    </row>
    <row r="489" spans="1:17" ht="15.75" customHeight="1">
      <c r="A489" s="7" t="s">
        <v>778</v>
      </c>
      <c r="B489" s="7" t="s">
        <v>164</v>
      </c>
      <c r="C489" s="7" t="s">
        <v>278</v>
      </c>
      <c r="D489" s="7" t="s">
        <v>165</v>
      </c>
      <c r="E489" s="7" t="s">
        <v>348</v>
      </c>
      <c r="F489" s="8" t="str">
        <f>_xlfn.IFNA(INDEX('HS Codes'!$D$2:$K3043,MATCH($B489,'HS Codes'!$A$2:$A3043,0),MATCH(F$1,'HS Codes'!$D$1:$K$1,0)),"")</f>
        <v>6302.93.2000</v>
      </c>
      <c r="G489" s="8">
        <f>_xlfn.IFNA(INDEX('HS Codes'!$D$2:$K3043,MATCH($B489,'HS Codes'!$A$2:$A3043,0),MATCH(G$1,'HS Codes'!$D$1:$K$1,0)),"")</f>
        <v>6302600090</v>
      </c>
      <c r="H489" s="8" t="str">
        <f>_xlfn.IFNA(INDEX('HS Codes'!$D$2:$K3043,MATCH($B489,'HS Codes'!$A$2:$A3043,0),MATCH(H$1,'HS Codes'!$D$1:$K$1,0)),"")</f>
        <v>6302.93.00.00</v>
      </c>
      <c r="I489" s="8">
        <f>_xlfn.IFNA(INDEX('HS Codes'!$D$2:$K3043,MATCH($B489,'HS Codes'!$A$2:$A3043,0),MATCH(I$1,'HS Codes'!$D$1:$K$1,0)),"")</f>
        <v>63029390</v>
      </c>
      <c r="J489" s="8">
        <f>_xlfn.IFNA(INDEX('HS Codes'!$D$2:$K3043,MATCH($B489,'HS Codes'!$A$2:$A3043,0),MATCH(J$1,'HS Codes'!$D$1:$K$1,0)),"")</f>
        <v>0</v>
      </c>
      <c r="K489" s="8" t="str">
        <f>_xlfn.IFNA(INDEX('HS Codes'!$D$2:$K3043,MATCH($B489,'HS Codes'!$A$2:$A3043,0),MATCH(K$1,'HS Codes'!$D$1:$K$1,0)),"")</f>
        <v>6302.39.00</v>
      </c>
      <c r="L489" s="8">
        <f>_xlfn.IFNA(INDEX('HS Codes'!$D$2:$K3043,MATCH($B489,'HS Codes'!$A$2:$A3043,0),MATCH(L$1,'HS Codes'!$D$1:$K$1,0)),"")</f>
        <v>63029120</v>
      </c>
      <c r="M489" s="8" t="str">
        <f>_xlfn.IFNA(INDEX('HS Codes'!$C$2:$C3043,MATCH($B489,'HS Codes'!$A$2:$A3043,0)),"")</f>
        <v>Beach Towel - Toilet Linen 100% recycled 220 GSM/83% polyester/17% polyamide includes cotton on the packing pouch drawstring</v>
      </c>
      <c r="N489" s="9"/>
      <c r="O489" s="9"/>
      <c r="P489" s="9"/>
      <c r="Q489" s="9"/>
    </row>
    <row r="490" spans="1:17" ht="15.75" customHeight="1">
      <c r="A490" s="7" t="s">
        <v>779</v>
      </c>
      <c r="B490" s="7" t="s">
        <v>164</v>
      </c>
      <c r="C490" s="7" t="s">
        <v>278</v>
      </c>
      <c r="D490" s="7" t="s">
        <v>165</v>
      </c>
      <c r="E490" s="7" t="s">
        <v>348</v>
      </c>
      <c r="F490" s="8" t="str">
        <f>_xlfn.IFNA(INDEX('HS Codes'!$D$2:$K3044,MATCH($B490,'HS Codes'!$A$2:$A3044,0),MATCH(F$1,'HS Codes'!$D$1:$K$1,0)),"")</f>
        <v>6302.93.2000</v>
      </c>
      <c r="G490" s="8">
        <f>_xlfn.IFNA(INDEX('HS Codes'!$D$2:$K3044,MATCH($B490,'HS Codes'!$A$2:$A3044,0),MATCH(G$1,'HS Codes'!$D$1:$K$1,0)),"")</f>
        <v>6302600090</v>
      </c>
      <c r="H490" s="8" t="str">
        <f>_xlfn.IFNA(INDEX('HS Codes'!$D$2:$K3044,MATCH($B490,'HS Codes'!$A$2:$A3044,0),MATCH(H$1,'HS Codes'!$D$1:$K$1,0)),"")</f>
        <v>6302.93.00.00</v>
      </c>
      <c r="I490" s="8">
        <f>_xlfn.IFNA(INDEX('HS Codes'!$D$2:$K3044,MATCH($B490,'HS Codes'!$A$2:$A3044,0),MATCH(I$1,'HS Codes'!$D$1:$K$1,0)),"")</f>
        <v>63029390</v>
      </c>
      <c r="J490" s="8">
        <f>_xlfn.IFNA(INDEX('HS Codes'!$D$2:$K3044,MATCH($B490,'HS Codes'!$A$2:$A3044,0),MATCH(J$1,'HS Codes'!$D$1:$K$1,0)),"")</f>
        <v>0</v>
      </c>
      <c r="K490" s="8" t="str">
        <f>_xlfn.IFNA(INDEX('HS Codes'!$D$2:$K3044,MATCH($B490,'HS Codes'!$A$2:$A3044,0),MATCH(K$1,'HS Codes'!$D$1:$K$1,0)),"")</f>
        <v>6302.39.00</v>
      </c>
      <c r="L490" s="8">
        <f>_xlfn.IFNA(INDEX('HS Codes'!$D$2:$K3044,MATCH($B490,'HS Codes'!$A$2:$A3044,0),MATCH(L$1,'HS Codes'!$D$1:$K$1,0)),"")</f>
        <v>63029120</v>
      </c>
      <c r="M490" s="8" t="str">
        <f>_xlfn.IFNA(INDEX('HS Codes'!$C$2:$C3044,MATCH($B490,'HS Codes'!$A$2:$A3044,0)),"")</f>
        <v>Beach Towel - Toilet Linen 100% recycled 220 GSM/83% polyester/17% polyamide includes cotton on the packing pouch drawstring</v>
      </c>
      <c r="N490" s="9"/>
      <c r="O490" s="9"/>
      <c r="P490" s="9"/>
      <c r="Q490" s="9"/>
    </row>
    <row r="491" spans="1:17" ht="15.75" customHeight="1">
      <c r="A491" s="7" t="s">
        <v>780</v>
      </c>
      <c r="B491" s="7" t="s">
        <v>169</v>
      </c>
      <c r="C491" s="7" t="s">
        <v>278</v>
      </c>
      <c r="D491" s="7" t="s">
        <v>170</v>
      </c>
      <c r="E491" s="7" t="s">
        <v>348</v>
      </c>
      <c r="F491" s="8" t="str">
        <f>_xlfn.IFNA(INDEX('HS Codes'!$D$2:$K3045,MATCH($B491,'HS Codes'!$A$2:$A3045,0),MATCH(F$1,'HS Codes'!$D$1:$K$1,0)),"")</f>
        <v>6302.93.2000</v>
      </c>
      <c r="G491" s="8">
        <f>_xlfn.IFNA(INDEX('HS Codes'!$D$2:$K3045,MATCH($B491,'HS Codes'!$A$2:$A3045,0),MATCH(G$1,'HS Codes'!$D$1:$K$1,0)),"")</f>
        <v>6302600090</v>
      </c>
      <c r="H491" s="8" t="str">
        <f>_xlfn.IFNA(INDEX('HS Codes'!$D$2:$K3045,MATCH($B491,'HS Codes'!$A$2:$A3045,0),MATCH(H$1,'HS Codes'!$D$1:$K$1,0)),"")</f>
        <v>6302.93.00.00</v>
      </c>
      <c r="I491" s="8">
        <f>_xlfn.IFNA(INDEX('HS Codes'!$D$2:$K3045,MATCH($B491,'HS Codes'!$A$2:$A3045,0),MATCH(I$1,'HS Codes'!$D$1:$K$1,0)),"")</f>
        <v>6302939000</v>
      </c>
      <c r="J491" s="8">
        <f>_xlfn.IFNA(INDEX('HS Codes'!$D$2:$K3045,MATCH($B491,'HS Codes'!$A$2:$A3045,0),MATCH(J$1,'HS Codes'!$D$1:$K$1,0)),"")</f>
        <v>0</v>
      </c>
      <c r="K491" s="8" t="str">
        <f>_xlfn.IFNA(INDEX('HS Codes'!$D$2:$K3045,MATCH($B491,'HS Codes'!$A$2:$A3045,0),MATCH(K$1,'HS Codes'!$D$1:$K$1,0)),"")</f>
        <v>6302.39.00</v>
      </c>
      <c r="L491" s="8">
        <f>_xlfn.IFNA(INDEX('HS Codes'!$D$2:$K3045,MATCH($B491,'HS Codes'!$A$2:$A3045,0),MATCH(L$1,'HS Codes'!$D$1:$K$1,0)),"")</f>
        <v>63029120</v>
      </c>
      <c r="M491" s="8" t="str">
        <f>_xlfn.IFNA(INDEX('HS Codes'!$C$2:$C3045,MATCH($B491,'HS Codes'!$A$2:$A3045,0)),"")</f>
        <v>Fitness Towels - Toilet Linen 100% recycled 220 GSM/83% polyester/17% polyamide (no cotton)</v>
      </c>
      <c r="N491" s="9"/>
      <c r="O491" s="9"/>
      <c r="P491" s="9"/>
      <c r="Q491" s="9"/>
    </row>
    <row r="492" spans="1:17" ht="15.75" customHeight="1">
      <c r="A492" s="7" t="s">
        <v>781</v>
      </c>
      <c r="B492" s="7" t="s">
        <v>169</v>
      </c>
      <c r="C492" s="7" t="s">
        <v>278</v>
      </c>
      <c r="D492" s="7" t="s">
        <v>170</v>
      </c>
      <c r="E492" s="7" t="s">
        <v>348</v>
      </c>
      <c r="F492" s="8" t="str">
        <f>_xlfn.IFNA(INDEX('HS Codes'!$D$2:$K3046,MATCH($B492,'HS Codes'!$A$2:$A3046,0),MATCH(F$1,'HS Codes'!$D$1:$K$1,0)),"")</f>
        <v>6302.93.2000</v>
      </c>
      <c r="G492" s="8">
        <f>_xlfn.IFNA(INDEX('HS Codes'!$D$2:$K3046,MATCH($B492,'HS Codes'!$A$2:$A3046,0),MATCH(G$1,'HS Codes'!$D$1:$K$1,0)),"")</f>
        <v>6302600090</v>
      </c>
      <c r="H492" s="8" t="str">
        <f>_xlfn.IFNA(INDEX('HS Codes'!$D$2:$K3046,MATCH($B492,'HS Codes'!$A$2:$A3046,0),MATCH(H$1,'HS Codes'!$D$1:$K$1,0)),"")</f>
        <v>6302.93.00.00</v>
      </c>
      <c r="I492" s="8">
        <f>_xlfn.IFNA(INDEX('HS Codes'!$D$2:$K3046,MATCH($B492,'HS Codes'!$A$2:$A3046,0),MATCH(I$1,'HS Codes'!$D$1:$K$1,0)),"")</f>
        <v>6302939000</v>
      </c>
      <c r="J492" s="8">
        <f>_xlfn.IFNA(INDEX('HS Codes'!$D$2:$K3046,MATCH($B492,'HS Codes'!$A$2:$A3046,0),MATCH(J$1,'HS Codes'!$D$1:$K$1,0)),"")</f>
        <v>0</v>
      </c>
      <c r="K492" s="8" t="str">
        <f>_xlfn.IFNA(INDEX('HS Codes'!$D$2:$K3046,MATCH($B492,'HS Codes'!$A$2:$A3046,0),MATCH(K$1,'HS Codes'!$D$1:$K$1,0)),"")</f>
        <v>6302.39.00</v>
      </c>
      <c r="L492" s="8">
        <f>_xlfn.IFNA(INDEX('HS Codes'!$D$2:$K3046,MATCH($B492,'HS Codes'!$A$2:$A3046,0),MATCH(L$1,'HS Codes'!$D$1:$K$1,0)),"")</f>
        <v>63029120</v>
      </c>
      <c r="M492" s="8" t="str">
        <f>_xlfn.IFNA(INDEX('HS Codes'!$C$2:$C3046,MATCH($B492,'HS Codes'!$A$2:$A3046,0)),"")</f>
        <v>Fitness Towels - Toilet Linen 100% recycled 220 GSM/83% polyester/17% polyamide (no cotton)</v>
      </c>
      <c r="N492" s="9"/>
      <c r="O492" s="9"/>
      <c r="P492" s="9"/>
      <c r="Q492" s="9"/>
    </row>
    <row r="493" spans="1:17" ht="15.75" customHeight="1">
      <c r="A493" s="7" t="s">
        <v>782</v>
      </c>
      <c r="B493" s="7" t="s">
        <v>169</v>
      </c>
      <c r="C493" s="7" t="s">
        <v>278</v>
      </c>
      <c r="D493" s="7" t="s">
        <v>170</v>
      </c>
      <c r="E493" s="7" t="s">
        <v>348</v>
      </c>
      <c r="F493" s="8" t="str">
        <f>_xlfn.IFNA(INDEX('HS Codes'!$D$2:$K3047,MATCH($B493,'HS Codes'!$A$2:$A3047,0),MATCH(F$1,'HS Codes'!$D$1:$K$1,0)),"")</f>
        <v>6302.93.2000</v>
      </c>
      <c r="G493" s="8">
        <f>_xlfn.IFNA(INDEX('HS Codes'!$D$2:$K3047,MATCH($B493,'HS Codes'!$A$2:$A3047,0),MATCH(G$1,'HS Codes'!$D$1:$K$1,0)),"")</f>
        <v>6302600090</v>
      </c>
      <c r="H493" s="8" t="str">
        <f>_xlfn.IFNA(INDEX('HS Codes'!$D$2:$K3047,MATCH($B493,'HS Codes'!$A$2:$A3047,0),MATCH(H$1,'HS Codes'!$D$1:$K$1,0)),"")</f>
        <v>6302.93.00.00</v>
      </c>
      <c r="I493" s="8">
        <f>_xlfn.IFNA(INDEX('HS Codes'!$D$2:$K3047,MATCH($B493,'HS Codes'!$A$2:$A3047,0),MATCH(I$1,'HS Codes'!$D$1:$K$1,0)),"")</f>
        <v>6302939000</v>
      </c>
      <c r="J493" s="8">
        <f>_xlfn.IFNA(INDEX('HS Codes'!$D$2:$K3047,MATCH($B493,'HS Codes'!$A$2:$A3047,0),MATCH(J$1,'HS Codes'!$D$1:$K$1,0)),"")</f>
        <v>0</v>
      </c>
      <c r="K493" s="8" t="str">
        <f>_xlfn.IFNA(INDEX('HS Codes'!$D$2:$K3047,MATCH($B493,'HS Codes'!$A$2:$A3047,0),MATCH(K$1,'HS Codes'!$D$1:$K$1,0)),"")</f>
        <v>6302.39.00</v>
      </c>
      <c r="L493" s="8">
        <f>_xlfn.IFNA(INDEX('HS Codes'!$D$2:$K3047,MATCH($B493,'HS Codes'!$A$2:$A3047,0),MATCH(L$1,'HS Codes'!$D$1:$K$1,0)),"")</f>
        <v>63029120</v>
      </c>
      <c r="M493" s="8" t="str">
        <f>_xlfn.IFNA(INDEX('HS Codes'!$C$2:$C3047,MATCH($B493,'HS Codes'!$A$2:$A3047,0)),"")</f>
        <v>Fitness Towels - Toilet Linen 100% recycled 220 GSM/83% polyester/17% polyamide (no cotton)</v>
      </c>
      <c r="N493" s="9"/>
      <c r="O493" s="9"/>
      <c r="P493" s="9"/>
      <c r="Q493" s="9"/>
    </row>
    <row r="494" spans="1:17" ht="15.75" customHeight="1">
      <c r="A494" s="7" t="s">
        <v>783</v>
      </c>
      <c r="B494" s="7" t="s">
        <v>169</v>
      </c>
      <c r="C494" s="7" t="s">
        <v>278</v>
      </c>
      <c r="D494" s="7" t="s">
        <v>170</v>
      </c>
      <c r="E494" s="7" t="s">
        <v>348</v>
      </c>
      <c r="F494" s="8" t="str">
        <f>_xlfn.IFNA(INDEX('HS Codes'!$D$2:$K3048,MATCH($B494,'HS Codes'!$A$2:$A3048,0),MATCH(F$1,'HS Codes'!$D$1:$K$1,0)),"")</f>
        <v>6302.93.2000</v>
      </c>
      <c r="G494" s="8">
        <f>_xlfn.IFNA(INDEX('HS Codes'!$D$2:$K3048,MATCH($B494,'HS Codes'!$A$2:$A3048,0),MATCH(G$1,'HS Codes'!$D$1:$K$1,0)),"")</f>
        <v>6302600090</v>
      </c>
      <c r="H494" s="8" t="str">
        <f>_xlfn.IFNA(INDEX('HS Codes'!$D$2:$K3048,MATCH($B494,'HS Codes'!$A$2:$A3048,0),MATCH(H$1,'HS Codes'!$D$1:$K$1,0)),"")</f>
        <v>6302.93.00.00</v>
      </c>
      <c r="I494" s="8">
        <f>_xlfn.IFNA(INDEX('HS Codes'!$D$2:$K3048,MATCH($B494,'HS Codes'!$A$2:$A3048,0),MATCH(I$1,'HS Codes'!$D$1:$K$1,0)),"")</f>
        <v>6302939000</v>
      </c>
      <c r="J494" s="8">
        <f>_xlfn.IFNA(INDEX('HS Codes'!$D$2:$K3048,MATCH($B494,'HS Codes'!$A$2:$A3048,0),MATCH(J$1,'HS Codes'!$D$1:$K$1,0)),"")</f>
        <v>0</v>
      </c>
      <c r="K494" s="8" t="str">
        <f>_xlfn.IFNA(INDEX('HS Codes'!$D$2:$K3048,MATCH($B494,'HS Codes'!$A$2:$A3048,0),MATCH(K$1,'HS Codes'!$D$1:$K$1,0)),"")</f>
        <v>6302.39.00</v>
      </c>
      <c r="L494" s="8">
        <f>_xlfn.IFNA(INDEX('HS Codes'!$D$2:$K3048,MATCH($B494,'HS Codes'!$A$2:$A3048,0),MATCH(L$1,'HS Codes'!$D$1:$K$1,0)),"")</f>
        <v>63029120</v>
      </c>
      <c r="M494" s="8" t="str">
        <f>_xlfn.IFNA(INDEX('HS Codes'!$C$2:$C3048,MATCH($B494,'HS Codes'!$A$2:$A3048,0)),"")</f>
        <v>Fitness Towels - Toilet Linen 100% recycled 220 GSM/83% polyester/17% polyamide (no cotton)</v>
      </c>
      <c r="N494" s="9"/>
      <c r="O494" s="9"/>
      <c r="P494" s="9"/>
      <c r="Q494" s="9"/>
    </row>
    <row r="495" spans="1:17" ht="15.75" customHeight="1">
      <c r="A495" s="7" t="s">
        <v>784</v>
      </c>
      <c r="B495" s="7" t="s">
        <v>169</v>
      </c>
      <c r="C495" s="7" t="s">
        <v>278</v>
      </c>
      <c r="D495" s="7" t="s">
        <v>170</v>
      </c>
      <c r="E495" s="7" t="s">
        <v>348</v>
      </c>
      <c r="F495" s="8" t="str">
        <f>_xlfn.IFNA(INDEX('HS Codes'!$D$2:$K3049,MATCH($B495,'HS Codes'!$A$2:$A3049,0),MATCH(F$1,'HS Codes'!$D$1:$K$1,0)),"")</f>
        <v>6302.93.2000</v>
      </c>
      <c r="G495" s="8">
        <f>_xlfn.IFNA(INDEX('HS Codes'!$D$2:$K3049,MATCH($B495,'HS Codes'!$A$2:$A3049,0),MATCH(G$1,'HS Codes'!$D$1:$K$1,0)),"")</f>
        <v>6302600090</v>
      </c>
      <c r="H495" s="8" t="str">
        <f>_xlfn.IFNA(INDEX('HS Codes'!$D$2:$K3049,MATCH($B495,'HS Codes'!$A$2:$A3049,0),MATCH(H$1,'HS Codes'!$D$1:$K$1,0)),"")</f>
        <v>6302.93.00.00</v>
      </c>
      <c r="I495" s="8">
        <f>_xlfn.IFNA(INDEX('HS Codes'!$D$2:$K3049,MATCH($B495,'HS Codes'!$A$2:$A3049,0),MATCH(I$1,'HS Codes'!$D$1:$K$1,0)),"")</f>
        <v>6302939000</v>
      </c>
      <c r="J495" s="8">
        <f>_xlfn.IFNA(INDEX('HS Codes'!$D$2:$K3049,MATCH($B495,'HS Codes'!$A$2:$A3049,0),MATCH(J$1,'HS Codes'!$D$1:$K$1,0)),"")</f>
        <v>0</v>
      </c>
      <c r="K495" s="8" t="str">
        <f>_xlfn.IFNA(INDEX('HS Codes'!$D$2:$K3049,MATCH($B495,'HS Codes'!$A$2:$A3049,0),MATCH(K$1,'HS Codes'!$D$1:$K$1,0)),"")</f>
        <v>6302.39.00</v>
      </c>
      <c r="L495" s="8">
        <f>_xlfn.IFNA(INDEX('HS Codes'!$D$2:$K3049,MATCH($B495,'HS Codes'!$A$2:$A3049,0),MATCH(L$1,'HS Codes'!$D$1:$K$1,0)),"")</f>
        <v>63029120</v>
      </c>
      <c r="M495" s="8" t="str">
        <f>_xlfn.IFNA(INDEX('HS Codes'!$C$2:$C3049,MATCH($B495,'HS Codes'!$A$2:$A3049,0)),"")</f>
        <v>Fitness Towels - Toilet Linen 100% recycled 220 GSM/83% polyester/17% polyamide (no cotton)</v>
      </c>
      <c r="N495" s="9"/>
      <c r="O495" s="9"/>
      <c r="P495" s="9"/>
      <c r="Q495" s="9"/>
    </row>
    <row r="496" spans="1:17" ht="15.75" customHeight="1">
      <c r="A496" s="7" t="s">
        <v>785</v>
      </c>
      <c r="B496" s="7" t="s">
        <v>169</v>
      </c>
      <c r="C496" s="7" t="s">
        <v>278</v>
      </c>
      <c r="D496" s="7" t="s">
        <v>170</v>
      </c>
      <c r="E496" s="7" t="s">
        <v>348</v>
      </c>
      <c r="F496" s="8" t="str">
        <f>_xlfn.IFNA(INDEX('HS Codes'!$D$2:$K3050,MATCH($B496,'HS Codes'!$A$2:$A3050,0),MATCH(F$1,'HS Codes'!$D$1:$K$1,0)),"")</f>
        <v>6302.93.2000</v>
      </c>
      <c r="G496" s="8">
        <f>_xlfn.IFNA(INDEX('HS Codes'!$D$2:$K3050,MATCH($B496,'HS Codes'!$A$2:$A3050,0),MATCH(G$1,'HS Codes'!$D$1:$K$1,0)),"")</f>
        <v>6302600090</v>
      </c>
      <c r="H496" s="8" t="str">
        <f>_xlfn.IFNA(INDEX('HS Codes'!$D$2:$K3050,MATCH($B496,'HS Codes'!$A$2:$A3050,0),MATCH(H$1,'HS Codes'!$D$1:$K$1,0)),"")</f>
        <v>6302.93.00.00</v>
      </c>
      <c r="I496" s="8">
        <f>_xlfn.IFNA(INDEX('HS Codes'!$D$2:$K3050,MATCH($B496,'HS Codes'!$A$2:$A3050,0),MATCH(I$1,'HS Codes'!$D$1:$K$1,0)),"")</f>
        <v>6302939000</v>
      </c>
      <c r="J496" s="8">
        <f>_xlfn.IFNA(INDEX('HS Codes'!$D$2:$K3050,MATCH($B496,'HS Codes'!$A$2:$A3050,0),MATCH(J$1,'HS Codes'!$D$1:$K$1,0)),"")</f>
        <v>0</v>
      </c>
      <c r="K496" s="8" t="str">
        <f>_xlfn.IFNA(INDEX('HS Codes'!$D$2:$K3050,MATCH($B496,'HS Codes'!$A$2:$A3050,0),MATCH(K$1,'HS Codes'!$D$1:$K$1,0)),"")</f>
        <v>6302.39.00</v>
      </c>
      <c r="L496" s="8">
        <f>_xlfn.IFNA(INDEX('HS Codes'!$D$2:$K3050,MATCH($B496,'HS Codes'!$A$2:$A3050,0),MATCH(L$1,'HS Codes'!$D$1:$K$1,0)),"")</f>
        <v>63029120</v>
      </c>
      <c r="M496" s="8" t="str">
        <f>_xlfn.IFNA(INDEX('HS Codes'!$C$2:$C3050,MATCH($B496,'HS Codes'!$A$2:$A3050,0)),"")</f>
        <v>Fitness Towels - Toilet Linen 100% recycled 220 GSM/83% polyester/17% polyamide (no cotton)</v>
      </c>
      <c r="N496" s="9"/>
      <c r="O496" s="9"/>
      <c r="P496" s="9"/>
      <c r="Q496" s="9"/>
    </row>
    <row r="497" spans="1:17" ht="15.75" customHeight="1">
      <c r="A497" s="7" t="s">
        <v>786</v>
      </c>
      <c r="B497" s="7" t="s">
        <v>169</v>
      </c>
      <c r="C497" s="7" t="s">
        <v>278</v>
      </c>
      <c r="D497" s="7" t="s">
        <v>170</v>
      </c>
      <c r="E497" s="7" t="s">
        <v>348</v>
      </c>
      <c r="F497" s="8" t="str">
        <f>_xlfn.IFNA(INDEX('HS Codes'!$D$2:$K3051,MATCH($B497,'HS Codes'!$A$2:$A3051,0),MATCH(F$1,'HS Codes'!$D$1:$K$1,0)),"")</f>
        <v>6302.93.2000</v>
      </c>
      <c r="G497" s="8">
        <f>_xlfn.IFNA(INDEX('HS Codes'!$D$2:$K3051,MATCH($B497,'HS Codes'!$A$2:$A3051,0),MATCH(G$1,'HS Codes'!$D$1:$K$1,0)),"")</f>
        <v>6302600090</v>
      </c>
      <c r="H497" s="8" t="str">
        <f>_xlfn.IFNA(INDEX('HS Codes'!$D$2:$K3051,MATCH($B497,'HS Codes'!$A$2:$A3051,0),MATCH(H$1,'HS Codes'!$D$1:$K$1,0)),"")</f>
        <v>6302.93.00.00</v>
      </c>
      <c r="I497" s="8">
        <f>_xlfn.IFNA(INDEX('HS Codes'!$D$2:$K3051,MATCH($B497,'HS Codes'!$A$2:$A3051,0),MATCH(I$1,'HS Codes'!$D$1:$K$1,0)),"")</f>
        <v>6302939000</v>
      </c>
      <c r="J497" s="8">
        <f>_xlfn.IFNA(INDEX('HS Codes'!$D$2:$K3051,MATCH($B497,'HS Codes'!$A$2:$A3051,0),MATCH(J$1,'HS Codes'!$D$1:$K$1,0)),"")</f>
        <v>0</v>
      </c>
      <c r="K497" s="8" t="str">
        <f>_xlfn.IFNA(INDEX('HS Codes'!$D$2:$K3051,MATCH($B497,'HS Codes'!$A$2:$A3051,0),MATCH(K$1,'HS Codes'!$D$1:$K$1,0)),"")</f>
        <v>6302.39.00</v>
      </c>
      <c r="L497" s="8">
        <f>_xlfn.IFNA(INDEX('HS Codes'!$D$2:$K3051,MATCH($B497,'HS Codes'!$A$2:$A3051,0),MATCH(L$1,'HS Codes'!$D$1:$K$1,0)),"")</f>
        <v>63029120</v>
      </c>
      <c r="M497" s="8" t="str">
        <f>_xlfn.IFNA(INDEX('HS Codes'!$C$2:$C3051,MATCH($B497,'HS Codes'!$A$2:$A3051,0)),"")</f>
        <v>Fitness Towels - Toilet Linen 100% recycled 220 GSM/83% polyester/17% polyamide (no cotton)</v>
      </c>
      <c r="N497" s="9"/>
      <c r="O497" s="9"/>
      <c r="P497" s="9"/>
      <c r="Q497" s="9"/>
    </row>
    <row r="498" spans="1:17" ht="15.75" customHeight="1">
      <c r="A498" s="7" t="s">
        <v>787</v>
      </c>
      <c r="B498" s="7" t="s">
        <v>169</v>
      </c>
      <c r="C498" s="7" t="s">
        <v>278</v>
      </c>
      <c r="D498" s="7" t="s">
        <v>170</v>
      </c>
      <c r="E498" s="7" t="s">
        <v>348</v>
      </c>
      <c r="F498" s="8" t="str">
        <f>_xlfn.IFNA(INDEX('HS Codes'!$D$2:$K3052,MATCH($B498,'HS Codes'!$A$2:$A3052,0),MATCH(F$1,'HS Codes'!$D$1:$K$1,0)),"")</f>
        <v>6302.93.2000</v>
      </c>
      <c r="G498" s="8">
        <f>_xlfn.IFNA(INDEX('HS Codes'!$D$2:$K3052,MATCH($B498,'HS Codes'!$A$2:$A3052,0),MATCH(G$1,'HS Codes'!$D$1:$K$1,0)),"")</f>
        <v>6302600090</v>
      </c>
      <c r="H498" s="8" t="str">
        <f>_xlfn.IFNA(INDEX('HS Codes'!$D$2:$K3052,MATCH($B498,'HS Codes'!$A$2:$A3052,0),MATCH(H$1,'HS Codes'!$D$1:$K$1,0)),"")</f>
        <v>6302.93.00.00</v>
      </c>
      <c r="I498" s="8">
        <f>_xlfn.IFNA(INDEX('HS Codes'!$D$2:$K3052,MATCH($B498,'HS Codes'!$A$2:$A3052,0),MATCH(I$1,'HS Codes'!$D$1:$K$1,0)),"")</f>
        <v>6302939000</v>
      </c>
      <c r="J498" s="8">
        <f>_xlfn.IFNA(INDEX('HS Codes'!$D$2:$K3052,MATCH($B498,'HS Codes'!$A$2:$A3052,0),MATCH(J$1,'HS Codes'!$D$1:$K$1,0)),"")</f>
        <v>0</v>
      </c>
      <c r="K498" s="8" t="str">
        <f>_xlfn.IFNA(INDEX('HS Codes'!$D$2:$K3052,MATCH($B498,'HS Codes'!$A$2:$A3052,0),MATCH(K$1,'HS Codes'!$D$1:$K$1,0)),"")</f>
        <v>6302.39.00</v>
      </c>
      <c r="L498" s="8">
        <f>_xlfn.IFNA(INDEX('HS Codes'!$D$2:$K3052,MATCH($B498,'HS Codes'!$A$2:$A3052,0),MATCH(L$1,'HS Codes'!$D$1:$K$1,0)),"")</f>
        <v>63029120</v>
      </c>
      <c r="M498" s="8" t="str">
        <f>_xlfn.IFNA(INDEX('HS Codes'!$C$2:$C3052,MATCH($B498,'HS Codes'!$A$2:$A3052,0)),"")</f>
        <v>Fitness Towels - Toilet Linen 100% recycled 220 GSM/83% polyester/17% polyamide (no cotton)</v>
      </c>
      <c r="N498" s="9"/>
      <c r="O498" s="9"/>
      <c r="P498" s="9"/>
      <c r="Q498" s="9"/>
    </row>
    <row r="499" spans="1:17" ht="15.75" customHeight="1">
      <c r="A499" s="7" t="s">
        <v>788</v>
      </c>
      <c r="B499" s="7" t="s">
        <v>169</v>
      </c>
      <c r="C499" s="7" t="s">
        <v>278</v>
      </c>
      <c r="D499" s="7" t="s">
        <v>170</v>
      </c>
      <c r="E499" s="7" t="s">
        <v>348</v>
      </c>
      <c r="F499" s="8" t="str">
        <f>_xlfn.IFNA(INDEX('HS Codes'!$D$2:$K3053,MATCH($B499,'HS Codes'!$A$2:$A3053,0),MATCH(F$1,'HS Codes'!$D$1:$K$1,0)),"")</f>
        <v>6302.93.2000</v>
      </c>
      <c r="G499" s="8">
        <f>_xlfn.IFNA(INDEX('HS Codes'!$D$2:$K3053,MATCH($B499,'HS Codes'!$A$2:$A3053,0),MATCH(G$1,'HS Codes'!$D$1:$K$1,0)),"")</f>
        <v>6302600090</v>
      </c>
      <c r="H499" s="8" t="str">
        <f>_xlfn.IFNA(INDEX('HS Codes'!$D$2:$K3053,MATCH($B499,'HS Codes'!$A$2:$A3053,0),MATCH(H$1,'HS Codes'!$D$1:$K$1,0)),"")</f>
        <v>6302.93.00.00</v>
      </c>
      <c r="I499" s="8">
        <f>_xlfn.IFNA(INDEX('HS Codes'!$D$2:$K3053,MATCH($B499,'HS Codes'!$A$2:$A3053,0),MATCH(I$1,'HS Codes'!$D$1:$K$1,0)),"")</f>
        <v>6302939000</v>
      </c>
      <c r="J499" s="8">
        <f>_xlfn.IFNA(INDEX('HS Codes'!$D$2:$K3053,MATCH($B499,'HS Codes'!$A$2:$A3053,0),MATCH(J$1,'HS Codes'!$D$1:$K$1,0)),"")</f>
        <v>0</v>
      </c>
      <c r="K499" s="8" t="str">
        <f>_xlfn.IFNA(INDEX('HS Codes'!$D$2:$K3053,MATCH($B499,'HS Codes'!$A$2:$A3053,0),MATCH(K$1,'HS Codes'!$D$1:$K$1,0)),"")</f>
        <v>6302.39.00</v>
      </c>
      <c r="L499" s="8">
        <f>_xlfn.IFNA(INDEX('HS Codes'!$D$2:$K3053,MATCH($B499,'HS Codes'!$A$2:$A3053,0),MATCH(L$1,'HS Codes'!$D$1:$K$1,0)),"")</f>
        <v>63029120</v>
      </c>
      <c r="M499" s="8" t="str">
        <f>_xlfn.IFNA(INDEX('HS Codes'!$C$2:$C3053,MATCH($B499,'HS Codes'!$A$2:$A3053,0)),"")</f>
        <v>Fitness Towels - Toilet Linen 100% recycled 220 GSM/83% polyester/17% polyamide (no cotton)</v>
      </c>
      <c r="N499" s="9"/>
      <c r="O499" s="9"/>
      <c r="P499" s="9"/>
      <c r="Q499" s="9"/>
    </row>
    <row r="500" spans="1:17" ht="15.75" customHeight="1">
      <c r="A500" s="7" t="s">
        <v>789</v>
      </c>
      <c r="B500" s="7" t="s">
        <v>169</v>
      </c>
      <c r="C500" s="7" t="s">
        <v>278</v>
      </c>
      <c r="D500" s="7" t="s">
        <v>170</v>
      </c>
      <c r="E500" s="7" t="s">
        <v>348</v>
      </c>
      <c r="F500" s="8" t="str">
        <f>_xlfn.IFNA(INDEX('HS Codes'!$D$2:$K3054,MATCH($B500,'HS Codes'!$A$2:$A3054,0),MATCH(F$1,'HS Codes'!$D$1:$K$1,0)),"")</f>
        <v>6302.93.2000</v>
      </c>
      <c r="G500" s="8">
        <f>_xlfn.IFNA(INDEX('HS Codes'!$D$2:$K3054,MATCH($B500,'HS Codes'!$A$2:$A3054,0),MATCH(G$1,'HS Codes'!$D$1:$K$1,0)),"")</f>
        <v>6302600090</v>
      </c>
      <c r="H500" s="8" t="str">
        <f>_xlfn.IFNA(INDEX('HS Codes'!$D$2:$K3054,MATCH($B500,'HS Codes'!$A$2:$A3054,0),MATCH(H$1,'HS Codes'!$D$1:$K$1,0)),"")</f>
        <v>6302.93.00.00</v>
      </c>
      <c r="I500" s="8">
        <f>_xlfn.IFNA(INDEX('HS Codes'!$D$2:$K3054,MATCH($B500,'HS Codes'!$A$2:$A3054,0),MATCH(I$1,'HS Codes'!$D$1:$K$1,0)),"")</f>
        <v>6302939000</v>
      </c>
      <c r="J500" s="8">
        <f>_xlfn.IFNA(INDEX('HS Codes'!$D$2:$K3054,MATCH($B500,'HS Codes'!$A$2:$A3054,0),MATCH(J$1,'HS Codes'!$D$1:$K$1,0)),"")</f>
        <v>0</v>
      </c>
      <c r="K500" s="8" t="str">
        <f>_xlfn.IFNA(INDEX('HS Codes'!$D$2:$K3054,MATCH($B500,'HS Codes'!$A$2:$A3054,0),MATCH(K$1,'HS Codes'!$D$1:$K$1,0)),"")</f>
        <v>6302.39.00</v>
      </c>
      <c r="L500" s="8">
        <f>_xlfn.IFNA(INDEX('HS Codes'!$D$2:$K3054,MATCH($B500,'HS Codes'!$A$2:$A3054,0),MATCH(L$1,'HS Codes'!$D$1:$K$1,0)),"")</f>
        <v>63029120</v>
      </c>
      <c r="M500" s="8" t="str">
        <f>_xlfn.IFNA(INDEX('HS Codes'!$C$2:$C3054,MATCH($B500,'HS Codes'!$A$2:$A3054,0)),"")</f>
        <v>Fitness Towels - Toilet Linen 100% recycled 220 GSM/83% polyester/17% polyamide (no cotton)</v>
      </c>
      <c r="N500" s="9"/>
      <c r="O500" s="9"/>
      <c r="P500" s="9"/>
      <c r="Q500" s="9"/>
    </row>
    <row r="501" spans="1:17" ht="15.75" customHeight="1">
      <c r="A501" s="7" t="s">
        <v>790</v>
      </c>
      <c r="B501" s="7" t="s">
        <v>169</v>
      </c>
      <c r="C501" s="7" t="s">
        <v>278</v>
      </c>
      <c r="D501" s="7" t="s">
        <v>170</v>
      </c>
      <c r="E501" s="7" t="s">
        <v>348</v>
      </c>
      <c r="F501" s="8" t="str">
        <f>_xlfn.IFNA(INDEX('HS Codes'!$D$2:$K3055,MATCH($B501,'HS Codes'!$A$2:$A3055,0),MATCH(F$1,'HS Codes'!$D$1:$K$1,0)),"")</f>
        <v>6302.93.2000</v>
      </c>
      <c r="G501" s="8">
        <f>_xlfn.IFNA(INDEX('HS Codes'!$D$2:$K3055,MATCH($B501,'HS Codes'!$A$2:$A3055,0),MATCH(G$1,'HS Codes'!$D$1:$K$1,0)),"")</f>
        <v>6302600090</v>
      </c>
      <c r="H501" s="8" t="str">
        <f>_xlfn.IFNA(INDEX('HS Codes'!$D$2:$K3055,MATCH($B501,'HS Codes'!$A$2:$A3055,0),MATCH(H$1,'HS Codes'!$D$1:$K$1,0)),"")</f>
        <v>6302.93.00.00</v>
      </c>
      <c r="I501" s="8">
        <f>_xlfn.IFNA(INDEX('HS Codes'!$D$2:$K3055,MATCH($B501,'HS Codes'!$A$2:$A3055,0),MATCH(I$1,'HS Codes'!$D$1:$K$1,0)),"")</f>
        <v>6302939000</v>
      </c>
      <c r="J501" s="8">
        <f>_xlfn.IFNA(INDEX('HS Codes'!$D$2:$K3055,MATCH($B501,'HS Codes'!$A$2:$A3055,0),MATCH(J$1,'HS Codes'!$D$1:$K$1,0)),"")</f>
        <v>0</v>
      </c>
      <c r="K501" s="8" t="str">
        <f>_xlfn.IFNA(INDEX('HS Codes'!$D$2:$K3055,MATCH($B501,'HS Codes'!$A$2:$A3055,0),MATCH(K$1,'HS Codes'!$D$1:$K$1,0)),"")</f>
        <v>6302.39.00</v>
      </c>
      <c r="L501" s="8">
        <f>_xlfn.IFNA(INDEX('HS Codes'!$D$2:$K3055,MATCH($B501,'HS Codes'!$A$2:$A3055,0),MATCH(L$1,'HS Codes'!$D$1:$K$1,0)),"")</f>
        <v>63029120</v>
      </c>
      <c r="M501" s="8" t="str">
        <f>_xlfn.IFNA(INDEX('HS Codes'!$C$2:$C3055,MATCH($B501,'HS Codes'!$A$2:$A3055,0)),"")</f>
        <v>Fitness Towels - Toilet Linen 100% recycled 220 GSM/83% polyester/17% polyamide (no cotton)</v>
      </c>
      <c r="N501" s="9"/>
      <c r="O501" s="9"/>
      <c r="P501" s="9"/>
      <c r="Q501" s="9"/>
    </row>
    <row r="502" spans="1:17" ht="15.75" customHeight="1">
      <c r="A502" s="7" t="s">
        <v>791</v>
      </c>
      <c r="B502" s="7" t="s">
        <v>169</v>
      </c>
      <c r="C502" s="7" t="s">
        <v>278</v>
      </c>
      <c r="D502" s="7" t="s">
        <v>170</v>
      </c>
      <c r="E502" s="7" t="s">
        <v>348</v>
      </c>
      <c r="F502" s="8" t="str">
        <f>_xlfn.IFNA(INDEX('HS Codes'!$D$2:$K3056,MATCH($B502,'HS Codes'!$A$2:$A3056,0),MATCH(F$1,'HS Codes'!$D$1:$K$1,0)),"")</f>
        <v>6302.93.2000</v>
      </c>
      <c r="G502" s="8">
        <f>_xlfn.IFNA(INDEX('HS Codes'!$D$2:$K3056,MATCH($B502,'HS Codes'!$A$2:$A3056,0),MATCH(G$1,'HS Codes'!$D$1:$K$1,0)),"")</f>
        <v>6302600090</v>
      </c>
      <c r="H502" s="8" t="str">
        <f>_xlfn.IFNA(INDEX('HS Codes'!$D$2:$K3056,MATCH($B502,'HS Codes'!$A$2:$A3056,0),MATCH(H$1,'HS Codes'!$D$1:$K$1,0)),"")</f>
        <v>6302.93.00.00</v>
      </c>
      <c r="I502" s="8">
        <f>_xlfn.IFNA(INDEX('HS Codes'!$D$2:$K3056,MATCH($B502,'HS Codes'!$A$2:$A3056,0),MATCH(I$1,'HS Codes'!$D$1:$K$1,0)),"")</f>
        <v>6302939000</v>
      </c>
      <c r="J502" s="8">
        <f>_xlfn.IFNA(INDEX('HS Codes'!$D$2:$K3056,MATCH($B502,'HS Codes'!$A$2:$A3056,0),MATCH(J$1,'HS Codes'!$D$1:$K$1,0)),"")</f>
        <v>0</v>
      </c>
      <c r="K502" s="8" t="str">
        <f>_xlfn.IFNA(INDEX('HS Codes'!$D$2:$K3056,MATCH($B502,'HS Codes'!$A$2:$A3056,0),MATCH(K$1,'HS Codes'!$D$1:$K$1,0)),"")</f>
        <v>6302.39.00</v>
      </c>
      <c r="L502" s="8">
        <f>_xlfn.IFNA(INDEX('HS Codes'!$D$2:$K3056,MATCH($B502,'HS Codes'!$A$2:$A3056,0),MATCH(L$1,'HS Codes'!$D$1:$K$1,0)),"")</f>
        <v>63029120</v>
      </c>
      <c r="M502" s="8" t="str">
        <f>_xlfn.IFNA(INDEX('HS Codes'!$C$2:$C3056,MATCH($B502,'HS Codes'!$A$2:$A3056,0)),"")</f>
        <v>Fitness Towels - Toilet Linen 100% recycled 220 GSM/83% polyester/17% polyamide (no cotton)</v>
      </c>
      <c r="N502" s="9"/>
      <c r="O502" s="9"/>
      <c r="P502" s="9"/>
      <c r="Q502" s="9"/>
    </row>
    <row r="503" spans="1:17" ht="15.75" customHeight="1">
      <c r="A503" s="7" t="s">
        <v>792</v>
      </c>
      <c r="B503" s="7" t="s">
        <v>169</v>
      </c>
      <c r="C503" s="7" t="s">
        <v>278</v>
      </c>
      <c r="D503" s="7" t="s">
        <v>170</v>
      </c>
      <c r="E503" s="7" t="s">
        <v>348</v>
      </c>
      <c r="F503" s="8" t="str">
        <f>_xlfn.IFNA(INDEX('HS Codes'!$D$2:$K3057,MATCH($B503,'HS Codes'!$A$2:$A3057,0),MATCH(F$1,'HS Codes'!$D$1:$K$1,0)),"")</f>
        <v>6302.93.2000</v>
      </c>
      <c r="G503" s="8">
        <f>_xlfn.IFNA(INDEX('HS Codes'!$D$2:$K3057,MATCH($B503,'HS Codes'!$A$2:$A3057,0),MATCH(G$1,'HS Codes'!$D$1:$K$1,0)),"")</f>
        <v>6302600090</v>
      </c>
      <c r="H503" s="8" t="str">
        <f>_xlfn.IFNA(INDEX('HS Codes'!$D$2:$K3057,MATCH($B503,'HS Codes'!$A$2:$A3057,0),MATCH(H$1,'HS Codes'!$D$1:$K$1,0)),"")</f>
        <v>6302.93.00.00</v>
      </c>
      <c r="I503" s="8">
        <f>_xlfn.IFNA(INDEX('HS Codes'!$D$2:$K3057,MATCH($B503,'HS Codes'!$A$2:$A3057,0),MATCH(I$1,'HS Codes'!$D$1:$K$1,0)),"")</f>
        <v>6302939000</v>
      </c>
      <c r="J503" s="8">
        <f>_xlfn.IFNA(INDEX('HS Codes'!$D$2:$K3057,MATCH($B503,'HS Codes'!$A$2:$A3057,0),MATCH(J$1,'HS Codes'!$D$1:$K$1,0)),"")</f>
        <v>0</v>
      </c>
      <c r="K503" s="8" t="str">
        <f>_xlfn.IFNA(INDEX('HS Codes'!$D$2:$K3057,MATCH($B503,'HS Codes'!$A$2:$A3057,0),MATCH(K$1,'HS Codes'!$D$1:$K$1,0)),"")</f>
        <v>6302.39.00</v>
      </c>
      <c r="L503" s="8">
        <f>_xlfn.IFNA(INDEX('HS Codes'!$D$2:$K3057,MATCH($B503,'HS Codes'!$A$2:$A3057,0),MATCH(L$1,'HS Codes'!$D$1:$K$1,0)),"")</f>
        <v>63029120</v>
      </c>
      <c r="M503" s="8" t="str">
        <f>_xlfn.IFNA(INDEX('HS Codes'!$C$2:$C3057,MATCH($B503,'HS Codes'!$A$2:$A3057,0)),"")</f>
        <v>Fitness Towels - Toilet Linen 100% recycled 220 GSM/83% polyester/17% polyamide (no cotton)</v>
      </c>
      <c r="N503" s="9"/>
      <c r="O503" s="9"/>
      <c r="P503" s="9"/>
      <c r="Q503" s="9"/>
    </row>
    <row r="504" spans="1:17" ht="15.75" customHeight="1">
      <c r="A504" s="7" t="s">
        <v>793</v>
      </c>
      <c r="B504" s="7" t="s">
        <v>169</v>
      </c>
      <c r="C504" s="7" t="s">
        <v>278</v>
      </c>
      <c r="D504" s="7" t="s">
        <v>170</v>
      </c>
      <c r="E504" s="7" t="s">
        <v>348</v>
      </c>
      <c r="F504" s="8" t="str">
        <f>_xlfn.IFNA(INDEX('HS Codes'!$D$2:$K3058,MATCH($B504,'HS Codes'!$A$2:$A3058,0),MATCH(F$1,'HS Codes'!$D$1:$K$1,0)),"")</f>
        <v>6302.93.2000</v>
      </c>
      <c r="G504" s="8">
        <f>_xlfn.IFNA(INDEX('HS Codes'!$D$2:$K3058,MATCH($B504,'HS Codes'!$A$2:$A3058,0),MATCH(G$1,'HS Codes'!$D$1:$K$1,0)),"")</f>
        <v>6302600090</v>
      </c>
      <c r="H504" s="8" t="str">
        <f>_xlfn.IFNA(INDEX('HS Codes'!$D$2:$K3058,MATCH($B504,'HS Codes'!$A$2:$A3058,0),MATCH(H$1,'HS Codes'!$D$1:$K$1,0)),"")</f>
        <v>6302.93.00.00</v>
      </c>
      <c r="I504" s="8">
        <f>_xlfn.IFNA(INDEX('HS Codes'!$D$2:$K3058,MATCH($B504,'HS Codes'!$A$2:$A3058,0),MATCH(I$1,'HS Codes'!$D$1:$K$1,0)),"")</f>
        <v>6302939000</v>
      </c>
      <c r="J504" s="8">
        <f>_xlfn.IFNA(INDEX('HS Codes'!$D$2:$K3058,MATCH($B504,'HS Codes'!$A$2:$A3058,0),MATCH(J$1,'HS Codes'!$D$1:$K$1,0)),"")</f>
        <v>0</v>
      </c>
      <c r="K504" s="8" t="str">
        <f>_xlfn.IFNA(INDEX('HS Codes'!$D$2:$K3058,MATCH($B504,'HS Codes'!$A$2:$A3058,0),MATCH(K$1,'HS Codes'!$D$1:$K$1,0)),"")</f>
        <v>6302.39.00</v>
      </c>
      <c r="L504" s="8">
        <f>_xlfn.IFNA(INDEX('HS Codes'!$D$2:$K3058,MATCH($B504,'HS Codes'!$A$2:$A3058,0),MATCH(L$1,'HS Codes'!$D$1:$K$1,0)),"")</f>
        <v>63029120</v>
      </c>
      <c r="M504" s="8" t="str">
        <f>_xlfn.IFNA(INDEX('HS Codes'!$C$2:$C3058,MATCH($B504,'HS Codes'!$A$2:$A3058,0)),"")</f>
        <v>Fitness Towels - Toilet Linen 100% recycled 220 GSM/83% polyester/17% polyamide (no cotton)</v>
      </c>
      <c r="N504" s="9"/>
      <c r="O504" s="9"/>
      <c r="P504" s="9"/>
      <c r="Q504" s="9"/>
    </row>
    <row r="505" spans="1:17" ht="15.75" customHeight="1">
      <c r="A505" s="7" t="s">
        <v>794</v>
      </c>
      <c r="B505" s="7" t="s">
        <v>169</v>
      </c>
      <c r="C505" s="7" t="s">
        <v>278</v>
      </c>
      <c r="D505" s="7" t="s">
        <v>170</v>
      </c>
      <c r="E505" s="7" t="s">
        <v>348</v>
      </c>
      <c r="F505" s="8" t="str">
        <f>_xlfn.IFNA(INDEX('HS Codes'!$D$2:$K3059,MATCH($B505,'HS Codes'!$A$2:$A3059,0),MATCH(F$1,'HS Codes'!$D$1:$K$1,0)),"")</f>
        <v>6302.93.2000</v>
      </c>
      <c r="G505" s="8">
        <f>_xlfn.IFNA(INDEX('HS Codes'!$D$2:$K3059,MATCH($B505,'HS Codes'!$A$2:$A3059,0),MATCH(G$1,'HS Codes'!$D$1:$K$1,0)),"")</f>
        <v>6302600090</v>
      </c>
      <c r="H505" s="8" t="str">
        <f>_xlfn.IFNA(INDEX('HS Codes'!$D$2:$K3059,MATCH($B505,'HS Codes'!$A$2:$A3059,0),MATCH(H$1,'HS Codes'!$D$1:$K$1,0)),"")</f>
        <v>6302.93.00.00</v>
      </c>
      <c r="I505" s="8">
        <f>_xlfn.IFNA(INDEX('HS Codes'!$D$2:$K3059,MATCH($B505,'HS Codes'!$A$2:$A3059,0),MATCH(I$1,'HS Codes'!$D$1:$K$1,0)),"")</f>
        <v>6302939000</v>
      </c>
      <c r="J505" s="8">
        <f>_xlfn.IFNA(INDEX('HS Codes'!$D$2:$K3059,MATCH($B505,'HS Codes'!$A$2:$A3059,0),MATCH(J$1,'HS Codes'!$D$1:$K$1,0)),"")</f>
        <v>0</v>
      </c>
      <c r="K505" s="8" t="str">
        <f>_xlfn.IFNA(INDEX('HS Codes'!$D$2:$K3059,MATCH($B505,'HS Codes'!$A$2:$A3059,0),MATCH(K$1,'HS Codes'!$D$1:$K$1,0)),"")</f>
        <v>6302.39.00</v>
      </c>
      <c r="L505" s="8">
        <f>_xlfn.IFNA(INDEX('HS Codes'!$D$2:$K3059,MATCH($B505,'HS Codes'!$A$2:$A3059,0),MATCH(L$1,'HS Codes'!$D$1:$K$1,0)),"")</f>
        <v>63029120</v>
      </c>
      <c r="M505" s="8" t="str">
        <f>_xlfn.IFNA(INDEX('HS Codes'!$C$2:$C3059,MATCH($B505,'HS Codes'!$A$2:$A3059,0)),"")</f>
        <v>Fitness Towels - Toilet Linen 100% recycled 220 GSM/83% polyester/17% polyamide (no cotton)</v>
      </c>
      <c r="N505" s="9"/>
      <c r="O505" s="9"/>
      <c r="P505" s="9"/>
      <c r="Q505" s="9"/>
    </row>
    <row r="506" spans="1:17" ht="15.75" customHeight="1">
      <c r="A506" s="7" t="s">
        <v>795</v>
      </c>
      <c r="B506" s="7" t="s">
        <v>169</v>
      </c>
      <c r="C506" s="7" t="s">
        <v>278</v>
      </c>
      <c r="D506" s="7" t="s">
        <v>170</v>
      </c>
      <c r="E506" s="7" t="s">
        <v>348</v>
      </c>
      <c r="F506" s="8" t="str">
        <f>_xlfn.IFNA(INDEX('HS Codes'!$D$2:$K3060,MATCH($B506,'HS Codes'!$A$2:$A3060,0),MATCH(F$1,'HS Codes'!$D$1:$K$1,0)),"")</f>
        <v>6302.93.2000</v>
      </c>
      <c r="G506" s="8">
        <f>_xlfn.IFNA(INDEX('HS Codes'!$D$2:$K3060,MATCH($B506,'HS Codes'!$A$2:$A3060,0),MATCH(G$1,'HS Codes'!$D$1:$K$1,0)),"")</f>
        <v>6302600090</v>
      </c>
      <c r="H506" s="8" t="str">
        <f>_xlfn.IFNA(INDEX('HS Codes'!$D$2:$K3060,MATCH($B506,'HS Codes'!$A$2:$A3060,0),MATCH(H$1,'HS Codes'!$D$1:$K$1,0)),"")</f>
        <v>6302.93.00.00</v>
      </c>
      <c r="I506" s="8">
        <f>_xlfn.IFNA(INDEX('HS Codes'!$D$2:$K3060,MATCH($B506,'HS Codes'!$A$2:$A3060,0),MATCH(I$1,'HS Codes'!$D$1:$K$1,0)),"")</f>
        <v>6302939000</v>
      </c>
      <c r="J506" s="8">
        <f>_xlfn.IFNA(INDEX('HS Codes'!$D$2:$K3060,MATCH($B506,'HS Codes'!$A$2:$A3060,0),MATCH(J$1,'HS Codes'!$D$1:$K$1,0)),"")</f>
        <v>0</v>
      </c>
      <c r="K506" s="8" t="str">
        <f>_xlfn.IFNA(INDEX('HS Codes'!$D$2:$K3060,MATCH($B506,'HS Codes'!$A$2:$A3060,0),MATCH(K$1,'HS Codes'!$D$1:$K$1,0)),"")</f>
        <v>6302.39.00</v>
      </c>
      <c r="L506" s="8">
        <f>_xlfn.IFNA(INDEX('HS Codes'!$D$2:$K3060,MATCH($B506,'HS Codes'!$A$2:$A3060,0),MATCH(L$1,'HS Codes'!$D$1:$K$1,0)),"")</f>
        <v>63029120</v>
      </c>
      <c r="M506" s="8" t="str">
        <f>_xlfn.IFNA(INDEX('HS Codes'!$C$2:$C3060,MATCH($B506,'HS Codes'!$A$2:$A3060,0)),"")</f>
        <v>Fitness Towels - Toilet Linen 100% recycled 220 GSM/83% polyester/17% polyamide (no cotton)</v>
      </c>
      <c r="N506" s="9"/>
      <c r="O506" s="9"/>
      <c r="P506" s="9"/>
      <c r="Q506" s="9"/>
    </row>
    <row r="507" spans="1:17" ht="15.75" customHeight="1">
      <c r="A507" s="7" t="s">
        <v>796</v>
      </c>
      <c r="B507" s="7" t="s">
        <v>172</v>
      </c>
      <c r="C507" s="7" t="s">
        <v>278</v>
      </c>
      <c r="D507" s="7" t="s">
        <v>173</v>
      </c>
      <c r="E507" s="7" t="s">
        <v>377</v>
      </c>
      <c r="F507" s="8" t="str">
        <f>_xlfn.IFNA(INDEX('HS Codes'!$D$2:$K3061,MATCH($B507,'HS Codes'!$A$2:$A3061,0),MATCH(F$1,'HS Codes'!$D$1:$K$1,0)),"")</f>
        <v>6302.93.2000</v>
      </c>
      <c r="G507" s="8">
        <f>_xlfn.IFNA(INDEX('HS Codes'!$D$2:$K3061,MATCH($B507,'HS Codes'!$A$2:$A3061,0),MATCH(G$1,'HS Codes'!$D$1:$K$1,0)),"")</f>
        <v>6302600090</v>
      </c>
      <c r="H507" s="8" t="str">
        <f>_xlfn.IFNA(INDEX('HS Codes'!$D$2:$K3061,MATCH($B507,'HS Codes'!$A$2:$A3061,0),MATCH(H$1,'HS Codes'!$D$1:$K$1,0)),"")</f>
        <v>6302.93.00.00</v>
      </c>
      <c r="I507" s="8">
        <f>_xlfn.IFNA(INDEX('HS Codes'!$D$2:$K3061,MATCH($B507,'HS Codes'!$A$2:$A3061,0),MATCH(I$1,'HS Codes'!$D$1:$K$1,0)),"")</f>
        <v>6302939000</v>
      </c>
      <c r="J507" s="8">
        <f>_xlfn.IFNA(INDEX('HS Codes'!$D$2:$K3061,MATCH($B507,'HS Codes'!$A$2:$A3061,0),MATCH(J$1,'HS Codes'!$D$1:$K$1,0)),"")</f>
        <v>0</v>
      </c>
      <c r="K507" s="8" t="str">
        <f>_xlfn.IFNA(INDEX('HS Codes'!$D$2:$K3061,MATCH($B507,'HS Codes'!$A$2:$A3061,0),MATCH(K$1,'HS Codes'!$D$1:$K$1,0)),"")</f>
        <v>6302.39.00</v>
      </c>
      <c r="L507" s="8">
        <f>_xlfn.IFNA(INDEX('HS Codes'!$D$2:$K3061,MATCH($B507,'HS Codes'!$A$2:$A3061,0),MATCH(L$1,'HS Codes'!$D$1:$K$1,0)),"")</f>
        <v>63029120</v>
      </c>
      <c r="M507" s="8" t="str">
        <f>_xlfn.IFNA(INDEX('HS Codes'!$C$2:$C3061,MATCH($B507,'HS Codes'!$A$2:$A3061,0)),"")</f>
        <v>Bath Towel - Toilet Linen 100% recycled 340 GSM/83% polyester/17% polyamide (no cotton)</v>
      </c>
      <c r="N507" s="9"/>
      <c r="O507" s="9"/>
      <c r="P507" s="9"/>
      <c r="Q507" s="9"/>
    </row>
    <row r="508" spans="1:17" ht="15.75" customHeight="1">
      <c r="A508" s="7" t="s">
        <v>797</v>
      </c>
      <c r="B508" s="7" t="s">
        <v>172</v>
      </c>
      <c r="C508" s="7" t="s">
        <v>278</v>
      </c>
      <c r="D508" s="7" t="s">
        <v>173</v>
      </c>
      <c r="E508" s="7" t="s">
        <v>377</v>
      </c>
      <c r="F508" s="8" t="str">
        <f>_xlfn.IFNA(INDEX('HS Codes'!$D$2:$K3062,MATCH($B508,'HS Codes'!$A$2:$A3062,0),MATCH(F$1,'HS Codes'!$D$1:$K$1,0)),"")</f>
        <v>6302.93.2000</v>
      </c>
      <c r="G508" s="8">
        <f>_xlfn.IFNA(INDEX('HS Codes'!$D$2:$K3062,MATCH($B508,'HS Codes'!$A$2:$A3062,0),MATCH(G$1,'HS Codes'!$D$1:$K$1,0)),"")</f>
        <v>6302600090</v>
      </c>
      <c r="H508" s="8" t="str">
        <f>_xlfn.IFNA(INDEX('HS Codes'!$D$2:$K3062,MATCH($B508,'HS Codes'!$A$2:$A3062,0),MATCH(H$1,'HS Codes'!$D$1:$K$1,0)),"")</f>
        <v>6302.93.00.00</v>
      </c>
      <c r="I508" s="8">
        <f>_xlfn.IFNA(INDEX('HS Codes'!$D$2:$K3062,MATCH($B508,'HS Codes'!$A$2:$A3062,0),MATCH(I$1,'HS Codes'!$D$1:$K$1,0)),"")</f>
        <v>6302939000</v>
      </c>
      <c r="J508" s="8">
        <f>_xlfn.IFNA(INDEX('HS Codes'!$D$2:$K3062,MATCH($B508,'HS Codes'!$A$2:$A3062,0),MATCH(J$1,'HS Codes'!$D$1:$K$1,0)),"")</f>
        <v>0</v>
      </c>
      <c r="K508" s="8" t="str">
        <f>_xlfn.IFNA(INDEX('HS Codes'!$D$2:$K3062,MATCH($B508,'HS Codes'!$A$2:$A3062,0),MATCH(K$1,'HS Codes'!$D$1:$K$1,0)),"")</f>
        <v>6302.39.00</v>
      </c>
      <c r="L508" s="8">
        <f>_xlfn.IFNA(INDEX('HS Codes'!$D$2:$K3062,MATCH($B508,'HS Codes'!$A$2:$A3062,0),MATCH(L$1,'HS Codes'!$D$1:$K$1,0)),"")</f>
        <v>63029120</v>
      </c>
      <c r="M508" s="8" t="str">
        <f>_xlfn.IFNA(INDEX('HS Codes'!$C$2:$C3062,MATCH($B508,'HS Codes'!$A$2:$A3062,0)),"")</f>
        <v>Bath Towel - Toilet Linen 100% recycled 340 GSM/83% polyester/17% polyamide (no cotton)</v>
      </c>
      <c r="N508" s="9"/>
      <c r="O508" s="9"/>
      <c r="P508" s="9"/>
      <c r="Q508" s="9"/>
    </row>
    <row r="509" spans="1:17" ht="15.75" customHeight="1">
      <c r="A509" s="7" t="s">
        <v>798</v>
      </c>
      <c r="B509" s="7" t="s">
        <v>172</v>
      </c>
      <c r="C509" s="7" t="s">
        <v>278</v>
      </c>
      <c r="D509" s="7" t="s">
        <v>173</v>
      </c>
      <c r="E509" s="7" t="s">
        <v>377</v>
      </c>
      <c r="F509" s="8" t="str">
        <f>_xlfn.IFNA(INDEX('HS Codes'!$D$2:$K3063,MATCH($B509,'HS Codes'!$A$2:$A3063,0),MATCH(F$1,'HS Codes'!$D$1:$K$1,0)),"")</f>
        <v>6302.93.2000</v>
      </c>
      <c r="G509" s="8">
        <f>_xlfn.IFNA(INDEX('HS Codes'!$D$2:$K3063,MATCH($B509,'HS Codes'!$A$2:$A3063,0),MATCH(G$1,'HS Codes'!$D$1:$K$1,0)),"")</f>
        <v>6302600090</v>
      </c>
      <c r="H509" s="8" t="str">
        <f>_xlfn.IFNA(INDEX('HS Codes'!$D$2:$K3063,MATCH($B509,'HS Codes'!$A$2:$A3063,0),MATCH(H$1,'HS Codes'!$D$1:$K$1,0)),"")</f>
        <v>6302.93.00.00</v>
      </c>
      <c r="I509" s="8">
        <f>_xlfn.IFNA(INDEX('HS Codes'!$D$2:$K3063,MATCH($B509,'HS Codes'!$A$2:$A3063,0),MATCH(I$1,'HS Codes'!$D$1:$K$1,0)),"")</f>
        <v>6302939000</v>
      </c>
      <c r="J509" s="8">
        <f>_xlfn.IFNA(INDEX('HS Codes'!$D$2:$K3063,MATCH($B509,'HS Codes'!$A$2:$A3063,0),MATCH(J$1,'HS Codes'!$D$1:$K$1,0)),"")</f>
        <v>0</v>
      </c>
      <c r="K509" s="8" t="str">
        <f>_xlfn.IFNA(INDEX('HS Codes'!$D$2:$K3063,MATCH($B509,'HS Codes'!$A$2:$A3063,0),MATCH(K$1,'HS Codes'!$D$1:$K$1,0)),"")</f>
        <v>6302.39.00</v>
      </c>
      <c r="L509" s="8">
        <f>_xlfn.IFNA(INDEX('HS Codes'!$D$2:$K3063,MATCH($B509,'HS Codes'!$A$2:$A3063,0),MATCH(L$1,'HS Codes'!$D$1:$K$1,0)),"")</f>
        <v>63029120</v>
      </c>
      <c r="M509" s="8" t="str">
        <f>_xlfn.IFNA(INDEX('HS Codes'!$C$2:$C3063,MATCH($B509,'HS Codes'!$A$2:$A3063,0)),"")</f>
        <v>Bath Towel - Toilet Linen 100% recycled 340 GSM/83% polyester/17% polyamide (no cotton)</v>
      </c>
      <c r="N509" s="9"/>
      <c r="O509" s="9"/>
      <c r="P509" s="9"/>
      <c r="Q509" s="9"/>
    </row>
    <row r="510" spans="1:17" ht="15.75" customHeight="1">
      <c r="A510" s="7" t="s">
        <v>799</v>
      </c>
      <c r="B510" s="7" t="s">
        <v>172</v>
      </c>
      <c r="C510" s="7" t="s">
        <v>278</v>
      </c>
      <c r="D510" s="7" t="s">
        <v>173</v>
      </c>
      <c r="E510" s="7" t="s">
        <v>377</v>
      </c>
      <c r="F510" s="8" t="str">
        <f>_xlfn.IFNA(INDEX('HS Codes'!$D$2:$K3064,MATCH($B510,'HS Codes'!$A$2:$A3064,0),MATCH(F$1,'HS Codes'!$D$1:$K$1,0)),"")</f>
        <v>6302.93.2000</v>
      </c>
      <c r="G510" s="8">
        <f>_xlfn.IFNA(INDEX('HS Codes'!$D$2:$K3064,MATCH($B510,'HS Codes'!$A$2:$A3064,0),MATCH(G$1,'HS Codes'!$D$1:$K$1,0)),"")</f>
        <v>6302600090</v>
      </c>
      <c r="H510" s="8" t="str">
        <f>_xlfn.IFNA(INDEX('HS Codes'!$D$2:$K3064,MATCH($B510,'HS Codes'!$A$2:$A3064,0),MATCH(H$1,'HS Codes'!$D$1:$K$1,0)),"")</f>
        <v>6302.93.00.00</v>
      </c>
      <c r="I510" s="8">
        <f>_xlfn.IFNA(INDEX('HS Codes'!$D$2:$K3064,MATCH($B510,'HS Codes'!$A$2:$A3064,0),MATCH(I$1,'HS Codes'!$D$1:$K$1,0)),"")</f>
        <v>6302939000</v>
      </c>
      <c r="J510" s="8">
        <f>_xlfn.IFNA(INDEX('HS Codes'!$D$2:$K3064,MATCH($B510,'HS Codes'!$A$2:$A3064,0),MATCH(J$1,'HS Codes'!$D$1:$K$1,0)),"")</f>
        <v>0</v>
      </c>
      <c r="K510" s="8" t="str">
        <f>_xlfn.IFNA(INDEX('HS Codes'!$D$2:$K3064,MATCH($B510,'HS Codes'!$A$2:$A3064,0),MATCH(K$1,'HS Codes'!$D$1:$K$1,0)),"")</f>
        <v>6302.39.00</v>
      </c>
      <c r="L510" s="8">
        <f>_xlfn.IFNA(INDEX('HS Codes'!$D$2:$K3064,MATCH($B510,'HS Codes'!$A$2:$A3064,0),MATCH(L$1,'HS Codes'!$D$1:$K$1,0)),"")</f>
        <v>63029120</v>
      </c>
      <c r="M510" s="8" t="str">
        <f>_xlfn.IFNA(INDEX('HS Codes'!$C$2:$C3064,MATCH($B510,'HS Codes'!$A$2:$A3064,0)),"")</f>
        <v>Bath Towel - Toilet Linen 100% recycled 340 GSM/83% polyester/17% polyamide (no cotton)</v>
      </c>
      <c r="N510" s="9"/>
      <c r="O510" s="9"/>
      <c r="P510" s="9"/>
      <c r="Q510" s="9"/>
    </row>
    <row r="511" spans="1:17" ht="15.75" customHeight="1">
      <c r="A511" s="7" t="s">
        <v>800</v>
      </c>
      <c r="B511" s="7" t="s">
        <v>172</v>
      </c>
      <c r="C511" s="7" t="s">
        <v>278</v>
      </c>
      <c r="D511" s="7" t="s">
        <v>173</v>
      </c>
      <c r="E511" s="7" t="s">
        <v>377</v>
      </c>
      <c r="F511" s="8" t="str">
        <f>_xlfn.IFNA(INDEX('HS Codes'!$D$2:$K3065,MATCH($B511,'HS Codes'!$A$2:$A3065,0),MATCH(F$1,'HS Codes'!$D$1:$K$1,0)),"")</f>
        <v>6302.93.2000</v>
      </c>
      <c r="G511" s="8">
        <f>_xlfn.IFNA(INDEX('HS Codes'!$D$2:$K3065,MATCH($B511,'HS Codes'!$A$2:$A3065,0),MATCH(G$1,'HS Codes'!$D$1:$K$1,0)),"")</f>
        <v>6302600090</v>
      </c>
      <c r="H511" s="8" t="str">
        <f>_xlfn.IFNA(INDEX('HS Codes'!$D$2:$K3065,MATCH($B511,'HS Codes'!$A$2:$A3065,0),MATCH(H$1,'HS Codes'!$D$1:$K$1,0)),"")</f>
        <v>6302.93.00.00</v>
      </c>
      <c r="I511" s="8">
        <f>_xlfn.IFNA(INDEX('HS Codes'!$D$2:$K3065,MATCH($B511,'HS Codes'!$A$2:$A3065,0),MATCH(I$1,'HS Codes'!$D$1:$K$1,0)),"")</f>
        <v>6302939000</v>
      </c>
      <c r="J511" s="8">
        <f>_xlfn.IFNA(INDEX('HS Codes'!$D$2:$K3065,MATCH($B511,'HS Codes'!$A$2:$A3065,0),MATCH(J$1,'HS Codes'!$D$1:$K$1,0)),"")</f>
        <v>0</v>
      </c>
      <c r="K511" s="8" t="str">
        <f>_xlfn.IFNA(INDEX('HS Codes'!$D$2:$K3065,MATCH($B511,'HS Codes'!$A$2:$A3065,0),MATCH(K$1,'HS Codes'!$D$1:$K$1,0)),"")</f>
        <v>6302.39.00</v>
      </c>
      <c r="L511" s="8">
        <f>_xlfn.IFNA(INDEX('HS Codes'!$D$2:$K3065,MATCH($B511,'HS Codes'!$A$2:$A3065,0),MATCH(L$1,'HS Codes'!$D$1:$K$1,0)),"")</f>
        <v>63029120</v>
      </c>
      <c r="M511" s="8" t="str">
        <f>_xlfn.IFNA(INDEX('HS Codes'!$C$2:$C3065,MATCH($B511,'HS Codes'!$A$2:$A3065,0)),"")</f>
        <v>Bath Towel - Toilet Linen 100% recycled 340 GSM/83% polyester/17% polyamide (no cotton)</v>
      </c>
      <c r="N511" s="9"/>
      <c r="O511" s="9"/>
      <c r="P511" s="9"/>
      <c r="Q511" s="9"/>
    </row>
    <row r="512" spans="1:17" ht="15.75" customHeight="1">
      <c r="A512" s="7" t="s">
        <v>801</v>
      </c>
      <c r="B512" s="7" t="s">
        <v>172</v>
      </c>
      <c r="C512" s="7" t="s">
        <v>278</v>
      </c>
      <c r="D512" s="7" t="s">
        <v>173</v>
      </c>
      <c r="E512" s="7" t="s">
        <v>377</v>
      </c>
      <c r="F512" s="8" t="str">
        <f>_xlfn.IFNA(INDEX('HS Codes'!$D$2:$K3066,MATCH($B512,'HS Codes'!$A$2:$A3066,0),MATCH(F$1,'HS Codes'!$D$1:$K$1,0)),"")</f>
        <v>6302.93.2000</v>
      </c>
      <c r="G512" s="8">
        <f>_xlfn.IFNA(INDEX('HS Codes'!$D$2:$K3066,MATCH($B512,'HS Codes'!$A$2:$A3066,0),MATCH(G$1,'HS Codes'!$D$1:$K$1,0)),"")</f>
        <v>6302600090</v>
      </c>
      <c r="H512" s="8" t="str">
        <f>_xlfn.IFNA(INDEX('HS Codes'!$D$2:$K3066,MATCH($B512,'HS Codes'!$A$2:$A3066,0),MATCH(H$1,'HS Codes'!$D$1:$K$1,0)),"")</f>
        <v>6302.93.00.00</v>
      </c>
      <c r="I512" s="8">
        <f>_xlfn.IFNA(INDEX('HS Codes'!$D$2:$K3066,MATCH($B512,'HS Codes'!$A$2:$A3066,0),MATCH(I$1,'HS Codes'!$D$1:$K$1,0)),"")</f>
        <v>6302939000</v>
      </c>
      <c r="J512" s="8">
        <f>_xlfn.IFNA(INDEX('HS Codes'!$D$2:$K3066,MATCH($B512,'HS Codes'!$A$2:$A3066,0),MATCH(J$1,'HS Codes'!$D$1:$K$1,0)),"")</f>
        <v>0</v>
      </c>
      <c r="K512" s="8" t="str">
        <f>_xlfn.IFNA(INDEX('HS Codes'!$D$2:$K3066,MATCH($B512,'HS Codes'!$A$2:$A3066,0),MATCH(K$1,'HS Codes'!$D$1:$K$1,0)),"")</f>
        <v>6302.39.00</v>
      </c>
      <c r="L512" s="8">
        <f>_xlfn.IFNA(INDEX('HS Codes'!$D$2:$K3066,MATCH($B512,'HS Codes'!$A$2:$A3066,0),MATCH(L$1,'HS Codes'!$D$1:$K$1,0)),"")</f>
        <v>63029120</v>
      </c>
      <c r="M512" s="8" t="str">
        <f>_xlfn.IFNA(INDEX('HS Codes'!$C$2:$C3066,MATCH($B512,'HS Codes'!$A$2:$A3066,0)),"")</f>
        <v>Bath Towel - Toilet Linen 100% recycled 340 GSM/83% polyester/17% polyamide (no cotton)</v>
      </c>
      <c r="N512" s="9"/>
      <c r="O512" s="9"/>
      <c r="P512" s="9"/>
      <c r="Q512" s="9"/>
    </row>
    <row r="513" spans="1:17" ht="15.75" customHeight="1">
      <c r="A513" s="7" t="s">
        <v>802</v>
      </c>
      <c r="B513" s="7" t="s">
        <v>172</v>
      </c>
      <c r="C513" s="7" t="s">
        <v>278</v>
      </c>
      <c r="D513" s="7" t="s">
        <v>173</v>
      </c>
      <c r="E513" s="7" t="s">
        <v>377</v>
      </c>
      <c r="F513" s="8" t="str">
        <f>_xlfn.IFNA(INDEX('HS Codes'!$D$2:$K3067,MATCH($B513,'HS Codes'!$A$2:$A3067,0),MATCH(F$1,'HS Codes'!$D$1:$K$1,0)),"")</f>
        <v>6302.93.2000</v>
      </c>
      <c r="G513" s="8">
        <f>_xlfn.IFNA(INDEX('HS Codes'!$D$2:$K3067,MATCH($B513,'HS Codes'!$A$2:$A3067,0),MATCH(G$1,'HS Codes'!$D$1:$K$1,0)),"")</f>
        <v>6302600090</v>
      </c>
      <c r="H513" s="8" t="str">
        <f>_xlfn.IFNA(INDEX('HS Codes'!$D$2:$K3067,MATCH($B513,'HS Codes'!$A$2:$A3067,0),MATCH(H$1,'HS Codes'!$D$1:$K$1,0)),"")</f>
        <v>6302.93.00.00</v>
      </c>
      <c r="I513" s="8">
        <f>_xlfn.IFNA(INDEX('HS Codes'!$D$2:$K3067,MATCH($B513,'HS Codes'!$A$2:$A3067,0),MATCH(I$1,'HS Codes'!$D$1:$K$1,0)),"")</f>
        <v>6302939000</v>
      </c>
      <c r="J513" s="8">
        <f>_xlfn.IFNA(INDEX('HS Codes'!$D$2:$K3067,MATCH($B513,'HS Codes'!$A$2:$A3067,0),MATCH(J$1,'HS Codes'!$D$1:$K$1,0)),"")</f>
        <v>0</v>
      </c>
      <c r="K513" s="8" t="str">
        <f>_xlfn.IFNA(INDEX('HS Codes'!$D$2:$K3067,MATCH($B513,'HS Codes'!$A$2:$A3067,0),MATCH(K$1,'HS Codes'!$D$1:$K$1,0)),"")</f>
        <v>6302.39.00</v>
      </c>
      <c r="L513" s="8">
        <f>_xlfn.IFNA(INDEX('HS Codes'!$D$2:$K3067,MATCH($B513,'HS Codes'!$A$2:$A3067,0),MATCH(L$1,'HS Codes'!$D$1:$K$1,0)),"")</f>
        <v>63029120</v>
      </c>
      <c r="M513" s="8" t="str">
        <f>_xlfn.IFNA(INDEX('HS Codes'!$C$2:$C3067,MATCH($B513,'HS Codes'!$A$2:$A3067,0)),"")</f>
        <v>Bath Towel - Toilet Linen 100% recycled 340 GSM/83% polyester/17% polyamide (no cotton)</v>
      </c>
      <c r="N513" s="9"/>
      <c r="O513" s="9"/>
      <c r="P513" s="9"/>
      <c r="Q513" s="9"/>
    </row>
    <row r="514" spans="1:17" ht="15.75" customHeight="1">
      <c r="A514" s="7" t="s">
        <v>803</v>
      </c>
      <c r="B514" s="7" t="s">
        <v>172</v>
      </c>
      <c r="C514" s="7" t="s">
        <v>278</v>
      </c>
      <c r="D514" s="7" t="s">
        <v>173</v>
      </c>
      <c r="E514" s="7" t="s">
        <v>377</v>
      </c>
      <c r="F514" s="8" t="str">
        <f>_xlfn.IFNA(INDEX('HS Codes'!$D$2:$K3068,MATCH($B514,'HS Codes'!$A$2:$A3068,0),MATCH(F$1,'HS Codes'!$D$1:$K$1,0)),"")</f>
        <v>6302.93.2000</v>
      </c>
      <c r="G514" s="8">
        <f>_xlfn.IFNA(INDEX('HS Codes'!$D$2:$K3068,MATCH($B514,'HS Codes'!$A$2:$A3068,0),MATCH(G$1,'HS Codes'!$D$1:$K$1,0)),"")</f>
        <v>6302600090</v>
      </c>
      <c r="H514" s="8" t="str">
        <f>_xlfn.IFNA(INDEX('HS Codes'!$D$2:$K3068,MATCH($B514,'HS Codes'!$A$2:$A3068,0),MATCH(H$1,'HS Codes'!$D$1:$K$1,0)),"")</f>
        <v>6302.93.00.00</v>
      </c>
      <c r="I514" s="8">
        <f>_xlfn.IFNA(INDEX('HS Codes'!$D$2:$K3068,MATCH($B514,'HS Codes'!$A$2:$A3068,0),MATCH(I$1,'HS Codes'!$D$1:$K$1,0)),"")</f>
        <v>6302939000</v>
      </c>
      <c r="J514" s="8">
        <f>_xlfn.IFNA(INDEX('HS Codes'!$D$2:$K3068,MATCH($B514,'HS Codes'!$A$2:$A3068,0),MATCH(J$1,'HS Codes'!$D$1:$K$1,0)),"")</f>
        <v>0</v>
      </c>
      <c r="K514" s="8" t="str">
        <f>_xlfn.IFNA(INDEX('HS Codes'!$D$2:$K3068,MATCH($B514,'HS Codes'!$A$2:$A3068,0),MATCH(K$1,'HS Codes'!$D$1:$K$1,0)),"")</f>
        <v>6302.39.00</v>
      </c>
      <c r="L514" s="8">
        <f>_xlfn.IFNA(INDEX('HS Codes'!$D$2:$K3068,MATCH($B514,'HS Codes'!$A$2:$A3068,0),MATCH(L$1,'HS Codes'!$D$1:$K$1,0)),"")</f>
        <v>63029120</v>
      </c>
      <c r="M514" s="8" t="str">
        <f>_xlfn.IFNA(INDEX('HS Codes'!$C$2:$C3068,MATCH($B514,'HS Codes'!$A$2:$A3068,0)),"")</f>
        <v>Bath Towel - Toilet Linen 100% recycled 340 GSM/83% polyester/17% polyamide (no cotton)</v>
      </c>
      <c r="N514" s="9"/>
      <c r="O514" s="9"/>
      <c r="P514" s="9"/>
      <c r="Q514" s="9"/>
    </row>
    <row r="515" spans="1:17" ht="15.75" customHeight="1">
      <c r="A515" s="7" t="s">
        <v>804</v>
      </c>
      <c r="B515" s="7"/>
      <c r="C515" s="7"/>
      <c r="D515" s="7"/>
      <c r="E515" s="7"/>
      <c r="F515" s="8" t="str">
        <f>_xlfn.IFNA(INDEX('HS Codes'!$D$2:$K3069,MATCH($B515,'HS Codes'!$A$2:$A3069,0),MATCH(F$1,'HS Codes'!$D$1:$K$1,0)),"")</f>
        <v/>
      </c>
      <c r="G515" s="8" t="str">
        <f>_xlfn.IFNA(INDEX('HS Codes'!$D$2:$K3069,MATCH($B515,'HS Codes'!$A$2:$A3069,0),MATCH(G$1,'HS Codes'!$D$1:$K$1,0)),"")</f>
        <v/>
      </c>
      <c r="H515" s="8" t="str">
        <f>_xlfn.IFNA(INDEX('HS Codes'!$D$2:$K3069,MATCH($B515,'HS Codes'!$A$2:$A3069,0),MATCH(H$1,'HS Codes'!$D$1:$K$1,0)),"")</f>
        <v/>
      </c>
      <c r="I515" s="8" t="str">
        <f>_xlfn.IFNA(INDEX('HS Codes'!$D$2:$K3069,MATCH($B515,'HS Codes'!$A$2:$A3069,0),MATCH(I$1,'HS Codes'!$D$1:$K$1,0)),"")</f>
        <v/>
      </c>
      <c r="J515" s="8" t="str">
        <f>_xlfn.IFNA(INDEX('HS Codes'!$D$2:$K3069,MATCH($B515,'HS Codes'!$A$2:$A3069,0),MATCH(J$1,'HS Codes'!$D$1:$K$1,0)),"")</f>
        <v/>
      </c>
      <c r="K515" s="8" t="str">
        <f>_xlfn.IFNA(INDEX('HS Codes'!$D$2:$K3069,MATCH($B515,'HS Codes'!$A$2:$A3069,0),MATCH(K$1,'HS Codes'!$D$1:$K$1,0)),"")</f>
        <v/>
      </c>
      <c r="L515" s="8" t="str">
        <f>_xlfn.IFNA(INDEX('HS Codes'!$D$2:$K3069,MATCH($B515,'HS Codes'!$A$2:$A3069,0),MATCH(L$1,'HS Codes'!$D$1:$K$1,0)),"")</f>
        <v/>
      </c>
      <c r="M515" s="8" t="str">
        <f>_xlfn.IFNA(INDEX('HS Codes'!$C$2:$C3069,MATCH($B515,'HS Codes'!$A$2:$A3069,0)),"")</f>
        <v/>
      </c>
      <c r="N515" s="9"/>
      <c r="O515" s="9"/>
      <c r="P515" s="9"/>
      <c r="Q515" s="9"/>
    </row>
    <row r="516" spans="1:17" ht="15.75" customHeight="1">
      <c r="A516" s="7" t="s">
        <v>805</v>
      </c>
      <c r="B516" s="7" t="s">
        <v>172</v>
      </c>
      <c r="C516" s="7" t="s">
        <v>278</v>
      </c>
      <c r="D516" s="7" t="s">
        <v>173</v>
      </c>
      <c r="E516" s="7" t="s">
        <v>377</v>
      </c>
      <c r="F516" s="8" t="str">
        <f>_xlfn.IFNA(INDEX('HS Codes'!$D$2:$K3070,MATCH($B516,'HS Codes'!$A$2:$A3070,0),MATCH(F$1,'HS Codes'!$D$1:$K$1,0)),"")</f>
        <v>6302.93.2000</v>
      </c>
      <c r="G516" s="8">
        <f>_xlfn.IFNA(INDEX('HS Codes'!$D$2:$K3070,MATCH($B516,'HS Codes'!$A$2:$A3070,0),MATCH(G$1,'HS Codes'!$D$1:$K$1,0)),"")</f>
        <v>6302600090</v>
      </c>
      <c r="H516" s="8" t="str">
        <f>_xlfn.IFNA(INDEX('HS Codes'!$D$2:$K3070,MATCH($B516,'HS Codes'!$A$2:$A3070,0),MATCH(H$1,'HS Codes'!$D$1:$K$1,0)),"")</f>
        <v>6302.93.00.00</v>
      </c>
      <c r="I516" s="8">
        <f>_xlfn.IFNA(INDEX('HS Codes'!$D$2:$K3070,MATCH($B516,'HS Codes'!$A$2:$A3070,0),MATCH(I$1,'HS Codes'!$D$1:$K$1,0)),"")</f>
        <v>6302939000</v>
      </c>
      <c r="J516" s="8">
        <f>_xlfn.IFNA(INDEX('HS Codes'!$D$2:$K3070,MATCH($B516,'HS Codes'!$A$2:$A3070,0),MATCH(J$1,'HS Codes'!$D$1:$K$1,0)),"")</f>
        <v>0</v>
      </c>
      <c r="K516" s="8" t="str">
        <f>_xlfn.IFNA(INDEX('HS Codes'!$D$2:$K3070,MATCH($B516,'HS Codes'!$A$2:$A3070,0),MATCH(K$1,'HS Codes'!$D$1:$K$1,0)),"")</f>
        <v>6302.39.00</v>
      </c>
      <c r="L516" s="8">
        <f>_xlfn.IFNA(INDEX('HS Codes'!$D$2:$K3070,MATCH($B516,'HS Codes'!$A$2:$A3070,0),MATCH(L$1,'HS Codes'!$D$1:$K$1,0)),"")</f>
        <v>63029120</v>
      </c>
      <c r="M516" s="8" t="str">
        <f>_xlfn.IFNA(INDEX('HS Codes'!$C$2:$C3070,MATCH($B516,'HS Codes'!$A$2:$A3070,0)),"")</f>
        <v>Bath Towel - Toilet Linen 100% recycled 340 GSM/83% polyester/17% polyamide (no cotton)</v>
      </c>
      <c r="N516" s="9"/>
      <c r="O516" s="9"/>
      <c r="P516" s="9"/>
      <c r="Q516" s="9"/>
    </row>
    <row r="517" spans="1:17" ht="15.75" customHeight="1">
      <c r="A517" s="7" t="s">
        <v>806</v>
      </c>
      <c r="B517" s="7" t="s">
        <v>172</v>
      </c>
      <c r="C517" s="7" t="s">
        <v>278</v>
      </c>
      <c r="D517" s="7" t="s">
        <v>173</v>
      </c>
      <c r="E517" s="7" t="s">
        <v>377</v>
      </c>
      <c r="F517" s="8" t="str">
        <f>_xlfn.IFNA(INDEX('HS Codes'!$D$2:$K3071,MATCH($B517,'HS Codes'!$A$2:$A3071,0),MATCH(F$1,'HS Codes'!$D$1:$K$1,0)),"")</f>
        <v>6302.93.2000</v>
      </c>
      <c r="G517" s="8">
        <f>_xlfn.IFNA(INDEX('HS Codes'!$D$2:$K3071,MATCH($B517,'HS Codes'!$A$2:$A3071,0),MATCH(G$1,'HS Codes'!$D$1:$K$1,0)),"")</f>
        <v>6302600090</v>
      </c>
      <c r="H517" s="8" t="str">
        <f>_xlfn.IFNA(INDEX('HS Codes'!$D$2:$K3071,MATCH($B517,'HS Codes'!$A$2:$A3071,0),MATCH(H$1,'HS Codes'!$D$1:$K$1,0)),"")</f>
        <v>6302.93.00.00</v>
      </c>
      <c r="I517" s="8">
        <f>_xlfn.IFNA(INDEX('HS Codes'!$D$2:$K3071,MATCH($B517,'HS Codes'!$A$2:$A3071,0),MATCH(I$1,'HS Codes'!$D$1:$K$1,0)),"")</f>
        <v>6302939000</v>
      </c>
      <c r="J517" s="8">
        <f>_xlfn.IFNA(INDEX('HS Codes'!$D$2:$K3071,MATCH($B517,'HS Codes'!$A$2:$A3071,0),MATCH(J$1,'HS Codes'!$D$1:$K$1,0)),"")</f>
        <v>0</v>
      </c>
      <c r="K517" s="8" t="str">
        <f>_xlfn.IFNA(INDEX('HS Codes'!$D$2:$K3071,MATCH($B517,'HS Codes'!$A$2:$A3071,0),MATCH(K$1,'HS Codes'!$D$1:$K$1,0)),"")</f>
        <v>6302.39.00</v>
      </c>
      <c r="L517" s="8">
        <f>_xlfn.IFNA(INDEX('HS Codes'!$D$2:$K3071,MATCH($B517,'HS Codes'!$A$2:$A3071,0),MATCH(L$1,'HS Codes'!$D$1:$K$1,0)),"")</f>
        <v>63029120</v>
      </c>
      <c r="M517" s="8" t="str">
        <f>_xlfn.IFNA(INDEX('HS Codes'!$C$2:$C3071,MATCH($B517,'HS Codes'!$A$2:$A3071,0)),"")</f>
        <v>Bath Towel - Toilet Linen 100% recycled 340 GSM/83% polyester/17% polyamide (no cotton)</v>
      </c>
      <c r="N517" s="9"/>
      <c r="O517" s="9"/>
      <c r="P517" s="9"/>
      <c r="Q517" s="9"/>
    </row>
    <row r="518" spans="1:17" ht="15.75" customHeight="1">
      <c r="A518" s="7" t="s">
        <v>807</v>
      </c>
      <c r="B518" s="7" t="s">
        <v>172</v>
      </c>
      <c r="C518" s="7" t="s">
        <v>278</v>
      </c>
      <c r="D518" s="7" t="s">
        <v>173</v>
      </c>
      <c r="E518" s="7" t="s">
        <v>377</v>
      </c>
      <c r="F518" s="8" t="str">
        <f>_xlfn.IFNA(INDEX('HS Codes'!$D$2:$K3072,MATCH($B518,'HS Codes'!$A$2:$A3072,0),MATCH(F$1,'HS Codes'!$D$1:$K$1,0)),"")</f>
        <v>6302.93.2000</v>
      </c>
      <c r="G518" s="8">
        <f>_xlfn.IFNA(INDEX('HS Codes'!$D$2:$K3072,MATCH($B518,'HS Codes'!$A$2:$A3072,0),MATCH(G$1,'HS Codes'!$D$1:$K$1,0)),"")</f>
        <v>6302600090</v>
      </c>
      <c r="H518" s="8" t="str">
        <f>_xlfn.IFNA(INDEX('HS Codes'!$D$2:$K3072,MATCH($B518,'HS Codes'!$A$2:$A3072,0),MATCH(H$1,'HS Codes'!$D$1:$K$1,0)),"")</f>
        <v>6302.93.00.00</v>
      </c>
      <c r="I518" s="8">
        <f>_xlfn.IFNA(INDEX('HS Codes'!$D$2:$K3072,MATCH($B518,'HS Codes'!$A$2:$A3072,0),MATCH(I$1,'HS Codes'!$D$1:$K$1,0)),"")</f>
        <v>6302939000</v>
      </c>
      <c r="J518" s="8">
        <f>_xlfn.IFNA(INDEX('HS Codes'!$D$2:$K3072,MATCH($B518,'HS Codes'!$A$2:$A3072,0),MATCH(J$1,'HS Codes'!$D$1:$K$1,0)),"")</f>
        <v>0</v>
      </c>
      <c r="K518" s="8" t="str">
        <f>_xlfn.IFNA(INDEX('HS Codes'!$D$2:$K3072,MATCH($B518,'HS Codes'!$A$2:$A3072,0),MATCH(K$1,'HS Codes'!$D$1:$K$1,0)),"")</f>
        <v>6302.39.00</v>
      </c>
      <c r="L518" s="8">
        <f>_xlfn.IFNA(INDEX('HS Codes'!$D$2:$K3072,MATCH($B518,'HS Codes'!$A$2:$A3072,0),MATCH(L$1,'HS Codes'!$D$1:$K$1,0)),"")</f>
        <v>63029120</v>
      </c>
      <c r="M518" s="8" t="str">
        <f>_xlfn.IFNA(INDEX('HS Codes'!$C$2:$C3072,MATCH($B518,'HS Codes'!$A$2:$A3072,0)),"")</f>
        <v>Bath Towel - Toilet Linen 100% recycled 340 GSM/83% polyester/17% polyamide (no cotton)</v>
      </c>
      <c r="N518" s="9"/>
      <c r="O518" s="9"/>
      <c r="P518" s="9"/>
      <c r="Q518" s="9"/>
    </row>
    <row r="519" spans="1:17" ht="15.75" customHeight="1">
      <c r="A519" s="7" t="s">
        <v>808</v>
      </c>
      <c r="B519" s="7"/>
      <c r="C519" s="7"/>
      <c r="D519" s="7"/>
      <c r="E519" s="7"/>
      <c r="F519" s="8" t="str">
        <f>_xlfn.IFNA(INDEX('HS Codes'!$D$2:$K3073,MATCH($B519,'HS Codes'!$A$2:$A3073,0),MATCH(F$1,'HS Codes'!$D$1:$K$1,0)),"")</f>
        <v/>
      </c>
      <c r="G519" s="8" t="str">
        <f>_xlfn.IFNA(INDEX('HS Codes'!$D$2:$K3073,MATCH($B519,'HS Codes'!$A$2:$A3073,0),MATCH(G$1,'HS Codes'!$D$1:$K$1,0)),"")</f>
        <v/>
      </c>
      <c r="H519" s="8" t="str">
        <f>_xlfn.IFNA(INDEX('HS Codes'!$D$2:$K3073,MATCH($B519,'HS Codes'!$A$2:$A3073,0),MATCH(H$1,'HS Codes'!$D$1:$K$1,0)),"")</f>
        <v/>
      </c>
      <c r="I519" s="8" t="str">
        <f>_xlfn.IFNA(INDEX('HS Codes'!$D$2:$K3073,MATCH($B519,'HS Codes'!$A$2:$A3073,0),MATCH(I$1,'HS Codes'!$D$1:$K$1,0)),"")</f>
        <v/>
      </c>
      <c r="J519" s="8" t="str">
        <f>_xlfn.IFNA(INDEX('HS Codes'!$D$2:$K3073,MATCH($B519,'HS Codes'!$A$2:$A3073,0),MATCH(J$1,'HS Codes'!$D$1:$K$1,0)),"")</f>
        <v/>
      </c>
      <c r="K519" s="8" t="str">
        <f>_xlfn.IFNA(INDEX('HS Codes'!$D$2:$K3073,MATCH($B519,'HS Codes'!$A$2:$A3073,0),MATCH(K$1,'HS Codes'!$D$1:$K$1,0)),"")</f>
        <v/>
      </c>
      <c r="L519" s="8" t="str">
        <f>_xlfn.IFNA(INDEX('HS Codes'!$D$2:$K3073,MATCH($B519,'HS Codes'!$A$2:$A3073,0),MATCH(L$1,'HS Codes'!$D$1:$K$1,0)),"")</f>
        <v/>
      </c>
      <c r="M519" s="8" t="str">
        <f>_xlfn.IFNA(INDEX('HS Codes'!$C$2:$C3073,MATCH($B519,'HS Codes'!$A$2:$A3073,0)),"")</f>
        <v/>
      </c>
      <c r="N519" s="9"/>
      <c r="O519" s="9"/>
      <c r="P519" s="9"/>
      <c r="Q519" s="9"/>
    </row>
    <row r="520" spans="1:17" ht="15.75" customHeight="1">
      <c r="A520" s="7" t="s">
        <v>809</v>
      </c>
      <c r="B520" s="7" t="s">
        <v>172</v>
      </c>
      <c r="C520" s="7" t="s">
        <v>278</v>
      </c>
      <c r="D520" s="7" t="s">
        <v>173</v>
      </c>
      <c r="E520" s="7" t="s">
        <v>377</v>
      </c>
      <c r="F520" s="8" t="str">
        <f>_xlfn.IFNA(INDEX('HS Codes'!$D$2:$K3074,MATCH($B520,'HS Codes'!$A$2:$A3074,0),MATCH(F$1,'HS Codes'!$D$1:$K$1,0)),"")</f>
        <v>6302.93.2000</v>
      </c>
      <c r="G520" s="8">
        <f>_xlfn.IFNA(INDEX('HS Codes'!$D$2:$K3074,MATCH($B520,'HS Codes'!$A$2:$A3074,0),MATCH(G$1,'HS Codes'!$D$1:$K$1,0)),"")</f>
        <v>6302600090</v>
      </c>
      <c r="H520" s="8" t="str">
        <f>_xlfn.IFNA(INDEX('HS Codes'!$D$2:$K3074,MATCH($B520,'HS Codes'!$A$2:$A3074,0),MATCH(H$1,'HS Codes'!$D$1:$K$1,0)),"")</f>
        <v>6302.93.00.00</v>
      </c>
      <c r="I520" s="8">
        <f>_xlfn.IFNA(INDEX('HS Codes'!$D$2:$K3074,MATCH($B520,'HS Codes'!$A$2:$A3074,0),MATCH(I$1,'HS Codes'!$D$1:$K$1,0)),"")</f>
        <v>6302939000</v>
      </c>
      <c r="J520" s="8">
        <f>_xlfn.IFNA(INDEX('HS Codes'!$D$2:$K3074,MATCH($B520,'HS Codes'!$A$2:$A3074,0),MATCH(J$1,'HS Codes'!$D$1:$K$1,0)),"")</f>
        <v>0</v>
      </c>
      <c r="K520" s="8" t="str">
        <f>_xlfn.IFNA(INDEX('HS Codes'!$D$2:$K3074,MATCH($B520,'HS Codes'!$A$2:$A3074,0),MATCH(K$1,'HS Codes'!$D$1:$K$1,0)),"")</f>
        <v>6302.39.00</v>
      </c>
      <c r="L520" s="8">
        <f>_xlfn.IFNA(INDEX('HS Codes'!$D$2:$K3074,MATCH($B520,'HS Codes'!$A$2:$A3074,0),MATCH(L$1,'HS Codes'!$D$1:$K$1,0)),"")</f>
        <v>63029120</v>
      </c>
      <c r="M520" s="8" t="str">
        <f>_xlfn.IFNA(INDEX('HS Codes'!$C$2:$C3074,MATCH($B520,'HS Codes'!$A$2:$A3074,0)),"")</f>
        <v>Bath Towel - Toilet Linen 100% recycled 340 GSM/83% polyester/17% polyamide (no cotton)</v>
      </c>
      <c r="N520" s="9"/>
      <c r="O520" s="9"/>
      <c r="P520" s="9"/>
      <c r="Q520" s="9"/>
    </row>
    <row r="521" spans="1:17" ht="15.75" customHeight="1">
      <c r="A521" s="7" t="s">
        <v>810</v>
      </c>
      <c r="B521" s="7" t="s">
        <v>172</v>
      </c>
      <c r="C521" s="7" t="s">
        <v>278</v>
      </c>
      <c r="D521" s="7" t="s">
        <v>173</v>
      </c>
      <c r="E521" s="7" t="s">
        <v>377</v>
      </c>
      <c r="F521" s="8" t="str">
        <f>_xlfn.IFNA(INDEX('HS Codes'!$D$2:$K3075,MATCH($B521,'HS Codes'!$A$2:$A3075,0),MATCH(F$1,'HS Codes'!$D$1:$K$1,0)),"")</f>
        <v>6302.93.2000</v>
      </c>
      <c r="G521" s="8">
        <f>_xlfn.IFNA(INDEX('HS Codes'!$D$2:$K3075,MATCH($B521,'HS Codes'!$A$2:$A3075,0),MATCH(G$1,'HS Codes'!$D$1:$K$1,0)),"")</f>
        <v>6302600090</v>
      </c>
      <c r="H521" s="8" t="str">
        <f>_xlfn.IFNA(INDEX('HS Codes'!$D$2:$K3075,MATCH($B521,'HS Codes'!$A$2:$A3075,0),MATCH(H$1,'HS Codes'!$D$1:$K$1,0)),"")</f>
        <v>6302.93.00.00</v>
      </c>
      <c r="I521" s="8">
        <f>_xlfn.IFNA(INDEX('HS Codes'!$D$2:$K3075,MATCH($B521,'HS Codes'!$A$2:$A3075,0),MATCH(I$1,'HS Codes'!$D$1:$K$1,0)),"")</f>
        <v>6302939000</v>
      </c>
      <c r="J521" s="8">
        <f>_xlfn.IFNA(INDEX('HS Codes'!$D$2:$K3075,MATCH($B521,'HS Codes'!$A$2:$A3075,0),MATCH(J$1,'HS Codes'!$D$1:$K$1,0)),"")</f>
        <v>0</v>
      </c>
      <c r="K521" s="8" t="str">
        <f>_xlfn.IFNA(INDEX('HS Codes'!$D$2:$K3075,MATCH($B521,'HS Codes'!$A$2:$A3075,0),MATCH(K$1,'HS Codes'!$D$1:$K$1,0)),"")</f>
        <v>6302.39.00</v>
      </c>
      <c r="L521" s="8">
        <f>_xlfn.IFNA(INDEX('HS Codes'!$D$2:$K3075,MATCH($B521,'HS Codes'!$A$2:$A3075,0),MATCH(L$1,'HS Codes'!$D$1:$K$1,0)),"")</f>
        <v>63029120</v>
      </c>
      <c r="M521" s="8" t="str">
        <f>_xlfn.IFNA(INDEX('HS Codes'!$C$2:$C3075,MATCH($B521,'HS Codes'!$A$2:$A3075,0)),"")</f>
        <v>Bath Towel - Toilet Linen 100% recycled 340 GSM/83% polyester/17% polyamide (no cotton)</v>
      </c>
      <c r="N521" s="9"/>
      <c r="O521" s="9"/>
      <c r="P521" s="9"/>
      <c r="Q521" s="9"/>
    </row>
    <row r="522" spans="1:17" ht="15.75" customHeight="1">
      <c r="A522" s="7" t="s">
        <v>811</v>
      </c>
      <c r="B522" s="7" t="s">
        <v>172</v>
      </c>
      <c r="C522" s="7" t="s">
        <v>278</v>
      </c>
      <c r="D522" s="7" t="s">
        <v>173</v>
      </c>
      <c r="E522" s="7" t="s">
        <v>377</v>
      </c>
      <c r="F522" s="8" t="str">
        <f>_xlfn.IFNA(INDEX('HS Codes'!$D$2:$K3076,MATCH($B522,'HS Codes'!$A$2:$A3076,0),MATCH(F$1,'HS Codes'!$D$1:$K$1,0)),"")</f>
        <v>6302.93.2000</v>
      </c>
      <c r="G522" s="8">
        <f>_xlfn.IFNA(INDEX('HS Codes'!$D$2:$K3076,MATCH($B522,'HS Codes'!$A$2:$A3076,0),MATCH(G$1,'HS Codes'!$D$1:$K$1,0)),"")</f>
        <v>6302600090</v>
      </c>
      <c r="H522" s="8" t="str">
        <f>_xlfn.IFNA(INDEX('HS Codes'!$D$2:$K3076,MATCH($B522,'HS Codes'!$A$2:$A3076,0),MATCH(H$1,'HS Codes'!$D$1:$K$1,0)),"")</f>
        <v>6302.93.00.00</v>
      </c>
      <c r="I522" s="8">
        <f>_xlfn.IFNA(INDEX('HS Codes'!$D$2:$K3076,MATCH($B522,'HS Codes'!$A$2:$A3076,0),MATCH(I$1,'HS Codes'!$D$1:$K$1,0)),"")</f>
        <v>6302939000</v>
      </c>
      <c r="J522" s="8">
        <f>_xlfn.IFNA(INDEX('HS Codes'!$D$2:$K3076,MATCH($B522,'HS Codes'!$A$2:$A3076,0),MATCH(J$1,'HS Codes'!$D$1:$K$1,0)),"")</f>
        <v>0</v>
      </c>
      <c r="K522" s="8" t="str">
        <f>_xlfn.IFNA(INDEX('HS Codes'!$D$2:$K3076,MATCH($B522,'HS Codes'!$A$2:$A3076,0),MATCH(K$1,'HS Codes'!$D$1:$K$1,0)),"")</f>
        <v>6302.39.00</v>
      </c>
      <c r="L522" s="8">
        <f>_xlfn.IFNA(INDEX('HS Codes'!$D$2:$K3076,MATCH($B522,'HS Codes'!$A$2:$A3076,0),MATCH(L$1,'HS Codes'!$D$1:$K$1,0)),"")</f>
        <v>63029120</v>
      </c>
      <c r="M522" s="8" t="str">
        <f>_xlfn.IFNA(INDEX('HS Codes'!$C$2:$C3076,MATCH($B522,'HS Codes'!$A$2:$A3076,0)),"")</f>
        <v>Bath Towel - Toilet Linen 100% recycled 340 GSM/83% polyester/17% polyamide (no cotton)</v>
      </c>
      <c r="N522" s="9"/>
      <c r="O522" s="9"/>
      <c r="P522" s="9"/>
      <c r="Q522" s="9"/>
    </row>
    <row r="523" spans="1:17" ht="15.75" customHeight="1">
      <c r="A523" s="7" t="s">
        <v>812</v>
      </c>
      <c r="B523" s="7" t="s">
        <v>172</v>
      </c>
      <c r="C523" s="7" t="s">
        <v>278</v>
      </c>
      <c r="D523" s="7" t="s">
        <v>173</v>
      </c>
      <c r="E523" s="7" t="s">
        <v>377</v>
      </c>
      <c r="F523" s="8" t="str">
        <f>_xlfn.IFNA(INDEX('HS Codes'!$D$2:$K3077,MATCH($B523,'HS Codes'!$A$2:$A3077,0),MATCH(F$1,'HS Codes'!$D$1:$K$1,0)),"")</f>
        <v>6302.93.2000</v>
      </c>
      <c r="G523" s="8">
        <f>_xlfn.IFNA(INDEX('HS Codes'!$D$2:$K3077,MATCH($B523,'HS Codes'!$A$2:$A3077,0),MATCH(G$1,'HS Codes'!$D$1:$K$1,0)),"")</f>
        <v>6302600090</v>
      </c>
      <c r="H523" s="8" t="str">
        <f>_xlfn.IFNA(INDEX('HS Codes'!$D$2:$K3077,MATCH($B523,'HS Codes'!$A$2:$A3077,0),MATCH(H$1,'HS Codes'!$D$1:$K$1,0)),"")</f>
        <v>6302.93.00.00</v>
      </c>
      <c r="I523" s="8">
        <f>_xlfn.IFNA(INDEX('HS Codes'!$D$2:$K3077,MATCH($B523,'HS Codes'!$A$2:$A3077,0),MATCH(I$1,'HS Codes'!$D$1:$K$1,0)),"")</f>
        <v>6302939000</v>
      </c>
      <c r="J523" s="8">
        <f>_xlfn.IFNA(INDEX('HS Codes'!$D$2:$K3077,MATCH($B523,'HS Codes'!$A$2:$A3077,0),MATCH(J$1,'HS Codes'!$D$1:$K$1,0)),"")</f>
        <v>0</v>
      </c>
      <c r="K523" s="8" t="str">
        <f>_xlfn.IFNA(INDEX('HS Codes'!$D$2:$K3077,MATCH($B523,'HS Codes'!$A$2:$A3077,0),MATCH(K$1,'HS Codes'!$D$1:$K$1,0)),"")</f>
        <v>6302.39.00</v>
      </c>
      <c r="L523" s="8">
        <f>_xlfn.IFNA(INDEX('HS Codes'!$D$2:$K3077,MATCH($B523,'HS Codes'!$A$2:$A3077,0),MATCH(L$1,'HS Codes'!$D$1:$K$1,0)),"")</f>
        <v>63029120</v>
      </c>
      <c r="M523" s="8" t="str">
        <f>_xlfn.IFNA(INDEX('HS Codes'!$C$2:$C3077,MATCH($B523,'HS Codes'!$A$2:$A3077,0)),"")</f>
        <v>Bath Towel - Toilet Linen 100% recycled 340 GSM/83% polyester/17% polyamide (no cotton)</v>
      </c>
      <c r="N523" s="9"/>
      <c r="O523" s="9"/>
      <c r="P523" s="9"/>
      <c r="Q523" s="9"/>
    </row>
    <row r="524" spans="1:17" ht="15.75" customHeight="1">
      <c r="A524" s="7" t="s">
        <v>813</v>
      </c>
      <c r="B524" s="7"/>
      <c r="C524" s="7"/>
      <c r="D524" s="7"/>
      <c r="E524" s="7"/>
      <c r="F524" s="8" t="str">
        <f>_xlfn.IFNA(INDEX('HS Codes'!$D$2:$K3078,MATCH($B524,'HS Codes'!$A$2:$A3078,0),MATCH(F$1,'HS Codes'!$D$1:$K$1,0)),"")</f>
        <v/>
      </c>
      <c r="G524" s="8" t="str">
        <f>_xlfn.IFNA(INDEX('HS Codes'!$D$2:$K3078,MATCH($B524,'HS Codes'!$A$2:$A3078,0),MATCH(G$1,'HS Codes'!$D$1:$K$1,0)),"")</f>
        <v/>
      </c>
      <c r="H524" s="8" t="str">
        <f>_xlfn.IFNA(INDEX('HS Codes'!$D$2:$K3078,MATCH($B524,'HS Codes'!$A$2:$A3078,0),MATCH(H$1,'HS Codes'!$D$1:$K$1,0)),"")</f>
        <v/>
      </c>
      <c r="I524" s="8" t="str">
        <f>_xlfn.IFNA(INDEX('HS Codes'!$D$2:$K3078,MATCH($B524,'HS Codes'!$A$2:$A3078,0),MATCH(I$1,'HS Codes'!$D$1:$K$1,0)),"")</f>
        <v/>
      </c>
      <c r="J524" s="8" t="str">
        <f>_xlfn.IFNA(INDEX('HS Codes'!$D$2:$K3078,MATCH($B524,'HS Codes'!$A$2:$A3078,0),MATCH(J$1,'HS Codes'!$D$1:$K$1,0)),"")</f>
        <v/>
      </c>
      <c r="K524" s="8" t="str">
        <f>_xlfn.IFNA(INDEX('HS Codes'!$D$2:$K3078,MATCH($B524,'HS Codes'!$A$2:$A3078,0),MATCH(K$1,'HS Codes'!$D$1:$K$1,0)),"")</f>
        <v/>
      </c>
      <c r="L524" s="8" t="str">
        <f>_xlfn.IFNA(INDEX('HS Codes'!$D$2:$K3078,MATCH($B524,'HS Codes'!$A$2:$A3078,0),MATCH(L$1,'HS Codes'!$D$1:$K$1,0)),"")</f>
        <v/>
      </c>
      <c r="M524" s="8" t="str">
        <f>_xlfn.IFNA(INDEX('HS Codes'!$C$2:$C3078,MATCH($B524,'HS Codes'!$A$2:$A3078,0)),"")</f>
        <v/>
      </c>
      <c r="N524" s="9"/>
      <c r="O524" s="9"/>
      <c r="P524" s="9"/>
      <c r="Q524" s="9"/>
    </row>
    <row r="525" spans="1:17" ht="15.75" customHeight="1">
      <c r="A525" s="7" t="s">
        <v>814</v>
      </c>
      <c r="B525" s="7" t="s">
        <v>172</v>
      </c>
      <c r="C525" s="7" t="s">
        <v>278</v>
      </c>
      <c r="D525" s="7" t="s">
        <v>173</v>
      </c>
      <c r="E525" s="7" t="s">
        <v>377</v>
      </c>
      <c r="F525" s="8" t="str">
        <f>_xlfn.IFNA(INDEX('HS Codes'!$D$2:$K3079,MATCH($B525,'HS Codes'!$A$2:$A3079,0),MATCH(F$1,'HS Codes'!$D$1:$K$1,0)),"")</f>
        <v>6302.93.2000</v>
      </c>
      <c r="G525" s="8">
        <f>_xlfn.IFNA(INDEX('HS Codes'!$D$2:$K3079,MATCH($B525,'HS Codes'!$A$2:$A3079,0),MATCH(G$1,'HS Codes'!$D$1:$K$1,0)),"")</f>
        <v>6302600090</v>
      </c>
      <c r="H525" s="8" t="str">
        <f>_xlfn.IFNA(INDEX('HS Codes'!$D$2:$K3079,MATCH($B525,'HS Codes'!$A$2:$A3079,0),MATCH(H$1,'HS Codes'!$D$1:$K$1,0)),"")</f>
        <v>6302.93.00.00</v>
      </c>
      <c r="I525" s="8">
        <f>_xlfn.IFNA(INDEX('HS Codes'!$D$2:$K3079,MATCH($B525,'HS Codes'!$A$2:$A3079,0),MATCH(I$1,'HS Codes'!$D$1:$K$1,0)),"")</f>
        <v>6302939000</v>
      </c>
      <c r="J525" s="8">
        <f>_xlfn.IFNA(INDEX('HS Codes'!$D$2:$K3079,MATCH($B525,'HS Codes'!$A$2:$A3079,0),MATCH(J$1,'HS Codes'!$D$1:$K$1,0)),"")</f>
        <v>0</v>
      </c>
      <c r="K525" s="8" t="str">
        <f>_xlfn.IFNA(INDEX('HS Codes'!$D$2:$K3079,MATCH($B525,'HS Codes'!$A$2:$A3079,0),MATCH(K$1,'HS Codes'!$D$1:$K$1,0)),"")</f>
        <v>6302.39.00</v>
      </c>
      <c r="L525" s="8">
        <f>_xlfn.IFNA(INDEX('HS Codes'!$D$2:$K3079,MATCH($B525,'HS Codes'!$A$2:$A3079,0),MATCH(L$1,'HS Codes'!$D$1:$K$1,0)),"")</f>
        <v>63029120</v>
      </c>
      <c r="M525" s="8" t="str">
        <f>_xlfn.IFNA(INDEX('HS Codes'!$C$2:$C3079,MATCH($B525,'HS Codes'!$A$2:$A3079,0)),"")</f>
        <v>Bath Towel - Toilet Linen 100% recycled 340 GSM/83% polyester/17% polyamide (no cotton)</v>
      </c>
      <c r="N525" s="9"/>
      <c r="O525" s="9"/>
      <c r="P525" s="9"/>
      <c r="Q525" s="9"/>
    </row>
    <row r="526" spans="1:17" ht="15.75" customHeight="1">
      <c r="A526" s="7" t="s">
        <v>815</v>
      </c>
      <c r="B526" s="7" t="s">
        <v>172</v>
      </c>
      <c r="C526" s="7" t="s">
        <v>278</v>
      </c>
      <c r="D526" s="7" t="s">
        <v>173</v>
      </c>
      <c r="E526" s="7" t="s">
        <v>377</v>
      </c>
      <c r="F526" s="8" t="str">
        <f>_xlfn.IFNA(INDEX('HS Codes'!$D$2:$K3080,MATCH($B526,'HS Codes'!$A$2:$A3080,0),MATCH(F$1,'HS Codes'!$D$1:$K$1,0)),"")</f>
        <v>6302.93.2000</v>
      </c>
      <c r="G526" s="8">
        <f>_xlfn.IFNA(INDEX('HS Codes'!$D$2:$K3080,MATCH($B526,'HS Codes'!$A$2:$A3080,0),MATCH(G$1,'HS Codes'!$D$1:$K$1,0)),"")</f>
        <v>6302600090</v>
      </c>
      <c r="H526" s="8" t="str">
        <f>_xlfn.IFNA(INDEX('HS Codes'!$D$2:$K3080,MATCH($B526,'HS Codes'!$A$2:$A3080,0),MATCH(H$1,'HS Codes'!$D$1:$K$1,0)),"")</f>
        <v>6302.93.00.00</v>
      </c>
      <c r="I526" s="8">
        <f>_xlfn.IFNA(INDEX('HS Codes'!$D$2:$K3080,MATCH($B526,'HS Codes'!$A$2:$A3080,0),MATCH(I$1,'HS Codes'!$D$1:$K$1,0)),"")</f>
        <v>6302939000</v>
      </c>
      <c r="J526" s="8">
        <f>_xlfn.IFNA(INDEX('HS Codes'!$D$2:$K3080,MATCH($B526,'HS Codes'!$A$2:$A3080,0),MATCH(J$1,'HS Codes'!$D$1:$K$1,0)),"")</f>
        <v>0</v>
      </c>
      <c r="K526" s="8" t="str">
        <f>_xlfn.IFNA(INDEX('HS Codes'!$D$2:$K3080,MATCH($B526,'HS Codes'!$A$2:$A3080,0),MATCH(K$1,'HS Codes'!$D$1:$K$1,0)),"")</f>
        <v>6302.39.00</v>
      </c>
      <c r="L526" s="8">
        <f>_xlfn.IFNA(INDEX('HS Codes'!$D$2:$K3080,MATCH($B526,'HS Codes'!$A$2:$A3080,0),MATCH(L$1,'HS Codes'!$D$1:$K$1,0)),"")</f>
        <v>63029120</v>
      </c>
      <c r="M526" s="8" t="str">
        <f>_xlfn.IFNA(INDEX('HS Codes'!$C$2:$C3080,MATCH($B526,'HS Codes'!$A$2:$A3080,0)),"")</f>
        <v>Bath Towel - Toilet Linen 100% recycled 340 GSM/83% polyester/17% polyamide (no cotton)</v>
      </c>
      <c r="N526" s="9"/>
      <c r="O526" s="9"/>
      <c r="P526" s="9"/>
      <c r="Q526" s="9"/>
    </row>
    <row r="527" spans="1:17" ht="15.75" customHeight="1">
      <c r="A527" s="7" t="s">
        <v>816</v>
      </c>
      <c r="B527" s="7" t="s">
        <v>172</v>
      </c>
      <c r="C527" s="7" t="s">
        <v>278</v>
      </c>
      <c r="D527" s="7" t="s">
        <v>173</v>
      </c>
      <c r="E527" s="7" t="s">
        <v>377</v>
      </c>
      <c r="F527" s="8" t="str">
        <f>_xlfn.IFNA(INDEX('HS Codes'!$D$2:$K3081,MATCH($B527,'HS Codes'!$A$2:$A3081,0),MATCH(F$1,'HS Codes'!$D$1:$K$1,0)),"")</f>
        <v>6302.93.2000</v>
      </c>
      <c r="G527" s="8">
        <f>_xlfn.IFNA(INDEX('HS Codes'!$D$2:$K3081,MATCH($B527,'HS Codes'!$A$2:$A3081,0),MATCH(G$1,'HS Codes'!$D$1:$K$1,0)),"")</f>
        <v>6302600090</v>
      </c>
      <c r="H527" s="8" t="str">
        <f>_xlfn.IFNA(INDEX('HS Codes'!$D$2:$K3081,MATCH($B527,'HS Codes'!$A$2:$A3081,0),MATCH(H$1,'HS Codes'!$D$1:$K$1,0)),"")</f>
        <v>6302.93.00.00</v>
      </c>
      <c r="I527" s="8">
        <f>_xlfn.IFNA(INDEX('HS Codes'!$D$2:$K3081,MATCH($B527,'HS Codes'!$A$2:$A3081,0),MATCH(I$1,'HS Codes'!$D$1:$K$1,0)),"")</f>
        <v>6302939000</v>
      </c>
      <c r="J527" s="8">
        <f>_xlfn.IFNA(INDEX('HS Codes'!$D$2:$K3081,MATCH($B527,'HS Codes'!$A$2:$A3081,0),MATCH(J$1,'HS Codes'!$D$1:$K$1,0)),"")</f>
        <v>0</v>
      </c>
      <c r="K527" s="8" t="str">
        <f>_xlfn.IFNA(INDEX('HS Codes'!$D$2:$K3081,MATCH($B527,'HS Codes'!$A$2:$A3081,0),MATCH(K$1,'HS Codes'!$D$1:$K$1,0)),"")</f>
        <v>6302.39.00</v>
      </c>
      <c r="L527" s="8">
        <f>_xlfn.IFNA(INDEX('HS Codes'!$D$2:$K3081,MATCH($B527,'HS Codes'!$A$2:$A3081,0),MATCH(L$1,'HS Codes'!$D$1:$K$1,0)),"")</f>
        <v>63029120</v>
      </c>
      <c r="M527" s="8" t="str">
        <f>_xlfn.IFNA(INDEX('HS Codes'!$C$2:$C3081,MATCH($B527,'HS Codes'!$A$2:$A3081,0)),"")</f>
        <v>Bath Towel - Toilet Linen 100% recycled 340 GSM/83% polyester/17% polyamide (no cotton)</v>
      </c>
      <c r="N527" s="9"/>
      <c r="O527" s="9"/>
      <c r="P527" s="9"/>
      <c r="Q527" s="9"/>
    </row>
    <row r="528" spans="1:17" ht="15.75" customHeight="1">
      <c r="A528" s="7" t="s">
        <v>817</v>
      </c>
      <c r="B528" s="7" t="s">
        <v>172</v>
      </c>
      <c r="C528" s="7" t="s">
        <v>278</v>
      </c>
      <c r="D528" s="7" t="s">
        <v>173</v>
      </c>
      <c r="E528" s="7" t="s">
        <v>377</v>
      </c>
      <c r="F528" s="8" t="str">
        <f>_xlfn.IFNA(INDEX('HS Codes'!$D$2:$K3082,MATCH($B528,'HS Codes'!$A$2:$A3082,0),MATCH(F$1,'HS Codes'!$D$1:$K$1,0)),"")</f>
        <v>6302.93.2000</v>
      </c>
      <c r="G528" s="8">
        <f>_xlfn.IFNA(INDEX('HS Codes'!$D$2:$K3082,MATCH($B528,'HS Codes'!$A$2:$A3082,0),MATCH(G$1,'HS Codes'!$D$1:$K$1,0)),"")</f>
        <v>6302600090</v>
      </c>
      <c r="H528" s="8" t="str">
        <f>_xlfn.IFNA(INDEX('HS Codes'!$D$2:$K3082,MATCH($B528,'HS Codes'!$A$2:$A3082,0),MATCH(H$1,'HS Codes'!$D$1:$K$1,0)),"")</f>
        <v>6302.93.00.00</v>
      </c>
      <c r="I528" s="8">
        <f>_xlfn.IFNA(INDEX('HS Codes'!$D$2:$K3082,MATCH($B528,'HS Codes'!$A$2:$A3082,0),MATCH(I$1,'HS Codes'!$D$1:$K$1,0)),"")</f>
        <v>6302939000</v>
      </c>
      <c r="J528" s="8">
        <f>_xlfn.IFNA(INDEX('HS Codes'!$D$2:$K3082,MATCH($B528,'HS Codes'!$A$2:$A3082,0),MATCH(J$1,'HS Codes'!$D$1:$K$1,0)),"")</f>
        <v>0</v>
      </c>
      <c r="K528" s="8" t="str">
        <f>_xlfn.IFNA(INDEX('HS Codes'!$D$2:$K3082,MATCH($B528,'HS Codes'!$A$2:$A3082,0),MATCH(K$1,'HS Codes'!$D$1:$K$1,0)),"")</f>
        <v>6302.39.00</v>
      </c>
      <c r="L528" s="8">
        <f>_xlfn.IFNA(INDEX('HS Codes'!$D$2:$K3082,MATCH($B528,'HS Codes'!$A$2:$A3082,0),MATCH(L$1,'HS Codes'!$D$1:$K$1,0)),"")</f>
        <v>63029120</v>
      </c>
      <c r="M528" s="8" t="str">
        <f>_xlfn.IFNA(INDEX('HS Codes'!$C$2:$C3082,MATCH($B528,'HS Codes'!$A$2:$A3082,0)),"")</f>
        <v>Bath Towel - Toilet Linen 100% recycled 340 GSM/83% polyester/17% polyamide (no cotton)</v>
      </c>
      <c r="N528" s="9"/>
      <c r="O528" s="9"/>
      <c r="P528" s="9"/>
      <c r="Q528" s="9"/>
    </row>
    <row r="529" spans="1:17" ht="15.75" customHeight="1">
      <c r="A529" s="7" t="s">
        <v>818</v>
      </c>
      <c r="B529" s="7" t="s">
        <v>172</v>
      </c>
      <c r="C529" s="7" t="s">
        <v>278</v>
      </c>
      <c r="D529" s="7" t="s">
        <v>173</v>
      </c>
      <c r="E529" s="7" t="s">
        <v>377</v>
      </c>
      <c r="F529" s="8" t="str">
        <f>_xlfn.IFNA(INDEX('HS Codes'!$D$2:$K3083,MATCH($B529,'HS Codes'!$A$2:$A3083,0),MATCH(F$1,'HS Codes'!$D$1:$K$1,0)),"")</f>
        <v>6302.93.2000</v>
      </c>
      <c r="G529" s="8">
        <f>_xlfn.IFNA(INDEX('HS Codes'!$D$2:$K3083,MATCH($B529,'HS Codes'!$A$2:$A3083,0),MATCH(G$1,'HS Codes'!$D$1:$K$1,0)),"")</f>
        <v>6302600090</v>
      </c>
      <c r="H529" s="8" t="str">
        <f>_xlfn.IFNA(INDEX('HS Codes'!$D$2:$K3083,MATCH($B529,'HS Codes'!$A$2:$A3083,0),MATCH(H$1,'HS Codes'!$D$1:$K$1,0)),"")</f>
        <v>6302.93.00.00</v>
      </c>
      <c r="I529" s="8">
        <f>_xlfn.IFNA(INDEX('HS Codes'!$D$2:$K3083,MATCH($B529,'HS Codes'!$A$2:$A3083,0),MATCH(I$1,'HS Codes'!$D$1:$K$1,0)),"")</f>
        <v>6302939000</v>
      </c>
      <c r="J529" s="8">
        <f>_xlfn.IFNA(INDEX('HS Codes'!$D$2:$K3083,MATCH($B529,'HS Codes'!$A$2:$A3083,0),MATCH(J$1,'HS Codes'!$D$1:$K$1,0)),"")</f>
        <v>0</v>
      </c>
      <c r="K529" s="8" t="str">
        <f>_xlfn.IFNA(INDEX('HS Codes'!$D$2:$K3083,MATCH($B529,'HS Codes'!$A$2:$A3083,0),MATCH(K$1,'HS Codes'!$D$1:$K$1,0)),"")</f>
        <v>6302.39.00</v>
      </c>
      <c r="L529" s="8">
        <f>_xlfn.IFNA(INDEX('HS Codes'!$D$2:$K3083,MATCH($B529,'HS Codes'!$A$2:$A3083,0),MATCH(L$1,'HS Codes'!$D$1:$K$1,0)),"")</f>
        <v>63029120</v>
      </c>
      <c r="M529" s="8" t="str">
        <f>_xlfn.IFNA(INDEX('HS Codes'!$C$2:$C3083,MATCH($B529,'HS Codes'!$A$2:$A3083,0)),"")</f>
        <v>Bath Towel - Toilet Linen 100% recycled 340 GSM/83% polyester/17% polyamide (no cotton)</v>
      </c>
      <c r="N529" s="9"/>
      <c r="O529" s="9"/>
      <c r="P529" s="9"/>
      <c r="Q529" s="9"/>
    </row>
    <row r="530" spans="1:17" ht="15.75" customHeight="1">
      <c r="A530" s="7" t="s">
        <v>819</v>
      </c>
      <c r="B530" s="7" t="s">
        <v>172</v>
      </c>
      <c r="C530" s="7" t="s">
        <v>278</v>
      </c>
      <c r="D530" s="7" t="s">
        <v>173</v>
      </c>
      <c r="E530" s="7" t="s">
        <v>377</v>
      </c>
      <c r="F530" s="8" t="str">
        <f>_xlfn.IFNA(INDEX('HS Codes'!$D$2:$K3084,MATCH($B530,'HS Codes'!$A$2:$A3084,0),MATCH(F$1,'HS Codes'!$D$1:$K$1,0)),"")</f>
        <v>6302.93.2000</v>
      </c>
      <c r="G530" s="8">
        <f>_xlfn.IFNA(INDEX('HS Codes'!$D$2:$K3084,MATCH($B530,'HS Codes'!$A$2:$A3084,0),MATCH(G$1,'HS Codes'!$D$1:$K$1,0)),"")</f>
        <v>6302600090</v>
      </c>
      <c r="H530" s="8" t="str">
        <f>_xlfn.IFNA(INDEX('HS Codes'!$D$2:$K3084,MATCH($B530,'HS Codes'!$A$2:$A3084,0),MATCH(H$1,'HS Codes'!$D$1:$K$1,0)),"")</f>
        <v>6302.93.00.00</v>
      </c>
      <c r="I530" s="8">
        <f>_xlfn.IFNA(INDEX('HS Codes'!$D$2:$K3084,MATCH($B530,'HS Codes'!$A$2:$A3084,0),MATCH(I$1,'HS Codes'!$D$1:$K$1,0)),"")</f>
        <v>6302939000</v>
      </c>
      <c r="J530" s="8">
        <f>_xlfn.IFNA(INDEX('HS Codes'!$D$2:$K3084,MATCH($B530,'HS Codes'!$A$2:$A3084,0),MATCH(J$1,'HS Codes'!$D$1:$K$1,0)),"")</f>
        <v>0</v>
      </c>
      <c r="K530" s="8" t="str">
        <f>_xlfn.IFNA(INDEX('HS Codes'!$D$2:$K3084,MATCH($B530,'HS Codes'!$A$2:$A3084,0),MATCH(K$1,'HS Codes'!$D$1:$K$1,0)),"")</f>
        <v>6302.39.00</v>
      </c>
      <c r="L530" s="8">
        <f>_xlfn.IFNA(INDEX('HS Codes'!$D$2:$K3084,MATCH($B530,'HS Codes'!$A$2:$A3084,0),MATCH(L$1,'HS Codes'!$D$1:$K$1,0)),"")</f>
        <v>63029120</v>
      </c>
      <c r="M530" s="8" t="str">
        <f>_xlfn.IFNA(INDEX('HS Codes'!$C$2:$C3084,MATCH($B530,'HS Codes'!$A$2:$A3084,0)),"")</f>
        <v>Bath Towel - Toilet Linen 100% recycled 340 GSM/83% polyester/17% polyamide (no cotton)</v>
      </c>
      <c r="N530" s="9"/>
      <c r="O530" s="9"/>
      <c r="P530" s="9"/>
      <c r="Q530" s="9"/>
    </row>
    <row r="531" spans="1:17" ht="15.75" customHeight="1">
      <c r="A531" s="7" t="s">
        <v>820</v>
      </c>
      <c r="B531" s="7" t="s">
        <v>172</v>
      </c>
      <c r="C531" s="7" t="s">
        <v>278</v>
      </c>
      <c r="D531" s="7" t="s">
        <v>173</v>
      </c>
      <c r="E531" s="7" t="s">
        <v>377</v>
      </c>
      <c r="F531" s="8" t="str">
        <f>_xlfn.IFNA(INDEX('HS Codes'!$D$2:$K3085,MATCH($B531,'HS Codes'!$A$2:$A3085,0),MATCH(F$1,'HS Codes'!$D$1:$K$1,0)),"")</f>
        <v>6302.93.2000</v>
      </c>
      <c r="G531" s="8">
        <f>_xlfn.IFNA(INDEX('HS Codes'!$D$2:$K3085,MATCH($B531,'HS Codes'!$A$2:$A3085,0),MATCH(G$1,'HS Codes'!$D$1:$K$1,0)),"")</f>
        <v>6302600090</v>
      </c>
      <c r="H531" s="8" t="str">
        <f>_xlfn.IFNA(INDEX('HS Codes'!$D$2:$K3085,MATCH($B531,'HS Codes'!$A$2:$A3085,0),MATCH(H$1,'HS Codes'!$D$1:$K$1,0)),"")</f>
        <v>6302.93.00.00</v>
      </c>
      <c r="I531" s="8">
        <f>_xlfn.IFNA(INDEX('HS Codes'!$D$2:$K3085,MATCH($B531,'HS Codes'!$A$2:$A3085,0),MATCH(I$1,'HS Codes'!$D$1:$K$1,0)),"")</f>
        <v>6302939000</v>
      </c>
      <c r="J531" s="8">
        <f>_xlfn.IFNA(INDEX('HS Codes'!$D$2:$K3085,MATCH($B531,'HS Codes'!$A$2:$A3085,0),MATCH(J$1,'HS Codes'!$D$1:$K$1,0)),"")</f>
        <v>0</v>
      </c>
      <c r="K531" s="8" t="str">
        <f>_xlfn.IFNA(INDEX('HS Codes'!$D$2:$K3085,MATCH($B531,'HS Codes'!$A$2:$A3085,0),MATCH(K$1,'HS Codes'!$D$1:$K$1,0)),"")</f>
        <v>6302.39.00</v>
      </c>
      <c r="L531" s="8">
        <f>_xlfn.IFNA(INDEX('HS Codes'!$D$2:$K3085,MATCH($B531,'HS Codes'!$A$2:$A3085,0),MATCH(L$1,'HS Codes'!$D$1:$K$1,0)),"")</f>
        <v>63029120</v>
      </c>
      <c r="M531" s="8" t="str">
        <f>_xlfn.IFNA(INDEX('HS Codes'!$C$2:$C3085,MATCH($B531,'HS Codes'!$A$2:$A3085,0)),"")</f>
        <v>Bath Towel - Toilet Linen 100% recycled 340 GSM/83% polyester/17% polyamide (no cotton)</v>
      </c>
      <c r="N531" s="9"/>
      <c r="O531" s="9"/>
      <c r="P531" s="9"/>
      <c r="Q531" s="9"/>
    </row>
    <row r="532" spans="1:17" ht="15.75" customHeight="1">
      <c r="A532" s="7" t="s">
        <v>821</v>
      </c>
      <c r="B532" s="7" t="s">
        <v>172</v>
      </c>
      <c r="C532" s="7" t="s">
        <v>278</v>
      </c>
      <c r="D532" s="7" t="s">
        <v>173</v>
      </c>
      <c r="E532" s="7" t="s">
        <v>377</v>
      </c>
      <c r="F532" s="8" t="str">
        <f>_xlfn.IFNA(INDEX('HS Codes'!$D$2:$K3086,MATCH($B532,'HS Codes'!$A$2:$A3086,0),MATCH(F$1,'HS Codes'!$D$1:$K$1,0)),"")</f>
        <v>6302.93.2000</v>
      </c>
      <c r="G532" s="8">
        <f>_xlfn.IFNA(INDEX('HS Codes'!$D$2:$K3086,MATCH($B532,'HS Codes'!$A$2:$A3086,0),MATCH(G$1,'HS Codes'!$D$1:$K$1,0)),"")</f>
        <v>6302600090</v>
      </c>
      <c r="H532" s="8" t="str">
        <f>_xlfn.IFNA(INDEX('HS Codes'!$D$2:$K3086,MATCH($B532,'HS Codes'!$A$2:$A3086,0),MATCH(H$1,'HS Codes'!$D$1:$K$1,0)),"")</f>
        <v>6302.93.00.00</v>
      </c>
      <c r="I532" s="8">
        <f>_xlfn.IFNA(INDEX('HS Codes'!$D$2:$K3086,MATCH($B532,'HS Codes'!$A$2:$A3086,0),MATCH(I$1,'HS Codes'!$D$1:$K$1,0)),"")</f>
        <v>6302939000</v>
      </c>
      <c r="J532" s="8">
        <f>_xlfn.IFNA(INDEX('HS Codes'!$D$2:$K3086,MATCH($B532,'HS Codes'!$A$2:$A3086,0),MATCH(J$1,'HS Codes'!$D$1:$K$1,0)),"")</f>
        <v>0</v>
      </c>
      <c r="K532" s="8" t="str">
        <f>_xlfn.IFNA(INDEX('HS Codes'!$D$2:$K3086,MATCH($B532,'HS Codes'!$A$2:$A3086,0),MATCH(K$1,'HS Codes'!$D$1:$K$1,0)),"")</f>
        <v>6302.39.00</v>
      </c>
      <c r="L532" s="8">
        <f>_xlfn.IFNA(INDEX('HS Codes'!$D$2:$K3086,MATCH($B532,'HS Codes'!$A$2:$A3086,0),MATCH(L$1,'HS Codes'!$D$1:$K$1,0)),"")</f>
        <v>63029120</v>
      </c>
      <c r="M532" s="8" t="str">
        <f>_xlfn.IFNA(INDEX('HS Codes'!$C$2:$C3086,MATCH($B532,'HS Codes'!$A$2:$A3086,0)),"")</f>
        <v>Bath Towel - Toilet Linen 100% recycled 340 GSM/83% polyester/17% polyamide (no cotton)</v>
      </c>
      <c r="N532" s="9"/>
      <c r="O532" s="9"/>
      <c r="P532" s="9"/>
      <c r="Q532" s="9"/>
    </row>
    <row r="533" spans="1:17" ht="15.75" customHeight="1">
      <c r="A533" s="7" t="s">
        <v>822</v>
      </c>
      <c r="B533" s="7"/>
      <c r="C533" s="7"/>
      <c r="D533" s="7"/>
      <c r="E533" s="7"/>
      <c r="F533" s="8" t="str">
        <f>_xlfn.IFNA(INDEX('HS Codes'!$D$2:$K3087,MATCH($B533,'HS Codes'!$A$2:$A3087,0),MATCH(F$1,'HS Codes'!$D$1:$K$1,0)),"")</f>
        <v/>
      </c>
      <c r="G533" s="8" t="str">
        <f>_xlfn.IFNA(INDEX('HS Codes'!$D$2:$K3087,MATCH($B533,'HS Codes'!$A$2:$A3087,0),MATCH(G$1,'HS Codes'!$D$1:$K$1,0)),"")</f>
        <v/>
      </c>
      <c r="H533" s="8" t="str">
        <f>_xlfn.IFNA(INDEX('HS Codes'!$D$2:$K3087,MATCH($B533,'HS Codes'!$A$2:$A3087,0),MATCH(H$1,'HS Codes'!$D$1:$K$1,0)),"")</f>
        <v/>
      </c>
      <c r="I533" s="8" t="str">
        <f>_xlfn.IFNA(INDEX('HS Codes'!$D$2:$K3087,MATCH($B533,'HS Codes'!$A$2:$A3087,0),MATCH(I$1,'HS Codes'!$D$1:$K$1,0)),"")</f>
        <v/>
      </c>
      <c r="J533" s="8" t="str">
        <f>_xlfn.IFNA(INDEX('HS Codes'!$D$2:$K3087,MATCH($B533,'HS Codes'!$A$2:$A3087,0),MATCH(J$1,'HS Codes'!$D$1:$K$1,0)),"")</f>
        <v/>
      </c>
      <c r="K533" s="8" t="str">
        <f>_xlfn.IFNA(INDEX('HS Codes'!$D$2:$K3087,MATCH($B533,'HS Codes'!$A$2:$A3087,0),MATCH(K$1,'HS Codes'!$D$1:$K$1,0)),"")</f>
        <v/>
      </c>
      <c r="L533" s="8" t="str">
        <f>_xlfn.IFNA(INDEX('HS Codes'!$D$2:$K3087,MATCH($B533,'HS Codes'!$A$2:$A3087,0),MATCH(L$1,'HS Codes'!$D$1:$K$1,0)),"")</f>
        <v/>
      </c>
      <c r="M533" s="8" t="str">
        <f>_xlfn.IFNA(INDEX('HS Codes'!$C$2:$C3087,MATCH($B533,'HS Codes'!$A$2:$A3087,0)),"")</f>
        <v/>
      </c>
      <c r="N533" s="9"/>
      <c r="O533" s="9"/>
      <c r="P533" s="9"/>
      <c r="Q533" s="9"/>
    </row>
    <row r="534" spans="1:17" ht="15.75" customHeight="1">
      <c r="A534" s="7" t="s">
        <v>823</v>
      </c>
      <c r="B534" s="7"/>
      <c r="C534" s="7"/>
      <c r="D534" s="7"/>
      <c r="E534" s="7"/>
      <c r="F534" s="8" t="str">
        <f>_xlfn.IFNA(INDEX('HS Codes'!$D$2:$K3088,MATCH($B534,'HS Codes'!$A$2:$A3088,0),MATCH(F$1,'HS Codes'!$D$1:$K$1,0)),"")</f>
        <v/>
      </c>
      <c r="G534" s="8" t="str">
        <f>_xlfn.IFNA(INDEX('HS Codes'!$D$2:$K3088,MATCH($B534,'HS Codes'!$A$2:$A3088,0),MATCH(G$1,'HS Codes'!$D$1:$K$1,0)),"")</f>
        <v/>
      </c>
      <c r="H534" s="8" t="str">
        <f>_xlfn.IFNA(INDEX('HS Codes'!$D$2:$K3088,MATCH($B534,'HS Codes'!$A$2:$A3088,0),MATCH(H$1,'HS Codes'!$D$1:$K$1,0)),"")</f>
        <v/>
      </c>
      <c r="I534" s="8" t="str">
        <f>_xlfn.IFNA(INDEX('HS Codes'!$D$2:$K3088,MATCH($B534,'HS Codes'!$A$2:$A3088,0),MATCH(I$1,'HS Codes'!$D$1:$K$1,0)),"")</f>
        <v/>
      </c>
      <c r="J534" s="8" t="str">
        <f>_xlfn.IFNA(INDEX('HS Codes'!$D$2:$K3088,MATCH($B534,'HS Codes'!$A$2:$A3088,0),MATCH(J$1,'HS Codes'!$D$1:$K$1,0)),"")</f>
        <v/>
      </c>
      <c r="K534" s="8" t="str">
        <f>_xlfn.IFNA(INDEX('HS Codes'!$D$2:$K3088,MATCH($B534,'HS Codes'!$A$2:$A3088,0),MATCH(K$1,'HS Codes'!$D$1:$K$1,0)),"")</f>
        <v/>
      </c>
      <c r="L534" s="8" t="str">
        <f>_xlfn.IFNA(INDEX('HS Codes'!$D$2:$K3088,MATCH($B534,'HS Codes'!$A$2:$A3088,0),MATCH(L$1,'HS Codes'!$D$1:$K$1,0)),"")</f>
        <v/>
      </c>
      <c r="M534" s="8" t="str">
        <f>_xlfn.IFNA(INDEX('HS Codes'!$C$2:$C3088,MATCH($B534,'HS Codes'!$A$2:$A3088,0)),"")</f>
        <v/>
      </c>
      <c r="N534" s="9"/>
      <c r="O534" s="9"/>
      <c r="P534" s="9"/>
      <c r="Q534" s="9"/>
    </row>
    <row r="535" spans="1:17" ht="15.75" customHeight="1">
      <c r="A535" s="7" t="s">
        <v>824</v>
      </c>
      <c r="B535" s="7"/>
      <c r="C535" s="7"/>
      <c r="D535" s="7"/>
      <c r="E535" s="7"/>
      <c r="F535" s="8" t="str">
        <f>_xlfn.IFNA(INDEX('HS Codes'!$D$2:$K3089,MATCH($B535,'HS Codes'!$A$2:$A3089,0),MATCH(F$1,'HS Codes'!$D$1:$K$1,0)),"")</f>
        <v/>
      </c>
      <c r="G535" s="8" t="str">
        <f>_xlfn.IFNA(INDEX('HS Codes'!$D$2:$K3089,MATCH($B535,'HS Codes'!$A$2:$A3089,0),MATCH(G$1,'HS Codes'!$D$1:$K$1,0)),"")</f>
        <v/>
      </c>
      <c r="H535" s="8" t="str">
        <f>_xlfn.IFNA(INDEX('HS Codes'!$D$2:$K3089,MATCH($B535,'HS Codes'!$A$2:$A3089,0),MATCH(H$1,'HS Codes'!$D$1:$K$1,0)),"")</f>
        <v/>
      </c>
      <c r="I535" s="8" t="str">
        <f>_xlfn.IFNA(INDEX('HS Codes'!$D$2:$K3089,MATCH($B535,'HS Codes'!$A$2:$A3089,0),MATCH(I$1,'HS Codes'!$D$1:$K$1,0)),"")</f>
        <v/>
      </c>
      <c r="J535" s="8" t="str">
        <f>_xlfn.IFNA(INDEX('HS Codes'!$D$2:$K3089,MATCH($B535,'HS Codes'!$A$2:$A3089,0),MATCH(J$1,'HS Codes'!$D$1:$K$1,0)),"")</f>
        <v/>
      </c>
      <c r="K535" s="8" t="str">
        <f>_xlfn.IFNA(INDEX('HS Codes'!$D$2:$K3089,MATCH($B535,'HS Codes'!$A$2:$A3089,0),MATCH(K$1,'HS Codes'!$D$1:$K$1,0)),"")</f>
        <v/>
      </c>
      <c r="L535" s="8" t="str">
        <f>_xlfn.IFNA(INDEX('HS Codes'!$D$2:$K3089,MATCH($B535,'HS Codes'!$A$2:$A3089,0),MATCH(L$1,'HS Codes'!$D$1:$K$1,0)),"")</f>
        <v/>
      </c>
      <c r="M535" s="8" t="str">
        <f>_xlfn.IFNA(INDEX('HS Codes'!$C$2:$C3089,MATCH($B535,'HS Codes'!$A$2:$A3089,0)),"")</f>
        <v/>
      </c>
      <c r="N535" s="9"/>
      <c r="O535" s="9"/>
      <c r="P535" s="9"/>
      <c r="Q535" s="9"/>
    </row>
    <row r="536" spans="1:17" ht="15.75" customHeight="1">
      <c r="A536" s="7" t="s">
        <v>825</v>
      </c>
      <c r="B536" s="7" t="s">
        <v>260</v>
      </c>
      <c r="C536" s="7"/>
      <c r="D536" s="7" t="s">
        <v>261</v>
      </c>
      <c r="E536" s="7" t="s">
        <v>523</v>
      </c>
      <c r="F536" s="8" t="str">
        <f>_xlfn.IFNA(INDEX('HS Codes'!$D$2:$K3090,MATCH($B536,'HS Codes'!$A$2:$A3090,0),MATCH(F$1,'HS Codes'!$D$1:$K$1,0)),"")</f>
        <v>4819.10.0040</v>
      </c>
      <c r="G536" s="8">
        <f>_xlfn.IFNA(INDEX('HS Codes'!$D$2:$K3090,MATCH($B536,'HS Codes'!$A$2:$A3090,0),MATCH(G$1,'HS Codes'!$D$1:$K$1,0)),"")</f>
        <v>4819100000</v>
      </c>
      <c r="H536" s="8">
        <f>_xlfn.IFNA(INDEX('HS Codes'!$D$2:$K3090,MATCH($B536,'HS Codes'!$A$2:$A3090,0),MATCH(H$1,'HS Codes'!$D$1:$K$1,0)),"")</f>
        <v>4819100000</v>
      </c>
      <c r="I536" s="8">
        <f>_xlfn.IFNA(INDEX('HS Codes'!$D$2:$K3090,MATCH($B536,'HS Codes'!$A$2:$A3090,0),MATCH(I$1,'HS Codes'!$D$1:$K$1,0)),"")</f>
        <v>48191000</v>
      </c>
      <c r="J536" s="8">
        <f>_xlfn.IFNA(INDEX('HS Codes'!$D$2:$K3090,MATCH($B536,'HS Codes'!$A$2:$A3090,0),MATCH(J$1,'HS Codes'!$D$1:$K$1,0)),"")</f>
        <v>0</v>
      </c>
      <c r="K536" s="8" t="str">
        <f>_xlfn.IFNA(INDEX('HS Codes'!$D$2:$K3090,MATCH($B536,'HS Codes'!$A$2:$A3090,0),MATCH(K$1,'HS Codes'!$D$1:$K$1,0)),"")</f>
        <v>4819.10.00</v>
      </c>
      <c r="L536" s="8">
        <f>_xlfn.IFNA(INDEX('HS Codes'!$D$2:$K3090,MATCH($B536,'HS Codes'!$A$2:$A3090,0),MATCH(L$1,'HS Codes'!$D$1:$K$1,0)),"")</f>
        <v>0</v>
      </c>
      <c r="M536" s="8">
        <f>_xlfn.IFNA(INDEX('HS Codes'!$C$2:$C3090,MATCH($B536,'HS Codes'!$A$2:$A3090,0)),"")</f>
        <v>0</v>
      </c>
      <c r="N536" s="9"/>
      <c r="O536" s="9"/>
      <c r="P536" s="9"/>
      <c r="Q536" s="9"/>
    </row>
    <row r="537" spans="1:17" ht="15.75" customHeight="1">
      <c r="A537" s="7" t="s">
        <v>826</v>
      </c>
      <c r="B537" s="7" t="s">
        <v>260</v>
      </c>
      <c r="C537" s="7"/>
      <c r="D537" s="7" t="s">
        <v>261</v>
      </c>
      <c r="E537" s="7" t="s">
        <v>523</v>
      </c>
      <c r="F537" s="8" t="str">
        <f>_xlfn.IFNA(INDEX('HS Codes'!$D$2:$K3091,MATCH($B537,'HS Codes'!$A$2:$A3091,0),MATCH(F$1,'HS Codes'!$D$1:$K$1,0)),"")</f>
        <v>4819.10.0040</v>
      </c>
      <c r="G537" s="8">
        <f>_xlfn.IFNA(INDEX('HS Codes'!$D$2:$K3091,MATCH($B537,'HS Codes'!$A$2:$A3091,0),MATCH(G$1,'HS Codes'!$D$1:$K$1,0)),"")</f>
        <v>4819100000</v>
      </c>
      <c r="H537" s="8">
        <f>_xlfn.IFNA(INDEX('HS Codes'!$D$2:$K3091,MATCH($B537,'HS Codes'!$A$2:$A3091,0),MATCH(H$1,'HS Codes'!$D$1:$K$1,0)),"")</f>
        <v>4819100000</v>
      </c>
      <c r="I537" s="8">
        <f>_xlfn.IFNA(INDEX('HS Codes'!$D$2:$K3091,MATCH($B537,'HS Codes'!$A$2:$A3091,0),MATCH(I$1,'HS Codes'!$D$1:$K$1,0)),"")</f>
        <v>48191000</v>
      </c>
      <c r="J537" s="8">
        <f>_xlfn.IFNA(INDEX('HS Codes'!$D$2:$K3091,MATCH($B537,'HS Codes'!$A$2:$A3091,0),MATCH(J$1,'HS Codes'!$D$1:$K$1,0)),"")</f>
        <v>0</v>
      </c>
      <c r="K537" s="8" t="str">
        <f>_xlfn.IFNA(INDEX('HS Codes'!$D$2:$K3091,MATCH($B537,'HS Codes'!$A$2:$A3091,0),MATCH(K$1,'HS Codes'!$D$1:$K$1,0)),"")</f>
        <v>4819.10.00</v>
      </c>
      <c r="L537" s="8">
        <f>_xlfn.IFNA(INDEX('HS Codes'!$D$2:$K3091,MATCH($B537,'HS Codes'!$A$2:$A3091,0),MATCH(L$1,'HS Codes'!$D$1:$K$1,0)),"")</f>
        <v>0</v>
      </c>
      <c r="M537" s="8">
        <f>_xlfn.IFNA(INDEX('HS Codes'!$C$2:$C3091,MATCH($B537,'HS Codes'!$A$2:$A3091,0)),"")</f>
        <v>0</v>
      </c>
      <c r="N537" s="9"/>
      <c r="O537" s="9"/>
      <c r="P537" s="9"/>
      <c r="Q537" s="9"/>
    </row>
    <row r="538" spans="1:17" ht="15.75" customHeight="1">
      <c r="A538" s="7" t="s">
        <v>827</v>
      </c>
      <c r="B538" s="7"/>
      <c r="C538" s="7"/>
      <c r="D538" s="7"/>
      <c r="E538" s="7"/>
      <c r="F538" s="8" t="str">
        <f>_xlfn.IFNA(INDEX('HS Codes'!$D$2:$K3092,MATCH($B538,'HS Codes'!$A$2:$A3092,0),MATCH(F$1,'HS Codes'!$D$1:$K$1,0)),"")</f>
        <v/>
      </c>
      <c r="G538" s="8" t="str">
        <f>_xlfn.IFNA(INDEX('HS Codes'!$D$2:$K3092,MATCH($B538,'HS Codes'!$A$2:$A3092,0),MATCH(G$1,'HS Codes'!$D$1:$K$1,0)),"")</f>
        <v/>
      </c>
      <c r="H538" s="8" t="str">
        <f>_xlfn.IFNA(INDEX('HS Codes'!$D$2:$K3092,MATCH($B538,'HS Codes'!$A$2:$A3092,0),MATCH(H$1,'HS Codes'!$D$1:$K$1,0)),"")</f>
        <v/>
      </c>
      <c r="I538" s="8" t="str">
        <f>_xlfn.IFNA(INDEX('HS Codes'!$D$2:$K3092,MATCH($B538,'HS Codes'!$A$2:$A3092,0),MATCH(I$1,'HS Codes'!$D$1:$K$1,0)),"")</f>
        <v/>
      </c>
      <c r="J538" s="8" t="str">
        <f>_xlfn.IFNA(INDEX('HS Codes'!$D$2:$K3092,MATCH($B538,'HS Codes'!$A$2:$A3092,0),MATCH(J$1,'HS Codes'!$D$1:$K$1,0)),"")</f>
        <v/>
      </c>
      <c r="K538" s="8" t="str">
        <f>_xlfn.IFNA(INDEX('HS Codes'!$D$2:$K3092,MATCH($B538,'HS Codes'!$A$2:$A3092,0),MATCH(K$1,'HS Codes'!$D$1:$K$1,0)),"")</f>
        <v/>
      </c>
      <c r="L538" s="8" t="str">
        <f>_xlfn.IFNA(INDEX('HS Codes'!$D$2:$K3092,MATCH($B538,'HS Codes'!$A$2:$A3092,0),MATCH(L$1,'HS Codes'!$D$1:$K$1,0)),"")</f>
        <v/>
      </c>
      <c r="M538" s="8" t="str">
        <f>_xlfn.IFNA(INDEX('HS Codes'!$C$2:$C3092,MATCH($B538,'HS Codes'!$A$2:$A3092,0)),"")</f>
        <v/>
      </c>
      <c r="N538" s="9"/>
      <c r="O538" s="9"/>
      <c r="P538" s="9"/>
      <c r="Q538" s="9"/>
    </row>
    <row r="539" spans="1:17" ht="15.75" customHeight="1">
      <c r="A539" s="7" t="s">
        <v>828</v>
      </c>
      <c r="B539" s="7"/>
      <c r="C539" s="7"/>
      <c r="D539" s="7"/>
      <c r="E539" s="7"/>
      <c r="F539" s="8" t="str">
        <f>_xlfn.IFNA(INDEX('HS Codes'!$D$2:$K3093,MATCH($B539,'HS Codes'!$A$2:$A3093,0),MATCH(F$1,'HS Codes'!$D$1:$K$1,0)),"")</f>
        <v/>
      </c>
      <c r="G539" s="8" t="str">
        <f>_xlfn.IFNA(INDEX('HS Codes'!$D$2:$K3093,MATCH($B539,'HS Codes'!$A$2:$A3093,0),MATCH(G$1,'HS Codes'!$D$1:$K$1,0)),"")</f>
        <v/>
      </c>
      <c r="H539" s="8" t="str">
        <f>_xlfn.IFNA(INDEX('HS Codes'!$D$2:$K3093,MATCH($B539,'HS Codes'!$A$2:$A3093,0),MATCH(H$1,'HS Codes'!$D$1:$K$1,0)),"")</f>
        <v/>
      </c>
      <c r="I539" s="8" t="str">
        <f>_xlfn.IFNA(INDEX('HS Codes'!$D$2:$K3093,MATCH($B539,'HS Codes'!$A$2:$A3093,0),MATCH(I$1,'HS Codes'!$D$1:$K$1,0)),"")</f>
        <v/>
      </c>
      <c r="J539" s="8" t="str">
        <f>_xlfn.IFNA(INDEX('HS Codes'!$D$2:$K3093,MATCH($B539,'HS Codes'!$A$2:$A3093,0),MATCH(J$1,'HS Codes'!$D$1:$K$1,0)),"")</f>
        <v/>
      </c>
      <c r="K539" s="8" t="str">
        <f>_xlfn.IFNA(INDEX('HS Codes'!$D$2:$K3093,MATCH($B539,'HS Codes'!$A$2:$A3093,0),MATCH(K$1,'HS Codes'!$D$1:$K$1,0)),"")</f>
        <v/>
      </c>
      <c r="L539" s="8" t="str">
        <f>_xlfn.IFNA(INDEX('HS Codes'!$D$2:$K3093,MATCH($B539,'HS Codes'!$A$2:$A3093,0),MATCH(L$1,'HS Codes'!$D$1:$K$1,0)),"")</f>
        <v/>
      </c>
      <c r="M539" s="8" t="str">
        <f>_xlfn.IFNA(INDEX('HS Codes'!$C$2:$C3093,MATCH($B539,'HS Codes'!$A$2:$A3093,0)),"")</f>
        <v/>
      </c>
      <c r="N539" s="9"/>
      <c r="O539" s="9"/>
      <c r="P539" s="9"/>
      <c r="Q539" s="9"/>
    </row>
    <row r="540" spans="1:17" ht="15.75" customHeight="1">
      <c r="A540" s="7" t="s">
        <v>829</v>
      </c>
      <c r="B540" s="7" t="s">
        <v>169</v>
      </c>
      <c r="C540" s="7" t="s">
        <v>278</v>
      </c>
      <c r="D540" s="7" t="s">
        <v>170</v>
      </c>
      <c r="E540" s="7" t="s">
        <v>348</v>
      </c>
      <c r="F540" s="8" t="str">
        <f>_xlfn.IFNA(INDEX('HS Codes'!$D$2:$K3094,MATCH($B540,'HS Codes'!$A$2:$A3094,0),MATCH(F$1,'HS Codes'!$D$1:$K$1,0)),"")</f>
        <v>6302.93.2000</v>
      </c>
      <c r="G540" s="8">
        <f>_xlfn.IFNA(INDEX('HS Codes'!$D$2:$K3094,MATCH($B540,'HS Codes'!$A$2:$A3094,0),MATCH(G$1,'HS Codes'!$D$1:$K$1,0)),"")</f>
        <v>6302600090</v>
      </c>
      <c r="H540" s="8" t="str">
        <f>_xlfn.IFNA(INDEX('HS Codes'!$D$2:$K3094,MATCH($B540,'HS Codes'!$A$2:$A3094,0),MATCH(H$1,'HS Codes'!$D$1:$K$1,0)),"")</f>
        <v>6302.93.00.00</v>
      </c>
      <c r="I540" s="8">
        <f>_xlfn.IFNA(INDEX('HS Codes'!$D$2:$K3094,MATCH($B540,'HS Codes'!$A$2:$A3094,0),MATCH(I$1,'HS Codes'!$D$1:$K$1,0)),"")</f>
        <v>6302939000</v>
      </c>
      <c r="J540" s="8">
        <f>_xlfn.IFNA(INDEX('HS Codes'!$D$2:$K3094,MATCH($B540,'HS Codes'!$A$2:$A3094,0),MATCH(J$1,'HS Codes'!$D$1:$K$1,0)),"")</f>
        <v>0</v>
      </c>
      <c r="K540" s="8" t="str">
        <f>_xlfn.IFNA(INDEX('HS Codes'!$D$2:$K3094,MATCH($B540,'HS Codes'!$A$2:$A3094,0),MATCH(K$1,'HS Codes'!$D$1:$K$1,0)),"")</f>
        <v>6302.39.00</v>
      </c>
      <c r="L540" s="8">
        <f>_xlfn.IFNA(INDEX('HS Codes'!$D$2:$K3094,MATCH($B540,'HS Codes'!$A$2:$A3094,0),MATCH(L$1,'HS Codes'!$D$1:$K$1,0)),"")</f>
        <v>63029120</v>
      </c>
      <c r="M540" s="8" t="str">
        <f>_xlfn.IFNA(INDEX('HS Codes'!$C$2:$C3094,MATCH($B540,'HS Codes'!$A$2:$A3094,0)),"")</f>
        <v>Fitness Towels - Toilet Linen 100% recycled 220 GSM/83% polyester/17% polyamide (no cotton)</v>
      </c>
      <c r="N540" s="9"/>
      <c r="O540" s="9"/>
      <c r="P540" s="9"/>
      <c r="Q540" s="9"/>
    </row>
    <row r="541" spans="1:17" ht="15.75" customHeight="1">
      <c r="A541" s="7" t="s">
        <v>830</v>
      </c>
      <c r="B541" s="7" t="s">
        <v>169</v>
      </c>
      <c r="C541" s="7" t="s">
        <v>278</v>
      </c>
      <c r="D541" s="7" t="s">
        <v>170</v>
      </c>
      <c r="E541" s="7" t="s">
        <v>348</v>
      </c>
      <c r="F541" s="8" t="str">
        <f>_xlfn.IFNA(INDEX('HS Codes'!$D$2:$K3095,MATCH($B541,'HS Codes'!$A$2:$A3095,0),MATCH(F$1,'HS Codes'!$D$1:$K$1,0)),"")</f>
        <v>6302.93.2000</v>
      </c>
      <c r="G541" s="8">
        <f>_xlfn.IFNA(INDEX('HS Codes'!$D$2:$K3095,MATCH($B541,'HS Codes'!$A$2:$A3095,0),MATCH(G$1,'HS Codes'!$D$1:$K$1,0)),"")</f>
        <v>6302600090</v>
      </c>
      <c r="H541" s="8" t="str">
        <f>_xlfn.IFNA(INDEX('HS Codes'!$D$2:$K3095,MATCH($B541,'HS Codes'!$A$2:$A3095,0),MATCH(H$1,'HS Codes'!$D$1:$K$1,0)),"")</f>
        <v>6302.93.00.00</v>
      </c>
      <c r="I541" s="8">
        <f>_xlfn.IFNA(INDEX('HS Codes'!$D$2:$K3095,MATCH($B541,'HS Codes'!$A$2:$A3095,0),MATCH(I$1,'HS Codes'!$D$1:$K$1,0)),"")</f>
        <v>6302939000</v>
      </c>
      <c r="J541" s="8">
        <f>_xlfn.IFNA(INDEX('HS Codes'!$D$2:$K3095,MATCH($B541,'HS Codes'!$A$2:$A3095,0),MATCH(J$1,'HS Codes'!$D$1:$K$1,0)),"")</f>
        <v>0</v>
      </c>
      <c r="K541" s="8" t="str">
        <f>_xlfn.IFNA(INDEX('HS Codes'!$D$2:$K3095,MATCH($B541,'HS Codes'!$A$2:$A3095,0),MATCH(K$1,'HS Codes'!$D$1:$K$1,0)),"")</f>
        <v>6302.39.00</v>
      </c>
      <c r="L541" s="8">
        <f>_xlfn.IFNA(INDEX('HS Codes'!$D$2:$K3095,MATCH($B541,'HS Codes'!$A$2:$A3095,0),MATCH(L$1,'HS Codes'!$D$1:$K$1,0)),"")</f>
        <v>63029120</v>
      </c>
      <c r="M541" s="8" t="str">
        <f>_xlfn.IFNA(INDEX('HS Codes'!$C$2:$C3095,MATCH($B541,'HS Codes'!$A$2:$A3095,0)),"")</f>
        <v>Fitness Towels - Toilet Linen 100% recycled 220 GSM/83% polyester/17% polyamide (no cotton)</v>
      </c>
      <c r="N541" s="9"/>
      <c r="O541" s="9"/>
      <c r="P541" s="9"/>
      <c r="Q541" s="9"/>
    </row>
    <row r="542" spans="1:17" ht="15.75" customHeight="1">
      <c r="A542" s="7" t="s">
        <v>831</v>
      </c>
      <c r="B542" s="7" t="s">
        <v>65</v>
      </c>
      <c r="C542" s="7"/>
      <c r="D542" s="7" t="s">
        <v>66</v>
      </c>
      <c r="E542" s="7" t="s">
        <v>284</v>
      </c>
      <c r="F542" s="8" t="str">
        <f>_xlfn.IFNA(INDEX('HS Codes'!$D$2:$K3096,MATCH($B542,'HS Codes'!$A$2:$A3096,0),MATCH(F$1,'HS Codes'!$D$1:$K$1,0)),"")</f>
        <v>4202.92.9100</v>
      </c>
      <c r="G542" s="8">
        <f>_xlfn.IFNA(INDEX('HS Codes'!$D$2:$K3096,MATCH($B542,'HS Codes'!$A$2:$A3096,0),MATCH(G$1,'HS Codes'!$D$1:$K$1,0)),"")</f>
        <v>4202220000</v>
      </c>
      <c r="H542" s="8">
        <f>_xlfn.IFNA(INDEX('HS Codes'!$D$2:$K3096,MATCH($B542,'HS Codes'!$A$2:$A3096,0),MATCH(H$1,'HS Codes'!$D$1:$K$1,0)),"")</f>
        <v>0</v>
      </c>
      <c r="I542" s="8">
        <f>_xlfn.IFNA(INDEX('HS Codes'!$D$2:$K3096,MATCH($B542,'HS Codes'!$A$2:$A3096,0),MATCH(I$1,'HS Codes'!$D$1:$K$1,0)),"")</f>
        <v>42022290</v>
      </c>
      <c r="J542" s="8">
        <f>_xlfn.IFNA(INDEX('HS Codes'!$D$2:$K3096,MATCH($B542,'HS Codes'!$A$2:$A3096,0),MATCH(J$1,'HS Codes'!$D$1:$K$1,0)),"")</f>
        <v>0</v>
      </c>
      <c r="K542" s="8" t="str">
        <f>_xlfn.IFNA(INDEX('HS Codes'!$D$2:$K3096,MATCH($B542,'HS Codes'!$A$2:$A3096,0),MATCH(K$1,'HS Codes'!$D$1:$K$1,0)),"")</f>
        <v>4202.22.00</v>
      </c>
      <c r="L542" s="8">
        <f>_xlfn.IFNA(INDEX('HS Codes'!$D$2:$K3096,MATCH($B542,'HS Codes'!$A$2:$A3096,0),MATCH(L$1,'HS Codes'!$D$1:$K$1,0)),"")</f>
        <v>42029100</v>
      </c>
      <c r="M542" s="8" t="str">
        <f>_xlfn.IFNA(INDEX('HS Codes'!$C$2:$C3096,MATCH($B542,'HS Codes'!$A$2:$A3096,0)),"")</f>
        <v>Beach Bag made from 100% polyester</v>
      </c>
      <c r="N542" s="9"/>
      <c r="O542" s="9"/>
      <c r="P542" s="9"/>
      <c r="Q542" s="9"/>
    </row>
    <row r="543" spans="1:17" ht="15.75" customHeight="1">
      <c r="A543" s="7" t="s">
        <v>832</v>
      </c>
      <c r="B543" s="7" t="s">
        <v>77</v>
      </c>
      <c r="C543" s="7" t="s">
        <v>275</v>
      </c>
      <c r="D543" s="7" t="s">
        <v>78</v>
      </c>
      <c r="E543" s="7" t="s">
        <v>276</v>
      </c>
      <c r="F543" s="8" t="str">
        <f>_xlfn.IFNA(INDEX('HS Codes'!$D$2:$K3097,MATCH($B543,'HS Codes'!$A$2:$A3097,0),MATCH(F$1,'HS Codes'!$D$1:$K$1,0)),"")</f>
        <v>4202.92.91.00</v>
      </c>
      <c r="G543" s="8">
        <f>_xlfn.IFNA(INDEX('HS Codes'!$D$2:$K3097,MATCH($B543,'HS Codes'!$A$2:$A3097,0),MATCH(G$1,'HS Codes'!$D$1:$K$1,0)),"")</f>
        <v>4202921900</v>
      </c>
      <c r="H543" s="8" t="str">
        <f>_xlfn.IFNA(INDEX('HS Codes'!$D$2:$K3097,MATCH($B543,'HS Codes'!$A$2:$A3097,0),MATCH(H$1,'HS Codes'!$D$1:$K$1,0)),"")</f>
        <v>4202.92.90.00</v>
      </c>
      <c r="I543" s="8" t="str">
        <f>_xlfn.IFNA(INDEX('HS Codes'!$D$2:$K3097,MATCH($B543,'HS Codes'!$A$2:$A3097,0),MATCH(I$1,'HS Codes'!$D$1:$K$1,0)),"")</f>
        <v>4202 9298 90</v>
      </c>
      <c r="J543" s="8">
        <f>_xlfn.IFNA(INDEX('HS Codes'!$D$2:$K3097,MATCH($B543,'HS Codes'!$A$2:$A3097,0),MATCH(J$1,'HS Codes'!$D$1:$K$1,0)),"")</f>
        <v>0</v>
      </c>
      <c r="K543" s="8" t="str">
        <f>_xlfn.IFNA(INDEX('HS Codes'!$D$2:$K3097,MATCH($B543,'HS Codes'!$A$2:$A3097,0),MATCH(K$1,'HS Codes'!$D$1:$K$1,0)),"")</f>
        <v>4202.92.90</v>
      </c>
      <c r="L543" s="8">
        <f>_xlfn.IFNA(INDEX('HS Codes'!$D$2:$K3097,MATCH($B543,'HS Codes'!$A$2:$A3097,0),MATCH(L$1,'HS Codes'!$D$1:$K$1,0)),"")</f>
        <v>42029100</v>
      </c>
      <c r="M543" s="8" t="str">
        <f>_xlfn.IFNA(INDEX('HS Codes'!$C$2:$C3097,MATCH($B543,'HS Codes'!$A$2:$A3097,0)),"")</f>
        <v>Shopping Bag 100% recycled polyester</v>
      </c>
      <c r="N543" s="9"/>
      <c r="O543" s="9"/>
      <c r="P543" s="9"/>
      <c r="Q543" s="9"/>
    </row>
    <row r="544" spans="1:17" ht="15.75" customHeight="1">
      <c r="A544" s="7" t="s">
        <v>833</v>
      </c>
      <c r="B544" s="7" t="s">
        <v>77</v>
      </c>
      <c r="C544" s="7" t="s">
        <v>275</v>
      </c>
      <c r="D544" s="7" t="s">
        <v>78</v>
      </c>
      <c r="E544" s="7" t="s">
        <v>276</v>
      </c>
      <c r="F544" s="8" t="str">
        <f>_xlfn.IFNA(INDEX('HS Codes'!$D$2:$K3098,MATCH($B544,'HS Codes'!$A$2:$A3098,0),MATCH(F$1,'HS Codes'!$D$1:$K$1,0)),"")</f>
        <v>4202.92.91.00</v>
      </c>
      <c r="G544" s="8">
        <f>_xlfn.IFNA(INDEX('HS Codes'!$D$2:$K3098,MATCH($B544,'HS Codes'!$A$2:$A3098,0),MATCH(G$1,'HS Codes'!$D$1:$K$1,0)),"")</f>
        <v>4202921900</v>
      </c>
      <c r="H544" s="8" t="str">
        <f>_xlfn.IFNA(INDEX('HS Codes'!$D$2:$K3098,MATCH($B544,'HS Codes'!$A$2:$A3098,0),MATCH(H$1,'HS Codes'!$D$1:$K$1,0)),"")</f>
        <v>4202.92.90.00</v>
      </c>
      <c r="I544" s="8" t="str">
        <f>_xlfn.IFNA(INDEX('HS Codes'!$D$2:$K3098,MATCH($B544,'HS Codes'!$A$2:$A3098,0),MATCH(I$1,'HS Codes'!$D$1:$K$1,0)),"")</f>
        <v>4202 9298 90</v>
      </c>
      <c r="J544" s="8">
        <f>_xlfn.IFNA(INDEX('HS Codes'!$D$2:$K3098,MATCH($B544,'HS Codes'!$A$2:$A3098,0),MATCH(J$1,'HS Codes'!$D$1:$K$1,0)),"")</f>
        <v>0</v>
      </c>
      <c r="K544" s="8" t="str">
        <f>_xlfn.IFNA(INDEX('HS Codes'!$D$2:$K3098,MATCH($B544,'HS Codes'!$A$2:$A3098,0),MATCH(K$1,'HS Codes'!$D$1:$K$1,0)),"")</f>
        <v>4202.92.90</v>
      </c>
      <c r="L544" s="8">
        <f>_xlfn.IFNA(INDEX('HS Codes'!$D$2:$K3098,MATCH($B544,'HS Codes'!$A$2:$A3098,0),MATCH(L$1,'HS Codes'!$D$1:$K$1,0)),"")</f>
        <v>42029100</v>
      </c>
      <c r="M544" s="8" t="str">
        <f>_xlfn.IFNA(INDEX('HS Codes'!$C$2:$C3098,MATCH($B544,'HS Codes'!$A$2:$A3098,0)),"")</f>
        <v>Shopping Bag 100% recycled polyester</v>
      </c>
      <c r="N544" s="9"/>
      <c r="O544" s="9"/>
      <c r="P544" s="9"/>
      <c r="Q544" s="9"/>
    </row>
    <row r="545" spans="1:17" ht="15.75" customHeight="1">
      <c r="A545" s="7" t="s">
        <v>834</v>
      </c>
      <c r="B545" s="7" t="s">
        <v>77</v>
      </c>
      <c r="C545" s="7" t="s">
        <v>275</v>
      </c>
      <c r="D545" s="7" t="s">
        <v>78</v>
      </c>
      <c r="E545" s="7" t="s">
        <v>276</v>
      </c>
      <c r="F545" s="8" t="str">
        <f>_xlfn.IFNA(INDEX('HS Codes'!$D$2:$K3099,MATCH($B545,'HS Codes'!$A$2:$A3099,0),MATCH(F$1,'HS Codes'!$D$1:$K$1,0)),"")</f>
        <v>4202.92.91.00</v>
      </c>
      <c r="G545" s="8">
        <f>_xlfn.IFNA(INDEX('HS Codes'!$D$2:$K3099,MATCH($B545,'HS Codes'!$A$2:$A3099,0),MATCH(G$1,'HS Codes'!$D$1:$K$1,0)),"")</f>
        <v>4202921900</v>
      </c>
      <c r="H545" s="8" t="str">
        <f>_xlfn.IFNA(INDEX('HS Codes'!$D$2:$K3099,MATCH($B545,'HS Codes'!$A$2:$A3099,0),MATCH(H$1,'HS Codes'!$D$1:$K$1,0)),"")</f>
        <v>4202.92.90.00</v>
      </c>
      <c r="I545" s="8" t="str">
        <f>_xlfn.IFNA(INDEX('HS Codes'!$D$2:$K3099,MATCH($B545,'HS Codes'!$A$2:$A3099,0),MATCH(I$1,'HS Codes'!$D$1:$K$1,0)),"")</f>
        <v>4202 9298 90</v>
      </c>
      <c r="J545" s="8">
        <f>_xlfn.IFNA(INDEX('HS Codes'!$D$2:$K3099,MATCH($B545,'HS Codes'!$A$2:$A3099,0),MATCH(J$1,'HS Codes'!$D$1:$K$1,0)),"")</f>
        <v>0</v>
      </c>
      <c r="K545" s="8" t="str">
        <f>_xlfn.IFNA(INDEX('HS Codes'!$D$2:$K3099,MATCH($B545,'HS Codes'!$A$2:$A3099,0),MATCH(K$1,'HS Codes'!$D$1:$K$1,0)),"")</f>
        <v>4202.92.90</v>
      </c>
      <c r="L545" s="8">
        <f>_xlfn.IFNA(INDEX('HS Codes'!$D$2:$K3099,MATCH($B545,'HS Codes'!$A$2:$A3099,0),MATCH(L$1,'HS Codes'!$D$1:$K$1,0)),"")</f>
        <v>42029100</v>
      </c>
      <c r="M545" s="8" t="str">
        <f>_xlfn.IFNA(INDEX('HS Codes'!$C$2:$C3099,MATCH($B545,'HS Codes'!$A$2:$A3099,0)),"")</f>
        <v>Shopping Bag 100% recycled polyester</v>
      </c>
      <c r="N545" s="9"/>
      <c r="O545" s="9"/>
      <c r="P545" s="9"/>
      <c r="Q545" s="9"/>
    </row>
    <row r="546" spans="1:17" ht="15.75" customHeight="1">
      <c r="A546" s="7" t="s">
        <v>835</v>
      </c>
      <c r="B546" s="7" t="s">
        <v>77</v>
      </c>
      <c r="C546" s="7" t="s">
        <v>275</v>
      </c>
      <c r="D546" s="7" t="s">
        <v>78</v>
      </c>
      <c r="E546" s="7" t="s">
        <v>276</v>
      </c>
      <c r="F546" s="8" t="str">
        <f>_xlfn.IFNA(INDEX('HS Codes'!$D$2:$K3100,MATCH($B546,'HS Codes'!$A$2:$A3100,0),MATCH(F$1,'HS Codes'!$D$1:$K$1,0)),"")</f>
        <v>4202.92.91.00</v>
      </c>
      <c r="G546" s="8">
        <f>_xlfn.IFNA(INDEX('HS Codes'!$D$2:$K3100,MATCH($B546,'HS Codes'!$A$2:$A3100,0),MATCH(G$1,'HS Codes'!$D$1:$K$1,0)),"")</f>
        <v>4202921900</v>
      </c>
      <c r="H546" s="8" t="str">
        <f>_xlfn.IFNA(INDEX('HS Codes'!$D$2:$K3100,MATCH($B546,'HS Codes'!$A$2:$A3100,0),MATCH(H$1,'HS Codes'!$D$1:$K$1,0)),"")</f>
        <v>4202.92.90.00</v>
      </c>
      <c r="I546" s="8" t="str">
        <f>_xlfn.IFNA(INDEX('HS Codes'!$D$2:$K3100,MATCH($B546,'HS Codes'!$A$2:$A3100,0),MATCH(I$1,'HS Codes'!$D$1:$K$1,0)),"")</f>
        <v>4202 9298 90</v>
      </c>
      <c r="J546" s="8">
        <f>_xlfn.IFNA(INDEX('HS Codes'!$D$2:$K3100,MATCH($B546,'HS Codes'!$A$2:$A3100,0),MATCH(J$1,'HS Codes'!$D$1:$K$1,0)),"")</f>
        <v>0</v>
      </c>
      <c r="K546" s="8" t="str">
        <f>_xlfn.IFNA(INDEX('HS Codes'!$D$2:$K3100,MATCH($B546,'HS Codes'!$A$2:$A3100,0),MATCH(K$1,'HS Codes'!$D$1:$K$1,0)),"")</f>
        <v>4202.92.90</v>
      </c>
      <c r="L546" s="8">
        <f>_xlfn.IFNA(INDEX('HS Codes'!$D$2:$K3100,MATCH($B546,'HS Codes'!$A$2:$A3100,0),MATCH(L$1,'HS Codes'!$D$1:$K$1,0)),"")</f>
        <v>42029100</v>
      </c>
      <c r="M546" s="8" t="str">
        <f>_xlfn.IFNA(INDEX('HS Codes'!$C$2:$C3100,MATCH($B546,'HS Codes'!$A$2:$A3100,0)),"")</f>
        <v>Shopping Bag 100% recycled polyester</v>
      </c>
      <c r="N546" s="9"/>
      <c r="O546" s="9"/>
      <c r="P546" s="9"/>
      <c r="Q546" s="9"/>
    </row>
    <row r="547" spans="1:17" ht="15.75" customHeight="1">
      <c r="A547" s="7" t="s">
        <v>836</v>
      </c>
      <c r="B547" s="7" t="s">
        <v>77</v>
      </c>
      <c r="C547" s="7" t="s">
        <v>275</v>
      </c>
      <c r="D547" s="7" t="s">
        <v>78</v>
      </c>
      <c r="E547" s="7" t="s">
        <v>276</v>
      </c>
      <c r="F547" s="8" t="str">
        <f>_xlfn.IFNA(INDEX('HS Codes'!$D$2:$K3101,MATCH($B547,'HS Codes'!$A$2:$A3101,0),MATCH(F$1,'HS Codes'!$D$1:$K$1,0)),"")</f>
        <v>4202.92.91.00</v>
      </c>
      <c r="G547" s="8">
        <f>_xlfn.IFNA(INDEX('HS Codes'!$D$2:$K3101,MATCH($B547,'HS Codes'!$A$2:$A3101,0),MATCH(G$1,'HS Codes'!$D$1:$K$1,0)),"")</f>
        <v>4202921900</v>
      </c>
      <c r="H547" s="8" t="str">
        <f>_xlfn.IFNA(INDEX('HS Codes'!$D$2:$K3101,MATCH($B547,'HS Codes'!$A$2:$A3101,0),MATCH(H$1,'HS Codes'!$D$1:$K$1,0)),"")</f>
        <v>4202.92.90.00</v>
      </c>
      <c r="I547" s="8" t="str">
        <f>_xlfn.IFNA(INDEX('HS Codes'!$D$2:$K3101,MATCH($B547,'HS Codes'!$A$2:$A3101,0),MATCH(I$1,'HS Codes'!$D$1:$K$1,0)),"")</f>
        <v>4202 9298 90</v>
      </c>
      <c r="J547" s="8">
        <f>_xlfn.IFNA(INDEX('HS Codes'!$D$2:$K3101,MATCH($B547,'HS Codes'!$A$2:$A3101,0),MATCH(J$1,'HS Codes'!$D$1:$K$1,0)),"")</f>
        <v>0</v>
      </c>
      <c r="K547" s="8" t="str">
        <f>_xlfn.IFNA(INDEX('HS Codes'!$D$2:$K3101,MATCH($B547,'HS Codes'!$A$2:$A3101,0),MATCH(K$1,'HS Codes'!$D$1:$K$1,0)),"")</f>
        <v>4202.92.90</v>
      </c>
      <c r="L547" s="8">
        <f>_xlfn.IFNA(INDEX('HS Codes'!$D$2:$K3101,MATCH($B547,'HS Codes'!$A$2:$A3101,0),MATCH(L$1,'HS Codes'!$D$1:$K$1,0)),"")</f>
        <v>42029100</v>
      </c>
      <c r="M547" s="8" t="str">
        <f>_xlfn.IFNA(INDEX('HS Codes'!$C$2:$C3101,MATCH($B547,'HS Codes'!$A$2:$A3101,0)),"")</f>
        <v>Shopping Bag 100% recycled polyester</v>
      </c>
      <c r="N547" s="9"/>
      <c r="O547" s="9"/>
      <c r="P547" s="9"/>
      <c r="Q547" s="9"/>
    </row>
    <row r="548" spans="1:17" ht="15.75" customHeight="1">
      <c r="A548" s="7" t="s">
        <v>837</v>
      </c>
      <c r="B548" s="7" t="s">
        <v>93</v>
      </c>
      <c r="C548" s="7"/>
      <c r="D548" s="7" t="s">
        <v>94</v>
      </c>
      <c r="E548" s="7" t="s">
        <v>838</v>
      </c>
      <c r="F548" s="8" t="str">
        <f>_xlfn.IFNA(INDEX('HS Codes'!$D$2:$K3102,MATCH($B548,'HS Codes'!$A$2:$A3102,0),MATCH(F$1,'HS Codes'!$D$1:$K$1,0)),"")</f>
        <v>7310.29.00</v>
      </c>
      <c r="G548" s="8">
        <f>_xlfn.IFNA(INDEX('HS Codes'!$D$2:$K3102,MATCH($B548,'HS Codes'!$A$2:$A3102,0),MATCH(G$1,'HS Codes'!$D$1:$K$1,0)),"")</f>
        <v>7310299000</v>
      </c>
      <c r="H548" s="8" t="str">
        <f>_xlfn.IFNA(INDEX('HS Codes'!$D$2:$K3102,MATCH($B548,'HS Codes'!$A$2:$A3102,0),MATCH(H$1,'HS Codes'!$D$1:$K$1,0)),"")</f>
        <v>7310.29.00</v>
      </c>
      <c r="I548" s="8">
        <f>_xlfn.IFNA(INDEX('HS Codes'!$D$2:$K3102,MATCH($B548,'HS Codes'!$A$2:$A3102,0),MATCH(I$1,'HS Codes'!$D$1:$K$1,0)),"")</f>
        <v>73102191</v>
      </c>
      <c r="J548" s="8">
        <f>_xlfn.IFNA(INDEX('HS Codes'!$D$2:$K3102,MATCH($B548,'HS Codes'!$A$2:$A3102,0),MATCH(J$1,'HS Codes'!$D$1:$K$1,0)),"")</f>
        <v>0</v>
      </c>
      <c r="K548" s="8" t="str">
        <f>_xlfn.IFNA(INDEX('HS Codes'!$D$2:$K3102,MATCH($B548,'HS Codes'!$A$2:$A3102,0),MATCH(K$1,'HS Codes'!$D$1:$K$1,0)),"")</f>
        <v>7310.21.10</v>
      </c>
      <c r="L548" s="8">
        <f>_xlfn.IFNA(INDEX('HS Codes'!$D$2:$K3102,MATCH($B548,'HS Codes'!$A$2:$A3102,0),MATCH(L$1,'HS Codes'!$D$1:$K$1,0)),"")</f>
        <v>0</v>
      </c>
      <c r="M548" s="8" t="str">
        <f>_xlfn.IFNA(INDEX('HS Codes'!$C$2:$C3102,MATCH($B548,'HS Codes'!$A$2:$A3102,0)),"")</f>
        <v>Bottle</v>
      </c>
      <c r="N548" s="9"/>
      <c r="O548" s="9"/>
      <c r="P548" s="9"/>
      <c r="Q548" s="9"/>
    </row>
    <row r="549" spans="1:17" ht="15.75" customHeight="1">
      <c r="A549" s="7" t="s">
        <v>839</v>
      </c>
      <c r="B549" s="7" t="s">
        <v>93</v>
      </c>
      <c r="C549" s="7"/>
      <c r="D549" s="7" t="s">
        <v>94</v>
      </c>
      <c r="E549" s="7" t="s">
        <v>838</v>
      </c>
      <c r="F549" s="8" t="str">
        <f>_xlfn.IFNA(INDEX('HS Codes'!$D$2:$K3103,MATCH($B549,'HS Codes'!$A$2:$A3103,0),MATCH(F$1,'HS Codes'!$D$1:$K$1,0)),"")</f>
        <v>7310.29.00</v>
      </c>
      <c r="G549" s="8">
        <f>_xlfn.IFNA(INDEX('HS Codes'!$D$2:$K3103,MATCH($B549,'HS Codes'!$A$2:$A3103,0),MATCH(G$1,'HS Codes'!$D$1:$K$1,0)),"")</f>
        <v>7310299000</v>
      </c>
      <c r="H549" s="8" t="str">
        <f>_xlfn.IFNA(INDEX('HS Codes'!$D$2:$K3103,MATCH($B549,'HS Codes'!$A$2:$A3103,0),MATCH(H$1,'HS Codes'!$D$1:$K$1,0)),"")</f>
        <v>7310.29.00</v>
      </c>
      <c r="I549" s="8">
        <f>_xlfn.IFNA(INDEX('HS Codes'!$D$2:$K3103,MATCH($B549,'HS Codes'!$A$2:$A3103,0),MATCH(I$1,'HS Codes'!$D$1:$K$1,0)),"")</f>
        <v>73102191</v>
      </c>
      <c r="J549" s="8">
        <f>_xlfn.IFNA(INDEX('HS Codes'!$D$2:$K3103,MATCH($B549,'HS Codes'!$A$2:$A3103,0),MATCH(J$1,'HS Codes'!$D$1:$K$1,0)),"")</f>
        <v>0</v>
      </c>
      <c r="K549" s="8" t="str">
        <f>_xlfn.IFNA(INDEX('HS Codes'!$D$2:$K3103,MATCH($B549,'HS Codes'!$A$2:$A3103,0),MATCH(K$1,'HS Codes'!$D$1:$K$1,0)),"")</f>
        <v>7310.21.10</v>
      </c>
      <c r="L549" s="8">
        <f>_xlfn.IFNA(INDEX('HS Codes'!$D$2:$K3103,MATCH($B549,'HS Codes'!$A$2:$A3103,0),MATCH(L$1,'HS Codes'!$D$1:$K$1,0)),"")</f>
        <v>0</v>
      </c>
      <c r="M549" s="8" t="str">
        <f>_xlfn.IFNA(INDEX('HS Codes'!$C$2:$C3103,MATCH($B549,'HS Codes'!$A$2:$A3103,0)),"")</f>
        <v>Bottle</v>
      </c>
      <c r="N549" s="9"/>
      <c r="O549" s="9"/>
      <c r="P549" s="9"/>
      <c r="Q549" s="9"/>
    </row>
    <row r="550" spans="1:17" ht="15.75" customHeight="1">
      <c r="A550" s="7" t="s">
        <v>840</v>
      </c>
      <c r="B550" s="7" t="s">
        <v>93</v>
      </c>
      <c r="C550" s="7"/>
      <c r="D550" s="7" t="s">
        <v>94</v>
      </c>
      <c r="E550" s="7" t="s">
        <v>838</v>
      </c>
      <c r="F550" s="8" t="str">
        <f>_xlfn.IFNA(INDEX('HS Codes'!$D$2:$K3104,MATCH($B550,'HS Codes'!$A$2:$A3104,0),MATCH(F$1,'HS Codes'!$D$1:$K$1,0)),"")</f>
        <v>7310.29.00</v>
      </c>
      <c r="G550" s="8">
        <f>_xlfn.IFNA(INDEX('HS Codes'!$D$2:$K3104,MATCH($B550,'HS Codes'!$A$2:$A3104,0),MATCH(G$1,'HS Codes'!$D$1:$K$1,0)),"")</f>
        <v>7310299000</v>
      </c>
      <c r="H550" s="8" t="str">
        <f>_xlfn.IFNA(INDEX('HS Codes'!$D$2:$K3104,MATCH($B550,'HS Codes'!$A$2:$A3104,0),MATCH(H$1,'HS Codes'!$D$1:$K$1,0)),"")</f>
        <v>7310.29.00</v>
      </c>
      <c r="I550" s="8">
        <f>_xlfn.IFNA(INDEX('HS Codes'!$D$2:$K3104,MATCH($B550,'HS Codes'!$A$2:$A3104,0),MATCH(I$1,'HS Codes'!$D$1:$K$1,0)),"")</f>
        <v>73102191</v>
      </c>
      <c r="J550" s="8">
        <f>_xlfn.IFNA(INDEX('HS Codes'!$D$2:$K3104,MATCH($B550,'HS Codes'!$A$2:$A3104,0),MATCH(J$1,'HS Codes'!$D$1:$K$1,0)),"")</f>
        <v>0</v>
      </c>
      <c r="K550" s="8" t="str">
        <f>_xlfn.IFNA(INDEX('HS Codes'!$D$2:$K3104,MATCH($B550,'HS Codes'!$A$2:$A3104,0),MATCH(K$1,'HS Codes'!$D$1:$K$1,0)),"")</f>
        <v>7310.21.10</v>
      </c>
      <c r="L550" s="8">
        <f>_xlfn.IFNA(INDEX('HS Codes'!$D$2:$K3104,MATCH($B550,'HS Codes'!$A$2:$A3104,0),MATCH(L$1,'HS Codes'!$D$1:$K$1,0)),"")</f>
        <v>0</v>
      </c>
      <c r="M550" s="8" t="str">
        <f>_xlfn.IFNA(INDEX('HS Codes'!$C$2:$C3104,MATCH($B550,'HS Codes'!$A$2:$A3104,0)),"")</f>
        <v>Bottle</v>
      </c>
      <c r="N550" s="9"/>
      <c r="O550" s="9"/>
      <c r="P550" s="9"/>
      <c r="Q550" s="9"/>
    </row>
    <row r="551" spans="1:17" ht="15.75" customHeight="1">
      <c r="A551" s="7" t="s">
        <v>841</v>
      </c>
      <c r="B551" s="7" t="s">
        <v>193</v>
      </c>
      <c r="C551" s="7"/>
      <c r="D551" s="7" t="s">
        <v>194</v>
      </c>
      <c r="E551" s="7" t="s">
        <v>322</v>
      </c>
      <c r="F551" s="8">
        <f>_xlfn.IFNA(INDEX('HS Codes'!$D$2:$K3105,MATCH($B551,'HS Codes'!$A$2:$A3105,0),MATCH(F$1,'HS Codes'!$D$1:$K$1,0)),"")</f>
        <v>0</v>
      </c>
      <c r="G551" s="8">
        <f>_xlfn.IFNA(INDEX('HS Codes'!$D$2:$K3105,MATCH($B551,'HS Codes'!$A$2:$A3105,0),MATCH(G$1,'HS Codes'!$D$1:$K$1,0)),"")</f>
        <v>0</v>
      </c>
      <c r="H551" s="8">
        <f>_xlfn.IFNA(INDEX('HS Codes'!$D$2:$K3105,MATCH($B551,'HS Codes'!$A$2:$A3105,0),MATCH(H$1,'HS Codes'!$D$1:$K$1,0)),"")</f>
        <v>0</v>
      </c>
      <c r="I551" s="8">
        <f>_xlfn.IFNA(INDEX('HS Codes'!$D$2:$K3105,MATCH($B551,'HS Codes'!$A$2:$A3105,0),MATCH(I$1,'HS Codes'!$D$1:$K$1,0)),"")</f>
        <v>0</v>
      </c>
      <c r="J551" s="8">
        <f>_xlfn.IFNA(INDEX('HS Codes'!$D$2:$K3105,MATCH($B551,'HS Codes'!$A$2:$A3105,0),MATCH(J$1,'HS Codes'!$D$1:$K$1,0)),"")</f>
        <v>0</v>
      </c>
      <c r="K551" s="8">
        <f>_xlfn.IFNA(INDEX('HS Codes'!$D$2:$K3105,MATCH($B551,'HS Codes'!$A$2:$A3105,0),MATCH(K$1,'HS Codes'!$D$1:$K$1,0)),"")</f>
        <v>0</v>
      </c>
      <c r="L551" s="8">
        <f>_xlfn.IFNA(INDEX('HS Codes'!$D$2:$K3105,MATCH($B551,'HS Codes'!$A$2:$A3105,0),MATCH(L$1,'HS Codes'!$D$1:$K$1,0)),"")</f>
        <v>0</v>
      </c>
      <c r="M551" s="8">
        <f>_xlfn.IFNA(INDEX('HS Codes'!$C$2:$C3105,MATCH($B551,'HS Codes'!$A$2:$A3105,0)),"")</f>
        <v>0</v>
      </c>
      <c r="N551" s="9"/>
      <c r="O551" s="9"/>
      <c r="P551" s="9"/>
      <c r="Q551" s="9"/>
    </row>
    <row r="552" spans="1:17" ht="15.75" customHeight="1">
      <c r="A552" s="7" t="s">
        <v>842</v>
      </c>
      <c r="B552" s="7" t="s">
        <v>217</v>
      </c>
      <c r="C552" s="7"/>
      <c r="D552" s="7" t="s">
        <v>216</v>
      </c>
      <c r="E552" s="7" t="s">
        <v>322</v>
      </c>
      <c r="F552" s="8">
        <f>_xlfn.IFNA(INDEX('HS Codes'!$D$2:$K3106,MATCH($B552,'HS Codes'!$A$2:$A3106,0),MATCH(F$1,'HS Codes'!$D$1:$K$1,0)),"")</f>
        <v>0</v>
      </c>
      <c r="G552" s="8">
        <f>_xlfn.IFNA(INDEX('HS Codes'!$D$2:$K3106,MATCH($B552,'HS Codes'!$A$2:$A3106,0),MATCH(G$1,'HS Codes'!$D$1:$K$1,0)),"")</f>
        <v>0</v>
      </c>
      <c r="H552" s="8">
        <f>_xlfn.IFNA(INDEX('HS Codes'!$D$2:$K3106,MATCH($B552,'HS Codes'!$A$2:$A3106,0),MATCH(H$1,'HS Codes'!$D$1:$K$1,0)),"")</f>
        <v>0</v>
      </c>
      <c r="I552" s="8">
        <f>_xlfn.IFNA(INDEX('HS Codes'!$D$2:$K3106,MATCH($B552,'HS Codes'!$A$2:$A3106,0),MATCH(I$1,'HS Codes'!$D$1:$K$1,0)),"")</f>
        <v>0</v>
      </c>
      <c r="J552" s="8">
        <f>_xlfn.IFNA(INDEX('HS Codes'!$D$2:$K3106,MATCH($B552,'HS Codes'!$A$2:$A3106,0),MATCH(J$1,'HS Codes'!$D$1:$K$1,0)),"")</f>
        <v>0</v>
      </c>
      <c r="K552" s="8">
        <f>_xlfn.IFNA(INDEX('HS Codes'!$D$2:$K3106,MATCH($B552,'HS Codes'!$A$2:$A3106,0),MATCH(K$1,'HS Codes'!$D$1:$K$1,0)),"")</f>
        <v>0</v>
      </c>
      <c r="L552" s="8">
        <f>_xlfn.IFNA(INDEX('HS Codes'!$D$2:$K3106,MATCH($B552,'HS Codes'!$A$2:$A3106,0),MATCH(L$1,'HS Codes'!$D$1:$K$1,0)),"")</f>
        <v>0</v>
      </c>
      <c r="M552" s="8">
        <f>_xlfn.IFNA(INDEX('HS Codes'!$C$2:$C3106,MATCH($B552,'HS Codes'!$A$2:$A3106,0)),"")</f>
        <v>0</v>
      </c>
      <c r="N552" s="9"/>
      <c r="O552" s="9"/>
      <c r="P552" s="9"/>
      <c r="Q552" s="9"/>
    </row>
    <row r="553" spans="1:17" ht="15.75" customHeight="1">
      <c r="A553" s="7" t="s">
        <v>843</v>
      </c>
      <c r="B553" s="7" t="s">
        <v>201</v>
      </c>
      <c r="C553" s="7"/>
      <c r="D553" s="7" t="s">
        <v>202</v>
      </c>
      <c r="E553" s="7" t="s">
        <v>322</v>
      </c>
      <c r="F553" s="8">
        <f>_xlfn.IFNA(INDEX('HS Codes'!$D$2:$K3107,MATCH($B553,'HS Codes'!$A$2:$A3107,0),MATCH(F$1,'HS Codes'!$D$1:$K$1,0)),"")</f>
        <v>0</v>
      </c>
      <c r="G553" s="8">
        <f>_xlfn.IFNA(INDEX('HS Codes'!$D$2:$K3107,MATCH($B553,'HS Codes'!$A$2:$A3107,0),MATCH(G$1,'HS Codes'!$D$1:$K$1,0)),"")</f>
        <v>0</v>
      </c>
      <c r="H553" s="8">
        <f>_xlfn.IFNA(INDEX('HS Codes'!$D$2:$K3107,MATCH($B553,'HS Codes'!$A$2:$A3107,0),MATCH(H$1,'HS Codes'!$D$1:$K$1,0)),"")</f>
        <v>0</v>
      </c>
      <c r="I553" s="8">
        <f>_xlfn.IFNA(INDEX('HS Codes'!$D$2:$K3107,MATCH($B553,'HS Codes'!$A$2:$A3107,0),MATCH(I$1,'HS Codes'!$D$1:$K$1,0)),"")</f>
        <v>0</v>
      </c>
      <c r="J553" s="8">
        <f>_xlfn.IFNA(INDEX('HS Codes'!$D$2:$K3107,MATCH($B553,'HS Codes'!$A$2:$A3107,0),MATCH(J$1,'HS Codes'!$D$1:$K$1,0)),"")</f>
        <v>0</v>
      </c>
      <c r="K553" s="8">
        <f>_xlfn.IFNA(INDEX('HS Codes'!$D$2:$K3107,MATCH($B553,'HS Codes'!$A$2:$A3107,0),MATCH(K$1,'HS Codes'!$D$1:$K$1,0)),"")</f>
        <v>0</v>
      </c>
      <c r="L553" s="8">
        <f>_xlfn.IFNA(INDEX('HS Codes'!$D$2:$K3107,MATCH($B553,'HS Codes'!$A$2:$A3107,0),MATCH(L$1,'HS Codes'!$D$1:$K$1,0)),"")</f>
        <v>0</v>
      </c>
      <c r="M553" s="8">
        <f>_xlfn.IFNA(INDEX('HS Codes'!$C$2:$C3107,MATCH($B553,'HS Codes'!$A$2:$A3107,0)),"")</f>
        <v>0</v>
      </c>
      <c r="N553" s="9"/>
      <c r="O553" s="9"/>
      <c r="P553" s="9"/>
      <c r="Q553" s="9"/>
    </row>
    <row r="554" spans="1:17" ht="15.75" customHeight="1">
      <c r="A554" s="7" t="s">
        <v>844</v>
      </c>
      <c r="B554" s="7" t="s">
        <v>201</v>
      </c>
      <c r="C554" s="7"/>
      <c r="D554" s="7" t="s">
        <v>202</v>
      </c>
      <c r="E554" s="7" t="s">
        <v>322</v>
      </c>
      <c r="F554" s="8">
        <f>_xlfn.IFNA(INDEX('HS Codes'!$D$2:$K3108,MATCH($B554,'HS Codes'!$A$2:$A3108,0),MATCH(F$1,'HS Codes'!$D$1:$K$1,0)),"")</f>
        <v>0</v>
      </c>
      <c r="G554" s="8">
        <f>_xlfn.IFNA(INDEX('HS Codes'!$D$2:$K3108,MATCH($B554,'HS Codes'!$A$2:$A3108,0),MATCH(G$1,'HS Codes'!$D$1:$K$1,0)),"")</f>
        <v>0</v>
      </c>
      <c r="H554" s="8">
        <f>_xlfn.IFNA(INDEX('HS Codes'!$D$2:$K3108,MATCH($B554,'HS Codes'!$A$2:$A3108,0),MATCH(H$1,'HS Codes'!$D$1:$K$1,0)),"")</f>
        <v>0</v>
      </c>
      <c r="I554" s="8">
        <f>_xlfn.IFNA(INDEX('HS Codes'!$D$2:$K3108,MATCH($B554,'HS Codes'!$A$2:$A3108,0),MATCH(I$1,'HS Codes'!$D$1:$K$1,0)),"")</f>
        <v>0</v>
      </c>
      <c r="J554" s="8">
        <f>_xlfn.IFNA(INDEX('HS Codes'!$D$2:$K3108,MATCH($B554,'HS Codes'!$A$2:$A3108,0),MATCH(J$1,'HS Codes'!$D$1:$K$1,0)),"")</f>
        <v>0</v>
      </c>
      <c r="K554" s="8">
        <f>_xlfn.IFNA(INDEX('HS Codes'!$D$2:$K3108,MATCH($B554,'HS Codes'!$A$2:$A3108,0),MATCH(K$1,'HS Codes'!$D$1:$K$1,0)),"")</f>
        <v>0</v>
      </c>
      <c r="L554" s="8">
        <f>_xlfn.IFNA(INDEX('HS Codes'!$D$2:$K3108,MATCH($B554,'HS Codes'!$A$2:$A3108,0),MATCH(L$1,'HS Codes'!$D$1:$K$1,0)),"")</f>
        <v>0</v>
      </c>
      <c r="M554" s="8">
        <f>_xlfn.IFNA(INDEX('HS Codes'!$C$2:$C3108,MATCH($B554,'HS Codes'!$A$2:$A3108,0)),"")</f>
        <v>0</v>
      </c>
      <c r="N554" s="9"/>
      <c r="O554" s="9"/>
      <c r="P554" s="9"/>
      <c r="Q554" s="9"/>
    </row>
    <row r="555" spans="1:17" ht="15.75" customHeight="1">
      <c r="A555" s="7" t="s">
        <v>845</v>
      </c>
      <c r="B555" s="7" t="s">
        <v>203</v>
      </c>
      <c r="C555" s="7"/>
      <c r="D555" s="7" t="s">
        <v>204</v>
      </c>
      <c r="E555" s="7" t="s">
        <v>322</v>
      </c>
      <c r="F555" s="8">
        <f>_xlfn.IFNA(INDEX('HS Codes'!$D$2:$K3109,MATCH($B555,'HS Codes'!$A$2:$A3109,0),MATCH(F$1,'HS Codes'!$D$1:$K$1,0)),"")</f>
        <v>0</v>
      </c>
      <c r="G555" s="8">
        <f>_xlfn.IFNA(INDEX('HS Codes'!$D$2:$K3109,MATCH($B555,'HS Codes'!$A$2:$A3109,0),MATCH(G$1,'HS Codes'!$D$1:$K$1,0)),"")</f>
        <v>0</v>
      </c>
      <c r="H555" s="8">
        <f>_xlfn.IFNA(INDEX('HS Codes'!$D$2:$K3109,MATCH($B555,'HS Codes'!$A$2:$A3109,0),MATCH(H$1,'HS Codes'!$D$1:$K$1,0)),"")</f>
        <v>0</v>
      </c>
      <c r="I555" s="8">
        <f>_xlfn.IFNA(INDEX('HS Codes'!$D$2:$K3109,MATCH($B555,'HS Codes'!$A$2:$A3109,0),MATCH(I$1,'HS Codes'!$D$1:$K$1,0)),"")</f>
        <v>0</v>
      </c>
      <c r="J555" s="8">
        <f>_xlfn.IFNA(INDEX('HS Codes'!$D$2:$K3109,MATCH($B555,'HS Codes'!$A$2:$A3109,0),MATCH(J$1,'HS Codes'!$D$1:$K$1,0)),"")</f>
        <v>0</v>
      </c>
      <c r="K555" s="8">
        <f>_xlfn.IFNA(INDEX('HS Codes'!$D$2:$K3109,MATCH($B555,'HS Codes'!$A$2:$A3109,0),MATCH(K$1,'HS Codes'!$D$1:$K$1,0)),"")</f>
        <v>0</v>
      </c>
      <c r="L555" s="8">
        <f>_xlfn.IFNA(INDEX('HS Codes'!$D$2:$K3109,MATCH($B555,'HS Codes'!$A$2:$A3109,0),MATCH(L$1,'HS Codes'!$D$1:$K$1,0)),"")</f>
        <v>0</v>
      </c>
      <c r="M555" s="8">
        <f>_xlfn.IFNA(INDEX('HS Codes'!$C$2:$C3109,MATCH($B555,'HS Codes'!$A$2:$A3109,0)),"")</f>
        <v>0</v>
      </c>
      <c r="N555" s="9"/>
      <c r="O555" s="9"/>
      <c r="P555" s="9"/>
      <c r="Q555" s="9"/>
    </row>
    <row r="556" spans="1:17" ht="15.75" customHeight="1">
      <c r="A556" s="7" t="s">
        <v>846</v>
      </c>
      <c r="B556" s="7" t="s">
        <v>203</v>
      </c>
      <c r="C556" s="7"/>
      <c r="D556" s="7" t="s">
        <v>204</v>
      </c>
      <c r="E556" s="7" t="s">
        <v>322</v>
      </c>
      <c r="F556" s="8">
        <f>_xlfn.IFNA(INDEX('HS Codes'!$D$2:$K3110,MATCH($B556,'HS Codes'!$A$2:$A3110,0),MATCH(F$1,'HS Codes'!$D$1:$K$1,0)),"")</f>
        <v>0</v>
      </c>
      <c r="G556" s="8">
        <f>_xlfn.IFNA(INDEX('HS Codes'!$D$2:$K3110,MATCH($B556,'HS Codes'!$A$2:$A3110,0),MATCH(G$1,'HS Codes'!$D$1:$K$1,0)),"")</f>
        <v>0</v>
      </c>
      <c r="H556" s="8">
        <f>_xlfn.IFNA(INDEX('HS Codes'!$D$2:$K3110,MATCH($B556,'HS Codes'!$A$2:$A3110,0),MATCH(H$1,'HS Codes'!$D$1:$K$1,0)),"")</f>
        <v>0</v>
      </c>
      <c r="I556" s="8">
        <f>_xlfn.IFNA(INDEX('HS Codes'!$D$2:$K3110,MATCH($B556,'HS Codes'!$A$2:$A3110,0),MATCH(I$1,'HS Codes'!$D$1:$K$1,0)),"")</f>
        <v>0</v>
      </c>
      <c r="J556" s="8">
        <f>_xlfn.IFNA(INDEX('HS Codes'!$D$2:$K3110,MATCH($B556,'HS Codes'!$A$2:$A3110,0),MATCH(J$1,'HS Codes'!$D$1:$K$1,0)),"")</f>
        <v>0</v>
      </c>
      <c r="K556" s="8">
        <f>_xlfn.IFNA(INDEX('HS Codes'!$D$2:$K3110,MATCH($B556,'HS Codes'!$A$2:$A3110,0),MATCH(K$1,'HS Codes'!$D$1:$K$1,0)),"")</f>
        <v>0</v>
      </c>
      <c r="L556" s="8">
        <f>_xlfn.IFNA(INDEX('HS Codes'!$D$2:$K3110,MATCH($B556,'HS Codes'!$A$2:$A3110,0),MATCH(L$1,'HS Codes'!$D$1:$K$1,0)),"")</f>
        <v>0</v>
      </c>
      <c r="M556" s="8">
        <f>_xlfn.IFNA(INDEX('HS Codes'!$C$2:$C3110,MATCH($B556,'HS Codes'!$A$2:$A3110,0)),"")</f>
        <v>0</v>
      </c>
      <c r="N556" s="9"/>
      <c r="O556" s="9"/>
      <c r="P556" s="9"/>
      <c r="Q556" s="9"/>
    </row>
    <row r="557" spans="1:17" ht="15.75" customHeight="1">
      <c r="A557" s="7" t="s">
        <v>847</v>
      </c>
      <c r="B557" s="7" t="s">
        <v>203</v>
      </c>
      <c r="C557" s="7"/>
      <c r="D557" s="7" t="s">
        <v>204</v>
      </c>
      <c r="E557" s="7" t="s">
        <v>322</v>
      </c>
      <c r="F557" s="8">
        <f>_xlfn.IFNA(INDEX('HS Codes'!$D$2:$K3111,MATCH($B557,'HS Codes'!$A$2:$A3111,0),MATCH(F$1,'HS Codes'!$D$1:$K$1,0)),"")</f>
        <v>0</v>
      </c>
      <c r="G557" s="8">
        <f>_xlfn.IFNA(INDEX('HS Codes'!$D$2:$K3111,MATCH($B557,'HS Codes'!$A$2:$A3111,0),MATCH(G$1,'HS Codes'!$D$1:$K$1,0)),"")</f>
        <v>0</v>
      </c>
      <c r="H557" s="8">
        <f>_xlfn.IFNA(INDEX('HS Codes'!$D$2:$K3111,MATCH($B557,'HS Codes'!$A$2:$A3111,0),MATCH(H$1,'HS Codes'!$D$1:$K$1,0)),"")</f>
        <v>0</v>
      </c>
      <c r="I557" s="8">
        <f>_xlfn.IFNA(INDEX('HS Codes'!$D$2:$K3111,MATCH($B557,'HS Codes'!$A$2:$A3111,0),MATCH(I$1,'HS Codes'!$D$1:$K$1,0)),"")</f>
        <v>0</v>
      </c>
      <c r="J557" s="8">
        <f>_xlfn.IFNA(INDEX('HS Codes'!$D$2:$K3111,MATCH($B557,'HS Codes'!$A$2:$A3111,0),MATCH(J$1,'HS Codes'!$D$1:$K$1,0)),"")</f>
        <v>0</v>
      </c>
      <c r="K557" s="8">
        <f>_xlfn.IFNA(INDEX('HS Codes'!$D$2:$K3111,MATCH($B557,'HS Codes'!$A$2:$A3111,0),MATCH(K$1,'HS Codes'!$D$1:$K$1,0)),"")</f>
        <v>0</v>
      </c>
      <c r="L557" s="8">
        <f>_xlfn.IFNA(INDEX('HS Codes'!$D$2:$K3111,MATCH($B557,'HS Codes'!$A$2:$A3111,0),MATCH(L$1,'HS Codes'!$D$1:$K$1,0)),"")</f>
        <v>0</v>
      </c>
      <c r="M557" s="8">
        <f>_xlfn.IFNA(INDEX('HS Codes'!$C$2:$C3111,MATCH($B557,'HS Codes'!$A$2:$A3111,0)),"")</f>
        <v>0</v>
      </c>
      <c r="N557" s="9"/>
      <c r="O557" s="9"/>
      <c r="P557" s="9"/>
      <c r="Q557" s="9"/>
    </row>
    <row r="558" spans="1:17" ht="15.75" customHeight="1">
      <c r="A558" s="7" t="s">
        <v>848</v>
      </c>
      <c r="B558" s="7" t="s">
        <v>150</v>
      </c>
      <c r="C558" s="7"/>
      <c r="D558" s="7" t="s">
        <v>151</v>
      </c>
      <c r="E558" s="7" t="s">
        <v>151</v>
      </c>
      <c r="F558" s="8" t="str">
        <f>_xlfn.IFNA(INDEX('HS Codes'!$D$2:$K3112,MATCH($B558,'HS Codes'!$A$2:$A3112,0),MATCH(F$1,'HS Codes'!$D$1:$K$1,0)),"")</f>
        <v>6208.92.0010</v>
      </c>
      <c r="G558" s="8">
        <f>_xlfn.IFNA(INDEX('HS Codes'!$D$2:$K3112,MATCH($B558,'HS Codes'!$A$2:$A3112,0),MATCH(G$1,'HS Codes'!$D$1:$K$1,0)),"")</f>
        <v>6208110000</v>
      </c>
      <c r="H558" s="8" t="str">
        <f>_xlfn.IFNA(INDEX('HS Codes'!$D$2:$K3112,MATCH($B558,'HS Codes'!$A$2:$A3112,0),MATCH(H$1,'HS Codes'!$D$1:$K$1,0)),"")</f>
        <v>6208.92.00.00</v>
      </c>
      <c r="I558" s="8">
        <f>_xlfn.IFNA(INDEX('HS Codes'!$D$2:$K3112,MATCH($B558,'HS Codes'!$A$2:$A3112,0),MATCH(I$1,'HS Codes'!$D$1:$K$1,0)),"")</f>
        <v>6208990099</v>
      </c>
      <c r="J558" s="8">
        <f>_xlfn.IFNA(INDEX('HS Codes'!$D$2:$K3112,MATCH($B558,'HS Codes'!$A$2:$A3112,0),MATCH(J$1,'HS Codes'!$D$1:$K$1,0)),"")</f>
        <v>0</v>
      </c>
      <c r="K558" s="8" t="str">
        <f>_xlfn.IFNA(INDEX('HS Codes'!$D$2:$K3112,MATCH($B558,'HS Codes'!$A$2:$A3112,0),MATCH(K$1,'HS Codes'!$D$1:$K$1,0)),"")</f>
        <v>6208.11.00</v>
      </c>
      <c r="L558" s="8">
        <f>_xlfn.IFNA(INDEX('HS Codes'!$D$2:$K3112,MATCH($B558,'HS Codes'!$A$2:$A3112,0),MATCH(L$1,'HS Codes'!$D$1:$K$1,0)),"")</f>
        <v>62089200</v>
      </c>
      <c r="M558" s="8" t="str">
        <f>_xlfn.IFNA(INDEX('HS Codes'!$C$2:$C3112,MATCH($B558,'HS Codes'!$A$2:$A3112,0)),"")</f>
        <v>Bathrobe 100% recycled 220 GSM/83% polyester/17% polyamide includes cotton on the packing pouch drawstring</v>
      </c>
      <c r="N558" s="9"/>
      <c r="O558" s="9"/>
      <c r="P558" s="9"/>
      <c r="Q558" s="9"/>
    </row>
    <row r="559" spans="1:17" ht="15.75" customHeight="1">
      <c r="A559" s="7" t="s">
        <v>849</v>
      </c>
      <c r="B559" s="7" t="s">
        <v>211</v>
      </c>
      <c r="C559" s="7"/>
      <c r="D559" s="7" t="s">
        <v>212</v>
      </c>
      <c r="E559" s="7" t="s">
        <v>322</v>
      </c>
      <c r="F559" s="8">
        <f>_xlfn.IFNA(INDEX('HS Codes'!$D$2:$K3113,MATCH($B559,'HS Codes'!$A$2:$A3113,0),MATCH(F$1,'HS Codes'!$D$1:$K$1,0)),"")</f>
        <v>0</v>
      </c>
      <c r="G559" s="8">
        <f>_xlfn.IFNA(INDEX('HS Codes'!$D$2:$K3113,MATCH($B559,'HS Codes'!$A$2:$A3113,0),MATCH(G$1,'HS Codes'!$D$1:$K$1,0)),"")</f>
        <v>0</v>
      </c>
      <c r="H559" s="8">
        <f>_xlfn.IFNA(INDEX('HS Codes'!$D$2:$K3113,MATCH($B559,'HS Codes'!$A$2:$A3113,0),MATCH(H$1,'HS Codes'!$D$1:$K$1,0)),"")</f>
        <v>0</v>
      </c>
      <c r="I559" s="8">
        <f>_xlfn.IFNA(INDEX('HS Codes'!$D$2:$K3113,MATCH($B559,'HS Codes'!$A$2:$A3113,0),MATCH(I$1,'HS Codes'!$D$1:$K$1,0)),"")</f>
        <v>0</v>
      </c>
      <c r="J559" s="8">
        <f>_xlfn.IFNA(INDEX('HS Codes'!$D$2:$K3113,MATCH($B559,'HS Codes'!$A$2:$A3113,0),MATCH(J$1,'HS Codes'!$D$1:$K$1,0)),"")</f>
        <v>0</v>
      </c>
      <c r="K559" s="8">
        <f>_xlfn.IFNA(INDEX('HS Codes'!$D$2:$K3113,MATCH($B559,'HS Codes'!$A$2:$A3113,0),MATCH(K$1,'HS Codes'!$D$1:$K$1,0)),"")</f>
        <v>0</v>
      </c>
      <c r="L559" s="8">
        <f>_xlfn.IFNA(INDEX('HS Codes'!$D$2:$K3113,MATCH($B559,'HS Codes'!$A$2:$A3113,0),MATCH(L$1,'HS Codes'!$D$1:$K$1,0)),"")</f>
        <v>0</v>
      </c>
      <c r="M559" s="8">
        <f>_xlfn.IFNA(INDEX('HS Codes'!$C$2:$C3113,MATCH($B559,'HS Codes'!$A$2:$A3113,0)),"")</f>
        <v>0</v>
      </c>
      <c r="N559" s="9"/>
      <c r="O559" s="9"/>
      <c r="P559" s="9"/>
      <c r="Q559" s="9"/>
    </row>
    <row r="560" spans="1:17" ht="15.75" customHeight="1">
      <c r="A560" s="7" t="s">
        <v>850</v>
      </c>
      <c r="B560" s="7" t="s">
        <v>211</v>
      </c>
      <c r="C560" s="7"/>
      <c r="D560" s="7" t="s">
        <v>212</v>
      </c>
      <c r="E560" s="7" t="s">
        <v>322</v>
      </c>
      <c r="F560" s="8">
        <f>_xlfn.IFNA(INDEX('HS Codes'!$D$2:$K3114,MATCH($B560,'HS Codes'!$A$2:$A3114,0),MATCH(F$1,'HS Codes'!$D$1:$K$1,0)),"")</f>
        <v>0</v>
      </c>
      <c r="G560" s="8">
        <f>_xlfn.IFNA(INDEX('HS Codes'!$D$2:$K3114,MATCH($B560,'HS Codes'!$A$2:$A3114,0),MATCH(G$1,'HS Codes'!$D$1:$K$1,0)),"")</f>
        <v>0</v>
      </c>
      <c r="H560" s="8">
        <f>_xlfn.IFNA(INDEX('HS Codes'!$D$2:$K3114,MATCH($B560,'HS Codes'!$A$2:$A3114,0),MATCH(H$1,'HS Codes'!$D$1:$K$1,0)),"")</f>
        <v>0</v>
      </c>
      <c r="I560" s="8">
        <f>_xlfn.IFNA(INDEX('HS Codes'!$D$2:$K3114,MATCH($B560,'HS Codes'!$A$2:$A3114,0),MATCH(I$1,'HS Codes'!$D$1:$K$1,0)),"")</f>
        <v>0</v>
      </c>
      <c r="J560" s="8">
        <f>_xlfn.IFNA(INDEX('HS Codes'!$D$2:$K3114,MATCH($B560,'HS Codes'!$A$2:$A3114,0),MATCH(J$1,'HS Codes'!$D$1:$K$1,0)),"")</f>
        <v>0</v>
      </c>
      <c r="K560" s="8">
        <f>_xlfn.IFNA(INDEX('HS Codes'!$D$2:$K3114,MATCH($B560,'HS Codes'!$A$2:$A3114,0),MATCH(K$1,'HS Codes'!$D$1:$K$1,0)),"")</f>
        <v>0</v>
      </c>
      <c r="L560" s="8">
        <f>_xlfn.IFNA(INDEX('HS Codes'!$D$2:$K3114,MATCH($B560,'HS Codes'!$A$2:$A3114,0),MATCH(L$1,'HS Codes'!$D$1:$K$1,0)),"")</f>
        <v>0</v>
      </c>
      <c r="M560" s="8">
        <f>_xlfn.IFNA(INDEX('HS Codes'!$C$2:$C3114,MATCH($B560,'HS Codes'!$A$2:$A3114,0)),"")</f>
        <v>0</v>
      </c>
      <c r="N560" s="9"/>
      <c r="O560" s="9"/>
      <c r="P560" s="9"/>
      <c r="Q560" s="9"/>
    </row>
    <row r="561" spans="1:17" ht="15.75" customHeight="1">
      <c r="A561" s="7" t="s">
        <v>851</v>
      </c>
      <c r="B561" s="7" t="s">
        <v>226</v>
      </c>
      <c r="C561" s="7"/>
      <c r="D561" s="7" t="s">
        <v>227</v>
      </c>
      <c r="E561" s="7" t="s">
        <v>322</v>
      </c>
      <c r="F561" s="8">
        <f>_xlfn.IFNA(INDEX('HS Codes'!$D$2:$K3115,MATCH($B561,'HS Codes'!$A$2:$A3115,0),MATCH(F$1,'HS Codes'!$D$1:$K$1,0)),"")</f>
        <v>0</v>
      </c>
      <c r="G561" s="8">
        <f>_xlfn.IFNA(INDEX('HS Codes'!$D$2:$K3115,MATCH($B561,'HS Codes'!$A$2:$A3115,0),MATCH(G$1,'HS Codes'!$D$1:$K$1,0)),"")</f>
        <v>0</v>
      </c>
      <c r="H561" s="8">
        <f>_xlfn.IFNA(INDEX('HS Codes'!$D$2:$K3115,MATCH($B561,'HS Codes'!$A$2:$A3115,0),MATCH(H$1,'HS Codes'!$D$1:$K$1,0)),"")</f>
        <v>0</v>
      </c>
      <c r="I561" s="8">
        <f>_xlfn.IFNA(INDEX('HS Codes'!$D$2:$K3115,MATCH($B561,'HS Codes'!$A$2:$A3115,0),MATCH(I$1,'HS Codes'!$D$1:$K$1,0)),"")</f>
        <v>0</v>
      </c>
      <c r="J561" s="8">
        <f>_xlfn.IFNA(INDEX('HS Codes'!$D$2:$K3115,MATCH($B561,'HS Codes'!$A$2:$A3115,0),MATCH(J$1,'HS Codes'!$D$1:$K$1,0)),"")</f>
        <v>0</v>
      </c>
      <c r="K561" s="8">
        <f>_xlfn.IFNA(INDEX('HS Codes'!$D$2:$K3115,MATCH($B561,'HS Codes'!$A$2:$A3115,0),MATCH(K$1,'HS Codes'!$D$1:$K$1,0)),"")</f>
        <v>0</v>
      </c>
      <c r="L561" s="8">
        <f>_xlfn.IFNA(INDEX('HS Codes'!$D$2:$K3115,MATCH($B561,'HS Codes'!$A$2:$A3115,0),MATCH(L$1,'HS Codes'!$D$1:$K$1,0)),"")</f>
        <v>0</v>
      </c>
      <c r="M561" s="8">
        <f>_xlfn.IFNA(INDEX('HS Codes'!$C$2:$C3115,MATCH($B561,'HS Codes'!$A$2:$A3115,0)),"")</f>
        <v>0</v>
      </c>
      <c r="N561" s="9"/>
      <c r="O561" s="9"/>
      <c r="P561" s="9"/>
      <c r="Q561" s="9"/>
    </row>
    <row r="562" spans="1:17" ht="15.75" customHeight="1">
      <c r="A562" s="7" t="s">
        <v>852</v>
      </c>
      <c r="B562" s="7" t="s">
        <v>164</v>
      </c>
      <c r="C562" s="7" t="s">
        <v>278</v>
      </c>
      <c r="D562" s="7" t="s">
        <v>165</v>
      </c>
      <c r="E562" s="7" t="s">
        <v>348</v>
      </c>
      <c r="F562" s="8" t="str">
        <f>_xlfn.IFNA(INDEX('HS Codes'!$D$2:$K3116,MATCH($B562,'HS Codes'!$A$2:$A3116,0),MATCH(F$1,'HS Codes'!$D$1:$K$1,0)),"")</f>
        <v>6302.93.2000</v>
      </c>
      <c r="G562" s="8">
        <f>_xlfn.IFNA(INDEX('HS Codes'!$D$2:$K3116,MATCH($B562,'HS Codes'!$A$2:$A3116,0),MATCH(G$1,'HS Codes'!$D$1:$K$1,0)),"")</f>
        <v>6302600090</v>
      </c>
      <c r="H562" s="8" t="str">
        <f>_xlfn.IFNA(INDEX('HS Codes'!$D$2:$K3116,MATCH($B562,'HS Codes'!$A$2:$A3116,0),MATCH(H$1,'HS Codes'!$D$1:$K$1,0)),"")</f>
        <v>6302.93.00.00</v>
      </c>
      <c r="I562" s="8">
        <f>_xlfn.IFNA(INDEX('HS Codes'!$D$2:$K3116,MATCH($B562,'HS Codes'!$A$2:$A3116,0),MATCH(I$1,'HS Codes'!$D$1:$K$1,0)),"")</f>
        <v>63029390</v>
      </c>
      <c r="J562" s="8">
        <f>_xlfn.IFNA(INDEX('HS Codes'!$D$2:$K3116,MATCH($B562,'HS Codes'!$A$2:$A3116,0),MATCH(J$1,'HS Codes'!$D$1:$K$1,0)),"")</f>
        <v>0</v>
      </c>
      <c r="K562" s="8" t="str">
        <f>_xlfn.IFNA(INDEX('HS Codes'!$D$2:$K3116,MATCH($B562,'HS Codes'!$A$2:$A3116,0),MATCH(K$1,'HS Codes'!$D$1:$K$1,0)),"")</f>
        <v>6302.39.00</v>
      </c>
      <c r="L562" s="8">
        <f>_xlfn.IFNA(INDEX('HS Codes'!$D$2:$K3116,MATCH($B562,'HS Codes'!$A$2:$A3116,0),MATCH(L$1,'HS Codes'!$D$1:$K$1,0)),"")</f>
        <v>63029120</v>
      </c>
      <c r="M562" s="8" t="str">
        <f>_xlfn.IFNA(INDEX('HS Codes'!$C$2:$C3116,MATCH($B562,'HS Codes'!$A$2:$A3116,0)),"")</f>
        <v>Beach Towel - Toilet Linen 100% recycled 220 GSM/83% polyester/17% polyamide includes cotton on the packing pouch drawstring</v>
      </c>
      <c r="N562" s="9"/>
      <c r="O562" s="9"/>
      <c r="P562" s="9"/>
      <c r="Q562" s="9"/>
    </row>
    <row r="563" spans="1:17" ht="15.75" customHeight="1">
      <c r="A563" s="7" t="s">
        <v>853</v>
      </c>
      <c r="B563" s="7" t="s">
        <v>164</v>
      </c>
      <c r="C563" s="7" t="s">
        <v>278</v>
      </c>
      <c r="D563" s="7" t="s">
        <v>165</v>
      </c>
      <c r="E563" s="7" t="s">
        <v>348</v>
      </c>
      <c r="F563" s="8" t="str">
        <f>_xlfn.IFNA(INDEX('HS Codes'!$D$2:$K3117,MATCH($B563,'HS Codes'!$A$2:$A3117,0),MATCH(F$1,'HS Codes'!$D$1:$K$1,0)),"")</f>
        <v>6302.93.2000</v>
      </c>
      <c r="G563" s="8">
        <f>_xlfn.IFNA(INDEX('HS Codes'!$D$2:$K3117,MATCH($B563,'HS Codes'!$A$2:$A3117,0),MATCH(G$1,'HS Codes'!$D$1:$K$1,0)),"")</f>
        <v>6302600090</v>
      </c>
      <c r="H563" s="8" t="str">
        <f>_xlfn.IFNA(INDEX('HS Codes'!$D$2:$K3117,MATCH($B563,'HS Codes'!$A$2:$A3117,0),MATCH(H$1,'HS Codes'!$D$1:$K$1,0)),"")</f>
        <v>6302.93.00.00</v>
      </c>
      <c r="I563" s="8">
        <f>_xlfn.IFNA(INDEX('HS Codes'!$D$2:$K3117,MATCH($B563,'HS Codes'!$A$2:$A3117,0),MATCH(I$1,'HS Codes'!$D$1:$K$1,0)),"")</f>
        <v>63029390</v>
      </c>
      <c r="J563" s="8">
        <f>_xlfn.IFNA(INDEX('HS Codes'!$D$2:$K3117,MATCH($B563,'HS Codes'!$A$2:$A3117,0),MATCH(J$1,'HS Codes'!$D$1:$K$1,0)),"")</f>
        <v>0</v>
      </c>
      <c r="K563" s="8" t="str">
        <f>_xlfn.IFNA(INDEX('HS Codes'!$D$2:$K3117,MATCH($B563,'HS Codes'!$A$2:$A3117,0),MATCH(K$1,'HS Codes'!$D$1:$K$1,0)),"")</f>
        <v>6302.39.00</v>
      </c>
      <c r="L563" s="8">
        <f>_xlfn.IFNA(INDEX('HS Codes'!$D$2:$K3117,MATCH($B563,'HS Codes'!$A$2:$A3117,0),MATCH(L$1,'HS Codes'!$D$1:$K$1,0)),"")</f>
        <v>63029120</v>
      </c>
      <c r="M563" s="8" t="str">
        <f>_xlfn.IFNA(INDEX('HS Codes'!$C$2:$C3117,MATCH($B563,'HS Codes'!$A$2:$A3117,0)),"")</f>
        <v>Beach Towel - Toilet Linen 100% recycled 220 GSM/83% polyester/17% polyamide includes cotton on the packing pouch drawstring</v>
      </c>
      <c r="N563" s="9"/>
      <c r="O563" s="9"/>
      <c r="P563" s="9"/>
      <c r="Q563" s="9"/>
    </row>
    <row r="564" spans="1:17" ht="15.75" customHeight="1">
      <c r="A564" s="7" t="s">
        <v>854</v>
      </c>
      <c r="B564" s="7" t="s">
        <v>164</v>
      </c>
      <c r="C564" s="7" t="s">
        <v>278</v>
      </c>
      <c r="D564" s="7" t="s">
        <v>165</v>
      </c>
      <c r="E564" s="7" t="s">
        <v>348</v>
      </c>
      <c r="F564" s="8" t="str">
        <f>_xlfn.IFNA(INDEX('HS Codes'!$D$2:$K3118,MATCH($B564,'HS Codes'!$A$2:$A3118,0),MATCH(F$1,'HS Codes'!$D$1:$K$1,0)),"")</f>
        <v>6302.93.2000</v>
      </c>
      <c r="G564" s="8">
        <f>_xlfn.IFNA(INDEX('HS Codes'!$D$2:$K3118,MATCH($B564,'HS Codes'!$A$2:$A3118,0),MATCH(G$1,'HS Codes'!$D$1:$K$1,0)),"")</f>
        <v>6302600090</v>
      </c>
      <c r="H564" s="8" t="str">
        <f>_xlfn.IFNA(INDEX('HS Codes'!$D$2:$K3118,MATCH($B564,'HS Codes'!$A$2:$A3118,0),MATCH(H$1,'HS Codes'!$D$1:$K$1,0)),"")</f>
        <v>6302.93.00.00</v>
      </c>
      <c r="I564" s="8">
        <f>_xlfn.IFNA(INDEX('HS Codes'!$D$2:$K3118,MATCH($B564,'HS Codes'!$A$2:$A3118,0),MATCH(I$1,'HS Codes'!$D$1:$K$1,0)),"")</f>
        <v>63029390</v>
      </c>
      <c r="J564" s="8">
        <f>_xlfn.IFNA(INDEX('HS Codes'!$D$2:$K3118,MATCH($B564,'HS Codes'!$A$2:$A3118,0),MATCH(J$1,'HS Codes'!$D$1:$K$1,0)),"")</f>
        <v>0</v>
      </c>
      <c r="K564" s="8" t="str">
        <f>_xlfn.IFNA(INDEX('HS Codes'!$D$2:$K3118,MATCH($B564,'HS Codes'!$A$2:$A3118,0),MATCH(K$1,'HS Codes'!$D$1:$K$1,0)),"")</f>
        <v>6302.39.00</v>
      </c>
      <c r="L564" s="8">
        <f>_xlfn.IFNA(INDEX('HS Codes'!$D$2:$K3118,MATCH($B564,'HS Codes'!$A$2:$A3118,0),MATCH(L$1,'HS Codes'!$D$1:$K$1,0)),"")</f>
        <v>63029120</v>
      </c>
      <c r="M564" s="8" t="str">
        <f>_xlfn.IFNA(INDEX('HS Codes'!$C$2:$C3118,MATCH($B564,'HS Codes'!$A$2:$A3118,0)),"")</f>
        <v>Beach Towel - Toilet Linen 100% recycled 220 GSM/83% polyester/17% polyamide includes cotton on the packing pouch drawstring</v>
      </c>
      <c r="N564" s="9"/>
      <c r="O564" s="9"/>
      <c r="P564" s="9"/>
      <c r="Q564" s="9"/>
    </row>
    <row r="565" spans="1:17" ht="15.75" customHeight="1">
      <c r="A565" s="7" t="s">
        <v>855</v>
      </c>
      <c r="B565" s="7" t="s">
        <v>164</v>
      </c>
      <c r="C565" s="7" t="s">
        <v>278</v>
      </c>
      <c r="D565" s="7" t="s">
        <v>165</v>
      </c>
      <c r="E565" s="7" t="s">
        <v>348</v>
      </c>
      <c r="F565" s="8" t="str">
        <f>_xlfn.IFNA(INDEX('HS Codes'!$D$2:$K3119,MATCH($B565,'HS Codes'!$A$2:$A3119,0),MATCH(F$1,'HS Codes'!$D$1:$K$1,0)),"")</f>
        <v>6302.93.2000</v>
      </c>
      <c r="G565" s="8">
        <f>_xlfn.IFNA(INDEX('HS Codes'!$D$2:$K3119,MATCH($B565,'HS Codes'!$A$2:$A3119,0),MATCH(G$1,'HS Codes'!$D$1:$K$1,0)),"")</f>
        <v>6302600090</v>
      </c>
      <c r="H565" s="8" t="str">
        <f>_xlfn.IFNA(INDEX('HS Codes'!$D$2:$K3119,MATCH($B565,'HS Codes'!$A$2:$A3119,0),MATCH(H$1,'HS Codes'!$D$1:$K$1,0)),"")</f>
        <v>6302.93.00.00</v>
      </c>
      <c r="I565" s="8">
        <f>_xlfn.IFNA(INDEX('HS Codes'!$D$2:$K3119,MATCH($B565,'HS Codes'!$A$2:$A3119,0),MATCH(I$1,'HS Codes'!$D$1:$K$1,0)),"")</f>
        <v>63029390</v>
      </c>
      <c r="J565" s="8">
        <f>_xlfn.IFNA(INDEX('HS Codes'!$D$2:$K3119,MATCH($B565,'HS Codes'!$A$2:$A3119,0),MATCH(J$1,'HS Codes'!$D$1:$K$1,0)),"")</f>
        <v>0</v>
      </c>
      <c r="K565" s="8" t="str">
        <f>_xlfn.IFNA(INDEX('HS Codes'!$D$2:$K3119,MATCH($B565,'HS Codes'!$A$2:$A3119,0),MATCH(K$1,'HS Codes'!$D$1:$K$1,0)),"")</f>
        <v>6302.39.00</v>
      </c>
      <c r="L565" s="8">
        <f>_xlfn.IFNA(INDEX('HS Codes'!$D$2:$K3119,MATCH($B565,'HS Codes'!$A$2:$A3119,0),MATCH(L$1,'HS Codes'!$D$1:$K$1,0)),"")</f>
        <v>63029120</v>
      </c>
      <c r="M565" s="8" t="str">
        <f>_xlfn.IFNA(INDEX('HS Codes'!$C$2:$C3119,MATCH($B565,'HS Codes'!$A$2:$A3119,0)),"")</f>
        <v>Beach Towel - Toilet Linen 100% recycled 220 GSM/83% polyester/17% polyamide includes cotton on the packing pouch drawstring</v>
      </c>
      <c r="N565" s="9"/>
      <c r="O565" s="9"/>
      <c r="P565" s="9"/>
      <c r="Q565" s="9"/>
    </row>
    <row r="566" spans="1:17" ht="15.75" customHeight="1">
      <c r="A566" s="7" t="s">
        <v>856</v>
      </c>
      <c r="B566" s="7" t="s">
        <v>164</v>
      </c>
      <c r="C566" s="7" t="s">
        <v>278</v>
      </c>
      <c r="D566" s="7" t="s">
        <v>165</v>
      </c>
      <c r="E566" s="7" t="s">
        <v>348</v>
      </c>
      <c r="F566" s="8" t="str">
        <f>_xlfn.IFNA(INDEX('HS Codes'!$D$2:$K3120,MATCH($B566,'HS Codes'!$A$2:$A3120,0),MATCH(F$1,'HS Codes'!$D$1:$K$1,0)),"")</f>
        <v>6302.93.2000</v>
      </c>
      <c r="G566" s="8">
        <f>_xlfn.IFNA(INDEX('HS Codes'!$D$2:$K3120,MATCH($B566,'HS Codes'!$A$2:$A3120,0),MATCH(G$1,'HS Codes'!$D$1:$K$1,0)),"")</f>
        <v>6302600090</v>
      </c>
      <c r="H566" s="8" t="str">
        <f>_xlfn.IFNA(INDEX('HS Codes'!$D$2:$K3120,MATCH($B566,'HS Codes'!$A$2:$A3120,0),MATCH(H$1,'HS Codes'!$D$1:$K$1,0)),"")</f>
        <v>6302.93.00.00</v>
      </c>
      <c r="I566" s="8">
        <f>_xlfn.IFNA(INDEX('HS Codes'!$D$2:$K3120,MATCH($B566,'HS Codes'!$A$2:$A3120,0),MATCH(I$1,'HS Codes'!$D$1:$K$1,0)),"")</f>
        <v>63029390</v>
      </c>
      <c r="J566" s="8">
        <f>_xlfn.IFNA(INDEX('HS Codes'!$D$2:$K3120,MATCH($B566,'HS Codes'!$A$2:$A3120,0),MATCH(J$1,'HS Codes'!$D$1:$K$1,0)),"")</f>
        <v>0</v>
      </c>
      <c r="K566" s="8" t="str">
        <f>_xlfn.IFNA(INDEX('HS Codes'!$D$2:$K3120,MATCH($B566,'HS Codes'!$A$2:$A3120,0),MATCH(K$1,'HS Codes'!$D$1:$K$1,0)),"")</f>
        <v>6302.39.00</v>
      </c>
      <c r="L566" s="8">
        <f>_xlfn.IFNA(INDEX('HS Codes'!$D$2:$K3120,MATCH($B566,'HS Codes'!$A$2:$A3120,0),MATCH(L$1,'HS Codes'!$D$1:$K$1,0)),"")</f>
        <v>63029120</v>
      </c>
      <c r="M566" s="8" t="str">
        <f>_xlfn.IFNA(INDEX('HS Codes'!$C$2:$C3120,MATCH($B566,'HS Codes'!$A$2:$A3120,0)),"")</f>
        <v>Beach Towel - Toilet Linen 100% recycled 220 GSM/83% polyester/17% polyamide includes cotton on the packing pouch drawstring</v>
      </c>
      <c r="N566" s="9"/>
      <c r="O566" s="9"/>
      <c r="P566" s="9"/>
      <c r="Q566" s="9"/>
    </row>
    <row r="567" spans="1:17" ht="15.75" customHeight="1">
      <c r="A567" s="7" t="s">
        <v>857</v>
      </c>
      <c r="B567" s="7" t="s">
        <v>164</v>
      </c>
      <c r="C567" s="7" t="s">
        <v>278</v>
      </c>
      <c r="D567" s="7" t="s">
        <v>165</v>
      </c>
      <c r="E567" s="7" t="s">
        <v>348</v>
      </c>
      <c r="F567" s="8" t="str">
        <f>_xlfn.IFNA(INDEX('HS Codes'!$D$2:$K3121,MATCH($B567,'HS Codes'!$A$2:$A3121,0),MATCH(F$1,'HS Codes'!$D$1:$K$1,0)),"")</f>
        <v>6302.93.2000</v>
      </c>
      <c r="G567" s="8">
        <f>_xlfn.IFNA(INDEX('HS Codes'!$D$2:$K3121,MATCH($B567,'HS Codes'!$A$2:$A3121,0),MATCH(G$1,'HS Codes'!$D$1:$K$1,0)),"")</f>
        <v>6302600090</v>
      </c>
      <c r="H567" s="8" t="str">
        <f>_xlfn.IFNA(INDEX('HS Codes'!$D$2:$K3121,MATCH($B567,'HS Codes'!$A$2:$A3121,0),MATCH(H$1,'HS Codes'!$D$1:$K$1,0)),"")</f>
        <v>6302.93.00.00</v>
      </c>
      <c r="I567" s="8">
        <f>_xlfn.IFNA(INDEX('HS Codes'!$D$2:$K3121,MATCH($B567,'HS Codes'!$A$2:$A3121,0),MATCH(I$1,'HS Codes'!$D$1:$K$1,0)),"")</f>
        <v>63029390</v>
      </c>
      <c r="J567" s="8">
        <f>_xlfn.IFNA(INDEX('HS Codes'!$D$2:$K3121,MATCH($B567,'HS Codes'!$A$2:$A3121,0),MATCH(J$1,'HS Codes'!$D$1:$K$1,0)),"")</f>
        <v>0</v>
      </c>
      <c r="K567" s="8" t="str">
        <f>_xlfn.IFNA(INDEX('HS Codes'!$D$2:$K3121,MATCH($B567,'HS Codes'!$A$2:$A3121,0),MATCH(K$1,'HS Codes'!$D$1:$K$1,0)),"")</f>
        <v>6302.39.00</v>
      </c>
      <c r="L567" s="8">
        <f>_xlfn.IFNA(INDEX('HS Codes'!$D$2:$K3121,MATCH($B567,'HS Codes'!$A$2:$A3121,0),MATCH(L$1,'HS Codes'!$D$1:$K$1,0)),"")</f>
        <v>63029120</v>
      </c>
      <c r="M567" s="8" t="str">
        <f>_xlfn.IFNA(INDEX('HS Codes'!$C$2:$C3121,MATCH($B567,'HS Codes'!$A$2:$A3121,0)),"")</f>
        <v>Beach Towel - Toilet Linen 100% recycled 220 GSM/83% polyester/17% polyamide includes cotton on the packing pouch drawstring</v>
      </c>
      <c r="N567" s="9"/>
      <c r="O567" s="9"/>
      <c r="P567" s="9"/>
      <c r="Q567" s="9"/>
    </row>
    <row r="568" spans="1:17" ht="15.75" customHeight="1">
      <c r="A568" s="7" t="s">
        <v>858</v>
      </c>
      <c r="B568" s="7" t="s">
        <v>164</v>
      </c>
      <c r="C568" s="7" t="s">
        <v>278</v>
      </c>
      <c r="D568" s="7" t="s">
        <v>165</v>
      </c>
      <c r="E568" s="7" t="s">
        <v>348</v>
      </c>
      <c r="F568" s="8" t="str">
        <f>_xlfn.IFNA(INDEX('HS Codes'!$D$2:$K3122,MATCH($B568,'HS Codes'!$A$2:$A3122,0),MATCH(F$1,'HS Codes'!$D$1:$K$1,0)),"")</f>
        <v>6302.93.2000</v>
      </c>
      <c r="G568" s="8">
        <f>_xlfn.IFNA(INDEX('HS Codes'!$D$2:$K3122,MATCH($B568,'HS Codes'!$A$2:$A3122,0),MATCH(G$1,'HS Codes'!$D$1:$K$1,0)),"")</f>
        <v>6302600090</v>
      </c>
      <c r="H568" s="8" t="str">
        <f>_xlfn.IFNA(INDEX('HS Codes'!$D$2:$K3122,MATCH($B568,'HS Codes'!$A$2:$A3122,0),MATCH(H$1,'HS Codes'!$D$1:$K$1,0)),"")</f>
        <v>6302.93.00.00</v>
      </c>
      <c r="I568" s="8">
        <f>_xlfn.IFNA(INDEX('HS Codes'!$D$2:$K3122,MATCH($B568,'HS Codes'!$A$2:$A3122,0),MATCH(I$1,'HS Codes'!$D$1:$K$1,0)),"")</f>
        <v>63029390</v>
      </c>
      <c r="J568" s="8">
        <f>_xlfn.IFNA(INDEX('HS Codes'!$D$2:$K3122,MATCH($B568,'HS Codes'!$A$2:$A3122,0),MATCH(J$1,'HS Codes'!$D$1:$K$1,0)),"")</f>
        <v>0</v>
      </c>
      <c r="K568" s="8" t="str">
        <f>_xlfn.IFNA(INDEX('HS Codes'!$D$2:$K3122,MATCH($B568,'HS Codes'!$A$2:$A3122,0),MATCH(K$1,'HS Codes'!$D$1:$K$1,0)),"")</f>
        <v>6302.39.00</v>
      </c>
      <c r="L568" s="8">
        <f>_xlfn.IFNA(INDEX('HS Codes'!$D$2:$K3122,MATCH($B568,'HS Codes'!$A$2:$A3122,0),MATCH(L$1,'HS Codes'!$D$1:$K$1,0)),"")</f>
        <v>63029120</v>
      </c>
      <c r="M568" s="8" t="str">
        <f>_xlfn.IFNA(INDEX('HS Codes'!$C$2:$C3122,MATCH($B568,'HS Codes'!$A$2:$A3122,0)),"")</f>
        <v>Beach Towel - Toilet Linen 100% recycled 220 GSM/83% polyester/17% polyamide includes cotton on the packing pouch drawstring</v>
      </c>
      <c r="N568" s="9"/>
      <c r="O568" s="9"/>
      <c r="P568" s="9"/>
      <c r="Q568" s="9"/>
    </row>
    <row r="569" spans="1:17" ht="15.75" customHeight="1">
      <c r="A569" s="7" t="s">
        <v>859</v>
      </c>
      <c r="B569" s="7" t="s">
        <v>169</v>
      </c>
      <c r="C569" s="7" t="s">
        <v>278</v>
      </c>
      <c r="D569" s="7" t="s">
        <v>170</v>
      </c>
      <c r="E569" s="7" t="s">
        <v>348</v>
      </c>
      <c r="F569" s="8" t="str">
        <f>_xlfn.IFNA(INDEX('HS Codes'!$D$2:$K3123,MATCH($B569,'HS Codes'!$A$2:$A3123,0),MATCH(F$1,'HS Codes'!$D$1:$K$1,0)),"")</f>
        <v>6302.93.2000</v>
      </c>
      <c r="G569" s="8">
        <f>_xlfn.IFNA(INDEX('HS Codes'!$D$2:$K3123,MATCH($B569,'HS Codes'!$A$2:$A3123,0),MATCH(G$1,'HS Codes'!$D$1:$K$1,0)),"")</f>
        <v>6302600090</v>
      </c>
      <c r="H569" s="8" t="str">
        <f>_xlfn.IFNA(INDEX('HS Codes'!$D$2:$K3123,MATCH($B569,'HS Codes'!$A$2:$A3123,0),MATCH(H$1,'HS Codes'!$D$1:$K$1,0)),"")</f>
        <v>6302.93.00.00</v>
      </c>
      <c r="I569" s="8">
        <f>_xlfn.IFNA(INDEX('HS Codes'!$D$2:$K3123,MATCH($B569,'HS Codes'!$A$2:$A3123,0),MATCH(I$1,'HS Codes'!$D$1:$K$1,0)),"")</f>
        <v>6302939000</v>
      </c>
      <c r="J569" s="8">
        <f>_xlfn.IFNA(INDEX('HS Codes'!$D$2:$K3123,MATCH($B569,'HS Codes'!$A$2:$A3123,0),MATCH(J$1,'HS Codes'!$D$1:$K$1,0)),"")</f>
        <v>0</v>
      </c>
      <c r="K569" s="8" t="str">
        <f>_xlfn.IFNA(INDEX('HS Codes'!$D$2:$K3123,MATCH($B569,'HS Codes'!$A$2:$A3123,0),MATCH(K$1,'HS Codes'!$D$1:$K$1,0)),"")</f>
        <v>6302.39.00</v>
      </c>
      <c r="L569" s="8">
        <f>_xlfn.IFNA(INDEX('HS Codes'!$D$2:$K3123,MATCH($B569,'HS Codes'!$A$2:$A3123,0),MATCH(L$1,'HS Codes'!$D$1:$K$1,0)),"")</f>
        <v>63029120</v>
      </c>
      <c r="M569" s="8" t="str">
        <f>_xlfn.IFNA(INDEX('HS Codes'!$C$2:$C3123,MATCH($B569,'HS Codes'!$A$2:$A3123,0)),"")</f>
        <v>Fitness Towels - Toilet Linen 100% recycled 220 GSM/83% polyester/17% polyamide (no cotton)</v>
      </c>
      <c r="N569" s="9"/>
      <c r="O569" s="9"/>
      <c r="P569" s="9"/>
      <c r="Q569" s="9"/>
    </row>
    <row r="570" spans="1:17" ht="15.75" customHeight="1">
      <c r="A570" s="7" t="s">
        <v>860</v>
      </c>
      <c r="B570" s="7" t="s">
        <v>169</v>
      </c>
      <c r="C570" s="7" t="s">
        <v>278</v>
      </c>
      <c r="D570" s="7" t="s">
        <v>170</v>
      </c>
      <c r="E570" s="7" t="s">
        <v>348</v>
      </c>
      <c r="F570" s="8" t="str">
        <f>_xlfn.IFNA(INDEX('HS Codes'!$D$2:$K3124,MATCH($B570,'HS Codes'!$A$2:$A3124,0),MATCH(F$1,'HS Codes'!$D$1:$K$1,0)),"")</f>
        <v>6302.93.2000</v>
      </c>
      <c r="G570" s="8">
        <f>_xlfn.IFNA(INDEX('HS Codes'!$D$2:$K3124,MATCH($B570,'HS Codes'!$A$2:$A3124,0),MATCH(G$1,'HS Codes'!$D$1:$K$1,0)),"")</f>
        <v>6302600090</v>
      </c>
      <c r="H570" s="8" t="str">
        <f>_xlfn.IFNA(INDEX('HS Codes'!$D$2:$K3124,MATCH($B570,'HS Codes'!$A$2:$A3124,0),MATCH(H$1,'HS Codes'!$D$1:$K$1,0)),"")</f>
        <v>6302.93.00.00</v>
      </c>
      <c r="I570" s="8">
        <f>_xlfn.IFNA(INDEX('HS Codes'!$D$2:$K3124,MATCH($B570,'HS Codes'!$A$2:$A3124,0),MATCH(I$1,'HS Codes'!$D$1:$K$1,0)),"")</f>
        <v>6302939000</v>
      </c>
      <c r="J570" s="8">
        <f>_xlfn.IFNA(INDEX('HS Codes'!$D$2:$K3124,MATCH($B570,'HS Codes'!$A$2:$A3124,0),MATCH(J$1,'HS Codes'!$D$1:$K$1,0)),"")</f>
        <v>0</v>
      </c>
      <c r="K570" s="8" t="str">
        <f>_xlfn.IFNA(INDEX('HS Codes'!$D$2:$K3124,MATCH($B570,'HS Codes'!$A$2:$A3124,0),MATCH(K$1,'HS Codes'!$D$1:$K$1,0)),"")</f>
        <v>6302.39.00</v>
      </c>
      <c r="L570" s="8">
        <f>_xlfn.IFNA(INDEX('HS Codes'!$D$2:$K3124,MATCH($B570,'HS Codes'!$A$2:$A3124,0),MATCH(L$1,'HS Codes'!$D$1:$K$1,0)),"")</f>
        <v>63029120</v>
      </c>
      <c r="M570" s="8" t="str">
        <f>_xlfn.IFNA(INDEX('HS Codes'!$C$2:$C3124,MATCH($B570,'HS Codes'!$A$2:$A3124,0)),"")</f>
        <v>Fitness Towels - Toilet Linen 100% recycled 220 GSM/83% polyester/17% polyamide (no cotton)</v>
      </c>
      <c r="N570" s="9"/>
      <c r="O570" s="9"/>
      <c r="P570" s="9"/>
      <c r="Q570" s="9"/>
    </row>
    <row r="571" spans="1:17" ht="15.75" customHeight="1">
      <c r="A571" s="7" t="s">
        <v>861</v>
      </c>
      <c r="B571" s="7" t="s">
        <v>98</v>
      </c>
      <c r="C571" s="7"/>
      <c r="D571" s="7" t="s">
        <v>99</v>
      </c>
      <c r="E571" s="7" t="s">
        <v>341</v>
      </c>
      <c r="F571" s="8" t="str">
        <f>_xlfn.IFNA(INDEX('HS Codes'!$D$2:$K3125,MATCH($B571,'HS Codes'!$A$2:$A3125,0),MATCH(F$1,'HS Codes'!$D$1:$K$1,0)),"")</f>
        <v>6302.93.2000</v>
      </c>
      <c r="G571" s="8">
        <f>_xlfn.IFNA(INDEX('HS Codes'!$D$2:$K3125,MATCH($B571,'HS Codes'!$A$2:$A3125,0),MATCH(G$1,'HS Codes'!$D$1:$K$1,0)),"")</f>
        <v>6302939000</v>
      </c>
      <c r="H571" s="8">
        <f>_xlfn.IFNA(INDEX('HS Codes'!$D$2:$K3125,MATCH($B571,'HS Codes'!$A$2:$A3125,0),MATCH(H$1,'HS Codes'!$D$1:$K$1,0)),"")</f>
        <v>6302939000</v>
      </c>
      <c r="I571" s="8">
        <f>_xlfn.IFNA(INDEX('HS Codes'!$D$2:$K3125,MATCH($B571,'HS Codes'!$A$2:$A3125,0),MATCH(I$1,'HS Codes'!$D$1:$K$1,0)),"")</f>
        <v>6302939000</v>
      </c>
      <c r="J571" s="8">
        <f>_xlfn.IFNA(INDEX('HS Codes'!$D$2:$K3125,MATCH($B571,'HS Codes'!$A$2:$A3125,0),MATCH(J$1,'HS Codes'!$D$1:$K$1,0)),"")</f>
        <v>0</v>
      </c>
      <c r="K571" s="8" t="str">
        <f>_xlfn.IFNA(INDEX('HS Codes'!$D$2:$K3125,MATCH($B571,'HS Codes'!$A$2:$A3125,0),MATCH(K$1,'HS Codes'!$D$1:$K$1,0)),"")</f>
        <v>6302.29.00</v>
      </c>
      <c r="L571" s="8">
        <f>_xlfn.IFNA(INDEX('HS Codes'!$D$2:$K3125,MATCH($B571,'HS Codes'!$A$2:$A3125,0),MATCH(L$1,'HS Codes'!$D$1:$K$1,0)),"")</f>
        <v>0</v>
      </c>
      <c r="M571" s="8" t="str">
        <f>_xlfn.IFNA(INDEX('HS Codes'!$C$2:$C3125,MATCH($B571,'HS Codes'!$A$2:$A3125,0)),"")</f>
        <v>Fitness Towel - Toilet Linen 100% recycled polyester includes cotton on the packing pouch drawstring</v>
      </c>
      <c r="N571" s="9"/>
      <c r="O571" s="9"/>
      <c r="P571" s="9"/>
      <c r="Q571" s="9"/>
    </row>
    <row r="572" spans="1:17" ht="15.75" customHeight="1">
      <c r="A572" s="7" t="s">
        <v>862</v>
      </c>
      <c r="B572" s="7" t="s">
        <v>98</v>
      </c>
      <c r="C572" s="7"/>
      <c r="D572" s="7" t="s">
        <v>99</v>
      </c>
      <c r="E572" s="7" t="s">
        <v>341</v>
      </c>
      <c r="F572" s="8" t="str">
        <f>_xlfn.IFNA(INDEX('HS Codes'!$D$2:$K3126,MATCH($B572,'HS Codes'!$A$2:$A3126,0),MATCH(F$1,'HS Codes'!$D$1:$K$1,0)),"")</f>
        <v>6302.93.2000</v>
      </c>
      <c r="G572" s="8">
        <f>_xlfn.IFNA(INDEX('HS Codes'!$D$2:$K3126,MATCH($B572,'HS Codes'!$A$2:$A3126,0),MATCH(G$1,'HS Codes'!$D$1:$K$1,0)),"")</f>
        <v>6302939000</v>
      </c>
      <c r="H572" s="8">
        <f>_xlfn.IFNA(INDEX('HS Codes'!$D$2:$K3126,MATCH($B572,'HS Codes'!$A$2:$A3126,0),MATCH(H$1,'HS Codes'!$D$1:$K$1,0)),"")</f>
        <v>6302939000</v>
      </c>
      <c r="I572" s="8">
        <f>_xlfn.IFNA(INDEX('HS Codes'!$D$2:$K3126,MATCH($B572,'HS Codes'!$A$2:$A3126,0),MATCH(I$1,'HS Codes'!$D$1:$K$1,0)),"")</f>
        <v>6302939000</v>
      </c>
      <c r="J572" s="8">
        <f>_xlfn.IFNA(INDEX('HS Codes'!$D$2:$K3126,MATCH($B572,'HS Codes'!$A$2:$A3126,0),MATCH(J$1,'HS Codes'!$D$1:$K$1,0)),"")</f>
        <v>0</v>
      </c>
      <c r="K572" s="8" t="str">
        <f>_xlfn.IFNA(INDEX('HS Codes'!$D$2:$K3126,MATCH($B572,'HS Codes'!$A$2:$A3126,0),MATCH(K$1,'HS Codes'!$D$1:$K$1,0)),"")</f>
        <v>6302.29.00</v>
      </c>
      <c r="L572" s="8">
        <f>_xlfn.IFNA(INDEX('HS Codes'!$D$2:$K3126,MATCH($B572,'HS Codes'!$A$2:$A3126,0),MATCH(L$1,'HS Codes'!$D$1:$K$1,0)),"")</f>
        <v>0</v>
      </c>
      <c r="M572" s="8" t="str">
        <f>_xlfn.IFNA(INDEX('HS Codes'!$C$2:$C3126,MATCH($B572,'HS Codes'!$A$2:$A3126,0)),"")</f>
        <v>Fitness Towel - Toilet Linen 100% recycled polyester includes cotton on the packing pouch drawstring</v>
      </c>
      <c r="N572" s="9"/>
      <c r="O572" s="9"/>
      <c r="P572" s="9"/>
      <c r="Q572" s="9"/>
    </row>
    <row r="573" spans="1:17" ht="15.75" customHeight="1">
      <c r="A573" s="7" t="s">
        <v>863</v>
      </c>
      <c r="B573" s="7" t="s">
        <v>98</v>
      </c>
      <c r="C573" s="7"/>
      <c r="D573" s="7" t="s">
        <v>99</v>
      </c>
      <c r="E573" s="7" t="s">
        <v>341</v>
      </c>
      <c r="F573" s="8" t="str">
        <f>_xlfn.IFNA(INDEX('HS Codes'!$D$2:$K3127,MATCH($B573,'HS Codes'!$A$2:$A3127,0),MATCH(F$1,'HS Codes'!$D$1:$K$1,0)),"")</f>
        <v>6302.93.2000</v>
      </c>
      <c r="G573" s="8">
        <f>_xlfn.IFNA(INDEX('HS Codes'!$D$2:$K3127,MATCH($B573,'HS Codes'!$A$2:$A3127,0),MATCH(G$1,'HS Codes'!$D$1:$K$1,0)),"")</f>
        <v>6302939000</v>
      </c>
      <c r="H573" s="8">
        <f>_xlfn.IFNA(INDEX('HS Codes'!$D$2:$K3127,MATCH($B573,'HS Codes'!$A$2:$A3127,0),MATCH(H$1,'HS Codes'!$D$1:$K$1,0)),"")</f>
        <v>6302939000</v>
      </c>
      <c r="I573" s="8">
        <f>_xlfn.IFNA(INDEX('HS Codes'!$D$2:$K3127,MATCH($B573,'HS Codes'!$A$2:$A3127,0),MATCH(I$1,'HS Codes'!$D$1:$K$1,0)),"")</f>
        <v>6302939000</v>
      </c>
      <c r="J573" s="8">
        <f>_xlfn.IFNA(INDEX('HS Codes'!$D$2:$K3127,MATCH($B573,'HS Codes'!$A$2:$A3127,0),MATCH(J$1,'HS Codes'!$D$1:$K$1,0)),"")</f>
        <v>0</v>
      </c>
      <c r="K573" s="8" t="str">
        <f>_xlfn.IFNA(INDEX('HS Codes'!$D$2:$K3127,MATCH($B573,'HS Codes'!$A$2:$A3127,0),MATCH(K$1,'HS Codes'!$D$1:$K$1,0)),"")</f>
        <v>6302.29.00</v>
      </c>
      <c r="L573" s="8">
        <f>_xlfn.IFNA(INDEX('HS Codes'!$D$2:$K3127,MATCH($B573,'HS Codes'!$A$2:$A3127,0),MATCH(L$1,'HS Codes'!$D$1:$K$1,0)),"")</f>
        <v>0</v>
      </c>
      <c r="M573" s="8" t="str">
        <f>_xlfn.IFNA(INDEX('HS Codes'!$C$2:$C3127,MATCH($B573,'HS Codes'!$A$2:$A3127,0)),"")</f>
        <v>Fitness Towel - Toilet Linen 100% recycled polyester includes cotton on the packing pouch drawstring</v>
      </c>
      <c r="N573" s="9"/>
      <c r="O573" s="9"/>
      <c r="P573" s="9"/>
      <c r="Q573" s="9"/>
    </row>
    <row r="574" spans="1:17" ht="15.75" customHeight="1">
      <c r="A574" s="7" t="s">
        <v>864</v>
      </c>
      <c r="B574" s="7" t="s">
        <v>164</v>
      </c>
      <c r="C574" s="7" t="s">
        <v>278</v>
      </c>
      <c r="D574" s="7" t="s">
        <v>165</v>
      </c>
      <c r="E574" s="7" t="s">
        <v>348</v>
      </c>
      <c r="F574" s="8" t="str">
        <f>_xlfn.IFNA(INDEX('HS Codes'!$D$2:$K3128,MATCH($B574,'HS Codes'!$A$2:$A3128,0),MATCH(F$1,'HS Codes'!$D$1:$K$1,0)),"")</f>
        <v>6302.93.2000</v>
      </c>
      <c r="G574" s="8">
        <f>_xlfn.IFNA(INDEX('HS Codes'!$D$2:$K3128,MATCH($B574,'HS Codes'!$A$2:$A3128,0),MATCH(G$1,'HS Codes'!$D$1:$K$1,0)),"")</f>
        <v>6302600090</v>
      </c>
      <c r="H574" s="8" t="str">
        <f>_xlfn.IFNA(INDEX('HS Codes'!$D$2:$K3128,MATCH($B574,'HS Codes'!$A$2:$A3128,0),MATCH(H$1,'HS Codes'!$D$1:$K$1,0)),"")</f>
        <v>6302.93.00.00</v>
      </c>
      <c r="I574" s="8">
        <f>_xlfn.IFNA(INDEX('HS Codes'!$D$2:$K3128,MATCH($B574,'HS Codes'!$A$2:$A3128,0),MATCH(I$1,'HS Codes'!$D$1:$K$1,0)),"")</f>
        <v>63029390</v>
      </c>
      <c r="J574" s="8">
        <f>_xlfn.IFNA(INDEX('HS Codes'!$D$2:$K3128,MATCH($B574,'HS Codes'!$A$2:$A3128,0),MATCH(J$1,'HS Codes'!$D$1:$K$1,0)),"")</f>
        <v>0</v>
      </c>
      <c r="K574" s="8" t="str">
        <f>_xlfn.IFNA(INDEX('HS Codes'!$D$2:$K3128,MATCH($B574,'HS Codes'!$A$2:$A3128,0),MATCH(K$1,'HS Codes'!$D$1:$K$1,0)),"")</f>
        <v>6302.39.00</v>
      </c>
      <c r="L574" s="8">
        <f>_xlfn.IFNA(INDEX('HS Codes'!$D$2:$K3128,MATCH($B574,'HS Codes'!$A$2:$A3128,0),MATCH(L$1,'HS Codes'!$D$1:$K$1,0)),"")</f>
        <v>63029120</v>
      </c>
      <c r="M574" s="8" t="str">
        <f>_xlfn.IFNA(INDEX('HS Codes'!$C$2:$C3128,MATCH($B574,'HS Codes'!$A$2:$A3128,0)),"")</f>
        <v>Beach Towel - Toilet Linen 100% recycled 220 GSM/83% polyester/17% polyamide includes cotton on the packing pouch drawstring</v>
      </c>
      <c r="N574" s="9"/>
      <c r="O574" s="9"/>
      <c r="P574" s="9"/>
      <c r="Q574" s="9"/>
    </row>
    <row r="575" spans="1:17" ht="15.75" customHeight="1">
      <c r="A575" s="7" t="s">
        <v>865</v>
      </c>
      <c r="B575" s="7" t="s">
        <v>103</v>
      </c>
      <c r="C575" s="7" t="s">
        <v>278</v>
      </c>
      <c r="D575" s="7" t="s">
        <v>104</v>
      </c>
      <c r="E575" s="7" t="s">
        <v>279</v>
      </c>
      <c r="F575" s="8" t="str">
        <f>_xlfn.IFNA(INDEX('HS Codes'!$D$2:$K3129,MATCH($B575,'HS Codes'!$A$2:$A3129,0),MATCH(F$1,'HS Codes'!$D$1:$K$1,0)),"")</f>
        <v>6302.93.2000</v>
      </c>
      <c r="G575" s="8">
        <f>_xlfn.IFNA(INDEX('HS Codes'!$D$2:$K3129,MATCH($B575,'HS Codes'!$A$2:$A3129,0),MATCH(G$1,'HS Codes'!$D$1:$K$1,0)),"")</f>
        <v>6302600090</v>
      </c>
      <c r="H575" s="8" t="str">
        <f>_xlfn.IFNA(INDEX('HS Codes'!$D$2:$K3129,MATCH($B575,'HS Codes'!$A$2:$A3129,0),MATCH(H$1,'HS Codes'!$D$1:$K$1,0)),"")</f>
        <v>6302.93.00.00</v>
      </c>
      <c r="I575" s="8">
        <f>_xlfn.IFNA(INDEX('HS Codes'!$D$2:$K3129,MATCH($B575,'HS Codes'!$A$2:$A3129,0),MATCH(I$1,'HS Codes'!$D$1:$K$1,0)),"")</f>
        <v>6302939000</v>
      </c>
      <c r="J575" s="8">
        <f>_xlfn.IFNA(INDEX('HS Codes'!$D$2:$K3129,MATCH($B575,'HS Codes'!$A$2:$A3129,0),MATCH(J$1,'HS Codes'!$D$1:$K$1,0)),"")</f>
        <v>0</v>
      </c>
      <c r="K575" s="8" t="str">
        <f>_xlfn.IFNA(INDEX('HS Codes'!$D$2:$K3129,MATCH($B575,'HS Codes'!$A$2:$A3129,0),MATCH(K$1,'HS Codes'!$D$1:$K$1,0)),"")</f>
        <v>6302.39.00</v>
      </c>
      <c r="L575" s="8">
        <f>_xlfn.IFNA(INDEX('HS Codes'!$D$2:$K3129,MATCH($B575,'HS Codes'!$A$2:$A3129,0),MATCH(L$1,'HS Codes'!$D$1:$K$1,0)),"")</f>
        <v>6507</v>
      </c>
      <c r="M575" s="8" t="str">
        <f>_xlfn.IFNA(INDEX('HS Codes'!$C$2:$C3129,MATCH($B575,'HS Codes'!$A$2:$A3129,0)),"")</f>
        <v>Pet Towel - Toilet Linen 100% recycled 220 GSM/83% polyester/17% polyamide includes cotton on the packing pouch drawstring</v>
      </c>
      <c r="N575" s="9"/>
      <c r="O575" s="9"/>
      <c r="P575" s="9"/>
      <c r="Q575" s="9"/>
    </row>
    <row r="576" spans="1:17" ht="15.75" customHeight="1">
      <c r="A576" s="7" t="s">
        <v>866</v>
      </c>
      <c r="B576" s="7" t="s">
        <v>103</v>
      </c>
      <c r="C576" s="7" t="s">
        <v>278</v>
      </c>
      <c r="D576" s="7" t="s">
        <v>104</v>
      </c>
      <c r="E576" s="7" t="s">
        <v>279</v>
      </c>
      <c r="F576" s="8" t="str">
        <f>_xlfn.IFNA(INDEX('HS Codes'!$D$2:$K3130,MATCH($B576,'HS Codes'!$A$2:$A3130,0),MATCH(F$1,'HS Codes'!$D$1:$K$1,0)),"")</f>
        <v>6302.93.2000</v>
      </c>
      <c r="G576" s="8">
        <f>_xlfn.IFNA(INDEX('HS Codes'!$D$2:$K3130,MATCH($B576,'HS Codes'!$A$2:$A3130,0),MATCH(G$1,'HS Codes'!$D$1:$K$1,0)),"")</f>
        <v>6302600090</v>
      </c>
      <c r="H576" s="8" t="str">
        <f>_xlfn.IFNA(INDEX('HS Codes'!$D$2:$K3130,MATCH($B576,'HS Codes'!$A$2:$A3130,0),MATCH(H$1,'HS Codes'!$D$1:$K$1,0)),"")</f>
        <v>6302.93.00.00</v>
      </c>
      <c r="I576" s="8">
        <f>_xlfn.IFNA(INDEX('HS Codes'!$D$2:$K3130,MATCH($B576,'HS Codes'!$A$2:$A3130,0),MATCH(I$1,'HS Codes'!$D$1:$K$1,0)),"")</f>
        <v>6302939000</v>
      </c>
      <c r="J576" s="8">
        <f>_xlfn.IFNA(INDEX('HS Codes'!$D$2:$K3130,MATCH($B576,'HS Codes'!$A$2:$A3130,0),MATCH(J$1,'HS Codes'!$D$1:$K$1,0)),"")</f>
        <v>0</v>
      </c>
      <c r="K576" s="8" t="str">
        <f>_xlfn.IFNA(INDEX('HS Codes'!$D$2:$K3130,MATCH($B576,'HS Codes'!$A$2:$A3130,0),MATCH(K$1,'HS Codes'!$D$1:$K$1,0)),"")</f>
        <v>6302.39.00</v>
      </c>
      <c r="L576" s="8">
        <f>_xlfn.IFNA(INDEX('HS Codes'!$D$2:$K3130,MATCH($B576,'HS Codes'!$A$2:$A3130,0),MATCH(L$1,'HS Codes'!$D$1:$K$1,0)),"")</f>
        <v>6507</v>
      </c>
      <c r="M576" s="8" t="str">
        <f>_xlfn.IFNA(INDEX('HS Codes'!$C$2:$C3130,MATCH($B576,'HS Codes'!$A$2:$A3130,0)),"")</f>
        <v>Pet Towel - Toilet Linen 100% recycled 220 GSM/83% polyester/17% polyamide includes cotton on the packing pouch drawstring</v>
      </c>
      <c r="N576" s="9"/>
      <c r="O576" s="9"/>
      <c r="P576" s="9"/>
      <c r="Q576" s="9"/>
    </row>
    <row r="577" spans="1:17" ht="15.75" customHeight="1">
      <c r="A577" s="7" t="s">
        <v>867</v>
      </c>
      <c r="B577" s="7" t="s">
        <v>103</v>
      </c>
      <c r="C577" s="7" t="s">
        <v>278</v>
      </c>
      <c r="D577" s="7" t="s">
        <v>104</v>
      </c>
      <c r="E577" s="7" t="s">
        <v>279</v>
      </c>
      <c r="F577" s="8" t="str">
        <f>_xlfn.IFNA(INDEX('HS Codes'!$D$2:$K3131,MATCH($B577,'HS Codes'!$A$2:$A3131,0),MATCH(F$1,'HS Codes'!$D$1:$K$1,0)),"")</f>
        <v>6302.93.2000</v>
      </c>
      <c r="G577" s="8">
        <f>_xlfn.IFNA(INDEX('HS Codes'!$D$2:$K3131,MATCH($B577,'HS Codes'!$A$2:$A3131,0),MATCH(G$1,'HS Codes'!$D$1:$K$1,0)),"")</f>
        <v>6302600090</v>
      </c>
      <c r="H577" s="8" t="str">
        <f>_xlfn.IFNA(INDEX('HS Codes'!$D$2:$K3131,MATCH($B577,'HS Codes'!$A$2:$A3131,0),MATCH(H$1,'HS Codes'!$D$1:$K$1,0)),"")</f>
        <v>6302.93.00.00</v>
      </c>
      <c r="I577" s="8">
        <f>_xlfn.IFNA(INDEX('HS Codes'!$D$2:$K3131,MATCH($B577,'HS Codes'!$A$2:$A3131,0),MATCH(I$1,'HS Codes'!$D$1:$K$1,0)),"")</f>
        <v>6302939000</v>
      </c>
      <c r="J577" s="8">
        <f>_xlfn.IFNA(INDEX('HS Codes'!$D$2:$K3131,MATCH($B577,'HS Codes'!$A$2:$A3131,0),MATCH(J$1,'HS Codes'!$D$1:$K$1,0)),"")</f>
        <v>0</v>
      </c>
      <c r="K577" s="8" t="str">
        <f>_xlfn.IFNA(INDEX('HS Codes'!$D$2:$K3131,MATCH($B577,'HS Codes'!$A$2:$A3131,0),MATCH(K$1,'HS Codes'!$D$1:$K$1,0)),"")</f>
        <v>6302.39.00</v>
      </c>
      <c r="L577" s="8">
        <f>_xlfn.IFNA(INDEX('HS Codes'!$D$2:$K3131,MATCH($B577,'HS Codes'!$A$2:$A3131,0),MATCH(L$1,'HS Codes'!$D$1:$K$1,0)),"")</f>
        <v>6507</v>
      </c>
      <c r="M577" s="8" t="str">
        <f>_xlfn.IFNA(INDEX('HS Codes'!$C$2:$C3131,MATCH($B577,'HS Codes'!$A$2:$A3131,0)),"")</f>
        <v>Pet Towel - Toilet Linen 100% recycled 220 GSM/83% polyester/17% polyamide includes cotton on the packing pouch drawstring</v>
      </c>
      <c r="N577" s="9"/>
      <c r="O577" s="9"/>
      <c r="P577" s="9"/>
      <c r="Q577" s="9"/>
    </row>
    <row r="578" spans="1:17" ht="15.75" customHeight="1">
      <c r="A578" s="7" t="s">
        <v>868</v>
      </c>
      <c r="B578" s="7" t="s">
        <v>103</v>
      </c>
      <c r="C578" s="7" t="s">
        <v>278</v>
      </c>
      <c r="D578" s="7" t="s">
        <v>104</v>
      </c>
      <c r="E578" s="7" t="s">
        <v>279</v>
      </c>
      <c r="F578" s="8" t="str">
        <f>_xlfn.IFNA(INDEX('HS Codes'!$D$2:$K3132,MATCH($B578,'HS Codes'!$A$2:$A3132,0),MATCH(F$1,'HS Codes'!$D$1:$K$1,0)),"")</f>
        <v>6302.93.2000</v>
      </c>
      <c r="G578" s="8">
        <f>_xlfn.IFNA(INDEX('HS Codes'!$D$2:$K3132,MATCH($B578,'HS Codes'!$A$2:$A3132,0),MATCH(G$1,'HS Codes'!$D$1:$K$1,0)),"")</f>
        <v>6302600090</v>
      </c>
      <c r="H578" s="8" t="str">
        <f>_xlfn.IFNA(INDEX('HS Codes'!$D$2:$K3132,MATCH($B578,'HS Codes'!$A$2:$A3132,0),MATCH(H$1,'HS Codes'!$D$1:$K$1,0)),"")</f>
        <v>6302.93.00.00</v>
      </c>
      <c r="I578" s="8">
        <f>_xlfn.IFNA(INDEX('HS Codes'!$D$2:$K3132,MATCH($B578,'HS Codes'!$A$2:$A3132,0),MATCH(I$1,'HS Codes'!$D$1:$K$1,0)),"")</f>
        <v>6302939000</v>
      </c>
      <c r="J578" s="8">
        <f>_xlfn.IFNA(INDEX('HS Codes'!$D$2:$K3132,MATCH($B578,'HS Codes'!$A$2:$A3132,0),MATCH(J$1,'HS Codes'!$D$1:$K$1,0)),"")</f>
        <v>0</v>
      </c>
      <c r="K578" s="8" t="str">
        <f>_xlfn.IFNA(INDEX('HS Codes'!$D$2:$K3132,MATCH($B578,'HS Codes'!$A$2:$A3132,0),MATCH(K$1,'HS Codes'!$D$1:$K$1,0)),"")</f>
        <v>6302.39.00</v>
      </c>
      <c r="L578" s="8">
        <f>_xlfn.IFNA(INDEX('HS Codes'!$D$2:$K3132,MATCH($B578,'HS Codes'!$A$2:$A3132,0),MATCH(L$1,'HS Codes'!$D$1:$K$1,0)),"")</f>
        <v>6507</v>
      </c>
      <c r="M578" s="8" t="str">
        <f>_xlfn.IFNA(INDEX('HS Codes'!$C$2:$C3132,MATCH($B578,'HS Codes'!$A$2:$A3132,0)),"")</f>
        <v>Pet Towel - Toilet Linen 100% recycled 220 GSM/83% polyester/17% polyamide includes cotton on the packing pouch drawstring</v>
      </c>
      <c r="N578" s="9"/>
      <c r="O578" s="9"/>
      <c r="P578" s="9"/>
      <c r="Q578" s="9"/>
    </row>
    <row r="579" spans="1:17" ht="15.75" customHeight="1">
      <c r="A579" s="7" t="s">
        <v>869</v>
      </c>
      <c r="B579" s="7" t="s">
        <v>103</v>
      </c>
      <c r="C579" s="7" t="s">
        <v>278</v>
      </c>
      <c r="D579" s="7" t="s">
        <v>104</v>
      </c>
      <c r="E579" s="7" t="s">
        <v>279</v>
      </c>
      <c r="F579" s="8" t="str">
        <f>_xlfn.IFNA(INDEX('HS Codes'!$D$2:$K3133,MATCH($B579,'HS Codes'!$A$2:$A3133,0),MATCH(F$1,'HS Codes'!$D$1:$K$1,0)),"")</f>
        <v>6302.93.2000</v>
      </c>
      <c r="G579" s="8">
        <f>_xlfn.IFNA(INDEX('HS Codes'!$D$2:$K3133,MATCH($B579,'HS Codes'!$A$2:$A3133,0),MATCH(G$1,'HS Codes'!$D$1:$K$1,0)),"")</f>
        <v>6302600090</v>
      </c>
      <c r="H579" s="8" t="str">
        <f>_xlfn.IFNA(INDEX('HS Codes'!$D$2:$K3133,MATCH($B579,'HS Codes'!$A$2:$A3133,0),MATCH(H$1,'HS Codes'!$D$1:$K$1,0)),"")</f>
        <v>6302.93.00.00</v>
      </c>
      <c r="I579" s="8">
        <f>_xlfn.IFNA(INDEX('HS Codes'!$D$2:$K3133,MATCH($B579,'HS Codes'!$A$2:$A3133,0),MATCH(I$1,'HS Codes'!$D$1:$K$1,0)),"")</f>
        <v>6302939000</v>
      </c>
      <c r="J579" s="8">
        <f>_xlfn.IFNA(INDEX('HS Codes'!$D$2:$K3133,MATCH($B579,'HS Codes'!$A$2:$A3133,0),MATCH(J$1,'HS Codes'!$D$1:$K$1,0)),"")</f>
        <v>0</v>
      </c>
      <c r="K579" s="8" t="str">
        <f>_xlfn.IFNA(INDEX('HS Codes'!$D$2:$K3133,MATCH($B579,'HS Codes'!$A$2:$A3133,0),MATCH(K$1,'HS Codes'!$D$1:$K$1,0)),"")</f>
        <v>6302.39.00</v>
      </c>
      <c r="L579" s="8">
        <f>_xlfn.IFNA(INDEX('HS Codes'!$D$2:$K3133,MATCH($B579,'HS Codes'!$A$2:$A3133,0),MATCH(L$1,'HS Codes'!$D$1:$K$1,0)),"")</f>
        <v>6507</v>
      </c>
      <c r="M579" s="8" t="str">
        <f>_xlfn.IFNA(INDEX('HS Codes'!$C$2:$C3133,MATCH($B579,'HS Codes'!$A$2:$A3133,0)),"")</f>
        <v>Pet Towel - Toilet Linen 100% recycled 220 GSM/83% polyester/17% polyamide includes cotton on the packing pouch drawstring</v>
      </c>
      <c r="N579" s="9"/>
      <c r="O579" s="9"/>
      <c r="P579" s="9"/>
      <c r="Q579" s="9"/>
    </row>
    <row r="580" spans="1:17" ht="15.75" customHeight="1">
      <c r="A580" s="7" t="s">
        <v>870</v>
      </c>
      <c r="B580" s="7" t="s">
        <v>103</v>
      </c>
      <c r="C580" s="7" t="s">
        <v>278</v>
      </c>
      <c r="D580" s="7" t="s">
        <v>104</v>
      </c>
      <c r="E580" s="7" t="s">
        <v>279</v>
      </c>
      <c r="F580" s="8" t="str">
        <f>_xlfn.IFNA(INDEX('HS Codes'!$D$2:$K3134,MATCH($B580,'HS Codes'!$A$2:$A3134,0),MATCH(F$1,'HS Codes'!$D$1:$K$1,0)),"")</f>
        <v>6302.93.2000</v>
      </c>
      <c r="G580" s="8">
        <f>_xlfn.IFNA(INDEX('HS Codes'!$D$2:$K3134,MATCH($B580,'HS Codes'!$A$2:$A3134,0),MATCH(G$1,'HS Codes'!$D$1:$K$1,0)),"")</f>
        <v>6302600090</v>
      </c>
      <c r="H580" s="8" t="str">
        <f>_xlfn.IFNA(INDEX('HS Codes'!$D$2:$K3134,MATCH($B580,'HS Codes'!$A$2:$A3134,0),MATCH(H$1,'HS Codes'!$D$1:$K$1,0)),"")</f>
        <v>6302.93.00.00</v>
      </c>
      <c r="I580" s="8">
        <f>_xlfn.IFNA(INDEX('HS Codes'!$D$2:$K3134,MATCH($B580,'HS Codes'!$A$2:$A3134,0),MATCH(I$1,'HS Codes'!$D$1:$K$1,0)),"")</f>
        <v>6302939000</v>
      </c>
      <c r="J580" s="8">
        <f>_xlfn.IFNA(INDEX('HS Codes'!$D$2:$K3134,MATCH($B580,'HS Codes'!$A$2:$A3134,0),MATCH(J$1,'HS Codes'!$D$1:$K$1,0)),"")</f>
        <v>0</v>
      </c>
      <c r="K580" s="8" t="str">
        <f>_xlfn.IFNA(INDEX('HS Codes'!$D$2:$K3134,MATCH($B580,'HS Codes'!$A$2:$A3134,0),MATCH(K$1,'HS Codes'!$D$1:$K$1,0)),"")</f>
        <v>6302.39.00</v>
      </c>
      <c r="L580" s="8">
        <f>_xlfn.IFNA(INDEX('HS Codes'!$D$2:$K3134,MATCH($B580,'HS Codes'!$A$2:$A3134,0),MATCH(L$1,'HS Codes'!$D$1:$K$1,0)),"")</f>
        <v>6507</v>
      </c>
      <c r="M580" s="8" t="str">
        <f>_xlfn.IFNA(INDEX('HS Codes'!$C$2:$C3134,MATCH($B580,'HS Codes'!$A$2:$A3134,0)),"")</f>
        <v>Pet Towel - Toilet Linen 100% recycled 220 GSM/83% polyester/17% polyamide includes cotton on the packing pouch drawstring</v>
      </c>
      <c r="N580" s="9"/>
      <c r="O580" s="9"/>
      <c r="P580" s="9"/>
      <c r="Q580" s="9"/>
    </row>
    <row r="581" spans="1:17" ht="15.75" customHeight="1">
      <c r="A581" s="7" t="s">
        <v>871</v>
      </c>
      <c r="B581" s="7" t="s">
        <v>103</v>
      </c>
      <c r="C581" s="7" t="s">
        <v>278</v>
      </c>
      <c r="D581" s="7" t="s">
        <v>104</v>
      </c>
      <c r="E581" s="7" t="s">
        <v>279</v>
      </c>
      <c r="F581" s="8" t="str">
        <f>_xlfn.IFNA(INDEX('HS Codes'!$D$2:$K3135,MATCH($B581,'HS Codes'!$A$2:$A3135,0),MATCH(F$1,'HS Codes'!$D$1:$K$1,0)),"")</f>
        <v>6302.93.2000</v>
      </c>
      <c r="G581" s="8">
        <f>_xlfn.IFNA(INDEX('HS Codes'!$D$2:$K3135,MATCH($B581,'HS Codes'!$A$2:$A3135,0),MATCH(G$1,'HS Codes'!$D$1:$K$1,0)),"")</f>
        <v>6302600090</v>
      </c>
      <c r="H581" s="8" t="str">
        <f>_xlfn.IFNA(INDEX('HS Codes'!$D$2:$K3135,MATCH($B581,'HS Codes'!$A$2:$A3135,0),MATCH(H$1,'HS Codes'!$D$1:$K$1,0)),"")</f>
        <v>6302.93.00.00</v>
      </c>
      <c r="I581" s="8">
        <f>_xlfn.IFNA(INDEX('HS Codes'!$D$2:$K3135,MATCH($B581,'HS Codes'!$A$2:$A3135,0),MATCH(I$1,'HS Codes'!$D$1:$K$1,0)),"")</f>
        <v>6302939000</v>
      </c>
      <c r="J581" s="8">
        <f>_xlfn.IFNA(INDEX('HS Codes'!$D$2:$K3135,MATCH($B581,'HS Codes'!$A$2:$A3135,0),MATCH(J$1,'HS Codes'!$D$1:$K$1,0)),"")</f>
        <v>0</v>
      </c>
      <c r="K581" s="8" t="str">
        <f>_xlfn.IFNA(INDEX('HS Codes'!$D$2:$K3135,MATCH($B581,'HS Codes'!$A$2:$A3135,0),MATCH(K$1,'HS Codes'!$D$1:$K$1,0)),"")</f>
        <v>6302.39.00</v>
      </c>
      <c r="L581" s="8">
        <f>_xlfn.IFNA(INDEX('HS Codes'!$D$2:$K3135,MATCH($B581,'HS Codes'!$A$2:$A3135,0),MATCH(L$1,'HS Codes'!$D$1:$K$1,0)),"")</f>
        <v>6507</v>
      </c>
      <c r="M581" s="8" t="str">
        <f>_xlfn.IFNA(INDEX('HS Codes'!$C$2:$C3135,MATCH($B581,'HS Codes'!$A$2:$A3135,0)),"")</f>
        <v>Pet Towel - Toilet Linen 100% recycled 220 GSM/83% polyester/17% polyamide includes cotton on the packing pouch drawstring</v>
      </c>
      <c r="N581" s="9"/>
      <c r="O581" s="9"/>
      <c r="P581" s="9"/>
      <c r="Q581" s="9"/>
    </row>
    <row r="582" spans="1:17" ht="15.75" customHeight="1">
      <c r="A582" s="7" t="s">
        <v>872</v>
      </c>
      <c r="B582" s="7" t="s">
        <v>103</v>
      </c>
      <c r="C582" s="7" t="s">
        <v>278</v>
      </c>
      <c r="D582" s="7" t="s">
        <v>104</v>
      </c>
      <c r="E582" s="7" t="s">
        <v>279</v>
      </c>
      <c r="F582" s="8" t="str">
        <f>_xlfn.IFNA(INDEX('HS Codes'!$D$2:$K3136,MATCH($B582,'HS Codes'!$A$2:$A3136,0),MATCH(F$1,'HS Codes'!$D$1:$K$1,0)),"")</f>
        <v>6302.93.2000</v>
      </c>
      <c r="G582" s="8">
        <f>_xlfn.IFNA(INDEX('HS Codes'!$D$2:$K3136,MATCH($B582,'HS Codes'!$A$2:$A3136,0),MATCH(G$1,'HS Codes'!$D$1:$K$1,0)),"")</f>
        <v>6302600090</v>
      </c>
      <c r="H582" s="8" t="str">
        <f>_xlfn.IFNA(INDEX('HS Codes'!$D$2:$K3136,MATCH($B582,'HS Codes'!$A$2:$A3136,0),MATCH(H$1,'HS Codes'!$D$1:$K$1,0)),"")</f>
        <v>6302.93.00.00</v>
      </c>
      <c r="I582" s="8">
        <f>_xlfn.IFNA(INDEX('HS Codes'!$D$2:$K3136,MATCH($B582,'HS Codes'!$A$2:$A3136,0),MATCH(I$1,'HS Codes'!$D$1:$K$1,0)),"")</f>
        <v>6302939000</v>
      </c>
      <c r="J582" s="8">
        <f>_xlfn.IFNA(INDEX('HS Codes'!$D$2:$K3136,MATCH($B582,'HS Codes'!$A$2:$A3136,0),MATCH(J$1,'HS Codes'!$D$1:$K$1,0)),"")</f>
        <v>0</v>
      </c>
      <c r="K582" s="8" t="str">
        <f>_xlfn.IFNA(INDEX('HS Codes'!$D$2:$K3136,MATCH($B582,'HS Codes'!$A$2:$A3136,0),MATCH(K$1,'HS Codes'!$D$1:$K$1,0)),"")</f>
        <v>6302.39.00</v>
      </c>
      <c r="L582" s="8">
        <f>_xlfn.IFNA(INDEX('HS Codes'!$D$2:$K3136,MATCH($B582,'HS Codes'!$A$2:$A3136,0),MATCH(L$1,'HS Codes'!$D$1:$K$1,0)),"")</f>
        <v>6507</v>
      </c>
      <c r="M582" s="8" t="str">
        <f>_xlfn.IFNA(INDEX('HS Codes'!$C$2:$C3136,MATCH($B582,'HS Codes'!$A$2:$A3136,0)),"")</f>
        <v>Pet Towel - Toilet Linen 100% recycled 220 GSM/83% polyester/17% polyamide includes cotton on the packing pouch drawstring</v>
      </c>
      <c r="N582" s="9"/>
      <c r="O582" s="9"/>
      <c r="P582" s="9"/>
      <c r="Q582" s="9"/>
    </row>
    <row r="583" spans="1:17" ht="15.75" customHeight="1">
      <c r="A583" s="7" t="s">
        <v>873</v>
      </c>
      <c r="B583" s="7" t="s">
        <v>103</v>
      </c>
      <c r="C583" s="7" t="s">
        <v>278</v>
      </c>
      <c r="D583" s="7" t="s">
        <v>104</v>
      </c>
      <c r="E583" s="7" t="s">
        <v>279</v>
      </c>
      <c r="F583" s="8" t="str">
        <f>_xlfn.IFNA(INDEX('HS Codes'!$D$2:$K3137,MATCH($B583,'HS Codes'!$A$2:$A3137,0),MATCH(F$1,'HS Codes'!$D$1:$K$1,0)),"")</f>
        <v>6302.93.2000</v>
      </c>
      <c r="G583" s="8">
        <f>_xlfn.IFNA(INDEX('HS Codes'!$D$2:$K3137,MATCH($B583,'HS Codes'!$A$2:$A3137,0),MATCH(G$1,'HS Codes'!$D$1:$K$1,0)),"")</f>
        <v>6302600090</v>
      </c>
      <c r="H583" s="8" t="str">
        <f>_xlfn.IFNA(INDEX('HS Codes'!$D$2:$K3137,MATCH($B583,'HS Codes'!$A$2:$A3137,0),MATCH(H$1,'HS Codes'!$D$1:$K$1,0)),"")</f>
        <v>6302.93.00.00</v>
      </c>
      <c r="I583" s="8">
        <f>_xlfn.IFNA(INDEX('HS Codes'!$D$2:$K3137,MATCH($B583,'HS Codes'!$A$2:$A3137,0),MATCH(I$1,'HS Codes'!$D$1:$K$1,0)),"")</f>
        <v>6302939000</v>
      </c>
      <c r="J583" s="8">
        <f>_xlfn.IFNA(INDEX('HS Codes'!$D$2:$K3137,MATCH($B583,'HS Codes'!$A$2:$A3137,0),MATCH(J$1,'HS Codes'!$D$1:$K$1,0)),"")</f>
        <v>0</v>
      </c>
      <c r="K583" s="8" t="str">
        <f>_xlfn.IFNA(INDEX('HS Codes'!$D$2:$K3137,MATCH($B583,'HS Codes'!$A$2:$A3137,0),MATCH(K$1,'HS Codes'!$D$1:$K$1,0)),"")</f>
        <v>6302.39.00</v>
      </c>
      <c r="L583" s="8">
        <f>_xlfn.IFNA(INDEX('HS Codes'!$D$2:$K3137,MATCH($B583,'HS Codes'!$A$2:$A3137,0),MATCH(L$1,'HS Codes'!$D$1:$K$1,0)),"")</f>
        <v>6507</v>
      </c>
      <c r="M583" s="8" t="str">
        <f>_xlfn.IFNA(INDEX('HS Codes'!$C$2:$C3137,MATCH($B583,'HS Codes'!$A$2:$A3137,0)),"")</f>
        <v>Pet Towel - Toilet Linen 100% recycled 220 GSM/83% polyester/17% polyamide includes cotton on the packing pouch drawstring</v>
      </c>
      <c r="N583" s="9"/>
      <c r="O583" s="9"/>
      <c r="P583" s="9"/>
      <c r="Q583" s="9"/>
    </row>
    <row r="584" spans="1:17" ht="15.75" customHeight="1">
      <c r="A584" s="7" t="s">
        <v>874</v>
      </c>
      <c r="B584" s="7" t="s">
        <v>103</v>
      </c>
      <c r="C584" s="7" t="s">
        <v>278</v>
      </c>
      <c r="D584" s="7" t="s">
        <v>104</v>
      </c>
      <c r="E584" s="7" t="s">
        <v>279</v>
      </c>
      <c r="F584" s="8" t="str">
        <f>_xlfn.IFNA(INDEX('HS Codes'!$D$2:$K3138,MATCH($B584,'HS Codes'!$A$2:$A3138,0),MATCH(F$1,'HS Codes'!$D$1:$K$1,0)),"")</f>
        <v>6302.93.2000</v>
      </c>
      <c r="G584" s="8">
        <f>_xlfn.IFNA(INDEX('HS Codes'!$D$2:$K3138,MATCH($B584,'HS Codes'!$A$2:$A3138,0),MATCH(G$1,'HS Codes'!$D$1:$K$1,0)),"")</f>
        <v>6302600090</v>
      </c>
      <c r="H584" s="8" t="str">
        <f>_xlfn.IFNA(INDEX('HS Codes'!$D$2:$K3138,MATCH($B584,'HS Codes'!$A$2:$A3138,0),MATCH(H$1,'HS Codes'!$D$1:$K$1,0)),"")</f>
        <v>6302.93.00.00</v>
      </c>
      <c r="I584" s="8">
        <f>_xlfn.IFNA(INDEX('HS Codes'!$D$2:$K3138,MATCH($B584,'HS Codes'!$A$2:$A3138,0),MATCH(I$1,'HS Codes'!$D$1:$K$1,0)),"")</f>
        <v>6302939000</v>
      </c>
      <c r="J584" s="8">
        <f>_xlfn.IFNA(INDEX('HS Codes'!$D$2:$K3138,MATCH($B584,'HS Codes'!$A$2:$A3138,0),MATCH(J$1,'HS Codes'!$D$1:$K$1,0)),"")</f>
        <v>0</v>
      </c>
      <c r="K584" s="8" t="str">
        <f>_xlfn.IFNA(INDEX('HS Codes'!$D$2:$K3138,MATCH($B584,'HS Codes'!$A$2:$A3138,0),MATCH(K$1,'HS Codes'!$D$1:$K$1,0)),"")</f>
        <v>6302.39.00</v>
      </c>
      <c r="L584" s="8">
        <f>_xlfn.IFNA(INDEX('HS Codes'!$D$2:$K3138,MATCH($B584,'HS Codes'!$A$2:$A3138,0),MATCH(L$1,'HS Codes'!$D$1:$K$1,0)),"")</f>
        <v>6507</v>
      </c>
      <c r="M584" s="8" t="str">
        <f>_xlfn.IFNA(INDEX('HS Codes'!$C$2:$C3138,MATCH($B584,'HS Codes'!$A$2:$A3138,0)),"")</f>
        <v>Pet Towel - Toilet Linen 100% recycled 220 GSM/83% polyester/17% polyamide includes cotton on the packing pouch drawstring</v>
      </c>
      <c r="N584" s="9"/>
      <c r="O584" s="9"/>
      <c r="P584" s="9"/>
      <c r="Q584" s="9"/>
    </row>
    <row r="585" spans="1:17" ht="15.75" customHeight="1">
      <c r="A585" s="7" t="s">
        <v>875</v>
      </c>
      <c r="B585" s="7" t="s">
        <v>103</v>
      </c>
      <c r="C585" s="7" t="s">
        <v>278</v>
      </c>
      <c r="D585" s="7" t="s">
        <v>104</v>
      </c>
      <c r="E585" s="7" t="s">
        <v>279</v>
      </c>
      <c r="F585" s="8" t="str">
        <f>_xlfn.IFNA(INDEX('HS Codes'!$D$2:$K3139,MATCH($B585,'HS Codes'!$A$2:$A3139,0),MATCH(F$1,'HS Codes'!$D$1:$K$1,0)),"")</f>
        <v>6302.93.2000</v>
      </c>
      <c r="G585" s="8">
        <f>_xlfn.IFNA(INDEX('HS Codes'!$D$2:$K3139,MATCH($B585,'HS Codes'!$A$2:$A3139,0),MATCH(G$1,'HS Codes'!$D$1:$K$1,0)),"")</f>
        <v>6302600090</v>
      </c>
      <c r="H585" s="8" t="str">
        <f>_xlfn.IFNA(INDEX('HS Codes'!$D$2:$K3139,MATCH($B585,'HS Codes'!$A$2:$A3139,0),MATCH(H$1,'HS Codes'!$D$1:$K$1,0)),"")</f>
        <v>6302.93.00.00</v>
      </c>
      <c r="I585" s="8">
        <f>_xlfn.IFNA(INDEX('HS Codes'!$D$2:$K3139,MATCH($B585,'HS Codes'!$A$2:$A3139,0),MATCH(I$1,'HS Codes'!$D$1:$K$1,0)),"")</f>
        <v>6302939000</v>
      </c>
      <c r="J585" s="8">
        <f>_xlfn.IFNA(INDEX('HS Codes'!$D$2:$K3139,MATCH($B585,'HS Codes'!$A$2:$A3139,0),MATCH(J$1,'HS Codes'!$D$1:$K$1,0)),"")</f>
        <v>0</v>
      </c>
      <c r="K585" s="8" t="str">
        <f>_xlfn.IFNA(INDEX('HS Codes'!$D$2:$K3139,MATCH($B585,'HS Codes'!$A$2:$A3139,0),MATCH(K$1,'HS Codes'!$D$1:$K$1,0)),"")</f>
        <v>6302.39.00</v>
      </c>
      <c r="L585" s="8">
        <f>_xlfn.IFNA(INDEX('HS Codes'!$D$2:$K3139,MATCH($B585,'HS Codes'!$A$2:$A3139,0),MATCH(L$1,'HS Codes'!$D$1:$K$1,0)),"")</f>
        <v>6507</v>
      </c>
      <c r="M585" s="8" t="str">
        <f>_xlfn.IFNA(INDEX('HS Codes'!$C$2:$C3139,MATCH($B585,'HS Codes'!$A$2:$A3139,0)),"")</f>
        <v>Pet Towel - Toilet Linen 100% recycled 220 GSM/83% polyester/17% polyamide includes cotton on the packing pouch drawstring</v>
      </c>
      <c r="N585" s="9"/>
      <c r="O585" s="9"/>
      <c r="P585" s="9"/>
      <c r="Q585" s="9"/>
    </row>
    <row r="586" spans="1:17" ht="15.75" customHeight="1">
      <c r="A586" s="7" t="s">
        <v>876</v>
      </c>
      <c r="B586" s="7" t="s">
        <v>103</v>
      </c>
      <c r="C586" s="7" t="s">
        <v>278</v>
      </c>
      <c r="D586" s="7" t="s">
        <v>104</v>
      </c>
      <c r="E586" s="7" t="s">
        <v>279</v>
      </c>
      <c r="F586" s="8" t="str">
        <f>_xlfn.IFNA(INDEX('HS Codes'!$D$2:$K3140,MATCH($B586,'HS Codes'!$A$2:$A3140,0),MATCH(F$1,'HS Codes'!$D$1:$K$1,0)),"")</f>
        <v>6302.93.2000</v>
      </c>
      <c r="G586" s="8">
        <f>_xlfn.IFNA(INDEX('HS Codes'!$D$2:$K3140,MATCH($B586,'HS Codes'!$A$2:$A3140,0),MATCH(G$1,'HS Codes'!$D$1:$K$1,0)),"")</f>
        <v>6302600090</v>
      </c>
      <c r="H586" s="8" t="str">
        <f>_xlfn.IFNA(INDEX('HS Codes'!$D$2:$K3140,MATCH($B586,'HS Codes'!$A$2:$A3140,0),MATCH(H$1,'HS Codes'!$D$1:$K$1,0)),"")</f>
        <v>6302.93.00.00</v>
      </c>
      <c r="I586" s="8">
        <f>_xlfn.IFNA(INDEX('HS Codes'!$D$2:$K3140,MATCH($B586,'HS Codes'!$A$2:$A3140,0),MATCH(I$1,'HS Codes'!$D$1:$K$1,0)),"")</f>
        <v>6302939000</v>
      </c>
      <c r="J586" s="8">
        <f>_xlfn.IFNA(INDEX('HS Codes'!$D$2:$K3140,MATCH($B586,'HS Codes'!$A$2:$A3140,0),MATCH(J$1,'HS Codes'!$D$1:$K$1,0)),"")</f>
        <v>0</v>
      </c>
      <c r="K586" s="8" t="str">
        <f>_xlfn.IFNA(INDEX('HS Codes'!$D$2:$K3140,MATCH($B586,'HS Codes'!$A$2:$A3140,0),MATCH(K$1,'HS Codes'!$D$1:$K$1,0)),"")</f>
        <v>6302.39.00</v>
      </c>
      <c r="L586" s="8">
        <f>_xlfn.IFNA(INDEX('HS Codes'!$D$2:$K3140,MATCH($B586,'HS Codes'!$A$2:$A3140,0),MATCH(L$1,'HS Codes'!$D$1:$K$1,0)),"")</f>
        <v>6507</v>
      </c>
      <c r="M586" s="8" t="str">
        <f>_xlfn.IFNA(INDEX('HS Codes'!$C$2:$C3140,MATCH($B586,'HS Codes'!$A$2:$A3140,0)),"")</f>
        <v>Pet Towel - Toilet Linen 100% recycled 220 GSM/83% polyester/17% polyamide includes cotton on the packing pouch drawstring</v>
      </c>
      <c r="N586" s="9"/>
      <c r="O586" s="9"/>
      <c r="P586" s="9"/>
      <c r="Q586" s="9"/>
    </row>
    <row r="587" spans="1:17" ht="15.75" customHeight="1">
      <c r="A587" s="7" t="s">
        <v>877</v>
      </c>
      <c r="B587" s="7" t="s">
        <v>103</v>
      </c>
      <c r="C587" s="7" t="s">
        <v>278</v>
      </c>
      <c r="D587" s="7" t="s">
        <v>104</v>
      </c>
      <c r="E587" s="7" t="s">
        <v>279</v>
      </c>
      <c r="F587" s="8" t="str">
        <f>_xlfn.IFNA(INDEX('HS Codes'!$D$2:$K3141,MATCH($B587,'HS Codes'!$A$2:$A3141,0),MATCH(F$1,'HS Codes'!$D$1:$K$1,0)),"")</f>
        <v>6302.93.2000</v>
      </c>
      <c r="G587" s="8">
        <f>_xlfn.IFNA(INDEX('HS Codes'!$D$2:$K3141,MATCH($B587,'HS Codes'!$A$2:$A3141,0),MATCH(G$1,'HS Codes'!$D$1:$K$1,0)),"")</f>
        <v>6302600090</v>
      </c>
      <c r="H587" s="8" t="str">
        <f>_xlfn.IFNA(INDEX('HS Codes'!$D$2:$K3141,MATCH($B587,'HS Codes'!$A$2:$A3141,0),MATCH(H$1,'HS Codes'!$D$1:$K$1,0)),"")</f>
        <v>6302.93.00.00</v>
      </c>
      <c r="I587" s="8">
        <f>_xlfn.IFNA(INDEX('HS Codes'!$D$2:$K3141,MATCH($B587,'HS Codes'!$A$2:$A3141,0),MATCH(I$1,'HS Codes'!$D$1:$K$1,0)),"")</f>
        <v>6302939000</v>
      </c>
      <c r="J587" s="8">
        <f>_xlfn.IFNA(INDEX('HS Codes'!$D$2:$K3141,MATCH($B587,'HS Codes'!$A$2:$A3141,0),MATCH(J$1,'HS Codes'!$D$1:$K$1,0)),"")</f>
        <v>0</v>
      </c>
      <c r="K587" s="8" t="str">
        <f>_xlfn.IFNA(INDEX('HS Codes'!$D$2:$K3141,MATCH($B587,'HS Codes'!$A$2:$A3141,0),MATCH(K$1,'HS Codes'!$D$1:$K$1,0)),"")</f>
        <v>6302.39.00</v>
      </c>
      <c r="L587" s="8">
        <f>_xlfn.IFNA(INDEX('HS Codes'!$D$2:$K3141,MATCH($B587,'HS Codes'!$A$2:$A3141,0),MATCH(L$1,'HS Codes'!$D$1:$K$1,0)),"")</f>
        <v>6507</v>
      </c>
      <c r="M587" s="8" t="str">
        <f>_xlfn.IFNA(INDEX('HS Codes'!$C$2:$C3141,MATCH($B587,'HS Codes'!$A$2:$A3141,0)),"")</f>
        <v>Pet Towel - Toilet Linen 100% recycled 220 GSM/83% polyester/17% polyamide includes cotton on the packing pouch drawstring</v>
      </c>
      <c r="N587" s="9"/>
      <c r="O587" s="9"/>
      <c r="P587" s="9"/>
      <c r="Q587" s="9"/>
    </row>
    <row r="588" spans="1:17" ht="15.75" customHeight="1">
      <c r="A588" s="7" t="s">
        <v>878</v>
      </c>
      <c r="B588" s="7" t="s">
        <v>103</v>
      </c>
      <c r="C588" s="7" t="s">
        <v>278</v>
      </c>
      <c r="D588" s="7" t="s">
        <v>104</v>
      </c>
      <c r="E588" s="7" t="s">
        <v>279</v>
      </c>
      <c r="F588" s="8" t="str">
        <f>_xlfn.IFNA(INDEX('HS Codes'!$D$2:$K3142,MATCH($B588,'HS Codes'!$A$2:$A3142,0),MATCH(F$1,'HS Codes'!$D$1:$K$1,0)),"")</f>
        <v>6302.93.2000</v>
      </c>
      <c r="G588" s="8">
        <f>_xlfn.IFNA(INDEX('HS Codes'!$D$2:$K3142,MATCH($B588,'HS Codes'!$A$2:$A3142,0),MATCH(G$1,'HS Codes'!$D$1:$K$1,0)),"")</f>
        <v>6302600090</v>
      </c>
      <c r="H588" s="8" t="str">
        <f>_xlfn.IFNA(INDEX('HS Codes'!$D$2:$K3142,MATCH($B588,'HS Codes'!$A$2:$A3142,0),MATCH(H$1,'HS Codes'!$D$1:$K$1,0)),"")</f>
        <v>6302.93.00.00</v>
      </c>
      <c r="I588" s="8">
        <f>_xlfn.IFNA(INDEX('HS Codes'!$D$2:$K3142,MATCH($B588,'HS Codes'!$A$2:$A3142,0),MATCH(I$1,'HS Codes'!$D$1:$K$1,0)),"")</f>
        <v>6302939000</v>
      </c>
      <c r="J588" s="8">
        <f>_xlfn.IFNA(INDEX('HS Codes'!$D$2:$K3142,MATCH($B588,'HS Codes'!$A$2:$A3142,0),MATCH(J$1,'HS Codes'!$D$1:$K$1,0)),"")</f>
        <v>0</v>
      </c>
      <c r="K588" s="8" t="str">
        <f>_xlfn.IFNA(INDEX('HS Codes'!$D$2:$K3142,MATCH($B588,'HS Codes'!$A$2:$A3142,0),MATCH(K$1,'HS Codes'!$D$1:$K$1,0)),"")</f>
        <v>6302.39.00</v>
      </c>
      <c r="L588" s="8">
        <f>_xlfn.IFNA(INDEX('HS Codes'!$D$2:$K3142,MATCH($B588,'HS Codes'!$A$2:$A3142,0),MATCH(L$1,'HS Codes'!$D$1:$K$1,0)),"")</f>
        <v>6507</v>
      </c>
      <c r="M588" s="8" t="str">
        <f>_xlfn.IFNA(INDEX('HS Codes'!$C$2:$C3142,MATCH($B588,'HS Codes'!$A$2:$A3142,0)),"")</f>
        <v>Pet Towel - Toilet Linen 100% recycled 220 GSM/83% polyester/17% polyamide includes cotton on the packing pouch drawstring</v>
      </c>
      <c r="N588" s="9"/>
      <c r="O588" s="9"/>
      <c r="P588" s="9"/>
      <c r="Q588" s="9"/>
    </row>
    <row r="589" spans="1:17" ht="15.75" customHeight="1">
      <c r="A589" s="7" t="s">
        <v>879</v>
      </c>
      <c r="B589" s="7" t="s">
        <v>103</v>
      </c>
      <c r="C589" s="7" t="s">
        <v>278</v>
      </c>
      <c r="D589" s="7" t="s">
        <v>104</v>
      </c>
      <c r="E589" s="7" t="s">
        <v>279</v>
      </c>
      <c r="F589" s="8" t="str">
        <f>_xlfn.IFNA(INDEX('HS Codes'!$D$2:$K3143,MATCH($B589,'HS Codes'!$A$2:$A3143,0),MATCH(F$1,'HS Codes'!$D$1:$K$1,0)),"")</f>
        <v>6302.93.2000</v>
      </c>
      <c r="G589" s="8">
        <f>_xlfn.IFNA(INDEX('HS Codes'!$D$2:$K3143,MATCH($B589,'HS Codes'!$A$2:$A3143,0),MATCH(G$1,'HS Codes'!$D$1:$K$1,0)),"")</f>
        <v>6302600090</v>
      </c>
      <c r="H589" s="8" t="str">
        <f>_xlfn.IFNA(INDEX('HS Codes'!$D$2:$K3143,MATCH($B589,'HS Codes'!$A$2:$A3143,0),MATCH(H$1,'HS Codes'!$D$1:$K$1,0)),"")</f>
        <v>6302.93.00.00</v>
      </c>
      <c r="I589" s="8">
        <f>_xlfn.IFNA(INDEX('HS Codes'!$D$2:$K3143,MATCH($B589,'HS Codes'!$A$2:$A3143,0),MATCH(I$1,'HS Codes'!$D$1:$K$1,0)),"")</f>
        <v>6302939000</v>
      </c>
      <c r="J589" s="8">
        <f>_xlfn.IFNA(INDEX('HS Codes'!$D$2:$K3143,MATCH($B589,'HS Codes'!$A$2:$A3143,0),MATCH(J$1,'HS Codes'!$D$1:$K$1,0)),"")</f>
        <v>0</v>
      </c>
      <c r="K589" s="8" t="str">
        <f>_xlfn.IFNA(INDEX('HS Codes'!$D$2:$K3143,MATCH($B589,'HS Codes'!$A$2:$A3143,0),MATCH(K$1,'HS Codes'!$D$1:$K$1,0)),"")</f>
        <v>6302.39.00</v>
      </c>
      <c r="L589" s="8">
        <f>_xlfn.IFNA(INDEX('HS Codes'!$D$2:$K3143,MATCH($B589,'HS Codes'!$A$2:$A3143,0),MATCH(L$1,'HS Codes'!$D$1:$K$1,0)),"")</f>
        <v>6507</v>
      </c>
      <c r="M589" s="8" t="str">
        <f>_xlfn.IFNA(INDEX('HS Codes'!$C$2:$C3143,MATCH($B589,'HS Codes'!$A$2:$A3143,0)),"")</f>
        <v>Pet Towel - Toilet Linen 100% recycled 220 GSM/83% polyester/17% polyamide includes cotton on the packing pouch drawstring</v>
      </c>
      <c r="N589" s="9"/>
      <c r="O589" s="9"/>
      <c r="P589" s="9"/>
      <c r="Q589" s="9"/>
    </row>
    <row r="590" spans="1:17" ht="15.75" customHeight="1">
      <c r="A590" s="7" t="s">
        <v>880</v>
      </c>
      <c r="B590" s="7" t="s">
        <v>103</v>
      </c>
      <c r="C590" s="7" t="s">
        <v>278</v>
      </c>
      <c r="D590" s="7" t="s">
        <v>104</v>
      </c>
      <c r="E590" s="7" t="s">
        <v>279</v>
      </c>
      <c r="F590" s="8" t="str">
        <f>_xlfn.IFNA(INDEX('HS Codes'!$D$2:$K3144,MATCH($B590,'HS Codes'!$A$2:$A3144,0),MATCH(F$1,'HS Codes'!$D$1:$K$1,0)),"")</f>
        <v>6302.93.2000</v>
      </c>
      <c r="G590" s="8">
        <f>_xlfn.IFNA(INDEX('HS Codes'!$D$2:$K3144,MATCH($B590,'HS Codes'!$A$2:$A3144,0),MATCH(G$1,'HS Codes'!$D$1:$K$1,0)),"")</f>
        <v>6302600090</v>
      </c>
      <c r="H590" s="8" t="str">
        <f>_xlfn.IFNA(INDEX('HS Codes'!$D$2:$K3144,MATCH($B590,'HS Codes'!$A$2:$A3144,0),MATCH(H$1,'HS Codes'!$D$1:$K$1,0)),"")</f>
        <v>6302.93.00.00</v>
      </c>
      <c r="I590" s="8">
        <f>_xlfn.IFNA(INDEX('HS Codes'!$D$2:$K3144,MATCH($B590,'HS Codes'!$A$2:$A3144,0),MATCH(I$1,'HS Codes'!$D$1:$K$1,0)),"")</f>
        <v>6302939000</v>
      </c>
      <c r="J590" s="8">
        <f>_xlfn.IFNA(INDEX('HS Codes'!$D$2:$K3144,MATCH($B590,'HS Codes'!$A$2:$A3144,0),MATCH(J$1,'HS Codes'!$D$1:$K$1,0)),"")</f>
        <v>0</v>
      </c>
      <c r="K590" s="8" t="str">
        <f>_xlfn.IFNA(INDEX('HS Codes'!$D$2:$K3144,MATCH($B590,'HS Codes'!$A$2:$A3144,0),MATCH(K$1,'HS Codes'!$D$1:$K$1,0)),"")</f>
        <v>6302.39.00</v>
      </c>
      <c r="L590" s="8">
        <f>_xlfn.IFNA(INDEX('HS Codes'!$D$2:$K3144,MATCH($B590,'HS Codes'!$A$2:$A3144,0),MATCH(L$1,'HS Codes'!$D$1:$K$1,0)),"")</f>
        <v>6507</v>
      </c>
      <c r="M590" s="8" t="str">
        <f>_xlfn.IFNA(INDEX('HS Codes'!$C$2:$C3144,MATCH($B590,'HS Codes'!$A$2:$A3144,0)),"")</f>
        <v>Pet Towel - Toilet Linen 100% recycled 220 GSM/83% polyester/17% polyamide includes cotton on the packing pouch drawstring</v>
      </c>
      <c r="N590" s="9"/>
      <c r="O590" s="9"/>
      <c r="P590" s="9"/>
      <c r="Q590" s="9"/>
    </row>
    <row r="591" spans="1:17" ht="15.75" customHeight="1">
      <c r="A591" s="7" t="s">
        <v>881</v>
      </c>
      <c r="B591" s="7" t="s">
        <v>103</v>
      </c>
      <c r="C591" s="7" t="s">
        <v>278</v>
      </c>
      <c r="D591" s="7" t="s">
        <v>104</v>
      </c>
      <c r="E591" s="7" t="s">
        <v>279</v>
      </c>
      <c r="F591" s="8" t="str">
        <f>_xlfn.IFNA(INDEX('HS Codes'!$D$2:$K3145,MATCH($B591,'HS Codes'!$A$2:$A3145,0),MATCH(F$1,'HS Codes'!$D$1:$K$1,0)),"")</f>
        <v>6302.93.2000</v>
      </c>
      <c r="G591" s="8">
        <f>_xlfn.IFNA(INDEX('HS Codes'!$D$2:$K3145,MATCH($B591,'HS Codes'!$A$2:$A3145,0),MATCH(G$1,'HS Codes'!$D$1:$K$1,0)),"")</f>
        <v>6302600090</v>
      </c>
      <c r="H591" s="8" t="str">
        <f>_xlfn.IFNA(INDEX('HS Codes'!$D$2:$K3145,MATCH($B591,'HS Codes'!$A$2:$A3145,0),MATCH(H$1,'HS Codes'!$D$1:$K$1,0)),"")</f>
        <v>6302.93.00.00</v>
      </c>
      <c r="I591" s="8">
        <f>_xlfn.IFNA(INDEX('HS Codes'!$D$2:$K3145,MATCH($B591,'HS Codes'!$A$2:$A3145,0),MATCH(I$1,'HS Codes'!$D$1:$K$1,0)),"")</f>
        <v>6302939000</v>
      </c>
      <c r="J591" s="8">
        <f>_xlfn.IFNA(INDEX('HS Codes'!$D$2:$K3145,MATCH($B591,'HS Codes'!$A$2:$A3145,0),MATCH(J$1,'HS Codes'!$D$1:$K$1,0)),"")</f>
        <v>0</v>
      </c>
      <c r="K591" s="8" t="str">
        <f>_xlfn.IFNA(INDEX('HS Codes'!$D$2:$K3145,MATCH($B591,'HS Codes'!$A$2:$A3145,0),MATCH(K$1,'HS Codes'!$D$1:$K$1,0)),"")</f>
        <v>6302.39.00</v>
      </c>
      <c r="L591" s="8">
        <f>_xlfn.IFNA(INDEX('HS Codes'!$D$2:$K3145,MATCH($B591,'HS Codes'!$A$2:$A3145,0),MATCH(L$1,'HS Codes'!$D$1:$K$1,0)),"")</f>
        <v>6507</v>
      </c>
      <c r="M591" s="8" t="str">
        <f>_xlfn.IFNA(INDEX('HS Codes'!$C$2:$C3145,MATCH($B591,'HS Codes'!$A$2:$A3145,0)),"")</f>
        <v>Pet Towel - Toilet Linen 100% recycled 220 GSM/83% polyester/17% polyamide includes cotton on the packing pouch drawstring</v>
      </c>
      <c r="N591" s="9"/>
      <c r="O591" s="9"/>
      <c r="P591" s="9"/>
      <c r="Q591" s="9"/>
    </row>
    <row r="592" spans="1:17" ht="15.75" customHeight="1">
      <c r="A592" s="7" t="s">
        <v>882</v>
      </c>
      <c r="B592" s="7" t="s">
        <v>103</v>
      </c>
      <c r="C592" s="7" t="s">
        <v>278</v>
      </c>
      <c r="D592" s="7" t="s">
        <v>104</v>
      </c>
      <c r="E592" s="7" t="s">
        <v>279</v>
      </c>
      <c r="F592" s="8" t="str">
        <f>_xlfn.IFNA(INDEX('HS Codes'!$D$2:$K3146,MATCH($B592,'HS Codes'!$A$2:$A3146,0),MATCH(F$1,'HS Codes'!$D$1:$K$1,0)),"")</f>
        <v>6302.93.2000</v>
      </c>
      <c r="G592" s="8">
        <f>_xlfn.IFNA(INDEX('HS Codes'!$D$2:$K3146,MATCH($B592,'HS Codes'!$A$2:$A3146,0),MATCH(G$1,'HS Codes'!$D$1:$K$1,0)),"")</f>
        <v>6302600090</v>
      </c>
      <c r="H592" s="8" t="str">
        <f>_xlfn.IFNA(INDEX('HS Codes'!$D$2:$K3146,MATCH($B592,'HS Codes'!$A$2:$A3146,0),MATCH(H$1,'HS Codes'!$D$1:$K$1,0)),"")</f>
        <v>6302.93.00.00</v>
      </c>
      <c r="I592" s="8">
        <f>_xlfn.IFNA(INDEX('HS Codes'!$D$2:$K3146,MATCH($B592,'HS Codes'!$A$2:$A3146,0),MATCH(I$1,'HS Codes'!$D$1:$K$1,0)),"")</f>
        <v>6302939000</v>
      </c>
      <c r="J592" s="8">
        <f>_xlfn.IFNA(INDEX('HS Codes'!$D$2:$K3146,MATCH($B592,'HS Codes'!$A$2:$A3146,0),MATCH(J$1,'HS Codes'!$D$1:$K$1,0)),"")</f>
        <v>0</v>
      </c>
      <c r="K592" s="8" t="str">
        <f>_xlfn.IFNA(INDEX('HS Codes'!$D$2:$K3146,MATCH($B592,'HS Codes'!$A$2:$A3146,0),MATCH(K$1,'HS Codes'!$D$1:$K$1,0)),"")</f>
        <v>6302.39.00</v>
      </c>
      <c r="L592" s="8">
        <f>_xlfn.IFNA(INDEX('HS Codes'!$D$2:$K3146,MATCH($B592,'HS Codes'!$A$2:$A3146,0),MATCH(L$1,'HS Codes'!$D$1:$K$1,0)),"")</f>
        <v>6507</v>
      </c>
      <c r="M592" s="8" t="str">
        <f>_xlfn.IFNA(INDEX('HS Codes'!$C$2:$C3146,MATCH($B592,'HS Codes'!$A$2:$A3146,0)),"")</f>
        <v>Pet Towel - Toilet Linen 100% recycled 220 GSM/83% polyester/17% polyamide includes cotton on the packing pouch drawstring</v>
      </c>
      <c r="N592" s="9"/>
      <c r="O592" s="9"/>
      <c r="P592" s="9"/>
      <c r="Q592" s="9"/>
    </row>
    <row r="593" spans="1:17" ht="15.75" customHeight="1">
      <c r="A593" s="7" t="s">
        <v>883</v>
      </c>
      <c r="B593" s="7" t="s">
        <v>103</v>
      </c>
      <c r="C593" s="7" t="s">
        <v>278</v>
      </c>
      <c r="D593" s="7" t="s">
        <v>104</v>
      </c>
      <c r="E593" s="7" t="s">
        <v>279</v>
      </c>
      <c r="F593" s="8" t="str">
        <f>_xlfn.IFNA(INDEX('HS Codes'!$D$2:$K3147,MATCH($B593,'HS Codes'!$A$2:$A3147,0),MATCH(F$1,'HS Codes'!$D$1:$K$1,0)),"")</f>
        <v>6302.93.2000</v>
      </c>
      <c r="G593" s="8">
        <f>_xlfn.IFNA(INDEX('HS Codes'!$D$2:$K3147,MATCH($B593,'HS Codes'!$A$2:$A3147,0),MATCH(G$1,'HS Codes'!$D$1:$K$1,0)),"")</f>
        <v>6302600090</v>
      </c>
      <c r="H593" s="8" t="str">
        <f>_xlfn.IFNA(INDEX('HS Codes'!$D$2:$K3147,MATCH($B593,'HS Codes'!$A$2:$A3147,0),MATCH(H$1,'HS Codes'!$D$1:$K$1,0)),"")</f>
        <v>6302.93.00.00</v>
      </c>
      <c r="I593" s="8">
        <f>_xlfn.IFNA(INDEX('HS Codes'!$D$2:$K3147,MATCH($B593,'HS Codes'!$A$2:$A3147,0),MATCH(I$1,'HS Codes'!$D$1:$K$1,0)),"")</f>
        <v>6302939000</v>
      </c>
      <c r="J593" s="8">
        <f>_xlfn.IFNA(INDEX('HS Codes'!$D$2:$K3147,MATCH($B593,'HS Codes'!$A$2:$A3147,0),MATCH(J$1,'HS Codes'!$D$1:$K$1,0)),"")</f>
        <v>0</v>
      </c>
      <c r="K593" s="8" t="str">
        <f>_xlfn.IFNA(INDEX('HS Codes'!$D$2:$K3147,MATCH($B593,'HS Codes'!$A$2:$A3147,0),MATCH(K$1,'HS Codes'!$D$1:$K$1,0)),"")</f>
        <v>6302.39.00</v>
      </c>
      <c r="L593" s="8">
        <f>_xlfn.IFNA(INDEX('HS Codes'!$D$2:$K3147,MATCH($B593,'HS Codes'!$A$2:$A3147,0),MATCH(L$1,'HS Codes'!$D$1:$K$1,0)),"")</f>
        <v>6507</v>
      </c>
      <c r="M593" s="8" t="str">
        <f>_xlfn.IFNA(INDEX('HS Codes'!$C$2:$C3147,MATCH($B593,'HS Codes'!$A$2:$A3147,0)),"")</f>
        <v>Pet Towel - Toilet Linen 100% recycled 220 GSM/83% polyester/17% polyamide includes cotton on the packing pouch drawstring</v>
      </c>
      <c r="N593" s="9"/>
      <c r="O593" s="9"/>
      <c r="P593" s="9"/>
      <c r="Q593" s="9"/>
    </row>
    <row r="594" spans="1:17" ht="15.75" customHeight="1">
      <c r="A594" s="7" t="s">
        <v>884</v>
      </c>
      <c r="B594" s="7" t="s">
        <v>103</v>
      </c>
      <c r="C594" s="7" t="s">
        <v>278</v>
      </c>
      <c r="D594" s="7" t="s">
        <v>104</v>
      </c>
      <c r="E594" s="7" t="s">
        <v>279</v>
      </c>
      <c r="F594" s="8" t="str">
        <f>_xlfn.IFNA(INDEX('HS Codes'!$D$2:$K3148,MATCH($B594,'HS Codes'!$A$2:$A3148,0),MATCH(F$1,'HS Codes'!$D$1:$K$1,0)),"")</f>
        <v>6302.93.2000</v>
      </c>
      <c r="G594" s="8">
        <f>_xlfn.IFNA(INDEX('HS Codes'!$D$2:$K3148,MATCH($B594,'HS Codes'!$A$2:$A3148,0),MATCH(G$1,'HS Codes'!$D$1:$K$1,0)),"")</f>
        <v>6302600090</v>
      </c>
      <c r="H594" s="8" t="str">
        <f>_xlfn.IFNA(INDEX('HS Codes'!$D$2:$K3148,MATCH($B594,'HS Codes'!$A$2:$A3148,0),MATCH(H$1,'HS Codes'!$D$1:$K$1,0)),"")</f>
        <v>6302.93.00.00</v>
      </c>
      <c r="I594" s="8">
        <f>_xlfn.IFNA(INDEX('HS Codes'!$D$2:$K3148,MATCH($B594,'HS Codes'!$A$2:$A3148,0),MATCH(I$1,'HS Codes'!$D$1:$K$1,0)),"")</f>
        <v>6302939000</v>
      </c>
      <c r="J594" s="8">
        <f>_xlfn.IFNA(INDEX('HS Codes'!$D$2:$K3148,MATCH($B594,'HS Codes'!$A$2:$A3148,0),MATCH(J$1,'HS Codes'!$D$1:$K$1,0)),"")</f>
        <v>0</v>
      </c>
      <c r="K594" s="8" t="str">
        <f>_xlfn.IFNA(INDEX('HS Codes'!$D$2:$K3148,MATCH($B594,'HS Codes'!$A$2:$A3148,0),MATCH(K$1,'HS Codes'!$D$1:$K$1,0)),"")</f>
        <v>6302.39.00</v>
      </c>
      <c r="L594" s="8">
        <f>_xlfn.IFNA(INDEX('HS Codes'!$D$2:$K3148,MATCH($B594,'HS Codes'!$A$2:$A3148,0),MATCH(L$1,'HS Codes'!$D$1:$K$1,0)),"")</f>
        <v>6507</v>
      </c>
      <c r="M594" s="8" t="str">
        <f>_xlfn.IFNA(INDEX('HS Codes'!$C$2:$C3148,MATCH($B594,'HS Codes'!$A$2:$A3148,0)),"")</f>
        <v>Pet Towel - Toilet Linen 100% recycled 220 GSM/83% polyester/17% polyamide includes cotton on the packing pouch drawstring</v>
      </c>
      <c r="N594" s="9"/>
      <c r="O594" s="9"/>
      <c r="P594" s="9"/>
      <c r="Q594" s="9"/>
    </row>
    <row r="595" spans="1:17" ht="15.75" customHeight="1">
      <c r="A595" s="7" t="s">
        <v>885</v>
      </c>
      <c r="B595" s="7" t="s">
        <v>103</v>
      </c>
      <c r="C595" s="7" t="s">
        <v>278</v>
      </c>
      <c r="D595" s="7" t="s">
        <v>104</v>
      </c>
      <c r="E595" s="7" t="s">
        <v>279</v>
      </c>
      <c r="F595" s="8" t="str">
        <f>_xlfn.IFNA(INDEX('HS Codes'!$D$2:$K3149,MATCH($B595,'HS Codes'!$A$2:$A3149,0),MATCH(F$1,'HS Codes'!$D$1:$K$1,0)),"")</f>
        <v>6302.93.2000</v>
      </c>
      <c r="G595" s="8">
        <f>_xlfn.IFNA(INDEX('HS Codes'!$D$2:$K3149,MATCH($B595,'HS Codes'!$A$2:$A3149,0),MATCH(G$1,'HS Codes'!$D$1:$K$1,0)),"")</f>
        <v>6302600090</v>
      </c>
      <c r="H595" s="8" t="str">
        <f>_xlfn.IFNA(INDEX('HS Codes'!$D$2:$K3149,MATCH($B595,'HS Codes'!$A$2:$A3149,0),MATCH(H$1,'HS Codes'!$D$1:$K$1,0)),"")</f>
        <v>6302.93.00.00</v>
      </c>
      <c r="I595" s="8">
        <f>_xlfn.IFNA(INDEX('HS Codes'!$D$2:$K3149,MATCH($B595,'HS Codes'!$A$2:$A3149,0),MATCH(I$1,'HS Codes'!$D$1:$K$1,0)),"")</f>
        <v>6302939000</v>
      </c>
      <c r="J595" s="8">
        <f>_xlfn.IFNA(INDEX('HS Codes'!$D$2:$K3149,MATCH($B595,'HS Codes'!$A$2:$A3149,0),MATCH(J$1,'HS Codes'!$D$1:$K$1,0)),"")</f>
        <v>0</v>
      </c>
      <c r="K595" s="8" t="str">
        <f>_xlfn.IFNA(INDEX('HS Codes'!$D$2:$K3149,MATCH($B595,'HS Codes'!$A$2:$A3149,0),MATCH(K$1,'HS Codes'!$D$1:$K$1,0)),"")</f>
        <v>6302.39.00</v>
      </c>
      <c r="L595" s="8">
        <f>_xlfn.IFNA(INDEX('HS Codes'!$D$2:$K3149,MATCH($B595,'HS Codes'!$A$2:$A3149,0),MATCH(L$1,'HS Codes'!$D$1:$K$1,0)),"")</f>
        <v>6507</v>
      </c>
      <c r="M595" s="8" t="str">
        <f>_xlfn.IFNA(INDEX('HS Codes'!$C$2:$C3149,MATCH($B595,'HS Codes'!$A$2:$A3149,0)),"")</f>
        <v>Pet Towel - Toilet Linen 100% recycled 220 GSM/83% polyester/17% polyamide includes cotton on the packing pouch drawstring</v>
      </c>
      <c r="N595" s="9"/>
      <c r="O595" s="9"/>
      <c r="P595" s="9"/>
      <c r="Q595" s="9"/>
    </row>
    <row r="596" spans="1:17" ht="15.75" customHeight="1">
      <c r="A596" s="7" t="s">
        <v>886</v>
      </c>
      <c r="B596" s="7" t="s">
        <v>103</v>
      </c>
      <c r="C596" s="7" t="s">
        <v>278</v>
      </c>
      <c r="D596" s="7" t="s">
        <v>104</v>
      </c>
      <c r="E596" s="7" t="s">
        <v>279</v>
      </c>
      <c r="F596" s="8" t="str">
        <f>_xlfn.IFNA(INDEX('HS Codes'!$D$2:$K3150,MATCH($B596,'HS Codes'!$A$2:$A3150,0),MATCH(F$1,'HS Codes'!$D$1:$K$1,0)),"")</f>
        <v>6302.93.2000</v>
      </c>
      <c r="G596" s="8">
        <f>_xlfn.IFNA(INDEX('HS Codes'!$D$2:$K3150,MATCH($B596,'HS Codes'!$A$2:$A3150,0),MATCH(G$1,'HS Codes'!$D$1:$K$1,0)),"")</f>
        <v>6302600090</v>
      </c>
      <c r="H596" s="8" t="str">
        <f>_xlfn.IFNA(INDEX('HS Codes'!$D$2:$K3150,MATCH($B596,'HS Codes'!$A$2:$A3150,0),MATCH(H$1,'HS Codes'!$D$1:$K$1,0)),"")</f>
        <v>6302.93.00.00</v>
      </c>
      <c r="I596" s="8">
        <f>_xlfn.IFNA(INDEX('HS Codes'!$D$2:$K3150,MATCH($B596,'HS Codes'!$A$2:$A3150,0),MATCH(I$1,'HS Codes'!$D$1:$K$1,0)),"")</f>
        <v>6302939000</v>
      </c>
      <c r="J596" s="8">
        <f>_xlfn.IFNA(INDEX('HS Codes'!$D$2:$K3150,MATCH($B596,'HS Codes'!$A$2:$A3150,0),MATCH(J$1,'HS Codes'!$D$1:$K$1,0)),"")</f>
        <v>0</v>
      </c>
      <c r="K596" s="8" t="str">
        <f>_xlfn.IFNA(INDEX('HS Codes'!$D$2:$K3150,MATCH($B596,'HS Codes'!$A$2:$A3150,0),MATCH(K$1,'HS Codes'!$D$1:$K$1,0)),"")</f>
        <v>6302.39.00</v>
      </c>
      <c r="L596" s="8">
        <f>_xlfn.IFNA(INDEX('HS Codes'!$D$2:$K3150,MATCH($B596,'HS Codes'!$A$2:$A3150,0),MATCH(L$1,'HS Codes'!$D$1:$K$1,0)),"")</f>
        <v>6507</v>
      </c>
      <c r="M596" s="8" t="str">
        <f>_xlfn.IFNA(INDEX('HS Codes'!$C$2:$C3150,MATCH($B596,'HS Codes'!$A$2:$A3150,0)),"")</f>
        <v>Pet Towel - Toilet Linen 100% recycled 220 GSM/83% polyester/17% polyamide includes cotton on the packing pouch drawstring</v>
      </c>
      <c r="N596" s="9"/>
      <c r="O596" s="9"/>
      <c r="P596" s="9"/>
      <c r="Q596" s="9"/>
    </row>
    <row r="597" spans="1:17" ht="15.75" customHeight="1">
      <c r="A597" s="7" t="s">
        <v>887</v>
      </c>
      <c r="B597" s="7" t="s">
        <v>103</v>
      </c>
      <c r="C597" s="7" t="s">
        <v>278</v>
      </c>
      <c r="D597" s="7" t="s">
        <v>104</v>
      </c>
      <c r="E597" s="7" t="s">
        <v>279</v>
      </c>
      <c r="F597" s="8" t="str">
        <f>_xlfn.IFNA(INDEX('HS Codes'!$D$2:$K3151,MATCH($B597,'HS Codes'!$A$2:$A3151,0),MATCH(F$1,'HS Codes'!$D$1:$K$1,0)),"")</f>
        <v>6302.93.2000</v>
      </c>
      <c r="G597" s="8">
        <f>_xlfn.IFNA(INDEX('HS Codes'!$D$2:$K3151,MATCH($B597,'HS Codes'!$A$2:$A3151,0),MATCH(G$1,'HS Codes'!$D$1:$K$1,0)),"")</f>
        <v>6302600090</v>
      </c>
      <c r="H597" s="8" t="str">
        <f>_xlfn.IFNA(INDEX('HS Codes'!$D$2:$K3151,MATCH($B597,'HS Codes'!$A$2:$A3151,0),MATCH(H$1,'HS Codes'!$D$1:$K$1,0)),"")</f>
        <v>6302.93.00.00</v>
      </c>
      <c r="I597" s="8">
        <f>_xlfn.IFNA(INDEX('HS Codes'!$D$2:$K3151,MATCH($B597,'HS Codes'!$A$2:$A3151,0),MATCH(I$1,'HS Codes'!$D$1:$K$1,0)),"")</f>
        <v>6302939000</v>
      </c>
      <c r="J597" s="8">
        <f>_xlfn.IFNA(INDEX('HS Codes'!$D$2:$K3151,MATCH($B597,'HS Codes'!$A$2:$A3151,0),MATCH(J$1,'HS Codes'!$D$1:$K$1,0)),"")</f>
        <v>0</v>
      </c>
      <c r="K597" s="8" t="str">
        <f>_xlfn.IFNA(INDEX('HS Codes'!$D$2:$K3151,MATCH($B597,'HS Codes'!$A$2:$A3151,0),MATCH(K$1,'HS Codes'!$D$1:$K$1,0)),"")</f>
        <v>6302.39.00</v>
      </c>
      <c r="L597" s="8">
        <f>_xlfn.IFNA(INDEX('HS Codes'!$D$2:$K3151,MATCH($B597,'HS Codes'!$A$2:$A3151,0),MATCH(L$1,'HS Codes'!$D$1:$K$1,0)),"")</f>
        <v>6507</v>
      </c>
      <c r="M597" s="8" t="str">
        <f>_xlfn.IFNA(INDEX('HS Codes'!$C$2:$C3151,MATCH($B597,'HS Codes'!$A$2:$A3151,0)),"")</f>
        <v>Pet Towel - Toilet Linen 100% recycled 220 GSM/83% polyester/17% polyamide includes cotton on the packing pouch drawstring</v>
      </c>
      <c r="N597" s="9"/>
      <c r="O597" s="9"/>
      <c r="P597" s="9"/>
      <c r="Q597" s="9"/>
    </row>
    <row r="598" spans="1:17" ht="15.75" customHeight="1">
      <c r="A598" s="7" t="s">
        <v>888</v>
      </c>
      <c r="B598" s="7" t="s">
        <v>103</v>
      </c>
      <c r="C598" s="7" t="s">
        <v>278</v>
      </c>
      <c r="D598" s="7" t="s">
        <v>104</v>
      </c>
      <c r="E598" s="7" t="s">
        <v>279</v>
      </c>
      <c r="F598" s="8" t="str">
        <f>_xlfn.IFNA(INDEX('HS Codes'!$D$2:$K3152,MATCH($B598,'HS Codes'!$A$2:$A3152,0),MATCH(F$1,'HS Codes'!$D$1:$K$1,0)),"")</f>
        <v>6302.93.2000</v>
      </c>
      <c r="G598" s="8">
        <f>_xlfn.IFNA(INDEX('HS Codes'!$D$2:$K3152,MATCH($B598,'HS Codes'!$A$2:$A3152,0),MATCH(G$1,'HS Codes'!$D$1:$K$1,0)),"")</f>
        <v>6302600090</v>
      </c>
      <c r="H598" s="8" t="str">
        <f>_xlfn.IFNA(INDEX('HS Codes'!$D$2:$K3152,MATCH($B598,'HS Codes'!$A$2:$A3152,0),MATCH(H$1,'HS Codes'!$D$1:$K$1,0)),"")</f>
        <v>6302.93.00.00</v>
      </c>
      <c r="I598" s="8">
        <f>_xlfn.IFNA(INDEX('HS Codes'!$D$2:$K3152,MATCH($B598,'HS Codes'!$A$2:$A3152,0),MATCH(I$1,'HS Codes'!$D$1:$K$1,0)),"")</f>
        <v>6302939000</v>
      </c>
      <c r="J598" s="8">
        <f>_xlfn.IFNA(INDEX('HS Codes'!$D$2:$K3152,MATCH($B598,'HS Codes'!$A$2:$A3152,0),MATCH(J$1,'HS Codes'!$D$1:$K$1,0)),"")</f>
        <v>0</v>
      </c>
      <c r="K598" s="8" t="str">
        <f>_xlfn.IFNA(INDEX('HS Codes'!$D$2:$K3152,MATCH($B598,'HS Codes'!$A$2:$A3152,0),MATCH(K$1,'HS Codes'!$D$1:$K$1,0)),"")</f>
        <v>6302.39.00</v>
      </c>
      <c r="L598" s="8">
        <f>_xlfn.IFNA(INDEX('HS Codes'!$D$2:$K3152,MATCH($B598,'HS Codes'!$A$2:$A3152,0),MATCH(L$1,'HS Codes'!$D$1:$K$1,0)),"")</f>
        <v>6507</v>
      </c>
      <c r="M598" s="8" t="str">
        <f>_xlfn.IFNA(INDEX('HS Codes'!$C$2:$C3152,MATCH($B598,'HS Codes'!$A$2:$A3152,0)),"")</f>
        <v>Pet Towel - Toilet Linen 100% recycled 220 GSM/83% polyester/17% polyamide includes cotton on the packing pouch drawstring</v>
      </c>
      <c r="N598" s="9"/>
      <c r="O598" s="9"/>
      <c r="P598" s="9"/>
      <c r="Q598" s="9"/>
    </row>
    <row r="599" spans="1:17" ht="15.75" customHeight="1">
      <c r="A599" s="7" t="s">
        <v>889</v>
      </c>
      <c r="B599" s="7" t="s">
        <v>103</v>
      </c>
      <c r="C599" s="7" t="s">
        <v>278</v>
      </c>
      <c r="D599" s="7" t="s">
        <v>104</v>
      </c>
      <c r="E599" s="7" t="s">
        <v>279</v>
      </c>
      <c r="F599" s="8" t="str">
        <f>_xlfn.IFNA(INDEX('HS Codes'!$D$2:$K3153,MATCH($B599,'HS Codes'!$A$2:$A3153,0),MATCH(F$1,'HS Codes'!$D$1:$K$1,0)),"")</f>
        <v>6302.93.2000</v>
      </c>
      <c r="G599" s="8">
        <f>_xlfn.IFNA(INDEX('HS Codes'!$D$2:$K3153,MATCH($B599,'HS Codes'!$A$2:$A3153,0),MATCH(G$1,'HS Codes'!$D$1:$K$1,0)),"")</f>
        <v>6302600090</v>
      </c>
      <c r="H599" s="8" t="str">
        <f>_xlfn.IFNA(INDEX('HS Codes'!$D$2:$K3153,MATCH($B599,'HS Codes'!$A$2:$A3153,0),MATCH(H$1,'HS Codes'!$D$1:$K$1,0)),"")</f>
        <v>6302.93.00.00</v>
      </c>
      <c r="I599" s="8">
        <f>_xlfn.IFNA(INDEX('HS Codes'!$D$2:$K3153,MATCH($B599,'HS Codes'!$A$2:$A3153,0),MATCH(I$1,'HS Codes'!$D$1:$K$1,0)),"")</f>
        <v>6302939000</v>
      </c>
      <c r="J599" s="8">
        <f>_xlfn.IFNA(INDEX('HS Codes'!$D$2:$K3153,MATCH($B599,'HS Codes'!$A$2:$A3153,0),MATCH(J$1,'HS Codes'!$D$1:$K$1,0)),"")</f>
        <v>0</v>
      </c>
      <c r="K599" s="8" t="str">
        <f>_xlfn.IFNA(INDEX('HS Codes'!$D$2:$K3153,MATCH($B599,'HS Codes'!$A$2:$A3153,0),MATCH(K$1,'HS Codes'!$D$1:$K$1,0)),"")</f>
        <v>6302.39.00</v>
      </c>
      <c r="L599" s="8">
        <f>_xlfn.IFNA(INDEX('HS Codes'!$D$2:$K3153,MATCH($B599,'HS Codes'!$A$2:$A3153,0),MATCH(L$1,'HS Codes'!$D$1:$K$1,0)),"")</f>
        <v>6507</v>
      </c>
      <c r="M599" s="8" t="str">
        <f>_xlfn.IFNA(INDEX('HS Codes'!$C$2:$C3153,MATCH($B599,'HS Codes'!$A$2:$A3153,0)),"")</f>
        <v>Pet Towel - Toilet Linen 100% recycled 220 GSM/83% polyester/17% polyamide includes cotton on the packing pouch drawstring</v>
      </c>
      <c r="N599" s="9"/>
      <c r="O599" s="9"/>
      <c r="P599" s="9"/>
      <c r="Q599" s="9"/>
    </row>
    <row r="600" spans="1:17" ht="15.75" customHeight="1">
      <c r="A600" s="7" t="s">
        <v>890</v>
      </c>
      <c r="B600" s="7" t="s">
        <v>103</v>
      </c>
      <c r="C600" s="7" t="s">
        <v>278</v>
      </c>
      <c r="D600" s="7" t="s">
        <v>104</v>
      </c>
      <c r="E600" s="7" t="s">
        <v>279</v>
      </c>
      <c r="F600" s="8" t="str">
        <f>_xlfn.IFNA(INDEX('HS Codes'!$D$2:$K3154,MATCH($B600,'HS Codes'!$A$2:$A3154,0),MATCH(F$1,'HS Codes'!$D$1:$K$1,0)),"")</f>
        <v>6302.93.2000</v>
      </c>
      <c r="G600" s="8">
        <f>_xlfn.IFNA(INDEX('HS Codes'!$D$2:$K3154,MATCH($B600,'HS Codes'!$A$2:$A3154,0),MATCH(G$1,'HS Codes'!$D$1:$K$1,0)),"")</f>
        <v>6302600090</v>
      </c>
      <c r="H600" s="8" t="str">
        <f>_xlfn.IFNA(INDEX('HS Codes'!$D$2:$K3154,MATCH($B600,'HS Codes'!$A$2:$A3154,0),MATCH(H$1,'HS Codes'!$D$1:$K$1,0)),"")</f>
        <v>6302.93.00.00</v>
      </c>
      <c r="I600" s="8">
        <f>_xlfn.IFNA(INDEX('HS Codes'!$D$2:$K3154,MATCH($B600,'HS Codes'!$A$2:$A3154,0),MATCH(I$1,'HS Codes'!$D$1:$K$1,0)),"")</f>
        <v>6302939000</v>
      </c>
      <c r="J600" s="8">
        <f>_xlfn.IFNA(INDEX('HS Codes'!$D$2:$K3154,MATCH($B600,'HS Codes'!$A$2:$A3154,0),MATCH(J$1,'HS Codes'!$D$1:$K$1,0)),"")</f>
        <v>0</v>
      </c>
      <c r="K600" s="8" t="str">
        <f>_xlfn.IFNA(INDEX('HS Codes'!$D$2:$K3154,MATCH($B600,'HS Codes'!$A$2:$A3154,0),MATCH(K$1,'HS Codes'!$D$1:$K$1,0)),"")</f>
        <v>6302.39.00</v>
      </c>
      <c r="L600" s="8">
        <f>_xlfn.IFNA(INDEX('HS Codes'!$D$2:$K3154,MATCH($B600,'HS Codes'!$A$2:$A3154,0),MATCH(L$1,'HS Codes'!$D$1:$K$1,0)),"")</f>
        <v>6507</v>
      </c>
      <c r="M600" s="8" t="str">
        <f>_xlfn.IFNA(INDEX('HS Codes'!$C$2:$C3154,MATCH($B600,'HS Codes'!$A$2:$A3154,0)),"")</f>
        <v>Pet Towel - Toilet Linen 100% recycled 220 GSM/83% polyester/17% polyamide includes cotton on the packing pouch drawstring</v>
      </c>
      <c r="N600" s="9"/>
      <c r="O600" s="9"/>
      <c r="P600" s="9"/>
      <c r="Q600" s="9"/>
    </row>
    <row r="601" spans="1:17" ht="15.75" customHeight="1">
      <c r="A601" s="7" t="s">
        <v>891</v>
      </c>
      <c r="B601" s="7" t="s">
        <v>103</v>
      </c>
      <c r="C601" s="7" t="s">
        <v>278</v>
      </c>
      <c r="D601" s="7" t="s">
        <v>104</v>
      </c>
      <c r="E601" s="7" t="s">
        <v>279</v>
      </c>
      <c r="F601" s="8" t="str">
        <f>_xlfn.IFNA(INDEX('HS Codes'!$D$2:$K3155,MATCH($B601,'HS Codes'!$A$2:$A3155,0),MATCH(F$1,'HS Codes'!$D$1:$K$1,0)),"")</f>
        <v>6302.93.2000</v>
      </c>
      <c r="G601" s="8">
        <f>_xlfn.IFNA(INDEX('HS Codes'!$D$2:$K3155,MATCH($B601,'HS Codes'!$A$2:$A3155,0),MATCH(G$1,'HS Codes'!$D$1:$K$1,0)),"")</f>
        <v>6302600090</v>
      </c>
      <c r="H601" s="8" t="str">
        <f>_xlfn.IFNA(INDEX('HS Codes'!$D$2:$K3155,MATCH($B601,'HS Codes'!$A$2:$A3155,0),MATCH(H$1,'HS Codes'!$D$1:$K$1,0)),"")</f>
        <v>6302.93.00.00</v>
      </c>
      <c r="I601" s="8">
        <f>_xlfn.IFNA(INDEX('HS Codes'!$D$2:$K3155,MATCH($B601,'HS Codes'!$A$2:$A3155,0),MATCH(I$1,'HS Codes'!$D$1:$K$1,0)),"")</f>
        <v>6302939000</v>
      </c>
      <c r="J601" s="8">
        <f>_xlfn.IFNA(INDEX('HS Codes'!$D$2:$K3155,MATCH($B601,'HS Codes'!$A$2:$A3155,0),MATCH(J$1,'HS Codes'!$D$1:$K$1,0)),"")</f>
        <v>0</v>
      </c>
      <c r="K601" s="8" t="str">
        <f>_xlfn.IFNA(INDEX('HS Codes'!$D$2:$K3155,MATCH($B601,'HS Codes'!$A$2:$A3155,0),MATCH(K$1,'HS Codes'!$D$1:$K$1,0)),"")</f>
        <v>6302.39.00</v>
      </c>
      <c r="L601" s="8">
        <f>_xlfn.IFNA(INDEX('HS Codes'!$D$2:$K3155,MATCH($B601,'HS Codes'!$A$2:$A3155,0),MATCH(L$1,'HS Codes'!$D$1:$K$1,0)),"")</f>
        <v>6507</v>
      </c>
      <c r="M601" s="8" t="str">
        <f>_xlfn.IFNA(INDEX('HS Codes'!$C$2:$C3155,MATCH($B601,'HS Codes'!$A$2:$A3155,0)),"")</f>
        <v>Pet Towel - Toilet Linen 100% recycled 220 GSM/83% polyester/17% polyamide includes cotton on the packing pouch drawstring</v>
      </c>
      <c r="N601" s="9"/>
      <c r="O601" s="9"/>
      <c r="P601" s="9"/>
      <c r="Q601" s="9"/>
    </row>
    <row r="602" spans="1:17" ht="15.75" customHeight="1">
      <c r="A602" s="7" t="s">
        <v>892</v>
      </c>
      <c r="B602" s="7" t="s">
        <v>103</v>
      </c>
      <c r="C602" s="7" t="s">
        <v>278</v>
      </c>
      <c r="D602" s="7" t="s">
        <v>104</v>
      </c>
      <c r="E602" s="7" t="s">
        <v>279</v>
      </c>
      <c r="F602" s="8" t="str">
        <f>_xlfn.IFNA(INDEX('HS Codes'!$D$2:$K3156,MATCH($B602,'HS Codes'!$A$2:$A3156,0),MATCH(F$1,'HS Codes'!$D$1:$K$1,0)),"")</f>
        <v>6302.93.2000</v>
      </c>
      <c r="G602" s="8">
        <f>_xlfn.IFNA(INDEX('HS Codes'!$D$2:$K3156,MATCH($B602,'HS Codes'!$A$2:$A3156,0),MATCH(G$1,'HS Codes'!$D$1:$K$1,0)),"")</f>
        <v>6302600090</v>
      </c>
      <c r="H602" s="8" t="str">
        <f>_xlfn.IFNA(INDEX('HS Codes'!$D$2:$K3156,MATCH($B602,'HS Codes'!$A$2:$A3156,0),MATCH(H$1,'HS Codes'!$D$1:$K$1,0)),"")</f>
        <v>6302.93.00.00</v>
      </c>
      <c r="I602" s="8">
        <f>_xlfn.IFNA(INDEX('HS Codes'!$D$2:$K3156,MATCH($B602,'HS Codes'!$A$2:$A3156,0),MATCH(I$1,'HS Codes'!$D$1:$K$1,0)),"")</f>
        <v>6302939000</v>
      </c>
      <c r="J602" s="8">
        <f>_xlfn.IFNA(INDEX('HS Codes'!$D$2:$K3156,MATCH($B602,'HS Codes'!$A$2:$A3156,0),MATCH(J$1,'HS Codes'!$D$1:$K$1,0)),"")</f>
        <v>0</v>
      </c>
      <c r="K602" s="8" t="str">
        <f>_xlfn.IFNA(INDEX('HS Codes'!$D$2:$K3156,MATCH($B602,'HS Codes'!$A$2:$A3156,0),MATCH(K$1,'HS Codes'!$D$1:$K$1,0)),"")</f>
        <v>6302.39.00</v>
      </c>
      <c r="L602" s="8">
        <f>_xlfn.IFNA(INDEX('HS Codes'!$D$2:$K3156,MATCH($B602,'HS Codes'!$A$2:$A3156,0),MATCH(L$1,'HS Codes'!$D$1:$K$1,0)),"")</f>
        <v>6507</v>
      </c>
      <c r="M602" s="8" t="str">
        <f>_xlfn.IFNA(INDEX('HS Codes'!$C$2:$C3156,MATCH($B602,'HS Codes'!$A$2:$A3156,0)),"")</f>
        <v>Pet Towel - Toilet Linen 100% recycled 220 GSM/83% polyester/17% polyamide includes cotton on the packing pouch drawstring</v>
      </c>
      <c r="N602" s="9"/>
      <c r="O602" s="9"/>
      <c r="P602" s="9"/>
      <c r="Q602" s="9"/>
    </row>
    <row r="603" spans="1:17" ht="15.75" customHeight="1">
      <c r="A603" s="7" t="s">
        <v>893</v>
      </c>
      <c r="B603" s="7" t="s">
        <v>108</v>
      </c>
      <c r="C603" s="7" t="s">
        <v>275</v>
      </c>
      <c r="D603" s="7" t="s">
        <v>109</v>
      </c>
      <c r="E603" s="7" t="s">
        <v>109</v>
      </c>
      <c r="F603" s="8" t="str">
        <f>_xlfn.IFNA(INDEX('HS Codes'!$D$2:$K3157,MATCH($B603,'HS Codes'!$A$2:$A3157,0),MATCH(F$1,'HS Codes'!$D$1:$K$1,0)),"")</f>
        <v>6307.90.9891</v>
      </c>
      <c r="G603" s="8">
        <f>_xlfn.IFNA(INDEX('HS Codes'!$D$2:$K3157,MATCH($B603,'HS Codes'!$A$2:$A3157,0),MATCH(G$1,'HS Codes'!$D$1:$K$1,0)),"")</f>
        <v>6307909891</v>
      </c>
      <c r="H603" s="8">
        <f>_xlfn.IFNA(INDEX('HS Codes'!$D$2:$K3157,MATCH($B603,'HS Codes'!$A$2:$A3157,0),MATCH(H$1,'HS Codes'!$D$1:$K$1,0)),"")</f>
        <v>0</v>
      </c>
      <c r="I603" s="8">
        <f>_xlfn.IFNA(INDEX('HS Codes'!$D$2:$K3157,MATCH($B603,'HS Codes'!$A$2:$A3157,0),MATCH(I$1,'HS Codes'!$D$1:$K$1,0)),"")</f>
        <v>0</v>
      </c>
      <c r="J603" s="8">
        <f>_xlfn.IFNA(INDEX('HS Codes'!$D$2:$K3157,MATCH($B603,'HS Codes'!$A$2:$A3157,0),MATCH(J$1,'HS Codes'!$D$1:$K$1,0)),"")</f>
        <v>0</v>
      </c>
      <c r="K603" s="8">
        <f>_xlfn.IFNA(INDEX('HS Codes'!$D$2:$K3157,MATCH($B603,'HS Codes'!$A$2:$A3157,0),MATCH(K$1,'HS Codes'!$D$1:$K$1,0)),"")</f>
        <v>0</v>
      </c>
      <c r="L603" s="8">
        <f>_xlfn.IFNA(INDEX('HS Codes'!$D$2:$K3157,MATCH($B603,'HS Codes'!$A$2:$A3157,0),MATCH(L$1,'HS Codes'!$D$1:$K$1,0)),"")</f>
        <v>0</v>
      </c>
      <c r="M603" s="8" t="str">
        <f>_xlfn.IFNA(INDEX('HS Codes'!$C$2:$C3157,MATCH($B603,'HS Codes'!$A$2:$A3157,0)),"")</f>
        <v>Sleeping Eye Cover 30% DuPont Sorona and 70% polyester. The eye cover fabric is 100% polyester (no cotton)</v>
      </c>
      <c r="N603" s="9"/>
      <c r="O603" s="9"/>
      <c r="P603" s="9"/>
      <c r="Q603" s="9"/>
    </row>
    <row r="604" spans="1:17" ht="15.75" customHeight="1">
      <c r="A604" s="7" t="s">
        <v>894</v>
      </c>
      <c r="B604" s="7" t="s">
        <v>164</v>
      </c>
      <c r="C604" s="7" t="s">
        <v>278</v>
      </c>
      <c r="D604" s="7" t="s">
        <v>165</v>
      </c>
      <c r="E604" s="7" t="s">
        <v>348</v>
      </c>
      <c r="F604" s="8" t="str">
        <f>_xlfn.IFNA(INDEX('HS Codes'!$D$2:$K3158,MATCH($B604,'HS Codes'!$A$2:$A3158,0),MATCH(F$1,'HS Codes'!$D$1:$K$1,0)),"")</f>
        <v>6302.93.2000</v>
      </c>
      <c r="G604" s="8">
        <f>_xlfn.IFNA(INDEX('HS Codes'!$D$2:$K3158,MATCH($B604,'HS Codes'!$A$2:$A3158,0),MATCH(G$1,'HS Codes'!$D$1:$K$1,0)),"")</f>
        <v>6302600090</v>
      </c>
      <c r="H604" s="8" t="str">
        <f>_xlfn.IFNA(INDEX('HS Codes'!$D$2:$K3158,MATCH($B604,'HS Codes'!$A$2:$A3158,0),MATCH(H$1,'HS Codes'!$D$1:$K$1,0)),"")</f>
        <v>6302.93.00.00</v>
      </c>
      <c r="I604" s="8">
        <f>_xlfn.IFNA(INDEX('HS Codes'!$D$2:$K3158,MATCH($B604,'HS Codes'!$A$2:$A3158,0),MATCH(I$1,'HS Codes'!$D$1:$K$1,0)),"")</f>
        <v>63029390</v>
      </c>
      <c r="J604" s="8">
        <f>_xlfn.IFNA(INDEX('HS Codes'!$D$2:$K3158,MATCH($B604,'HS Codes'!$A$2:$A3158,0),MATCH(J$1,'HS Codes'!$D$1:$K$1,0)),"")</f>
        <v>0</v>
      </c>
      <c r="K604" s="8" t="str">
        <f>_xlfn.IFNA(INDEX('HS Codes'!$D$2:$K3158,MATCH($B604,'HS Codes'!$A$2:$A3158,0),MATCH(K$1,'HS Codes'!$D$1:$K$1,0)),"")</f>
        <v>6302.39.00</v>
      </c>
      <c r="L604" s="8">
        <f>_xlfn.IFNA(INDEX('HS Codes'!$D$2:$K3158,MATCH($B604,'HS Codes'!$A$2:$A3158,0),MATCH(L$1,'HS Codes'!$D$1:$K$1,0)),"")</f>
        <v>63029120</v>
      </c>
      <c r="M604" s="8" t="str">
        <f>_xlfn.IFNA(INDEX('HS Codes'!$C$2:$C3158,MATCH($B604,'HS Codes'!$A$2:$A3158,0)),"")</f>
        <v>Beach Towel - Toilet Linen 100% recycled 220 GSM/83% polyester/17% polyamide includes cotton on the packing pouch drawstring</v>
      </c>
      <c r="N604" s="9"/>
      <c r="O604" s="9"/>
      <c r="P604" s="9"/>
      <c r="Q604" s="9"/>
    </row>
    <row r="605" spans="1:17" ht="15.75" customHeight="1">
      <c r="A605" s="7" t="s">
        <v>895</v>
      </c>
      <c r="B605" s="7" t="s">
        <v>129</v>
      </c>
      <c r="C605" s="7" t="s">
        <v>278</v>
      </c>
      <c r="D605" s="7" t="s">
        <v>130</v>
      </c>
      <c r="E605" s="7" t="s">
        <v>360</v>
      </c>
      <c r="F605" s="8" t="str">
        <f>_xlfn.IFNA(INDEX('HS Codes'!$D$2:$K3159,MATCH($B605,'HS Codes'!$A$2:$A3159,0),MATCH(F$1,'HS Codes'!$D$1:$K$1,0)),"")</f>
        <v>6504.00.90.15</v>
      </c>
      <c r="G605" s="8">
        <f>_xlfn.IFNA(INDEX('HS Codes'!$D$2:$K3159,MATCH($B605,'HS Codes'!$A$2:$A3159,0),MATCH(G$1,'HS Codes'!$D$1:$K$1,0)),"")</f>
        <v>6505009090</v>
      </c>
      <c r="H605" s="8" t="str">
        <f>_xlfn.IFNA(INDEX('HS Codes'!$D$2:$K3159,MATCH($B605,'HS Codes'!$A$2:$A3159,0),MATCH(H$1,'HS Codes'!$D$1:$K$1,0)),"")</f>
        <v>6505.00.40.00</v>
      </c>
      <c r="I605" s="8" t="str">
        <f>_xlfn.IFNA(INDEX('HS Codes'!$D$2:$K3159,MATCH($B605,'HS Codes'!$A$2:$A3159,0),MATCH(I$1,'HS Codes'!$D$1:$K$1,0)),"")</f>
        <v>6505.00.90.90</v>
      </c>
      <c r="J605" s="8">
        <f>_xlfn.IFNA(INDEX('HS Codes'!$D$2:$K3159,MATCH($B605,'HS Codes'!$A$2:$A3159,0),MATCH(J$1,'HS Codes'!$D$1:$K$1,0)),"")</f>
        <v>0</v>
      </c>
      <c r="K605" s="8" t="str">
        <f>_xlfn.IFNA(INDEX('HS Codes'!$D$2:$K3159,MATCH($B605,'HS Codes'!$A$2:$A3159,0),MATCH(K$1,'HS Codes'!$D$1:$K$1,0)),"")</f>
        <v>6505.00.90</v>
      </c>
      <c r="L605" s="8">
        <f>_xlfn.IFNA(INDEX('HS Codes'!$D$2:$K3159,MATCH($B605,'HS Codes'!$A$2:$A3159,0),MATCH(L$1,'HS Codes'!$D$1:$K$1,0)),"")</f>
        <v>0</v>
      </c>
      <c r="M605" s="8" t="str">
        <f>_xlfn.IFNA(INDEX('HS Codes'!$C$2:$C3159,MATCH($B605,'HS Codes'!$A$2:$A3159,0)),"")</f>
        <v>Head Towel 100% recycled 200 GSM/83% polyester/17% polyamide (no cotton)</v>
      </c>
      <c r="N605" s="9"/>
      <c r="O605" s="9"/>
      <c r="P605" s="9"/>
      <c r="Q605" s="9"/>
    </row>
    <row r="606" spans="1:17" ht="15.75" customHeight="1">
      <c r="A606" s="7" t="s">
        <v>896</v>
      </c>
      <c r="B606" s="7" t="s">
        <v>126</v>
      </c>
      <c r="C606" s="7" t="s">
        <v>278</v>
      </c>
      <c r="D606" s="7" t="s">
        <v>127</v>
      </c>
      <c r="E606" s="7" t="s">
        <v>360</v>
      </c>
      <c r="F606" s="8" t="str">
        <f>_xlfn.IFNA(INDEX('HS Codes'!$D$2:$K3160,MATCH($B606,'HS Codes'!$A$2:$A3160,0),MATCH(F$1,'HS Codes'!$D$1:$K$1,0)),"")</f>
        <v>6504.00.90.15</v>
      </c>
      <c r="G606" s="8">
        <f>_xlfn.IFNA(INDEX('HS Codes'!$D$2:$K3160,MATCH($B606,'HS Codes'!$A$2:$A3160,0),MATCH(G$1,'HS Codes'!$D$1:$K$1,0)),"")</f>
        <v>6505009090</v>
      </c>
      <c r="H606" s="8" t="str">
        <f>_xlfn.IFNA(INDEX('HS Codes'!$D$2:$K3160,MATCH($B606,'HS Codes'!$A$2:$A3160,0),MATCH(H$1,'HS Codes'!$D$1:$K$1,0)),"")</f>
        <v>6505.00.40.00</v>
      </c>
      <c r="I606" s="8" t="str">
        <f>_xlfn.IFNA(INDEX('HS Codes'!$D$2:$K3160,MATCH($B606,'HS Codes'!$A$2:$A3160,0),MATCH(I$1,'HS Codes'!$D$1:$K$1,0)),"")</f>
        <v>6505.00.90.90</v>
      </c>
      <c r="J606" s="8">
        <f>_xlfn.IFNA(INDEX('HS Codes'!$D$2:$K3160,MATCH($B606,'HS Codes'!$A$2:$A3160,0),MATCH(J$1,'HS Codes'!$D$1:$K$1,0)),"")</f>
        <v>0</v>
      </c>
      <c r="K606" s="8" t="str">
        <f>_xlfn.IFNA(INDEX('HS Codes'!$D$2:$K3160,MATCH($B606,'HS Codes'!$A$2:$A3160,0),MATCH(K$1,'HS Codes'!$D$1:$K$1,0)),"")</f>
        <v>6505.00.90</v>
      </c>
      <c r="L606" s="8">
        <f>_xlfn.IFNA(INDEX('HS Codes'!$D$2:$K3160,MATCH($B606,'HS Codes'!$A$2:$A3160,0),MATCH(L$1,'HS Codes'!$D$1:$K$1,0)),"")</f>
        <v>6507</v>
      </c>
      <c r="M606" s="8" t="str">
        <f>_xlfn.IFNA(INDEX('HS Codes'!$C$2:$C3160,MATCH($B606,'HS Codes'!$A$2:$A3160,0)),"")</f>
        <v>Head Towel 100% recycled 340 GSM/83% polyester/17% polyamide (no cotton)</v>
      </c>
      <c r="N606" s="9"/>
      <c r="O606" s="9"/>
      <c r="P606" s="9"/>
      <c r="Q606" s="9"/>
    </row>
    <row r="607" spans="1:17" ht="15.75" customHeight="1">
      <c r="A607" s="7" t="s">
        <v>897</v>
      </c>
      <c r="B607" s="7" t="s">
        <v>126</v>
      </c>
      <c r="C607" s="7" t="s">
        <v>278</v>
      </c>
      <c r="D607" s="7" t="s">
        <v>127</v>
      </c>
      <c r="E607" s="7" t="s">
        <v>360</v>
      </c>
      <c r="F607" s="8" t="str">
        <f>_xlfn.IFNA(INDEX('HS Codes'!$D$2:$K3161,MATCH($B607,'HS Codes'!$A$2:$A3161,0),MATCH(F$1,'HS Codes'!$D$1:$K$1,0)),"")</f>
        <v>6504.00.90.15</v>
      </c>
      <c r="G607" s="8">
        <f>_xlfn.IFNA(INDEX('HS Codes'!$D$2:$K3161,MATCH($B607,'HS Codes'!$A$2:$A3161,0),MATCH(G$1,'HS Codes'!$D$1:$K$1,0)),"")</f>
        <v>6505009090</v>
      </c>
      <c r="H607" s="8" t="str">
        <f>_xlfn.IFNA(INDEX('HS Codes'!$D$2:$K3161,MATCH($B607,'HS Codes'!$A$2:$A3161,0),MATCH(H$1,'HS Codes'!$D$1:$K$1,0)),"")</f>
        <v>6505.00.40.00</v>
      </c>
      <c r="I607" s="8" t="str">
        <f>_xlfn.IFNA(INDEX('HS Codes'!$D$2:$K3161,MATCH($B607,'HS Codes'!$A$2:$A3161,0),MATCH(I$1,'HS Codes'!$D$1:$K$1,0)),"")</f>
        <v>6505.00.90.90</v>
      </c>
      <c r="J607" s="8">
        <f>_xlfn.IFNA(INDEX('HS Codes'!$D$2:$K3161,MATCH($B607,'HS Codes'!$A$2:$A3161,0),MATCH(J$1,'HS Codes'!$D$1:$K$1,0)),"")</f>
        <v>0</v>
      </c>
      <c r="K607" s="8" t="str">
        <f>_xlfn.IFNA(INDEX('HS Codes'!$D$2:$K3161,MATCH($B607,'HS Codes'!$A$2:$A3161,0),MATCH(K$1,'HS Codes'!$D$1:$K$1,0)),"")</f>
        <v>6505.00.90</v>
      </c>
      <c r="L607" s="8">
        <f>_xlfn.IFNA(INDEX('HS Codes'!$D$2:$K3161,MATCH($B607,'HS Codes'!$A$2:$A3161,0),MATCH(L$1,'HS Codes'!$D$1:$K$1,0)),"")</f>
        <v>6507</v>
      </c>
      <c r="M607" s="8" t="str">
        <f>_xlfn.IFNA(INDEX('HS Codes'!$C$2:$C3161,MATCH($B607,'HS Codes'!$A$2:$A3161,0)),"")</f>
        <v>Head Towel 100% recycled 340 GSM/83% polyester/17% polyamide (no cotton)</v>
      </c>
      <c r="N607" s="9"/>
      <c r="O607" s="9"/>
      <c r="P607" s="9"/>
      <c r="Q607" s="9"/>
    </row>
    <row r="608" spans="1:17" ht="15.75" customHeight="1">
      <c r="A608" s="7" t="s">
        <v>898</v>
      </c>
      <c r="B608" s="7" t="s">
        <v>126</v>
      </c>
      <c r="C608" s="7" t="s">
        <v>278</v>
      </c>
      <c r="D608" s="7" t="s">
        <v>127</v>
      </c>
      <c r="E608" s="7" t="s">
        <v>360</v>
      </c>
      <c r="F608" s="8" t="str">
        <f>_xlfn.IFNA(INDEX('HS Codes'!$D$2:$K3162,MATCH($B608,'HS Codes'!$A$2:$A3162,0),MATCH(F$1,'HS Codes'!$D$1:$K$1,0)),"")</f>
        <v>6504.00.90.15</v>
      </c>
      <c r="G608" s="8">
        <f>_xlfn.IFNA(INDEX('HS Codes'!$D$2:$K3162,MATCH($B608,'HS Codes'!$A$2:$A3162,0),MATCH(G$1,'HS Codes'!$D$1:$K$1,0)),"")</f>
        <v>6505009090</v>
      </c>
      <c r="H608" s="8" t="str">
        <f>_xlfn.IFNA(INDEX('HS Codes'!$D$2:$K3162,MATCH($B608,'HS Codes'!$A$2:$A3162,0),MATCH(H$1,'HS Codes'!$D$1:$K$1,0)),"")</f>
        <v>6505.00.40.00</v>
      </c>
      <c r="I608" s="8" t="str">
        <f>_xlfn.IFNA(INDEX('HS Codes'!$D$2:$K3162,MATCH($B608,'HS Codes'!$A$2:$A3162,0),MATCH(I$1,'HS Codes'!$D$1:$K$1,0)),"")</f>
        <v>6505.00.90.90</v>
      </c>
      <c r="J608" s="8">
        <f>_xlfn.IFNA(INDEX('HS Codes'!$D$2:$K3162,MATCH($B608,'HS Codes'!$A$2:$A3162,0),MATCH(J$1,'HS Codes'!$D$1:$K$1,0)),"")</f>
        <v>0</v>
      </c>
      <c r="K608" s="8" t="str">
        <f>_xlfn.IFNA(INDEX('HS Codes'!$D$2:$K3162,MATCH($B608,'HS Codes'!$A$2:$A3162,0),MATCH(K$1,'HS Codes'!$D$1:$K$1,0)),"")</f>
        <v>6505.00.90</v>
      </c>
      <c r="L608" s="8">
        <f>_xlfn.IFNA(INDEX('HS Codes'!$D$2:$K3162,MATCH($B608,'HS Codes'!$A$2:$A3162,0),MATCH(L$1,'HS Codes'!$D$1:$K$1,0)),"")</f>
        <v>6507</v>
      </c>
      <c r="M608" s="8" t="str">
        <f>_xlfn.IFNA(INDEX('HS Codes'!$C$2:$C3162,MATCH($B608,'HS Codes'!$A$2:$A3162,0)),"")</f>
        <v>Head Towel 100% recycled 340 GSM/83% polyester/17% polyamide (no cotton)</v>
      </c>
      <c r="N608" s="9"/>
      <c r="O608" s="9"/>
      <c r="P608" s="9"/>
      <c r="Q608" s="9"/>
    </row>
    <row r="609" spans="1:17" ht="15.75" customHeight="1">
      <c r="A609" s="7" t="s">
        <v>899</v>
      </c>
      <c r="B609" s="7" t="s">
        <v>126</v>
      </c>
      <c r="C609" s="7" t="s">
        <v>278</v>
      </c>
      <c r="D609" s="7" t="s">
        <v>127</v>
      </c>
      <c r="E609" s="7" t="s">
        <v>360</v>
      </c>
      <c r="F609" s="8" t="str">
        <f>_xlfn.IFNA(INDEX('HS Codes'!$D$2:$K3163,MATCH($B609,'HS Codes'!$A$2:$A3163,0),MATCH(F$1,'HS Codes'!$D$1:$K$1,0)),"")</f>
        <v>6504.00.90.15</v>
      </c>
      <c r="G609" s="8">
        <f>_xlfn.IFNA(INDEX('HS Codes'!$D$2:$K3163,MATCH($B609,'HS Codes'!$A$2:$A3163,0),MATCH(G$1,'HS Codes'!$D$1:$K$1,0)),"")</f>
        <v>6505009090</v>
      </c>
      <c r="H609" s="8" t="str">
        <f>_xlfn.IFNA(INDEX('HS Codes'!$D$2:$K3163,MATCH($B609,'HS Codes'!$A$2:$A3163,0),MATCH(H$1,'HS Codes'!$D$1:$K$1,0)),"")</f>
        <v>6505.00.40.00</v>
      </c>
      <c r="I609" s="8" t="str">
        <f>_xlfn.IFNA(INDEX('HS Codes'!$D$2:$K3163,MATCH($B609,'HS Codes'!$A$2:$A3163,0),MATCH(I$1,'HS Codes'!$D$1:$K$1,0)),"")</f>
        <v>6505.00.90.90</v>
      </c>
      <c r="J609" s="8">
        <f>_xlfn.IFNA(INDEX('HS Codes'!$D$2:$K3163,MATCH($B609,'HS Codes'!$A$2:$A3163,0),MATCH(J$1,'HS Codes'!$D$1:$K$1,0)),"")</f>
        <v>0</v>
      </c>
      <c r="K609" s="8" t="str">
        <f>_xlfn.IFNA(INDEX('HS Codes'!$D$2:$K3163,MATCH($B609,'HS Codes'!$A$2:$A3163,0),MATCH(K$1,'HS Codes'!$D$1:$K$1,0)),"")</f>
        <v>6505.00.90</v>
      </c>
      <c r="L609" s="8">
        <f>_xlfn.IFNA(INDEX('HS Codes'!$D$2:$K3163,MATCH($B609,'HS Codes'!$A$2:$A3163,0),MATCH(L$1,'HS Codes'!$D$1:$K$1,0)),"")</f>
        <v>6507</v>
      </c>
      <c r="M609" s="8" t="str">
        <f>_xlfn.IFNA(INDEX('HS Codes'!$C$2:$C3163,MATCH($B609,'HS Codes'!$A$2:$A3163,0)),"")</f>
        <v>Head Towel 100% recycled 340 GSM/83% polyester/17% polyamide (no cotton)</v>
      </c>
      <c r="N609" s="9"/>
      <c r="O609" s="9"/>
      <c r="P609" s="9"/>
      <c r="Q609" s="9"/>
    </row>
    <row r="610" spans="1:17" ht="15.75" customHeight="1">
      <c r="A610" s="7" t="s">
        <v>900</v>
      </c>
      <c r="B610" s="7" t="s">
        <v>126</v>
      </c>
      <c r="C610" s="7" t="s">
        <v>278</v>
      </c>
      <c r="D610" s="7" t="s">
        <v>127</v>
      </c>
      <c r="E610" s="7" t="s">
        <v>360</v>
      </c>
      <c r="F610" s="8" t="str">
        <f>_xlfn.IFNA(INDEX('HS Codes'!$D$2:$K3164,MATCH($B610,'HS Codes'!$A$2:$A3164,0),MATCH(F$1,'HS Codes'!$D$1:$K$1,0)),"")</f>
        <v>6504.00.90.15</v>
      </c>
      <c r="G610" s="8">
        <f>_xlfn.IFNA(INDEX('HS Codes'!$D$2:$K3164,MATCH($B610,'HS Codes'!$A$2:$A3164,0),MATCH(G$1,'HS Codes'!$D$1:$K$1,0)),"")</f>
        <v>6505009090</v>
      </c>
      <c r="H610" s="8" t="str">
        <f>_xlfn.IFNA(INDEX('HS Codes'!$D$2:$K3164,MATCH($B610,'HS Codes'!$A$2:$A3164,0),MATCH(H$1,'HS Codes'!$D$1:$K$1,0)),"")</f>
        <v>6505.00.40.00</v>
      </c>
      <c r="I610" s="8" t="str">
        <f>_xlfn.IFNA(INDEX('HS Codes'!$D$2:$K3164,MATCH($B610,'HS Codes'!$A$2:$A3164,0),MATCH(I$1,'HS Codes'!$D$1:$K$1,0)),"")</f>
        <v>6505.00.90.90</v>
      </c>
      <c r="J610" s="8">
        <f>_xlfn.IFNA(INDEX('HS Codes'!$D$2:$K3164,MATCH($B610,'HS Codes'!$A$2:$A3164,0),MATCH(J$1,'HS Codes'!$D$1:$K$1,0)),"")</f>
        <v>0</v>
      </c>
      <c r="K610" s="8" t="str">
        <f>_xlfn.IFNA(INDEX('HS Codes'!$D$2:$K3164,MATCH($B610,'HS Codes'!$A$2:$A3164,0),MATCH(K$1,'HS Codes'!$D$1:$K$1,0)),"")</f>
        <v>6505.00.90</v>
      </c>
      <c r="L610" s="8">
        <f>_xlfn.IFNA(INDEX('HS Codes'!$D$2:$K3164,MATCH($B610,'HS Codes'!$A$2:$A3164,0),MATCH(L$1,'HS Codes'!$D$1:$K$1,0)),"")</f>
        <v>6507</v>
      </c>
      <c r="M610" s="8" t="str">
        <f>_xlfn.IFNA(INDEX('HS Codes'!$C$2:$C3164,MATCH($B610,'HS Codes'!$A$2:$A3164,0)),"")</f>
        <v>Head Towel 100% recycled 340 GSM/83% polyester/17% polyamide (no cotton)</v>
      </c>
      <c r="N610" s="9"/>
      <c r="O610" s="9"/>
      <c r="P610" s="9"/>
      <c r="Q610" s="9"/>
    </row>
    <row r="611" spans="1:17" ht="15.75" customHeight="1">
      <c r="A611" s="7" t="s">
        <v>901</v>
      </c>
      <c r="B611" s="7" t="s">
        <v>129</v>
      </c>
      <c r="C611" s="7" t="s">
        <v>278</v>
      </c>
      <c r="D611" s="7" t="s">
        <v>130</v>
      </c>
      <c r="E611" s="7" t="s">
        <v>360</v>
      </c>
      <c r="F611" s="8" t="str">
        <f>_xlfn.IFNA(INDEX('HS Codes'!$D$2:$K3165,MATCH($B611,'HS Codes'!$A$2:$A3165,0),MATCH(F$1,'HS Codes'!$D$1:$K$1,0)),"")</f>
        <v>6504.00.90.15</v>
      </c>
      <c r="G611" s="8">
        <f>_xlfn.IFNA(INDEX('HS Codes'!$D$2:$K3165,MATCH($B611,'HS Codes'!$A$2:$A3165,0),MATCH(G$1,'HS Codes'!$D$1:$K$1,0)),"")</f>
        <v>6505009090</v>
      </c>
      <c r="H611" s="8" t="str">
        <f>_xlfn.IFNA(INDEX('HS Codes'!$D$2:$K3165,MATCH($B611,'HS Codes'!$A$2:$A3165,0),MATCH(H$1,'HS Codes'!$D$1:$K$1,0)),"")</f>
        <v>6505.00.40.00</v>
      </c>
      <c r="I611" s="8" t="str">
        <f>_xlfn.IFNA(INDEX('HS Codes'!$D$2:$K3165,MATCH($B611,'HS Codes'!$A$2:$A3165,0),MATCH(I$1,'HS Codes'!$D$1:$K$1,0)),"")</f>
        <v>6505.00.90.90</v>
      </c>
      <c r="J611" s="8">
        <f>_xlfn.IFNA(INDEX('HS Codes'!$D$2:$K3165,MATCH($B611,'HS Codes'!$A$2:$A3165,0),MATCH(J$1,'HS Codes'!$D$1:$K$1,0)),"")</f>
        <v>0</v>
      </c>
      <c r="K611" s="8" t="str">
        <f>_xlfn.IFNA(INDEX('HS Codes'!$D$2:$K3165,MATCH($B611,'HS Codes'!$A$2:$A3165,0),MATCH(K$1,'HS Codes'!$D$1:$K$1,0)),"")</f>
        <v>6505.00.90</v>
      </c>
      <c r="L611" s="8">
        <f>_xlfn.IFNA(INDEX('HS Codes'!$D$2:$K3165,MATCH($B611,'HS Codes'!$A$2:$A3165,0),MATCH(L$1,'HS Codes'!$D$1:$K$1,0)),"")</f>
        <v>0</v>
      </c>
      <c r="M611" s="8" t="str">
        <f>_xlfn.IFNA(INDEX('HS Codes'!$C$2:$C3165,MATCH($B611,'HS Codes'!$A$2:$A3165,0)),"")</f>
        <v>Head Towel 100% recycled 200 GSM/83% polyester/17% polyamide (no cotton)</v>
      </c>
      <c r="N611" s="9"/>
      <c r="O611" s="9"/>
      <c r="P611" s="9"/>
      <c r="Q611" s="9"/>
    </row>
    <row r="612" spans="1:17" ht="15.75" customHeight="1">
      <c r="A612" s="7" t="s">
        <v>902</v>
      </c>
      <c r="B612" s="7" t="s">
        <v>129</v>
      </c>
      <c r="C612" s="7" t="s">
        <v>278</v>
      </c>
      <c r="D612" s="7" t="s">
        <v>130</v>
      </c>
      <c r="E612" s="7" t="s">
        <v>360</v>
      </c>
      <c r="F612" s="8" t="str">
        <f>_xlfn.IFNA(INDEX('HS Codes'!$D$2:$K3166,MATCH($B612,'HS Codes'!$A$2:$A3166,0),MATCH(F$1,'HS Codes'!$D$1:$K$1,0)),"")</f>
        <v>6504.00.90.15</v>
      </c>
      <c r="G612" s="8">
        <f>_xlfn.IFNA(INDEX('HS Codes'!$D$2:$K3166,MATCH($B612,'HS Codes'!$A$2:$A3166,0),MATCH(G$1,'HS Codes'!$D$1:$K$1,0)),"")</f>
        <v>6505009090</v>
      </c>
      <c r="H612" s="8" t="str">
        <f>_xlfn.IFNA(INDEX('HS Codes'!$D$2:$K3166,MATCH($B612,'HS Codes'!$A$2:$A3166,0),MATCH(H$1,'HS Codes'!$D$1:$K$1,0)),"")</f>
        <v>6505.00.40.00</v>
      </c>
      <c r="I612" s="8" t="str">
        <f>_xlfn.IFNA(INDEX('HS Codes'!$D$2:$K3166,MATCH($B612,'HS Codes'!$A$2:$A3166,0),MATCH(I$1,'HS Codes'!$D$1:$K$1,0)),"")</f>
        <v>6505.00.90.90</v>
      </c>
      <c r="J612" s="8">
        <f>_xlfn.IFNA(INDEX('HS Codes'!$D$2:$K3166,MATCH($B612,'HS Codes'!$A$2:$A3166,0),MATCH(J$1,'HS Codes'!$D$1:$K$1,0)),"")</f>
        <v>0</v>
      </c>
      <c r="K612" s="8" t="str">
        <f>_xlfn.IFNA(INDEX('HS Codes'!$D$2:$K3166,MATCH($B612,'HS Codes'!$A$2:$A3166,0),MATCH(K$1,'HS Codes'!$D$1:$K$1,0)),"")</f>
        <v>6505.00.90</v>
      </c>
      <c r="L612" s="8">
        <f>_xlfn.IFNA(INDEX('HS Codes'!$D$2:$K3166,MATCH($B612,'HS Codes'!$A$2:$A3166,0),MATCH(L$1,'HS Codes'!$D$1:$K$1,0)),"")</f>
        <v>0</v>
      </c>
      <c r="M612" s="8" t="str">
        <f>_xlfn.IFNA(INDEX('HS Codes'!$C$2:$C3166,MATCH($B612,'HS Codes'!$A$2:$A3166,0)),"")</f>
        <v>Head Towel 100% recycled 200 GSM/83% polyester/17% polyamide (no cotton)</v>
      </c>
      <c r="N612" s="9"/>
      <c r="O612" s="9"/>
      <c r="P612" s="9"/>
      <c r="Q612" s="9"/>
    </row>
    <row r="613" spans="1:17" ht="15.75" customHeight="1">
      <c r="A613" s="7" t="s">
        <v>903</v>
      </c>
      <c r="B613" s="7" t="s">
        <v>126</v>
      </c>
      <c r="C613" s="7" t="s">
        <v>278</v>
      </c>
      <c r="D613" s="7" t="s">
        <v>127</v>
      </c>
      <c r="E613" s="7" t="s">
        <v>360</v>
      </c>
      <c r="F613" s="8" t="str">
        <f>_xlfn.IFNA(INDEX('HS Codes'!$D$2:$K3167,MATCH($B613,'HS Codes'!$A$2:$A3167,0),MATCH(F$1,'HS Codes'!$D$1:$K$1,0)),"")</f>
        <v>6504.00.90.15</v>
      </c>
      <c r="G613" s="8">
        <f>_xlfn.IFNA(INDEX('HS Codes'!$D$2:$K3167,MATCH($B613,'HS Codes'!$A$2:$A3167,0),MATCH(G$1,'HS Codes'!$D$1:$K$1,0)),"")</f>
        <v>6505009090</v>
      </c>
      <c r="H613" s="8" t="str">
        <f>_xlfn.IFNA(INDEX('HS Codes'!$D$2:$K3167,MATCH($B613,'HS Codes'!$A$2:$A3167,0),MATCH(H$1,'HS Codes'!$D$1:$K$1,0)),"")</f>
        <v>6505.00.40.00</v>
      </c>
      <c r="I613" s="8" t="str">
        <f>_xlfn.IFNA(INDEX('HS Codes'!$D$2:$K3167,MATCH($B613,'HS Codes'!$A$2:$A3167,0),MATCH(I$1,'HS Codes'!$D$1:$K$1,0)),"")</f>
        <v>6505.00.90.90</v>
      </c>
      <c r="J613" s="8">
        <f>_xlfn.IFNA(INDEX('HS Codes'!$D$2:$K3167,MATCH($B613,'HS Codes'!$A$2:$A3167,0),MATCH(J$1,'HS Codes'!$D$1:$K$1,0)),"")</f>
        <v>0</v>
      </c>
      <c r="K613" s="8" t="str">
        <f>_xlfn.IFNA(INDEX('HS Codes'!$D$2:$K3167,MATCH($B613,'HS Codes'!$A$2:$A3167,0),MATCH(K$1,'HS Codes'!$D$1:$K$1,0)),"")</f>
        <v>6505.00.90</v>
      </c>
      <c r="L613" s="8">
        <f>_xlfn.IFNA(INDEX('HS Codes'!$D$2:$K3167,MATCH($B613,'HS Codes'!$A$2:$A3167,0),MATCH(L$1,'HS Codes'!$D$1:$K$1,0)),"")</f>
        <v>6507</v>
      </c>
      <c r="M613" s="8" t="str">
        <f>_xlfn.IFNA(INDEX('HS Codes'!$C$2:$C3167,MATCH($B613,'HS Codes'!$A$2:$A3167,0)),"")</f>
        <v>Head Towel 100% recycled 340 GSM/83% polyester/17% polyamide (no cotton)</v>
      </c>
      <c r="N613" s="9"/>
      <c r="O613" s="9"/>
      <c r="P613" s="9"/>
      <c r="Q613" s="9"/>
    </row>
    <row r="614" spans="1:17" ht="15.75" customHeight="1">
      <c r="A614" s="7" t="s">
        <v>904</v>
      </c>
      <c r="B614" s="7" t="s">
        <v>266</v>
      </c>
      <c r="C614" s="7"/>
      <c r="D614" s="7" t="s">
        <v>267</v>
      </c>
      <c r="E614" s="7" t="s">
        <v>905</v>
      </c>
      <c r="F614" s="8" t="str">
        <f>_xlfn.IFNA(INDEX('HS Codes'!$D$2:$K3168,MATCH($B614,'HS Codes'!$A$2:$A3168,0),MATCH(F$1,'HS Codes'!$D$1:$K$1,0)),"")</f>
        <v>6302.93.2000</v>
      </c>
      <c r="G614" s="8">
        <f>_xlfn.IFNA(INDEX('HS Codes'!$D$2:$K3168,MATCH($B614,'HS Codes'!$A$2:$A3168,0),MATCH(G$1,'HS Codes'!$D$1:$K$1,0)),"")</f>
        <v>6302600090</v>
      </c>
      <c r="H614" s="8" t="str">
        <f>_xlfn.IFNA(INDEX('HS Codes'!$D$2:$K3168,MATCH($B614,'HS Codes'!$A$2:$A3168,0),MATCH(H$1,'HS Codes'!$D$1:$K$1,0)),"")</f>
        <v>6302.93.00.00</v>
      </c>
      <c r="I614" s="8">
        <f>_xlfn.IFNA(INDEX('HS Codes'!$D$2:$K3168,MATCH($B614,'HS Codes'!$A$2:$A3168,0),MATCH(I$1,'HS Codes'!$D$1:$K$1,0)),"")</f>
        <v>6302939000</v>
      </c>
      <c r="J614" s="8">
        <f>_xlfn.IFNA(INDEX('HS Codes'!$D$2:$K3168,MATCH($B614,'HS Codes'!$A$2:$A3168,0),MATCH(J$1,'HS Codes'!$D$1:$K$1,0)),"")</f>
        <v>0</v>
      </c>
      <c r="K614" s="8" t="str">
        <f>_xlfn.IFNA(INDEX('HS Codes'!$D$2:$K3168,MATCH($B614,'HS Codes'!$A$2:$A3168,0),MATCH(K$1,'HS Codes'!$D$1:$K$1,0)),"")</f>
        <v>6302.39.00</v>
      </c>
      <c r="L614" s="8">
        <f>_xlfn.IFNA(INDEX('HS Codes'!$D$2:$K3168,MATCH($B614,'HS Codes'!$A$2:$A3168,0),MATCH(L$1,'HS Codes'!$D$1:$K$1,0)),"")</f>
        <v>0</v>
      </c>
      <c r="M614" s="8">
        <f>_xlfn.IFNA(INDEX('HS Codes'!$C$2:$C3168,MATCH($B614,'HS Codes'!$A$2:$A3168,0)),"")</f>
        <v>0</v>
      </c>
      <c r="N614" s="9"/>
      <c r="O614" s="9"/>
      <c r="P614" s="9"/>
      <c r="Q614" s="9"/>
    </row>
    <row r="615" spans="1:17" ht="15.75" customHeight="1">
      <c r="A615" s="7" t="s">
        <v>906</v>
      </c>
      <c r="B615" s="7" t="s">
        <v>266</v>
      </c>
      <c r="C615" s="7"/>
      <c r="D615" s="7" t="s">
        <v>267</v>
      </c>
      <c r="E615" s="7" t="s">
        <v>905</v>
      </c>
      <c r="F615" s="8" t="str">
        <f>_xlfn.IFNA(INDEX('HS Codes'!$D$2:$K3169,MATCH($B615,'HS Codes'!$A$2:$A3169,0),MATCH(F$1,'HS Codes'!$D$1:$K$1,0)),"")</f>
        <v>6302.93.2000</v>
      </c>
      <c r="G615" s="8">
        <f>_xlfn.IFNA(INDEX('HS Codes'!$D$2:$K3169,MATCH($B615,'HS Codes'!$A$2:$A3169,0),MATCH(G$1,'HS Codes'!$D$1:$K$1,0)),"")</f>
        <v>6302600090</v>
      </c>
      <c r="H615" s="8" t="str">
        <f>_xlfn.IFNA(INDEX('HS Codes'!$D$2:$K3169,MATCH($B615,'HS Codes'!$A$2:$A3169,0),MATCH(H$1,'HS Codes'!$D$1:$K$1,0)),"")</f>
        <v>6302.93.00.00</v>
      </c>
      <c r="I615" s="8">
        <f>_xlfn.IFNA(INDEX('HS Codes'!$D$2:$K3169,MATCH($B615,'HS Codes'!$A$2:$A3169,0),MATCH(I$1,'HS Codes'!$D$1:$K$1,0)),"")</f>
        <v>6302939000</v>
      </c>
      <c r="J615" s="8">
        <f>_xlfn.IFNA(INDEX('HS Codes'!$D$2:$K3169,MATCH($B615,'HS Codes'!$A$2:$A3169,0),MATCH(J$1,'HS Codes'!$D$1:$K$1,0)),"")</f>
        <v>0</v>
      </c>
      <c r="K615" s="8" t="str">
        <f>_xlfn.IFNA(INDEX('HS Codes'!$D$2:$K3169,MATCH($B615,'HS Codes'!$A$2:$A3169,0),MATCH(K$1,'HS Codes'!$D$1:$K$1,0)),"")</f>
        <v>6302.39.00</v>
      </c>
      <c r="L615" s="8">
        <f>_xlfn.IFNA(INDEX('HS Codes'!$D$2:$K3169,MATCH($B615,'HS Codes'!$A$2:$A3169,0),MATCH(L$1,'HS Codes'!$D$1:$K$1,0)),"")</f>
        <v>0</v>
      </c>
      <c r="M615" s="8">
        <f>_xlfn.IFNA(INDEX('HS Codes'!$C$2:$C3169,MATCH($B615,'HS Codes'!$A$2:$A3169,0)),"")</f>
        <v>0</v>
      </c>
      <c r="N615" s="9"/>
      <c r="O615" s="9"/>
      <c r="P615" s="9"/>
      <c r="Q615" s="9"/>
    </row>
    <row r="616" spans="1:17" ht="15.75" customHeight="1">
      <c r="A616" s="7" t="s">
        <v>907</v>
      </c>
      <c r="B616" s="7" t="s">
        <v>266</v>
      </c>
      <c r="C616" s="7"/>
      <c r="D616" s="7" t="s">
        <v>267</v>
      </c>
      <c r="E616" s="7" t="s">
        <v>905</v>
      </c>
      <c r="F616" s="8" t="str">
        <f>_xlfn.IFNA(INDEX('HS Codes'!$D$2:$K3170,MATCH($B616,'HS Codes'!$A$2:$A3170,0),MATCH(F$1,'HS Codes'!$D$1:$K$1,0)),"")</f>
        <v>6302.93.2000</v>
      </c>
      <c r="G616" s="8">
        <f>_xlfn.IFNA(INDEX('HS Codes'!$D$2:$K3170,MATCH($B616,'HS Codes'!$A$2:$A3170,0),MATCH(G$1,'HS Codes'!$D$1:$K$1,0)),"")</f>
        <v>6302600090</v>
      </c>
      <c r="H616" s="8" t="str">
        <f>_xlfn.IFNA(INDEX('HS Codes'!$D$2:$K3170,MATCH($B616,'HS Codes'!$A$2:$A3170,0),MATCH(H$1,'HS Codes'!$D$1:$K$1,0)),"")</f>
        <v>6302.93.00.00</v>
      </c>
      <c r="I616" s="8">
        <f>_xlfn.IFNA(INDEX('HS Codes'!$D$2:$K3170,MATCH($B616,'HS Codes'!$A$2:$A3170,0),MATCH(I$1,'HS Codes'!$D$1:$K$1,0)),"")</f>
        <v>6302939000</v>
      </c>
      <c r="J616" s="8">
        <f>_xlfn.IFNA(INDEX('HS Codes'!$D$2:$K3170,MATCH($B616,'HS Codes'!$A$2:$A3170,0),MATCH(J$1,'HS Codes'!$D$1:$K$1,0)),"")</f>
        <v>0</v>
      </c>
      <c r="K616" s="8" t="str">
        <f>_xlfn.IFNA(INDEX('HS Codes'!$D$2:$K3170,MATCH($B616,'HS Codes'!$A$2:$A3170,0),MATCH(K$1,'HS Codes'!$D$1:$K$1,0)),"")</f>
        <v>6302.39.00</v>
      </c>
      <c r="L616" s="8">
        <f>_xlfn.IFNA(INDEX('HS Codes'!$D$2:$K3170,MATCH($B616,'HS Codes'!$A$2:$A3170,0),MATCH(L$1,'HS Codes'!$D$1:$K$1,0)),"")</f>
        <v>0</v>
      </c>
      <c r="M616" s="8">
        <f>_xlfn.IFNA(INDEX('HS Codes'!$C$2:$C3170,MATCH($B616,'HS Codes'!$A$2:$A3170,0)),"")</f>
        <v>0</v>
      </c>
      <c r="N616" s="9"/>
      <c r="O616" s="9"/>
      <c r="P616" s="9"/>
      <c r="Q616" s="9"/>
    </row>
    <row r="617" spans="1:17" ht="15.75" customHeight="1">
      <c r="A617" s="7" t="s">
        <v>908</v>
      </c>
      <c r="B617" s="7" t="s">
        <v>266</v>
      </c>
      <c r="C617" s="7"/>
      <c r="D617" s="7" t="s">
        <v>267</v>
      </c>
      <c r="E617" s="7" t="s">
        <v>905</v>
      </c>
      <c r="F617" s="8" t="str">
        <f>_xlfn.IFNA(INDEX('HS Codes'!$D$2:$K3171,MATCH($B617,'HS Codes'!$A$2:$A3171,0),MATCH(F$1,'HS Codes'!$D$1:$K$1,0)),"")</f>
        <v>6302.93.2000</v>
      </c>
      <c r="G617" s="8">
        <f>_xlfn.IFNA(INDEX('HS Codes'!$D$2:$K3171,MATCH($B617,'HS Codes'!$A$2:$A3171,0),MATCH(G$1,'HS Codes'!$D$1:$K$1,0)),"")</f>
        <v>6302600090</v>
      </c>
      <c r="H617" s="8" t="str">
        <f>_xlfn.IFNA(INDEX('HS Codes'!$D$2:$K3171,MATCH($B617,'HS Codes'!$A$2:$A3171,0),MATCH(H$1,'HS Codes'!$D$1:$K$1,0)),"")</f>
        <v>6302.93.00.00</v>
      </c>
      <c r="I617" s="8">
        <f>_xlfn.IFNA(INDEX('HS Codes'!$D$2:$K3171,MATCH($B617,'HS Codes'!$A$2:$A3171,0),MATCH(I$1,'HS Codes'!$D$1:$K$1,0)),"")</f>
        <v>6302939000</v>
      </c>
      <c r="J617" s="8">
        <f>_xlfn.IFNA(INDEX('HS Codes'!$D$2:$K3171,MATCH($B617,'HS Codes'!$A$2:$A3171,0),MATCH(J$1,'HS Codes'!$D$1:$K$1,0)),"")</f>
        <v>0</v>
      </c>
      <c r="K617" s="8" t="str">
        <f>_xlfn.IFNA(INDEX('HS Codes'!$D$2:$K3171,MATCH($B617,'HS Codes'!$A$2:$A3171,0),MATCH(K$1,'HS Codes'!$D$1:$K$1,0)),"")</f>
        <v>6302.39.00</v>
      </c>
      <c r="L617" s="8">
        <f>_xlfn.IFNA(INDEX('HS Codes'!$D$2:$K3171,MATCH($B617,'HS Codes'!$A$2:$A3171,0),MATCH(L$1,'HS Codes'!$D$1:$K$1,0)),"")</f>
        <v>0</v>
      </c>
      <c r="M617" s="8">
        <f>_xlfn.IFNA(INDEX('HS Codes'!$C$2:$C3171,MATCH($B617,'HS Codes'!$A$2:$A3171,0)),"")</f>
        <v>0</v>
      </c>
      <c r="N617" s="9"/>
      <c r="O617" s="9"/>
      <c r="P617" s="9"/>
      <c r="Q617" s="9"/>
    </row>
    <row r="618" spans="1:17" ht="15.75" customHeight="1">
      <c r="A618" s="7" t="s">
        <v>909</v>
      </c>
      <c r="B618" s="7" t="s">
        <v>132</v>
      </c>
      <c r="C618" s="7"/>
      <c r="D618" s="7" t="s">
        <v>133</v>
      </c>
      <c r="E618" s="7" t="s">
        <v>364</v>
      </c>
      <c r="F618" s="8" t="str">
        <f>_xlfn.IFNA(INDEX('HS Codes'!$D$2:$K3172,MATCH($B618,'HS Codes'!$A$2:$A3172,0),MATCH(F$1,'HS Codes'!$D$1:$K$1,0)),"")</f>
        <v>9616.20.00.00</v>
      </c>
      <c r="G618" s="8">
        <f>_xlfn.IFNA(INDEX('HS Codes'!$D$2:$K3172,MATCH($B618,'HS Codes'!$A$2:$A3172,0),MATCH(G$1,'HS Codes'!$D$1:$K$1,0)),"")</f>
        <v>9616200000</v>
      </c>
      <c r="H618" s="8" t="str">
        <f>_xlfn.IFNA(INDEX('HS Codes'!$D$2:$K3172,MATCH($B618,'HS Codes'!$A$2:$A3172,0),MATCH(H$1,'HS Codes'!$D$1:$K$1,0)),"")</f>
        <v>9616.20.00.00</v>
      </c>
      <c r="I618" s="8">
        <f>_xlfn.IFNA(INDEX('HS Codes'!$D$2:$K3172,MATCH($B618,'HS Codes'!$A$2:$A3172,0),MATCH(I$1,'HS Codes'!$D$1:$K$1,0)),"")</f>
        <v>9616200000</v>
      </c>
      <c r="J618" s="8">
        <f>_xlfn.IFNA(INDEX('HS Codes'!$D$2:$K3172,MATCH($B618,'HS Codes'!$A$2:$A3172,0),MATCH(J$1,'HS Codes'!$D$1:$K$1,0)),"")</f>
        <v>0</v>
      </c>
      <c r="K618" s="8" t="str">
        <f>_xlfn.IFNA(INDEX('HS Codes'!$D$2:$K3172,MATCH($B618,'HS Codes'!$A$2:$A3172,0),MATCH(K$1,'HS Codes'!$D$1:$K$1,0)),"")</f>
        <v>9616.20.00</v>
      </c>
      <c r="L618" s="8">
        <f>_xlfn.IFNA(INDEX('HS Codes'!$D$2:$K3172,MATCH($B618,'HS Codes'!$A$2:$A3172,0),MATCH(L$1,'HS Codes'!$D$1:$K$1,0)),"")</f>
        <v>0</v>
      </c>
      <c r="M618" s="8" t="str">
        <f>_xlfn.IFNA(INDEX('HS Codes'!$C$2:$C3172,MATCH($B618,'HS Codes'!$A$2:$A3172,0)),"")</f>
        <v>Makeup Wipe 100% recycled polyester (no cotton)</v>
      </c>
      <c r="N618" s="9"/>
      <c r="O618" s="9"/>
      <c r="P618" s="9"/>
      <c r="Q618" s="9"/>
    </row>
    <row r="619" spans="1:17" ht="15.75" customHeight="1">
      <c r="A619" s="7" t="s">
        <v>910</v>
      </c>
      <c r="B619" s="7" t="s">
        <v>132</v>
      </c>
      <c r="C619" s="7"/>
      <c r="D619" s="7" t="s">
        <v>133</v>
      </c>
      <c r="E619" s="7" t="s">
        <v>364</v>
      </c>
      <c r="F619" s="8" t="str">
        <f>_xlfn.IFNA(INDEX('HS Codes'!$D$2:$K3173,MATCH($B619,'HS Codes'!$A$2:$A3173,0),MATCH(F$1,'HS Codes'!$D$1:$K$1,0)),"")</f>
        <v>9616.20.00.00</v>
      </c>
      <c r="G619" s="8">
        <f>_xlfn.IFNA(INDEX('HS Codes'!$D$2:$K3173,MATCH($B619,'HS Codes'!$A$2:$A3173,0),MATCH(G$1,'HS Codes'!$D$1:$K$1,0)),"")</f>
        <v>9616200000</v>
      </c>
      <c r="H619" s="8" t="str">
        <f>_xlfn.IFNA(INDEX('HS Codes'!$D$2:$K3173,MATCH($B619,'HS Codes'!$A$2:$A3173,0),MATCH(H$1,'HS Codes'!$D$1:$K$1,0)),"")</f>
        <v>9616.20.00.00</v>
      </c>
      <c r="I619" s="8">
        <f>_xlfn.IFNA(INDEX('HS Codes'!$D$2:$K3173,MATCH($B619,'HS Codes'!$A$2:$A3173,0),MATCH(I$1,'HS Codes'!$D$1:$K$1,0)),"")</f>
        <v>9616200000</v>
      </c>
      <c r="J619" s="8">
        <f>_xlfn.IFNA(INDEX('HS Codes'!$D$2:$K3173,MATCH($B619,'HS Codes'!$A$2:$A3173,0),MATCH(J$1,'HS Codes'!$D$1:$K$1,0)),"")</f>
        <v>0</v>
      </c>
      <c r="K619" s="8" t="str">
        <f>_xlfn.IFNA(INDEX('HS Codes'!$D$2:$K3173,MATCH($B619,'HS Codes'!$A$2:$A3173,0),MATCH(K$1,'HS Codes'!$D$1:$K$1,0)),"")</f>
        <v>9616.20.00</v>
      </c>
      <c r="L619" s="8">
        <f>_xlfn.IFNA(INDEX('HS Codes'!$D$2:$K3173,MATCH($B619,'HS Codes'!$A$2:$A3173,0),MATCH(L$1,'HS Codes'!$D$1:$K$1,0)),"")</f>
        <v>0</v>
      </c>
      <c r="M619" s="8" t="str">
        <f>_xlfn.IFNA(INDEX('HS Codes'!$C$2:$C3173,MATCH($B619,'HS Codes'!$A$2:$A3173,0)),"")</f>
        <v>Makeup Wipe 100% recycled polyester (no cotton)</v>
      </c>
      <c r="N619" s="9"/>
      <c r="O619" s="9"/>
      <c r="P619" s="9"/>
      <c r="Q619" s="9"/>
    </row>
    <row r="620" spans="1:17" ht="15.75" customHeight="1">
      <c r="A620" s="7" t="s">
        <v>911</v>
      </c>
      <c r="B620" s="7" t="s">
        <v>132</v>
      </c>
      <c r="C620" s="7"/>
      <c r="D620" s="7" t="s">
        <v>133</v>
      </c>
      <c r="E620" s="7" t="s">
        <v>364</v>
      </c>
      <c r="F620" s="8" t="str">
        <f>_xlfn.IFNA(INDEX('HS Codes'!$D$2:$K3174,MATCH($B620,'HS Codes'!$A$2:$A3174,0),MATCH(F$1,'HS Codes'!$D$1:$K$1,0)),"")</f>
        <v>9616.20.00.00</v>
      </c>
      <c r="G620" s="8">
        <f>_xlfn.IFNA(INDEX('HS Codes'!$D$2:$K3174,MATCH($B620,'HS Codes'!$A$2:$A3174,0),MATCH(G$1,'HS Codes'!$D$1:$K$1,0)),"")</f>
        <v>9616200000</v>
      </c>
      <c r="H620" s="8" t="str">
        <f>_xlfn.IFNA(INDEX('HS Codes'!$D$2:$K3174,MATCH($B620,'HS Codes'!$A$2:$A3174,0),MATCH(H$1,'HS Codes'!$D$1:$K$1,0)),"")</f>
        <v>9616.20.00.00</v>
      </c>
      <c r="I620" s="8">
        <f>_xlfn.IFNA(INDEX('HS Codes'!$D$2:$K3174,MATCH($B620,'HS Codes'!$A$2:$A3174,0),MATCH(I$1,'HS Codes'!$D$1:$K$1,0)),"")</f>
        <v>9616200000</v>
      </c>
      <c r="J620" s="8">
        <f>_xlfn.IFNA(INDEX('HS Codes'!$D$2:$K3174,MATCH($B620,'HS Codes'!$A$2:$A3174,0),MATCH(J$1,'HS Codes'!$D$1:$K$1,0)),"")</f>
        <v>0</v>
      </c>
      <c r="K620" s="8" t="str">
        <f>_xlfn.IFNA(INDEX('HS Codes'!$D$2:$K3174,MATCH($B620,'HS Codes'!$A$2:$A3174,0),MATCH(K$1,'HS Codes'!$D$1:$K$1,0)),"")</f>
        <v>9616.20.00</v>
      </c>
      <c r="L620" s="8">
        <f>_xlfn.IFNA(INDEX('HS Codes'!$D$2:$K3174,MATCH($B620,'HS Codes'!$A$2:$A3174,0),MATCH(L$1,'HS Codes'!$D$1:$K$1,0)),"")</f>
        <v>0</v>
      </c>
      <c r="M620" s="8" t="str">
        <f>_xlfn.IFNA(INDEX('HS Codes'!$C$2:$C3174,MATCH($B620,'HS Codes'!$A$2:$A3174,0)),"")</f>
        <v>Makeup Wipe 100% recycled polyester (no cotton)</v>
      </c>
      <c r="N620" s="9"/>
      <c r="O620" s="9"/>
      <c r="P620" s="9"/>
      <c r="Q620" s="9"/>
    </row>
    <row r="621" spans="1:17" ht="15.75" customHeight="1">
      <c r="A621" s="7" t="s">
        <v>912</v>
      </c>
      <c r="B621" s="7" t="s">
        <v>132</v>
      </c>
      <c r="C621" s="7"/>
      <c r="D621" s="7" t="s">
        <v>133</v>
      </c>
      <c r="E621" s="7" t="s">
        <v>364</v>
      </c>
      <c r="F621" s="8" t="str">
        <f>_xlfn.IFNA(INDEX('HS Codes'!$D$2:$K3175,MATCH($B621,'HS Codes'!$A$2:$A3175,0),MATCH(F$1,'HS Codes'!$D$1:$K$1,0)),"")</f>
        <v>9616.20.00.00</v>
      </c>
      <c r="G621" s="8">
        <f>_xlfn.IFNA(INDEX('HS Codes'!$D$2:$K3175,MATCH($B621,'HS Codes'!$A$2:$A3175,0),MATCH(G$1,'HS Codes'!$D$1:$K$1,0)),"")</f>
        <v>9616200000</v>
      </c>
      <c r="H621" s="8" t="str">
        <f>_xlfn.IFNA(INDEX('HS Codes'!$D$2:$K3175,MATCH($B621,'HS Codes'!$A$2:$A3175,0),MATCH(H$1,'HS Codes'!$D$1:$K$1,0)),"")</f>
        <v>9616.20.00.00</v>
      </c>
      <c r="I621" s="8">
        <f>_xlfn.IFNA(INDEX('HS Codes'!$D$2:$K3175,MATCH($B621,'HS Codes'!$A$2:$A3175,0),MATCH(I$1,'HS Codes'!$D$1:$K$1,0)),"")</f>
        <v>9616200000</v>
      </c>
      <c r="J621" s="8">
        <f>_xlfn.IFNA(INDEX('HS Codes'!$D$2:$K3175,MATCH($B621,'HS Codes'!$A$2:$A3175,0),MATCH(J$1,'HS Codes'!$D$1:$K$1,0)),"")</f>
        <v>0</v>
      </c>
      <c r="K621" s="8" t="str">
        <f>_xlfn.IFNA(INDEX('HS Codes'!$D$2:$K3175,MATCH($B621,'HS Codes'!$A$2:$A3175,0),MATCH(K$1,'HS Codes'!$D$1:$K$1,0)),"")</f>
        <v>9616.20.00</v>
      </c>
      <c r="L621" s="8">
        <f>_xlfn.IFNA(INDEX('HS Codes'!$D$2:$K3175,MATCH($B621,'HS Codes'!$A$2:$A3175,0),MATCH(L$1,'HS Codes'!$D$1:$K$1,0)),"")</f>
        <v>0</v>
      </c>
      <c r="M621" s="8" t="str">
        <f>_xlfn.IFNA(INDEX('HS Codes'!$C$2:$C3175,MATCH($B621,'HS Codes'!$A$2:$A3175,0)),"")</f>
        <v>Makeup Wipe 100% recycled polyester (no cotton)</v>
      </c>
      <c r="N621" s="9"/>
      <c r="O621" s="9"/>
      <c r="P621" s="9"/>
      <c r="Q621" s="9"/>
    </row>
    <row r="622" spans="1:17" ht="15.75" customHeight="1">
      <c r="A622" s="7" t="s">
        <v>913</v>
      </c>
      <c r="B622" s="7" t="s">
        <v>132</v>
      </c>
      <c r="C622" s="7"/>
      <c r="D622" s="7" t="s">
        <v>133</v>
      </c>
      <c r="E622" s="7" t="s">
        <v>364</v>
      </c>
      <c r="F622" s="8" t="str">
        <f>_xlfn.IFNA(INDEX('HS Codes'!$D$2:$K3176,MATCH($B622,'HS Codes'!$A$2:$A3176,0),MATCH(F$1,'HS Codes'!$D$1:$K$1,0)),"")</f>
        <v>9616.20.00.00</v>
      </c>
      <c r="G622" s="8">
        <f>_xlfn.IFNA(INDEX('HS Codes'!$D$2:$K3176,MATCH($B622,'HS Codes'!$A$2:$A3176,0),MATCH(G$1,'HS Codes'!$D$1:$K$1,0)),"")</f>
        <v>9616200000</v>
      </c>
      <c r="H622" s="8" t="str">
        <f>_xlfn.IFNA(INDEX('HS Codes'!$D$2:$K3176,MATCH($B622,'HS Codes'!$A$2:$A3176,0),MATCH(H$1,'HS Codes'!$D$1:$K$1,0)),"")</f>
        <v>9616.20.00.00</v>
      </c>
      <c r="I622" s="8">
        <f>_xlfn.IFNA(INDEX('HS Codes'!$D$2:$K3176,MATCH($B622,'HS Codes'!$A$2:$A3176,0),MATCH(I$1,'HS Codes'!$D$1:$K$1,0)),"")</f>
        <v>9616200000</v>
      </c>
      <c r="J622" s="8">
        <f>_xlfn.IFNA(INDEX('HS Codes'!$D$2:$K3176,MATCH($B622,'HS Codes'!$A$2:$A3176,0),MATCH(J$1,'HS Codes'!$D$1:$K$1,0)),"")</f>
        <v>0</v>
      </c>
      <c r="K622" s="8" t="str">
        <f>_xlfn.IFNA(INDEX('HS Codes'!$D$2:$K3176,MATCH($B622,'HS Codes'!$A$2:$A3176,0),MATCH(K$1,'HS Codes'!$D$1:$K$1,0)),"")</f>
        <v>9616.20.00</v>
      </c>
      <c r="L622" s="8">
        <f>_xlfn.IFNA(INDEX('HS Codes'!$D$2:$K3176,MATCH($B622,'HS Codes'!$A$2:$A3176,0),MATCH(L$1,'HS Codes'!$D$1:$K$1,0)),"")</f>
        <v>0</v>
      </c>
      <c r="M622" s="8" t="str">
        <f>_xlfn.IFNA(INDEX('HS Codes'!$C$2:$C3176,MATCH($B622,'HS Codes'!$A$2:$A3176,0)),"")</f>
        <v>Makeup Wipe 100% recycled polyester (no cotton)</v>
      </c>
      <c r="N622" s="9"/>
      <c r="O622" s="9"/>
      <c r="P622" s="9"/>
      <c r="Q622" s="9"/>
    </row>
    <row r="623" spans="1:17" ht="15.75" customHeight="1">
      <c r="A623" s="7" t="s">
        <v>914</v>
      </c>
      <c r="B623" s="7" t="s">
        <v>137</v>
      </c>
      <c r="C623" s="7" t="s">
        <v>281</v>
      </c>
      <c r="D623" s="7" t="s">
        <v>138</v>
      </c>
      <c r="E623" s="7" t="s">
        <v>138</v>
      </c>
      <c r="F623" s="8" t="str">
        <f>_xlfn.IFNA(INDEX('HS Codes'!$D$2:$K3177,MATCH($B623,'HS Codes'!$A$2:$A3177,0),MATCH(F$1,'HS Codes'!$D$1:$K$1,0)),"")</f>
        <v>6301.40.0020</v>
      </c>
      <c r="G623" s="8">
        <f>_xlfn.IFNA(INDEX('HS Codes'!$D$2:$K3177,MATCH($B623,'HS Codes'!$A$2:$A3177,0),MATCH(G$1,'HS Codes'!$D$1:$K$1,0)),"")</f>
        <v>6301409099</v>
      </c>
      <c r="H623" s="8" t="str">
        <f>_xlfn.IFNA(INDEX('HS Codes'!$D$2:$K3177,MATCH($B623,'HS Codes'!$A$2:$A3177,0),MATCH(H$1,'HS Codes'!$D$1:$K$1,0)),"")</f>
        <v>6301.40.0020</v>
      </c>
      <c r="I623" s="8">
        <f>_xlfn.IFNA(INDEX('HS Codes'!$D$2:$K3177,MATCH($B623,'HS Codes'!$A$2:$A3177,0),MATCH(I$1,'HS Codes'!$D$1:$K$1,0)),"")</f>
        <v>6301409099</v>
      </c>
      <c r="J623" s="8">
        <f>_xlfn.IFNA(INDEX('HS Codes'!$D$2:$K3177,MATCH($B623,'HS Codes'!$A$2:$A3177,0),MATCH(J$1,'HS Codes'!$D$1:$K$1,0)),"")</f>
        <v>0</v>
      </c>
      <c r="K623" s="8" t="str">
        <f>_xlfn.IFNA(INDEX('HS Codes'!$D$2:$K3177,MATCH($B623,'HS Codes'!$A$2:$A3177,0),MATCH(K$1,'HS Codes'!$D$1:$K$1,0)),"")</f>
        <v>6301.40.00</v>
      </c>
      <c r="L623" s="8">
        <f>_xlfn.IFNA(INDEX('HS Codes'!$D$2:$K3177,MATCH($B623,'HS Codes'!$A$2:$A3177,0),MATCH(L$1,'HS Codes'!$D$1:$K$1,0)),"")</f>
        <v>6301</v>
      </c>
      <c r="M623" s="8" t="str">
        <f>_xlfn.IFNA(INDEX('HS Codes'!$C$2:$C3177,MATCH($B623,'HS Codes'!$A$2:$A3177,0)),"")</f>
        <v>Travelling Rug 100% recycled. BOTTOM: 100% polyester. TOP: 220 GSM/83% polyester/17% polyamide includes cotton on the packing pouch drawstring</v>
      </c>
      <c r="N623" s="9"/>
      <c r="O623" s="9"/>
      <c r="P623" s="9"/>
      <c r="Q623" s="9"/>
    </row>
    <row r="624" spans="1:17" ht="15.75" customHeight="1">
      <c r="A624" s="7" t="s">
        <v>915</v>
      </c>
      <c r="B624" s="7" t="s">
        <v>137</v>
      </c>
      <c r="C624" s="7" t="s">
        <v>281</v>
      </c>
      <c r="D624" s="7" t="s">
        <v>138</v>
      </c>
      <c r="E624" s="7" t="s">
        <v>138</v>
      </c>
      <c r="F624" s="8" t="str">
        <f>_xlfn.IFNA(INDEX('HS Codes'!$D$2:$K3178,MATCH($B624,'HS Codes'!$A$2:$A3178,0),MATCH(F$1,'HS Codes'!$D$1:$K$1,0)),"")</f>
        <v>6301.40.0020</v>
      </c>
      <c r="G624" s="8">
        <f>_xlfn.IFNA(INDEX('HS Codes'!$D$2:$K3178,MATCH($B624,'HS Codes'!$A$2:$A3178,0),MATCH(G$1,'HS Codes'!$D$1:$K$1,0)),"")</f>
        <v>6301409099</v>
      </c>
      <c r="H624" s="8" t="str">
        <f>_xlfn.IFNA(INDEX('HS Codes'!$D$2:$K3178,MATCH($B624,'HS Codes'!$A$2:$A3178,0),MATCH(H$1,'HS Codes'!$D$1:$K$1,0)),"")</f>
        <v>6301.40.0020</v>
      </c>
      <c r="I624" s="8">
        <f>_xlfn.IFNA(INDEX('HS Codes'!$D$2:$K3178,MATCH($B624,'HS Codes'!$A$2:$A3178,0),MATCH(I$1,'HS Codes'!$D$1:$K$1,0)),"")</f>
        <v>6301409099</v>
      </c>
      <c r="J624" s="8">
        <f>_xlfn.IFNA(INDEX('HS Codes'!$D$2:$K3178,MATCH($B624,'HS Codes'!$A$2:$A3178,0),MATCH(J$1,'HS Codes'!$D$1:$K$1,0)),"")</f>
        <v>0</v>
      </c>
      <c r="K624" s="8" t="str">
        <f>_xlfn.IFNA(INDEX('HS Codes'!$D$2:$K3178,MATCH($B624,'HS Codes'!$A$2:$A3178,0),MATCH(K$1,'HS Codes'!$D$1:$K$1,0)),"")</f>
        <v>6301.40.00</v>
      </c>
      <c r="L624" s="8">
        <f>_xlfn.IFNA(INDEX('HS Codes'!$D$2:$K3178,MATCH($B624,'HS Codes'!$A$2:$A3178,0),MATCH(L$1,'HS Codes'!$D$1:$K$1,0)),"")</f>
        <v>6301</v>
      </c>
      <c r="M624" s="8" t="str">
        <f>_xlfn.IFNA(INDEX('HS Codes'!$C$2:$C3178,MATCH($B624,'HS Codes'!$A$2:$A3178,0)),"")</f>
        <v>Travelling Rug 100% recycled. BOTTOM: 100% polyester. TOP: 220 GSM/83% polyester/17% polyamide includes cotton on the packing pouch drawstring</v>
      </c>
      <c r="N624" s="9"/>
      <c r="O624" s="9"/>
      <c r="P624" s="9"/>
      <c r="Q624" s="9"/>
    </row>
    <row r="625" spans="1:17" ht="15.75" customHeight="1">
      <c r="A625" s="7" t="s">
        <v>916</v>
      </c>
      <c r="B625" s="7" t="s">
        <v>137</v>
      </c>
      <c r="C625" s="7" t="s">
        <v>281</v>
      </c>
      <c r="D625" s="7" t="s">
        <v>138</v>
      </c>
      <c r="E625" s="7" t="s">
        <v>138</v>
      </c>
      <c r="F625" s="8" t="str">
        <f>_xlfn.IFNA(INDEX('HS Codes'!$D$2:$K3179,MATCH($B625,'HS Codes'!$A$2:$A3179,0),MATCH(F$1,'HS Codes'!$D$1:$K$1,0)),"")</f>
        <v>6301.40.0020</v>
      </c>
      <c r="G625" s="8">
        <f>_xlfn.IFNA(INDEX('HS Codes'!$D$2:$K3179,MATCH($B625,'HS Codes'!$A$2:$A3179,0),MATCH(G$1,'HS Codes'!$D$1:$K$1,0)),"")</f>
        <v>6301409099</v>
      </c>
      <c r="H625" s="8" t="str">
        <f>_xlfn.IFNA(INDEX('HS Codes'!$D$2:$K3179,MATCH($B625,'HS Codes'!$A$2:$A3179,0),MATCH(H$1,'HS Codes'!$D$1:$K$1,0)),"")</f>
        <v>6301.40.0020</v>
      </c>
      <c r="I625" s="8">
        <f>_xlfn.IFNA(INDEX('HS Codes'!$D$2:$K3179,MATCH($B625,'HS Codes'!$A$2:$A3179,0),MATCH(I$1,'HS Codes'!$D$1:$K$1,0)),"")</f>
        <v>6301409099</v>
      </c>
      <c r="J625" s="8">
        <f>_xlfn.IFNA(INDEX('HS Codes'!$D$2:$K3179,MATCH($B625,'HS Codes'!$A$2:$A3179,0),MATCH(J$1,'HS Codes'!$D$1:$K$1,0)),"")</f>
        <v>0</v>
      </c>
      <c r="K625" s="8" t="str">
        <f>_xlfn.IFNA(INDEX('HS Codes'!$D$2:$K3179,MATCH($B625,'HS Codes'!$A$2:$A3179,0),MATCH(K$1,'HS Codes'!$D$1:$K$1,0)),"")</f>
        <v>6301.40.00</v>
      </c>
      <c r="L625" s="8">
        <f>_xlfn.IFNA(INDEX('HS Codes'!$D$2:$K3179,MATCH($B625,'HS Codes'!$A$2:$A3179,0),MATCH(L$1,'HS Codes'!$D$1:$K$1,0)),"")</f>
        <v>6301</v>
      </c>
      <c r="M625" s="8" t="str">
        <f>_xlfn.IFNA(INDEX('HS Codes'!$C$2:$C3179,MATCH($B625,'HS Codes'!$A$2:$A3179,0)),"")</f>
        <v>Travelling Rug 100% recycled. BOTTOM: 100% polyester. TOP: 220 GSM/83% polyester/17% polyamide includes cotton on the packing pouch drawstring</v>
      </c>
      <c r="N625" s="9"/>
      <c r="O625" s="9"/>
      <c r="P625" s="9"/>
      <c r="Q625" s="9"/>
    </row>
    <row r="626" spans="1:17" ht="15.75" customHeight="1">
      <c r="A626" s="7" t="s">
        <v>917</v>
      </c>
      <c r="B626" s="7" t="s">
        <v>137</v>
      </c>
      <c r="C626" s="7" t="s">
        <v>281</v>
      </c>
      <c r="D626" s="7" t="s">
        <v>138</v>
      </c>
      <c r="E626" s="7" t="s">
        <v>138</v>
      </c>
      <c r="F626" s="8" t="str">
        <f>_xlfn.IFNA(INDEX('HS Codes'!$D$2:$K3180,MATCH($B626,'HS Codes'!$A$2:$A3180,0),MATCH(F$1,'HS Codes'!$D$1:$K$1,0)),"")</f>
        <v>6301.40.0020</v>
      </c>
      <c r="G626" s="8">
        <f>_xlfn.IFNA(INDEX('HS Codes'!$D$2:$K3180,MATCH($B626,'HS Codes'!$A$2:$A3180,0),MATCH(G$1,'HS Codes'!$D$1:$K$1,0)),"")</f>
        <v>6301409099</v>
      </c>
      <c r="H626" s="8" t="str">
        <f>_xlfn.IFNA(INDEX('HS Codes'!$D$2:$K3180,MATCH($B626,'HS Codes'!$A$2:$A3180,0),MATCH(H$1,'HS Codes'!$D$1:$K$1,0)),"")</f>
        <v>6301.40.0020</v>
      </c>
      <c r="I626" s="8">
        <f>_xlfn.IFNA(INDEX('HS Codes'!$D$2:$K3180,MATCH($B626,'HS Codes'!$A$2:$A3180,0),MATCH(I$1,'HS Codes'!$D$1:$K$1,0)),"")</f>
        <v>6301409099</v>
      </c>
      <c r="J626" s="8">
        <f>_xlfn.IFNA(INDEX('HS Codes'!$D$2:$K3180,MATCH($B626,'HS Codes'!$A$2:$A3180,0),MATCH(J$1,'HS Codes'!$D$1:$K$1,0)),"")</f>
        <v>0</v>
      </c>
      <c r="K626" s="8" t="str">
        <f>_xlfn.IFNA(INDEX('HS Codes'!$D$2:$K3180,MATCH($B626,'HS Codes'!$A$2:$A3180,0),MATCH(K$1,'HS Codes'!$D$1:$K$1,0)),"")</f>
        <v>6301.40.00</v>
      </c>
      <c r="L626" s="8">
        <f>_xlfn.IFNA(INDEX('HS Codes'!$D$2:$K3180,MATCH($B626,'HS Codes'!$A$2:$A3180,0),MATCH(L$1,'HS Codes'!$D$1:$K$1,0)),"")</f>
        <v>6301</v>
      </c>
      <c r="M626" s="8" t="str">
        <f>_xlfn.IFNA(INDEX('HS Codes'!$C$2:$C3180,MATCH($B626,'HS Codes'!$A$2:$A3180,0)),"")</f>
        <v>Travelling Rug 100% recycled. BOTTOM: 100% polyester. TOP: 220 GSM/83% polyester/17% polyamide includes cotton on the packing pouch drawstring</v>
      </c>
      <c r="N626" s="9"/>
      <c r="O626" s="9"/>
      <c r="P626" s="9"/>
      <c r="Q626" s="9"/>
    </row>
    <row r="627" spans="1:17" ht="15.75" customHeight="1">
      <c r="A627" s="7" t="s">
        <v>918</v>
      </c>
      <c r="B627" s="7" t="s">
        <v>137</v>
      </c>
      <c r="C627" s="7" t="s">
        <v>281</v>
      </c>
      <c r="D627" s="7" t="s">
        <v>138</v>
      </c>
      <c r="E627" s="7" t="s">
        <v>138</v>
      </c>
      <c r="F627" s="8" t="str">
        <f>_xlfn.IFNA(INDEX('HS Codes'!$D$2:$K3181,MATCH($B627,'HS Codes'!$A$2:$A3181,0),MATCH(F$1,'HS Codes'!$D$1:$K$1,0)),"")</f>
        <v>6301.40.0020</v>
      </c>
      <c r="G627" s="8">
        <f>_xlfn.IFNA(INDEX('HS Codes'!$D$2:$K3181,MATCH($B627,'HS Codes'!$A$2:$A3181,0),MATCH(G$1,'HS Codes'!$D$1:$K$1,0)),"")</f>
        <v>6301409099</v>
      </c>
      <c r="H627" s="8" t="str">
        <f>_xlfn.IFNA(INDEX('HS Codes'!$D$2:$K3181,MATCH($B627,'HS Codes'!$A$2:$A3181,0),MATCH(H$1,'HS Codes'!$D$1:$K$1,0)),"")</f>
        <v>6301.40.0020</v>
      </c>
      <c r="I627" s="8">
        <f>_xlfn.IFNA(INDEX('HS Codes'!$D$2:$K3181,MATCH($B627,'HS Codes'!$A$2:$A3181,0),MATCH(I$1,'HS Codes'!$D$1:$K$1,0)),"")</f>
        <v>6301409099</v>
      </c>
      <c r="J627" s="8">
        <f>_xlfn.IFNA(INDEX('HS Codes'!$D$2:$K3181,MATCH($B627,'HS Codes'!$A$2:$A3181,0),MATCH(J$1,'HS Codes'!$D$1:$K$1,0)),"")</f>
        <v>0</v>
      </c>
      <c r="K627" s="8" t="str">
        <f>_xlfn.IFNA(INDEX('HS Codes'!$D$2:$K3181,MATCH($B627,'HS Codes'!$A$2:$A3181,0),MATCH(K$1,'HS Codes'!$D$1:$K$1,0)),"")</f>
        <v>6301.40.00</v>
      </c>
      <c r="L627" s="8">
        <f>_xlfn.IFNA(INDEX('HS Codes'!$D$2:$K3181,MATCH($B627,'HS Codes'!$A$2:$A3181,0),MATCH(L$1,'HS Codes'!$D$1:$K$1,0)),"")</f>
        <v>6301</v>
      </c>
      <c r="M627" s="8" t="str">
        <f>_xlfn.IFNA(INDEX('HS Codes'!$C$2:$C3181,MATCH($B627,'HS Codes'!$A$2:$A3181,0)),"")</f>
        <v>Travelling Rug 100% recycled. BOTTOM: 100% polyester. TOP: 220 GSM/83% polyester/17% polyamide includes cotton on the packing pouch drawstring</v>
      </c>
      <c r="N627" s="9"/>
      <c r="O627" s="9"/>
      <c r="P627" s="9"/>
      <c r="Q627" s="9"/>
    </row>
    <row r="628" spans="1:17" ht="15.75" customHeight="1">
      <c r="A628" s="7" t="s">
        <v>919</v>
      </c>
      <c r="B628" s="7" t="s">
        <v>137</v>
      </c>
      <c r="C628" s="7" t="s">
        <v>281</v>
      </c>
      <c r="D628" s="7" t="s">
        <v>138</v>
      </c>
      <c r="E628" s="7" t="s">
        <v>138</v>
      </c>
      <c r="F628" s="8" t="str">
        <f>_xlfn.IFNA(INDEX('HS Codes'!$D$2:$K3182,MATCH($B628,'HS Codes'!$A$2:$A3182,0),MATCH(F$1,'HS Codes'!$D$1:$K$1,0)),"")</f>
        <v>6301.40.0020</v>
      </c>
      <c r="G628" s="8">
        <f>_xlfn.IFNA(INDEX('HS Codes'!$D$2:$K3182,MATCH($B628,'HS Codes'!$A$2:$A3182,0),MATCH(G$1,'HS Codes'!$D$1:$K$1,0)),"")</f>
        <v>6301409099</v>
      </c>
      <c r="H628" s="8" t="str">
        <f>_xlfn.IFNA(INDEX('HS Codes'!$D$2:$K3182,MATCH($B628,'HS Codes'!$A$2:$A3182,0),MATCH(H$1,'HS Codes'!$D$1:$K$1,0)),"")</f>
        <v>6301.40.0020</v>
      </c>
      <c r="I628" s="8">
        <f>_xlfn.IFNA(INDEX('HS Codes'!$D$2:$K3182,MATCH($B628,'HS Codes'!$A$2:$A3182,0),MATCH(I$1,'HS Codes'!$D$1:$K$1,0)),"")</f>
        <v>6301409099</v>
      </c>
      <c r="J628" s="8">
        <f>_xlfn.IFNA(INDEX('HS Codes'!$D$2:$K3182,MATCH($B628,'HS Codes'!$A$2:$A3182,0),MATCH(J$1,'HS Codes'!$D$1:$K$1,0)),"")</f>
        <v>0</v>
      </c>
      <c r="K628" s="8" t="str">
        <f>_xlfn.IFNA(INDEX('HS Codes'!$D$2:$K3182,MATCH($B628,'HS Codes'!$A$2:$A3182,0),MATCH(K$1,'HS Codes'!$D$1:$K$1,0)),"")</f>
        <v>6301.40.00</v>
      </c>
      <c r="L628" s="8">
        <f>_xlfn.IFNA(INDEX('HS Codes'!$D$2:$K3182,MATCH($B628,'HS Codes'!$A$2:$A3182,0),MATCH(L$1,'HS Codes'!$D$1:$K$1,0)),"")</f>
        <v>6301</v>
      </c>
      <c r="M628" s="8" t="str">
        <f>_xlfn.IFNA(INDEX('HS Codes'!$C$2:$C3182,MATCH($B628,'HS Codes'!$A$2:$A3182,0)),"")</f>
        <v>Travelling Rug 100% recycled. BOTTOM: 100% polyester. TOP: 220 GSM/83% polyester/17% polyamide includes cotton on the packing pouch drawstring</v>
      </c>
      <c r="N628" s="9"/>
      <c r="O628" s="9"/>
      <c r="P628" s="9"/>
      <c r="Q628" s="9"/>
    </row>
    <row r="629" spans="1:17" ht="15.75" customHeight="1">
      <c r="A629" s="7" t="s">
        <v>920</v>
      </c>
      <c r="B629" s="7" t="s">
        <v>137</v>
      </c>
      <c r="C629" s="7" t="s">
        <v>281</v>
      </c>
      <c r="D629" s="7" t="s">
        <v>138</v>
      </c>
      <c r="E629" s="7" t="s">
        <v>138</v>
      </c>
      <c r="F629" s="8" t="str">
        <f>_xlfn.IFNA(INDEX('HS Codes'!$D$2:$K3183,MATCH($B629,'HS Codes'!$A$2:$A3183,0),MATCH(F$1,'HS Codes'!$D$1:$K$1,0)),"")</f>
        <v>6301.40.0020</v>
      </c>
      <c r="G629" s="8">
        <f>_xlfn.IFNA(INDEX('HS Codes'!$D$2:$K3183,MATCH($B629,'HS Codes'!$A$2:$A3183,0),MATCH(G$1,'HS Codes'!$D$1:$K$1,0)),"")</f>
        <v>6301409099</v>
      </c>
      <c r="H629" s="8" t="str">
        <f>_xlfn.IFNA(INDEX('HS Codes'!$D$2:$K3183,MATCH($B629,'HS Codes'!$A$2:$A3183,0),MATCH(H$1,'HS Codes'!$D$1:$K$1,0)),"")</f>
        <v>6301.40.0020</v>
      </c>
      <c r="I629" s="8">
        <f>_xlfn.IFNA(INDEX('HS Codes'!$D$2:$K3183,MATCH($B629,'HS Codes'!$A$2:$A3183,0),MATCH(I$1,'HS Codes'!$D$1:$K$1,0)),"")</f>
        <v>6301409099</v>
      </c>
      <c r="J629" s="8">
        <f>_xlfn.IFNA(INDEX('HS Codes'!$D$2:$K3183,MATCH($B629,'HS Codes'!$A$2:$A3183,0),MATCH(J$1,'HS Codes'!$D$1:$K$1,0)),"")</f>
        <v>0</v>
      </c>
      <c r="K629" s="8" t="str">
        <f>_xlfn.IFNA(INDEX('HS Codes'!$D$2:$K3183,MATCH($B629,'HS Codes'!$A$2:$A3183,0),MATCH(K$1,'HS Codes'!$D$1:$K$1,0)),"")</f>
        <v>6301.40.00</v>
      </c>
      <c r="L629" s="8">
        <f>_xlfn.IFNA(INDEX('HS Codes'!$D$2:$K3183,MATCH($B629,'HS Codes'!$A$2:$A3183,0),MATCH(L$1,'HS Codes'!$D$1:$K$1,0)),"")</f>
        <v>6301</v>
      </c>
      <c r="M629" s="8" t="str">
        <f>_xlfn.IFNA(INDEX('HS Codes'!$C$2:$C3183,MATCH($B629,'HS Codes'!$A$2:$A3183,0)),"")</f>
        <v>Travelling Rug 100% recycled. BOTTOM: 100% polyester. TOP: 220 GSM/83% polyester/17% polyamide includes cotton on the packing pouch drawstring</v>
      </c>
      <c r="N629" s="9"/>
      <c r="O629" s="9"/>
      <c r="P629" s="9"/>
      <c r="Q629" s="9"/>
    </row>
    <row r="630" spans="1:17" ht="15.75" customHeight="1">
      <c r="A630" s="7" t="s">
        <v>921</v>
      </c>
      <c r="B630" s="7" t="s">
        <v>137</v>
      </c>
      <c r="C630" s="7" t="s">
        <v>281</v>
      </c>
      <c r="D630" s="7" t="s">
        <v>138</v>
      </c>
      <c r="E630" s="7" t="s">
        <v>138</v>
      </c>
      <c r="F630" s="8" t="str">
        <f>_xlfn.IFNA(INDEX('HS Codes'!$D$2:$K3184,MATCH($B630,'HS Codes'!$A$2:$A3184,0),MATCH(F$1,'HS Codes'!$D$1:$K$1,0)),"")</f>
        <v>6301.40.0020</v>
      </c>
      <c r="G630" s="8">
        <f>_xlfn.IFNA(INDEX('HS Codes'!$D$2:$K3184,MATCH($B630,'HS Codes'!$A$2:$A3184,0),MATCH(G$1,'HS Codes'!$D$1:$K$1,0)),"")</f>
        <v>6301409099</v>
      </c>
      <c r="H630" s="8" t="str">
        <f>_xlfn.IFNA(INDEX('HS Codes'!$D$2:$K3184,MATCH($B630,'HS Codes'!$A$2:$A3184,0),MATCH(H$1,'HS Codes'!$D$1:$K$1,0)),"")</f>
        <v>6301.40.0020</v>
      </c>
      <c r="I630" s="8">
        <f>_xlfn.IFNA(INDEX('HS Codes'!$D$2:$K3184,MATCH($B630,'HS Codes'!$A$2:$A3184,0),MATCH(I$1,'HS Codes'!$D$1:$K$1,0)),"")</f>
        <v>6301409099</v>
      </c>
      <c r="J630" s="8">
        <f>_xlfn.IFNA(INDEX('HS Codes'!$D$2:$K3184,MATCH($B630,'HS Codes'!$A$2:$A3184,0),MATCH(J$1,'HS Codes'!$D$1:$K$1,0)),"")</f>
        <v>0</v>
      </c>
      <c r="K630" s="8" t="str">
        <f>_xlfn.IFNA(INDEX('HS Codes'!$D$2:$K3184,MATCH($B630,'HS Codes'!$A$2:$A3184,0),MATCH(K$1,'HS Codes'!$D$1:$K$1,0)),"")</f>
        <v>6301.40.00</v>
      </c>
      <c r="L630" s="8">
        <f>_xlfn.IFNA(INDEX('HS Codes'!$D$2:$K3184,MATCH($B630,'HS Codes'!$A$2:$A3184,0),MATCH(L$1,'HS Codes'!$D$1:$K$1,0)),"")</f>
        <v>6301</v>
      </c>
      <c r="M630" s="8" t="str">
        <f>_xlfn.IFNA(INDEX('HS Codes'!$C$2:$C3184,MATCH($B630,'HS Codes'!$A$2:$A3184,0)),"")</f>
        <v>Travelling Rug 100% recycled. BOTTOM: 100% polyester. TOP: 220 GSM/83% polyester/17% polyamide includes cotton on the packing pouch drawstring</v>
      </c>
      <c r="N630" s="9"/>
      <c r="O630" s="9"/>
      <c r="P630" s="9"/>
      <c r="Q630" s="9"/>
    </row>
    <row r="631" spans="1:17" ht="15.75" customHeight="1">
      <c r="A631" s="7" t="s">
        <v>922</v>
      </c>
      <c r="B631" s="7" t="s">
        <v>137</v>
      </c>
      <c r="C631" s="7" t="s">
        <v>281</v>
      </c>
      <c r="D631" s="7" t="s">
        <v>138</v>
      </c>
      <c r="E631" s="7" t="s">
        <v>138</v>
      </c>
      <c r="F631" s="8" t="str">
        <f>_xlfn.IFNA(INDEX('HS Codes'!$D$2:$K3185,MATCH($B631,'HS Codes'!$A$2:$A3185,0),MATCH(F$1,'HS Codes'!$D$1:$K$1,0)),"")</f>
        <v>6301.40.0020</v>
      </c>
      <c r="G631" s="8">
        <f>_xlfn.IFNA(INDEX('HS Codes'!$D$2:$K3185,MATCH($B631,'HS Codes'!$A$2:$A3185,0),MATCH(G$1,'HS Codes'!$D$1:$K$1,0)),"")</f>
        <v>6301409099</v>
      </c>
      <c r="H631" s="8" t="str">
        <f>_xlfn.IFNA(INDEX('HS Codes'!$D$2:$K3185,MATCH($B631,'HS Codes'!$A$2:$A3185,0),MATCH(H$1,'HS Codes'!$D$1:$K$1,0)),"")</f>
        <v>6301.40.0020</v>
      </c>
      <c r="I631" s="8">
        <f>_xlfn.IFNA(INDEX('HS Codes'!$D$2:$K3185,MATCH($B631,'HS Codes'!$A$2:$A3185,0),MATCH(I$1,'HS Codes'!$D$1:$K$1,0)),"")</f>
        <v>6301409099</v>
      </c>
      <c r="J631" s="8">
        <f>_xlfn.IFNA(INDEX('HS Codes'!$D$2:$K3185,MATCH($B631,'HS Codes'!$A$2:$A3185,0),MATCH(J$1,'HS Codes'!$D$1:$K$1,0)),"")</f>
        <v>0</v>
      </c>
      <c r="K631" s="8" t="str">
        <f>_xlfn.IFNA(INDEX('HS Codes'!$D$2:$K3185,MATCH($B631,'HS Codes'!$A$2:$A3185,0),MATCH(K$1,'HS Codes'!$D$1:$K$1,0)),"")</f>
        <v>6301.40.00</v>
      </c>
      <c r="L631" s="8">
        <f>_xlfn.IFNA(INDEX('HS Codes'!$D$2:$K3185,MATCH($B631,'HS Codes'!$A$2:$A3185,0),MATCH(L$1,'HS Codes'!$D$1:$K$1,0)),"")</f>
        <v>6301</v>
      </c>
      <c r="M631" s="8" t="str">
        <f>_xlfn.IFNA(INDEX('HS Codes'!$C$2:$C3185,MATCH($B631,'HS Codes'!$A$2:$A3185,0)),"")</f>
        <v>Travelling Rug 100% recycled. BOTTOM: 100% polyester. TOP: 220 GSM/83% polyester/17% polyamide includes cotton on the packing pouch drawstring</v>
      </c>
      <c r="N631" s="9"/>
      <c r="O631" s="9"/>
      <c r="P631" s="9"/>
      <c r="Q631" s="9"/>
    </row>
    <row r="632" spans="1:17" ht="15.75" customHeight="1">
      <c r="A632" s="7" t="s">
        <v>923</v>
      </c>
      <c r="B632" s="7" t="s">
        <v>137</v>
      </c>
      <c r="C632" s="7" t="s">
        <v>281</v>
      </c>
      <c r="D632" s="7" t="s">
        <v>138</v>
      </c>
      <c r="E632" s="7" t="s">
        <v>138</v>
      </c>
      <c r="F632" s="8" t="str">
        <f>_xlfn.IFNA(INDEX('HS Codes'!$D$2:$K3186,MATCH($B632,'HS Codes'!$A$2:$A3186,0),MATCH(F$1,'HS Codes'!$D$1:$K$1,0)),"")</f>
        <v>6301.40.0020</v>
      </c>
      <c r="G632" s="8">
        <f>_xlfn.IFNA(INDEX('HS Codes'!$D$2:$K3186,MATCH($B632,'HS Codes'!$A$2:$A3186,0),MATCH(G$1,'HS Codes'!$D$1:$K$1,0)),"")</f>
        <v>6301409099</v>
      </c>
      <c r="H632" s="8" t="str">
        <f>_xlfn.IFNA(INDEX('HS Codes'!$D$2:$K3186,MATCH($B632,'HS Codes'!$A$2:$A3186,0),MATCH(H$1,'HS Codes'!$D$1:$K$1,0)),"")</f>
        <v>6301.40.0020</v>
      </c>
      <c r="I632" s="8">
        <f>_xlfn.IFNA(INDEX('HS Codes'!$D$2:$K3186,MATCH($B632,'HS Codes'!$A$2:$A3186,0),MATCH(I$1,'HS Codes'!$D$1:$K$1,0)),"")</f>
        <v>6301409099</v>
      </c>
      <c r="J632" s="8">
        <f>_xlfn.IFNA(INDEX('HS Codes'!$D$2:$K3186,MATCH($B632,'HS Codes'!$A$2:$A3186,0),MATCH(J$1,'HS Codes'!$D$1:$K$1,0)),"")</f>
        <v>0</v>
      </c>
      <c r="K632" s="8" t="str">
        <f>_xlfn.IFNA(INDEX('HS Codes'!$D$2:$K3186,MATCH($B632,'HS Codes'!$A$2:$A3186,0),MATCH(K$1,'HS Codes'!$D$1:$K$1,0)),"")</f>
        <v>6301.40.00</v>
      </c>
      <c r="L632" s="8">
        <f>_xlfn.IFNA(INDEX('HS Codes'!$D$2:$K3186,MATCH($B632,'HS Codes'!$A$2:$A3186,0),MATCH(L$1,'HS Codes'!$D$1:$K$1,0)),"")</f>
        <v>6301</v>
      </c>
      <c r="M632" s="8" t="str">
        <f>_xlfn.IFNA(INDEX('HS Codes'!$C$2:$C3186,MATCH($B632,'HS Codes'!$A$2:$A3186,0)),"")</f>
        <v>Travelling Rug 100% recycled. BOTTOM: 100% polyester. TOP: 220 GSM/83% polyester/17% polyamide includes cotton on the packing pouch drawstring</v>
      </c>
      <c r="N632" s="9"/>
      <c r="O632" s="9"/>
      <c r="P632" s="9"/>
      <c r="Q632" s="9"/>
    </row>
    <row r="633" spans="1:17" ht="15.75" customHeight="1">
      <c r="A633" s="7" t="s">
        <v>924</v>
      </c>
      <c r="B633" s="7" t="s">
        <v>137</v>
      </c>
      <c r="C633" s="7" t="s">
        <v>281</v>
      </c>
      <c r="D633" s="7" t="s">
        <v>138</v>
      </c>
      <c r="E633" s="7" t="s">
        <v>138</v>
      </c>
      <c r="F633" s="8" t="str">
        <f>_xlfn.IFNA(INDEX('HS Codes'!$D$2:$K3187,MATCH($B633,'HS Codes'!$A$2:$A3187,0),MATCH(F$1,'HS Codes'!$D$1:$K$1,0)),"")</f>
        <v>6301.40.0020</v>
      </c>
      <c r="G633" s="8">
        <f>_xlfn.IFNA(INDEX('HS Codes'!$D$2:$K3187,MATCH($B633,'HS Codes'!$A$2:$A3187,0),MATCH(G$1,'HS Codes'!$D$1:$K$1,0)),"")</f>
        <v>6301409099</v>
      </c>
      <c r="H633" s="8" t="str">
        <f>_xlfn.IFNA(INDEX('HS Codes'!$D$2:$K3187,MATCH($B633,'HS Codes'!$A$2:$A3187,0),MATCH(H$1,'HS Codes'!$D$1:$K$1,0)),"")</f>
        <v>6301.40.0020</v>
      </c>
      <c r="I633" s="8">
        <f>_xlfn.IFNA(INDEX('HS Codes'!$D$2:$K3187,MATCH($B633,'HS Codes'!$A$2:$A3187,0),MATCH(I$1,'HS Codes'!$D$1:$K$1,0)),"")</f>
        <v>6301409099</v>
      </c>
      <c r="J633" s="8">
        <f>_xlfn.IFNA(INDEX('HS Codes'!$D$2:$K3187,MATCH($B633,'HS Codes'!$A$2:$A3187,0),MATCH(J$1,'HS Codes'!$D$1:$K$1,0)),"")</f>
        <v>0</v>
      </c>
      <c r="K633" s="8" t="str">
        <f>_xlfn.IFNA(INDEX('HS Codes'!$D$2:$K3187,MATCH($B633,'HS Codes'!$A$2:$A3187,0),MATCH(K$1,'HS Codes'!$D$1:$K$1,0)),"")</f>
        <v>6301.40.00</v>
      </c>
      <c r="L633" s="8">
        <f>_xlfn.IFNA(INDEX('HS Codes'!$D$2:$K3187,MATCH($B633,'HS Codes'!$A$2:$A3187,0),MATCH(L$1,'HS Codes'!$D$1:$K$1,0)),"")</f>
        <v>6301</v>
      </c>
      <c r="M633" s="8" t="str">
        <f>_xlfn.IFNA(INDEX('HS Codes'!$C$2:$C3187,MATCH($B633,'HS Codes'!$A$2:$A3187,0)),"")</f>
        <v>Travelling Rug 100% recycled. BOTTOM: 100% polyester. TOP: 220 GSM/83% polyester/17% polyamide includes cotton on the packing pouch drawstring</v>
      </c>
      <c r="N633" s="9"/>
      <c r="O633" s="9"/>
      <c r="P633" s="9"/>
      <c r="Q633" s="9"/>
    </row>
    <row r="634" spans="1:17" ht="15.75" customHeight="1">
      <c r="A634" s="7" t="s">
        <v>925</v>
      </c>
      <c r="B634" s="7" t="s">
        <v>142</v>
      </c>
      <c r="C634" s="7" t="s">
        <v>278</v>
      </c>
      <c r="D634" s="7" t="s">
        <v>143</v>
      </c>
      <c r="E634" s="7" t="s">
        <v>143</v>
      </c>
      <c r="F634" s="8" t="str">
        <f>_xlfn.IFNA(INDEX('HS Codes'!$D$2:$K3188,MATCH($B634,'HS Codes'!$A$2:$A3188,0),MATCH(F$1,'HS Codes'!$D$1:$K$1,0)),"")</f>
        <v>6101.90.90.30</v>
      </c>
      <c r="G634" s="8">
        <f>_xlfn.IFNA(INDEX('HS Codes'!$D$2:$K3188,MATCH($B634,'HS Codes'!$A$2:$A3188,0),MATCH(G$1,'HS Codes'!$D$1:$K$1,0)),"")</f>
        <v>6101309000</v>
      </c>
      <c r="H634" s="8">
        <f>_xlfn.IFNA(INDEX('HS Codes'!$D$2:$K3188,MATCH($B634,'HS Codes'!$A$2:$A3188,0),MATCH(H$1,'HS Codes'!$D$1:$K$1,0)),"")</f>
        <v>6112399000</v>
      </c>
      <c r="I634" s="8" t="str">
        <f>_xlfn.IFNA(INDEX('HS Codes'!$D$2:$K3188,MATCH($B634,'HS Codes'!$A$2:$A3188,0),MATCH(I$1,'HS Codes'!$D$1:$K$1,0)),"")</f>
        <v>6211 4390 00</v>
      </c>
      <c r="J634" s="8">
        <f>_xlfn.IFNA(INDEX('HS Codes'!$D$2:$K3188,MATCH($B634,'HS Codes'!$A$2:$A3188,0),MATCH(J$1,'HS Codes'!$D$1:$K$1,0)),"")</f>
        <v>6117109000</v>
      </c>
      <c r="K634" s="8" t="str">
        <f>_xlfn.IFNA(INDEX('HS Codes'!$D$2:$K3188,MATCH($B634,'HS Codes'!$A$2:$A3188,0),MATCH(K$1,'HS Codes'!$D$1:$K$1,0)),"")</f>
        <v>6112.39.00</v>
      </c>
      <c r="L634" s="8">
        <f>_xlfn.IFNA(INDEX('HS Codes'!$D$2:$K3188,MATCH($B634,'HS Codes'!$A$2:$A3188,0),MATCH(L$1,'HS Codes'!$D$1:$K$1,0)),"")</f>
        <v>6202</v>
      </c>
      <c r="M634" s="8" t="str">
        <f>_xlfn.IFNA(INDEX('HS Codes'!$C$2:$C3188,MATCH($B634,'HS Codes'!$A$2:$A3188,0)),"")</f>
        <v>Beach Robe or Cloak 100% recycled 220 GSM/83% polyester/17% polyamide includes cotton on the packing pouch drawstring</v>
      </c>
      <c r="N634" s="9"/>
      <c r="O634" s="9"/>
      <c r="P634" s="9"/>
      <c r="Q634" s="9"/>
    </row>
    <row r="635" spans="1:17" ht="15.75" customHeight="1">
      <c r="A635" s="7" t="s">
        <v>926</v>
      </c>
      <c r="B635" s="7" t="s">
        <v>142</v>
      </c>
      <c r="C635" s="7" t="s">
        <v>278</v>
      </c>
      <c r="D635" s="7" t="s">
        <v>143</v>
      </c>
      <c r="E635" s="7" t="s">
        <v>143</v>
      </c>
      <c r="F635" s="8" t="str">
        <f>_xlfn.IFNA(INDEX('HS Codes'!$D$2:$K3189,MATCH($B635,'HS Codes'!$A$2:$A3189,0),MATCH(F$1,'HS Codes'!$D$1:$K$1,0)),"")</f>
        <v>6101.90.90.30</v>
      </c>
      <c r="G635" s="8">
        <f>_xlfn.IFNA(INDEX('HS Codes'!$D$2:$K3189,MATCH($B635,'HS Codes'!$A$2:$A3189,0),MATCH(G$1,'HS Codes'!$D$1:$K$1,0)),"")</f>
        <v>6101309000</v>
      </c>
      <c r="H635" s="8">
        <f>_xlfn.IFNA(INDEX('HS Codes'!$D$2:$K3189,MATCH($B635,'HS Codes'!$A$2:$A3189,0),MATCH(H$1,'HS Codes'!$D$1:$K$1,0)),"")</f>
        <v>6112399000</v>
      </c>
      <c r="I635" s="8" t="str">
        <f>_xlfn.IFNA(INDEX('HS Codes'!$D$2:$K3189,MATCH($B635,'HS Codes'!$A$2:$A3189,0),MATCH(I$1,'HS Codes'!$D$1:$K$1,0)),"")</f>
        <v>6211 4390 00</v>
      </c>
      <c r="J635" s="8">
        <f>_xlfn.IFNA(INDEX('HS Codes'!$D$2:$K3189,MATCH($B635,'HS Codes'!$A$2:$A3189,0),MATCH(J$1,'HS Codes'!$D$1:$K$1,0)),"")</f>
        <v>6117109000</v>
      </c>
      <c r="K635" s="8" t="str">
        <f>_xlfn.IFNA(INDEX('HS Codes'!$D$2:$K3189,MATCH($B635,'HS Codes'!$A$2:$A3189,0),MATCH(K$1,'HS Codes'!$D$1:$K$1,0)),"")</f>
        <v>6112.39.00</v>
      </c>
      <c r="L635" s="8">
        <f>_xlfn.IFNA(INDEX('HS Codes'!$D$2:$K3189,MATCH($B635,'HS Codes'!$A$2:$A3189,0),MATCH(L$1,'HS Codes'!$D$1:$K$1,0)),"")</f>
        <v>6202</v>
      </c>
      <c r="M635" s="8" t="str">
        <f>_xlfn.IFNA(INDEX('HS Codes'!$C$2:$C3189,MATCH($B635,'HS Codes'!$A$2:$A3189,0)),"")</f>
        <v>Beach Robe or Cloak 100% recycled 220 GSM/83% polyester/17% polyamide includes cotton on the packing pouch drawstring</v>
      </c>
      <c r="N635" s="9"/>
      <c r="O635" s="9"/>
      <c r="P635" s="9"/>
      <c r="Q635" s="9"/>
    </row>
    <row r="636" spans="1:17" ht="15.75" customHeight="1">
      <c r="A636" s="7" t="s">
        <v>927</v>
      </c>
      <c r="B636" s="7" t="s">
        <v>142</v>
      </c>
      <c r="C636" s="7" t="s">
        <v>278</v>
      </c>
      <c r="D636" s="7" t="s">
        <v>143</v>
      </c>
      <c r="E636" s="7" t="s">
        <v>143</v>
      </c>
      <c r="F636" s="8" t="str">
        <f>_xlfn.IFNA(INDEX('HS Codes'!$D$2:$K3190,MATCH($B636,'HS Codes'!$A$2:$A3190,0),MATCH(F$1,'HS Codes'!$D$1:$K$1,0)),"")</f>
        <v>6101.90.90.30</v>
      </c>
      <c r="G636" s="8">
        <f>_xlfn.IFNA(INDEX('HS Codes'!$D$2:$K3190,MATCH($B636,'HS Codes'!$A$2:$A3190,0),MATCH(G$1,'HS Codes'!$D$1:$K$1,0)),"")</f>
        <v>6101309000</v>
      </c>
      <c r="H636" s="8">
        <f>_xlfn.IFNA(INDEX('HS Codes'!$D$2:$K3190,MATCH($B636,'HS Codes'!$A$2:$A3190,0),MATCH(H$1,'HS Codes'!$D$1:$K$1,0)),"")</f>
        <v>6112399000</v>
      </c>
      <c r="I636" s="8" t="str">
        <f>_xlfn.IFNA(INDEX('HS Codes'!$D$2:$K3190,MATCH($B636,'HS Codes'!$A$2:$A3190,0),MATCH(I$1,'HS Codes'!$D$1:$K$1,0)),"")</f>
        <v>6211 4390 00</v>
      </c>
      <c r="J636" s="8">
        <f>_xlfn.IFNA(INDEX('HS Codes'!$D$2:$K3190,MATCH($B636,'HS Codes'!$A$2:$A3190,0),MATCH(J$1,'HS Codes'!$D$1:$K$1,0)),"")</f>
        <v>6117109000</v>
      </c>
      <c r="K636" s="8" t="str">
        <f>_xlfn.IFNA(INDEX('HS Codes'!$D$2:$K3190,MATCH($B636,'HS Codes'!$A$2:$A3190,0),MATCH(K$1,'HS Codes'!$D$1:$K$1,0)),"")</f>
        <v>6112.39.00</v>
      </c>
      <c r="L636" s="8">
        <f>_xlfn.IFNA(INDEX('HS Codes'!$D$2:$K3190,MATCH($B636,'HS Codes'!$A$2:$A3190,0),MATCH(L$1,'HS Codes'!$D$1:$K$1,0)),"")</f>
        <v>6202</v>
      </c>
      <c r="M636" s="8" t="str">
        <f>_xlfn.IFNA(INDEX('HS Codes'!$C$2:$C3190,MATCH($B636,'HS Codes'!$A$2:$A3190,0)),"")</f>
        <v>Beach Robe or Cloak 100% recycled 220 GSM/83% polyester/17% polyamide includes cotton on the packing pouch drawstring</v>
      </c>
      <c r="N636" s="9"/>
      <c r="O636" s="9"/>
      <c r="P636" s="9"/>
      <c r="Q636" s="9"/>
    </row>
    <row r="637" spans="1:17" ht="15.75" customHeight="1">
      <c r="A637" s="7" t="s">
        <v>928</v>
      </c>
      <c r="B637" s="7" t="s">
        <v>142</v>
      </c>
      <c r="C637" s="7" t="s">
        <v>278</v>
      </c>
      <c r="D637" s="7" t="s">
        <v>143</v>
      </c>
      <c r="E637" s="7" t="s">
        <v>143</v>
      </c>
      <c r="F637" s="8" t="str">
        <f>_xlfn.IFNA(INDEX('HS Codes'!$D$2:$K3191,MATCH($B637,'HS Codes'!$A$2:$A3191,0),MATCH(F$1,'HS Codes'!$D$1:$K$1,0)),"")</f>
        <v>6101.90.90.30</v>
      </c>
      <c r="G637" s="8">
        <f>_xlfn.IFNA(INDEX('HS Codes'!$D$2:$K3191,MATCH($B637,'HS Codes'!$A$2:$A3191,0),MATCH(G$1,'HS Codes'!$D$1:$K$1,0)),"")</f>
        <v>6101309000</v>
      </c>
      <c r="H637" s="8">
        <f>_xlfn.IFNA(INDEX('HS Codes'!$D$2:$K3191,MATCH($B637,'HS Codes'!$A$2:$A3191,0),MATCH(H$1,'HS Codes'!$D$1:$K$1,0)),"")</f>
        <v>6112399000</v>
      </c>
      <c r="I637" s="8" t="str">
        <f>_xlfn.IFNA(INDEX('HS Codes'!$D$2:$K3191,MATCH($B637,'HS Codes'!$A$2:$A3191,0),MATCH(I$1,'HS Codes'!$D$1:$K$1,0)),"")</f>
        <v>6211 4390 00</v>
      </c>
      <c r="J637" s="8">
        <f>_xlfn.IFNA(INDEX('HS Codes'!$D$2:$K3191,MATCH($B637,'HS Codes'!$A$2:$A3191,0),MATCH(J$1,'HS Codes'!$D$1:$K$1,0)),"")</f>
        <v>6117109000</v>
      </c>
      <c r="K637" s="8" t="str">
        <f>_xlfn.IFNA(INDEX('HS Codes'!$D$2:$K3191,MATCH($B637,'HS Codes'!$A$2:$A3191,0),MATCH(K$1,'HS Codes'!$D$1:$K$1,0)),"")</f>
        <v>6112.39.00</v>
      </c>
      <c r="L637" s="8">
        <f>_xlfn.IFNA(INDEX('HS Codes'!$D$2:$K3191,MATCH($B637,'HS Codes'!$A$2:$A3191,0),MATCH(L$1,'HS Codes'!$D$1:$K$1,0)),"")</f>
        <v>6202</v>
      </c>
      <c r="M637" s="8" t="str">
        <f>_xlfn.IFNA(INDEX('HS Codes'!$C$2:$C3191,MATCH($B637,'HS Codes'!$A$2:$A3191,0)),"")</f>
        <v>Beach Robe or Cloak 100% recycled 220 GSM/83% polyester/17% polyamide includes cotton on the packing pouch drawstring</v>
      </c>
      <c r="N637" s="9"/>
      <c r="O637" s="9"/>
      <c r="P637" s="9"/>
      <c r="Q637" s="9"/>
    </row>
    <row r="638" spans="1:17" ht="15.75" customHeight="1">
      <c r="A638" s="7" t="s">
        <v>929</v>
      </c>
      <c r="B638" s="7" t="s">
        <v>142</v>
      </c>
      <c r="C638" s="7" t="s">
        <v>278</v>
      </c>
      <c r="D638" s="7" t="s">
        <v>143</v>
      </c>
      <c r="E638" s="7" t="s">
        <v>143</v>
      </c>
      <c r="F638" s="8" t="str">
        <f>_xlfn.IFNA(INDEX('HS Codes'!$D$2:$K3192,MATCH($B638,'HS Codes'!$A$2:$A3192,0),MATCH(F$1,'HS Codes'!$D$1:$K$1,0)),"")</f>
        <v>6101.90.90.30</v>
      </c>
      <c r="G638" s="8">
        <f>_xlfn.IFNA(INDEX('HS Codes'!$D$2:$K3192,MATCH($B638,'HS Codes'!$A$2:$A3192,0),MATCH(G$1,'HS Codes'!$D$1:$K$1,0)),"")</f>
        <v>6101309000</v>
      </c>
      <c r="H638" s="8">
        <f>_xlfn.IFNA(INDEX('HS Codes'!$D$2:$K3192,MATCH($B638,'HS Codes'!$A$2:$A3192,0),MATCH(H$1,'HS Codes'!$D$1:$K$1,0)),"")</f>
        <v>6112399000</v>
      </c>
      <c r="I638" s="8" t="str">
        <f>_xlfn.IFNA(INDEX('HS Codes'!$D$2:$K3192,MATCH($B638,'HS Codes'!$A$2:$A3192,0),MATCH(I$1,'HS Codes'!$D$1:$K$1,0)),"")</f>
        <v>6211 4390 00</v>
      </c>
      <c r="J638" s="8">
        <f>_xlfn.IFNA(INDEX('HS Codes'!$D$2:$K3192,MATCH($B638,'HS Codes'!$A$2:$A3192,0),MATCH(J$1,'HS Codes'!$D$1:$K$1,0)),"")</f>
        <v>6117109000</v>
      </c>
      <c r="K638" s="8" t="str">
        <f>_xlfn.IFNA(INDEX('HS Codes'!$D$2:$K3192,MATCH($B638,'HS Codes'!$A$2:$A3192,0),MATCH(K$1,'HS Codes'!$D$1:$K$1,0)),"")</f>
        <v>6112.39.00</v>
      </c>
      <c r="L638" s="8">
        <f>_xlfn.IFNA(INDEX('HS Codes'!$D$2:$K3192,MATCH($B638,'HS Codes'!$A$2:$A3192,0),MATCH(L$1,'HS Codes'!$D$1:$K$1,0)),"")</f>
        <v>6202</v>
      </c>
      <c r="M638" s="8" t="str">
        <f>_xlfn.IFNA(INDEX('HS Codes'!$C$2:$C3192,MATCH($B638,'HS Codes'!$A$2:$A3192,0)),"")</f>
        <v>Beach Robe or Cloak 100% recycled 220 GSM/83% polyester/17% polyamide includes cotton on the packing pouch drawstring</v>
      </c>
      <c r="N638" s="9"/>
      <c r="O638" s="9"/>
      <c r="P638" s="9"/>
      <c r="Q638" s="9"/>
    </row>
    <row r="639" spans="1:17" ht="15.75" customHeight="1">
      <c r="A639" s="7" t="s">
        <v>930</v>
      </c>
      <c r="B639" s="7" t="s">
        <v>142</v>
      </c>
      <c r="C639" s="7" t="s">
        <v>278</v>
      </c>
      <c r="D639" s="7" t="s">
        <v>143</v>
      </c>
      <c r="E639" s="7" t="s">
        <v>143</v>
      </c>
      <c r="F639" s="8" t="str">
        <f>_xlfn.IFNA(INDEX('HS Codes'!$D$2:$K3193,MATCH($B639,'HS Codes'!$A$2:$A3193,0),MATCH(F$1,'HS Codes'!$D$1:$K$1,0)),"")</f>
        <v>6101.90.90.30</v>
      </c>
      <c r="G639" s="8">
        <f>_xlfn.IFNA(INDEX('HS Codes'!$D$2:$K3193,MATCH($B639,'HS Codes'!$A$2:$A3193,0),MATCH(G$1,'HS Codes'!$D$1:$K$1,0)),"")</f>
        <v>6101309000</v>
      </c>
      <c r="H639" s="8">
        <f>_xlfn.IFNA(INDEX('HS Codes'!$D$2:$K3193,MATCH($B639,'HS Codes'!$A$2:$A3193,0),MATCH(H$1,'HS Codes'!$D$1:$K$1,0)),"")</f>
        <v>6112399000</v>
      </c>
      <c r="I639" s="8" t="str">
        <f>_xlfn.IFNA(INDEX('HS Codes'!$D$2:$K3193,MATCH($B639,'HS Codes'!$A$2:$A3193,0),MATCH(I$1,'HS Codes'!$D$1:$K$1,0)),"")</f>
        <v>6211 4390 00</v>
      </c>
      <c r="J639" s="8">
        <f>_xlfn.IFNA(INDEX('HS Codes'!$D$2:$K3193,MATCH($B639,'HS Codes'!$A$2:$A3193,0),MATCH(J$1,'HS Codes'!$D$1:$K$1,0)),"")</f>
        <v>6117109000</v>
      </c>
      <c r="K639" s="8" t="str">
        <f>_xlfn.IFNA(INDEX('HS Codes'!$D$2:$K3193,MATCH($B639,'HS Codes'!$A$2:$A3193,0),MATCH(K$1,'HS Codes'!$D$1:$K$1,0)),"")</f>
        <v>6112.39.00</v>
      </c>
      <c r="L639" s="8">
        <f>_xlfn.IFNA(INDEX('HS Codes'!$D$2:$K3193,MATCH($B639,'HS Codes'!$A$2:$A3193,0),MATCH(L$1,'HS Codes'!$D$1:$K$1,0)),"")</f>
        <v>6202</v>
      </c>
      <c r="M639" s="8" t="str">
        <f>_xlfn.IFNA(INDEX('HS Codes'!$C$2:$C3193,MATCH($B639,'HS Codes'!$A$2:$A3193,0)),"")</f>
        <v>Beach Robe or Cloak 100% recycled 220 GSM/83% polyester/17% polyamide includes cotton on the packing pouch drawstring</v>
      </c>
      <c r="N639" s="9"/>
      <c r="O639" s="9"/>
      <c r="P639" s="9"/>
      <c r="Q639" s="9"/>
    </row>
    <row r="640" spans="1:17" ht="15.75" customHeight="1">
      <c r="A640" s="7" t="s">
        <v>931</v>
      </c>
      <c r="B640" s="7" t="s">
        <v>142</v>
      </c>
      <c r="C640" s="7" t="s">
        <v>278</v>
      </c>
      <c r="D640" s="7" t="s">
        <v>143</v>
      </c>
      <c r="E640" s="7" t="s">
        <v>143</v>
      </c>
      <c r="F640" s="8" t="str">
        <f>_xlfn.IFNA(INDEX('HS Codes'!$D$2:$K3194,MATCH($B640,'HS Codes'!$A$2:$A3194,0),MATCH(F$1,'HS Codes'!$D$1:$K$1,0)),"")</f>
        <v>6101.90.90.30</v>
      </c>
      <c r="G640" s="8">
        <f>_xlfn.IFNA(INDEX('HS Codes'!$D$2:$K3194,MATCH($B640,'HS Codes'!$A$2:$A3194,0),MATCH(G$1,'HS Codes'!$D$1:$K$1,0)),"")</f>
        <v>6101309000</v>
      </c>
      <c r="H640" s="8">
        <f>_xlfn.IFNA(INDEX('HS Codes'!$D$2:$K3194,MATCH($B640,'HS Codes'!$A$2:$A3194,0),MATCH(H$1,'HS Codes'!$D$1:$K$1,0)),"")</f>
        <v>6112399000</v>
      </c>
      <c r="I640" s="8" t="str">
        <f>_xlfn.IFNA(INDEX('HS Codes'!$D$2:$K3194,MATCH($B640,'HS Codes'!$A$2:$A3194,0),MATCH(I$1,'HS Codes'!$D$1:$K$1,0)),"")</f>
        <v>6211 4390 00</v>
      </c>
      <c r="J640" s="8">
        <f>_xlfn.IFNA(INDEX('HS Codes'!$D$2:$K3194,MATCH($B640,'HS Codes'!$A$2:$A3194,0),MATCH(J$1,'HS Codes'!$D$1:$K$1,0)),"")</f>
        <v>6117109000</v>
      </c>
      <c r="K640" s="8" t="str">
        <f>_xlfn.IFNA(INDEX('HS Codes'!$D$2:$K3194,MATCH($B640,'HS Codes'!$A$2:$A3194,0),MATCH(K$1,'HS Codes'!$D$1:$K$1,0)),"")</f>
        <v>6112.39.00</v>
      </c>
      <c r="L640" s="8">
        <f>_xlfn.IFNA(INDEX('HS Codes'!$D$2:$K3194,MATCH($B640,'HS Codes'!$A$2:$A3194,0),MATCH(L$1,'HS Codes'!$D$1:$K$1,0)),"")</f>
        <v>6202</v>
      </c>
      <c r="M640" s="8" t="str">
        <f>_xlfn.IFNA(INDEX('HS Codes'!$C$2:$C3194,MATCH($B640,'HS Codes'!$A$2:$A3194,0)),"")</f>
        <v>Beach Robe or Cloak 100% recycled 220 GSM/83% polyester/17% polyamide includes cotton on the packing pouch drawstring</v>
      </c>
      <c r="N640" s="9"/>
      <c r="O640" s="9"/>
      <c r="P640" s="9"/>
      <c r="Q640" s="9"/>
    </row>
    <row r="641" spans="1:17" ht="15.75" customHeight="1">
      <c r="A641" s="7" t="s">
        <v>932</v>
      </c>
      <c r="B641" s="7" t="s">
        <v>142</v>
      </c>
      <c r="C641" s="7" t="s">
        <v>278</v>
      </c>
      <c r="D641" s="7" t="s">
        <v>143</v>
      </c>
      <c r="E641" s="7" t="s">
        <v>143</v>
      </c>
      <c r="F641" s="8" t="str">
        <f>_xlfn.IFNA(INDEX('HS Codes'!$D$2:$K3195,MATCH($B641,'HS Codes'!$A$2:$A3195,0),MATCH(F$1,'HS Codes'!$D$1:$K$1,0)),"")</f>
        <v>6101.90.90.30</v>
      </c>
      <c r="G641" s="8">
        <f>_xlfn.IFNA(INDEX('HS Codes'!$D$2:$K3195,MATCH($B641,'HS Codes'!$A$2:$A3195,0),MATCH(G$1,'HS Codes'!$D$1:$K$1,0)),"")</f>
        <v>6101309000</v>
      </c>
      <c r="H641" s="8">
        <f>_xlfn.IFNA(INDEX('HS Codes'!$D$2:$K3195,MATCH($B641,'HS Codes'!$A$2:$A3195,0),MATCH(H$1,'HS Codes'!$D$1:$K$1,0)),"")</f>
        <v>6112399000</v>
      </c>
      <c r="I641" s="8" t="str">
        <f>_xlfn.IFNA(INDEX('HS Codes'!$D$2:$K3195,MATCH($B641,'HS Codes'!$A$2:$A3195,0),MATCH(I$1,'HS Codes'!$D$1:$K$1,0)),"")</f>
        <v>6211 4390 00</v>
      </c>
      <c r="J641" s="8">
        <f>_xlfn.IFNA(INDEX('HS Codes'!$D$2:$K3195,MATCH($B641,'HS Codes'!$A$2:$A3195,0),MATCH(J$1,'HS Codes'!$D$1:$K$1,0)),"")</f>
        <v>6117109000</v>
      </c>
      <c r="K641" s="8" t="str">
        <f>_xlfn.IFNA(INDEX('HS Codes'!$D$2:$K3195,MATCH($B641,'HS Codes'!$A$2:$A3195,0),MATCH(K$1,'HS Codes'!$D$1:$K$1,0)),"")</f>
        <v>6112.39.00</v>
      </c>
      <c r="L641" s="8">
        <f>_xlfn.IFNA(INDEX('HS Codes'!$D$2:$K3195,MATCH($B641,'HS Codes'!$A$2:$A3195,0),MATCH(L$1,'HS Codes'!$D$1:$K$1,0)),"")</f>
        <v>6202</v>
      </c>
      <c r="M641" s="8" t="str">
        <f>_xlfn.IFNA(INDEX('HS Codes'!$C$2:$C3195,MATCH($B641,'HS Codes'!$A$2:$A3195,0)),"")</f>
        <v>Beach Robe or Cloak 100% recycled 220 GSM/83% polyester/17% polyamide includes cotton on the packing pouch drawstring</v>
      </c>
      <c r="N641" s="9"/>
      <c r="O641" s="9"/>
      <c r="P641" s="9"/>
      <c r="Q641" s="9"/>
    </row>
    <row r="642" spans="1:17" ht="15.75" customHeight="1">
      <c r="A642" s="7" t="s">
        <v>933</v>
      </c>
      <c r="B642" s="7" t="s">
        <v>142</v>
      </c>
      <c r="C642" s="7" t="s">
        <v>278</v>
      </c>
      <c r="D642" s="7" t="s">
        <v>143</v>
      </c>
      <c r="E642" s="7" t="s">
        <v>143</v>
      </c>
      <c r="F642" s="8" t="str">
        <f>_xlfn.IFNA(INDEX('HS Codes'!$D$2:$K3196,MATCH($B642,'HS Codes'!$A$2:$A3196,0),MATCH(F$1,'HS Codes'!$D$1:$K$1,0)),"")</f>
        <v>6101.90.90.30</v>
      </c>
      <c r="G642" s="8">
        <f>_xlfn.IFNA(INDEX('HS Codes'!$D$2:$K3196,MATCH($B642,'HS Codes'!$A$2:$A3196,0),MATCH(G$1,'HS Codes'!$D$1:$K$1,0)),"")</f>
        <v>6101309000</v>
      </c>
      <c r="H642" s="8">
        <f>_xlfn.IFNA(INDEX('HS Codes'!$D$2:$K3196,MATCH($B642,'HS Codes'!$A$2:$A3196,0),MATCH(H$1,'HS Codes'!$D$1:$K$1,0)),"")</f>
        <v>6112399000</v>
      </c>
      <c r="I642" s="8" t="str">
        <f>_xlfn.IFNA(INDEX('HS Codes'!$D$2:$K3196,MATCH($B642,'HS Codes'!$A$2:$A3196,0),MATCH(I$1,'HS Codes'!$D$1:$K$1,0)),"")</f>
        <v>6211 4390 00</v>
      </c>
      <c r="J642" s="8">
        <f>_xlfn.IFNA(INDEX('HS Codes'!$D$2:$K3196,MATCH($B642,'HS Codes'!$A$2:$A3196,0),MATCH(J$1,'HS Codes'!$D$1:$K$1,0)),"")</f>
        <v>6117109000</v>
      </c>
      <c r="K642" s="8" t="str">
        <f>_xlfn.IFNA(INDEX('HS Codes'!$D$2:$K3196,MATCH($B642,'HS Codes'!$A$2:$A3196,0),MATCH(K$1,'HS Codes'!$D$1:$K$1,0)),"")</f>
        <v>6112.39.00</v>
      </c>
      <c r="L642" s="8">
        <f>_xlfn.IFNA(INDEX('HS Codes'!$D$2:$K3196,MATCH($B642,'HS Codes'!$A$2:$A3196,0),MATCH(L$1,'HS Codes'!$D$1:$K$1,0)),"")</f>
        <v>6202</v>
      </c>
      <c r="M642" s="8" t="str">
        <f>_xlfn.IFNA(INDEX('HS Codes'!$C$2:$C3196,MATCH($B642,'HS Codes'!$A$2:$A3196,0)),"")</f>
        <v>Beach Robe or Cloak 100% recycled 220 GSM/83% polyester/17% polyamide includes cotton on the packing pouch drawstring</v>
      </c>
      <c r="N642" s="9"/>
      <c r="O642" s="9"/>
      <c r="P642" s="9"/>
      <c r="Q642" s="9"/>
    </row>
    <row r="643" spans="1:17" ht="15.75" customHeight="1">
      <c r="A643" s="7" t="s">
        <v>934</v>
      </c>
      <c r="B643" s="7" t="s">
        <v>142</v>
      </c>
      <c r="C643" s="7" t="s">
        <v>278</v>
      </c>
      <c r="D643" s="7" t="s">
        <v>143</v>
      </c>
      <c r="E643" s="7" t="s">
        <v>143</v>
      </c>
      <c r="F643" s="8" t="str">
        <f>_xlfn.IFNA(INDEX('HS Codes'!$D$2:$K3197,MATCH($B643,'HS Codes'!$A$2:$A3197,0),MATCH(F$1,'HS Codes'!$D$1:$K$1,0)),"")</f>
        <v>6101.90.90.30</v>
      </c>
      <c r="G643" s="8">
        <f>_xlfn.IFNA(INDEX('HS Codes'!$D$2:$K3197,MATCH($B643,'HS Codes'!$A$2:$A3197,0),MATCH(G$1,'HS Codes'!$D$1:$K$1,0)),"")</f>
        <v>6101309000</v>
      </c>
      <c r="H643" s="8">
        <f>_xlfn.IFNA(INDEX('HS Codes'!$D$2:$K3197,MATCH($B643,'HS Codes'!$A$2:$A3197,0),MATCH(H$1,'HS Codes'!$D$1:$K$1,0)),"")</f>
        <v>6112399000</v>
      </c>
      <c r="I643" s="8" t="str">
        <f>_xlfn.IFNA(INDEX('HS Codes'!$D$2:$K3197,MATCH($B643,'HS Codes'!$A$2:$A3197,0),MATCH(I$1,'HS Codes'!$D$1:$K$1,0)),"")</f>
        <v>6211 4390 00</v>
      </c>
      <c r="J643" s="8">
        <f>_xlfn.IFNA(INDEX('HS Codes'!$D$2:$K3197,MATCH($B643,'HS Codes'!$A$2:$A3197,0),MATCH(J$1,'HS Codes'!$D$1:$K$1,0)),"")</f>
        <v>6117109000</v>
      </c>
      <c r="K643" s="8" t="str">
        <f>_xlfn.IFNA(INDEX('HS Codes'!$D$2:$K3197,MATCH($B643,'HS Codes'!$A$2:$A3197,0),MATCH(K$1,'HS Codes'!$D$1:$K$1,0)),"")</f>
        <v>6112.39.00</v>
      </c>
      <c r="L643" s="8">
        <f>_xlfn.IFNA(INDEX('HS Codes'!$D$2:$K3197,MATCH($B643,'HS Codes'!$A$2:$A3197,0),MATCH(L$1,'HS Codes'!$D$1:$K$1,0)),"")</f>
        <v>6202</v>
      </c>
      <c r="M643" s="8" t="str">
        <f>_xlfn.IFNA(INDEX('HS Codes'!$C$2:$C3197,MATCH($B643,'HS Codes'!$A$2:$A3197,0)),"")</f>
        <v>Beach Robe or Cloak 100% recycled 220 GSM/83% polyester/17% polyamide includes cotton on the packing pouch drawstring</v>
      </c>
      <c r="N643" s="9"/>
      <c r="O643" s="9"/>
      <c r="P643" s="9"/>
      <c r="Q643" s="9"/>
    </row>
    <row r="644" spans="1:17" ht="15.75" customHeight="1">
      <c r="A644" s="7" t="s">
        <v>935</v>
      </c>
      <c r="B644" s="7" t="s">
        <v>142</v>
      </c>
      <c r="C644" s="7" t="s">
        <v>278</v>
      </c>
      <c r="D644" s="7" t="s">
        <v>143</v>
      </c>
      <c r="E644" s="7" t="s">
        <v>143</v>
      </c>
      <c r="F644" s="8" t="str">
        <f>_xlfn.IFNA(INDEX('HS Codes'!$D$2:$K3198,MATCH($B644,'HS Codes'!$A$2:$A3198,0),MATCH(F$1,'HS Codes'!$D$1:$K$1,0)),"")</f>
        <v>6101.90.90.30</v>
      </c>
      <c r="G644" s="8">
        <f>_xlfn.IFNA(INDEX('HS Codes'!$D$2:$K3198,MATCH($B644,'HS Codes'!$A$2:$A3198,0),MATCH(G$1,'HS Codes'!$D$1:$K$1,0)),"")</f>
        <v>6101309000</v>
      </c>
      <c r="H644" s="8">
        <f>_xlfn.IFNA(INDEX('HS Codes'!$D$2:$K3198,MATCH($B644,'HS Codes'!$A$2:$A3198,0),MATCH(H$1,'HS Codes'!$D$1:$K$1,0)),"")</f>
        <v>6112399000</v>
      </c>
      <c r="I644" s="8" t="str">
        <f>_xlfn.IFNA(INDEX('HS Codes'!$D$2:$K3198,MATCH($B644,'HS Codes'!$A$2:$A3198,0),MATCH(I$1,'HS Codes'!$D$1:$K$1,0)),"")</f>
        <v>6211 4390 00</v>
      </c>
      <c r="J644" s="8">
        <f>_xlfn.IFNA(INDEX('HS Codes'!$D$2:$K3198,MATCH($B644,'HS Codes'!$A$2:$A3198,0),MATCH(J$1,'HS Codes'!$D$1:$K$1,0)),"")</f>
        <v>6117109000</v>
      </c>
      <c r="K644" s="8" t="str">
        <f>_xlfn.IFNA(INDEX('HS Codes'!$D$2:$K3198,MATCH($B644,'HS Codes'!$A$2:$A3198,0),MATCH(K$1,'HS Codes'!$D$1:$K$1,0)),"")</f>
        <v>6112.39.00</v>
      </c>
      <c r="L644" s="8">
        <f>_xlfn.IFNA(INDEX('HS Codes'!$D$2:$K3198,MATCH($B644,'HS Codes'!$A$2:$A3198,0),MATCH(L$1,'HS Codes'!$D$1:$K$1,0)),"")</f>
        <v>6202</v>
      </c>
      <c r="M644" s="8" t="str">
        <f>_xlfn.IFNA(INDEX('HS Codes'!$C$2:$C3198,MATCH($B644,'HS Codes'!$A$2:$A3198,0)),"")</f>
        <v>Beach Robe or Cloak 100% recycled 220 GSM/83% polyester/17% polyamide includes cotton on the packing pouch drawstring</v>
      </c>
      <c r="N644" s="9"/>
      <c r="O644" s="9"/>
      <c r="P644" s="9"/>
      <c r="Q644" s="9"/>
    </row>
    <row r="645" spans="1:17" ht="15.75" customHeight="1">
      <c r="A645" s="7" t="s">
        <v>936</v>
      </c>
      <c r="B645" s="7" t="s">
        <v>142</v>
      </c>
      <c r="C645" s="7" t="s">
        <v>278</v>
      </c>
      <c r="D645" s="7" t="s">
        <v>143</v>
      </c>
      <c r="E645" s="7" t="s">
        <v>143</v>
      </c>
      <c r="F645" s="8" t="str">
        <f>_xlfn.IFNA(INDEX('HS Codes'!$D$2:$K3199,MATCH($B645,'HS Codes'!$A$2:$A3199,0),MATCH(F$1,'HS Codes'!$D$1:$K$1,0)),"")</f>
        <v>6101.90.90.30</v>
      </c>
      <c r="G645" s="8">
        <f>_xlfn.IFNA(INDEX('HS Codes'!$D$2:$K3199,MATCH($B645,'HS Codes'!$A$2:$A3199,0),MATCH(G$1,'HS Codes'!$D$1:$K$1,0)),"")</f>
        <v>6101309000</v>
      </c>
      <c r="H645" s="8">
        <f>_xlfn.IFNA(INDEX('HS Codes'!$D$2:$K3199,MATCH($B645,'HS Codes'!$A$2:$A3199,0),MATCH(H$1,'HS Codes'!$D$1:$K$1,0)),"")</f>
        <v>6112399000</v>
      </c>
      <c r="I645" s="8" t="str">
        <f>_xlfn.IFNA(INDEX('HS Codes'!$D$2:$K3199,MATCH($B645,'HS Codes'!$A$2:$A3199,0),MATCH(I$1,'HS Codes'!$D$1:$K$1,0)),"")</f>
        <v>6211 4390 00</v>
      </c>
      <c r="J645" s="8">
        <f>_xlfn.IFNA(INDEX('HS Codes'!$D$2:$K3199,MATCH($B645,'HS Codes'!$A$2:$A3199,0),MATCH(J$1,'HS Codes'!$D$1:$K$1,0)),"")</f>
        <v>6117109000</v>
      </c>
      <c r="K645" s="8" t="str">
        <f>_xlfn.IFNA(INDEX('HS Codes'!$D$2:$K3199,MATCH($B645,'HS Codes'!$A$2:$A3199,0),MATCH(K$1,'HS Codes'!$D$1:$K$1,0)),"")</f>
        <v>6112.39.00</v>
      </c>
      <c r="L645" s="8">
        <f>_xlfn.IFNA(INDEX('HS Codes'!$D$2:$K3199,MATCH($B645,'HS Codes'!$A$2:$A3199,0),MATCH(L$1,'HS Codes'!$D$1:$K$1,0)),"")</f>
        <v>6202</v>
      </c>
      <c r="M645" s="8" t="str">
        <f>_xlfn.IFNA(INDEX('HS Codes'!$C$2:$C3199,MATCH($B645,'HS Codes'!$A$2:$A3199,0)),"")</f>
        <v>Beach Robe or Cloak 100% recycled 220 GSM/83% polyester/17% polyamide includes cotton on the packing pouch drawstring</v>
      </c>
      <c r="N645" s="9"/>
      <c r="O645" s="9"/>
      <c r="P645" s="9"/>
      <c r="Q645" s="9"/>
    </row>
    <row r="646" spans="1:17" ht="15.75" customHeight="1">
      <c r="A646" s="7" t="s">
        <v>937</v>
      </c>
      <c r="B646" s="7" t="s">
        <v>142</v>
      </c>
      <c r="C646" s="7" t="s">
        <v>278</v>
      </c>
      <c r="D646" s="7" t="s">
        <v>143</v>
      </c>
      <c r="E646" s="7" t="s">
        <v>143</v>
      </c>
      <c r="F646" s="8" t="str">
        <f>_xlfn.IFNA(INDEX('HS Codes'!$D$2:$K3200,MATCH($B646,'HS Codes'!$A$2:$A3200,0),MATCH(F$1,'HS Codes'!$D$1:$K$1,0)),"")</f>
        <v>6101.90.90.30</v>
      </c>
      <c r="G646" s="8">
        <f>_xlfn.IFNA(INDEX('HS Codes'!$D$2:$K3200,MATCH($B646,'HS Codes'!$A$2:$A3200,0),MATCH(G$1,'HS Codes'!$D$1:$K$1,0)),"")</f>
        <v>6101309000</v>
      </c>
      <c r="H646" s="8">
        <f>_xlfn.IFNA(INDEX('HS Codes'!$D$2:$K3200,MATCH($B646,'HS Codes'!$A$2:$A3200,0),MATCH(H$1,'HS Codes'!$D$1:$K$1,0)),"")</f>
        <v>6112399000</v>
      </c>
      <c r="I646" s="8" t="str">
        <f>_xlfn.IFNA(INDEX('HS Codes'!$D$2:$K3200,MATCH($B646,'HS Codes'!$A$2:$A3200,0),MATCH(I$1,'HS Codes'!$D$1:$K$1,0)),"")</f>
        <v>6211 4390 00</v>
      </c>
      <c r="J646" s="8">
        <f>_xlfn.IFNA(INDEX('HS Codes'!$D$2:$K3200,MATCH($B646,'HS Codes'!$A$2:$A3200,0),MATCH(J$1,'HS Codes'!$D$1:$K$1,0)),"")</f>
        <v>6117109000</v>
      </c>
      <c r="K646" s="8" t="str">
        <f>_xlfn.IFNA(INDEX('HS Codes'!$D$2:$K3200,MATCH($B646,'HS Codes'!$A$2:$A3200,0),MATCH(K$1,'HS Codes'!$D$1:$K$1,0)),"")</f>
        <v>6112.39.00</v>
      </c>
      <c r="L646" s="8">
        <f>_xlfn.IFNA(INDEX('HS Codes'!$D$2:$K3200,MATCH($B646,'HS Codes'!$A$2:$A3200,0),MATCH(L$1,'HS Codes'!$D$1:$K$1,0)),"")</f>
        <v>6202</v>
      </c>
      <c r="M646" s="8" t="str">
        <f>_xlfn.IFNA(INDEX('HS Codes'!$C$2:$C3200,MATCH($B646,'HS Codes'!$A$2:$A3200,0)),"")</f>
        <v>Beach Robe or Cloak 100% recycled 220 GSM/83% polyester/17% polyamide includes cotton on the packing pouch drawstring</v>
      </c>
      <c r="N646" s="9"/>
      <c r="O646" s="9"/>
      <c r="P646" s="9"/>
      <c r="Q646" s="9"/>
    </row>
    <row r="647" spans="1:17" ht="15.75" customHeight="1">
      <c r="A647" s="7" t="s">
        <v>938</v>
      </c>
      <c r="B647" s="7" t="s">
        <v>142</v>
      </c>
      <c r="C647" s="7" t="s">
        <v>278</v>
      </c>
      <c r="D647" s="7" t="s">
        <v>143</v>
      </c>
      <c r="E647" s="7" t="s">
        <v>143</v>
      </c>
      <c r="F647" s="8" t="str">
        <f>_xlfn.IFNA(INDEX('HS Codes'!$D$2:$K3201,MATCH($B647,'HS Codes'!$A$2:$A3201,0),MATCH(F$1,'HS Codes'!$D$1:$K$1,0)),"")</f>
        <v>6101.90.90.30</v>
      </c>
      <c r="G647" s="8">
        <f>_xlfn.IFNA(INDEX('HS Codes'!$D$2:$K3201,MATCH($B647,'HS Codes'!$A$2:$A3201,0),MATCH(G$1,'HS Codes'!$D$1:$K$1,0)),"")</f>
        <v>6101309000</v>
      </c>
      <c r="H647" s="8">
        <f>_xlfn.IFNA(INDEX('HS Codes'!$D$2:$K3201,MATCH($B647,'HS Codes'!$A$2:$A3201,0),MATCH(H$1,'HS Codes'!$D$1:$K$1,0)),"")</f>
        <v>6112399000</v>
      </c>
      <c r="I647" s="8" t="str">
        <f>_xlfn.IFNA(INDEX('HS Codes'!$D$2:$K3201,MATCH($B647,'HS Codes'!$A$2:$A3201,0),MATCH(I$1,'HS Codes'!$D$1:$K$1,0)),"")</f>
        <v>6211 4390 00</v>
      </c>
      <c r="J647" s="8">
        <f>_xlfn.IFNA(INDEX('HS Codes'!$D$2:$K3201,MATCH($B647,'HS Codes'!$A$2:$A3201,0),MATCH(J$1,'HS Codes'!$D$1:$K$1,0)),"")</f>
        <v>6117109000</v>
      </c>
      <c r="K647" s="8" t="str">
        <f>_xlfn.IFNA(INDEX('HS Codes'!$D$2:$K3201,MATCH($B647,'HS Codes'!$A$2:$A3201,0),MATCH(K$1,'HS Codes'!$D$1:$K$1,0)),"")</f>
        <v>6112.39.00</v>
      </c>
      <c r="L647" s="8">
        <f>_xlfn.IFNA(INDEX('HS Codes'!$D$2:$K3201,MATCH($B647,'HS Codes'!$A$2:$A3201,0),MATCH(L$1,'HS Codes'!$D$1:$K$1,0)),"")</f>
        <v>6202</v>
      </c>
      <c r="M647" s="8" t="str">
        <f>_xlfn.IFNA(INDEX('HS Codes'!$C$2:$C3201,MATCH($B647,'HS Codes'!$A$2:$A3201,0)),"")</f>
        <v>Beach Robe or Cloak 100% recycled 220 GSM/83% polyester/17% polyamide includes cotton on the packing pouch drawstring</v>
      </c>
      <c r="N647" s="9"/>
      <c r="O647" s="9"/>
      <c r="P647" s="9"/>
      <c r="Q647" s="9"/>
    </row>
    <row r="648" spans="1:17" ht="15.75" customHeight="1">
      <c r="A648" s="7" t="s">
        <v>939</v>
      </c>
      <c r="B648" s="7" t="s">
        <v>142</v>
      </c>
      <c r="C648" s="7" t="s">
        <v>278</v>
      </c>
      <c r="D648" s="7" t="s">
        <v>143</v>
      </c>
      <c r="E648" s="7" t="s">
        <v>143</v>
      </c>
      <c r="F648" s="8" t="str">
        <f>_xlfn.IFNA(INDEX('HS Codes'!$D$2:$K3202,MATCH($B648,'HS Codes'!$A$2:$A3202,0),MATCH(F$1,'HS Codes'!$D$1:$K$1,0)),"")</f>
        <v>6101.90.90.30</v>
      </c>
      <c r="G648" s="8">
        <f>_xlfn.IFNA(INDEX('HS Codes'!$D$2:$K3202,MATCH($B648,'HS Codes'!$A$2:$A3202,0),MATCH(G$1,'HS Codes'!$D$1:$K$1,0)),"")</f>
        <v>6101309000</v>
      </c>
      <c r="H648" s="8">
        <f>_xlfn.IFNA(INDEX('HS Codes'!$D$2:$K3202,MATCH($B648,'HS Codes'!$A$2:$A3202,0),MATCH(H$1,'HS Codes'!$D$1:$K$1,0)),"")</f>
        <v>6112399000</v>
      </c>
      <c r="I648" s="8" t="str">
        <f>_xlfn.IFNA(INDEX('HS Codes'!$D$2:$K3202,MATCH($B648,'HS Codes'!$A$2:$A3202,0),MATCH(I$1,'HS Codes'!$D$1:$K$1,0)),"")</f>
        <v>6211 4390 00</v>
      </c>
      <c r="J648" s="8">
        <f>_xlfn.IFNA(INDEX('HS Codes'!$D$2:$K3202,MATCH($B648,'HS Codes'!$A$2:$A3202,0),MATCH(J$1,'HS Codes'!$D$1:$K$1,0)),"")</f>
        <v>6117109000</v>
      </c>
      <c r="K648" s="8" t="str">
        <f>_xlfn.IFNA(INDEX('HS Codes'!$D$2:$K3202,MATCH($B648,'HS Codes'!$A$2:$A3202,0),MATCH(K$1,'HS Codes'!$D$1:$K$1,0)),"")</f>
        <v>6112.39.00</v>
      </c>
      <c r="L648" s="8">
        <f>_xlfn.IFNA(INDEX('HS Codes'!$D$2:$K3202,MATCH($B648,'HS Codes'!$A$2:$A3202,0),MATCH(L$1,'HS Codes'!$D$1:$K$1,0)),"")</f>
        <v>6202</v>
      </c>
      <c r="M648" s="8" t="str">
        <f>_xlfn.IFNA(INDEX('HS Codes'!$C$2:$C3202,MATCH($B648,'HS Codes'!$A$2:$A3202,0)),"")</f>
        <v>Beach Robe or Cloak 100% recycled 220 GSM/83% polyester/17% polyamide includes cotton on the packing pouch drawstring</v>
      </c>
      <c r="N648" s="9"/>
      <c r="O648" s="9"/>
      <c r="P648" s="9"/>
      <c r="Q648" s="9"/>
    </row>
    <row r="649" spans="1:17" ht="15.75" customHeight="1">
      <c r="A649" s="7" t="s">
        <v>940</v>
      </c>
      <c r="B649" s="7" t="s">
        <v>142</v>
      </c>
      <c r="C649" s="7" t="s">
        <v>278</v>
      </c>
      <c r="D649" s="7" t="s">
        <v>143</v>
      </c>
      <c r="E649" s="7" t="s">
        <v>143</v>
      </c>
      <c r="F649" s="8" t="str">
        <f>_xlfn.IFNA(INDEX('HS Codes'!$D$2:$K3203,MATCH($B649,'HS Codes'!$A$2:$A3203,0),MATCH(F$1,'HS Codes'!$D$1:$K$1,0)),"")</f>
        <v>6101.90.90.30</v>
      </c>
      <c r="G649" s="8">
        <f>_xlfn.IFNA(INDEX('HS Codes'!$D$2:$K3203,MATCH($B649,'HS Codes'!$A$2:$A3203,0),MATCH(G$1,'HS Codes'!$D$1:$K$1,0)),"")</f>
        <v>6101309000</v>
      </c>
      <c r="H649" s="8">
        <f>_xlfn.IFNA(INDEX('HS Codes'!$D$2:$K3203,MATCH($B649,'HS Codes'!$A$2:$A3203,0),MATCH(H$1,'HS Codes'!$D$1:$K$1,0)),"")</f>
        <v>6112399000</v>
      </c>
      <c r="I649" s="8" t="str">
        <f>_xlfn.IFNA(INDEX('HS Codes'!$D$2:$K3203,MATCH($B649,'HS Codes'!$A$2:$A3203,0),MATCH(I$1,'HS Codes'!$D$1:$K$1,0)),"")</f>
        <v>6211 4390 00</v>
      </c>
      <c r="J649" s="8">
        <f>_xlfn.IFNA(INDEX('HS Codes'!$D$2:$K3203,MATCH($B649,'HS Codes'!$A$2:$A3203,0),MATCH(J$1,'HS Codes'!$D$1:$K$1,0)),"")</f>
        <v>6117109000</v>
      </c>
      <c r="K649" s="8" t="str">
        <f>_xlfn.IFNA(INDEX('HS Codes'!$D$2:$K3203,MATCH($B649,'HS Codes'!$A$2:$A3203,0),MATCH(K$1,'HS Codes'!$D$1:$K$1,0)),"")</f>
        <v>6112.39.00</v>
      </c>
      <c r="L649" s="8">
        <f>_xlfn.IFNA(INDEX('HS Codes'!$D$2:$K3203,MATCH($B649,'HS Codes'!$A$2:$A3203,0),MATCH(L$1,'HS Codes'!$D$1:$K$1,0)),"")</f>
        <v>6202</v>
      </c>
      <c r="M649" s="8" t="str">
        <f>_xlfn.IFNA(INDEX('HS Codes'!$C$2:$C3203,MATCH($B649,'HS Codes'!$A$2:$A3203,0)),"")</f>
        <v>Beach Robe or Cloak 100% recycled 220 GSM/83% polyester/17% polyamide includes cotton on the packing pouch drawstring</v>
      </c>
      <c r="N649" s="9"/>
      <c r="O649" s="9"/>
      <c r="P649" s="9"/>
      <c r="Q649" s="9"/>
    </row>
    <row r="650" spans="1:17" ht="15.75" customHeight="1">
      <c r="A650" s="7" t="s">
        <v>941</v>
      </c>
      <c r="B650" s="7" t="s">
        <v>142</v>
      </c>
      <c r="C650" s="7" t="s">
        <v>278</v>
      </c>
      <c r="D650" s="7" t="s">
        <v>143</v>
      </c>
      <c r="E650" s="7" t="s">
        <v>143</v>
      </c>
      <c r="F650" s="8" t="str">
        <f>_xlfn.IFNA(INDEX('HS Codes'!$D$2:$K3204,MATCH($B650,'HS Codes'!$A$2:$A3204,0),MATCH(F$1,'HS Codes'!$D$1:$K$1,0)),"")</f>
        <v>6101.90.90.30</v>
      </c>
      <c r="G650" s="8">
        <f>_xlfn.IFNA(INDEX('HS Codes'!$D$2:$K3204,MATCH($B650,'HS Codes'!$A$2:$A3204,0),MATCH(G$1,'HS Codes'!$D$1:$K$1,0)),"")</f>
        <v>6101309000</v>
      </c>
      <c r="H650" s="8">
        <f>_xlfn.IFNA(INDEX('HS Codes'!$D$2:$K3204,MATCH($B650,'HS Codes'!$A$2:$A3204,0),MATCH(H$1,'HS Codes'!$D$1:$K$1,0)),"")</f>
        <v>6112399000</v>
      </c>
      <c r="I650" s="8" t="str">
        <f>_xlfn.IFNA(INDEX('HS Codes'!$D$2:$K3204,MATCH($B650,'HS Codes'!$A$2:$A3204,0),MATCH(I$1,'HS Codes'!$D$1:$K$1,0)),"")</f>
        <v>6211 4390 00</v>
      </c>
      <c r="J650" s="8">
        <f>_xlfn.IFNA(INDEX('HS Codes'!$D$2:$K3204,MATCH($B650,'HS Codes'!$A$2:$A3204,0),MATCH(J$1,'HS Codes'!$D$1:$K$1,0)),"")</f>
        <v>6117109000</v>
      </c>
      <c r="K650" s="8" t="str">
        <f>_xlfn.IFNA(INDEX('HS Codes'!$D$2:$K3204,MATCH($B650,'HS Codes'!$A$2:$A3204,0),MATCH(K$1,'HS Codes'!$D$1:$K$1,0)),"")</f>
        <v>6112.39.00</v>
      </c>
      <c r="L650" s="8">
        <f>_xlfn.IFNA(INDEX('HS Codes'!$D$2:$K3204,MATCH($B650,'HS Codes'!$A$2:$A3204,0),MATCH(L$1,'HS Codes'!$D$1:$K$1,0)),"")</f>
        <v>6202</v>
      </c>
      <c r="M650" s="8" t="str">
        <f>_xlfn.IFNA(INDEX('HS Codes'!$C$2:$C3204,MATCH($B650,'HS Codes'!$A$2:$A3204,0)),"")</f>
        <v>Beach Robe or Cloak 100% recycled 220 GSM/83% polyester/17% polyamide includes cotton on the packing pouch drawstring</v>
      </c>
      <c r="N650" s="9"/>
      <c r="O650" s="9"/>
      <c r="P650" s="9"/>
      <c r="Q650" s="9"/>
    </row>
    <row r="651" spans="1:17" ht="15.75" customHeight="1">
      <c r="A651" s="7" t="s">
        <v>942</v>
      </c>
      <c r="B651" s="7" t="s">
        <v>148</v>
      </c>
      <c r="C651" s="7" t="s">
        <v>278</v>
      </c>
      <c r="D651" s="7" t="s">
        <v>149</v>
      </c>
      <c r="E651" s="7" t="s">
        <v>149</v>
      </c>
      <c r="F651" s="8" t="str">
        <f>_xlfn.IFNA(INDEX('HS Codes'!$D$2:$K3205,MATCH($B651,'HS Codes'!$A$2:$A3205,0),MATCH(F$1,'HS Codes'!$D$1:$K$1,0)),"")</f>
        <v>6101.90.90.30</v>
      </c>
      <c r="G651" s="8">
        <f>_xlfn.IFNA(INDEX('HS Codes'!$D$2:$K3205,MATCH($B651,'HS Codes'!$A$2:$A3205,0),MATCH(G$1,'HS Codes'!$D$1:$K$1,0)),"")</f>
        <v>6101309000</v>
      </c>
      <c r="H651" s="8">
        <f>_xlfn.IFNA(INDEX('HS Codes'!$D$2:$K3205,MATCH($B651,'HS Codes'!$A$2:$A3205,0),MATCH(H$1,'HS Codes'!$D$1:$K$1,0)),"")</f>
        <v>6112399000</v>
      </c>
      <c r="I651" s="8" t="str">
        <f>_xlfn.IFNA(INDEX('HS Codes'!$D$2:$K3205,MATCH($B651,'HS Codes'!$A$2:$A3205,0),MATCH(I$1,'HS Codes'!$D$1:$K$1,0)),"")</f>
        <v>6211 4390 00</v>
      </c>
      <c r="J651" s="8">
        <f>_xlfn.IFNA(INDEX('HS Codes'!$D$2:$K3205,MATCH($B651,'HS Codes'!$A$2:$A3205,0),MATCH(J$1,'HS Codes'!$D$1:$K$1,0)),"")</f>
        <v>6117109000</v>
      </c>
      <c r="K651" s="8" t="str">
        <f>_xlfn.IFNA(INDEX('HS Codes'!$D$2:$K3205,MATCH($B651,'HS Codes'!$A$2:$A3205,0),MATCH(K$1,'HS Codes'!$D$1:$K$1,0)),"")</f>
        <v>6112.39.00</v>
      </c>
      <c r="L651" s="8">
        <f>_xlfn.IFNA(INDEX('HS Codes'!$D$2:$K3205,MATCH($B651,'HS Codes'!$A$2:$A3205,0),MATCH(L$1,'HS Codes'!$D$1:$K$1,0)),"")</f>
        <v>6202</v>
      </c>
      <c r="M651" s="8" t="str">
        <f>_xlfn.IFNA(INDEX('HS Codes'!$C$2:$C3205,MATCH($B651,'HS Codes'!$A$2:$A3205,0)),"")</f>
        <v>Beach Robe or Cloak 100% recycled 220 GSM/83% polyester/17% polyamide includes cotton on the packing pouch drawstring</v>
      </c>
      <c r="N651" s="9"/>
      <c r="O651" s="9"/>
      <c r="P651" s="9"/>
      <c r="Q651" s="9"/>
    </row>
    <row r="652" spans="1:17" ht="15.75" customHeight="1">
      <c r="A652" s="7" t="s">
        <v>943</v>
      </c>
      <c r="B652" s="7" t="s">
        <v>148</v>
      </c>
      <c r="C652" s="7" t="s">
        <v>278</v>
      </c>
      <c r="D652" s="7" t="s">
        <v>149</v>
      </c>
      <c r="E652" s="7" t="s">
        <v>149</v>
      </c>
      <c r="F652" s="8" t="str">
        <f>_xlfn.IFNA(INDEX('HS Codes'!$D$2:$K3206,MATCH($B652,'HS Codes'!$A$2:$A3206,0),MATCH(F$1,'HS Codes'!$D$1:$K$1,0)),"")</f>
        <v>6101.90.90.30</v>
      </c>
      <c r="G652" s="8">
        <f>_xlfn.IFNA(INDEX('HS Codes'!$D$2:$K3206,MATCH($B652,'HS Codes'!$A$2:$A3206,0),MATCH(G$1,'HS Codes'!$D$1:$K$1,0)),"")</f>
        <v>6101309000</v>
      </c>
      <c r="H652" s="8">
        <f>_xlfn.IFNA(INDEX('HS Codes'!$D$2:$K3206,MATCH($B652,'HS Codes'!$A$2:$A3206,0),MATCH(H$1,'HS Codes'!$D$1:$K$1,0)),"")</f>
        <v>6112399000</v>
      </c>
      <c r="I652" s="8" t="str">
        <f>_xlfn.IFNA(INDEX('HS Codes'!$D$2:$K3206,MATCH($B652,'HS Codes'!$A$2:$A3206,0),MATCH(I$1,'HS Codes'!$D$1:$K$1,0)),"")</f>
        <v>6211 4390 00</v>
      </c>
      <c r="J652" s="8">
        <f>_xlfn.IFNA(INDEX('HS Codes'!$D$2:$K3206,MATCH($B652,'HS Codes'!$A$2:$A3206,0),MATCH(J$1,'HS Codes'!$D$1:$K$1,0)),"")</f>
        <v>6117109000</v>
      </c>
      <c r="K652" s="8" t="str">
        <f>_xlfn.IFNA(INDEX('HS Codes'!$D$2:$K3206,MATCH($B652,'HS Codes'!$A$2:$A3206,0),MATCH(K$1,'HS Codes'!$D$1:$K$1,0)),"")</f>
        <v>6112.39.00</v>
      </c>
      <c r="L652" s="8">
        <f>_xlfn.IFNA(INDEX('HS Codes'!$D$2:$K3206,MATCH($B652,'HS Codes'!$A$2:$A3206,0),MATCH(L$1,'HS Codes'!$D$1:$K$1,0)),"")</f>
        <v>6202</v>
      </c>
      <c r="M652" s="8" t="str">
        <f>_xlfn.IFNA(INDEX('HS Codes'!$C$2:$C3206,MATCH($B652,'HS Codes'!$A$2:$A3206,0)),"")</f>
        <v>Beach Robe or Cloak 100% recycled 220 GSM/83% polyester/17% polyamide includes cotton on the packing pouch drawstring</v>
      </c>
      <c r="N652" s="9"/>
      <c r="O652" s="9"/>
      <c r="P652" s="9"/>
      <c r="Q652" s="9"/>
    </row>
    <row r="653" spans="1:17" ht="15.75" customHeight="1">
      <c r="A653" s="7" t="s">
        <v>944</v>
      </c>
      <c r="B653" s="7" t="s">
        <v>148</v>
      </c>
      <c r="C653" s="7" t="s">
        <v>278</v>
      </c>
      <c r="D653" s="7" t="s">
        <v>149</v>
      </c>
      <c r="E653" s="7" t="s">
        <v>149</v>
      </c>
      <c r="F653" s="8" t="str">
        <f>_xlfn.IFNA(INDEX('HS Codes'!$D$2:$K3207,MATCH($B653,'HS Codes'!$A$2:$A3207,0),MATCH(F$1,'HS Codes'!$D$1:$K$1,0)),"")</f>
        <v>6101.90.90.30</v>
      </c>
      <c r="G653" s="8">
        <f>_xlfn.IFNA(INDEX('HS Codes'!$D$2:$K3207,MATCH($B653,'HS Codes'!$A$2:$A3207,0),MATCH(G$1,'HS Codes'!$D$1:$K$1,0)),"")</f>
        <v>6101309000</v>
      </c>
      <c r="H653" s="8">
        <f>_xlfn.IFNA(INDEX('HS Codes'!$D$2:$K3207,MATCH($B653,'HS Codes'!$A$2:$A3207,0),MATCH(H$1,'HS Codes'!$D$1:$K$1,0)),"")</f>
        <v>6112399000</v>
      </c>
      <c r="I653" s="8" t="str">
        <f>_xlfn.IFNA(INDEX('HS Codes'!$D$2:$K3207,MATCH($B653,'HS Codes'!$A$2:$A3207,0),MATCH(I$1,'HS Codes'!$D$1:$K$1,0)),"")</f>
        <v>6211 4390 00</v>
      </c>
      <c r="J653" s="8">
        <f>_xlfn.IFNA(INDEX('HS Codes'!$D$2:$K3207,MATCH($B653,'HS Codes'!$A$2:$A3207,0),MATCH(J$1,'HS Codes'!$D$1:$K$1,0)),"")</f>
        <v>6117109000</v>
      </c>
      <c r="K653" s="8" t="str">
        <f>_xlfn.IFNA(INDEX('HS Codes'!$D$2:$K3207,MATCH($B653,'HS Codes'!$A$2:$A3207,0),MATCH(K$1,'HS Codes'!$D$1:$K$1,0)),"")</f>
        <v>6112.39.00</v>
      </c>
      <c r="L653" s="8">
        <f>_xlfn.IFNA(INDEX('HS Codes'!$D$2:$K3207,MATCH($B653,'HS Codes'!$A$2:$A3207,0),MATCH(L$1,'HS Codes'!$D$1:$K$1,0)),"")</f>
        <v>6202</v>
      </c>
      <c r="M653" s="8" t="str">
        <f>_xlfn.IFNA(INDEX('HS Codes'!$C$2:$C3207,MATCH($B653,'HS Codes'!$A$2:$A3207,0)),"")</f>
        <v>Beach Robe or Cloak 100% recycled 220 GSM/83% polyester/17% polyamide includes cotton on the packing pouch drawstring</v>
      </c>
      <c r="N653" s="9"/>
      <c r="O653" s="9"/>
      <c r="P653" s="9"/>
      <c r="Q653" s="9"/>
    </row>
    <row r="654" spans="1:17" ht="15.75" customHeight="1">
      <c r="A654" s="7" t="s">
        <v>945</v>
      </c>
      <c r="B654" s="7" t="s">
        <v>148</v>
      </c>
      <c r="C654" s="7" t="s">
        <v>278</v>
      </c>
      <c r="D654" s="7" t="s">
        <v>149</v>
      </c>
      <c r="E654" s="7" t="s">
        <v>149</v>
      </c>
      <c r="F654" s="8" t="str">
        <f>_xlfn.IFNA(INDEX('HS Codes'!$D$2:$K3208,MATCH($B654,'HS Codes'!$A$2:$A3208,0),MATCH(F$1,'HS Codes'!$D$1:$K$1,0)),"")</f>
        <v>6101.90.90.30</v>
      </c>
      <c r="G654" s="8">
        <f>_xlfn.IFNA(INDEX('HS Codes'!$D$2:$K3208,MATCH($B654,'HS Codes'!$A$2:$A3208,0),MATCH(G$1,'HS Codes'!$D$1:$K$1,0)),"")</f>
        <v>6101309000</v>
      </c>
      <c r="H654" s="8">
        <f>_xlfn.IFNA(INDEX('HS Codes'!$D$2:$K3208,MATCH($B654,'HS Codes'!$A$2:$A3208,0),MATCH(H$1,'HS Codes'!$D$1:$K$1,0)),"")</f>
        <v>6112399000</v>
      </c>
      <c r="I654" s="8" t="str">
        <f>_xlfn.IFNA(INDEX('HS Codes'!$D$2:$K3208,MATCH($B654,'HS Codes'!$A$2:$A3208,0),MATCH(I$1,'HS Codes'!$D$1:$K$1,0)),"")</f>
        <v>6211 4390 00</v>
      </c>
      <c r="J654" s="8">
        <f>_xlfn.IFNA(INDEX('HS Codes'!$D$2:$K3208,MATCH($B654,'HS Codes'!$A$2:$A3208,0),MATCH(J$1,'HS Codes'!$D$1:$K$1,0)),"")</f>
        <v>6117109000</v>
      </c>
      <c r="K654" s="8" t="str">
        <f>_xlfn.IFNA(INDEX('HS Codes'!$D$2:$K3208,MATCH($B654,'HS Codes'!$A$2:$A3208,0),MATCH(K$1,'HS Codes'!$D$1:$K$1,0)),"")</f>
        <v>6112.39.00</v>
      </c>
      <c r="L654" s="8">
        <f>_xlfn.IFNA(INDEX('HS Codes'!$D$2:$K3208,MATCH($B654,'HS Codes'!$A$2:$A3208,0),MATCH(L$1,'HS Codes'!$D$1:$K$1,0)),"")</f>
        <v>6202</v>
      </c>
      <c r="M654" s="8" t="str">
        <f>_xlfn.IFNA(INDEX('HS Codes'!$C$2:$C3208,MATCH($B654,'HS Codes'!$A$2:$A3208,0)),"")</f>
        <v>Beach Robe or Cloak 100% recycled 220 GSM/83% polyester/17% polyamide includes cotton on the packing pouch drawstring</v>
      </c>
      <c r="N654" s="9"/>
      <c r="O654" s="9"/>
      <c r="P654" s="9"/>
      <c r="Q654" s="9"/>
    </row>
    <row r="655" spans="1:17" ht="15.75" customHeight="1">
      <c r="A655" s="7" t="s">
        <v>946</v>
      </c>
      <c r="B655" s="7" t="s">
        <v>148</v>
      </c>
      <c r="C655" s="7" t="s">
        <v>278</v>
      </c>
      <c r="D655" s="7" t="s">
        <v>149</v>
      </c>
      <c r="E655" s="7" t="s">
        <v>149</v>
      </c>
      <c r="F655" s="8" t="str">
        <f>_xlfn.IFNA(INDEX('HS Codes'!$D$2:$K3209,MATCH($B655,'HS Codes'!$A$2:$A3209,0),MATCH(F$1,'HS Codes'!$D$1:$K$1,0)),"")</f>
        <v>6101.90.90.30</v>
      </c>
      <c r="G655" s="8">
        <f>_xlfn.IFNA(INDEX('HS Codes'!$D$2:$K3209,MATCH($B655,'HS Codes'!$A$2:$A3209,0),MATCH(G$1,'HS Codes'!$D$1:$K$1,0)),"")</f>
        <v>6101309000</v>
      </c>
      <c r="H655" s="8">
        <f>_xlfn.IFNA(INDEX('HS Codes'!$D$2:$K3209,MATCH($B655,'HS Codes'!$A$2:$A3209,0),MATCH(H$1,'HS Codes'!$D$1:$K$1,0)),"")</f>
        <v>6112399000</v>
      </c>
      <c r="I655" s="8" t="str">
        <f>_xlfn.IFNA(INDEX('HS Codes'!$D$2:$K3209,MATCH($B655,'HS Codes'!$A$2:$A3209,0),MATCH(I$1,'HS Codes'!$D$1:$K$1,0)),"")</f>
        <v>6211 4390 00</v>
      </c>
      <c r="J655" s="8">
        <f>_xlfn.IFNA(INDEX('HS Codes'!$D$2:$K3209,MATCH($B655,'HS Codes'!$A$2:$A3209,0),MATCH(J$1,'HS Codes'!$D$1:$K$1,0)),"")</f>
        <v>6117109000</v>
      </c>
      <c r="K655" s="8" t="str">
        <f>_xlfn.IFNA(INDEX('HS Codes'!$D$2:$K3209,MATCH($B655,'HS Codes'!$A$2:$A3209,0),MATCH(K$1,'HS Codes'!$D$1:$K$1,0)),"")</f>
        <v>6112.39.00</v>
      </c>
      <c r="L655" s="8">
        <f>_xlfn.IFNA(INDEX('HS Codes'!$D$2:$K3209,MATCH($B655,'HS Codes'!$A$2:$A3209,0),MATCH(L$1,'HS Codes'!$D$1:$K$1,0)),"")</f>
        <v>6202</v>
      </c>
      <c r="M655" s="8" t="str">
        <f>_xlfn.IFNA(INDEX('HS Codes'!$C$2:$C3209,MATCH($B655,'HS Codes'!$A$2:$A3209,0)),"")</f>
        <v>Beach Robe or Cloak 100% recycled 220 GSM/83% polyester/17% polyamide includes cotton on the packing pouch drawstring</v>
      </c>
      <c r="N655" s="9"/>
      <c r="O655" s="9"/>
      <c r="P655" s="9"/>
      <c r="Q655" s="9"/>
    </row>
    <row r="656" spans="1:17" ht="15.75" customHeight="1">
      <c r="A656" s="7" t="s">
        <v>947</v>
      </c>
      <c r="B656" s="7" t="s">
        <v>148</v>
      </c>
      <c r="C656" s="7" t="s">
        <v>278</v>
      </c>
      <c r="D656" s="7" t="s">
        <v>149</v>
      </c>
      <c r="E656" s="7" t="s">
        <v>149</v>
      </c>
      <c r="F656" s="8" t="str">
        <f>_xlfn.IFNA(INDEX('HS Codes'!$D$2:$K3210,MATCH($B656,'HS Codes'!$A$2:$A3210,0),MATCH(F$1,'HS Codes'!$D$1:$K$1,0)),"")</f>
        <v>6101.90.90.30</v>
      </c>
      <c r="G656" s="8">
        <f>_xlfn.IFNA(INDEX('HS Codes'!$D$2:$K3210,MATCH($B656,'HS Codes'!$A$2:$A3210,0),MATCH(G$1,'HS Codes'!$D$1:$K$1,0)),"")</f>
        <v>6101309000</v>
      </c>
      <c r="H656" s="8">
        <f>_xlfn.IFNA(INDEX('HS Codes'!$D$2:$K3210,MATCH($B656,'HS Codes'!$A$2:$A3210,0),MATCH(H$1,'HS Codes'!$D$1:$K$1,0)),"")</f>
        <v>6112399000</v>
      </c>
      <c r="I656" s="8" t="str">
        <f>_xlfn.IFNA(INDEX('HS Codes'!$D$2:$K3210,MATCH($B656,'HS Codes'!$A$2:$A3210,0),MATCH(I$1,'HS Codes'!$D$1:$K$1,0)),"")</f>
        <v>6211 4390 00</v>
      </c>
      <c r="J656" s="8">
        <f>_xlfn.IFNA(INDEX('HS Codes'!$D$2:$K3210,MATCH($B656,'HS Codes'!$A$2:$A3210,0),MATCH(J$1,'HS Codes'!$D$1:$K$1,0)),"")</f>
        <v>6117109000</v>
      </c>
      <c r="K656" s="8" t="str">
        <f>_xlfn.IFNA(INDEX('HS Codes'!$D$2:$K3210,MATCH($B656,'HS Codes'!$A$2:$A3210,0),MATCH(K$1,'HS Codes'!$D$1:$K$1,0)),"")</f>
        <v>6112.39.00</v>
      </c>
      <c r="L656" s="8">
        <f>_xlfn.IFNA(INDEX('HS Codes'!$D$2:$K3210,MATCH($B656,'HS Codes'!$A$2:$A3210,0),MATCH(L$1,'HS Codes'!$D$1:$K$1,0)),"")</f>
        <v>6202</v>
      </c>
      <c r="M656" s="8" t="str">
        <f>_xlfn.IFNA(INDEX('HS Codes'!$C$2:$C3210,MATCH($B656,'HS Codes'!$A$2:$A3210,0)),"")</f>
        <v>Beach Robe or Cloak 100% recycled 220 GSM/83% polyester/17% polyamide includes cotton on the packing pouch drawstring</v>
      </c>
      <c r="N656" s="9"/>
      <c r="O656" s="9"/>
      <c r="P656" s="9"/>
      <c r="Q656" s="9"/>
    </row>
    <row r="657" spans="1:17" ht="15.75" customHeight="1">
      <c r="A657" s="7" t="s">
        <v>948</v>
      </c>
      <c r="B657" s="7" t="s">
        <v>148</v>
      </c>
      <c r="C657" s="7" t="s">
        <v>278</v>
      </c>
      <c r="D657" s="7" t="s">
        <v>149</v>
      </c>
      <c r="E657" s="7" t="s">
        <v>149</v>
      </c>
      <c r="F657" s="8" t="str">
        <f>_xlfn.IFNA(INDEX('HS Codes'!$D$2:$K3211,MATCH($B657,'HS Codes'!$A$2:$A3211,0),MATCH(F$1,'HS Codes'!$D$1:$K$1,0)),"")</f>
        <v>6101.90.90.30</v>
      </c>
      <c r="G657" s="8">
        <f>_xlfn.IFNA(INDEX('HS Codes'!$D$2:$K3211,MATCH($B657,'HS Codes'!$A$2:$A3211,0),MATCH(G$1,'HS Codes'!$D$1:$K$1,0)),"")</f>
        <v>6101309000</v>
      </c>
      <c r="H657" s="8">
        <f>_xlfn.IFNA(INDEX('HS Codes'!$D$2:$K3211,MATCH($B657,'HS Codes'!$A$2:$A3211,0),MATCH(H$1,'HS Codes'!$D$1:$K$1,0)),"")</f>
        <v>6112399000</v>
      </c>
      <c r="I657" s="8" t="str">
        <f>_xlfn.IFNA(INDEX('HS Codes'!$D$2:$K3211,MATCH($B657,'HS Codes'!$A$2:$A3211,0),MATCH(I$1,'HS Codes'!$D$1:$K$1,0)),"")</f>
        <v>6211 4390 00</v>
      </c>
      <c r="J657" s="8">
        <f>_xlfn.IFNA(INDEX('HS Codes'!$D$2:$K3211,MATCH($B657,'HS Codes'!$A$2:$A3211,0),MATCH(J$1,'HS Codes'!$D$1:$K$1,0)),"")</f>
        <v>6117109000</v>
      </c>
      <c r="K657" s="8" t="str">
        <f>_xlfn.IFNA(INDEX('HS Codes'!$D$2:$K3211,MATCH($B657,'HS Codes'!$A$2:$A3211,0),MATCH(K$1,'HS Codes'!$D$1:$K$1,0)),"")</f>
        <v>6112.39.00</v>
      </c>
      <c r="L657" s="8">
        <f>_xlfn.IFNA(INDEX('HS Codes'!$D$2:$K3211,MATCH($B657,'HS Codes'!$A$2:$A3211,0),MATCH(L$1,'HS Codes'!$D$1:$K$1,0)),"")</f>
        <v>6202</v>
      </c>
      <c r="M657" s="8" t="str">
        <f>_xlfn.IFNA(INDEX('HS Codes'!$C$2:$C3211,MATCH($B657,'HS Codes'!$A$2:$A3211,0)),"")</f>
        <v>Beach Robe or Cloak 100% recycled 220 GSM/83% polyester/17% polyamide includes cotton on the packing pouch drawstring</v>
      </c>
      <c r="N657" s="9"/>
      <c r="O657" s="9"/>
      <c r="P657" s="9"/>
      <c r="Q657" s="9"/>
    </row>
    <row r="658" spans="1:17" ht="15.75" customHeight="1">
      <c r="A658" s="7" t="s">
        <v>949</v>
      </c>
      <c r="B658" s="7" t="s">
        <v>148</v>
      </c>
      <c r="C658" s="7" t="s">
        <v>278</v>
      </c>
      <c r="D658" s="7" t="s">
        <v>149</v>
      </c>
      <c r="E658" s="7" t="s">
        <v>149</v>
      </c>
      <c r="F658" s="8" t="str">
        <f>_xlfn.IFNA(INDEX('HS Codes'!$D$2:$K3212,MATCH($B658,'HS Codes'!$A$2:$A3212,0),MATCH(F$1,'HS Codes'!$D$1:$K$1,0)),"")</f>
        <v>6101.90.90.30</v>
      </c>
      <c r="G658" s="8">
        <f>_xlfn.IFNA(INDEX('HS Codes'!$D$2:$K3212,MATCH($B658,'HS Codes'!$A$2:$A3212,0),MATCH(G$1,'HS Codes'!$D$1:$K$1,0)),"")</f>
        <v>6101309000</v>
      </c>
      <c r="H658" s="8">
        <f>_xlfn.IFNA(INDEX('HS Codes'!$D$2:$K3212,MATCH($B658,'HS Codes'!$A$2:$A3212,0),MATCH(H$1,'HS Codes'!$D$1:$K$1,0)),"")</f>
        <v>6112399000</v>
      </c>
      <c r="I658" s="8" t="str">
        <f>_xlfn.IFNA(INDEX('HS Codes'!$D$2:$K3212,MATCH($B658,'HS Codes'!$A$2:$A3212,0),MATCH(I$1,'HS Codes'!$D$1:$K$1,0)),"")</f>
        <v>6211 4390 00</v>
      </c>
      <c r="J658" s="8">
        <f>_xlfn.IFNA(INDEX('HS Codes'!$D$2:$K3212,MATCH($B658,'HS Codes'!$A$2:$A3212,0),MATCH(J$1,'HS Codes'!$D$1:$K$1,0)),"")</f>
        <v>6117109000</v>
      </c>
      <c r="K658" s="8" t="str">
        <f>_xlfn.IFNA(INDEX('HS Codes'!$D$2:$K3212,MATCH($B658,'HS Codes'!$A$2:$A3212,0),MATCH(K$1,'HS Codes'!$D$1:$K$1,0)),"")</f>
        <v>6112.39.00</v>
      </c>
      <c r="L658" s="8">
        <f>_xlfn.IFNA(INDEX('HS Codes'!$D$2:$K3212,MATCH($B658,'HS Codes'!$A$2:$A3212,0),MATCH(L$1,'HS Codes'!$D$1:$K$1,0)),"")</f>
        <v>6202</v>
      </c>
      <c r="M658" s="8" t="str">
        <f>_xlfn.IFNA(INDEX('HS Codes'!$C$2:$C3212,MATCH($B658,'HS Codes'!$A$2:$A3212,0)),"")</f>
        <v>Beach Robe or Cloak 100% recycled 220 GSM/83% polyester/17% polyamide includes cotton on the packing pouch drawstring</v>
      </c>
      <c r="N658" s="9"/>
      <c r="O658" s="9"/>
      <c r="P658" s="9"/>
      <c r="Q658" s="9"/>
    </row>
    <row r="659" spans="1:17" ht="15.75" customHeight="1">
      <c r="A659" s="7" t="s">
        <v>950</v>
      </c>
      <c r="B659" s="7" t="s">
        <v>148</v>
      </c>
      <c r="C659" s="7" t="s">
        <v>278</v>
      </c>
      <c r="D659" s="7" t="s">
        <v>149</v>
      </c>
      <c r="E659" s="7" t="s">
        <v>149</v>
      </c>
      <c r="F659" s="8" t="str">
        <f>_xlfn.IFNA(INDEX('HS Codes'!$D$2:$K3213,MATCH($B659,'HS Codes'!$A$2:$A3213,0),MATCH(F$1,'HS Codes'!$D$1:$K$1,0)),"")</f>
        <v>6101.90.90.30</v>
      </c>
      <c r="G659" s="8">
        <f>_xlfn.IFNA(INDEX('HS Codes'!$D$2:$K3213,MATCH($B659,'HS Codes'!$A$2:$A3213,0),MATCH(G$1,'HS Codes'!$D$1:$K$1,0)),"")</f>
        <v>6101309000</v>
      </c>
      <c r="H659" s="8">
        <f>_xlfn.IFNA(INDEX('HS Codes'!$D$2:$K3213,MATCH($B659,'HS Codes'!$A$2:$A3213,0),MATCH(H$1,'HS Codes'!$D$1:$K$1,0)),"")</f>
        <v>6112399000</v>
      </c>
      <c r="I659" s="8" t="str">
        <f>_xlfn.IFNA(INDEX('HS Codes'!$D$2:$K3213,MATCH($B659,'HS Codes'!$A$2:$A3213,0),MATCH(I$1,'HS Codes'!$D$1:$K$1,0)),"")</f>
        <v>6211 4390 00</v>
      </c>
      <c r="J659" s="8">
        <f>_xlfn.IFNA(INDEX('HS Codes'!$D$2:$K3213,MATCH($B659,'HS Codes'!$A$2:$A3213,0),MATCH(J$1,'HS Codes'!$D$1:$K$1,0)),"")</f>
        <v>6117109000</v>
      </c>
      <c r="K659" s="8" t="str">
        <f>_xlfn.IFNA(INDEX('HS Codes'!$D$2:$K3213,MATCH($B659,'HS Codes'!$A$2:$A3213,0),MATCH(K$1,'HS Codes'!$D$1:$K$1,0)),"")</f>
        <v>6112.39.00</v>
      </c>
      <c r="L659" s="8">
        <f>_xlfn.IFNA(INDEX('HS Codes'!$D$2:$K3213,MATCH($B659,'HS Codes'!$A$2:$A3213,0),MATCH(L$1,'HS Codes'!$D$1:$K$1,0)),"")</f>
        <v>6202</v>
      </c>
      <c r="M659" s="8" t="str">
        <f>_xlfn.IFNA(INDEX('HS Codes'!$C$2:$C3213,MATCH($B659,'HS Codes'!$A$2:$A3213,0)),"")</f>
        <v>Beach Robe or Cloak 100% recycled 220 GSM/83% polyester/17% polyamide includes cotton on the packing pouch drawstring</v>
      </c>
      <c r="N659" s="9"/>
      <c r="O659" s="9"/>
      <c r="P659" s="9"/>
      <c r="Q659" s="9"/>
    </row>
    <row r="660" spans="1:17" ht="15.75" customHeight="1">
      <c r="A660" s="7" t="s">
        <v>951</v>
      </c>
      <c r="B660" s="7" t="s">
        <v>148</v>
      </c>
      <c r="C660" s="7" t="s">
        <v>278</v>
      </c>
      <c r="D660" s="7" t="s">
        <v>149</v>
      </c>
      <c r="E660" s="7" t="s">
        <v>149</v>
      </c>
      <c r="F660" s="8" t="str">
        <f>_xlfn.IFNA(INDEX('HS Codes'!$D$2:$K3214,MATCH($B660,'HS Codes'!$A$2:$A3214,0),MATCH(F$1,'HS Codes'!$D$1:$K$1,0)),"")</f>
        <v>6101.90.90.30</v>
      </c>
      <c r="G660" s="8">
        <f>_xlfn.IFNA(INDEX('HS Codes'!$D$2:$K3214,MATCH($B660,'HS Codes'!$A$2:$A3214,0),MATCH(G$1,'HS Codes'!$D$1:$K$1,0)),"")</f>
        <v>6101309000</v>
      </c>
      <c r="H660" s="8">
        <f>_xlfn.IFNA(INDEX('HS Codes'!$D$2:$K3214,MATCH($B660,'HS Codes'!$A$2:$A3214,0),MATCH(H$1,'HS Codes'!$D$1:$K$1,0)),"")</f>
        <v>6112399000</v>
      </c>
      <c r="I660" s="8" t="str">
        <f>_xlfn.IFNA(INDEX('HS Codes'!$D$2:$K3214,MATCH($B660,'HS Codes'!$A$2:$A3214,0),MATCH(I$1,'HS Codes'!$D$1:$K$1,0)),"")</f>
        <v>6211 4390 00</v>
      </c>
      <c r="J660" s="8">
        <f>_xlfn.IFNA(INDEX('HS Codes'!$D$2:$K3214,MATCH($B660,'HS Codes'!$A$2:$A3214,0),MATCH(J$1,'HS Codes'!$D$1:$K$1,0)),"")</f>
        <v>6117109000</v>
      </c>
      <c r="K660" s="8" t="str">
        <f>_xlfn.IFNA(INDEX('HS Codes'!$D$2:$K3214,MATCH($B660,'HS Codes'!$A$2:$A3214,0),MATCH(K$1,'HS Codes'!$D$1:$K$1,0)),"")</f>
        <v>6112.39.00</v>
      </c>
      <c r="L660" s="8">
        <f>_xlfn.IFNA(INDEX('HS Codes'!$D$2:$K3214,MATCH($B660,'HS Codes'!$A$2:$A3214,0),MATCH(L$1,'HS Codes'!$D$1:$K$1,0)),"")</f>
        <v>6202</v>
      </c>
      <c r="M660" s="8" t="str">
        <f>_xlfn.IFNA(INDEX('HS Codes'!$C$2:$C3214,MATCH($B660,'HS Codes'!$A$2:$A3214,0)),"")</f>
        <v>Beach Robe or Cloak 100% recycled 220 GSM/83% polyester/17% polyamide includes cotton on the packing pouch drawstring</v>
      </c>
      <c r="N660" s="9"/>
      <c r="O660" s="9"/>
      <c r="P660" s="9"/>
      <c r="Q660" s="9"/>
    </row>
    <row r="661" spans="1:17" ht="15.75" customHeight="1">
      <c r="A661" s="7" t="s">
        <v>952</v>
      </c>
      <c r="B661" s="7" t="s">
        <v>148</v>
      </c>
      <c r="C661" s="7" t="s">
        <v>278</v>
      </c>
      <c r="D661" s="7" t="s">
        <v>149</v>
      </c>
      <c r="E661" s="7" t="s">
        <v>149</v>
      </c>
      <c r="F661" s="8" t="str">
        <f>_xlfn.IFNA(INDEX('HS Codes'!$D$2:$K3215,MATCH($B661,'HS Codes'!$A$2:$A3215,0),MATCH(F$1,'HS Codes'!$D$1:$K$1,0)),"")</f>
        <v>6101.90.90.30</v>
      </c>
      <c r="G661" s="8">
        <f>_xlfn.IFNA(INDEX('HS Codes'!$D$2:$K3215,MATCH($B661,'HS Codes'!$A$2:$A3215,0),MATCH(G$1,'HS Codes'!$D$1:$K$1,0)),"")</f>
        <v>6101309000</v>
      </c>
      <c r="H661" s="8">
        <f>_xlfn.IFNA(INDEX('HS Codes'!$D$2:$K3215,MATCH($B661,'HS Codes'!$A$2:$A3215,0),MATCH(H$1,'HS Codes'!$D$1:$K$1,0)),"")</f>
        <v>6112399000</v>
      </c>
      <c r="I661" s="8" t="str">
        <f>_xlfn.IFNA(INDEX('HS Codes'!$D$2:$K3215,MATCH($B661,'HS Codes'!$A$2:$A3215,0),MATCH(I$1,'HS Codes'!$D$1:$K$1,0)),"")</f>
        <v>6211 4390 00</v>
      </c>
      <c r="J661" s="8">
        <f>_xlfn.IFNA(INDEX('HS Codes'!$D$2:$K3215,MATCH($B661,'HS Codes'!$A$2:$A3215,0),MATCH(J$1,'HS Codes'!$D$1:$K$1,0)),"")</f>
        <v>6117109000</v>
      </c>
      <c r="K661" s="8" t="str">
        <f>_xlfn.IFNA(INDEX('HS Codes'!$D$2:$K3215,MATCH($B661,'HS Codes'!$A$2:$A3215,0),MATCH(K$1,'HS Codes'!$D$1:$K$1,0)),"")</f>
        <v>6112.39.00</v>
      </c>
      <c r="L661" s="8">
        <f>_xlfn.IFNA(INDEX('HS Codes'!$D$2:$K3215,MATCH($B661,'HS Codes'!$A$2:$A3215,0),MATCH(L$1,'HS Codes'!$D$1:$K$1,0)),"")</f>
        <v>6202</v>
      </c>
      <c r="M661" s="8" t="str">
        <f>_xlfn.IFNA(INDEX('HS Codes'!$C$2:$C3215,MATCH($B661,'HS Codes'!$A$2:$A3215,0)),"")</f>
        <v>Beach Robe or Cloak 100% recycled 220 GSM/83% polyester/17% polyamide includes cotton on the packing pouch drawstring</v>
      </c>
      <c r="N661" s="9"/>
      <c r="O661" s="9"/>
      <c r="P661" s="9"/>
      <c r="Q661" s="9"/>
    </row>
    <row r="662" spans="1:17" ht="15.75" customHeight="1">
      <c r="A662" s="7" t="s">
        <v>953</v>
      </c>
      <c r="B662" s="7" t="s">
        <v>148</v>
      </c>
      <c r="C662" s="7" t="s">
        <v>278</v>
      </c>
      <c r="D662" s="7" t="s">
        <v>149</v>
      </c>
      <c r="E662" s="7" t="s">
        <v>149</v>
      </c>
      <c r="F662" s="8" t="str">
        <f>_xlfn.IFNA(INDEX('HS Codes'!$D$2:$K3216,MATCH($B662,'HS Codes'!$A$2:$A3216,0),MATCH(F$1,'HS Codes'!$D$1:$K$1,0)),"")</f>
        <v>6101.90.90.30</v>
      </c>
      <c r="G662" s="8">
        <f>_xlfn.IFNA(INDEX('HS Codes'!$D$2:$K3216,MATCH($B662,'HS Codes'!$A$2:$A3216,0),MATCH(G$1,'HS Codes'!$D$1:$K$1,0)),"")</f>
        <v>6101309000</v>
      </c>
      <c r="H662" s="8">
        <f>_xlfn.IFNA(INDEX('HS Codes'!$D$2:$K3216,MATCH($B662,'HS Codes'!$A$2:$A3216,0),MATCH(H$1,'HS Codes'!$D$1:$K$1,0)),"")</f>
        <v>6112399000</v>
      </c>
      <c r="I662" s="8" t="str">
        <f>_xlfn.IFNA(INDEX('HS Codes'!$D$2:$K3216,MATCH($B662,'HS Codes'!$A$2:$A3216,0),MATCH(I$1,'HS Codes'!$D$1:$K$1,0)),"")</f>
        <v>6211 4390 00</v>
      </c>
      <c r="J662" s="8">
        <f>_xlfn.IFNA(INDEX('HS Codes'!$D$2:$K3216,MATCH($B662,'HS Codes'!$A$2:$A3216,0),MATCH(J$1,'HS Codes'!$D$1:$K$1,0)),"")</f>
        <v>6117109000</v>
      </c>
      <c r="K662" s="8" t="str">
        <f>_xlfn.IFNA(INDEX('HS Codes'!$D$2:$K3216,MATCH($B662,'HS Codes'!$A$2:$A3216,0),MATCH(K$1,'HS Codes'!$D$1:$K$1,0)),"")</f>
        <v>6112.39.00</v>
      </c>
      <c r="L662" s="8">
        <f>_xlfn.IFNA(INDEX('HS Codes'!$D$2:$K3216,MATCH($B662,'HS Codes'!$A$2:$A3216,0),MATCH(L$1,'HS Codes'!$D$1:$K$1,0)),"")</f>
        <v>6202</v>
      </c>
      <c r="M662" s="8" t="str">
        <f>_xlfn.IFNA(INDEX('HS Codes'!$C$2:$C3216,MATCH($B662,'HS Codes'!$A$2:$A3216,0)),"")</f>
        <v>Beach Robe or Cloak 100% recycled 220 GSM/83% polyester/17% polyamide includes cotton on the packing pouch drawstring</v>
      </c>
      <c r="N662" s="9"/>
      <c r="O662" s="9"/>
      <c r="P662" s="9"/>
      <c r="Q662" s="9"/>
    </row>
    <row r="663" spans="1:17" ht="15.75" customHeight="1">
      <c r="A663" s="7" t="s">
        <v>954</v>
      </c>
      <c r="B663" s="7" t="s">
        <v>148</v>
      </c>
      <c r="C663" s="7" t="s">
        <v>278</v>
      </c>
      <c r="D663" s="7" t="s">
        <v>149</v>
      </c>
      <c r="E663" s="7" t="s">
        <v>149</v>
      </c>
      <c r="F663" s="8" t="str">
        <f>_xlfn.IFNA(INDEX('HS Codes'!$D$2:$K3217,MATCH($B663,'HS Codes'!$A$2:$A3217,0),MATCH(F$1,'HS Codes'!$D$1:$K$1,0)),"")</f>
        <v>6101.90.90.30</v>
      </c>
      <c r="G663" s="8">
        <f>_xlfn.IFNA(INDEX('HS Codes'!$D$2:$K3217,MATCH($B663,'HS Codes'!$A$2:$A3217,0),MATCH(G$1,'HS Codes'!$D$1:$K$1,0)),"")</f>
        <v>6101309000</v>
      </c>
      <c r="H663" s="8">
        <f>_xlfn.IFNA(INDEX('HS Codes'!$D$2:$K3217,MATCH($B663,'HS Codes'!$A$2:$A3217,0),MATCH(H$1,'HS Codes'!$D$1:$K$1,0)),"")</f>
        <v>6112399000</v>
      </c>
      <c r="I663" s="8" t="str">
        <f>_xlfn.IFNA(INDEX('HS Codes'!$D$2:$K3217,MATCH($B663,'HS Codes'!$A$2:$A3217,0),MATCH(I$1,'HS Codes'!$D$1:$K$1,0)),"")</f>
        <v>6211 4390 00</v>
      </c>
      <c r="J663" s="8">
        <f>_xlfn.IFNA(INDEX('HS Codes'!$D$2:$K3217,MATCH($B663,'HS Codes'!$A$2:$A3217,0),MATCH(J$1,'HS Codes'!$D$1:$K$1,0)),"")</f>
        <v>6117109000</v>
      </c>
      <c r="K663" s="8" t="str">
        <f>_xlfn.IFNA(INDEX('HS Codes'!$D$2:$K3217,MATCH($B663,'HS Codes'!$A$2:$A3217,0),MATCH(K$1,'HS Codes'!$D$1:$K$1,0)),"")</f>
        <v>6112.39.00</v>
      </c>
      <c r="L663" s="8">
        <f>_xlfn.IFNA(INDEX('HS Codes'!$D$2:$K3217,MATCH($B663,'HS Codes'!$A$2:$A3217,0),MATCH(L$1,'HS Codes'!$D$1:$K$1,0)),"")</f>
        <v>6202</v>
      </c>
      <c r="M663" s="8" t="str">
        <f>_xlfn.IFNA(INDEX('HS Codes'!$C$2:$C3217,MATCH($B663,'HS Codes'!$A$2:$A3217,0)),"")</f>
        <v>Beach Robe or Cloak 100% recycled 220 GSM/83% polyester/17% polyamide includes cotton on the packing pouch drawstring</v>
      </c>
      <c r="N663" s="9"/>
      <c r="O663" s="9"/>
      <c r="P663" s="9"/>
      <c r="Q663" s="9"/>
    </row>
    <row r="664" spans="1:17" ht="15.75" customHeight="1">
      <c r="A664" s="7" t="s">
        <v>955</v>
      </c>
      <c r="B664" s="7" t="s">
        <v>148</v>
      </c>
      <c r="C664" s="7" t="s">
        <v>278</v>
      </c>
      <c r="D664" s="7" t="s">
        <v>149</v>
      </c>
      <c r="E664" s="7" t="s">
        <v>149</v>
      </c>
      <c r="F664" s="8" t="str">
        <f>_xlfn.IFNA(INDEX('HS Codes'!$D$2:$K3218,MATCH($B664,'HS Codes'!$A$2:$A3218,0),MATCH(F$1,'HS Codes'!$D$1:$K$1,0)),"")</f>
        <v>6101.90.90.30</v>
      </c>
      <c r="G664" s="8">
        <f>_xlfn.IFNA(INDEX('HS Codes'!$D$2:$K3218,MATCH($B664,'HS Codes'!$A$2:$A3218,0),MATCH(G$1,'HS Codes'!$D$1:$K$1,0)),"")</f>
        <v>6101309000</v>
      </c>
      <c r="H664" s="8">
        <f>_xlfn.IFNA(INDEX('HS Codes'!$D$2:$K3218,MATCH($B664,'HS Codes'!$A$2:$A3218,0),MATCH(H$1,'HS Codes'!$D$1:$K$1,0)),"")</f>
        <v>6112399000</v>
      </c>
      <c r="I664" s="8" t="str">
        <f>_xlfn.IFNA(INDEX('HS Codes'!$D$2:$K3218,MATCH($B664,'HS Codes'!$A$2:$A3218,0),MATCH(I$1,'HS Codes'!$D$1:$K$1,0)),"")</f>
        <v>6211 4390 00</v>
      </c>
      <c r="J664" s="8">
        <f>_xlfn.IFNA(INDEX('HS Codes'!$D$2:$K3218,MATCH($B664,'HS Codes'!$A$2:$A3218,0),MATCH(J$1,'HS Codes'!$D$1:$K$1,0)),"")</f>
        <v>6117109000</v>
      </c>
      <c r="K664" s="8" t="str">
        <f>_xlfn.IFNA(INDEX('HS Codes'!$D$2:$K3218,MATCH($B664,'HS Codes'!$A$2:$A3218,0),MATCH(K$1,'HS Codes'!$D$1:$K$1,0)),"")</f>
        <v>6112.39.00</v>
      </c>
      <c r="L664" s="8">
        <f>_xlfn.IFNA(INDEX('HS Codes'!$D$2:$K3218,MATCH($B664,'HS Codes'!$A$2:$A3218,0),MATCH(L$1,'HS Codes'!$D$1:$K$1,0)),"")</f>
        <v>6202</v>
      </c>
      <c r="M664" s="8" t="str">
        <f>_xlfn.IFNA(INDEX('HS Codes'!$C$2:$C3218,MATCH($B664,'HS Codes'!$A$2:$A3218,0)),"")</f>
        <v>Beach Robe or Cloak 100% recycled 220 GSM/83% polyester/17% polyamide includes cotton on the packing pouch drawstring</v>
      </c>
      <c r="N664" s="9"/>
      <c r="O664" s="9"/>
      <c r="P664" s="9"/>
      <c r="Q664" s="9"/>
    </row>
    <row r="665" spans="1:17" ht="15.75" customHeight="1">
      <c r="A665" s="7" t="s">
        <v>956</v>
      </c>
      <c r="B665" s="7" t="s">
        <v>148</v>
      </c>
      <c r="C665" s="7" t="s">
        <v>278</v>
      </c>
      <c r="D665" s="7" t="s">
        <v>149</v>
      </c>
      <c r="E665" s="7" t="s">
        <v>149</v>
      </c>
      <c r="F665" s="8" t="str">
        <f>_xlfn.IFNA(INDEX('HS Codes'!$D$2:$K3219,MATCH($B665,'HS Codes'!$A$2:$A3219,0),MATCH(F$1,'HS Codes'!$D$1:$K$1,0)),"")</f>
        <v>6101.90.90.30</v>
      </c>
      <c r="G665" s="8">
        <f>_xlfn.IFNA(INDEX('HS Codes'!$D$2:$K3219,MATCH($B665,'HS Codes'!$A$2:$A3219,0),MATCH(G$1,'HS Codes'!$D$1:$K$1,0)),"")</f>
        <v>6101309000</v>
      </c>
      <c r="H665" s="8">
        <f>_xlfn.IFNA(INDEX('HS Codes'!$D$2:$K3219,MATCH($B665,'HS Codes'!$A$2:$A3219,0),MATCH(H$1,'HS Codes'!$D$1:$K$1,0)),"")</f>
        <v>6112399000</v>
      </c>
      <c r="I665" s="8" t="str">
        <f>_xlfn.IFNA(INDEX('HS Codes'!$D$2:$K3219,MATCH($B665,'HS Codes'!$A$2:$A3219,0),MATCH(I$1,'HS Codes'!$D$1:$K$1,0)),"")</f>
        <v>6211 4390 00</v>
      </c>
      <c r="J665" s="8">
        <f>_xlfn.IFNA(INDEX('HS Codes'!$D$2:$K3219,MATCH($B665,'HS Codes'!$A$2:$A3219,0),MATCH(J$1,'HS Codes'!$D$1:$K$1,0)),"")</f>
        <v>6117109000</v>
      </c>
      <c r="K665" s="8" t="str">
        <f>_xlfn.IFNA(INDEX('HS Codes'!$D$2:$K3219,MATCH($B665,'HS Codes'!$A$2:$A3219,0),MATCH(K$1,'HS Codes'!$D$1:$K$1,0)),"")</f>
        <v>6112.39.00</v>
      </c>
      <c r="L665" s="8">
        <f>_xlfn.IFNA(INDEX('HS Codes'!$D$2:$K3219,MATCH($B665,'HS Codes'!$A$2:$A3219,0),MATCH(L$1,'HS Codes'!$D$1:$K$1,0)),"")</f>
        <v>6202</v>
      </c>
      <c r="M665" s="8" t="str">
        <f>_xlfn.IFNA(INDEX('HS Codes'!$C$2:$C3219,MATCH($B665,'HS Codes'!$A$2:$A3219,0)),"")</f>
        <v>Beach Robe or Cloak 100% recycled 220 GSM/83% polyester/17% polyamide includes cotton on the packing pouch drawstring</v>
      </c>
      <c r="N665" s="9"/>
      <c r="O665" s="9"/>
      <c r="P665" s="9"/>
      <c r="Q665" s="9"/>
    </row>
    <row r="666" spans="1:17" ht="15.75" customHeight="1">
      <c r="A666" s="7" t="s">
        <v>957</v>
      </c>
      <c r="B666" s="7" t="s">
        <v>148</v>
      </c>
      <c r="C666" s="7" t="s">
        <v>278</v>
      </c>
      <c r="D666" s="7" t="s">
        <v>149</v>
      </c>
      <c r="E666" s="7" t="s">
        <v>149</v>
      </c>
      <c r="F666" s="8" t="str">
        <f>_xlfn.IFNA(INDEX('HS Codes'!$D$2:$K3220,MATCH($B666,'HS Codes'!$A$2:$A3220,0),MATCH(F$1,'HS Codes'!$D$1:$K$1,0)),"")</f>
        <v>6101.90.90.30</v>
      </c>
      <c r="G666" s="8">
        <f>_xlfn.IFNA(INDEX('HS Codes'!$D$2:$K3220,MATCH($B666,'HS Codes'!$A$2:$A3220,0),MATCH(G$1,'HS Codes'!$D$1:$K$1,0)),"")</f>
        <v>6101309000</v>
      </c>
      <c r="H666" s="8">
        <f>_xlfn.IFNA(INDEX('HS Codes'!$D$2:$K3220,MATCH($B666,'HS Codes'!$A$2:$A3220,0),MATCH(H$1,'HS Codes'!$D$1:$K$1,0)),"")</f>
        <v>6112399000</v>
      </c>
      <c r="I666" s="8" t="str">
        <f>_xlfn.IFNA(INDEX('HS Codes'!$D$2:$K3220,MATCH($B666,'HS Codes'!$A$2:$A3220,0),MATCH(I$1,'HS Codes'!$D$1:$K$1,0)),"")</f>
        <v>6211 4390 00</v>
      </c>
      <c r="J666" s="8">
        <f>_xlfn.IFNA(INDEX('HS Codes'!$D$2:$K3220,MATCH($B666,'HS Codes'!$A$2:$A3220,0),MATCH(J$1,'HS Codes'!$D$1:$K$1,0)),"")</f>
        <v>6117109000</v>
      </c>
      <c r="K666" s="8" t="str">
        <f>_xlfn.IFNA(INDEX('HS Codes'!$D$2:$K3220,MATCH($B666,'HS Codes'!$A$2:$A3220,0),MATCH(K$1,'HS Codes'!$D$1:$K$1,0)),"")</f>
        <v>6112.39.00</v>
      </c>
      <c r="L666" s="8">
        <f>_xlfn.IFNA(INDEX('HS Codes'!$D$2:$K3220,MATCH($B666,'HS Codes'!$A$2:$A3220,0),MATCH(L$1,'HS Codes'!$D$1:$K$1,0)),"")</f>
        <v>6202</v>
      </c>
      <c r="M666" s="8" t="str">
        <f>_xlfn.IFNA(INDEX('HS Codes'!$C$2:$C3220,MATCH($B666,'HS Codes'!$A$2:$A3220,0)),"")</f>
        <v>Beach Robe or Cloak 100% recycled 220 GSM/83% polyester/17% polyamide includes cotton on the packing pouch drawstring</v>
      </c>
      <c r="N666" s="9"/>
      <c r="O666" s="9"/>
      <c r="P666" s="9"/>
      <c r="Q666" s="9"/>
    </row>
    <row r="667" spans="1:17" ht="15.75" customHeight="1">
      <c r="A667" s="7" t="s">
        <v>958</v>
      </c>
      <c r="B667" s="7" t="s">
        <v>148</v>
      </c>
      <c r="C667" s="7" t="s">
        <v>278</v>
      </c>
      <c r="D667" s="7" t="s">
        <v>149</v>
      </c>
      <c r="E667" s="7" t="s">
        <v>149</v>
      </c>
      <c r="F667" s="8" t="str">
        <f>_xlfn.IFNA(INDEX('HS Codes'!$D$2:$K3221,MATCH($B667,'HS Codes'!$A$2:$A3221,0),MATCH(F$1,'HS Codes'!$D$1:$K$1,0)),"")</f>
        <v>6101.90.90.30</v>
      </c>
      <c r="G667" s="8">
        <f>_xlfn.IFNA(INDEX('HS Codes'!$D$2:$K3221,MATCH($B667,'HS Codes'!$A$2:$A3221,0),MATCH(G$1,'HS Codes'!$D$1:$K$1,0)),"")</f>
        <v>6101309000</v>
      </c>
      <c r="H667" s="8">
        <f>_xlfn.IFNA(INDEX('HS Codes'!$D$2:$K3221,MATCH($B667,'HS Codes'!$A$2:$A3221,0),MATCH(H$1,'HS Codes'!$D$1:$K$1,0)),"")</f>
        <v>6112399000</v>
      </c>
      <c r="I667" s="8" t="str">
        <f>_xlfn.IFNA(INDEX('HS Codes'!$D$2:$K3221,MATCH($B667,'HS Codes'!$A$2:$A3221,0),MATCH(I$1,'HS Codes'!$D$1:$K$1,0)),"")</f>
        <v>6211 4390 00</v>
      </c>
      <c r="J667" s="8">
        <f>_xlfn.IFNA(INDEX('HS Codes'!$D$2:$K3221,MATCH($B667,'HS Codes'!$A$2:$A3221,0),MATCH(J$1,'HS Codes'!$D$1:$K$1,0)),"")</f>
        <v>6117109000</v>
      </c>
      <c r="K667" s="8" t="str">
        <f>_xlfn.IFNA(INDEX('HS Codes'!$D$2:$K3221,MATCH($B667,'HS Codes'!$A$2:$A3221,0),MATCH(K$1,'HS Codes'!$D$1:$K$1,0)),"")</f>
        <v>6112.39.00</v>
      </c>
      <c r="L667" s="8">
        <f>_xlfn.IFNA(INDEX('HS Codes'!$D$2:$K3221,MATCH($B667,'HS Codes'!$A$2:$A3221,0),MATCH(L$1,'HS Codes'!$D$1:$K$1,0)),"")</f>
        <v>6202</v>
      </c>
      <c r="M667" s="8" t="str">
        <f>_xlfn.IFNA(INDEX('HS Codes'!$C$2:$C3221,MATCH($B667,'HS Codes'!$A$2:$A3221,0)),"")</f>
        <v>Beach Robe or Cloak 100% recycled 220 GSM/83% polyester/17% polyamide includes cotton on the packing pouch drawstring</v>
      </c>
      <c r="N667" s="9"/>
      <c r="O667" s="9"/>
      <c r="P667" s="9"/>
      <c r="Q667" s="9"/>
    </row>
    <row r="668" spans="1:17" ht="15.75" customHeight="1">
      <c r="A668" s="7" t="s">
        <v>959</v>
      </c>
      <c r="B668" s="7" t="s">
        <v>148</v>
      </c>
      <c r="C668" s="7" t="s">
        <v>278</v>
      </c>
      <c r="D668" s="7" t="s">
        <v>149</v>
      </c>
      <c r="E668" s="7" t="s">
        <v>149</v>
      </c>
      <c r="F668" s="8" t="str">
        <f>_xlfn.IFNA(INDEX('HS Codes'!$D$2:$K3222,MATCH($B668,'HS Codes'!$A$2:$A3222,0),MATCH(F$1,'HS Codes'!$D$1:$K$1,0)),"")</f>
        <v>6101.90.90.30</v>
      </c>
      <c r="G668" s="8">
        <f>_xlfn.IFNA(INDEX('HS Codes'!$D$2:$K3222,MATCH($B668,'HS Codes'!$A$2:$A3222,0),MATCH(G$1,'HS Codes'!$D$1:$K$1,0)),"")</f>
        <v>6101309000</v>
      </c>
      <c r="H668" s="8">
        <f>_xlfn.IFNA(INDEX('HS Codes'!$D$2:$K3222,MATCH($B668,'HS Codes'!$A$2:$A3222,0),MATCH(H$1,'HS Codes'!$D$1:$K$1,0)),"")</f>
        <v>6112399000</v>
      </c>
      <c r="I668" s="8" t="str">
        <f>_xlfn.IFNA(INDEX('HS Codes'!$D$2:$K3222,MATCH($B668,'HS Codes'!$A$2:$A3222,0),MATCH(I$1,'HS Codes'!$D$1:$K$1,0)),"")</f>
        <v>6211 4390 00</v>
      </c>
      <c r="J668" s="8">
        <f>_xlfn.IFNA(INDEX('HS Codes'!$D$2:$K3222,MATCH($B668,'HS Codes'!$A$2:$A3222,0),MATCH(J$1,'HS Codes'!$D$1:$K$1,0)),"")</f>
        <v>6117109000</v>
      </c>
      <c r="K668" s="8" t="str">
        <f>_xlfn.IFNA(INDEX('HS Codes'!$D$2:$K3222,MATCH($B668,'HS Codes'!$A$2:$A3222,0),MATCH(K$1,'HS Codes'!$D$1:$K$1,0)),"")</f>
        <v>6112.39.00</v>
      </c>
      <c r="L668" s="8">
        <f>_xlfn.IFNA(INDEX('HS Codes'!$D$2:$K3222,MATCH($B668,'HS Codes'!$A$2:$A3222,0),MATCH(L$1,'HS Codes'!$D$1:$K$1,0)),"")</f>
        <v>6202</v>
      </c>
      <c r="M668" s="8" t="str">
        <f>_xlfn.IFNA(INDEX('HS Codes'!$C$2:$C3222,MATCH($B668,'HS Codes'!$A$2:$A3222,0)),"")</f>
        <v>Beach Robe or Cloak 100% recycled 220 GSM/83% polyester/17% polyamide includes cotton on the packing pouch drawstring</v>
      </c>
      <c r="N668" s="9"/>
      <c r="O668" s="9"/>
      <c r="P668" s="9"/>
      <c r="Q668" s="9"/>
    </row>
    <row r="669" spans="1:17" ht="15.75" customHeight="1">
      <c r="A669" s="7" t="s">
        <v>960</v>
      </c>
      <c r="B669" s="7" t="s">
        <v>148</v>
      </c>
      <c r="C669" s="7" t="s">
        <v>278</v>
      </c>
      <c r="D669" s="7" t="s">
        <v>149</v>
      </c>
      <c r="E669" s="7" t="s">
        <v>149</v>
      </c>
      <c r="F669" s="8" t="str">
        <f>_xlfn.IFNA(INDEX('HS Codes'!$D$2:$K3223,MATCH($B669,'HS Codes'!$A$2:$A3223,0),MATCH(F$1,'HS Codes'!$D$1:$K$1,0)),"")</f>
        <v>6101.90.90.30</v>
      </c>
      <c r="G669" s="8">
        <f>_xlfn.IFNA(INDEX('HS Codes'!$D$2:$K3223,MATCH($B669,'HS Codes'!$A$2:$A3223,0),MATCH(G$1,'HS Codes'!$D$1:$K$1,0)),"")</f>
        <v>6101309000</v>
      </c>
      <c r="H669" s="8">
        <f>_xlfn.IFNA(INDEX('HS Codes'!$D$2:$K3223,MATCH($B669,'HS Codes'!$A$2:$A3223,0),MATCH(H$1,'HS Codes'!$D$1:$K$1,0)),"")</f>
        <v>6112399000</v>
      </c>
      <c r="I669" s="8" t="str">
        <f>_xlfn.IFNA(INDEX('HS Codes'!$D$2:$K3223,MATCH($B669,'HS Codes'!$A$2:$A3223,0),MATCH(I$1,'HS Codes'!$D$1:$K$1,0)),"")</f>
        <v>6211 4390 00</v>
      </c>
      <c r="J669" s="8">
        <f>_xlfn.IFNA(INDEX('HS Codes'!$D$2:$K3223,MATCH($B669,'HS Codes'!$A$2:$A3223,0),MATCH(J$1,'HS Codes'!$D$1:$K$1,0)),"")</f>
        <v>6117109000</v>
      </c>
      <c r="K669" s="8" t="str">
        <f>_xlfn.IFNA(INDEX('HS Codes'!$D$2:$K3223,MATCH($B669,'HS Codes'!$A$2:$A3223,0),MATCH(K$1,'HS Codes'!$D$1:$K$1,0)),"")</f>
        <v>6112.39.00</v>
      </c>
      <c r="L669" s="8">
        <f>_xlfn.IFNA(INDEX('HS Codes'!$D$2:$K3223,MATCH($B669,'HS Codes'!$A$2:$A3223,0),MATCH(L$1,'HS Codes'!$D$1:$K$1,0)),"")</f>
        <v>6202</v>
      </c>
      <c r="M669" s="8" t="str">
        <f>_xlfn.IFNA(INDEX('HS Codes'!$C$2:$C3223,MATCH($B669,'HS Codes'!$A$2:$A3223,0)),"")</f>
        <v>Beach Robe or Cloak 100% recycled 220 GSM/83% polyester/17% polyamide includes cotton on the packing pouch drawstring</v>
      </c>
      <c r="N669" s="9"/>
      <c r="O669" s="9"/>
      <c r="P669" s="9"/>
      <c r="Q669" s="9"/>
    </row>
    <row r="670" spans="1:17" ht="15.75" customHeight="1">
      <c r="A670" s="7" t="s">
        <v>961</v>
      </c>
      <c r="B670" s="7" t="s">
        <v>148</v>
      </c>
      <c r="C670" s="7" t="s">
        <v>278</v>
      </c>
      <c r="D670" s="7" t="s">
        <v>149</v>
      </c>
      <c r="E670" s="7" t="s">
        <v>149</v>
      </c>
      <c r="F670" s="8" t="str">
        <f>_xlfn.IFNA(INDEX('HS Codes'!$D$2:$K3224,MATCH($B670,'HS Codes'!$A$2:$A3224,0),MATCH(F$1,'HS Codes'!$D$1:$K$1,0)),"")</f>
        <v>6101.90.90.30</v>
      </c>
      <c r="G670" s="8">
        <f>_xlfn.IFNA(INDEX('HS Codes'!$D$2:$K3224,MATCH($B670,'HS Codes'!$A$2:$A3224,0),MATCH(G$1,'HS Codes'!$D$1:$K$1,0)),"")</f>
        <v>6101309000</v>
      </c>
      <c r="H670" s="8">
        <f>_xlfn.IFNA(INDEX('HS Codes'!$D$2:$K3224,MATCH($B670,'HS Codes'!$A$2:$A3224,0),MATCH(H$1,'HS Codes'!$D$1:$K$1,0)),"")</f>
        <v>6112399000</v>
      </c>
      <c r="I670" s="8" t="str">
        <f>_xlfn.IFNA(INDEX('HS Codes'!$D$2:$K3224,MATCH($B670,'HS Codes'!$A$2:$A3224,0),MATCH(I$1,'HS Codes'!$D$1:$K$1,0)),"")</f>
        <v>6211 4390 00</v>
      </c>
      <c r="J670" s="8">
        <f>_xlfn.IFNA(INDEX('HS Codes'!$D$2:$K3224,MATCH($B670,'HS Codes'!$A$2:$A3224,0),MATCH(J$1,'HS Codes'!$D$1:$K$1,0)),"")</f>
        <v>6117109000</v>
      </c>
      <c r="K670" s="8" t="str">
        <f>_xlfn.IFNA(INDEX('HS Codes'!$D$2:$K3224,MATCH($B670,'HS Codes'!$A$2:$A3224,0),MATCH(K$1,'HS Codes'!$D$1:$K$1,0)),"")</f>
        <v>6112.39.00</v>
      </c>
      <c r="L670" s="8">
        <f>_xlfn.IFNA(INDEX('HS Codes'!$D$2:$K3224,MATCH($B670,'HS Codes'!$A$2:$A3224,0),MATCH(L$1,'HS Codes'!$D$1:$K$1,0)),"")</f>
        <v>6202</v>
      </c>
      <c r="M670" s="8" t="str">
        <f>_xlfn.IFNA(INDEX('HS Codes'!$C$2:$C3224,MATCH($B670,'HS Codes'!$A$2:$A3224,0)),"")</f>
        <v>Beach Robe or Cloak 100% recycled 220 GSM/83% polyester/17% polyamide includes cotton on the packing pouch drawstring</v>
      </c>
      <c r="N670" s="9"/>
      <c r="O670" s="9"/>
      <c r="P670" s="9"/>
      <c r="Q670" s="9"/>
    </row>
    <row r="671" spans="1:17" ht="15.75" customHeight="1">
      <c r="A671" s="7" t="s">
        <v>962</v>
      </c>
      <c r="B671" s="7" t="s">
        <v>142</v>
      </c>
      <c r="C671" s="7" t="s">
        <v>278</v>
      </c>
      <c r="D671" s="7" t="s">
        <v>143</v>
      </c>
      <c r="E671" s="7" t="s">
        <v>143</v>
      </c>
      <c r="F671" s="8" t="str">
        <f>_xlfn.IFNA(INDEX('HS Codes'!$D$2:$K3225,MATCH($B671,'HS Codes'!$A$2:$A3225,0),MATCH(F$1,'HS Codes'!$D$1:$K$1,0)),"")</f>
        <v>6101.90.90.30</v>
      </c>
      <c r="G671" s="8">
        <f>_xlfn.IFNA(INDEX('HS Codes'!$D$2:$K3225,MATCH($B671,'HS Codes'!$A$2:$A3225,0),MATCH(G$1,'HS Codes'!$D$1:$K$1,0)),"")</f>
        <v>6101309000</v>
      </c>
      <c r="H671" s="8">
        <f>_xlfn.IFNA(INDEX('HS Codes'!$D$2:$K3225,MATCH($B671,'HS Codes'!$A$2:$A3225,0),MATCH(H$1,'HS Codes'!$D$1:$K$1,0)),"")</f>
        <v>6112399000</v>
      </c>
      <c r="I671" s="8" t="str">
        <f>_xlfn.IFNA(INDEX('HS Codes'!$D$2:$K3225,MATCH($B671,'HS Codes'!$A$2:$A3225,0),MATCH(I$1,'HS Codes'!$D$1:$K$1,0)),"")</f>
        <v>6211 4390 00</v>
      </c>
      <c r="J671" s="8">
        <f>_xlfn.IFNA(INDEX('HS Codes'!$D$2:$K3225,MATCH($B671,'HS Codes'!$A$2:$A3225,0),MATCH(J$1,'HS Codes'!$D$1:$K$1,0)),"")</f>
        <v>6117109000</v>
      </c>
      <c r="K671" s="8" t="str">
        <f>_xlfn.IFNA(INDEX('HS Codes'!$D$2:$K3225,MATCH($B671,'HS Codes'!$A$2:$A3225,0),MATCH(K$1,'HS Codes'!$D$1:$K$1,0)),"")</f>
        <v>6112.39.00</v>
      </c>
      <c r="L671" s="8">
        <f>_xlfn.IFNA(INDEX('HS Codes'!$D$2:$K3225,MATCH($B671,'HS Codes'!$A$2:$A3225,0),MATCH(L$1,'HS Codes'!$D$1:$K$1,0)),"")</f>
        <v>6202</v>
      </c>
      <c r="M671" s="8" t="str">
        <f>_xlfn.IFNA(INDEX('HS Codes'!$C$2:$C3225,MATCH($B671,'HS Codes'!$A$2:$A3225,0)),"")</f>
        <v>Beach Robe or Cloak 100% recycled 220 GSM/83% polyester/17% polyamide includes cotton on the packing pouch drawstring</v>
      </c>
      <c r="N671" s="9"/>
      <c r="O671" s="9"/>
      <c r="P671" s="9"/>
      <c r="Q671" s="9"/>
    </row>
    <row r="672" spans="1:17" ht="15.75" customHeight="1">
      <c r="A672" s="7" t="s">
        <v>963</v>
      </c>
      <c r="B672" s="7" t="s">
        <v>148</v>
      </c>
      <c r="C672" s="7" t="s">
        <v>278</v>
      </c>
      <c r="D672" s="7" t="s">
        <v>149</v>
      </c>
      <c r="E672" s="7" t="s">
        <v>149</v>
      </c>
      <c r="F672" s="8" t="str">
        <f>_xlfn.IFNA(INDEX('HS Codes'!$D$2:$K3226,MATCH($B672,'HS Codes'!$A$2:$A3226,0),MATCH(F$1,'HS Codes'!$D$1:$K$1,0)),"")</f>
        <v>6101.90.90.30</v>
      </c>
      <c r="G672" s="8">
        <f>_xlfn.IFNA(INDEX('HS Codes'!$D$2:$K3226,MATCH($B672,'HS Codes'!$A$2:$A3226,0),MATCH(G$1,'HS Codes'!$D$1:$K$1,0)),"")</f>
        <v>6101309000</v>
      </c>
      <c r="H672" s="8">
        <f>_xlfn.IFNA(INDEX('HS Codes'!$D$2:$K3226,MATCH($B672,'HS Codes'!$A$2:$A3226,0),MATCH(H$1,'HS Codes'!$D$1:$K$1,0)),"")</f>
        <v>6112399000</v>
      </c>
      <c r="I672" s="8" t="str">
        <f>_xlfn.IFNA(INDEX('HS Codes'!$D$2:$K3226,MATCH($B672,'HS Codes'!$A$2:$A3226,0),MATCH(I$1,'HS Codes'!$D$1:$K$1,0)),"")</f>
        <v>6211 4390 00</v>
      </c>
      <c r="J672" s="8">
        <f>_xlfn.IFNA(INDEX('HS Codes'!$D$2:$K3226,MATCH($B672,'HS Codes'!$A$2:$A3226,0),MATCH(J$1,'HS Codes'!$D$1:$K$1,0)),"")</f>
        <v>6117109000</v>
      </c>
      <c r="K672" s="8" t="str">
        <f>_xlfn.IFNA(INDEX('HS Codes'!$D$2:$K3226,MATCH($B672,'HS Codes'!$A$2:$A3226,0),MATCH(K$1,'HS Codes'!$D$1:$K$1,0)),"")</f>
        <v>6112.39.00</v>
      </c>
      <c r="L672" s="8">
        <f>_xlfn.IFNA(INDEX('HS Codes'!$D$2:$K3226,MATCH($B672,'HS Codes'!$A$2:$A3226,0),MATCH(L$1,'HS Codes'!$D$1:$K$1,0)),"")</f>
        <v>6202</v>
      </c>
      <c r="M672" s="8" t="str">
        <f>_xlfn.IFNA(INDEX('HS Codes'!$C$2:$C3226,MATCH($B672,'HS Codes'!$A$2:$A3226,0)),"")</f>
        <v>Beach Robe or Cloak 100% recycled 220 GSM/83% polyester/17% polyamide includes cotton on the packing pouch drawstring</v>
      </c>
      <c r="N672" s="9"/>
      <c r="O672" s="9"/>
      <c r="P672" s="9"/>
      <c r="Q672" s="9"/>
    </row>
    <row r="673" spans="1:17" ht="15.75" customHeight="1">
      <c r="A673" s="7" t="s">
        <v>964</v>
      </c>
      <c r="B673" s="7" t="s">
        <v>148</v>
      </c>
      <c r="C673" s="7" t="s">
        <v>278</v>
      </c>
      <c r="D673" s="7" t="s">
        <v>149</v>
      </c>
      <c r="E673" s="7" t="s">
        <v>149</v>
      </c>
      <c r="F673" s="8" t="str">
        <f>_xlfn.IFNA(INDEX('HS Codes'!$D$2:$K3227,MATCH($B673,'HS Codes'!$A$2:$A3227,0),MATCH(F$1,'HS Codes'!$D$1:$K$1,0)),"")</f>
        <v>6101.90.90.30</v>
      </c>
      <c r="G673" s="8">
        <f>_xlfn.IFNA(INDEX('HS Codes'!$D$2:$K3227,MATCH($B673,'HS Codes'!$A$2:$A3227,0),MATCH(G$1,'HS Codes'!$D$1:$K$1,0)),"")</f>
        <v>6101309000</v>
      </c>
      <c r="H673" s="8">
        <f>_xlfn.IFNA(INDEX('HS Codes'!$D$2:$K3227,MATCH($B673,'HS Codes'!$A$2:$A3227,0),MATCH(H$1,'HS Codes'!$D$1:$K$1,0)),"")</f>
        <v>6112399000</v>
      </c>
      <c r="I673" s="8" t="str">
        <f>_xlfn.IFNA(INDEX('HS Codes'!$D$2:$K3227,MATCH($B673,'HS Codes'!$A$2:$A3227,0),MATCH(I$1,'HS Codes'!$D$1:$K$1,0)),"")</f>
        <v>6211 4390 00</v>
      </c>
      <c r="J673" s="8">
        <f>_xlfn.IFNA(INDEX('HS Codes'!$D$2:$K3227,MATCH($B673,'HS Codes'!$A$2:$A3227,0),MATCH(J$1,'HS Codes'!$D$1:$K$1,0)),"")</f>
        <v>6117109000</v>
      </c>
      <c r="K673" s="8" t="str">
        <f>_xlfn.IFNA(INDEX('HS Codes'!$D$2:$K3227,MATCH($B673,'HS Codes'!$A$2:$A3227,0),MATCH(K$1,'HS Codes'!$D$1:$K$1,0)),"")</f>
        <v>6112.39.00</v>
      </c>
      <c r="L673" s="8">
        <f>_xlfn.IFNA(INDEX('HS Codes'!$D$2:$K3227,MATCH($B673,'HS Codes'!$A$2:$A3227,0),MATCH(L$1,'HS Codes'!$D$1:$K$1,0)),"")</f>
        <v>6202</v>
      </c>
      <c r="M673" s="8" t="str">
        <f>_xlfn.IFNA(INDEX('HS Codes'!$C$2:$C3227,MATCH($B673,'HS Codes'!$A$2:$A3227,0)),"")</f>
        <v>Beach Robe or Cloak 100% recycled 220 GSM/83% polyester/17% polyamide includes cotton on the packing pouch drawstring</v>
      </c>
      <c r="N673" s="9"/>
      <c r="O673" s="9"/>
      <c r="P673" s="9"/>
      <c r="Q673" s="9"/>
    </row>
    <row r="674" spans="1:17" ht="15.75" customHeight="1">
      <c r="A674" s="7" t="s">
        <v>965</v>
      </c>
      <c r="B674" s="7" t="s">
        <v>148</v>
      </c>
      <c r="C674" s="7" t="s">
        <v>278</v>
      </c>
      <c r="D674" s="7" t="s">
        <v>149</v>
      </c>
      <c r="E674" s="7" t="s">
        <v>149</v>
      </c>
      <c r="F674" s="8" t="str">
        <f>_xlfn.IFNA(INDEX('HS Codes'!$D$2:$K3228,MATCH($B674,'HS Codes'!$A$2:$A3228,0),MATCH(F$1,'HS Codes'!$D$1:$K$1,0)),"")</f>
        <v>6101.90.90.30</v>
      </c>
      <c r="G674" s="8">
        <f>_xlfn.IFNA(INDEX('HS Codes'!$D$2:$K3228,MATCH($B674,'HS Codes'!$A$2:$A3228,0),MATCH(G$1,'HS Codes'!$D$1:$K$1,0)),"")</f>
        <v>6101309000</v>
      </c>
      <c r="H674" s="8">
        <f>_xlfn.IFNA(INDEX('HS Codes'!$D$2:$K3228,MATCH($B674,'HS Codes'!$A$2:$A3228,0),MATCH(H$1,'HS Codes'!$D$1:$K$1,0)),"")</f>
        <v>6112399000</v>
      </c>
      <c r="I674" s="8" t="str">
        <f>_xlfn.IFNA(INDEX('HS Codes'!$D$2:$K3228,MATCH($B674,'HS Codes'!$A$2:$A3228,0),MATCH(I$1,'HS Codes'!$D$1:$K$1,0)),"")</f>
        <v>6211 4390 00</v>
      </c>
      <c r="J674" s="8">
        <f>_xlfn.IFNA(INDEX('HS Codes'!$D$2:$K3228,MATCH($B674,'HS Codes'!$A$2:$A3228,0),MATCH(J$1,'HS Codes'!$D$1:$K$1,0)),"")</f>
        <v>6117109000</v>
      </c>
      <c r="K674" s="8" t="str">
        <f>_xlfn.IFNA(INDEX('HS Codes'!$D$2:$K3228,MATCH($B674,'HS Codes'!$A$2:$A3228,0),MATCH(K$1,'HS Codes'!$D$1:$K$1,0)),"")</f>
        <v>6112.39.00</v>
      </c>
      <c r="L674" s="8">
        <f>_xlfn.IFNA(INDEX('HS Codes'!$D$2:$K3228,MATCH($B674,'HS Codes'!$A$2:$A3228,0),MATCH(L$1,'HS Codes'!$D$1:$K$1,0)),"")</f>
        <v>6202</v>
      </c>
      <c r="M674" s="8" t="str">
        <f>_xlfn.IFNA(INDEX('HS Codes'!$C$2:$C3228,MATCH($B674,'HS Codes'!$A$2:$A3228,0)),"")</f>
        <v>Beach Robe or Cloak 100% recycled 220 GSM/83% polyester/17% polyamide includes cotton on the packing pouch drawstring</v>
      </c>
      <c r="N674" s="9"/>
      <c r="O674" s="9"/>
      <c r="P674" s="9"/>
      <c r="Q674" s="9"/>
    </row>
    <row r="675" spans="1:17" ht="15.75" customHeight="1">
      <c r="A675" s="7" t="s">
        <v>966</v>
      </c>
      <c r="B675" s="7" t="s">
        <v>148</v>
      </c>
      <c r="C675" s="7" t="s">
        <v>278</v>
      </c>
      <c r="D675" s="7" t="s">
        <v>149</v>
      </c>
      <c r="E675" s="7" t="s">
        <v>149</v>
      </c>
      <c r="F675" s="8" t="str">
        <f>_xlfn.IFNA(INDEX('HS Codes'!$D$2:$K3229,MATCH($B675,'HS Codes'!$A$2:$A3229,0),MATCH(F$1,'HS Codes'!$D$1:$K$1,0)),"")</f>
        <v>6101.90.90.30</v>
      </c>
      <c r="G675" s="8">
        <f>_xlfn.IFNA(INDEX('HS Codes'!$D$2:$K3229,MATCH($B675,'HS Codes'!$A$2:$A3229,0),MATCH(G$1,'HS Codes'!$D$1:$K$1,0)),"")</f>
        <v>6101309000</v>
      </c>
      <c r="H675" s="8">
        <f>_xlfn.IFNA(INDEX('HS Codes'!$D$2:$K3229,MATCH($B675,'HS Codes'!$A$2:$A3229,0),MATCH(H$1,'HS Codes'!$D$1:$K$1,0)),"")</f>
        <v>6112399000</v>
      </c>
      <c r="I675" s="8" t="str">
        <f>_xlfn.IFNA(INDEX('HS Codes'!$D$2:$K3229,MATCH($B675,'HS Codes'!$A$2:$A3229,0),MATCH(I$1,'HS Codes'!$D$1:$K$1,0)),"")</f>
        <v>6211 4390 00</v>
      </c>
      <c r="J675" s="8">
        <f>_xlfn.IFNA(INDEX('HS Codes'!$D$2:$K3229,MATCH($B675,'HS Codes'!$A$2:$A3229,0),MATCH(J$1,'HS Codes'!$D$1:$K$1,0)),"")</f>
        <v>6117109000</v>
      </c>
      <c r="K675" s="8" t="str">
        <f>_xlfn.IFNA(INDEX('HS Codes'!$D$2:$K3229,MATCH($B675,'HS Codes'!$A$2:$A3229,0),MATCH(K$1,'HS Codes'!$D$1:$K$1,0)),"")</f>
        <v>6112.39.00</v>
      </c>
      <c r="L675" s="8">
        <f>_xlfn.IFNA(INDEX('HS Codes'!$D$2:$K3229,MATCH($B675,'HS Codes'!$A$2:$A3229,0),MATCH(L$1,'HS Codes'!$D$1:$K$1,0)),"")</f>
        <v>6202</v>
      </c>
      <c r="M675" s="8" t="str">
        <f>_xlfn.IFNA(INDEX('HS Codes'!$C$2:$C3229,MATCH($B675,'HS Codes'!$A$2:$A3229,0)),"")</f>
        <v>Beach Robe or Cloak 100% recycled 220 GSM/83% polyester/17% polyamide includes cotton on the packing pouch drawstring</v>
      </c>
      <c r="N675" s="9"/>
      <c r="O675" s="9"/>
      <c r="P675" s="9"/>
      <c r="Q675" s="9"/>
    </row>
    <row r="676" spans="1:17" ht="15.75" customHeight="1">
      <c r="A676" s="7" t="s">
        <v>967</v>
      </c>
      <c r="B676" s="7" t="s">
        <v>240</v>
      </c>
      <c r="C676" s="7"/>
      <c r="D676" s="7" t="s">
        <v>241</v>
      </c>
      <c r="E676" s="7" t="s">
        <v>523</v>
      </c>
      <c r="F676" s="8" t="str">
        <f>_xlfn.IFNA(INDEX('HS Codes'!$D$2:$K3230,MATCH($B676,'HS Codes'!$A$2:$A3230,0),MATCH(F$1,'HS Codes'!$D$1:$K$1,0)),"")</f>
        <v>4819.10.0040</v>
      </c>
      <c r="G676" s="8">
        <f>_xlfn.IFNA(INDEX('HS Codes'!$D$2:$K3230,MATCH($B676,'HS Codes'!$A$2:$A3230,0),MATCH(G$1,'HS Codes'!$D$1:$K$1,0)),"")</f>
        <v>4819100000</v>
      </c>
      <c r="H676" s="8">
        <f>_xlfn.IFNA(INDEX('HS Codes'!$D$2:$K3230,MATCH($B676,'HS Codes'!$A$2:$A3230,0),MATCH(H$1,'HS Codes'!$D$1:$K$1,0)),"")</f>
        <v>4819100000</v>
      </c>
      <c r="I676" s="8">
        <f>_xlfn.IFNA(INDEX('HS Codes'!$D$2:$K3230,MATCH($B676,'HS Codes'!$A$2:$A3230,0),MATCH(I$1,'HS Codes'!$D$1:$K$1,0)),"")</f>
        <v>48191000</v>
      </c>
      <c r="J676" s="8">
        <f>_xlfn.IFNA(INDEX('HS Codes'!$D$2:$K3230,MATCH($B676,'HS Codes'!$A$2:$A3230,0),MATCH(J$1,'HS Codes'!$D$1:$K$1,0)),"")</f>
        <v>0</v>
      </c>
      <c r="K676" s="8" t="str">
        <f>_xlfn.IFNA(INDEX('HS Codes'!$D$2:$K3230,MATCH($B676,'HS Codes'!$A$2:$A3230,0),MATCH(K$1,'HS Codes'!$D$1:$K$1,0)),"")</f>
        <v>4819.10.00</v>
      </c>
      <c r="L676" s="8">
        <f>_xlfn.IFNA(INDEX('HS Codes'!$D$2:$K3230,MATCH($B676,'HS Codes'!$A$2:$A3230,0),MATCH(L$1,'HS Codes'!$D$1:$K$1,0)),"")</f>
        <v>0</v>
      </c>
      <c r="M676" s="8" t="str">
        <f>_xlfn.IFNA(INDEX('HS Codes'!$C$2:$C3230,MATCH($B676,'HS Codes'!$A$2:$A3230,0)),"")</f>
        <v>Paperboard 100% recycled cardboard</v>
      </c>
      <c r="N676" s="9"/>
      <c r="O676" s="9"/>
      <c r="P676" s="9"/>
      <c r="Q676" s="9"/>
    </row>
    <row r="677" spans="1:17" ht="15.75" customHeight="1">
      <c r="A677" s="7" t="s">
        <v>968</v>
      </c>
      <c r="B677" s="7" t="s">
        <v>240</v>
      </c>
      <c r="C677" s="7"/>
      <c r="D677" s="7" t="s">
        <v>241</v>
      </c>
      <c r="E677" s="7" t="s">
        <v>523</v>
      </c>
      <c r="F677" s="8" t="str">
        <f>_xlfn.IFNA(INDEX('HS Codes'!$D$2:$K3231,MATCH($B677,'HS Codes'!$A$2:$A3231,0),MATCH(F$1,'HS Codes'!$D$1:$K$1,0)),"")</f>
        <v>4819.10.0040</v>
      </c>
      <c r="G677" s="8">
        <f>_xlfn.IFNA(INDEX('HS Codes'!$D$2:$K3231,MATCH($B677,'HS Codes'!$A$2:$A3231,0),MATCH(G$1,'HS Codes'!$D$1:$K$1,0)),"")</f>
        <v>4819100000</v>
      </c>
      <c r="H677" s="8">
        <f>_xlfn.IFNA(INDEX('HS Codes'!$D$2:$K3231,MATCH($B677,'HS Codes'!$A$2:$A3231,0),MATCH(H$1,'HS Codes'!$D$1:$K$1,0)),"")</f>
        <v>4819100000</v>
      </c>
      <c r="I677" s="8">
        <f>_xlfn.IFNA(INDEX('HS Codes'!$D$2:$K3231,MATCH($B677,'HS Codes'!$A$2:$A3231,0),MATCH(I$1,'HS Codes'!$D$1:$K$1,0)),"")</f>
        <v>48191000</v>
      </c>
      <c r="J677" s="8">
        <f>_xlfn.IFNA(INDEX('HS Codes'!$D$2:$K3231,MATCH($B677,'HS Codes'!$A$2:$A3231,0),MATCH(J$1,'HS Codes'!$D$1:$K$1,0)),"")</f>
        <v>0</v>
      </c>
      <c r="K677" s="8" t="str">
        <f>_xlfn.IFNA(INDEX('HS Codes'!$D$2:$K3231,MATCH($B677,'HS Codes'!$A$2:$A3231,0),MATCH(K$1,'HS Codes'!$D$1:$K$1,0)),"")</f>
        <v>4819.10.00</v>
      </c>
      <c r="L677" s="8">
        <f>_xlfn.IFNA(INDEX('HS Codes'!$D$2:$K3231,MATCH($B677,'HS Codes'!$A$2:$A3231,0),MATCH(L$1,'HS Codes'!$D$1:$K$1,0)),"")</f>
        <v>0</v>
      </c>
      <c r="M677" s="8" t="str">
        <f>_xlfn.IFNA(INDEX('HS Codes'!$C$2:$C3231,MATCH($B677,'HS Codes'!$A$2:$A3231,0)),"")</f>
        <v>Paperboard 100% recycled cardboard</v>
      </c>
      <c r="N677" s="9"/>
      <c r="O677" s="9"/>
      <c r="P677" s="9"/>
      <c r="Q677" s="9"/>
    </row>
    <row r="678" spans="1:17" ht="15.75" customHeight="1">
      <c r="A678" s="7" t="s">
        <v>969</v>
      </c>
      <c r="B678" s="7" t="s">
        <v>240</v>
      </c>
      <c r="C678" s="7"/>
      <c r="D678" s="7" t="s">
        <v>241</v>
      </c>
      <c r="E678" s="7" t="s">
        <v>523</v>
      </c>
      <c r="F678" s="8" t="str">
        <f>_xlfn.IFNA(INDEX('HS Codes'!$D$2:$K3232,MATCH($B678,'HS Codes'!$A$2:$A3232,0),MATCH(F$1,'HS Codes'!$D$1:$K$1,0)),"")</f>
        <v>4819.10.0040</v>
      </c>
      <c r="G678" s="8">
        <f>_xlfn.IFNA(INDEX('HS Codes'!$D$2:$K3232,MATCH($B678,'HS Codes'!$A$2:$A3232,0),MATCH(G$1,'HS Codes'!$D$1:$K$1,0)),"")</f>
        <v>4819100000</v>
      </c>
      <c r="H678" s="8">
        <f>_xlfn.IFNA(INDEX('HS Codes'!$D$2:$K3232,MATCH($B678,'HS Codes'!$A$2:$A3232,0),MATCH(H$1,'HS Codes'!$D$1:$K$1,0)),"")</f>
        <v>4819100000</v>
      </c>
      <c r="I678" s="8">
        <f>_xlfn.IFNA(INDEX('HS Codes'!$D$2:$K3232,MATCH($B678,'HS Codes'!$A$2:$A3232,0),MATCH(I$1,'HS Codes'!$D$1:$K$1,0)),"")</f>
        <v>48191000</v>
      </c>
      <c r="J678" s="8">
        <f>_xlfn.IFNA(INDEX('HS Codes'!$D$2:$K3232,MATCH($B678,'HS Codes'!$A$2:$A3232,0),MATCH(J$1,'HS Codes'!$D$1:$K$1,0)),"")</f>
        <v>0</v>
      </c>
      <c r="K678" s="8" t="str">
        <f>_xlfn.IFNA(INDEX('HS Codes'!$D$2:$K3232,MATCH($B678,'HS Codes'!$A$2:$A3232,0),MATCH(K$1,'HS Codes'!$D$1:$K$1,0)),"")</f>
        <v>4819.10.00</v>
      </c>
      <c r="L678" s="8">
        <f>_xlfn.IFNA(INDEX('HS Codes'!$D$2:$K3232,MATCH($B678,'HS Codes'!$A$2:$A3232,0),MATCH(L$1,'HS Codes'!$D$1:$K$1,0)),"")</f>
        <v>0</v>
      </c>
      <c r="M678" s="8" t="str">
        <f>_xlfn.IFNA(INDEX('HS Codes'!$C$2:$C3232,MATCH($B678,'HS Codes'!$A$2:$A3232,0)),"")</f>
        <v>Paperboard 100% recycled cardboard</v>
      </c>
      <c r="N678" s="9"/>
      <c r="O678" s="9"/>
      <c r="P678" s="9"/>
      <c r="Q678" s="9"/>
    </row>
    <row r="679" spans="1:17" ht="15.75" customHeight="1">
      <c r="A679" s="7" t="s">
        <v>970</v>
      </c>
      <c r="B679" s="7" t="s">
        <v>240</v>
      </c>
      <c r="C679" s="7"/>
      <c r="D679" s="7" t="s">
        <v>241</v>
      </c>
      <c r="E679" s="7" t="s">
        <v>523</v>
      </c>
      <c r="F679" s="8" t="str">
        <f>_xlfn.IFNA(INDEX('HS Codes'!$D$2:$K3233,MATCH($B679,'HS Codes'!$A$2:$A3233,0),MATCH(F$1,'HS Codes'!$D$1:$K$1,0)),"")</f>
        <v>4819.10.0040</v>
      </c>
      <c r="G679" s="8">
        <f>_xlfn.IFNA(INDEX('HS Codes'!$D$2:$K3233,MATCH($B679,'HS Codes'!$A$2:$A3233,0),MATCH(G$1,'HS Codes'!$D$1:$K$1,0)),"")</f>
        <v>4819100000</v>
      </c>
      <c r="H679" s="8">
        <f>_xlfn.IFNA(INDEX('HS Codes'!$D$2:$K3233,MATCH($B679,'HS Codes'!$A$2:$A3233,0),MATCH(H$1,'HS Codes'!$D$1:$K$1,0)),"")</f>
        <v>4819100000</v>
      </c>
      <c r="I679" s="8">
        <f>_xlfn.IFNA(INDEX('HS Codes'!$D$2:$K3233,MATCH($B679,'HS Codes'!$A$2:$A3233,0),MATCH(I$1,'HS Codes'!$D$1:$K$1,0)),"")</f>
        <v>48191000</v>
      </c>
      <c r="J679" s="8">
        <f>_xlfn.IFNA(INDEX('HS Codes'!$D$2:$K3233,MATCH($B679,'HS Codes'!$A$2:$A3233,0),MATCH(J$1,'HS Codes'!$D$1:$K$1,0)),"")</f>
        <v>0</v>
      </c>
      <c r="K679" s="8" t="str">
        <f>_xlfn.IFNA(INDEX('HS Codes'!$D$2:$K3233,MATCH($B679,'HS Codes'!$A$2:$A3233,0),MATCH(K$1,'HS Codes'!$D$1:$K$1,0)),"")</f>
        <v>4819.10.00</v>
      </c>
      <c r="L679" s="8">
        <f>_xlfn.IFNA(INDEX('HS Codes'!$D$2:$K3233,MATCH($B679,'HS Codes'!$A$2:$A3233,0),MATCH(L$1,'HS Codes'!$D$1:$K$1,0)),"")</f>
        <v>0</v>
      </c>
      <c r="M679" s="8" t="str">
        <f>_xlfn.IFNA(INDEX('HS Codes'!$C$2:$C3233,MATCH($B679,'HS Codes'!$A$2:$A3233,0)),"")</f>
        <v>Paperboard 100% recycled cardboard</v>
      </c>
      <c r="N679" s="9"/>
      <c r="O679" s="9"/>
      <c r="P679" s="9"/>
      <c r="Q679" s="9"/>
    </row>
    <row r="680" spans="1:17" ht="15.75" customHeight="1">
      <c r="A680" s="7" t="s">
        <v>971</v>
      </c>
      <c r="B680" s="7" t="s">
        <v>240</v>
      </c>
      <c r="C680" s="7"/>
      <c r="D680" s="7" t="s">
        <v>241</v>
      </c>
      <c r="E680" s="7" t="s">
        <v>523</v>
      </c>
      <c r="F680" s="8" t="str">
        <f>_xlfn.IFNA(INDEX('HS Codes'!$D$2:$K3234,MATCH($B680,'HS Codes'!$A$2:$A3234,0),MATCH(F$1,'HS Codes'!$D$1:$K$1,0)),"")</f>
        <v>4819.10.0040</v>
      </c>
      <c r="G680" s="8">
        <f>_xlfn.IFNA(INDEX('HS Codes'!$D$2:$K3234,MATCH($B680,'HS Codes'!$A$2:$A3234,0),MATCH(G$1,'HS Codes'!$D$1:$K$1,0)),"")</f>
        <v>4819100000</v>
      </c>
      <c r="H680" s="8">
        <f>_xlfn.IFNA(INDEX('HS Codes'!$D$2:$K3234,MATCH($B680,'HS Codes'!$A$2:$A3234,0),MATCH(H$1,'HS Codes'!$D$1:$K$1,0)),"")</f>
        <v>4819100000</v>
      </c>
      <c r="I680" s="8">
        <f>_xlfn.IFNA(INDEX('HS Codes'!$D$2:$K3234,MATCH($B680,'HS Codes'!$A$2:$A3234,0),MATCH(I$1,'HS Codes'!$D$1:$K$1,0)),"")</f>
        <v>48191000</v>
      </c>
      <c r="J680" s="8">
        <f>_xlfn.IFNA(INDEX('HS Codes'!$D$2:$K3234,MATCH($B680,'HS Codes'!$A$2:$A3234,0),MATCH(J$1,'HS Codes'!$D$1:$K$1,0)),"")</f>
        <v>0</v>
      </c>
      <c r="K680" s="8" t="str">
        <f>_xlfn.IFNA(INDEX('HS Codes'!$D$2:$K3234,MATCH($B680,'HS Codes'!$A$2:$A3234,0),MATCH(K$1,'HS Codes'!$D$1:$K$1,0)),"")</f>
        <v>4819.10.00</v>
      </c>
      <c r="L680" s="8">
        <f>_xlfn.IFNA(INDEX('HS Codes'!$D$2:$K3234,MATCH($B680,'HS Codes'!$A$2:$A3234,0),MATCH(L$1,'HS Codes'!$D$1:$K$1,0)),"")</f>
        <v>0</v>
      </c>
      <c r="M680" s="8" t="str">
        <f>_xlfn.IFNA(INDEX('HS Codes'!$C$2:$C3234,MATCH($B680,'HS Codes'!$A$2:$A3234,0)),"")</f>
        <v>Paperboard 100% recycled cardboard</v>
      </c>
      <c r="N680" s="9"/>
      <c r="O680" s="9"/>
      <c r="P680" s="9"/>
      <c r="Q680" s="9"/>
    </row>
    <row r="681" spans="1:17" ht="15.75" customHeight="1">
      <c r="A681" s="7" t="s">
        <v>972</v>
      </c>
      <c r="B681" s="7" t="s">
        <v>240</v>
      </c>
      <c r="C681" s="7"/>
      <c r="D681" s="7" t="s">
        <v>241</v>
      </c>
      <c r="E681" s="7" t="s">
        <v>523</v>
      </c>
      <c r="F681" s="8" t="str">
        <f>_xlfn.IFNA(INDEX('HS Codes'!$D$2:$K3235,MATCH($B681,'HS Codes'!$A$2:$A3235,0),MATCH(F$1,'HS Codes'!$D$1:$K$1,0)),"")</f>
        <v>4819.10.0040</v>
      </c>
      <c r="G681" s="8">
        <f>_xlfn.IFNA(INDEX('HS Codes'!$D$2:$K3235,MATCH($B681,'HS Codes'!$A$2:$A3235,0),MATCH(G$1,'HS Codes'!$D$1:$K$1,0)),"")</f>
        <v>4819100000</v>
      </c>
      <c r="H681" s="8">
        <f>_xlfn.IFNA(INDEX('HS Codes'!$D$2:$K3235,MATCH($B681,'HS Codes'!$A$2:$A3235,0),MATCH(H$1,'HS Codes'!$D$1:$K$1,0)),"")</f>
        <v>4819100000</v>
      </c>
      <c r="I681" s="8">
        <f>_xlfn.IFNA(INDEX('HS Codes'!$D$2:$K3235,MATCH($B681,'HS Codes'!$A$2:$A3235,0),MATCH(I$1,'HS Codes'!$D$1:$K$1,0)),"")</f>
        <v>48191000</v>
      </c>
      <c r="J681" s="8">
        <f>_xlfn.IFNA(INDEX('HS Codes'!$D$2:$K3235,MATCH($B681,'HS Codes'!$A$2:$A3235,0),MATCH(J$1,'HS Codes'!$D$1:$K$1,0)),"")</f>
        <v>0</v>
      </c>
      <c r="K681" s="8" t="str">
        <f>_xlfn.IFNA(INDEX('HS Codes'!$D$2:$K3235,MATCH($B681,'HS Codes'!$A$2:$A3235,0),MATCH(K$1,'HS Codes'!$D$1:$K$1,0)),"")</f>
        <v>4819.10.00</v>
      </c>
      <c r="L681" s="8">
        <f>_xlfn.IFNA(INDEX('HS Codes'!$D$2:$K3235,MATCH($B681,'HS Codes'!$A$2:$A3235,0),MATCH(L$1,'HS Codes'!$D$1:$K$1,0)),"")</f>
        <v>0</v>
      </c>
      <c r="M681" s="8" t="str">
        <f>_xlfn.IFNA(INDEX('HS Codes'!$C$2:$C3235,MATCH($B681,'HS Codes'!$A$2:$A3235,0)),"")</f>
        <v>Paperboard 100% recycled cardboard</v>
      </c>
      <c r="N681" s="9"/>
      <c r="O681" s="9"/>
      <c r="P681" s="9"/>
      <c r="Q681" s="9"/>
    </row>
    <row r="682" spans="1:17" ht="15.75" customHeight="1">
      <c r="A682" s="7" t="s">
        <v>973</v>
      </c>
      <c r="B682" s="7" t="s">
        <v>240</v>
      </c>
      <c r="C682" s="7"/>
      <c r="D682" s="7" t="s">
        <v>241</v>
      </c>
      <c r="E682" s="7" t="s">
        <v>523</v>
      </c>
      <c r="F682" s="8" t="str">
        <f>_xlfn.IFNA(INDEX('HS Codes'!$D$2:$K3236,MATCH($B682,'HS Codes'!$A$2:$A3236,0),MATCH(F$1,'HS Codes'!$D$1:$K$1,0)),"")</f>
        <v>4819.10.0040</v>
      </c>
      <c r="G682" s="8">
        <f>_xlfn.IFNA(INDEX('HS Codes'!$D$2:$K3236,MATCH($B682,'HS Codes'!$A$2:$A3236,0),MATCH(G$1,'HS Codes'!$D$1:$K$1,0)),"")</f>
        <v>4819100000</v>
      </c>
      <c r="H682" s="8">
        <f>_xlfn.IFNA(INDEX('HS Codes'!$D$2:$K3236,MATCH($B682,'HS Codes'!$A$2:$A3236,0),MATCH(H$1,'HS Codes'!$D$1:$K$1,0)),"")</f>
        <v>4819100000</v>
      </c>
      <c r="I682" s="8">
        <f>_xlfn.IFNA(INDEX('HS Codes'!$D$2:$K3236,MATCH($B682,'HS Codes'!$A$2:$A3236,0),MATCH(I$1,'HS Codes'!$D$1:$K$1,0)),"")</f>
        <v>48191000</v>
      </c>
      <c r="J682" s="8">
        <f>_xlfn.IFNA(INDEX('HS Codes'!$D$2:$K3236,MATCH($B682,'HS Codes'!$A$2:$A3236,0),MATCH(J$1,'HS Codes'!$D$1:$K$1,0)),"")</f>
        <v>0</v>
      </c>
      <c r="K682" s="8" t="str">
        <f>_xlfn.IFNA(INDEX('HS Codes'!$D$2:$K3236,MATCH($B682,'HS Codes'!$A$2:$A3236,0),MATCH(K$1,'HS Codes'!$D$1:$K$1,0)),"")</f>
        <v>4819.10.00</v>
      </c>
      <c r="L682" s="8">
        <f>_xlfn.IFNA(INDEX('HS Codes'!$D$2:$K3236,MATCH($B682,'HS Codes'!$A$2:$A3236,0),MATCH(L$1,'HS Codes'!$D$1:$K$1,0)),"")</f>
        <v>0</v>
      </c>
      <c r="M682" s="8" t="str">
        <f>_xlfn.IFNA(INDEX('HS Codes'!$C$2:$C3236,MATCH($B682,'HS Codes'!$A$2:$A3236,0)),"")</f>
        <v>Paperboard 100% recycled cardboard</v>
      </c>
      <c r="N682" s="9"/>
      <c r="O682" s="9"/>
      <c r="P682" s="9"/>
      <c r="Q682" s="9"/>
    </row>
    <row r="683" spans="1:17" ht="15.75" customHeight="1">
      <c r="A683" s="7" t="s">
        <v>974</v>
      </c>
      <c r="B683" s="7" t="s">
        <v>240</v>
      </c>
      <c r="C683" s="7"/>
      <c r="D683" s="7" t="s">
        <v>241</v>
      </c>
      <c r="E683" s="7" t="s">
        <v>523</v>
      </c>
      <c r="F683" s="8" t="str">
        <f>_xlfn.IFNA(INDEX('HS Codes'!$D$2:$K3237,MATCH($B683,'HS Codes'!$A$2:$A3237,0),MATCH(F$1,'HS Codes'!$D$1:$K$1,0)),"")</f>
        <v>4819.10.0040</v>
      </c>
      <c r="G683" s="8">
        <f>_xlfn.IFNA(INDEX('HS Codes'!$D$2:$K3237,MATCH($B683,'HS Codes'!$A$2:$A3237,0),MATCH(G$1,'HS Codes'!$D$1:$K$1,0)),"")</f>
        <v>4819100000</v>
      </c>
      <c r="H683" s="8">
        <f>_xlfn.IFNA(INDEX('HS Codes'!$D$2:$K3237,MATCH($B683,'HS Codes'!$A$2:$A3237,0),MATCH(H$1,'HS Codes'!$D$1:$K$1,0)),"")</f>
        <v>4819100000</v>
      </c>
      <c r="I683" s="8">
        <f>_xlfn.IFNA(INDEX('HS Codes'!$D$2:$K3237,MATCH($B683,'HS Codes'!$A$2:$A3237,0),MATCH(I$1,'HS Codes'!$D$1:$K$1,0)),"")</f>
        <v>48191000</v>
      </c>
      <c r="J683" s="8">
        <f>_xlfn.IFNA(INDEX('HS Codes'!$D$2:$K3237,MATCH($B683,'HS Codes'!$A$2:$A3237,0),MATCH(J$1,'HS Codes'!$D$1:$K$1,0)),"")</f>
        <v>0</v>
      </c>
      <c r="K683" s="8" t="str">
        <f>_xlfn.IFNA(INDEX('HS Codes'!$D$2:$K3237,MATCH($B683,'HS Codes'!$A$2:$A3237,0),MATCH(K$1,'HS Codes'!$D$1:$K$1,0)),"")</f>
        <v>4819.10.00</v>
      </c>
      <c r="L683" s="8">
        <f>_xlfn.IFNA(INDEX('HS Codes'!$D$2:$K3237,MATCH($B683,'HS Codes'!$A$2:$A3237,0),MATCH(L$1,'HS Codes'!$D$1:$K$1,0)),"")</f>
        <v>0</v>
      </c>
      <c r="M683" s="8" t="str">
        <f>_xlfn.IFNA(INDEX('HS Codes'!$C$2:$C3237,MATCH($B683,'HS Codes'!$A$2:$A3237,0)),"")</f>
        <v>Paperboard 100% recycled cardboard</v>
      </c>
      <c r="N683" s="9"/>
      <c r="O683" s="9"/>
      <c r="P683" s="9"/>
      <c r="Q683" s="9"/>
    </row>
    <row r="684" spans="1:17" ht="15.75" customHeight="1">
      <c r="A684" s="7" t="s">
        <v>975</v>
      </c>
      <c r="B684" s="7" t="s">
        <v>240</v>
      </c>
      <c r="C684" s="7"/>
      <c r="D684" s="7" t="s">
        <v>241</v>
      </c>
      <c r="E684" s="7" t="s">
        <v>523</v>
      </c>
      <c r="F684" s="8" t="str">
        <f>_xlfn.IFNA(INDEX('HS Codes'!$D$2:$K3238,MATCH($B684,'HS Codes'!$A$2:$A3238,0),MATCH(F$1,'HS Codes'!$D$1:$K$1,0)),"")</f>
        <v>4819.10.0040</v>
      </c>
      <c r="G684" s="8">
        <f>_xlfn.IFNA(INDEX('HS Codes'!$D$2:$K3238,MATCH($B684,'HS Codes'!$A$2:$A3238,0),MATCH(G$1,'HS Codes'!$D$1:$K$1,0)),"")</f>
        <v>4819100000</v>
      </c>
      <c r="H684" s="8">
        <f>_xlfn.IFNA(INDEX('HS Codes'!$D$2:$K3238,MATCH($B684,'HS Codes'!$A$2:$A3238,0),MATCH(H$1,'HS Codes'!$D$1:$K$1,0)),"")</f>
        <v>4819100000</v>
      </c>
      <c r="I684" s="8">
        <f>_xlfn.IFNA(INDEX('HS Codes'!$D$2:$K3238,MATCH($B684,'HS Codes'!$A$2:$A3238,0),MATCH(I$1,'HS Codes'!$D$1:$K$1,0)),"")</f>
        <v>48191000</v>
      </c>
      <c r="J684" s="8">
        <f>_xlfn.IFNA(INDEX('HS Codes'!$D$2:$K3238,MATCH($B684,'HS Codes'!$A$2:$A3238,0),MATCH(J$1,'HS Codes'!$D$1:$K$1,0)),"")</f>
        <v>0</v>
      </c>
      <c r="K684" s="8" t="str">
        <f>_xlfn.IFNA(INDEX('HS Codes'!$D$2:$K3238,MATCH($B684,'HS Codes'!$A$2:$A3238,0),MATCH(K$1,'HS Codes'!$D$1:$K$1,0)),"")</f>
        <v>4819.10.00</v>
      </c>
      <c r="L684" s="8">
        <f>_xlfn.IFNA(INDEX('HS Codes'!$D$2:$K3238,MATCH($B684,'HS Codes'!$A$2:$A3238,0),MATCH(L$1,'HS Codes'!$D$1:$K$1,0)),"")</f>
        <v>0</v>
      </c>
      <c r="M684" s="8" t="str">
        <f>_xlfn.IFNA(INDEX('HS Codes'!$C$2:$C3238,MATCH($B684,'HS Codes'!$A$2:$A3238,0)),"")</f>
        <v>Paperboard 100% recycled cardboard</v>
      </c>
      <c r="N684" s="9"/>
      <c r="O684" s="9"/>
      <c r="P684" s="9"/>
      <c r="Q684" s="9"/>
    </row>
    <row r="685" spans="1:17" ht="15.75" customHeight="1">
      <c r="A685" s="7" t="s">
        <v>976</v>
      </c>
      <c r="B685" s="7" t="s">
        <v>240</v>
      </c>
      <c r="C685" s="7"/>
      <c r="D685" s="7" t="s">
        <v>241</v>
      </c>
      <c r="E685" s="7" t="s">
        <v>523</v>
      </c>
      <c r="F685" s="8" t="str">
        <f>_xlfn.IFNA(INDEX('HS Codes'!$D$2:$K3239,MATCH($B685,'HS Codes'!$A$2:$A3239,0),MATCH(F$1,'HS Codes'!$D$1:$K$1,0)),"")</f>
        <v>4819.10.0040</v>
      </c>
      <c r="G685" s="8">
        <f>_xlfn.IFNA(INDEX('HS Codes'!$D$2:$K3239,MATCH($B685,'HS Codes'!$A$2:$A3239,0),MATCH(G$1,'HS Codes'!$D$1:$K$1,0)),"")</f>
        <v>4819100000</v>
      </c>
      <c r="H685" s="8">
        <f>_xlfn.IFNA(INDEX('HS Codes'!$D$2:$K3239,MATCH($B685,'HS Codes'!$A$2:$A3239,0),MATCH(H$1,'HS Codes'!$D$1:$K$1,0)),"")</f>
        <v>4819100000</v>
      </c>
      <c r="I685" s="8">
        <f>_xlfn.IFNA(INDEX('HS Codes'!$D$2:$K3239,MATCH($B685,'HS Codes'!$A$2:$A3239,0),MATCH(I$1,'HS Codes'!$D$1:$K$1,0)),"")</f>
        <v>48191000</v>
      </c>
      <c r="J685" s="8">
        <f>_xlfn.IFNA(INDEX('HS Codes'!$D$2:$K3239,MATCH($B685,'HS Codes'!$A$2:$A3239,0),MATCH(J$1,'HS Codes'!$D$1:$K$1,0)),"")</f>
        <v>0</v>
      </c>
      <c r="K685" s="8" t="str">
        <f>_xlfn.IFNA(INDEX('HS Codes'!$D$2:$K3239,MATCH($B685,'HS Codes'!$A$2:$A3239,0),MATCH(K$1,'HS Codes'!$D$1:$K$1,0)),"")</f>
        <v>4819.10.00</v>
      </c>
      <c r="L685" s="8">
        <f>_xlfn.IFNA(INDEX('HS Codes'!$D$2:$K3239,MATCH($B685,'HS Codes'!$A$2:$A3239,0),MATCH(L$1,'HS Codes'!$D$1:$K$1,0)),"")</f>
        <v>0</v>
      </c>
      <c r="M685" s="8" t="str">
        <f>_xlfn.IFNA(INDEX('HS Codes'!$C$2:$C3239,MATCH($B685,'HS Codes'!$A$2:$A3239,0)),"")</f>
        <v>Paperboard 100% recycled cardboard</v>
      </c>
      <c r="N685" s="9"/>
      <c r="O685" s="9"/>
      <c r="P685" s="9"/>
      <c r="Q685" s="9"/>
    </row>
    <row r="686" spans="1:17" ht="15.75" customHeight="1">
      <c r="A686" s="7" t="s">
        <v>977</v>
      </c>
      <c r="B686" s="7" t="s">
        <v>240</v>
      </c>
      <c r="C686" s="7"/>
      <c r="D686" s="7" t="s">
        <v>241</v>
      </c>
      <c r="E686" s="7" t="s">
        <v>523</v>
      </c>
      <c r="F686" s="8" t="str">
        <f>_xlfn.IFNA(INDEX('HS Codes'!$D$2:$K3240,MATCH($B686,'HS Codes'!$A$2:$A3240,0),MATCH(F$1,'HS Codes'!$D$1:$K$1,0)),"")</f>
        <v>4819.10.0040</v>
      </c>
      <c r="G686" s="8">
        <f>_xlfn.IFNA(INDEX('HS Codes'!$D$2:$K3240,MATCH($B686,'HS Codes'!$A$2:$A3240,0),MATCH(G$1,'HS Codes'!$D$1:$K$1,0)),"")</f>
        <v>4819100000</v>
      </c>
      <c r="H686" s="8">
        <f>_xlfn.IFNA(INDEX('HS Codes'!$D$2:$K3240,MATCH($B686,'HS Codes'!$A$2:$A3240,0),MATCH(H$1,'HS Codes'!$D$1:$K$1,0)),"")</f>
        <v>4819100000</v>
      </c>
      <c r="I686" s="8">
        <f>_xlfn.IFNA(INDEX('HS Codes'!$D$2:$K3240,MATCH($B686,'HS Codes'!$A$2:$A3240,0),MATCH(I$1,'HS Codes'!$D$1:$K$1,0)),"")</f>
        <v>48191000</v>
      </c>
      <c r="J686" s="8">
        <f>_xlfn.IFNA(INDEX('HS Codes'!$D$2:$K3240,MATCH($B686,'HS Codes'!$A$2:$A3240,0),MATCH(J$1,'HS Codes'!$D$1:$K$1,0)),"")</f>
        <v>0</v>
      </c>
      <c r="K686" s="8" t="str">
        <f>_xlfn.IFNA(INDEX('HS Codes'!$D$2:$K3240,MATCH($B686,'HS Codes'!$A$2:$A3240,0),MATCH(K$1,'HS Codes'!$D$1:$K$1,0)),"")</f>
        <v>4819.10.00</v>
      </c>
      <c r="L686" s="8">
        <f>_xlfn.IFNA(INDEX('HS Codes'!$D$2:$K3240,MATCH($B686,'HS Codes'!$A$2:$A3240,0),MATCH(L$1,'HS Codes'!$D$1:$K$1,0)),"")</f>
        <v>0</v>
      </c>
      <c r="M686" s="8" t="str">
        <f>_xlfn.IFNA(INDEX('HS Codes'!$C$2:$C3240,MATCH($B686,'HS Codes'!$A$2:$A3240,0)),"")</f>
        <v>Paperboard 100% recycled cardboard</v>
      </c>
      <c r="N686" s="9"/>
      <c r="O686" s="9"/>
      <c r="P686" s="9"/>
      <c r="Q686" s="9"/>
    </row>
    <row r="687" spans="1:17" ht="15.75" customHeight="1">
      <c r="A687" s="7" t="s">
        <v>978</v>
      </c>
      <c r="B687" s="7" t="s">
        <v>240</v>
      </c>
      <c r="C687" s="7"/>
      <c r="D687" s="7" t="s">
        <v>241</v>
      </c>
      <c r="E687" s="7" t="s">
        <v>523</v>
      </c>
      <c r="F687" s="8" t="str">
        <f>_xlfn.IFNA(INDEX('HS Codes'!$D$2:$K3241,MATCH($B687,'HS Codes'!$A$2:$A3241,0),MATCH(F$1,'HS Codes'!$D$1:$K$1,0)),"")</f>
        <v>4819.10.0040</v>
      </c>
      <c r="G687" s="8">
        <f>_xlfn.IFNA(INDEX('HS Codes'!$D$2:$K3241,MATCH($B687,'HS Codes'!$A$2:$A3241,0),MATCH(G$1,'HS Codes'!$D$1:$K$1,0)),"")</f>
        <v>4819100000</v>
      </c>
      <c r="H687" s="8">
        <f>_xlfn.IFNA(INDEX('HS Codes'!$D$2:$K3241,MATCH($B687,'HS Codes'!$A$2:$A3241,0),MATCH(H$1,'HS Codes'!$D$1:$K$1,0)),"")</f>
        <v>4819100000</v>
      </c>
      <c r="I687" s="8">
        <f>_xlfn.IFNA(INDEX('HS Codes'!$D$2:$K3241,MATCH($B687,'HS Codes'!$A$2:$A3241,0),MATCH(I$1,'HS Codes'!$D$1:$K$1,0)),"")</f>
        <v>48191000</v>
      </c>
      <c r="J687" s="8">
        <f>_xlfn.IFNA(INDEX('HS Codes'!$D$2:$K3241,MATCH($B687,'HS Codes'!$A$2:$A3241,0),MATCH(J$1,'HS Codes'!$D$1:$K$1,0)),"")</f>
        <v>0</v>
      </c>
      <c r="K687" s="8" t="str">
        <f>_xlfn.IFNA(INDEX('HS Codes'!$D$2:$K3241,MATCH($B687,'HS Codes'!$A$2:$A3241,0),MATCH(K$1,'HS Codes'!$D$1:$K$1,0)),"")</f>
        <v>4819.10.00</v>
      </c>
      <c r="L687" s="8">
        <f>_xlfn.IFNA(INDEX('HS Codes'!$D$2:$K3241,MATCH($B687,'HS Codes'!$A$2:$A3241,0),MATCH(L$1,'HS Codes'!$D$1:$K$1,0)),"")</f>
        <v>0</v>
      </c>
      <c r="M687" s="8" t="str">
        <f>_xlfn.IFNA(INDEX('HS Codes'!$C$2:$C3241,MATCH($B687,'HS Codes'!$A$2:$A3241,0)),"")</f>
        <v>Paperboard 100% recycled cardboard</v>
      </c>
      <c r="N687" s="9"/>
      <c r="O687" s="9"/>
      <c r="P687" s="9"/>
      <c r="Q687" s="9"/>
    </row>
    <row r="688" spans="1:17" ht="15.75" customHeight="1">
      <c r="A688" s="7" t="s">
        <v>979</v>
      </c>
      <c r="B688" s="7" t="s">
        <v>240</v>
      </c>
      <c r="C688" s="7"/>
      <c r="D688" s="7" t="s">
        <v>241</v>
      </c>
      <c r="E688" s="7" t="s">
        <v>523</v>
      </c>
      <c r="F688" s="8" t="str">
        <f>_xlfn.IFNA(INDEX('HS Codes'!$D$2:$K3242,MATCH($B688,'HS Codes'!$A$2:$A3242,0),MATCH(F$1,'HS Codes'!$D$1:$K$1,0)),"")</f>
        <v>4819.10.0040</v>
      </c>
      <c r="G688" s="8">
        <f>_xlfn.IFNA(INDEX('HS Codes'!$D$2:$K3242,MATCH($B688,'HS Codes'!$A$2:$A3242,0),MATCH(G$1,'HS Codes'!$D$1:$K$1,0)),"")</f>
        <v>4819100000</v>
      </c>
      <c r="H688" s="8">
        <f>_xlfn.IFNA(INDEX('HS Codes'!$D$2:$K3242,MATCH($B688,'HS Codes'!$A$2:$A3242,0),MATCH(H$1,'HS Codes'!$D$1:$K$1,0)),"")</f>
        <v>4819100000</v>
      </c>
      <c r="I688" s="8">
        <f>_xlfn.IFNA(INDEX('HS Codes'!$D$2:$K3242,MATCH($B688,'HS Codes'!$A$2:$A3242,0),MATCH(I$1,'HS Codes'!$D$1:$K$1,0)),"")</f>
        <v>48191000</v>
      </c>
      <c r="J688" s="8">
        <f>_xlfn.IFNA(INDEX('HS Codes'!$D$2:$K3242,MATCH($B688,'HS Codes'!$A$2:$A3242,0),MATCH(J$1,'HS Codes'!$D$1:$K$1,0)),"")</f>
        <v>0</v>
      </c>
      <c r="K688" s="8" t="str">
        <f>_xlfn.IFNA(INDEX('HS Codes'!$D$2:$K3242,MATCH($B688,'HS Codes'!$A$2:$A3242,0),MATCH(K$1,'HS Codes'!$D$1:$K$1,0)),"")</f>
        <v>4819.10.00</v>
      </c>
      <c r="L688" s="8">
        <f>_xlfn.IFNA(INDEX('HS Codes'!$D$2:$K3242,MATCH($B688,'HS Codes'!$A$2:$A3242,0),MATCH(L$1,'HS Codes'!$D$1:$K$1,0)),"")</f>
        <v>0</v>
      </c>
      <c r="M688" s="8" t="str">
        <f>_xlfn.IFNA(INDEX('HS Codes'!$C$2:$C3242,MATCH($B688,'HS Codes'!$A$2:$A3242,0)),"")</f>
        <v>Paperboard 100% recycled cardboard</v>
      </c>
      <c r="N688" s="9"/>
      <c r="O688" s="9"/>
      <c r="P688" s="9"/>
      <c r="Q688" s="9"/>
    </row>
    <row r="689" spans="1:17" ht="15.75" customHeight="1">
      <c r="A689" s="7" t="s">
        <v>980</v>
      </c>
      <c r="B689" s="7" t="s">
        <v>240</v>
      </c>
      <c r="C689" s="7"/>
      <c r="D689" s="7" t="s">
        <v>241</v>
      </c>
      <c r="E689" s="7" t="s">
        <v>523</v>
      </c>
      <c r="F689" s="8" t="str">
        <f>_xlfn.IFNA(INDEX('HS Codes'!$D$2:$K3243,MATCH($B689,'HS Codes'!$A$2:$A3243,0),MATCH(F$1,'HS Codes'!$D$1:$K$1,0)),"")</f>
        <v>4819.10.0040</v>
      </c>
      <c r="G689" s="8">
        <f>_xlfn.IFNA(INDEX('HS Codes'!$D$2:$K3243,MATCH($B689,'HS Codes'!$A$2:$A3243,0),MATCH(G$1,'HS Codes'!$D$1:$K$1,0)),"")</f>
        <v>4819100000</v>
      </c>
      <c r="H689" s="8">
        <f>_xlfn.IFNA(INDEX('HS Codes'!$D$2:$K3243,MATCH($B689,'HS Codes'!$A$2:$A3243,0),MATCH(H$1,'HS Codes'!$D$1:$K$1,0)),"")</f>
        <v>4819100000</v>
      </c>
      <c r="I689" s="8">
        <f>_xlfn.IFNA(INDEX('HS Codes'!$D$2:$K3243,MATCH($B689,'HS Codes'!$A$2:$A3243,0),MATCH(I$1,'HS Codes'!$D$1:$K$1,0)),"")</f>
        <v>48191000</v>
      </c>
      <c r="J689" s="8">
        <f>_xlfn.IFNA(INDEX('HS Codes'!$D$2:$K3243,MATCH($B689,'HS Codes'!$A$2:$A3243,0),MATCH(J$1,'HS Codes'!$D$1:$K$1,0)),"")</f>
        <v>0</v>
      </c>
      <c r="K689" s="8" t="str">
        <f>_xlfn.IFNA(INDEX('HS Codes'!$D$2:$K3243,MATCH($B689,'HS Codes'!$A$2:$A3243,0),MATCH(K$1,'HS Codes'!$D$1:$K$1,0)),"")</f>
        <v>4819.10.00</v>
      </c>
      <c r="L689" s="8">
        <f>_xlfn.IFNA(INDEX('HS Codes'!$D$2:$K3243,MATCH($B689,'HS Codes'!$A$2:$A3243,0),MATCH(L$1,'HS Codes'!$D$1:$K$1,0)),"")</f>
        <v>0</v>
      </c>
      <c r="M689" s="8" t="str">
        <f>_xlfn.IFNA(INDEX('HS Codes'!$C$2:$C3243,MATCH($B689,'HS Codes'!$A$2:$A3243,0)),"")</f>
        <v>Paperboard 100% recycled cardboard</v>
      </c>
      <c r="N689" s="9"/>
      <c r="O689" s="9"/>
      <c r="P689" s="9"/>
      <c r="Q689" s="9"/>
    </row>
    <row r="690" spans="1:17" ht="15.75" customHeight="1">
      <c r="A690" s="7" t="s">
        <v>981</v>
      </c>
      <c r="B690" s="7" t="s">
        <v>240</v>
      </c>
      <c r="C690" s="7"/>
      <c r="D690" s="7" t="s">
        <v>241</v>
      </c>
      <c r="E690" s="7" t="s">
        <v>523</v>
      </c>
      <c r="F690" s="8" t="str">
        <f>_xlfn.IFNA(INDEX('HS Codes'!$D$2:$K3244,MATCH($B690,'HS Codes'!$A$2:$A3244,0),MATCH(F$1,'HS Codes'!$D$1:$K$1,0)),"")</f>
        <v>4819.10.0040</v>
      </c>
      <c r="G690" s="8">
        <f>_xlfn.IFNA(INDEX('HS Codes'!$D$2:$K3244,MATCH($B690,'HS Codes'!$A$2:$A3244,0),MATCH(G$1,'HS Codes'!$D$1:$K$1,0)),"")</f>
        <v>4819100000</v>
      </c>
      <c r="H690" s="8">
        <f>_xlfn.IFNA(INDEX('HS Codes'!$D$2:$K3244,MATCH($B690,'HS Codes'!$A$2:$A3244,0),MATCH(H$1,'HS Codes'!$D$1:$K$1,0)),"")</f>
        <v>4819100000</v>
      </c>
      <c r="I690" s="8">
        <f>_xlfn.IFNA(INDEX('HS Codes'!$D$2:$K3244,MATCH($B690,'HS Codes'!$A$2:$A3244,0),MATCH(I$1,'HS Codes'!$D$1:$K$1,0)),"")</f>
        <v>48191000</v>
      </c>
      <c r="J690" s="8">
        <f>_xlfn.IFNA(INDEX('HS Codes'!$D$2:$K3244,MATCH($B690,'HS Codes'!$A$2:$A3244,0),MATCH(J$1,'HS Codes'!$D$1:$K$1,0)),"")</f>
        <v>0</v>
      </c>
      <c r="K690" s="8" t="str">
        <f>_xlfn.IFNA(INDEX('HS Codes'!$D$2:$K3244,MATCH($B690,'HS Codes'!$A$2:$A3244,0),MATCH(K$1,'HS Codes'!$D$1:$K$1,0)),"")</f>
        <v>4819.10.00</v>
      </c>
      <c r="L690" s="8">
        <f>_xlfn.IFNA(INDEX('HS Codes'!$D$2:$K3244,MATCH($B690,'HS Codes'!$A$2:$A3244,0),MATCH(L$1,'HS Codes'!$D$1:$K$1,0)),"")</f>
        <v>0</v>
      </c>
      <c r="M690" s="8" t="str">
        <f>_xlfn.IFNA(INDEX('HS Codes'!$C$2:$C3244,MATCH($B690,'HS Codes'!$A$2:$A3244,0)),"")</f>
        <v>Paperboard 100% recycled cardboard</v>
      </c>
      <c r="N690" s="9"/>
      <c r="O690" s="9"/>
      <c r="P690" s="9"/>
      <c r="Q690" s="9"/>
    </row>
    <row r="691" spans="1:17" ht="15.75" customHeight="1">
      <c r="A691" s="7" t="s">
        <v>982</v>
      </c>
      <c r="B691" s="7" t="s">
        <v>240</v>
      </c>
      <c r="C691" s="7"/>
      <c r="D691" s="7" t="s">
        <v>241</v>
      </c>
      <c r="E691" s="7" t="s">
        <v>523</v>
      </c>
      <c r="F691" s="8" t="str">
        <f>_xlfn.IFNA(INDEX('HS Codes'!$D$2:$K3245,MATCH($B691,'HS Codes'!$A$2:$A3245,0),MATCH(F$1,'HS Codes'!$D$1:$K$1,0)),"")</f>
        <v>4819.10.0040</v>
      </c>
      <c r="G691" s="8">
        <f>_xlfn.IFNA(INDEX('HS Codes'!$D$2:$K3245,MATCH($B691,'HS Codes'!$A$2:$A3245,0),MATCH(G$1,'HS Codes'!$D$1:$K$1,0)),"")</f>
        <v>4819100000</v>
      </c>
      <c r="H691" s="8">
        <f>_xlfn.IFNA(INDEX('HS Codes'!$D$2:$K3245,MATCH($B691,'HS Codes'!$A$2:$A3245,0),MATCH(H$1,'HS Codes'!$D$1:$K$1,0)),"")</f>
        <v>4819100000</v>
      </c>
      <c r="I691" s="8">
        <f>_xlfn.IFNA(INDEX('HS Codes'!$D$2:$K3245,MATCH($B691,'HS Codes'!$A$2:$A3245,0),MATCH(I$1,'HS Codes'!$D$1:$K$1,0)),"")</f>
        <v>48191000</v>
      </c>
      <c r="J691" s="8">
        <f>_xlfn.IFNA(INDEX('HS Codes'!$D$2:$K3245,MATCH($B691,'HS Codes'!$A$2:$A3245,0),MATCH(J$1,'HS Codes'!$D$1:$K$1,0)),"")</f>
        <v>0</v>
      </c>
      <c r="K691" s="8" t="str">
        <f>_xlfn.IFNA(INDEX('HS Codes'!$D$2:$K3245,MATCH($B691,'HS Codes'!$A$2:$A3245,0),MATCH(K$1,'HS Codes'!$D$1:$K$1,0)),"")</f>
        <v>4819.10.00</v>
      </c>
      <c r="L691" s="8">
        <f>_xlfn.IFNA(INDEX('HS Codes'!$D$2:$K3245,MATCH($B691,'HS Codes'!$A$2:$A3245,0),MATCH(L$1,'HS Codes'!$D$1:$K$1,0)),"")</f>
        <v>0</v>
      </c>
      <c r="M691" s="8" t="str">
        <f>_xlfn.IFNA(INDEX('HS Codes'!$C$2:$C3245,MATCH($B691,'HS Codes'!$A$2:$A3245,0)),"")</f>
        <v>Paperboard 100% recycled cardboard</v>
      </c>
      <c r="N691" s="9"/>
      <c r="O691" s="9"/>
      <c r="P691" s="9"/>
      <c r="Q691" s="9"/>
    </row>
    <row r="692" spans="1:17" ht="15.75" customHeight="1">
      <c r="A692" s="7" t="s">
        <v>983</v>
      </c>
      <c r="B692" s="7" t="s">
        <v>240</v>
      </c>
      <c r="C692" s="7"/>
      <c r="D692" s="7" t="s">
        <v>241</v>
      </c>
      <c r="E692" s="7" t="s">
        <v>523</v>
      </c>
      <c r="F692" s="8" t="str">
        <f>_xlfn.IFNA(INDEX('HS Codes'!$D$2:$K3246,MATCH($B692,'HS Codes'!$A$2:$A3246,0),MATCH(F$1,'HS Codes'!$D$1:$K$1,0)),"")</f>
        <v>4819.10.0040</v>
      </c>
      <c r="G692" s="8">
        <f>_xlfn.IFNA(INDEX('HS Codes'!$D$2:$K3246,MATCH($B692,'HS Codes'!$A$2:$A3246,0),MATCH(G$1,'HS Codes'!$D$1:$K$1,0)),"")</f>
        <v>4819100000</v>
      </c>
      <c r="H692" s="8">
        <f>_xlfn.IFNA(INDEX('HS Codes'!$D$2:$K3246,MATCH($B692,'HS Codes'!$A$2:$A3246,0),MATCH(H$1,'HS Codes'!$D$1:$K$1,0)),"")</f>
        <v>4819100000</v>
      </c>
      <c r="I692" s="8">
        <f>_xlfn.IFNA(INDEX('HS Codes'!$D$2:$K3246,MATCH($B692,'HS Codes'!$A$2:$A3246,0),MATCH(I$1,'HS Codes'!$D$1:$K$1,0)),"")</f>
        <v>48191000</v>
      </c>
      <c r="J692" s="8">
        <f>_xlfn.IFNA(INDEX('HS Codes'!$D$2:$K3246,MATCH($B692,'HS Codes'!$A$2:$A3246,0),MATCH(J$1,'HS Codes'!$D$1:$K$1,0)),"")</f>
        <v>0</v>
      </c>
      <c r="K692" s="8" t="str">
        <f>_xlfn.IFNA(INDEX('HS Codes'!$D$2:$K3246,MATCH($B692,'HS Codes'!$A$2:$A3246,0),MATCH(K$1,'HS Codes'!$D$1:$K$1,0)),"")</f>
        <v>4819.10.00</v>
      </c>
      <c r="L692" s="8">
        <f>_xlfn.IFNA(INDEX('HS Codes'!$D$2:$K3246,MATCH($B692,'HS Codes'!$A$2:$A3246,0),MATCH(L$1,'HS Codes'!$D$1:$K$1,0)),"")</f>
        <v>0</v>
      </c>
      <c r="M692" s="8" t="str">
        <f>_xlfn.IFNA(INDEX('HS Codes'!$C$2:$C3246,MATCH($B692,'HS Codes'!$A$2:$A3246,0)),"")</f>
        <v>Paperboard 100% recycled cardboard</v>
      </c>
      <c r="N692" s="9"/>
      <c r="O692" s="9"/>
      <c r="P692" s="9"/>
      <c r="Q692" s="9"/>
    </row>
    <row r="693" spans="1:17" ht="15.75" customHeight="1">
      <c r="A693" s="7" t="s">
        <v>984</v>
      </c>
      <c r="B693" s="7" t="s">
        <v>240</v>
      </c>
      <c r="C693" s="7"/>
      <c r="D693" s="7" t="s">
        <v>241</v>
      </c>
      <c r="E693" s="7" t="s">
        <v>523</v>
      </c>
      <c r="F693" s="8" t="str">
        <f>_xlfn.IFNA(INDEX('HS Codes'!$D$2:$K3247,MATCH($B693,'HS Codes'!$A$2:$A3247,0),MATCH(F$1,'HS Codes'!$D$1:$K$1,0)),"")</f>
        <v>4819.10.0040</v>
      </c>
      <c r="G693" s="8">
        <f>_xlfn.IFNA(INDEX('HS Codes'!$D$2:$K3247,MATCH($B693,'HS Codes'!$A$2:$A3247,0),MATCH(G$1,'HS Codes'!$D$1:$K$1,0)),"")</f>
        <v>4819100000</v>
      </c>
      <c r="H693" s="8">
        <f>_xlfn.IFNA(INDEX('HS Codes'!$D$2:$K3247,MATCH($B693,'HS Codes'!$A$2:$A3247,0),MATCH(H$1,'HS Codes'!$D$1:$K$1,0)),"")</f>
        <v>4819100000</v>
      </c>
      <c r="I693" s="8">
        <f>_xlfn.IFNA(INDEX('HS Codes'!$D$2:$K3247,MATCH($B693,'HS Codes'!$A$2:$A3247,0),MATCH(I$1,'HS Codes'!$D$1:$K$1,0)),"")</f>
        <v>48191000</v>
      </c>
      <c r="J693" s="8">
        <f>_xlfn.IFNA(INDEX('HS Codes'!$D$2:$K3247,MATCH($B693,'HS Codes'!$A$2:$A3247,0),MATCH(J$1,'HS Codes'!$D$1:$K$1,0)),"")</f>
        <v>0</v>
      </c>
      <c r="K693" s="8" t="str">
        <f>_xlfn.IFNA(INDEX('HS Codes'!$D$2:$K3247,MATCH($B693,'HS Codes'!$A$2:$A3247,0),MATCH(K$1,'HS Codes'!$D$1:$K$1,0)),"")</f>
        <v>4819.10.00</v>
      </c>
      <c r="L693" s="8">
        <f>_xlfn.IFNA(INDEX('HS Codes'!$D$2:$K3247,MATCH($B693,'HS Codes'!$A$2:$A3247,0),MATCH(L$1,'HS Codes'!$D$1:$K$1,0)),"")</f>
        <v>0</v>
      </c>
      <c r="M693" s="8" t="str">
        <f>_xlfn.IFNA(INDEX('HS Codes'!$C$2:$C3247,MATCH($B693,'HS Codes'!$A$2:$A3247,0)),"")</f>
        <v>Paperboard 100% recycled cardboard</v>
      </c>
      <c r="N693" s="9"/>
      <c r="O693" s="9"/>
      <c r="P693" s="9"/>
      <c r="Q693" s="9"/>
    </row>
    <row r="694" spans="1:17" ht="15.75" customHeight="1">
      <c r="A694" s="7" t="s">
        <v>985</v>
      </c>
      <c r="B694" s="7" t="s">
        <v>240</v>
      </c>
      <c r="C694" s="7"/>
      <c r="D694" s="7" t="s">
        <v>241</v>
      </c>
      <c r="E694" s="7" t="s">
        <v>523</v>
      </c>
      <c r="F694" s="8" t="str">
        <f>_xlfn.IFNA(INDEX('HS Codes'!$D$2:$K3248,MATCH($B694,'HS Codes'!$A$2:$A3248,0),MATCH(F$1,'HS Codes'!$D$1:$K$1,0)),"")</f>
        <v>4819.10.0040</v>
      </c>
      <c r="G694" s="8">
        <f>_xlfn.IFNA(INDEX('HS Codes'!$D$2:$K3248,MATCH($B694,'HS Codes'!$A$2:$A3248,0),MATCH(G$1,'HS Codes'!$D$1:$K$1,0)),"")</f>
        <v>4819100000</v>
      </c>
      <c r="H694" s="8">
        <f>_xlfn.IFNA(INDEX('HS Codes'!$D$2:$K3248,MATCH($B694,'HS Codes'!$A$2:$A3248,0),MATCH(H$1,'HS Codes'!$D$1:$K$1,0)),"")</f>
        <v>4819100000</v>
      </c>
      <c r="I694" s="8">
        <f>_xlfn.IFNA(INDEX('HS Codes'!$D$2:$K3248,MATCH($B694,'HS Codes'!$A$2:$A3248,0),MATCH(I$1,'HS Codes'!$D$1:$K$1,0)),"")</f>
        <v>48191000</v>
      </c>
      <c r="J694" s="8">
        <f>_xlfn.IFNA(INDEX('HS Codes'!$D$2:$K3248,MATCH($B694,'HS Codes'!$A$2:$A3248,0),MATCH(J$1,'HS Codes'!$D$1:$K$1,0)),"")</f>
        <v>0</v>
      </c>
      <c r="K694" s="8" t="str">
        <f>_xlfn.IFNA(INDEX('HS Codes'!$D$2:$K3248,MATCH($B694,'HS Codes'!$A$2:$A3248,0),MATCH(K$1,'HS Codes'!$D$1:$K$1,0)),"")</f>
        <v>4819.10.00</v>
      </c>
      <c r="L694" s="8">
        <f>_xlfn.IFNA(INDEX('HS Codes'!$D$2:$K3248,MATCH($B694,'HS Codes'!$A$2:$A3248,0),MATCH(L$1,'HS Codes'!$D$1:$K$1,0)),"")</f>
        <v>0</v>
      </c>
      <c r="M694" s="8" t="str">
        <f>_xlfn.IFNA(INDEX('HS Codes'!$C$2:$C3248,MATCH($B694,'HS Codes'!$A$2:$A3248,0)),"")</f>
        <v>Paperboard 100% recycled cardboard</v>
      </c>
      <c r="N694" s="9"/>
      <c r="O694" s="9"/>
      <c r="P694" s="9"/>
      <c r="Q694" s="9"/>
    </row>
    <row r="695" spans="1:17" ht="15.75" customHeight="1">
      <c r="A695" s="7" t="s">
        <v>986</v>
      </c>
      <c r="B695" s="7" t="s">
        <v>240</v>
      </c>
      <c r="C695" s="7"/>
      <c r="D695" s="7" t="s">
        <v>241</v>
      </c>
      <c r="E695" s="7" t="s">
        <v>523</v>
      </c>
      <c r="F695" s="8" t="str">
        <f>_xlfn.IFNA(INDEX('HS Codes'!$D$2:$K3249,MATCH($B695,'HS Codes'!$A$2:$A3249,0),MATCH(F$1,'HS Codes'!$D$1:$K$1,0)),"")</f>
        <v>4819.10.0040</v>
      </c>
      <c r="G695" s="8">
        <f>_xlfn.IFNA(INDEX('HS Codes'!$D$2:$K3249,MATCH($B695,'HS Codes'!$A$2:$A3249,0),MATCH(G$1,'HS Codes'!$D$1:$K$1,0)),"")</f>
        <v>4819100000</v>
      </c>
      <c r="H695" s="8">
        <f>_xlfn.IFNA(INDEX('HS Codes'!$D$2:$K3249,MATCH($B695,'HS Codes'!$A$2:$A3249,0),MATCH(H$1,'HS Codes'!$D$1:$K$1,0)),"")</f>
        <v>4819100000</v>
      </c>
      <c r="I695" s="8">
        <f>_xlfn.IFNA(INDEX('HS Codes'!$D$2:$K3249,MATCH($B695,'HS Codes'!$A$2:$A3249,0),MATCH(I$1,'HS Codes'!$D$1:$K$1,0)),"")</f>
        <v>48191000</v>
      </c>
      <c r="J695" s="8">
        <f>_xlfn.IFNA(INDEX('HS Codes'!$D$2:$K3249,MATCH($B695,'HS Codes'!$A$2:$A3249,0),MATCH(J$1,'HS Codes'!$D$1:$K$1,0)),"")</f>
        <v>0</v>
      </c>
      <c r="K695" s="8" t="str">
        <f>_xlfn.IFNA(INDEX('HS Codes'!$D$2:$K3249,MATCH($B695,'HS Codes'!$A$2:$A3249,0),MATCH(K$1,'HS Codes'!$D$1:$K$1,0)),"")</f>
        <v>4819.10.00</v>
      </c>
      <c r="L695" s="8">
        <f>_xlfn.IFNA(INDEX('HS Codes'!$D$2:$K3249,MATCH($B695,'HS Codes'!$A$2:$A3249,0),MATCH(L$1,'HS Codes'!$D$1:$K$1,0)),"")</f>
        <v>0</v>
      </c>
      <c r="M695" s="8" t="str">
        <f>_xlfn.IFNA(INDEX('HS Codes'!$C$2:$C3249,MATCH($B695,'HS Codes'!$A$2:$A3249,0)),"")</f>
        <v>Paperboard 100% recycled cardboard</v>
      </c>
      <c r="N695" s="9"/>
      <c r="O695" s="9"/>
      <c r="P695" s="9"/>
      <c r="Q695" s="9"/>
    </row>
    <row r="696" spans="1:17" ht="15.75" customHeight="1">
      <c r="A696" s="7" t="s">
        <v>987</v>
      </c>
      <c r="B696" s="7" t="s">
        <v>240</v>
      </c>
      <c r="C696" s="7"/>
      <c r="D696" s="7" t="s">
        <v>241</v>
      </c>
      <c r="E696" s="7" t="s">
        <v>523</v>
      </c>
      <c r="F696" s="8" t="str">
        <f>_xlfn.IFNA(INDEX('HS Codes'!$D$2:$K3250,MATCH($B696,'HS Codes'!$A$2:$A3250,0),MATCH(F$1,'HS Codes'!$D$1:$K$1,0)),"")</f>
        <v>4819.10.0040</v>
      </c>
      <c r="G696" s="8">
        <f>_xlfn.IFNA(INDEX('HS Codes'!$D$2:$K3250,MATCH($B696,'HS Codes'!$A$2:$A3250,0),MATCH(G$1,'HS Codes'!$D$1:$K$1,0)),"")</f>
        <v>4819100000</v>
      </c>
      <c r="H696" s="8">
        <f>_xlfn.IFNA(INDEX('HS Codes'!$D$2:$K3250,MATCH($B696,'HS Codes'!$A$2:$A3250,0),MATCH(H$1,'HS Codes'!$D$1:$K$1,0)),"")</f>
        <v>4819100000</v>
      </c>
      <c r="I696" s="8">
        <f>_xlfn.IFNA(INDEX('HS Codes'!$D$2:$K3250,MATCH($B696,'HS Codes'!$A$2:$A3250,0),MATCH(I$1,'HS Codes'!$D$1:$K$1,0)),"")</f>
        <v>48191000</v>
      </c>
      <c r="J696" s="8">
        <f>_xlfn.IFNA(INDEX('HS Codes'!$D$2:$K3250,MATCH($B696,'HS Codes'!$A$2:$A3250,0),MATCH(J$1,'HS Codes'!$D$1:$K$1,0)),"")</f>
        <v>0</v>
      </c>
      <c r="K696" s="8" t="str">
        <f>_xlfn.IFNA(INDEX('HS Codes'!$D$2:$K3250,MATCH($B696,'HS Codes'!$A$2:$A3250,0),MATCH(K$1,'HS Codes'!$D$1:$K$1,0)),"")</f>
        <v>4819.10.00</v>
      </c>
      <c r="L696" s="8">
        <f>_xlfn.IFNA(INDEX('HS Codes'!$D$2:$K3250,MATCH($B696,'HS Codes'!$A$2:$A3250,0),MATCH(L$1,'HS Codes'!$D$1:$K$1,0)),"")</f>
        <v>0</v>
      </c>
      <c r="M696" s="8" t="str">
        <f>_xlfn.IFNA(INDEX('HS Codes'!$C$2:$C3250,MATCH($B696,'HS Codes'!$A$2:$A3250,0)),"")</f>
        <v>Paperboard 100% recycled cardboard</v>
      </c>
      <c r="N696" s="9"/>
      <c r="O696" s="9"/>
      <c r="P696" s="9"/>
      <c r="Q696" s="9"/>
    </row>
    <row r="697" spans="1:17" ht="15.75" customHeight="1">
      <c r="A697" s="7" t="s">
        <v>988</v>
      </c>
      <c r="B697" s="7" t="s">
        <v>240</v>
      </c>
      <c r="C697" s="7"/>
      <c r="D697" s="7" t="s">
        <v>241</v>
      </c>
      <c r="E697" s="7" t="s">
        <v>523</v>
      </c>
      <c r="F697" s="8" t="str">
        <f>_xlfn.IFNA(INDEX('HS Codes'!$D$2:$K3251,MATCH($B697,'HS Codes'!$A$2:$A3251,0),MATCH(F$1,'HS Codes'!$D$1:$K$1,0)),"")</f>
        <v>4819.10.0040</v>
      </c>
      <c r="G697" s="8">
        <f>_xlfn.IFNA(INDEX('HS Codes'!$D$2:$K3251,MATCH($B697,'HS Codes'!$A$2:$A3251,0),MATCH(G$1,'HS Codes'!$D$1:$K$1,0)),"")</f>
        <v>4819100000</v>
      </c>
      <c r="H697" s="8">
        <f>_xlfn.IFNA(INDEX('HS Codes'!$D$2:$K3251,MATCH($B697,'HS Codes'!$A$2:$A3251,0),MATCH(H$1,'HS Codes'!$D$1:$K$1,0)),"")</f>
        <v>4819100000</v>
      </c>
      <c r="I697" s="8">
        <f>_xlfn.IFNA(INDEX('HS Codes'!$D$2:$K3251,MATCH($B697,'HS Codes'!$A$2:$A3251,0),MATCH(I$1,'HS Codes'!$D$1:$K$1,0)),"")</f>
        <v>48191000</v>
      </c>
      <c r="J697" s="8">
        <f>_xlfn.IFNA(INDEX('HS Codes'!$D$2:$K3251,MATCH($B697,'HS Codes'!$A$2:$A3251,0),MATCH(J$1,'HS Codes'!$D$1:$K$1,0)),"")</f>
        <v>0</v>
      </c>
      <c r="K697" s="8" t="str">
        <f>_xlfn.IFNA(INDEX('HS Codes'!$D$2:$K3251,MATCH($B697,'HS Codes'!$A$2:$A3251,0),MATCH(K$1,'HS Codes'!$D$1:$K$1,0)),"")</f>
        <v>4819.10.00</v>
      </c>
      <c r="L697" s="8">
        <f>_xlfn.IFNA(INDEX('HS Codes'!$D$2:$K3251,MATCH($B697,'HS Codes'!$A$2:$A3251,0),MATCH(L$1,'HS Codes'!$D$1:$K$1,0)),"")</f>
        <v>0</v>
      </c>
      <c r="M697" s="8" t="str">
        <f>_xlfn.IFNA(INDEX('HS Codes'!$C$2:$C3251,MATCH($B697,'HS Codes'!$A$2:$A3251,0)),"")</f>
        <v>Paperboard 100% recycled cardboard</v>
      </c>
      <c r="N697" s="9"/>
      <c r="O697" s="9"/>
      <c r="P697" s="9"/>
      <c r="Q697" s="9"/>
    </row>
    <row r="698" spans="1:17" ht="15.75" customHeight="1">
      <c r="A698" s="7" t="s">
        <v>989</v>
      </c>
      <c r="B698" s="7" t="s">
        <v>240</v>
      </c>
      <c r="C698" s="7"/>
      <c r="D698" s="7" t="s">
        <v>241</v>
      </c>
      <c r="E698" s="7" t="s">
        <v>523</v>
      </c>
      <c r="F698" s="8" t="str">
        <f>_xlfn.IFNA(INDEX('HS Codes'!$D$2:$K3252,MATCH($B698,'HS Codes'!$A$2:$A3252,0),MATCH(F$1,'HS Codes'!$D$1:$K$1,0)),"")</f>
        <v>4819.10.0040</v>
      </c>
      <c r="G698" s="8">
        <f>_xlfn.IFNA(INDEX('HS Codes'!$D$2:$K3252,MATCH($B698,'HS Codes'!$A$2:$A3252,0),MATCH(G$1,'HS Codes'!$D$1:$K$1,0)),"")</f>
        <v>4819100000</v>
      </c>
      <c r="H698" s="8">
        <f>_xlfn.IFNA(INDEX('HS Codes'!$D$2:$K3252,MATCH($B698,'HS Codes'!$A$2:$A3252,0),MATCH(H$1,'HS Codes'!$D$1:$K$1,0)),"")</f>
        <v>4819100000</v>
      </c>
      <c r="I698" s="8">
        <f>_xlfn.IFNA(INDEX('HS Codes'!$D$2:$K3252,MATCH($B698,'HS Codes'!$A$2:$A3252,0),MATCH(I$1,'HS Codes'!$D$1:$K$1,0)),"")</f>
        <v>48191000</v>
      </c>
      <c r="J698" s="8">
        <f>_xlfn.IFNA(INDEX('HS Codes'!$D$2:$K3252,MATCH($B698,'HS Codes'!$A$2:$A3252,0),MATCH(J$1,'HS Codes'!$D$1:$K$1,0)),"")</f>
        <v>0</v>
      </c>
      <c r="K698" s="8" t="str">
        <f>_xlfn.IFNA(INDEX('HS Codes'!$D$2:$K3252,MATCH($B698,'HS Codes'!$A$2:$A3252,0),MATCH(K$1,'HS Codes'!$D$1:$K$1,0)),"")</f>
        <v>4819.10.00</v>
      </c>
      <c r="L698" s="8">
        <f>_xlfn.IFNA(INDEX('HS Codes'!$D$2:$K3252,MATCH($B698,'HS Codes'!$A$2:$A3252,0),MATCH(L$1,'HS Codes'!$D$1:$K$1,0)),"")</f>
        <v>0</v>
      </c>
      <c r="M698" s="8" t="str">
        <f>_xlfn.IFNA(INDEX('HS Codes'!$C$2:$C3252,MATCH($B698,'HS Codes'!$A$2:$A3252,0)),"")</f>
        <v>Paperboard 100% recycled cardboard</v>
      </c>
      <c r="N698" s="9"/>
      <c r="O698" s="9"/>
      <c r="P698" s="9"/>
      <c r="Q698" s="9"/>
    </row>
    <row r="699" spans="1:17" ht="15.75" customHeight="1">
      <c r="A699" s="7" t="s">
        <v>990</v>
      </c>
      <c r="B699" s="7" t="s">
        <v>240</v>
      </c>
      <c r="C699" s="7"/>
      <c r="D699" s="7" t="s">
        <v>241</v>
      </c>
      <c r="E699" s="7" t="s">
        <v>523</v>
      </c>
      <c r="F699" s="8" t="str">
        <f>_xlfn.IFNA(INDEX('HS Codes'!$D$2:$K3253,MATCH($B699,'HS Codes'!$A$2:$A3253,0),MATCH(F$1,'HS Codes'!$D$1:$K$1,0)),"")</f>
        <v>4819.10.0040</v>
      </c>
      <c r="G699" s="8">
        <f>_xlfn.IFNA(INDEX('HS Codes'!$D$2:$K3253,MATCH($B699,'HS Codes'!$A$2:$A3253,0),MATCH(G$1,'HS Codes'!$D$1:$K$1,0)),"")</f>
        <v>4819100000</v>
      </c>
      <c r="H699" s="8">
        <f>_xlfn.IFNA(INDEX('HS Codes'!$D$2:$K3253,MATCH($B699,'HS Codes'!$A$2:$A3253,0),MATCH(H$1,'HS Codes'!$D$1:$K$1,0)),"")</f>
        <v>4819100000</v>
      </c>
      <c r="I699" s="8">
        <f>_xlfn.IFNA(INDEX('HS Codes'!$D$2:$K3253,MATCH($B699,'HS Codes'!$A$2:$A3253,0),MATCH(I$1,'HS Codes'!$D$1:$K$1,0)),"")</f>
        <v>48191000</v>
      </c>
      <c r="J699" s="8">
        <f>_xlfn.IFNA(INDEX('HS Codes'!$D$2:$K3253,MATCH($B699,'HS Codes'!$A$2:$A3253,0),MATCH(J$1,'HS Codes'!$D$1:$K$1,0)),"")</f>
        <v>0</v>
      </c>
      <c r="K699" s="8" t="str">
        <f>_xlfn.IFNA(INDEX('HS Codes'!$D$2:$K3253,MATCH($B699,'HS Codes'!$A$2:$A3253,0),MATCH(K$1,'HS Codes'!$D$1:$K$1,0)),"")</f>
        <v>4819.10.00</v>
      </c>
      <c r="L699" s="8">
        <f>_xlfn.IFNA(INDEX('HS Codes'!$D$2:$K3253,MATCH($B699,'HS Codes'!$A$2:$A3253,0),MATCH(L$1,'HS Codes'!$D$1:$K$1,0)),"")</f>
        <v>0</v>
      </c>
      <c r="M699" s="8" t="str">
        <f>_xlfn.IFNA(INDEX('HS Codes'!$C$2:$C3253,MATCH($B699,'HS Codes'!$A$2:$A3253,0)),"")</f>
        <v>Paperboard 100% recycled cardboard</v>
      </c>
      <c r="N699" s="9"/>
      <c r="O699" s="9"/>
      <c r="P699" s="9"/>
      <c r="Q699" s="9"/>
    </row>
    <row r="700" spans="1:17" ht="15.75" customHeight="1">
      <c r="A700" s="7" t="s">
        <v>991</v>
      </c>
      <c r="B700" s="7" t="s">
        <v>240</v>
      </c>
      <c r="C700" s="7"/>
      <c r="D700" s="7" t="s">
        <v>241</v>
      </c>
      <c r="E700" s="7" t="s">
        <v>523</v>
      </c>
      <c r="F700" s="8" t="str">
        <f>_xlfn.IFNA(INDEX('HS Codes'!$D$2:$K3254,MATCH($B700,'HS Codes'!$A$2:$A3254,0),MATCH(F$1,'HS Codes'!$D$1:$K$1,0)),"")</f>
        <v>4819.10.0040</v>
      </c>
      <c r="G700" s="8">
        <f>_xlfn.IFNA(INDEX('HS Codes'!$D$2:$K3254,MATCH($B700,'HS Codes'!$A$2:$A3254,0),MATCH(G$1,'HS Codes'!$D$1:$K$1,0)),"")</f>
        <v>4819100000</v>
      </c>
      <c r="H700" s="8">
        <f>_xlfn.IFNA(INDEX('HS Codes'!$D$2:$K3254,MATCH($B700,'HS Codes'!$A$2:$A3254,0),MATCH(H$1,'HS Codes'!$D$1:$K$1,0)),"")</f>
        <v>4819100000</v>
      </c>
      <c r="I700" s="8">
        <f>_xlfn.IFNA(INDEX('HS Codes'!$D$2:$K3254,MATCH($B700,'HS Codes'!$A$2:$A3254,0),MATCH(I$1,'HS Codes'!$D$1:$K$1,0)),"")</f>
        <v>48191000</v>
      </c>
      <c r="J700" s="8">
        <f>_xlfn.IFNA(INDEX('HS Codes'!$D$2:$K3254,MATCH($B700,'HS Codes'!$A$2:$A3254,0),MATCH(J$1,'HS Codes'!$D$1:$K$1,0)),"")</f>
        <v>0</v>
      </c>
      <c r="K700" s="8" t="str">
        <f>_xlfn.IFNA(INDEX('HS Codes'!$D$2:$K3254,MATCH($B700,'HS Codes'!$A$2:$A3254,0),MATCH(K$1,'HS Codes'!$D$1:$K$1,0)),"")</f>
        <v>4819.10.00</v>
      </c>
      <c r="L700" s="8">
        <f>_xlfn.IFNA(INDEX('HS Codes'!$D$2:$K3254,MATCH($B700,'HS Codes'!$A$2:$A3254,0),MATCH(L$1,'HS Codes'!$D$1:$K$1,0)),"")</f>
        <v>0</v>
      </c>
      <c r="M700" s="8" t="str">
        <f>_xlfn.IFNA(INDEX('HS Codes'!$C$2:$C3254,MATCH($B700,'HS Codes'!$A$2:$A3254,0)),"")</f>
        <v>Paperboard 100% recycled cardboard</v>
      </c>
      <c r="N700" s="9"/>
      <c r="O700" s="9"/>
      <c r="P700" s="9"/>
      <c r="Q700" s="9"/>
    </row>
    <row r="701" spans="1:17" ht="15.75" customHeight="1">
      <c r="A701" s="7" t="s">
        <v>992</v>
      </c>
      <c r="B701" s="7"/>
      <c r="C701" s="7"/>
      <c r="D701" s="7"/>
      <c r="E701" s="7"/>
      <c r="F701" s="8" t="str">
        <f>_xlfn.IFNA(INDEX('HS Codes'!$D$2:$K3255,MATCH($B701,'HS Codes'!$A$2:$A3255,0),MATCH(F$1,'HS Codes'!$D$1:$K$1,0)),"")</f>
        <v/>
      </c>
      <c r="G701" s="8" t="str">
        <f>_xlfn.IFNA(INDEX('HS Codes'!$D$2:$K3255,MATCH($B701,'HS Codes'!$A$2:$A3255,0),MATCH(G$1,'HS Codes'!$D$1:$K$1,0)),"")</f>
        <v/>
      </c>
      <c r="H701" s="8" t="str">
        <f>_xlfn.IFNA(INDEX('HS Codes'!$D$2:$K3255,MATCH($B701,'HS Codes'!$A$2:$A3255,0),MATCH(H$1,'HS Codes'!$D$1:$K$1,0)),"")</f>
        <v/>
      </c>
      <c r="I701" s="8" t="str">
        <f>_xlfn.IFNA(INDEX('HS Codes'!$D$2:$K3255,MATCH($B701,'HS Codes'!$A$2:$A3255,0),MATCH(I$1,'HS Codes'!$D$1:$K$1,0)),"")</f>
        <v/>
      </c>
      <c r="J701" s="8" t="str">
        <f>_xlfn.IFNA(INDEX('HS Codes'!$D$2:$K3255,MATCH($B701,'HS Codes'!$A$2:$A3255,0),MATCH(J$1,'HS Codes'!$D$1:$K$1,0)),"")</f>
        <v/>
      </c>
      <c r="K701" s="8" t="str">
        <f>_xlfn.IFNA(INDEX('HS Codes'!$D$2:$K3255,MATCH($B701,'HS Codes'!$A$2:$A3255,0),MATCH(K$1,'HS Codes'!$D$1:$K$1,0)),"")</f>
        <v/>
      </c>
      <c r="L701" s="8" t="str">
        <f>_xlfn.IFNA(INDEX('HS Codes'!$D$2:$K3255,MATCH($B701,'HS Codes'!$A$2:$A3255,0),MATCH(L$1,'HS Codes'!$D$1:$K$1,0)),"")</f>
        <v/>
      </c>
      <c r="M701" s="8" t="str">
        <f>_xlfn.IFNA(INDEX('HS Codes'!$C$2:$C3255,MATCH($B701,'HS Codes'!$A$2:$A3255,0)),"")</f>
        <v/>
      </c>
      <c r="N701" s="9"/>
      <c r="O701" s="9"/>
      <c r="P701" s="9"/>
      <c r="Q701" s="9"/>
    </row>
    <row r="702" spans="1:17" ht="15.75" customHeight="1">
      <c r="A702" s="7" t="s">
        <v>993</v>
      </c>
      <c r="B702" s="7" t="s">
        <v>240</v>
      </c>
      <c r="C702" s="7"/>
      <c r="D702" s="7" t="s">
        <v>241</v>
      </c>
      <c r="E702" s="7" t="s">
        <v>523</v>
      </c>
      <c r="F702" s="8" t="str">
        <f>_xlfn.IFNA(INDEX('HS Codes'!$D$2:$K3256,MATCH($B702,'HS Codes'!$A$2:$A3256,0),MATCH(F$1,'HS Codes'!$D$1:$K$1,0)),"")</f>
        <v>4819.10.0040</v>
      </c>
      <c r="G702" s="8">
        <f>_xlfn.IFNA(INDEX('HS Codes'!$D$2:$K3256,MATCH($B702,'HS Codes'!$A$2:$A3256,0),MATCH(G$1,'HS Codes'!$D$1:$K$1,0)),"")</f>
        <v>4819100000</v>
      </c>
      <c r="H702" s="8">
        <f>_xlfn.IFNA(INDEX('HS Codes'!$D$2:$K3256,MATCH($B702,'HS Codes'!$A$2:$A3256,0),MATCH(H$1,'HS Codes'!$D$1:$K$1,0)),"")</f>
        <v>4819100000</v>
      </c>
      <c r="I702" s="8">
        <f>_xlfn.IFNA(INDEX('HS Codes'!$D$2:$K3256,MATCH($B702,'HS Codes'!$A$2:$A3256,0),MATCH(I$1,'HS Codes'!$D$1:$K$1,0)),"")</f>
        <v>48191000</v>
      </c>
      <c r="J702" s="8">
        <f>_xlfn.IFNA(INDEX('HS Codes'!$D$2:$K3256,MATCH($B702,'HS Codes'!$A$2:$A3256,0),MATCH(J$1,'HS Codes'!$D$1:$K$1,0)),"")</f>
        <v>0</v>
      </c>
      <c r="K702" s="8" t="str">
        <f>_xlfn.IFNA(INDEX('HS Codes'!$D$2:$K3256,MATCH($B702,'HS Codes'!$A$2:$A3256,0),MATCH(K$1,'HS Codes'!$D$1:$K$1,0)),"")</f>
        <v>4819.10.00</v>
      </c>
      <c r="L702" s="8">
        <f>_xlfn.IFNA(INDEX('HS Codes'!$D$2:$K3256,MATCH($B702,'HS Codes'!$A$2:$A3256,0),MATCH(L$1,'HS Codes'!$D$1:$K$1,0)),"")</f>
        <v>0</v>
      </c>
      <c r="M702" s="8" t="str">
        <f>_xlfn.IFNA(INDEX('HS Codes'!$C$2:$C3256,MATCH($B702,'HS Codes'!$A$2:$A3256,0)),"")</f>
        <v>Paperboard 100% recycled cardboard</v>
      </c>
      <c r="N702" s="9"/>
      <c r="O702" s="9"/>
      <c r="P702" s="9"/>
      <c r="Q702" s="9"/>
    </row>
    <row r="703" spans="1:17" ht="15.75" customHeight="1">
      <c r="A703" s="7" t="s">
        <v>994</v>
      </c>
      <c r="B703" s="7" t="s">
        <v>240</v>
      </c>
      <c r="C703" s="7"/>
      <c r="D703" s="7" t="s">
        <v>241</v>
      </c>
      <c r="E703" s="7" t="s">
        <v>523</v>
      </c>
      <c r="F703" s="8" t="str">
        <f>_xlfn.IFNA(INDEX('HS Codes'!$D$2:$K3257,MATCH($B703,'HS Codes'!$A$2:$A3257,0),MATCH(F$1,'HS Codes'!$D$1:$K$1,0)),"")</f>
        <v>4819.10.0040</v>
      </c>
      <c r="G703" s="8">
        <f>_xlfn.IFNA(INDEX('HS Codes'!$D$2:$K3257,MATCH($B703,'HS Codes'!$A$2:$A3257,0),MATCH(G$1,'HS Codes'!$D$1:$K$1,0)),"")</f>
        <v>4819100000</v>
      </c>
      <c r="H703" s="8">
        <f>_xlfn.IFNA(INDEX('HS Codes'!$D$2:$K3257,MATCH($B703,'HS Codes'!$A$2:$A3257,0),MATCH(H$1,'HS Codes'!$D$1:$K$1,0)),"")</f>
        <v>4819100000</v>
      </c>
      <c r="I703" s="8">
        <f>_xlfn.IFNA(INDEX('HS Codes'!$D$2:$K3257,MATCH($B703,'HS Codes'!$A$2:$A3257,0),MATCH(I$1,'HS Codes'!$D$1:$K$1,0)),"")</f>
        <v>48191000</v>
      </c>
      <c r="J703" s="8">
        <f>_xlfn.IFNA(INDEX('HS Codes'!$D$2:$K3257,MATCH($B703,'HS Codes'!$A$2:$A3257,0),MATCH(J$1,'HS Codes'!$D$1:$K$1,0)),"")</f>
        <v>0</v>
      </c>
      <c r="K703" s="8" t="str">
        <f>_xlfn.IFNA(INDEX('HS Codes'!$D$2:$K3257,MATCH($B703,'HS Codes'!$A$2:$A3257,0),MATCH(K$1,'HS Codes'!$D$1:$K$1,0)),"")</f>
        <v>4819.10.00</v>
      </c>
      <c r="L703" s="8">
        <f>_xlfn.IFNA(INDEX('HS Codes'!$D$2:$K3257,MATCH($B703,'HS Codes'!$A$2:$A3257,0),MATCH(L$1,'HS Codes'!$D$1:$K$1,0)),"")</f>
        <v>0</v>
      </c>
      <c r="M703" s="8" t="str">
        <f>_xlfn.IFNA(INDEX('HS Codes'!$C$2:$C3257,MATCH($B703,'HS Codes'!$A$2:$A3257,0)),"")</f>
        <v>Paperboard 100% recycled cardboard</v>
      </c>
      <c r="N703" s="9"/>
      <c r="O703" s="9"/>
      <c r="P703" s="9"/>
      <c r="Q703" s="9"/>
    </row>
    <row r="704" spans="1:17" ht="15.75" customHeight="1">
      <c r="A704" s="7" t="s">
        <v>995</v>
      </c>
      <c r="B704" s="7" t="s">
        <v>240</v>
      </c>
      <c r="C704" s="7"/>
      <c r="D704" s="7" t="s">
        <v>241</v>
      </c>
      <c r="E704" s="7" t="s">
        <v>523</v>
      </c>
      <c r="F704" s="8" t="str">
        <f>_xlfn.IFNA(INDEX('HS Codes'!$D$2:$K3258,MATCH($B704,'HS Codes'!$A$2:$A3258,0),MATCH(F$1,'HS Codes'!$D$1:$K$1,0)),"")</f>
        <v>4819.10.0040</v>
      </c>
      <c r="G704" s="8">
        <f>_xlfn.IFNA(INDEX('HS Codes'!$D$2:$K3258,MATCH($B704,'HS Codes'!$A$2:$A3258,0),MATCH(G$1,'HS Codes'!$D$1:$K$1,0)),"")</f>
        <v>4819100000</v>
      </c>
      <c r="H704" s="8">
        <f>_xlfn.IFNA(INDEX('HS Codes'!$D$2:$K3258,MATCH($B704,'HS Codes'!$A$2:$A3258,0),MATCH(H$1,'HS Codes'!$D$1:$K$1,0)),"")</f>
        <v>4819100000</v>
      </c>
      <c r="I704" s="8">
        <f>_xlfn.IFNA(INDEX('HS Codes'!$D$2:$K3258,MATCH($B704,'HS Codes'!$A$2:$A3258,0),MATCH(I$1,'HS Codes'!$D$1:$K$1,0)),"")</f>
        <v>48191000</v>
      </c>
      <c r="J704" s="8">
        <f>_xlfn.IFNA(INDEX('HS Codes'!$D$2:$K3258,MATCH($B704,'HS Codes'!$A$2:$A3258,0),MATCH(J$1,'HS Codes'!$D$1:$K$1,0)),"")</f>
        <v>0</v>
      </c>
      <c r="K704" s="8" t="str">
        <f>_xlfn.IFNA(INDEX('HS Codes'!$D$2:$K3258,MATCH($B704,'HS Codes'!$A$2:$A3258,0),MATCH(K$1,'HS Codes'!$D$1:$K$1,0)),"")</f>
        <v>4819.10.00</v>
      </c>
      <c r="L704" s="8">
        <f>_xlfn.IFNA(INDEX('HS Codes'!$D$2:$K3258,MATCH($B704,'HS Codes'!$A$2:$A3258,0),MATCH(L$1,'HS Codes'!$D$1:$K$1,0)),"")</f>
        <v>0</v>
      </c>
      <c r="M704" s="8" t="str">
        <f>_xlfn.IFNA(INDEX('HS Codes'!$C$2:$C3258,MATCH($B704,'HS Codes'!$A$2:$A3258,0)),"")</f>
        <v>Paperboard 100% recycled cardboard</v>
      </c>
      <c r="N704" s="9"/>
      <c r="O704" s="9"/>
      <c r="P704" s="9"/>
      <c r="Q704" s="9"/>
    </row>
    <row r="705" spans="1:17" ht="15.75" customHeight="1">
      <c r="A705" s="7" t="s">
        <v>996</v>
      </c>
      <c r="B705" s="7" t="s">
        <v>240</v>
      </c>
      <c r="C705" s="7"/>
      <c r="D705" s="7" t="s">
        <v>241</v>
      </c>
      <c r="E705" s="7" t="s">
        <v>523</v>
      </c>
      <c r="F705" s="8" t="str">
        <f>_xlfn.IFNA(INDEX('HS Codes'!$D$2:$K3259,MATCH($B705,'HS Codes'!$A$2:$A3259,0),MATCH(F$1,'HS Codes'!$D$1:$K$1,0)),"")</f>
        <v>4819.10.0040</v>
      </c>
      <c r="G705" s="8">
        <f>_xlfn.IFNA(INDEX('HS Codes'!$D$2:$K3259,MATCH($B705,'HS Codes'!$A$2:$A3259,0),MATCH(G$1,'HS Codes'!$D$1:$K$1,0)),"")</f>
        <v>4819100000</v>
      </c>
      <c r="H705" s="8">
        <f>_xlfn.IFNA(INDEX('HS Codes'!$D$2:$K3259,MATCH($B705,'HS Codes'!$A$2:$A3259,0),MATCH(H$1,'HS Codes'!$D$1:$K$1,0)),"")</f>
        <v>4819100000</v>
      </c>
      <c r="I705" s="8">
        <f>_xlfn.IFNA(INDEX('HS Codes'!$D$2:$K3259,MATCH($B705,'HS Codes'!$A$2:$A3259,0),MATCH(I$1,'HS Codes'!$D$1:$K$1,0)),"")</f>
        <v>48191000</v>
      </c>
      <c r="J705" s="8">
        <f>_xlfn.IFNA(INDEX('HS Codes'!$D$2:$K3259,MATCH($B705,'HS Codes'!$A$2:$A3259,0),MATCH(J$1,'HS Codes'!$D$1:$K$1,0)),"")</f>
        <v>0</v>
      </c>
      <c r="K705" s="8" t="str">
        <f>_xlfn.IFNA(INDEX('HS Codes'!$D$2:$K3259,MATCH($B705,'HS Codes'!$A$2:$A3259,0),MATCH(K$1,'HS Codes'!$D$1:$K$1,0)),"")</f>
        <v>4819.10.00</v>
      </c>
      <c r="L705" s="8">
        <f>_xlfn.IFNA(INDEX('HS Codes'!$D$2:$K3259,MATCH($B705,'HS Codes'!$A$2:$A3259,0),MATCH(L$1,'HS Codes'!$D$1:$K$1,0)),"")</f>
        <v>0</v>
      </c>
      <c r="M705" s="8" t="str">
        <f>_xlfn.IFNA(INDEX('HS Codes'!$C$2:$C3259,MATCH($B705,'HS Codes'!$A$2:$A3259,0)),"")</f>
        <v>Paperboard 100% recycled cardboard</v>
      </c>
      <c r="N705" s="9"/>
      <c r="O705" s="9"/>
      <c r="P705" s="9"/>
      <c r="Q705" s="9"/>
    </row>
    <row r="706" spans="1:17" ht="15.75" customHeight="1">
      <c r="A706" s="7" t="s">
        <v>997</v>
      </c>
      <c r="B706" s="7" t="s">
        <v>240</v>
      </c>
      <c r="C706" s="7"/>
      <c r="D706" s="7" t="s">
        <v>241</v>
      </c>
      <c r="E706" s="7" t="s">
        <v>523</v>
      </c>
      <c r="F706" s="8" t="str">
        <f>_xlfn.IFNA(INDEX('HS Codes'!$D$2:$K3260,MATCH($B706,'HS Codes'!$A$2:$A3260,0),MATCH(F$1,'HS Codes'!$D$1:$K$1,0)),"")</f>
        <v>4819.10.0040</v>
      </c>
      <c r="G706" s="8">
        <f>_xlfn.IFNA(INDEX('HS Codes'!$D$2:$K3260,MATCH($B706,'HS Codes'!$A$2:$A3260,0),MATCH(G$1,'HS Codes'!$D$1:$K$1,0)),"")</f>
        <v>4819100000</v>
      </c>
      <c r="H706" s="8">
        <f>_xlfn.IFNA(INDEX('HS Codes'!$D$2:$K3260,MATCH($B706,'HS Codes'!$A$2:$A3260,0),MATCH(H$1,'HS Codes'!$D$1:$K$1,0)),"")</f>
        <v>4819100000</v>
      </c>
      <c r="I706" s="8">
        <f>_xlfn.IFNA(INDEX('HS Codes'!$D$2:$K3260,MATCH($B706,'HS Codes'!$A$2:$A3260,0),MATCH(I$1,'HS Codes'!$D$1:$K$1,0)),"")</f>
        <v>48191000</v>
      </c>
      <c r="J706" s="8">
        <f>_xlfn.IFNA(INDEX('HS Codes'!$D$2:$K3260,MATCH($B706,'HS Codes'!$A$2:$A3260,0),MATCH(J$1,'HS Codes'!$D$1:$K$1,0)),"")</f>
        <v>0</v>
      </c>
      <c r="K706" s="8" t="str">
        <f>_xlfn.IFNA(INDEX('HS Codes'!$D$2:$K3260,MATCH($B706,'HS Codes'!$A$2:$A3260,0),MATCH(K$1,'HS Codes'!$D$1:$K$1,0)),"")</f>
        <v>4819.10.00</v>
      </c>
      <c r="L706" s="8">
        <f>_xlfn.IFNA(INDEX('HS Codes'!$D$2:$K3260,MATCH($B706,'HS Codes'!$A$2:$A3260,0),MATCH(L$1,'HS Codes'!$D$1:$K$1,0)),"")</f>
        <v>0</v>
      </c>
      <c r="M706" s="8" t="str">
        <f>_xlfn.IFNA(INDEX('HS Codes'!$C$2:$C3260,MATCH($B706,'HS Codes'!$A$2:$A3260,0)),"")</f>
        <v>Paperboard 100% recycled cardboard</v>
      </c>
      <c r="N706" s="9"/>
      <c r="O706" s="9"/>
      <c r="P706" s="9"/>
      <c r="Q706" s="9"/>
    </row>
    <row r="707" spans="1:17" ht="15.75" customHeight="1">
      <c r="A707" s="7" t="s">
        <v>998</v>
      </c>
      <c r="B707" s="7" t="s">
        <v>240</v>
      </c>
      <c r="C707" s="7"/>
      <c r="D707" s="7" t="s">
        <v>241</v>
      </c>
      <c r="E707" s="7" t="s">
        <v>523</v>
      </c>
      <c r="F707" s="8" t="str">
        <f>_xlfn.IFNA(INDEX('HS Codes'!$D$2:$K3261,MATCH($B707,'HS Codes'!$A$2:$A3261,0),MATCH(F$1,'HS Codes'!$D$1:$K$1,0)),"")</f>
        <v>4819.10.0040</v>
      </c>
      <c r="G707" s="8">
        <f>_xlfn.IFNA(INDEX('HS Codes'!$D$2:$K3261,MATCH($B707,'HS Codes'!$A$2:$A3261,0),MATCH(G$1,'HS Codes'!$D$1:$K$1,0)),"")</f>
        <v>4819100000</v>
      </c>
      <c r="H707" s="8">
        <f>_xlfn.IFNA(INDEX('HS Codes'!$D$2:$K3261,MATCH($B707,'HS Codes'!$A$2:$A3261,0),MATCH(H$1,'HS Codes'!$D$1:$K$1,0)),"")</f>
        <v>4819100000</v>
      </c>
      <c r="I707" s="8">
        <f>_xlfn.IFNA(INDEX('HS Codes'!$D$2:$K3261,MATCH($B707,'HS Codes'!$A$2:$A3261,0),MATCH(I$1,'HS Codes'!$D$1:$K$1,0)),"")</f>
        <v>48191000</v>
      </c>
      <c r="J707" s="8">
        <f>_xlfn.IFNA(INDEX('HS Codes'!$D$2:$K3261,MATCH($B707,'HS Codes'!$A$2:$A3261,0),MATCH(J$1,'HS Codes'!$D$1:$K$1,0)),"")</f>
        <v>0</v>
      </c>
      <c r="K707" s="8" t="str">
        <f>_xlfn.IFNA(INDEX('HS Codes'!$D$2:$K3261,MATCH($B707,'HS Codes'!$A$2:$A3261,0),MATCH(K$1,'HS Codes'!$D$1:$K$1,0)),"")</f>
        <v>4819.10.00</v>
      </c>
      <c r="L707" s="8">
        <f>_xlfn.IFNA(INDEX('HS Codes'!$D$2:$K3261,MATCH($B707,'HS Codes'!$A$2:$A3261,0),MATCH(L$1,'HS Codes'!$D$1:$K$1,0)),"")</f>
        <v>0</v>
      </c>
      <c r="M707" s="8" t="str">
        <f>_xlfn.IFNA(INDEX('HS Codes'!$C$2:$C3261,MATCH($B707,'HS Codes'!$A$2:$A3261,0)),"")</f>
        <v>Paperboard 100% recycled cardboard</v>
      </c>
      <c r="N707" s="9"/>
      <c r="O707" s="9"/>
      <c r="P707" s="9"/>
      <c r="Q707" s="9"/>
    </row>
    <row r="708" spans="1:17" ht="15.75" customHeight="1">
      <c r="A708" s="7" t="s">
        <v>999</v>
      </c>
      <c r="B708" s="7" t="s">
        <v>240</v>
      </c>
      <c r="C708" s="7"/>
      <c r="D708" s="7" t="s">
        <v>241</v>
      </c>
      <c r="E708" s="7" t="s">
        <v>523</v>
      </c>
      <c r="F708" s="8" t="str">
        <f>_xlfn.IFNA(INDEX('HS Codes'!$D$2:$K3262,MATCH($B708,'HS Codes'!$A$2:$A3262,0),MATCH(F$1,'HS Codes'!$D$1:$K$1,0)),"")</f>
        <v>4819.10.0040</v>
      </c>
      <c r="G708" s="8">
        <f>_xlfn.IFNA(INDEX('HS Codes'!$D$2:$K3262,MATCH($B708,'HS Codes'!$A$2:$A3262,0),MATCH(G$1,'HS Codes'!$D$1:$K$1,0)),"")</f>
        <v>4819100000</v>
      </c>
      <c r="H708" s="8">
        <f>_xlfn.IFNA(INDEX('HS Codes'!$D$2:$K3262,MATCH($B708,'HS Codes'!$A$2:$A3262,0),MATCH(H$1,'HS Codes'!$D$1:$K$1,0)),"")</f>
        <v>4819100000</v>
      </c>
      <c r="I708" s="8">
        <f>_xlfn.IFNA(INDEX('HS Codes'!$D$2:$K3262,MATCH($B708,'HS Codes'!$A$2:$A3262,0),MATCH(I$1,'HS Codes'!$D$1:$K$1,0)),"")</f>
        <v>48191000</v>
      </c>
      <c r="J708" s="8">
        <f>_xlfn.IFNA(INDEX('HS Codes'!$D$2:$K3262,MATCH($B708,'HS Codes'!$A$2:$A3262,0),MATCH(J$1,'HS Codes'!$D$1:$K$1,0)),"")</f>
        <v>0</v>
      </c>
      <c r="K708" s="8" t="str">
        <f>_xlfn.IFNA(INDEX('HS Codes'!$D$2:$K3262,MATCH($B708,'HS Codes'!$A$2:$A3262,0),MATCH(K$1,'HS Codes'!$D$1:$K$1,0)),"")</f>
        <v>4819.10.00</v>
      </c>
      <c r="L708" s="8">
        <f>_xlfn.IFNA(INDEX('HS Codes'!$D$2:$K3262,MATCH($B708,'HS Codes'!$A$2:$A3262,0),MATCH(L$1,'HS Codes'!$D$1:$K$1,0)),"")</f>
        <v>0</v>
      </c>
      <c r="M708" s="8" t="str">
        <f>_xlfn.IFNA(INDEX('HS Codes'!$C$2:$C3262,MATCH($B708,'HS Codes'!$A$2:$A3262,0)),"")</f>
        <v>Paperboard 100% recycled cardboard</v>
      </c>
      <c r="N708" s="9"/>
      <c r="O708" s="9"/>
      <c r="P708" s="9"/>
      <c r="Q708" s="9"/>
    </row>
    <row r="709" spans="1:17" ht="15.75" customHeight="1">
      <c r="A709" s="7" t="s">
        <v>1000</v>
      </c>
      <c r="B709" s="7" t="s">
        <v>240</v>
      </c>
      <c r="C709" s="7"/>
      <c r="D709" s="7" t="s">
        <v>241</v>
      </c>
      <c r="E709" s="7" t="s">
        <v>523</v>
      </c>
      <c r="F709" s="8" t="str">
        <f>_xlfn.IFNA(INDEX('HS Codes'!$D$2:$K3263,MATCH($B709,'HS Codes'!$A$2:$A3263,0),MATCH(F$1,'HS Codes'!$D$1:$K$1,0)),"")</f>
        <v>4819.10.0040</v>
      </c>
      <c r="G709" s="8">
        <f>_xlfn.IFNA(INDEX('HS Codes'!$D$2:$K3263,MATCH($B709,'HS Codes'!$A$2:$A3263,0),MATCH(G$1,'HS Codes'!$D$1:$K$1,0)),"")</f>
        <v>4819100000</v>
      </c>
      <c r="H709" s="8">
        <f>_xlfn.IFNA(INDEX('HS Codes'!$D$2:$K3263,MATCH($B709,'HS Codes'!$A$2:$A3263,0),MATCH(H$1,'HS Codes'!$D$1:$K$1,0)),"")</f>
        <v>4819100000</v>
      </c>
      <c r="I709" s="8">
        <f>_xlfn.IFNA(INDEX('HS Codes'!$D$2:$K3263,MATCH($B709,'HS Codes'!$A$2:$A3263,0),MATCH(I$1,'HS Codes'!$D$1:$K$1,0)),"")</f>
        <v>48191000</v>
      </c>
      <c r="J709" s="8">
        <f>_xlfn.IFNA(INDEX('HS Codes'!$D$2:$K3263,MATCH($B709,'HS Codes'!$A$2:$A3263,0),MATCH(J$1,'HS Codes'!$D$1:$K$1,0)),"")</f>
        <v>0</v>
      </c>
      <c r="K709" s="8" t="str">
        <f>_xlfn.IFNA(INDEX('HS Codes'!$D$2:$K3263,MATCH($B709,'HS Codes'!$A$2:$A3263,0),MATCH(K$1,'HS Codes'!$D$1:$K$1,0)),"")</f>
        <v>4819.10.00</v>
      </c>
      <c r="L709" s="8">
        <f>_xlfn.IFNA(INDEX('HS Codes'!$D$2:$K3263,MATCH($B709,'HS Codes'!$A$2:$A3263,0),MATCH(L$1,'HS Codes'!$D$1:$K$1,0)),"")</f>
        <v>0</v>
      </c>
      <c r="M709" s="8" t="str">
        <f>_xlfn.IFNA(INDEX('HS Codes'!$C$2:$C3263,MATCH($B709,'HS Codes'!$A$2:$A3263,0)),"")</f>
        <v>Paperboard 100% recycled cardboard</v>
      </c>
      <c r="N709" s="9"/>
      <c r="O709" s="9"/>
      <c r="P709" s="9"/>
      <c r="Q709" s="9"/>
    </row>
    <row r="710" spans="1:17" ht="15.75" customHeight="1">
      <c r="A710" s="7" t="s">
        <v>1001</v>
      </c>
      <c r="B710" s="7" t="s">
        <v>240</v>
      </c>
      <c r="C710" s="7"/>
      <c r="D710" s="7" t="s">
        <v>241</v>
      </c>
      <c r="E710" s="7" t="s">
        <v>523</v>
      </c>
      <c r="F710" s="8" t="str">
        <f>_xlfn.IFNA(INDEX('HS Codes'!$D$2:$K3264,MATCH($B710,'HS Codes'!$A$2:$A3264,0),MATCH(F$1,'HS Codes'!$D$1:$K$1,0)),"")</f>
        <v>4819.10.0040</v>
      </c>
      <c r="G710" s="8">
        <f>_xlfn.IFNA(INDEX('HS Codes'!$D$2:$K3264,MATCH($B710,'HS Codes'!$A$2:$A3264,0),MATCH(G$1,'HS Codes'!$D$1:$K$1,0)),"")</f>
        <v>4819100000</v>
      </c>
      <c r="H710" s="8">
        <f>_xlfn.IFNA(INDEX('HS Codes'!$D$2:$K3264,MATCH($B710,'HS Codes'!$A$2:$A3264,0),MATCH(H$1,'HS Codes'!$D$1:$K$1,0)),"")</f>
        <v>4819100000</v>
      </c>
      <c r="I710" s="8">
        <f>_xlfn.IFNA(INDEX('HS Codes'!$D$2:$K3264,MATCH($B710,'HS Codes'!$A$2:$A3264,0),MATCH(I$1,'HS Codes'!$D$1:$K$1,0)),"")</f>
        <v>48191000</v>
      </c>
      <c r="J710" s="8">
        <f>_xlfn.IFNA(INDEX('HS Codes'!$D$2:$K3264,MATCH($B710,'HS Codes'!$A$2:$A3264,0),MATCH(J$1,'HS Codes'!$D$1:$K$1,0)),"")</f>
        <v>0</v>
      </c>
      <c r="K710" s="8" t="str">
        <f>_xlfn.IFNA(INDEX('HS Codes'!$D$2:$K3264,MATCH($B710,'HS Codes'!$A$2:$A3264,0),MATCH(K$1,'HS Codes'!$D$1:$K$1,0)),"")</f>
        <v>4819.10.00</v>
      </c>
      <c r="L710" s="8">
        <f>_xlfn.IFNA(INDEX('HS Codes'!$D$2:$K3264,MATCH($B710,'HS Codes'!$A$2:$A3264,0),MATCH(L$1,'HS Codes'!$D$1:$K$1,0)),"")</f>
        <v>0</v>
      </c>
      <c r="M710" s="8" t="str">
        <f>_xlfn.IFNA(INDEX('HS Codes'!$C$2:$C3264,MATCH($B710,'HS Codes'!$A$2:$A3264,0)),"")</f>
        <v>Paperboard 100% recycled cardboard</v>
      </c>
      <c r="N710" s="9"/>
      <c r="O710" s="9"/>
      <c r="P710" s="9"/>
      <c r="Q710" s="9"/>
    </row>
    <row r="711" spans="1:17" ht="15.75" customHeight="1">
      <c r="A711" s="7" t="s">
        <v>1002</v>
      </c>
      <c r="B711" s="7" t="s">
        <v>240</v>
      </c>
      <c r="C711" s="7"/>
      <c r="D711" s="7" t="s">
        <v>241</v>
      </c>
      <c r="E711" s="7" t="s">
        <v>523</v>
      </c>
      <c r="F711" s="8" t="str">
        <f>_xlfn.IFNA(INDEX('HS Codes'!$D$2:$K3265,MATCH($B711,'HS Codes'!$A$2:$A3265,0),MATCH(F$1,'HS Codes'!$D$1:$K$1,0)),"")</f>
        <v>4819.10.0040</v>
      </c>
      <c r="G711" s="8">
        <f>_xlfn.IFNA(INDEX('HS Codes'!$D$2:$K3265,MATCH($B711,'HS Codes'!$A$2:$A3265,0),MATCH(G$1,'HS Codes'!$D$1:$K$1,0)),"")</f>
        <v>4819100000</v>
      </c>
      <c r="H711" s="8">
        <f>_xlfn.IFNA(INDEX('HS Codes'!$D$2:$K3265,MATCH($B711,'HS Codes'!$A$2:$A3265,0),MATCH(H$1,'HS Codes'!$D$1:$K$1,0)),"")</f>
        <v>4819100000</v>
      </c>
      <c r="I711" s="8">
        <f>_xlfn.IFNA(INDEX('HS Codes'!$D$2:$K3265,MATCH($B711,'HS Codes'!$A$2:$A3265,0),MATCH(I$1,'HS Codes'!$D$1:$K$1,0)),"")</f>
        <v>48191000</v>
      </c>
      <c r="J711" s="8">
        <f>_xlfn.IFNA(INDEX('HS Codes'!$D$2:$K3265,MATCH($B711,'HS Codes'!$A$2:$A3265,0),MATCH(J$1,'HS Codes'!$D$1:$K$1,0)),"")</f>
        <v>0</v>
      </c>
      <c r="K711" s="8" t="str">
        <f>_xlfn.IFNA(INDEX('HS Codes'!$D$2:$K3265,MATCH($B711,'HS Codes'!$A$2:$A3265,0),MATCH(K$1,'HS Codes'!$D$1:$K$1,0)),"")</f>
        <v>4819.10.00</v>
      </c>
      <c r="L711" s="8">
        <f>_xlfn.IFNA(INDEX('HS Codes'!$D$2:$K3265,MATCH($B711,'HS Codes'!$A$2:$A3265,0),MATCH(L$1,'HS Codes'!$D$1:$K$1,0)),"")</f>
        <v>0</v>
      </c>
      <c r="M711" s="8" t="str">
        <f>_xlfn.IFNA(INDEX('HS Codes'!$C$2:$C3265,MATCH($B711,'HS Codes'!$A$2:$A3265,0)),"")</f>
        <v>Paperboard 100% recycled cardboard</v>
      </c>
      <c r="N711" s="9"/>
      <c r="O711" s="9"/>
      <c r="P711" s="9"/>
      <c r="Q711" s="9"/>
    </row>
    <row r="712" spans="1:17" ht="15.75" customHeight="1">
      <c r="A712" s="7" t="s">
        <v>1003</v>
      </c>
      <c r="B712" s="7" t="s">
        <v>240</v>
      </c>
      <c r="C712" s="7"/>
      <c r="D712" s="7" t="s">
        <v>241</v>
      </c>
      <c r="E712" s="7" t="s">
        <v>523</v>
      </c>
      <c r="F712" s="8" t="str">
        <f>_xlfn.IFNA(INDEX('HS Codes'!$D$2:$K3266,MATCH($B712,'HS Codes'!$A$2:$A3266,0),MATCH(F$1,'HS Codes'!$D$1:$K$1,0)),"")</f>
        <v>4819.10.0040</v>
      </c>
      <c r="G712" s="8">
        <f>_xlfn.IFNA(INDEX('HS Codes'!$D$2:$K3266,MATCH($B712,'HS Codes'!$A$2:$A3266,0),MATCH(G$1,'HS Codes'!$D$1:$K$1,0)),"")</f>
        <v>4819100000</v>
      </c>
      <c r="H712" s="8">
        <f>_xlfn.IFNA(INDEX('HS Codes'!$D$2:$K3266,MATCH($B712,'HS Codes'!$A$2:$A3266,0),MATCH(H$1,'HS Codes'!$D$1:$K$1,0)),"")</f>
        <v>4819100000</v>
      </c>
      <c r="I712" s="8">
        <f>_xlfn.IFNA(INDEX('HS Codes'!$D$2:$K3266,MATCH($B712,'HS Codes'!$A$2:$A3266,0),MATCH(I$1,'HS Codes'!$D$1:$K$1,0)),"")</f>
        <v>48191000</v>
      </c>
      <c r="J712" s="8">
        <f>_xlfn.IFNA(INDEX('HS Codes'!$D$2:$K3266,MATCH($B712,'HS Codes'!$A$2:$A3266,0),MATCH(J$1,'HS Codes'!$D$1:$K$1,0)),"")</f>
        <v>0</v>
      </c>
      <c r="K712" s="8" t="str">
        <f>_xlfn.IFNA(INDEX('HS Codes'!$D$2:$K3266,MATCH($B712,'HS Codes'!$A$2:$A3266,0),MATCH(K$1,'HS Codes'!$D$1:$K$1,0)),"")</f>
        <v>4819.10.00</v>
      </c>
      <c r="L712" s="8">
        <f>_xlfn.IFNA(INDEX('HS Codes'!$D$2:$K3266,MATCH($B712,'HS Codes'!$A$2:$A3266,0),MATCH(L$1,'HS Codes'!$D$1:$K$1,0)),"")</f>
        <v>0</v>
      </c>
      <c r="M712" s="8" t="str">
        <f>_xlfn.IFNA(INDEX('HS Codes'!$C$2:$C3266,MATCH($B712,'HS Codes'!$A$2:$A3266,0)),"")</f>
        <v>Paperboard 100% recycled cardboard</v>
      </c>
      <c r="N712" s="9"/>
      <c r="O712" s="9"/>
      <c r="P712" s="9"/>
      <c r="Q712" s="9"/>
    </row>
    <row r="713" spans="1:17" ht="15.75" customHeight="1">
      <c r="A713" s="7" t="s">
        <v>1004</v>
      </c>
      <c r="B713" s="7" t="s">
        <v>240</v>
      </c>
      <c r="C713" s="7"/>
      <c r="D713" s="7" t="s">
        <v>241</v>
      </c>
      <c r="E713" s="7" t="s">
        <v>523</v>
      </c>
      <c r="F713" s="8" t="str">
        <f>_xlfn.IFNA(INDEX('HS Codes'!$D$2:$K3267,MATCH($B713,'HS Codes'!$A$2:$A3267,0),MATCH(F$1,'HS Codes'!$D$1:$K$1,0)),"")</f>
        <v>4819.10.0040</v>
      </c>
      <c r="G713" s="8">
        <f>_xlfn.IFNA(INDEX('HS Codes'!$D$2:$K3267,MATCH($B713,'HS Codes'!$A$2:$A3267,0),MATCH(G$1,'HS Codes'!$D$1:$K$1,0)),"")</f>
        <v>4819100000</v>
      </c>
      <c r="H713" s="8">
        <f>_xlfn.IFNA(INDEX('HS Codes'!$D$2:$K3267,MATCH($B713,'HS Codes'!$A$2:$A3267,0),MATCH(H$1,'HS Codes'!$D$1:$K$1,0)),"")</f>
        <v>4819100000</v>
      </c>
      <c r="I713" s="8">
        <f>_xlfn.IFNA(INDEX('HS Codes'!$D$2:$K3267,MATCH($B713,'HS Codes'!$A$2:$A3267,0),MATCH(I$1,'HS Codes'!$D$1:$K$1,0)),"")</f>
        <v>48191000</v>
      </c>
      <c r="J713" s="8">
        <f>_xlfn.IFNA(INDEX('HS Codes'!$D$2:$K3267,MATCH($B713,'HS Codes'!$A$2:$A3267,0),MATCH(J$1,'HS Codes'!$D$1:$K$1,0)),"")</f>
        <v>0</v>
      </c>
      <c r="K713" s="8" t="str">
        <f>_xlfn.IFNA(INDEX('HS Codes'!$D$2:$K3267,MATCH($B713,'HS Codes'!$A$2:$A3267,0),MATCH(K$1,'HS Codes'!$D$1:$K$1,0)),"")</f>
        <v>4819.10.00</v>
      </c>
      <c r="L713" s="8">
        <f>_xlfn.IFNA(INDEX('HS Codes'!$D$2:$K3267,MATCH($B713,'HS Codes'!$A$2:$A3267,0),MATCH(L$1,'HS Codes'!$D$1:$K$1,0)),"")</f>
        <v>0</v>
      </c>
      <c r="M713" s="8" t="str">
        <f>_xlfn.IFNA(INDEX('HS Codes'!$C$2:$C3267,MATCH($B713,'HS Codes'!$A$2:$A3267,0)),"")</f>
        <v>Paperboard 100% recycled cardboard</v>
      </c>
      <c r="N713" s="9"/>
      <c r="O713" s="9"/>
      <c r="P713" s="9"/>
      <c r="Q713" s="9"/>
    </row>
    <row r="714" spans="1:17" ht="15.75" customHeight="1">
      <c r="A714" s="7" t="s">
        <v>1005</v>
      </c>
      <c r="B714" s="7" t="s">
        <v>240</v>
      </c>
      <c r="C714" s="7"/>
      <c r="D714" s="7" t="s">
        <v>241</v>
      </c>
      <c r="E714" s="7" t="s">
        <v>523</v>
      </c>
      <c r="F714" s="8" t="str">
        <f>_xlfn.IFNA(INDEX('HS Codes'!$D$2:$K3268,MATCH($B714,'HS Codes'!$A$2:$A3268,0),MATCH(F$1,'HS Codes'!$D$1:$K$1,0)),"")</f>
        <v>4819.10.0040</v>
      </c>
      <c r="G714" s="8">
        <f>_xlfn.IFNA(INDEX('HS Codes'!$D$2:$K3268,MATCH($B714,'HS Codes'!$A$2:$A3268,0),MATCH(G$1,'HS Codes'!$D$1:$K$1,0)),"")</f>
        <v>4819100000</v>
      </c>
      <c r="H714" s="8">
        <f>_xlfn.IFNA(INDEX('HS Codes'!$D$2:$K3268,MATCH($B714,'HS Codes'!$A$2:$A3268,0),MATCH(H$1,'HS Codes'!$D$1:$K$1,0)),"")</f>
        <v>4819100000</v>
      </c>
      <c r="I714" s="8">
        <f>_xlfn.IFNA(INDEX('HS Codes'!$D$2:$K3268,MATCH($B714,'HS Codes'!$A$2:$A3268,0),MATCH(I$1,'HS Codes'!$D$1:$K$1,0)),"")</f>
        <v>48191000</v>
      </c>
      <c r="J714" s="8">
        <f>_xlfn.IFNA(INDEX('HS Codes'!$D$2:$K3268,MATCH($B714,'HS Codes'!$A$2:$A3268,0),MATCH(J$1,'HS Codes'!$D$1:$K$1,0)),"")</f>
        <v>0</v>
      </c>
      <c r="K714" s="8" t="str">
        <f>_xlfn.IFNA(INDEX('HS Codes'!$D$2:$K3268,MATCH($B714,'HS Codes'!$A$2:$A3268,0),MATCH(K$1,'HS Codes'!$D$1:$K$1,0)),"")</f>
        <v>4819.10.00</v>
      </c>
      <c r="L714" s="8">
        <f>_xlfn.IFNA(INDEX('HS Codes'!$D$2:$K3268,MATCH($B714,'HS Codes'!$A$2:$A3268,0),MATCH(L$1,'HS Codes'!$D$1:$K$1,0)),"")</f>
        <v>0</v>
      </c>
      <c r="M714" s="8" t="str">
        <f>_xlfn.IFNA(INDEX('HS Codes'!$C$2:$C3268,MATCH($B714,'HS Codes'!$A$2:$A3268,0)),"")</f>
        <v>Paperboard 100% recycled cardboard</v>
      </c>
      <c r="N714" s="9"/>
      <c r="O714" s="9"/>
      <c r="P714" s="9"/>
      <c r="Q714" s="9"/>
    </row>
    <row r="715" spans="1:17" ht="15.75" customHeight="1">
      <c r="A715" s="7" t="s">
        <v>1006</v>
      </c>
      <c r="B715" s="7" t="s">
        <v>240</v>
      </c>
      <c r="C715" s="7"/>
      <c r="D715" s="7" t="s">
        <v>241</v>
      </c>
      <c r="E715" s="7" t="s">
        <v>523</v>
      </c>
      <c r="F715" s="8" t="str">
        <f>_xlfn.IFNA(INDEX('HS Codes'!$D$2:$K3269,MATCH($B715,'HS Codes'!$A$2:$A3269,0),MATCH(F$1,'HS Codes'!$D$1:$K$1,0)),"")</f>
        <v>4819.10.0040</v>
      </c>
      <c r="G715" s="8">
        <f>_xlfn.IFNA(INDEX('HS Codes'!$D$2:$K3269,MATCH($B715,'HS Codes'!$A$2:$A3269,0),MATCH(G$1,'HS Codes'!$D$1:$K$1,0)),"")</f>
        <v>4819100000</v>
      </c>
      <c r="H715" s="8">
        <f>_xlfn.IFNA(INDEX('HS Codes'!$D$2:$K3269,MATCH($B715,'HS Codes'!$A$2:$A3269,0),MATCH(H$1,'HS Codes'!$D$1:$K$1,0)),"")</f>
        <v>4819100000</v>
      </c>
      <c r="I715" s="8">
        <f>_xlfn.IFNA(INDEX('HS Codes'!$D$2:$K3269,MATCH($B715,'HS Codes'!$A$2:$A3269,0),MATCH(I$1,'HS Codes'!$D$1:$K$1,0)),"")</f>
        <v>48191000</v>
      </c>
      <c r="J715" s="8">
        <f>_xlfn.IFNA(INDEX('HS Codes'!$D$2:$K3269,MATCH($B715,'HS Codes'!$A$2:$A3269,0),MATCH(J$1,'HS Codes'!$D$1:$K$1,0)),"")</f>
        <v>0</v>
      </c>
      <c r="K715" s="8" t="str">
        <f>_xlfn.IFNA(INDEX('HS Codes'!$D$2:$K3269,MATCH($B715,'HS Codes'!$A$2:$A3269,0),MATCH(K$1,'HS Codes'!$D$1:$K$1,0)),"")</f>
        <v>4819.10.00</v>
      </c>
      <c r="L715" s="8">
        <f>_xlfn.IFNA(INDEX('HS Codes'!$D$2:$K3269,MATCH($B715,'HS Codes'!$A$2:$A3269,0),MATCH(L$1,'HS Codes'!$D$1:$K$1,0)),"")</f>
        <v>0</v>
      </c>
      <c r="M715" s="8" t="str">
        <f>_xlfn.IFNA(INDEX('HS Codes'!$C$2:$C3269,MATCH($B715,'HS Codes'!$A$2:$A3269,0)),"")</f>
        <v>Paperboard 100% recycled cardboard</v>
      </c>
      <c r="N715" s="9"/>
      <c r="O715" s="9"/>
      <c r="P715" s="9"/>
      <c r="Q715" s="9"/>
    </row>
    <row r="716" spans="1:17" ht="15.75" customHeight="1">
      <c r="A716" s="7" t="s">
        <v>1007</v>
      </c>
      <c r="B716" s="7" t="s">
        <v>240</v>
      </c>
      <c r="C716" s="7"/>
      <c r="D716" s="7" t="s">
        <v>241</v>
      </c>
      <c r="E716" s="7" t="s">
        <v>523</v>
      </c>
      <c r="F716" s="8" t="str">
        <f>_xlfn.IFNA(INDEX('HS Codes'!$D$2:$K3270,MATCH($B716,'HS Codes'!$A$2:$A3270,0),MATCH(F$1,'HS Codes'!$D$1:$K$1,0)),"")</f>
        <v>4819.10.0040</v>
      </c>
      <c r="G716" s="8">
        <f>_xlfn.IFNA(INDEX('HS Codes'!$D$2:$K3270,MATCH($B716,'HS Codes'!$A$2:$A3270,0),MATCH(G$1,'HS Codes'!$D$1:$K$1,0)),"")</f>
        <v>4819100000</v>
      </c>
      <c r="H716" s="8">
        <f>_xlfn.IFNA(INDEX('HS Codes'!$D$2:$K3270,MATCH($B716,'HS Codes'!$A$2:$A3270,0),MATCH(H$1,'HS Codes'!$D$1:$K$1,0)),"")</f>
        <v>4819100000</v>
      </c>
      <c r="I716" s="8">
        <f>_xlfn.IFNA(INDEX('HS Codes'!$D$2:$K3270,MATCH($B716,'HS Codes'!$A$2:$A3270,0),MATCH(I$1,'HS Codes'!$D$1:$K$1,0)),"")</f>
        <v>48191000</v>
      </c>
      <c r="J716" s="8">
        <f>_xlfn.IFNA(INDEX('HS Codes'!$D$2:$K3270,MATCH($B716,'HS Codes'!$A$2:$A3270,0),MATCH(J$1,'HS Codes'!$D$1:$K$1,0)),"")</f>
        <v>0</v>
      </c>
      <c r="K716" s="8" t="str">
        <f>_xlfn.IFNA(INDEX('HS Codes'!$D$2:$K3270,MATCH($B716,'HS Codes'!$A$2:$A3270,0),MATCH(K$1,'HS Codes'!$D$1:$K$1,0)),"")</f>
        <v>4819.10.00</v>
      </c>
      <c r="L716" s="8">
        <f>_xlfn.IFNA(INDEX('HS Codes'!$D$2:$K3270,MATCH($B716,'HS Codes'!$A$2:$A3270,0),MATCH(L$1,'HS Codes'!$D$1:$K$1,0)),"")</f>
        <v>0</v>
      </c>
      <c r="M716" s="8" t="str">
        <f>_xlfn.IFNA(INDEX('HS Codes'!$C$2:$C3270,MATCH($B716,'HS Codes'!$A$2:$A3270,0)),"")</f>
        <v>Paperboard 100% recycled cardboard</v>
      </c>
      <c r="N716" s="9"/>
      <c r="O716" s="9"/>
      <c r="P716" s="9"/>
      <c r="Q716" s="9"/>
    </row>
    <row r="717" spans="1:17" ht="15.75" customHeight="1">
      <c r="A717" s="7" t="s">
        <v>1008</v>
      </c>
      <c r="B717" s="7" t="s">
        <v>240</v>
      </c>
      <c r="C717" s="7"/>
      <c r="D717" s="7" t="s">
        <v>241</v>
      </c>
      <c r="E717" s="7" t="s">
        <v>523</v>
      </c>
      <c r="F717" s="8" t="str">
        <f>_xlfn.IFNA(INDEX('HS Codes'!$D$2:$K3271,MATCH($B717,'HS Codes'!$A$2:$A3271,0),MATCH(F$1,'HS Codes'!$D$1:$K$1,0)),"")</f>
        <v>4819.10.0040</v>
      </c>
      <c r="G717" s="8">
        <f>_xlfn.IFNA(INDEX('HS Codes'!$D$2:$K3271,MATCH($B717,'HS Codes'!$A$2:$A3271,0),MATCH(G$1,'HS Codes'!$D$1:$K$1,0)),"")</f>
        <v>4819100000</v>
      </c>
      <c r="H717" s="8">
        <f>_xlfn.IFNA(INDEX('HS Codes'!$D$2:$K3271,MATCH($B717,'HS Codes'!$A$2:$A3271,0),MATCH(H$1,'HS Codes'!$D$1:$K$1,0)),"")</f>
        <v>4819100000</v>
      </c>
      <c r="I717" s="8">
        <f>_xlfn.IFNA(INDEX('HS Codes'!$D$2:$K3271,MATCH($B717,'HS Codes'!$A$2:$A3271,0),MATCH(I$1,'HS Codes'!$D$1:$K$1,0)),"")</f>
        <v>48191000</v>
      </c>
      <c r="J717" s="8">
        <f>_xlfn.IFNA(INDEX('HS Codes'!$D$2:$K3271,MATCH($B717,'HS Codes'!$A$2:$A3271,0),MATCH(J$1,'HS Codes'!$D$1:$K$1,0)),"")</f>
        <v>0</v>
      </c>
      <c r="K717" s="8" t="str">
        <f>_xlfn.IFNA(INDEX('HS Codes'!$D$2:$K3271,MATCH($B717,'HS Codes'!$A$2:$A3271,0),MATCH(K$1,'HS Codes'!$D$1:$K$1,0)),"")</f>
        <v>4819.10.00</v>
      </c>
      <c r="L717" s="8">
        <f>_xlfn.IFNA(INDEX('HS Codes'!$D$2:$K3271,MATCH($B717,'HS Codes'!$A$2:$A3271,0),MATCH(L$1,'HS Codes'!$D$1:$K$1,0)),"")</f>
        <v>0</v>
      </c>
      <c r="M717" s="8" t="str">
        <f>_xlfn.IFNA(INDEX('HS Codes'!$C$2:$C3271,MATCH($B717,'HS Codes'!$A$2:$A3271,0)),"")</f>
        <v>Paperboard 100% recycled cardboard</v>
      </c>
      <c r="N717" s="9"/>
      <c r="O717" s="9"/>
      <c r="P717" s="9"/>
      <c r="Q717" s="9"/>
    </row>
    <row r="718" spans="1:17" ht="15.75" customHeight="1">
      <c r="A718" s="7" t="s">
        <v>1009</v>
      </c>
      <c r="B718" s="7" t="s">
        <v>240</v>
      </c>
      <c r="C718" s="7"/>
      <c r="D718" s="7" t="s">
        <v>241</v>
      </c>
      <c r="E718" s="7" t="s">
        <v>523</v>
      </c>
      <c r="F718" s="8" t="str">
        <f>_xlfn.IFNA(INDEX('HS Codes'!$D$2:$K3272,MATCH($B718,'HS Codes'!$A$2:$A3272,0),MATCH(F$1,'HS Codes'!$D$1:$K$1,0)),"")</f>
        <v>4819.10.0040</v>
      </c>
      <c r="G718" s="8">
        <f>_xlfn.IFNA(INDEX('HS Codes'!$D$2:$K3272,MATCH($B718,'HS Codes'!$A$2:$A3272,0),MATCH(G$1,'HS Codes'!$D$1:$K$1,0)),"")</f>
        <v>4819100000</v>
      </c>
      <c r="H718" s="8">
        <f>_xlfn.IFNA(INDEX('HS Codes'!$D$2:$K3272,MATCH($B718,'HS Codes'!$A$2:$A3272,0),MATCH(H$1,'HS Codes'!$D$1:$K$1,0)),"")</f>
        <v>4819100000</v>
      </c>
      <c r="I718" s="8">
        <f>_xlfn.IFNA(INDEX('HS Codes'!$D$2:$K3272,MATCH($B718,'HS Codes'!$A$2:$A3272,0),MATCH(I$1,'HS Codes'!$D$1:$K$1,0)),"")</f>
        <v>48191000</v>
      </c>
      <c r="J718" s="8">
        <f>_xlfn.IFNA(INDEX('HS Codes'!$D$2:$K3272,MATCH($B718,'HS Codes'!$A$2:$A3272,0),MATCH(J$1,'HS Codes'!$D$1:$K$1,0)),"")</f>
        <v>0</v>
      </c>
      <c r="K718" s="8" t="str">
        <f>_xlfn.IFNA(INDEX('HS Codes'!$D$2:$K3272,MATCH($B718,'HS Codes'!$A$2:$A3272,0),MATCH(K$1,'HS Codes'!$D$1:$K$1,0)),"")</f>
        <v>4819.10.00</v>
      </c>
      <c r="L718" s="8">
        <f>_xlfn.IFNA(INDEX('HS Codes'!$D$2:$K3272,MATCH($B718,'HS Codes'!$A$2:$A3272,0),MATCH(L$1,'HS Codes'!$D$1:$K$1,0)),"")</f>
        <v>0</v>
      </c>
      <c r="M718" s="8" t="str">
        <f>_xlfn.IFNA(INDEX('HS Codes'!$C$2:$C3272,MATCH($B718,'HS Codes'!$A$2:$A3272,0)),"")</f>
        <v>Paperboard 100% recycled cardboard</v>
      </c>
      <c r="N718" s="9"/>
      <c r="O718" s="9"/>
      <c r="P718" s="9"/>
      <c r="Q718" s="9"/>
    </row>
    <row r="719" spans="1:17" ht="15.75" customHeight="1">
      <c r="A719" s="7" t="s">
        <v>1010</v>
      </c>
      <c r="B719" s="7" t="s">
        <v>240</v>
      </c>
      <c r="C719" s="7"/>
      <c r="D719" s="7" t="s">
        <v>241</v>
      </c>
      <c r="E719" s="7" t="s">
        <v>523</v>
      </c>
      <c r="F719" s="8" t="str">
        <f>_xlfn.IFNA(INDEX('HS Codes'!$D$2:$K3273,MATCH($B719,'HS Codes'!$A$2:$A3273,0),MATCH(F$1,'HS Codes'!$D$1:$K$1,0)),"")</f>
        <v>4819.10.0040</v>
      </c>
      <c r="G719" s="8">
        <f>_xlfn.IFNA(INDEX('HS Codes'!$D$2:$K3273,MATCH($B719,'HS Codes'!$A$2:$A3273,0),MATCH(G$1,'HS Codes'!$D$1:$K$1,0)),"")</f>
        <v>4819100000</v>
      </c>
      <c r="H719" s="8">
        <f>_xlfn.IFNA(INDEX('HS Codes'!$D$2:$K3273,MATCH($B719,'HS Codes'!$A$2:$A3273,0),MATCH(H$1,'HS Codes'!$D$1:$K$1,0)),"")</f>
        <v>4819100000</v>
      </c>
      <c r="I719" s="8">
        <f>_xlfn.IFNA(INDEX('HS Codes'!$D$2:$K3273,MATCH($B719,'HS Codes'!$A$2:$A3273,0),MATCH(I$1,'HS Codes'!$D$1:$K$1,0)),"")</f>
        <v>48191000</v>
      </c>
      <c r="J719" s="8">
        <f>_xlfn.IFNA(INDEX('HS Codes'!$D$2:$K3273,MATCH($B719,'HS Codes'!$A$2:$A3273,0),MATCH(J$1,'HS Codes'!$D$1:$K$1,0)),"")</f>
        <v>0</v>
      </c>
      <c r="K719" s="8" t="str">
        <f>_xlfn.IFNA(INDEX('HS Codes'!$D$2:$K3273,MATCH($B719,'HS Codes'!$A$2:$A3273,0),MATCH(K$1,'HS Codes'!$D$1:$K$1,0)),"")</f>
        <v>4819.10.00</v>
      </c>
      <c r="L719" s="8">
        <f>_xlfn.IFNA(INDEX('HS Codes'!$D$2:$K3273,MATCH($B719,'HS Codes'!$A$2:$A3273,0),MATCH(L$1,'HS Codes'!$D$1:$K$1,0)),"")</f>
        <v>0</v>
      </c>
      <c r="M719" s="8" t="str">
        <f>_xlfn.IFNA(INDEX('HS Codes'!$C$2:$C3273,MATCH($B719,'HS Codes'!$A$2:$A3273,0)),"")</f>
        <v>Paperboard 100% recycled cardboard</v>
      </c>
      <c r="N719" s="9"/>
      <c r="O719" s="9"/>
      <c r="P719" s="9"/>
      <c r="Q719" s="9"/>
    </row>
    <row r="720" spans="1:17" ht="15.75" customHeight="1">
      <c r="A720" s="7" t="s">
        <v>1011</v>
      </c>
      <c r="B720" s="7" t="s">
        <v>240</v>
      </c>
      <c r="C720" s="7"/>
      <c r="D720" s="7" t="s">
        <v>241</v>
      </c>
      <c r="E720" s="7" t="s">
        <v>523</v>
      </c>
      <c r="F720" s="8" t="str">
        <f>_xlfn.IFNA(INDEX('HS Codes'!$D$2:$K3274,MATCH($B720,'HS Codes'!$A$2:$A3274,0),MATCH(F$1,'HS Codes'!$D$1:$K$1,0)),"")</f>
        <v>4819.10.0040</v>
      </c>
      <c r="G720" s="8">
        <f>_xlfn.IFNA(INDEX('HS Codes'!$D$2:$K3274,MATCH($B720,'HS Codes'!$A$2:$A3274,0),MATCH(G$1,'HS Codes'!$D$1:$K$1,0)),"")</f>
        <v>4819100000</v>
      </c>
      <c r="H720" s="8">
        <f>_xlfn.IFNA(INDEX('HS Codes'!$D$2:$K3274,MATCH($B720,'HS Codes'!$A$2:$A3274,0),MATCH(H$1,'HS Codes'!$D$1:$K$1,0)),"")</f>
        <v>4819100000</v>
      </c>
      <c r="I720" s="8">
        <f>_xlfn.IFNA(INDEX('HS Codes'!$D$2:$K3274,MATCH($B720,'HS Codes'!$A$2:$A3274,0),MATCH(I$1,'HS Codes'!$D$1:$K$1,0)),"")</f>
        <v>48191000</v>
      </c>
      <c r="J720" s="8">
        <f>_xlfn.IFNA(INDEX('HS Codes'!$D$2:$K3274,MATCH($B720,'HS Codes'!$A$2:$A3274,0),MATCH(J$1,'HS Codes'!$D$1:$K$1,0)),"")</f>
        <v>0</v>
      </c>
      <c r="K720" s="8" t="str">
        <f>_xlfn.IFNA(INDEX('HS Codes'!$D$2:$K3274,MATCH($B720,'HS Codes'!$A$2:$A3274,0),MATCH(K$1,'HS Codes'!$D$1:$K$1,0)),"")</f>
        <v>4819.10.00</v>
      </c>
      <c r="L720" s="8">
        <f>_xlfn.IFNA(INDEX('HS Codes'!$D$2:$K3274,MATCH($B720,'HS Codes'!$A$2:$A3274,0),MATCH(L$1,'HS Codes'!$D$1:$K$1,0)),"")</f>
        <v>0</v>
      </c>
      <c r="M720" s="8" t="str">
        <f>_xlfn.IFNA(INDEX('HS Codes'!$C$2:$C3274,MATCH($B720,'HS Codes'!$A$2:$A3274,0)),"")</f>
        <v>Paperboard 100% recycled cardboard</v>
      </c>
      <c r="N720" s="9"/>
      <c r="O720" s="9"/>
      <c r="P720" s="9"/>
      <c r="Q720" s="9"/>
    </row>
    <row r="721" spans="1:17" ht="15.75" customHeight="1">
      <c r="A721" s="7" t="s">
        <v>1012</v>
      </c>
      <c r="B721" s="7" t="s">
        <v>240</v>
      </c>
      <c r="C721" s="7"/>
      <c r="D721" s="7" t="s">
        <v>241</v>
      </c>
      <c r="E721" s="7" t="s">
        <v>523</v>
      </c>
      <c r="F721" s="8" t="str">
        <f>_xlfn.IFNA(INDEX('HS Codes'!$D$2:$K3275,MATCH($B721,'HS Codes'!$A$2:$A3275,0),MATCH(F$1,'HS Codes'!$D$1:$K$1,0)),"")</f>
        <v>4819.10.0040</v>
      </c>
      <c r="G721" s="8">
        <f>_xlfn.IFNA(INDEX('HS Codes'!$D$2:$K3275,MATCH($B721,'HS Codes'!$A$2:$A3275,0),MATCH(G$1,'HS Codes'!$D$1:$K$1,0)),"")</f>
        <v>4819100000</v>
      </c>
      <c r="H721" s="8">
        <f>_xlfn.IFNA(INDEX('HS Codes'!$D$2:$K3275,MATCH($B721,'HS Codes'!$A$2:$A3275,0),MATCH(H$1,'HS Codes'!$D$1:$K$1,0)),"")</f>
        <v>4819100000</v>
      </c>
      <c r="I721" s="8">
        <f>_xlfn.IFNA(INDEX('HS Codes'!$D$2:$K3275,MATCH($B721,'HS Codes'!$A$2:$A3275,0),MATCH(I$1,'HS Codes'!$D$1:$K$1,0)),"")</f>
        <v>48191000</v>
      </c>
      <c r="J721" s="8">
        <f>_xlfn.IFNA(INDEX('HS Codes'!$D$2:$K3275,MATCH($B721,'HS Codes'!$A$2:$A3275,0),MATCH(J$1,'HS Codes'!$D$1:$K$1,0)),"")</f>
        <v>0</v>
      </c>
      <c r="K721" s="8" t="str">
        <f>_xlfn.IFNA(INDEX('HS Codes'!$D$2:$K3275,MATCH($B721,'HS Codes'!$A$2:$A3275,0),MATCH(K$1,'HS Codes'!$D$1:$K$1,0)),"")</f>
        <v>4819.10.00</v>
      </c>
      <c r="L721" s="8">
        <f>_xlfn.IFNA(INDEX('HS Codes'!$D$2:$K3275,MATCH($B721,'HS Codes'!$A$2:$A3275,0),MATCH(L$1,'HS Codes'!$D$1:$K$1,0)),"")</f>
        <v>0</v>
      </c>
      <c r="M721" s="8" t="str">
        <f>_xlfn.IFNA(INDEX('HS Codes'!$C$2:$C3275,MATCH($B721,'HS Codes'!$A$2:$A3275,0)),"")</f>
        <v>Paperboard 100% recycled cardboard</v>
      </c>
      <c r="N721" s="9"/>
      <c r="O721" s="9"/>
      <c r="P721" s="9"/>
      <c r="Q721" s="9"/>
    </row>
    <row r="722" spans="1:17" ht="15.75" customHeight="1">
      <c r="A722" s="7" t="s">
        <v>1013</v>
      </c>
      <c r="B722" s="7" t="s">
        <v>240</v>
      </c>
      <c r="C722" s="7"/>
      <c r="D722" s="7" t="s">
        <v>241</v>
      </c>
      <c r="E722" s="7" t="s">
        <v>523</v>
      </c>
      <c r="F722" s="8" t="str">
        <f>_xlfn.IFNA(INDEX('HS Codes'!$D$2:$K3276,MATCH($B722,'HS Codes'!$A$2:$A3276,0),MATCH(F$1,'HS Codes'!$D$1:$K$1,0)),"")</f>
        <v>4819.10.0040</v>
      </c>
      <c r="G722" s="8">
        <f>_xlfn.IFNA(INDEX('HS Codes'!$D$2:$K3276,MATCH($B722,'HS Codes'!$A$2:$A3276,0),MATCH(G$1,'HS Codes'!$D$1:$K$1,0)),"")</f>
        <v>4819100000</v>
      </c>
      <c r="H722" s="8">
        <f>_xlfn.IFNA(INDEX('HS Codes'!$D$2:$K3276,MATCH($B722,'HS Codes'!$A$2:$A3276,0),MATCH(H$1,'HS Codes'!$D$1:$K$1,0)),"")</f>
        <v>4819100000</v>
      </c>
      <c r="I722" s="8">
        <f>_xlfn.IFNA(INDEX('HS Codes'!$D$2:$K3276,MATCH($B722,'HS Codes'!$A$2:$A3276,0),MATCH(I$1,'HS Codes'!$D$1:$K$1,0)),"")</f>
        <v>48191000</v>
      </c>
      <c r="J722" s="8">
        <f>_xlfn.IFNA(INDEX('HS Codes'!$D$2:$K3276,MATCH($B722,'HS Codes'!$A$2:$A3276,0),MATCH(J$1,'HS Codes'!$D$1:$K$1,0)),"")</f>
        <v>0</v>
      </c>
      <c r="K722" s="8" t="str">
        <f>_xlfn.IFNA(INDEX('HS Codes'!$D$2:$K3276,MATCH($B722,'HS Codes'!$A$2:$A3276,0),MATCH(K$1,'HS Codes'!$D$1:$K$1,0)),"")</f>
        <v>4819.10.00</v>
      </c>
      <c r="L722" s="8">
        <f>_xlfn.IFNA(INDEX('HS Codes'!$D$2:$K3276,MATCH($B722,'HS Codes'!$A$2:$A3276,0),MATCH(L$1,'HS Codes'!$D$1:$K$1,0)),"")</f>
        <v>0</v>
      </c>
      <c r="M722" s="8" t="str">
        <f>_xlfn.IFNA(INDEX('HS Codes'!$C$2:$C3276,MATCH($B722,'HS Codes'!$A$2:$A3276,0)),"")</f>
        <v>Paperboard 100% recycled cardboard</v>
      </c>
      <c r="N722" s="9"/>
      <c r="O722" s="9"/>
      <c r="P722" s="9"/>
      <c r="Q722" s="9"/>
    </row>
    <row r="723" spans="1:17" ht="15.75" customHeight="1">
      <c r="A723" s="7" t="s">
        <v>1014</v>
      </c>
      <c r="B723" s="7" t="s">
        <v>240</v>
      </c>
      <c r="C723" s="7"/>
      <c r="D723" s="7" t="s">
        <v>241</v>
      </c>
      <c r="E723" s="7" t="s">
        <v>523</v>
      </c>
      <c r="F723" s="8" t="str">
        <f>_xlfn.IFNA(INDEX('HS Codes'!$D$2:$K3277,MATCH($B723,'HS Codes'!$A$2:$A3277,0),MATCH(F$1,'HS Codes'!$D$1:$K$1,0)),"")</f>
        <v>4819.10.0040</v>
      </c>
      <c r="G723" s="8">
        <f>_xlfn.IFNA(INDEX('HS Codes'!$D$2:$K3277,MATCH($B723,'HS Codes'!$A$2:$A3277,0),MATCH(G$1,'HS Codes'!$D$1:$K$1,0)),"")</f>
        <v>4819100000</v>
      </c>
      <c r="H723" s="8">
        <f>_xlfn.IFNA(INDEX('HS Codes'!$D$2:$K3277,MATCH($B723,'HS Codes'!$A$2:$A3277,0),MATCH(H$1,'HS Codes'!$D$1:$K$1,0)),"")</f>
        <v>4819100000</v>
      </c>
      <c r="I723" s="8">
        <f>_xlfn.IFNA(INDEX('HS Codes'!$D$2:$K3277,MATCH($B723,'HS Codes'!$A$2:$A3277,0),MATCH(I$1,'HS Codes'!$D$1:$K$1,0)),"")</f>
        <v>48191000</v>
      </c>
      <c r="J723" s="8">
        <f>_xlfn.IFNA(INDEX('HS Codes'!$D$2:$K3277,MATCH($B723,'HS Codes'!$A$2:$A3277,0),MATCH(J$1,'HS Codes'!$D$1:$K$1,0)),"")</f>
        <v>0</v>
      </c>
      <c r="K723" s="8" t="str">
        <f>_xlfn.IFNA(INDEX('HS Codes'!$D$2:$K3277,MATCH($B723,'HS Codes'!$A$2:$A3277,0),MATCH(K$1,'HS Codes'!$D$1:$K$1,0)),"")</f>
        <v>4819.10.00</v>
      </c>
      <c r="L723" s="8">
        <f>_xlfn.IFNA(INDEX('HS Codes'!$D$2:$K3277,MATCH($B723,'HS Codes'!$A$2:$A3277,0),MATCH(L$1,'HS Codes'!$D$1:$K$1,0)),"")</f>
        <v>0</v>
      </c>
      <c r="M723" s="8" t="str">
        <f>_xlfn.IFNA(INDEX('HS Codes'!$C$2:$C3277,MATCH($B723,'HS Codes'!$A$2:$A3277,0)),"")</f>
        <v>Paperboard 100% recycled cardboard</v>
      </c>
      <c r="N723" s="9"/>
      <c r="O723" s="9"/>
      <c r="P723" s="9"/>
      <c r="Q723" s="9"/>
    </row>
    <row r="724" spans="1:17" ht="15.75" customHeight="1">
      <c r="A724" s="7" t="s">
        <v>1015</v>
      </c>
      <c r="B724" s="7" t="s">
        <v>240</v>
      </c>
      <c r="C724" s="7"/>
      <c r="D724" s="7" t="s">
        <v>241</v>
      </c>
      <c r="E724" s="7" t="s">
        <v>523</v>
      </c>
      <c r="F724" s="8" t="str">
        <f>_xlfn.IFNA(INDEX('HS Codes'!$D$2:$K3278,MATCH($B724,'HS Codes'!$A$2:$A3278,0),MATCH(F$1,'HS Codes'!$D$1:$K$1,0)),"")</f>
        <v>4819.10.0040</v>
      </c>
      <c r="G724" s="8">
        <f>_xlfn.IFNA(INDEX('HS Codes'!$D$2:$K3278,MATCH($B724,'HS Codes'!$A$2:$A3278,0),MATCH(G$1,'HS Codes'!$D$1:$K$1,0)),"")</f>
        <v>4819100000</v>
      </c>
      <c r="H724" s="8">
        <f>_xlfn.IFNA(INDEX('HS Codes'!$D$2:$K3278,MATCH($B724,'HS Codes'!$A$2:$A3278,0),MATCH(H$1,'HS Codes'!$D$1:$K$1,0)),"")</f>
        <v>4819100000</v>
      </c>
      <c r="I724" s="8">
        <f>_xlfn.IFNA(INDEX('HS Codes'!$D$2:$K3278,MATCH($B724,'HS Codes'!$A$2:$A3278,0),MATCH(I$1,'HS Codes'!$D$1:$K$1,0)),"")</f>
        <v>48191000</v>
      </c>
      <c r="J724" s="8">
        <f>_xlfn.IFNA(INDEX('HS Codes'!$D$2:$K3278,MATCH($B724,'HS Codes'!$A$2:$A3278,0),MATCH(J$1,'HS Codes'!$D$1:$K$1,0)),"")</f>
        <v>0</v>
      </c>
      <c r="K724" s="8" t="str">
        <f>_xlfn.IFNA(INDEX('HS Codes'!$D$2:$K3278,MATCH($B724,'HS Codes'!$A$2:$A3278,0),MATCH(K$1,'HS Codes'!$D$1:$K$1,0)),"")</f>
        <v>4819.10.00</v>
      </c>
      <c r="L724" s="8">
        <f>_xlfn.IFNA(INDEX('HS Codes'!$D$2:$K3278,MATCH($B724,'HS Codes'!$A$2:$A3278,0),MATCH(L$1,'HS Codes'!$D$1:$K$1,0)),"")</f>
        <v>0</v>
      </c>
      <c r="M724" s="8" t="str">
        <f>_xlfn.IFNA(INDEX('HS Codes'!$C$2:$C3278,MATCH($B724,'HS Codes'!$A$2:$A3278,0)),"")</f>
        <v>Paperboard 100% recycled cardboard</v>
      </c>
      <c r="N724" s="9"/>
      <c r="O724" s="9"/>
      <c r="P724" s="9"/>
      <c r="Q724" s="9"/>
    </row>
    <row r="725" spans="1:17" ht="15.75" customHeight="1">
      <c r="A725" s="7" t="s">
        <v>1016</v>
      </c>
      <c r="B725" s="7" t="s">
        <v>240</v>
      </c>
      <c r="C725" s="7"/>
      <c r="D725" s="7" t="s">
        <v>241</v>
      </c>
      <c r="E725" s="7" t="s">
        <v>523</v>
      </c>
      <c r="F725" s="8" t="str">
        <f>_xlfn.IFNA(INDEX('HS Codes'!$D$2:$K3279,MATCH($B725,'HS Codes'!$A$2:$A3279,0),MATCH(F$1,'HS Codes'!$D$1:$K$1,0)),"")</f>
        <v>4819.10.0040</v>
      </c>
      <c r="G725" s="8">
        <f>_xlfn.IFNA(INDEX('HS Codes'!$D$2:$K3279,MATCH($B725,'HS Codes'!$A$2:$A3279,0),MATCH(G$1,'HS Codes'!$D$1:$K$1,0)),"")</f>
        <v>4819100000</v>
      </c>
      <c r="H725" s="8">
        <f>_xlfn.IFNA(INDEX('HS Codes'!$D$2:$K3279,MATCH($B725,'HS Codes'!$A$2:$A3279,0),MATCH(H$1,'HS Codes'!$D$1:$K$1,0)),"")</f>
        <v>4819100000</v>
      </c>
      <c r="I725" s="8">
        <f>_xlfn.IFNA(INDEX('HS Codes'!$D$2:$K3279,MATCH($B725,'HS Codes'!$A$2:$A3279,0),MATCH(I$1,'HS Codes'!$D$1:$K$1,0)),"")</f>
        <v>48191000</v>
      </c>
      <c r="J725" s="8">
        <f>_xlfn.IFNA(INDEX('HS Codes'!$D$2:$K3279,MATCH($B725,'HS Codes'!$A$2:$A3279,0),MATCH(J$1,'HS Codes'!$D$1:$K$1,0)),"")</f>
        <v>0</v>
      </c>
      <c r="K725" s="8" t="str">
        <f>_xlfn.IFNA(INDEX('HS Codes'!$D$2:$K3279,MATCH($B725,'HS Codes'!$A$2:$A3279,0),MATCH(K$1,'HS Codes'!$D$1:$K$1,0)),"")</f>
        <v>4819.10.00</v>
      </c>
      <c r="L725" s="8">
        <f>_xlfn.IFNA(INDEX('HS Codes'!$D$2:$K3279,MATCH($B725,'HS Codes'!$A$2:$A3279,0),MATCH(L$1,'HS Codes'!$D$1:$K$1,0)),"")</f>
        <v>0</v>
      </c>
      <c r="M725" s="8" t="str">
        <f>_xlfn.IFNA(INDEX('HS Codes'!$C$2:$C3279,MATCH($B725,'HS Codes'!$A$2:$A3279,0)),"")</f>
        <v>Paperboard 100% recycled cardboard</v>
      </c>
      <c r="N725" s="9"/>
      <c r="O725" s="9"/>
      <c r="P725" s="9"/>
      <c r="Q725" s="9"/>
    </row>
    <row r="726" spans="1:17" ht="15.75" customHeight="1">
      <c r="A726" s="7" t="s">
        <v>1017</v>
      </c>
      <c r="B726" s="7" t="s">
        <v>240</v>
      </c>
      <c r="C726" s="7"/>
      <c r="D726" s="7" t="s">
        <v>241</v>
      </c>
      <c r="E726" s="7" t="s">
        <v>523</v>
      </c>
      <c r="F726" s="8" t="str">
        <f>_xlfn.IFNA(INDEX('HS Codes'!$D$2:$K3280,MATCH($B726,'HS Codes'!$A$2:$A3280,0),MATCH(F$1,'HS Codes'!$D$1:$K$1,0)),"")</f>
        <v>4819.10.0040</v>
      </c>
      <c r="G726" s="8">
        <f>_xlfn.IFNA(INDEX('HS Codes'!$D$2:$K3280,MATCH($B726,'HS Codes'!$A$2:$A3280,0),MATCH(G$1,'HS Codes'!$D$1:$K$1,0)),"")</f>
        <v>4819100000</v>
      </c>
      <c r="H726" s="8">
        <f>_xlfn.IFNA(INDEX('HS Codes'!$D$2:$K3280,MATCH($B726,'HS Codes'!$A$2:$A3280,0),MATCH(H$1,'HS Codes'!$D$1:$K$1,0)),"")</f>
        <v>4819100000</v>
      </c>
      <c r="I726" s="8">
        <f>_xlfn.IFNA(INDEX('HS Codes'!$D$2:$K3280,MATCH($B726,'HS Codes'!$A$2:$A3280,0),MATCH(I$1,'HS Codes'!$D$1:$K$1,0)),"")</f>
        <v>48191000</v>
      </c>
      <c r="J726" s="8">
        <f>_xlfn.IFNA(INDEX('HS Codes'!$D$2:$K3280,MATCH($B726,'HS Codes'!$A$2:$A3280,0),MATCH(J$1,'HS Codes'!$D$1:$K$1,0)),"")</f>
        <v>0</v>
      </c>
      <c r="K726" s="8" t="str">
        <f>_xlfn.IFNA(INDEX('HS Codes'!$D$2:$K3280,MATCH($B726,'HS Codes'!$A$2:$A3280,0),MATCH(K$1,'HS Codes'!$D$1:$K$1,0)),"")</f>
        <v>4819.10.00</v>
      </c>
      <c r="L726" s="8">
        <f>_xlfn.IFNA(INDEX('HS Codes'!$D$2:$K3280,MATCH($B726,'HS Codes'!$A$2:$A3280,0),MATCH(L$1,'HS Codes'!$D$1:$K$1,0)),"")</f>
        <v>0</v>
      </c>
      <c r="M726" s="8" t="str">
        <f>_xlfn.IFNA(INDEX('HS Codes'!$C$2:$C3280,MATCH($B726,'HS Codes'!$A$2:$A3280,0)),"")</f>
        <v>Paperboard 100% recycled cardboard</v>
      </c>
      <c r="N726" s="9"/>
      <c r="O726" s="9"/>
      <c r="P726" s="9"/>
      <c r="Q726" s="9"/>
    </row>
    <row r="727" spans="1:17" ht="15.75" customHeight="1">
      <c r="A727" s="7" t="s">
        <v>1018</v>
      </c>
      <c r="B727" s="7" t="s">
        <v>240</v>
      </c>
      <c r="C727" s="7"/>
      <c r="D727" s="7" t="s">
        <v>241</v>
      </c>
      <c r="E727" s="7" t="s">
        <v>523</v>
      </c>
      <c r="F727" s="8" t="str">
        <f>_xlfn.IFNA(INDEX('HS Codes'!$D$2:$K3281,MATCH($B727,'HS Codes'!$A$2:$A3281,0),MATCH(F$1,'HS Codes'!$D$1:$K$1,0)),"")</f>
        <v>4819.10.0040</v>
      </c>
      <c r="G727" s="8">
        <f>_xlfn.IFNA(INDEX('HS Codes'!$D$2:$K3281,MATCH($B727,'HS Codes'!$A$2:$A3281,0),MATCH(G$1,'HS Codes'!$D$1:$K$1,0)),"")</f>
        <v>4819100000</v>
      </c>
      <c r="H727" s="8">
        <f>_xlfn.IFNA(INDEX('HS Codes'!$D$2:$K3281,MATCH($B727,'HS Codes'!$A$2:$A3281,0),MATCH(H$1,'HS Codes'!$D$1:$K$1,0)),"")</f>
        <v>4819100000</v>
      </c>
      <c r="I727" s="8">
        <f>_xlfn.IFNA(INDEX('HS Codes'!$D$2:$K3281,MATCH($B727,'HS Codes'!$A$2:$A3281,0),MATCH(I$1,'HS Codes'!$D$1:$K$1,0)),"")</f>
        <v>48191000</v>
      </c>
      <c r="J727" s="8">
        <f>_xlfn.IFNA(INDEX('HS Codes'!$D$2:$K3281,MATCH($B727,'HS Codes'!$A$2:$A3281,0),MATCH(J$1,'HS Codes'!$D$1:$K$1,0)),"")</f>
        <v>0</v>
      </c>
      <c r="K727" s="8" t="str">
        <f>_xlfn.IFNA(INDEX('HS Codes'!$D$2:$K3281,MATCH($B727,'HS Codes'!$A$2:$A3281,0),MATCH(K$1,'HS Codes'!$D$1:$K$1,0)),"")</f>
        <v>4819.10.00</v>
      </c>
      <c r="L727" s="8">
        <f>_xlfn.IFNA(INDEX('HS Codes'!$D$2:$K3281,MATCH($B727,'HS Codes'!$A$2:$A3281,0),MATCH(L$1,'HS Codes'!$D$1:$K$1,0)),"")</f>
        <v>0</v>
      </c>
      <c r="M727" s="8" t="str">
        <f>_xlfn.IFNA(INDEX('HS Codes'!$C$2:$C3281,MATCH($B727,'HS Codes'!$A$2:$A3281,0)),"")</f>
        <v>Paperboard 100% recycled cardboard</v>
      </c>
      <c r="N727" s="9"/>
      <c r="O727" s="9"/>
      <c r="P727" s="9"/>
      <c r="Q727" s="9"/>
    </row>
    <row r="728" spans="1:17" ht="15.75" customHeight="1">
      <c r="A728" s="7" t="s">
        <v>1019</v>
      </c>
      <c r="B728" s="7" t="s">
        <v>240</v>
      </c>
      <c r="C728" s="7"/>
      <c r="D728" s="7" t="s">
        <v>241</v>
      </c>
      <c r="E728" s="7" t="s">
        <v>523</v>
      </c>
      <c r="F728" s="8" t="str">
        <f>_xlfn.IFNA(INDEX('HS Codes'!$D$2:$K3282,MATCH($B728,'HS Codes'!$A$2:$A3282,0),MATCH(F$1,'HS Codes'!$D$1:$K$1,0)),"")</f>
        <v>4819.10.0040</v>
      </c>
      <c r="G728" s="8">
        <f>_xlfn.IFNA(INDEX('HS Codes'!$D$2:$K3282,MATCH($B728,'HS Codes'!$A$2:$A3282,0),MATCH(G$1,'HS Codes'!$D$1:$K$1,0)),"")</f>
        <v>4819100000</v>
      </c>
      <c r="H728" s="8">
        <f>_xlfn.IFNA(INDEX('HS Codes'!$D$2:$K3282,MATCH($B728,'HS Codes'!$A$2:$A3282,0),MATCH(H$1,'HS Codes'!$D$1:$K$1,0)),"")</f>
        <v>4819100000</v>
      </c>
      <c r="I728" s="8">
        <f>_xlfn.IFNA(INDEX('HS Codes'!$D$2:$K3282,MATCH($B728,'HS Codes'!$A$2:$A3282,0),MATCH(I$1,'HS Codes'!$D$1:$K$1,0)),"")</f>
        <v>48191000</v>
      </c>
      <c r="J728" s="8">
        <f>_xlfn.IFNA(INDEX('HS Codes'!$D$2:$K3282,MATCH($B728,'HS Codes'!$A$2:$A3282,0),MATCH(J$1,'HS Codes'!$D$1:$K$1,0)),"")</f>
        <v>0</v>
      </c>
      <c r="K728" s="8" t="str">
        <f>_xlfn.IFNA(INDEX('HS Codes'!$D$2:$K3282,MATCH($B728,'HS Codes'!$A$2:$A3282,0),MATCH(K$1,'HS Codes'!$D$1:$K$1,0)),"")</f>
        <v>4819.10.00</v>
      </c>
      <c r="L728" s="8">
        <f>_xlfn.IFNA(INDEX('HS Codes'!$D$2:$K3282,MATCH($B728,'HS Codes'!$A$2:$A3282,0),MATCH(L$1,'HS Codes'!$D$1:$K$1,0)),"")</f>
        <v>0</v>
      </c>
      <c r="M728" s="8" t="str">
        <f>_xlfn.IFNA(INDEX('HS Codes'!$C$2:$C3282,MATCH($B728,'HS Codes'!$A$2:$A3282,0)),"")</f>
        <v>Paperboard 100% recycled cardboard</v>
      </c>
      <c r="N728" s="9"/>
      <c r="O728" s="9"/>
      <c r="P728" s="9"/>
      <c r="Q728" s="9"/>
    </row>
    <row r="729" spans="1:17" ht="15.75" customHeight="1">
      <c r="A729" s="7" t="s">
        <v>1020</v>
      </c>
      <c r="B729" s="7" t="s">
        <v>240</v>
      </c>
      <c r="C729" s="7"/>
      <c r="D729" s="7" t="s">
        <v>241</v>
      </c>
      <c r="E729" s="7" t="s">
        <v>523</v>
      </c>
      <c r="F729" s="8" t="str">
        <f>_xlfn.IFNA(INDEX('HS Codes'!$D$2:$K3283,MATCH($B729,'HS Codes'!$A$2:$A3283,0),MATCH(F$1,'HS Codes'!$D$1:$K$1,0)),"")</f>
        <v>4819.10.0040</v>
      </c>
      <c r="G729" s="8">
        <f>_xlfn.IFNA(INDEX('HS Codes'!$D$2:$K3283,MATCH($B729,'HS Codes'!$A$2:$A3283,0),MATCH(G$1,'HS Codes'!$D$1:$K$1,0)),"")</f>
        <v>4819100000</v>
      </c>
      <c r="H729" s="8">
        <f>_xlfn.IFNA(INDEX('HS Codes'!$D$2:$K3283,MATCH($B729,'HS Codes'!$A$2:$A3283,0),MATCH(H$1,'HS Codes'!$D$1:$K$1,0)),"")</f>
        <v>4819100000</v>
      </c>
      <c r="I729" s="8">
        <f>_xlfn.IFNA(INDEX('HS Codes'!$D$2:$K3283,MATCH($B729,'HS Codes'!$A$2:$A3283,0),MATCH(I$1,'HS Codes'!$D$1:$K$1,0)),"")</f>
        <v>48191000</v>
      </c>
      <c r="J729" s="8">
        <f>_xlfn.IFNA(INDEX('HS Codes'!$D$2:$K3283,MATCH($B729,'HS Codes'!$A$2:$A3283,0),MATCH(J$1,'HS Codes'!$D$1:$K$1,0)),"")</f>
        <v>0</v>
      </c>
      <c r="K729" s="8" t="str">
        <f>_xlfn.IFNA(INDEX('HS Codes'!$D$2:$K3283,MATCH($B729,'HS Codes'!$A$2:$A3283,0),MATCH(K$1,'HS Codes'!$D$1:$K$1,0)),"")</f>
        <v>4819.10.00</v>
      </c>
      <c r="L729" s="8">
        <f>_xlfn.IFNA(INDEX('HS Codes'!$D$2:$K3283,MATCH($B729,'HS Codes'!$A$2:$A3283,0),MATCH(L$1,'HS Codes'!$D$1:$K$1,0)),"")</f>
        <v>0</v>
      </c>
      <c r="M729" s="8" t="str">
        <f>_xlfn.IFNA(INDEX('HS Codes'!$C$2:$C3283,MATCH($B729,'HS Codes'!$A$2:$A3283,0)),"")</f>
        <v>Paperboard 100% recycled cardboard</v>
      </c>
      <c r="N729" s="9"/>
      <c r="O729" s="9"/>
      <c r="P729" s="9"/>
      <c r="Q729" s="9"/>
    </row>
    <row r="730" spans="1:17" ht="15.75" customHeight="1">
      <c r="A730" s="7" t="s">
        <v>1021</v>
      </c>
      <c r="B730" s="7" t="s">
        <v>240</v>
      </c>
      <c r="C730" s="7"/>
      <c r="D730" s="7" t="s">
        <v>241</v>
      </c>
      <c r="E730" s="7" t="s">
        <v>523</v>
      </c>
      <c r="F730" s="8" t="str">
        <f>_xlfn.IFNA(INDEX('HS Codes'!$D$2:$K3284,MATCH($B730,'HS Codes'!$A$2:$A3284,0),MATCH(F$1,'HS Codes'!$D$1:$K$1,0)),"")</f>
        <v>4819.10.0040</v>
      </c>
      <c r="G730" s="8">
        <f>_xlfn.IFNA(INDEX('HS Codes'!$D$2:$K3284,MATCH($B730,'HS Codes'!$A$2:$A3284,0),MATCH(G$1,'HS Codes'!$D$1:$K$1,0)),"")</f>
        <v>4819100000</v>
      </c>
      <c r="H730" s="8">
        <f>_xlfn.IFNA(INDEX('HS Codes'!$D$2:$K3284,MATCH($B730,'HS Codes'!$A$2:$A3284,0),MATCH(H$1,'HS Codes'!$D$1:$K$1,0)),"")</f>
        <v>4819100000</v>
      </c>
      <c r="I730" s="8">
        <f>_xlfn.IFNA(INDEX('HS Codes'!$D$2:$K3284,MATCH($B730,'HS Codes'!$A$2:$A3284,0),MATCH(I$1,'HS Codes'!$D$1:$K$1,0)),"")</f>
        <v>48191000</v>
      </c>
      <c r="J730" s="8">
        <f>_xlfn.IFNA(INDEX('HS Codes'!$D$2:$K3284,MATCH($B730,'HS Codes'!$A$2:$A3284,0),MATCH(J$1,'HS Codes'!$D$1:$K$1,0)),"")</f>
        <v>0</v>
      </c>
      <c r="K730" s="8" t="str">
        <f>_xlfn.IFNA(INDEX('HS Codes'!$D$2:$K3284,MATCH($B730,'HS Codes'!$A$2:$A3284,0),MATCH(K$1,'HS Codes'!$D$1:$K$1,0)),"")</f>
        <v>4819.10.00</v>
      </c>
      <c r="L730" s="8">
        <f>_xlfn.IFNA(INDEX('HS Codes'!$D$2:$K3284,MATCH($B730,'HS Codes'!$A$2:$A3284,0),MATCH(L$1,'HS Codes'!$D$1:$K$1,0)),"")</f>
        <v>0</v>
      </c>
      <c r="M730" s="8" t="str">
        <f>_xlfn.IFNA(INDEX('HS Codes'!$C$2:$C3284,MATCH($B730,'HS Codes'!$A$2:$A3284,0)),"")</f>
        <v>Paperboard 100% recycled cardboard</v>
      </c>
      <c r="N730" s="9"/>
      <c r="O730" s="9"/>
      <c r="P730" s="9"/>
      <c r="Q730" s="9"/>
    </row>
    <row r="731" spans="1:17" ht="15.75" customHeight="1">
      <c r="A731" s="7" t="s">
        <v>1022</v>
      </c>
      <c r="B731" s="7" t="s">
        <v>159</v>
      </c>
      <c r="C731" s="7" t="s">
        <v>278</v>
      </c>
      <c r="D731" s="7" t="s">
        <v>160</v>
      </c>
      <c r="E731" s="7" t="s">
        <v>160</v>
      </c>
      <c r="F731" s="8" t="str">
        <f>_xlfn.IFNA(INDEX('HS Codes'!$D$2:$K3285,MATCH($B731,'HS Codes'!$A$2:$A3285,0),MATCH(F$1,'HS Codes'!$D$1:$K$1,0)),"")</f>
        <v>6302.53.00.20</v>
      </c>
      <c r="G731" s="8">
        <f>_xlfn.IFNA(INDEX('HS Codes'!$D$2:$K3285,MATCH($B731,'HS Codes'!$A$2:$A3285,0),MATCH(G$1,'HS Codes'!$D$1:$K$1,0)),"")</f>
        <v>6302531000</v>
      </c>
      <c r="H731" s="8">
        <f>_xlfn.IFNA(INDEX('HS Codes'!$D$2:$K3285,MATCH($B731,'HS Codes'!$A$2:$A3285,0),MATCH(H$1,'HS Codes'!$D$1:$K$1,0)),"")</f>
        <v>6302531000</v>
      </c>
      <c r="I731" s="8">
        <f>_xlfn.IFNA(INDEX('HS Codes'!$D$2:$K3285,MATCH($B731,'HS Codes'!$A$2:$A3285,0),MATCH(I$1,'HS Codes'!$D$1:$K$1,0)),"")</f>
        <v>63029310</v>
      </c>
      <c r="J731" s="8">
        <f>_xlfn.IFNA(INDEX('HS Codes'!$D$2:$K3285,MATCH($B731,'HS Codes'!$A$2:$A3285,0),MATCH(J$1,'HS Codes'!$D$1:$K$1,0)),"")</f>
        <v>0</v>
      </c>
      <c r="K731" s="8" t="str">
        <f>_xlfn.IFNA(INDEX('HS Codes'!$D$2:$K3285,MATCH($B731,'HS Codes'!$A$2:$A3285,0),MATCH(K$1,'HS Codes'!$D$1:$K$1,0)),"")</f>
        <v>6302.53.00</v>
      </c>
      <c r="L731" s="8">
        <f>_xlfn.IFNA(INDEX('HS Codes'!$D$2:$K3285,MATCH($B731,'HS Codes'!$A$2:$A3285,0),MATCH(L$1,'HS Codes'!$D$1:$K$1,0)),"")</f>
        <v>0</v>
      </c>
      <c r="M731" s="8" t="str">
        <f>_xlfn.IFNA(INDEX('HS Codes'!$C$2:$C3285,MATCH($B731,'HS Codes'!$A$2:$A3285,0)),"")</f>
        <v>Kitchen Linen 100% recycled 300 GSM/83% polyester/17% polyamide (no cotton)</v>
      </c>
      <c r="N731" s="9"/>
      <c r="O731" s="9"/>
      <c r="P731" s="9"/>
      <c r="Q731" s="9"/>
    </row>
    <row r="732" spans="1:17" ht="15.75" customHeight="1">
      <c r="A732" s="7" t="s">
        <v>1023</v>
      </c>
      <c r="B732" s="7" t="s">
        <v>159</v>
      </c>
      <c r="C732" s="7" t="s">
        <v>278</v>
      </c>
      <c r="D732" s="7" t="s">
        <v>160</v>
      </c>
      <c r="E732" s="7" t="s">
        <v>160</v>
      </c>
      <c r="F732" s="8" t="str">
        <f>_xlfn.IFNA(INDEX('HS Codes'!$D$2:$K3286,MATCH($B732,'HS Codes'!$A$2:$A3286,0),MATCH(F$1,'HS Codes'!$D$1:$K$1,0)),"")</f>
        <v>6302.53.00.20</v>
      </c>
      <c r="G732" s="8">
        <f>_xlfn.IFNA(INDEX('HS Codes'!$D$2:$K3286,MATCH($B732,'HS Codes'!$A$2:$A3286,0),MATCH(G$1,'HS Codes'!$D$1:$K$1,0)),"")</f>
        <v>6302531000</v>
      </c>
      <c r="H732" s="8">
        <f>_xlfn.IFNA(INDEX('HS Codes'!$D$2:$K3286,MATCH($B732,'HS Codes'!$A$2:$A3286,0),MATCH(H$1,'HS Codes'!$D$1:$K$1,0)),"")</f>
        <v>6302531000</v>
      </c>
      <c r="I732" s="8">
        <f>_xlfn.IFNA(INDEX('HS Codes'!$D$2:$K3286,MATCH($B732,'HS Codes'!$A$2:$A3286,0),MATCH(I$1,'HS Codes'!$D$1:$K$1,0)),"")</f>
        <v>63029310</v>
      </c>
      <c r="J732" s="8">
        <f>_xlfn.IFNA(INDEX('HS Codes'!$D$2:$K3286,MATCH($B732,'HS Codes'!$A$2:$A3286,0),MATCH(J$1,'HS Codes'!$D$1:$K$1,0)),"")</f>
        <v>0</v>
      </c>
      <c r="K732" s="8" t="str">
        <f>_xlfn.IFNA(INDEX('HS Codes'!$D$2:$K3286,MATCH($B732,'HS Codes'!$A$2:$A3286,0),MATCH(K$1,'HS Codes'!$D$1:$K$1,0)),"")</f>
        <v>6302.53.00</v>
      </c>
      <c r="L732" s="8">
        <f>_xlfn.IFNA(INDEX('HS Codes'!$D$2:$K3286,MATCH($B732,'HS Codes'!$A$2:$A3286,0),MATCH(L$1,'HS Codes'!$D$1:$K$1,0)),"")</f>
        <v>0</v>
      </c>
      <c r="M732" s="8" t="str">
        <f>_xlfn.IFNA(INDEX('HS Codes'!$C$2:$C3286,MATCH($B732,'HS Codes'!$A$2:$A3286,0)),"")</f>
        <v>Kitchen Linen 100% recycled 300 GSM/83% polyester/17% polyamide (no cotton)</v>
      </c>
      <c r="N732" s="9"/>
      <c r="O732" s="9"/>
      <c r="P732" s="9"/>
      <c r="Q732" s="9"/>
    </row>
    <row r="733" spans="1:17" ht="15.75" customHeight="1">
      <c r="A733" s="7" t="s">
        <v>1024</v>
      </c>
      <c r="B733" s="7" t="s">
        <v>159</v>
      </c>
      <c r="C733" s="7" t="s">
        <v>278</v>
      </c>
      <c r="D733" s="7" t="s">
        <v>160</v>
      </c>
      <c r="E733" s="7" t="s">
        <v>160</v>
      </c>
      <c r="F733" s="8" t="str">
        <f>_xlfn.IFNA(INDEX('HS Codes'!$D$2:$K3287,MATCH($B733,'HS Codes'!$A$2:$A3287,0),MATCH(F$1,'HS Codes'!$D$1:$K$1,0)),"")</f>
        <v>6302.53.00.20</v>
      </c>
      <c r="G733" s="8">
        <f>_xlfn.IFNA(INDEX('HS Codes'!$D$2:$K3287,MATCH($B733,'HS Codes'!$A$2:$A3287,0),MATCH(G$1,'HS Codes'!$D$1:$K$1,0)),"")</f>
        <v>6302531000</v>
      </c>
      <c r="H733" s="8">
        <f>_xlfn.IFNA(INDEX('HS Codes'!$D$2:$K3287,MATCH($B733,'HS Codes'!$A$2:$A3287,0),MATCH(H$1,'HS Codes'!$D$1:$K$1,0)),"")</f>
        <v>6302531000</v>
      </c>
      <c r="I733" s="8">
        <f>_xlfn.IFNA(INDEX('HS Codes'!$D$2:$K3287,MATCH($B733,'HS Codes'!$A$2:$A3287,0),MATCH(I$1,'HS Codes'!$D$1:$K$1,0)),"")</f>
        <v>63029310</v>
      </c>
      <c r="J733" s="8">
        <f>_xlfn.IFNA(INDEX('HS Codes'!$D$2:$K3287,MATCH($B733,'HS Codes'!$A$2:$A3287,0),MATCH(J$1,'HS Codes'!$D$1:$K$1,0)),"")</f>
        <v>0</v>
      </c>
      <c r="K733" s="8" t="str">
        <f>_xlfn.IFNA(INDEX('HS Codes'!$D$2:$K3287,MATCH($B733,'HS Codes'!$A$2:$A3287,0),MATCH(K$1,'HS Codes'!$D$1:$K$1,0)),"")</f>
        <v>6302.53.00</v>
      </c>
      <c r="L733" s="8">
        <f>_xlfn.IFNA(INDEX('HS Codes'!$D$2:$K3287,MATCH($B733,'HS Codes'!$A$2:$A3287,0),MATCH(L$1,'HS Codes'!$D$1:$K$1,0)),"")</f>
        <v>0</v>
      </c>
      <c r="M733" s="8" t="str">
        <f>_xlfn.IFNA(INDEX('HS Codes'!$C$2:$C3287,MATCH($B733,'HS Codes'!$A$2:$A3287,0)),"")</f>
        <v>Kitchen Linen 100% recycled 300 GSM/83% polyester/17% polyamide (no cotton)</v>
      </c>
      <c r="N733" s="9"/>
      <c r="O733" s="9"/>
      <c r="P733" s="9"/>
      <c r="Q733" s="9"/>
    </row>
    <row r="734" spans="1:17" ht="15.75" customHeight="1">
      <c r="A734" s="7" t="s">
        <v>1025</v>
      </c>
      <c r="B734" s="7" t="s">
        <v>159</v>
      </c>
      <c r="C734" s="7" t="s">
        <v>278</v>
      </c>
      <c r="D734" s="7" t="s">
        <v>160</v>
      </c>
      <c r="E734" s="7" t="s">
        <v>160</v>
      </c>
      <c r="F734" s="8" t="str">
        <f>_xlfn.IFNA(INDEX('HS Codes'!$D$2:$K3288,MATCH($B734,'HS Codes'!$A$2:$A3288,0),MATCH(F$1,'HS Codes'!$D$1:$K$1,0)),"")</f>
        <v>6302.53.00.20</v>
      </c>
      <c r="G734" s="8">
        <f>_xlfn.IFNA(INDEX('HS Codes'!$D$2:$K3288,MATCH($B734,'HS Codes'!$A$2:$A3288,0),MATCH(G$1,'HS Codes'!$D$1:$K$1,0)),"")</f>
        <v>6302531000</v>
      </c>
      <c r="H734" s="8">
        <f>_xlfn.IFNA(INDEX('HS Codes'!$D$2:$K3288,MATCH($B734,'HS Codes'!$A$2:$A3288,0),MATCH(H$1,'HS Codes'!$D$1:$K$1,0)),"")</f>
        <v>6302531000</v>
      </c>
      <c r="I734" s="8">
        <f>_xlfn.IFNA(INDEX('HS Codes'!$D$2:$K3288,MATCH($B734,'HS Codes'!$A$2:$A3288,0),MATCH(I$1,'HS Codes'!$D$1:$K$1,0)),"")</f>
        <v>63029310</v>
      </c>
      <c r="J734" s="8">
        <f>_xlfn.IFNA(INDEX('HS Codes'!$D$2:$K3288,MATCH($B734,'HS Codes'!$A$2:$A3288,0),MATCH(J$1,'HS Codes'!$D$1:$K$1,0)),"")</f>
        <v>0</v>
      </c>
      <c r="K734" s="8" t="str">
        <f>_xlfn.IFNA(INDEX('HS Codes'!$D$2:$K3288,MATCH($B734,'HS Codes'!$A$2:$A3288,0),MATCH(K$1,'HS Codes'!$D$1:$K$1,0)),"")</f>
        <v>6302.53.00</v>
      </c>
      <c r="L734" s="8">
        <f>_xlfn.IFNA(INDEX('HS Codes'!$D$2:$K3288,MATCH($B734,'HS Codes'!$A$2:$A3288,0),MATCH(L$1,'HS Codes'!$D$1:$K$1,0)),"")</f>
        <v>0</v>
      </c>
      <c r="M734" s="8" t="str">
        <f>_xlfn.IFNA(INDEX('HS Codes'!$C$2:$C3288,MATCH($B734,'HS Codes'!$A$2:$A3288,0)),"")</f>
        <v>Kitchen Linen 100% recycled 300 GSM/83% polyester/17% polyamide (no cotton)</v>
      </c>
      <c r="N734" s="9"/>
      <c r="O734" s="9"/>
      <c r="P734" s="9"/>
      <c r="Q734" s="9"/>
    </row>
    <row r="735" spans="1:17" ht="15.75" customHeight="1">
      <c r="A735" s="7" t="s">
        <v>1026</v>
      </c>
      <c r="B735" s="7" t="s">
        <v>159</v>
      </c>
      <c r="C735" s="7" t="s">
        <v>278</v>
      </c>
      <c r="D735" s="7" t="s">
        <v>160</v>
      </c>
      <c r="E735" s="7" t="s">
        <v>160</v>
      </c>
      <c r="F735" s="8" t="str">
        <f>_xlfn.IFNA(INDEX('HS Codes'!$D$2:$K3289,MATCH($B735,'HS Codes'!$A$2:$A3289,0),MATCH(F$1,'HS Codes'!$D$1:$K$1,0)),"")</f>
        <v>6302.53.00.20</v>
      </c>
      <c r="G735" s="8">
        <f>_xlfn.IFNA(INDEX('HS Codes'!$D$2:$K3289,MATCH($B735,'HS Codes'!$A$2:$A3289,0),MATCH(G$1,'HS Codes'!$D$1:$K$1,0)),"")</f>
        <v>6302531000</v>
      </c>
      <c r="H735" s="8">
        <f>_xlfn.IFNA(INDEX('HS Codes'!$D$2:$K3289,MATCH($B735,'HS Codes'!$A$2:$A3289,0),MATCH(H$1,'HS Codes'!$D$1:$K$1,0)),"")</f>
        <v>6302531000</v>
      </c>
      <c r="I735" s="8">
        <f>_xlfn.IFNA(INDEX('HS Codes'!$D$2:$K3289,MATCH($B735,'HS Codes'!$A$2:$A3289,0),MATCH(I$1,'HS Codes'!$D$1:$K$1,0)),"")</f>
        <v>63029310</v>
      </c>
      <c r="J735" s="8">
        <f>_xlfn.IFNA(INDEX('HS Codes'!$D$2:$K3289,MATCH($B735,'HS Codes'!$A$2:$A3289,0),MATCH(J$1,'HS Codes'!$D$1:$K$1,0)),"")</f>
        <v>0</v>
      </c>
      <c r="K735" s="8" t="str">
        <f>_xlfn.IFNA(INDEX('HS Codes'!$D$2:$K3289,MATCH($B735,'HS Codes'!$A$2:$A3289,0),MATCH(K$1,'HS Codes'!$D$1:$K$1,0)),"")</f>
        <v>6302.53.00</v>
      </c>
      <c r="L735" s="8">
        <f>_xlfn.IFNA(INDEX('HS Codes'!$D$2:$K3289,MATCH($B735,'HS Codes'!$A$2:$A3289,0),MATCH(L$1,'HS Codes'!$D$1:$K$1,0)),"")</f>
        <v>0</v>
      </c>
      <c r="M735" s="8" t="str">
        <f>_xlfn.IFNA(INDEX('HS Codes'!$C$2:$C3289,MATCH($B735,'HS Codes'!$A$2:$A3289,0)),"")</f>
        <v>Kitchen Linen 100% recycled 300 GSM/83% polyester/17% polyamide (no cotton)</v>
      </c>
      <c r="N735" s="9"/>
      <c r="O735" s="9"/>
      <c r="P735" s="9"/>
      <c r="Q735" s="9"/>
    </row>
    <row r="736" spans="1:17" ht="15.75" customHeight="1">
      <c r="A736" s="7" t="s">
        <v>1027</v>
      </c>
      <c r="B736" s="7" t="s">
        <v>159</v>
      </c>
      <c r="C736" s="7" t="s">
        <v>278</v>
      </c>
      <c r="D736" s="7" t="s">
        <v>160</v>
      </c>
      <c r="E736" s="7" t="s">
        <v>160</v>
      </c>
      <c r="F736" s="8" t="str">
        <f>_xlfn.IFNA(INDEX('HS Codes'!$D$2:$K3290,MATCH($B736,'HS Codes'!$A$2:$A3290,0),MATCH(F$1,'HS Codes'!$D$1:$K$1,0)),"")</f>
        <v>6302.53.00.20</v>
      </c>
      <c r="G736" s="8">
        <f>_xlfn.IFNA(INDEX('HS Codes'!$D$2:$K3290,MATCH($B736,'HS Codes'!$A$2:$A3290,0),MATCH(G$1,'HS Codes'!$D$1:$K$1,0)),"")</f>
        <v>6302531000</v>
      </c>
      <c r="H736" s="8">
        <f>_xlfn.IFNA(INDEX('HS Codes'!$D$2:$K3290,MATCH($B736,'HS Codes'!$A$2:$A3290,0),MATCH(H$1,'HS Codes'!$D$1:$K$1,0)),"")</f>
        <v>6302531000</v>
      </c>
      <c r="I736" s="8">
        <f>_xlfn.IFNA(INDEX('HS Codes'!$D$2:$K3290,MATCH($B736,'HS Codes'!$A$2:$A3290,0),MATCH(I$1,'HS Codes'!$D$1:$K$1,0)),"")</f>
        <v>63029310</v>
      </c>
      <c r="J736" s="8">
        <f>_xlfn.IFNA(INDEX('HS Codes'!$D$2:$K3290,MATCH($B736,'HS Codes'!$A$2:$A3290,0),MATCH(J$1,'HS Codes'!$D$1:$K$1,0)),"")</f>
        <v>0</v>
      </c>
      <c r="K736" s="8" t="str">
        <f>_xlfn.IFNA(INDEX('HS Codes'!$D$2:$K3290,MATCH($B736,'HS Codes'!$A$2:$A3290,0),MATCH(K$1,'HS Codes'!$D$1:$K$1,0)),"")</f>
        <v>6302.53.00</v>
      </c>
      <c r="L736" s="8">
        <f>_xlfn.IFNA(INDEX('HS Codes'!$D$2:$K3290,MATCH($B736,'HS Codes'!$A$2:$A3290,0),MATCH(L$1,'HS Codes'!$D$1:$K$1,0)),"")</f>
        <v>0</v>
      </c>
      <c r="M736" s="8" t="str">
        <f>_xlfn.IFNA(INDEX('HS Codes'!$C$2:$C3290,MATCH($B736,'HS Codes'!$A$2:$A3290,0)),"")</f>
        <v>Kitchen Linen 100% recycled 300 GSM/83% polyester/17% polyamide (no cotton)</v>
      </c>
      <c r="N736" s="9"/>
      <c r="O736" s="9"/>
      <c r="P736" s="9"/>
      <c r="Q736" s="9"/>
    </row>
    <row r="737" spans="1:17" ht="15.75" customHeight="1">
      <c r="A737" s="7" t="s">
        <v>1028</v>
      </c>
      <c r="B737" s="7" t="s">
        <v>159</v>
      </c>
      <c r="C737" s="7" t="s">
        <v>278</v>
      </c>
      <c r="D737" s="7" t="s">
        <v>160</v>
      </c>
      <c r="E737" s="7" t="s">
        <v>160</v>
      </c>
      <c r="F737" s="8" t="str">
        <f>_xlfn.IFNA(INDEX('HS Codes'!$D$2:$K3291,MATCH($B737,'HS Codes'!$A$2:$A3291,0),MATCH(F$1,'HS Codes'!$D$1:$K$1,0)),"")</f>
        <v>6302.53.00.20</v>
      </c>
      <c r="G737" s="8">
        <f>_xlfn.IFNA(INDEX('HS Codes'!$D$2:$K3291,MATCH($B737,'HS Codes'!$A$2:$A3291,0),MATCH(G$1,'HS Codes'!$D$1:$K$1,0)),"")</f>
        <v>6302531000</v>
      </c>
      <c r="H737" s="8">
        <f>_xlfn.IFNA(INDEX('HS Codes'!$D$2:$K3291,MATCH($B737,'HS Codes'!$A$2:$A3291,0),MATCH(H$1,'HS Codes'!$D$1:$K$1,0)),"")</f>
        <v>6302531000</v>
      </c>
      <c r="I737" s="8">
        <f>_xlfn.IFNA(INDEX('HS Codes'!$D$2:$K3291,MATCH($B737,'HS Codes'!$A$2:$A3291,0),MATCH(I$1,'HS Codes'!$D$1:$K$1,0)),"")</f>
        <v>63029310</v>
      </c>
      <c r="J737" s="8">
        <f>_xlfn.IFNA(INDEX('HS Codes'!$D$2:$K3291,MATCH($B737,'HS Codes'!$A$2:$A3291,0),MATCH(J$1,'HS Codes'!$D$1:$K$1,0)),"")</f>
        <v>0</v>
      </c>
      <c r="K737" s="8" t="str">
        <f>_xlfn.IFNA(INDEX('HS Codes'!$D$2:$K3291,MATCH($B737,'HS Codes'!$A$2:$A3291,0),MATCH(K$1,'HS Codes'!$D$1:$K$1,0)),"")</f>
        <v>6302.53.00</v>
      </c>
      <c r="L737" s="8">
        <f>_xlfn.IFNA(INDEX('HS Codes'!$D$2:$K3291,MATCH($B737,'HS Codes'!$A$2:$A3291,0),MATCH(L$1,'HS Codes'!$D$1:$K$1,0)),"")</f>
        <v>0</v>
      </c>
      <c r="M737" s="8" t="str">
        <f>_xlfn.IFNA(INDEX('HS Codes'!$C$2:$C3291,MATCH($B737,'HS Codes'!$A$2:$A3291,0)),"")</f>
        <v>Kitchen Linen 100% recycled 300 GSM/83% polyester/17% polyamide (no cotton)</v>
      </c>
      <c r="N737" s="9"/>
      <c r="O737" s="9"/>
      <c r="P737" s="9"/>
      <c r="Q737" s="9"/>
    </row>
    <row r="738" spans="1:17" ht="15.75" customHeight="1">
      <c r="A738" s="7" t="s">
        <v>1029</v>
      </c>
      <c r="B738" s="7" t="s">
        <v>164</v>
      </c>
      <c r="C738" s="7" t="s">
        <v>278</v>
      </c>
      <c r="D738" s="7" t="s">
        <v>165</v>
      </c>
      <c r="E738" s="7" t="s">
        <v>348</v>
      </c>
      <c r="F738" s="8" t="str">
        <f>_xlfn.IFNA(INDEX('HS Codes'!$D$2:$K3292,MATCH($B738,'HS Codes'!$A$2:$A3292,0),MATCH(F$1,'HS Codes'!$D$1:$K$1,0)),"")</f>
        <v>6302.93.2000</v>
      </c>
      <c r="G738" s="8">
        <f>_xlfn.IFNA(INDEX('HS Codes'!$D$2:$K3292,MATCH($B738,'HS Codes'!$A$2:$A3292,0),MATCH(G$1,'HS Codes'!$D$1:$K$1,0)),"")</f>
        <v>6302600090</v>
      </c>
      <c r="H738" s="8" t="str">
        <f>_xlfn.IFNA(INDEX('HS Codes'!$D$2:$K3292,MATCH($B738,'HS Codes'!$A$2:$A3292,0),MATCH(H$1,'HS Codes'!$D$1:$K$1,0)),"")</f>
        <v>6302.93.00.00</v>
      </c>
      <c r="I738" s="8">
        <f>_xlfn.IFNA(INDEX('HS Codes'!$D$2:$K3292,MATCH($B738,'HS Codes'!$A$2:$A3292,0),MATCH(I$1,'HS Codes'!$D$1:$K$1,0)),"")</f>
        <v>63029390</v>
      </c>
      <c r="J738" s="8">
        <f>_xlfn.IFNA(INDEX('HS Codes'!$D$2:$K3292,MATCH($B738,'HS Codes'!$A$2:$A3292,0),MATCH(J$1,'HS Codes'!$D$1:$K$1,0)),"")</f>
        <v>0</v>
      </c>
      <c r="K738" s="8" t="str">
        <f>_xlfn.IFNA(INDEX('HS Codes'!$D$2:$K3292,MATCH($B738,'HS Codes'!$A$2:$A3292,0),MATCH(K$1,'HS Codes'!$D$1:$K$1,0)),"")</f>
        <v>6302.39.00</v>
      </c>
      <c r="L738" s="8">
        <f>_xlfn.IFNA(INDEX('HS Codes'!$D$2:$K3292,MATCH($B738,'HS Codes'!$A$2:$A3292,0),MATCH(L$1,'HS Codes'!$D$1:$K$1,0)),"")</f>
        <v>63029120</v>
      </c>
      <c r="M738" s="8" t="str">
        <f>_xlfn.IFNA(INDEX('HS Codes'!$C$2:$C3292,MATCH($B738,'HS Codes'!$A$2:$A3292,0)),"")</f>
        <v>Beach Towel - Toilet Linen 100% recycled 220 GSM/83% polyester/17% polyamide includes cotton on the packing pouch drawstring</v>
      </c>
      <c r="N738" s="9"/>
      <c r="O738" s="9"/>
      <c r="P738" s="9"/>
      <c r="Q738" s="9"/>
    </row>
    <row r="739" spans="1:17" ht="15.75" customHeight="1">
      <c r="A739" s="7" t="s">
        <v>1030</v>
      </c>
      <c r="B739" s="7" t="s">
        <v>164</v>
      </c>
      <c r="C739" s="7" t="s">
        <v>278</v>
      </c>
      <c r="D739" s="7" t="s">
        <v>165</v>
      </c>
      <c r="E739" s="7" t="s">
        <v>348</v>
      </c>
      <c r="F739" s="8" t="str">
        <f>_xlfn.IFNA(INDEX('HS Codes'!$D$2:$K3293,MATCH($B739,'HS Codes'!$A$2:$A3293,0),MATCH(F$1,'HS Codes'!$D$1:$K$1,0)),"")</f>
        <v>6302.93.2000</v>
      </c>
      <c r="G739" s="8">
        <f>_xlfn.IFNA(INDEX('HS Codes'!$D$2:$K3293,MATCH($B739,'HS Codes'!$A$2:$A3293,0),MATCH(G$1,'HS Codes'!$D$1:$K$1,0)),"")</f>
        <v>6302600090</v>
      </c>
      <c r="H739" s="8" t="str">
        <f>_xlfn.IFNA(INDEX('HS Codes'!$D$2:$K3293,MATCH($B739,'HS Codes'!$A$2:$A3293,0),MATCH(H$1,'HS Codes'!$D$1:$K$1,0)),"")</f>
        <v>6302.93.00.00</v>
      </c>
      <c r="I739" s="8">
        <f>_xlfn.IFNA(INDEX('HS Codes'!$D$2:$K3293,MATCH($B739,'HS Codes'!$A$2:$A3293,0),MATCH(I$1,'HS Codes'!$D$1:$K$1,0)),"")</f>
        <v>63029390</v>
      </c>
      <c r="J739" s="8">
        <f>_xlfn.IFNA(INDEX('HS Codes'!$D$2:$K3293,MATCH($B739,'HS Codes'!$A$2:$A3293,0),MATCH(J$1,'HS Codes'!$D$1:$K$1,0)),"")</f>
        <v>0</v>
      </c>
      <c r="K739" s="8" t="str">
        <f>_xlfn.IFNA(INDEX('HS Codes'!$D$2:$K3293,MATCH($B739,'HS Codes'!$A$2:$A3293,0),MATCH(K$1,'HS Codes'!$D$1:$K$1,0)),"")</f>
        <v>6302.39.00</v>
      </c>
      <c r="L739" s="8">
        <f>_xlfn.IFNA(INDEX('HS Codes'!$D$2:$K3293,MATCH($B739,'HS Codes'!$A$2:$A3293,0),MATCH(L$1,'HS Codes'!$D$1:$K$1,0)),"")</f>
        <v>63029120</v>
      </c>
      <c r="M739" s="8" t="str">
        <f>_xlfn.IFNA(INDEX('HS Codes'!$C$2:$C3293,MATCH($B739,'HS Codes'!$A$2:$A3293,0)),"")</f>
        <v>Beach Towel - Toilet Linen 100% recycled 220 GSM/83% polyester/17% polyamide includes cotton on the packing pouch drawstring</v>
      </c>
      <c r="N739" s="9"/>
      <c r="O739" s="9"/>
      <c r="P739" s="9"/>
      <c r="Q739" s="9"/>
    </row>
    <row r="740" spans="1:17" ht="15.75" customHeight="1">
      <c r="A740" s="7" t="s">
        <v>1031</v>
      </c>
      <c r="B740" s="7" t="s">
        <v>164</v>
      </c>
      <c r="C740" s="7" t="s">
        <v>278</v>
      </c>
      <c r="D740" s="7" t="s">
        <v>165</v>
      </c>
      <c r="E740" s="7" t="s">
        <v>348</v>
      </c>
      <c r="F740" s="8" t="str">
        <f>_xlfn.IFNA(INDEX('HS Codes'!$D$2:$K3294,MATCH($B740,'HS Codes'!$A$2:$A3294,0),MATCH(F$1,'HS Codes'!$D$1:$K$1,0)),"")</f>
        <v>6302.93.2000</v>
      </c>
      <c r="G740" s="8">
        <f>_xlfn.IFNA(INDEX('HS Codes'!$D$2:$K3294,MATCH($B740,'HS Codes'!$A$2:$A3294,0),MATCH(G$1,'HS Codes'!$D$1:$K$1,0)),"")</f>
        <v>6302600090</v>
      </c>
      <c r="H740" s="8" t="str">
        <f>_xlfn.IFNA(INDEX('HS Codes'!$D$2:$K3294,MATCH($B740,'HS Codes'!$A$2:$A3294,0),MATCH(H$1,'HS Codes'!$D$1:$K$1,0)),"")</f>
        <v>6302.93.00.00</v>
      </c>
      <c r="I740" s="8">
        <f>_xlfn.IFNA(INDEX('HS Codes'!$D$2:$K3294,MATCH($B740,'HS Codes'!$A$2:$A3294,0),MATCH(I$1,'HS Codes'!$D$1:$K$1,0)),"")</f>
        <v>63029390</v>
      </c>
      <c r="J740" s="8">
        <f>_xlfn.IFNA(INDEX('HS Codes'!$D$2:$K3294,MATCH($B740,'HS Codes'!$A$2:$A3294,0),MATCH(J$1,'HS Codes'!$D$1:$K$1,0)),"")</f>
        <v>0</v>
      </c>
      <c r="K740" s="8" t="str">
        <f>_xlfn.IFNA(INDEX('HS Codes'!$D$2:$K3294,MATCH($B740,'HS Codes'!$A$2:$A3294,0),MATCH(K$1,'HS Codes'!$D$1:$K$1,0)),"")</f>
        <v>6302.39.00</v>
      </c>
      <c r="L740" s="8">
        <f>_xlfn.IFNA(INDEX('HS Codes'!$D$2:$K3294,MATCH($B740,'HS Codes'!$A$2:$A3294,0),MATCH(L$1,'HS Codes'!$D$1:$K$1,0)),"")</f>
        <v>63029120</v>
      </c>
      <c r="M740" s="8" t="str">
        <f>_xlfn.IFNA(INDEX('HS Codes'!$C$2:$C3294,MATCH($B740,'HS Codes'!$A$2:$A3294,0)),"")</f>
        <v>Beach Towel - Toilet Linen 100% recycled 220 GSM/83% polyester/17% polyamide includes cotton on the packing pouch drawstring</v>
      </c>
      <c r="N740" s="9"/>
      <c r="O740" s="9"/>
      <c r="P740" s="9"/>
      <c r="Q740" s="9"/>
    </row>
    <row r="741" spans="1:17" ht="15.75" customHeight="1">
      <c r="A741" s="7" t="s">
        <v>1032</v>
      </c>
      <c r="B741" s="7" t="s">
        <v>164</v>
      </c>
      <c r="C741" s="7" t="s">
        <v>278</v>
      </c>
      <c r="D741" s="7" t="s">
        <v>165</v>
      </c>
      <c r="E741" s="7" t="s">
        <v>348</v>
      </c>
      <c r="F741" s="8" t="str">
        <f>_xlfn.IFNA(INDEX('HS Codes'!$D$2:$K3295,MATCH($B741,'HS Codes'!$A$2:$A3295,0),MATCH(F$1,'HS Codes'!$D$1:$K$1,0)),"")</f>
        <v>6302.93.2000</v>
      </c>
      <c r="G741" s="8">
        <f>_xlfn.IFNA(INDEX('HS Codes'!$D$2:$K3295,MATCH($B741,'HS Codes'!$A$2:$A3295,0),MATCH(G$1,'HS Codes'!$D$1:$K$1,0)),"")</f>
        <v>6302600090</v>
      </c>
      <c r="H741" s="8" t="str">
        <f>_xlfn.IFNA(INDEX('HS Codes'!$D$2:$K3295,MATCH($B741,'HS Codes'!$A$2:$A3295,0),MATCH(H$1,'HS Codes'!$D$1:$K$1,0)),"")</f>
        <v>6302.93.00.00</v>
      </c>
      <c r="I741" s="8">
        <f>_xlfn.IFNA(INDEX('HS Codes'!$D$2:$K3295,MATCH($B741,'HS Codes'!$A$2:$A3295,0),MATCH(I$1,'HS Codes'!$D$1:$K$1,0)),"")</f>
        <v>63029390</v>
      </c>
      <c r="J741" s="8">
        <f>_xlfn.IFNA(INDEX('HS Codes'!$D$2:$K3295,MATCH($B741,'HS Codes'!$A$2:$A3295,0),MATCH(J$1,'HS Codes'!$D$1:$K$1,0)),"")</f>
        <v>0</v>
      </c>
      <c r="K741" s="8" t="str">
        <f>_xlfn.IFNA(INDEX('HS Codes'!$D$2:$K3295,MATCH($B741,'HS Codes'!$A$2:$A3295,0),MATCH(K$1,'HS Codes'!$D$1:$K$1,0)),"")</f>
        <v>6302.39.00</v>
      </c>
      <c r="L741" s="8">
        <f>_xlfn.IFNA(INDEX('HS Codes'!$D$2:$K3295,MATCH($B741,'HS Codes'!$A$2:$A3295,0),MATCH(L$1,'HS Codes'!$D$1:$K$1,0)),"")</f>
        <v>63029120</v>
      </c>
      <c r="M741" s="8" t="str">
        <f>_xlfn.IFNA(INDEX('HS Codes'!$C$2:$C3295,MATCH($B741,'HS Codes'!$A$2:$A3295,0)),"")</f>
        <v>Beach Towel - Toilet Linen 100% recycled 220 GSM/83% polyester/17% polyamide includes cotton on the packing pouch drawstring</v>
      </c>
      <c r="N741" s="9"/>
      <c r="O741" s="9"/>
      <c r="P741" s="9"/>
      <c r="Q741" s="9"/>
    </row>
    <row r="742" spans="1:17" ht="15.75" customHeight="1">
      <c r="A742" s="7" t="s">
        <v>1033</v>
      </c>
      <c r="B742" s="7" t="s">
        <v>164</v>
      </c>
      <c r="C742" s="7" t="s">
        <v>278</v>
      </c>
      <c r="D742" s="7" t="s">
        <v>165</v>
      </c>
      <c r="E742" s="7" t="s">
        <v>348</v>
      </c>
      <c r="F742" s="8" t="str">
        <f>_xlfn.IFNA(INDEX('HS Codes'!$D$2:$K3296,MATCH($B742,'HS Codes'!$A$2:$A3296,0),MATCH(F$1,'HS Codes'!$D$1:$K$1,0)),"")</f>
        <v>6302.93.2000</v>
      </c>
      <c r="G742" s="8">
        <f>_xlfn.IFNA(INDEX('HS Codes'!$D$2:$K3296,MATCH($B742,'HS Codes'!$A$2:$A3296,0),MATCH(G$1,'HS Codes'!$D$1:$K$1,0)),"")</f>
        <v>6302600090</v>
      </c>
      <c r="H742" s="8" t="str">
        <f>_xlfn.IFNA(INDEX('HS Codes'!$D$2:$K3296,MATCH($B742,'HS Codes'!$A$2:$A3296,0),MATCH(H$1,'HS Codes'!$D$1:$K$1,0)),"")</f>
        <v>6302.93.00.00</v>
      </c>
      <c r="I742" s="8">
        <f>_xlfn.IFNA(INDEX('HS Codes'!$D$2:$K3296,MATCH($B742,'HS Codes'!$A$2:$A3296,0),MATCH(I$1,'HS Codes'!$D$1:$K$1,0)),"")</f>
        <v>63029390</v>
      </c>
      <c r="J742" s="8">
        <f>_xlfn.IFNA(INDEX('HS Codes'!$D$2:$K3296,MATCH($B742,'HS Codes'!$A$2:$A3296,0),MATCH(J$1,'HS Codes'!$D$1:$K$1,0)),"")</f>
        <v>0</v>
      </c>
      <c r="K742" s="8" t="str">
        <f>_xlfn.IFNA(INDEX('HS Codes'!$D$2:$K3296,MATCH($B742,'HS Codes'!$A$2:$A3296,0),MATCH(K$1,'HS Codes'!$D$1:$K$1,0)),"")</f>
        <v>6302.39.00</v>
      </c>
      <c r="L742" s="8">
        <f>_xlfn.IFNA(INDEX('HS Codes'!$D$2:$K3296,MATCH($B742,'HS Codes'!$A$2:$A3296,0),MATCH(L$1,'HS Codes'!$D$1:$K$1,0)),"")</f>
        <v>63029120</v>
      </c>
      <c r="M742" s="8" t="str">
        <f>_xlfn.IFNA(INDEX('HS Codes'!$C$2:$C3296,MATCH($B742,'HS Codes'!$A$2:$A3296,0)),"")</f>
        <v>Beach Towel - Toilet Linen 100% recycled 220 GSM/83% polyester/17% polyamide includes cotton on the packing pouch drawstring</v>
      </c>
      <c r="N742" s="9"/>
      <c r="O742" s="9"/>
      <c r="P742" s="9"/>
      <c r="Q742" s="9"/>
    </row>
    <row r="743" spans="1:17" ht="15.75" customHeight="1">
      <c r="A743" s="7" t="s">
        <v>1034</v>
      </c>
      <c r="B743" s="7" t="s">
        <v>164</v>
      </c>
      <c r="C743" s="7" t="s">
        <v>278</v>
      </c>
      <c r="D743" s="7" t="s">
        <v>165</v>
      </c>
      <c r="E743" s="7" t="s">
        <v>348</v>
      </c>
      <c r="F743" s="8" t="str">
        <f>_xlfn.IFNA(INDEX('HS Codes'!$D$2:$K3297,MATCH($B743,'HS Codes'!$A$2:$A3297,0),MATCH(F$1,'HS Codes'!$D$1:$K$1,0)),"")</f>
        <v>6302.93.2000</v>
      </c>
      <c r="G743" s="8">
        <f>_xlfn.IFNA(INDEX('HS Codes'!$D$2:$K3297,MATCH($B743,'HS Codes'!$A$2:$A3297,0),MATCH(G$1,'HS Codes'!$D$1:$K$1,0)),"")</f>
        <v>6302600090</v>
      </c>
      <c r="H743" s="8" t="str">
        <f>_xlfn.IFNA(INDEX('HS Codes'!$D$2:$K3297,MATCH($B743,'HS Codes'!$A$2:$A3297,0),MATCH(H$1,'HS Codes'!$D$1:$K$1,0)),"")</f>
        <v>6302.93.00.00</v>
      </c>
      <c r="I743" s="8">
        <f>_xlfn.IFNA(INDEX('HS Codes'!$D$2:$K3297,MATCH($B743,'HS Codes'!$A$2:$A3297,0),MATCH(I$1,'HS Codes'!$D$1:$K$1,0)),"")</f>
        <v>63029390</v>
      </c>
      <c r="J743" s="8">
        <f>_xlfn.IFNA(INDEX('HS Codes'!$D$2:$K3297,MATCH($B743,'HS Codes'!$A$2:$A3297,0),MATCH(J$1,'HS Codes'!$D$1:$K$1,0)),"")</f>
        <v>0</v>
      </c>
      <c r="K743" s="8" t="str">
        <f>_xlfn.IFNA(INDEX('HS Codes'!$D$2:$K3297,MATCH($B743,'HS Codes'!$A$2:$A3297,0),MATCH(K$1,'HS Codes'!$D$1:$K$1,0)),"")</f>
        <v>6302.39.00</v>
      </c>
      <c r="L743" s="8">
        <f>_xlfn.IFNA(INDEX('HS Codes'!$D$2:$K3297,MATCH($B743,'HS Codes'!$A$2:$A3297,0),MATCH(L$1,'HS Codes'!$D$1:$K$1,0)),"")</f>
        <v>63029120</v>
      </c>
      <c r="M743" s="8" t="str">
        <f>_xlfn.IFNA(INDEX('HS Codes'!$C$2:$C3297,MATCH($B743,'HS Codes'!$A$2:$A3297,0)),"")</f>
        <v>Beach Towel - Toilet Linen 100% recycled 220 GSM/83% polyester/17% polyamide includes cotton on the packing pouch drawstring</v>
      </c>
      <c r="N743" s="9"/>
      <c r="O743" s="9"/>
      <c r="P743" s="9"/>
      <c r="Q743" s="9"/>
    </row>
    <row r="744" spans="1:17" ht="15.75" customHeight="1">
      <c r="A744" s="7" t="s">
        <v>1035</v>
      </c>
      <c r="B744" s="7" t="s">
        <v>164</v>
      </c>
      <c r="C744" s="7" t="s">
        <v>278</v>
      </c>
      <c r="D744" s="7" t="s">
        <v>165</v>
      </c>
      <c r="E744" s="7" t="s">
        <v>348</v>
      </c>
      <c r="F744" s="8" t="str">
        <f>_xlfn.IFNA(INDEX('HS Codes'!$D$2:$K3298,MATCH($B744,'HS Codes'!$A$2:$A3298,0),MATCH(F$1,'HS Codes'!$D$1:$K$1,0)),"")</f>
        <v>6302.93.2000</v>
      </c>
      <c r="G744" s="8">
        <f>_xlfn.IFNA(INDEX('HS Codes'!$D$2:$K3298,MATCH($B744,'HS Codes'!$A$2:$A3298,0),MATCH(G$1,'HS Codes'!$D$1:$K$1,0)),"")</f>
        <v>6302600090</v>
      </c>
      <c r="H744" s="8" t="str">
        <f>_xlfn.IFNA(INDEX('HS Codes'!$D$2:$K3298,MATCH($B744,'HS Codes'!$A$2:$A3298,0),MATCH(H$1,'HS Codes'!$D$1:$K$1,0)),"")</f>
        <v>6302.93.00.00</v>
      </c>
      <c r="I744" s="8">
        <f>_xlfn.IFNA(INDEX('HS Codes'!$D$2:$K3298,MATCH($B744,'HS Codes'!$A$2:$A3298,0),MATCH(I$1,'HS Codes'!$D$1:$K$1,0)),"")</f>
        <v>63029390</v>
      </c>
      <c r="J744" s="8">
        <f>_xlfn.IFNA(INDEX('HS Codes'!$D$2:$K3298,MATCH($B744,'HS Codes'!$A$2:$A3298,0),MATCH(J$1,'HS Codes'!$D$1:$K$1,0)),"")</f>
        <v>0</v>
      </c>
      <c r="K744" s="8" t="str">
        <f>_xlfn.IFNA(INDEX('HS Codes'!$D$2:$K3298,MATCH($B744,'HS Codes'!$A$2:$A3298,0),MATCH(K$1,'HS Codes'!$D$1:$K$1,0)),"")</f>
        <v>6302.39.00</v>
      </c>
      <c r="L744" s="8">
        <f>_xlfn.IFNA(INDEX('HS Codes'!$D$2:$K3298,MATCH($B744,'HS Codes'!$A$2:$A3298,0),MATCH(L$1,'HS Codes'!$D$1:$K$1,0)),"")</f>
        <v>63029120</v>
      </c>
      <c r="M744" s="8" t="str">
        <f>_xlfn.IFNA(INDEX('HS Codes'!$C$2:$C3298,MATCH($B744,'HS Codes'!$A$2:$A3298,0)),"")</f>
        <v>Beach Towel - Toilet Linen 100% recycled 220 GSM/83% polyester/17% polyamide includes cotton on the packing pouch drawstring</v>
      </c>
      <c r="N744" s="9"/>
      <c r="O744" s="9"/>
      <c r="P744" s="9"/>
      <c r="Q744" s="9"/>
    </row>
    <row r="745" spans="1:17" ht="15.75" customHeight="1">
      <c r="A745" s="7" t="s">
        <v>1036</v>
      </c>
      <c r="B745" s="7" t="s">
        <v>164</v>
      </c>
      <c r="C745" s="7" t="s">
        <v>278</v>
      </c>
      <c r="D745" s="7" t="s">
        <v>165</v>
      </c>
      <c r="E745" s="7" t="s">
        <v>348</v>
      </c>
      <c r="F745" s="8" t="str">
        <f>_xlfn.IFNA(INDEX('HS Codes'!$D$2:$K3299,MATCH($B745,'HS Codes'!$A$2:$A3299,0),MATCH(F$1,'HS Codes'!$D$1:$K$1,0)),"")</f>
        <v>6302.93.2000</v>
      </c>
      <c r="G745" s="8">
        <f>_xlfn.IFNA(INDEX('HS Codes'!$D$2:$K3299,MATCH($B745,'HS Codes'!$A$2:$A3299,0),MATCH(G$1,'HS Codes'!$D$1:$K$1,0)),"")</f>
        <v>6302600090</v>
      </c>
      <c r="H745" s="8" t="str">
        <f>_xlfn.IFNA(INDEX('HS Codes'!$D$2:$K3299,MATCH($B745,'HS Codes'!$A$2:$A3299,0),MATCH(H$1,'HS Codes'!$D$1:$K$1,0)),"")</f>
        <v>6302.93.00.00</v>
      </c>
      <c r="I745" s="8">
        <f>_xlfn.IFNA(INDEX('HS Codes'!$D$2:$K3299,MATCH($B745,'HS Codes'!$A$2:$A3299,0),MATCH(I$1,'HS Codes'!$D$1:$K$1,0)),"")</f>
        <v>63029390</v>
      </c>
      <c r="J745" s="8">
        <f>_xlfn.IFNA(INDEX('HS Codes'!$D$2:$K3299,MATCH($B745,'HS Codes'!$A$2:$A3299,0),MATCH(J$1,'HS Codes'!$D$1:$K$1,0)),"")</f>
        <v>0</v>
      </c>
      <c r="K745" s="8" t="str">
        <f>_xlfn.IFNA(INDEX('HS Codes'!$D$2:$K3299,MATCH($B745,'HS Codes'!$A$2:$A3299,0),MATCH(K$1,'HS Codes'!$D$1:$K$1,0)),"")</f>
        <v>6302.39.00</v>
      </c>
      <c r="L745" s="8">
        <f>_xlfn.IFNA(INDEX('HS Codes'!$D$2:$K3299,MATCH($B745,'HS Codes'!$A$2:$A3299,0),MATCH(L$1,'HS Codes'!$D$1:$K$1,0)),"")</f>
        <v>63029120</v>
      </c>
      <c r="M745" s="8" t="str">
        <f>_xlfn.IFNA(INDEX('HS Codes'!$C$2:$C3299,MATCH($B745,'HS Codes'!$A$2:$A3299,0)),"")</f>
        <v>Beach Towel - Toilet Linen 100% recycled 220 GSM/83% polyester/17% polyamide includes cotton on the packing pouch drawstring</v>
      </c>
      <c r="N745" s="9"/>
      <c r="O745" s="9"/>
      <c r="P745" s="9"/>
      <c r="Q745" s="9"/>
    </row>
    <row r="746" spans="1:17" ht="15.75" customHeight="1">
      <c r="A746" s="7" t="s">
        <v>1037</v>
      </c>
      <c r="B746" s="7" t="s">
        <v>164</v>
      </c>
      <c r="C746" s="7" t="s">
        <v>278</v>
      </c>
      <c r="D746" s="7" t="s">
        <v>165</v>
      </c>
      <c r="E746" s="7" t="s">
        <v>348</v>
      </c>
      <c r="F746" s="8" t="str">
        <f>_xlfn.IFNA(INDEX('HS Codes'!$D$2:$K3300,MATCH($B746,'HS Codes'!$A$2:$A3300,0),MATCH(F$1,'HS Codes'!$D$1:$K$1,0)),"")</f>
        <v>6302.93.2000</v>
      </c>
      <c r="G746" s="8">
        <f>_xlfn.IFNA(INDEX('HS Codes'!$D$2:$K3300,MATCH($B746,'HS Codes'!$A$2:$A3300,0),MATCH(G$1,'HS Codes'!$D$1:$K$1,0)),"")</f>
        <v>6302600090</v>
      </c>
      <c r="H746" s="8" t="str">
        <f>_xlfn.IFNA(INDEX('HS Codes'!$D$2:$K3300,MATCH($B746,'HS Codes'!$A$2:$A3300,0),MATCH(H$1,'HS Codes'!$D$1:$K$1,0)),"")</f>
        <v>6302.93.00.00</v>
      </c>
      <c r="I746" s="8">
        <f>_xlfn.IFNA(INDEX('HS Codes'!$D$2:$K3300,MATCH($B746,'HS Codes'!$A$2:$A3300,0),MATCH(I$1,'HS Codes'!$D$1:$K$1,0)),"")</f>
        <v>63029390</v>
      </c>
      <c r="J746" s="8">
        <f>_xlfn.IFNA(INDEX('HS Codes'!$D$2:$K3300,MATCH($B746,'HS Codes'!$A$2:$A3300,0),MATCH(J$1,'HS Codes'!$D$1:$K$1,0)),"")</f>
        <v>0</v>
      </c>
      <c r="K746" s="8" t="str">
        <f>_xlfn.IFNA(INDEX('HS Codes'!$D$2:$K3300,MATCH($B746,'HS Codes'!$A$2:$A3300,0),MATCH(K$1,'HS Codes'!$D$1:$K$1,0)),"")</f>
        <v>6302.39.00</v>
      </c>
      <c r="L746" s="8">
        <f>_xlfn.IFNA(INDEX('HS Codes'!$D$2:$K3300,MATCH($B746,'HS Codes'!$A$2:$A3300,0),MATCH(L$1,'HS Codes'!$D$1:$K$1,0)),"")</f>
        <v>63029120</v>
      </c>
      <c r="M746" s="8" t="str">
        <f>_xlfn.IFNA(INDEX('HS Codes'!$C$2:$C3300,MATCH($B746,'HS Codes'!$A$2:$A3300,0)),"")</f>
        <v>Beach Towel - Toilet Linen 100% recycled 220 GSM/83% polyester/17% polyamide includes cotton on the packing pouch drawstring</v>
      </c>
      <c r="N746" s="9"/>
      <c r="O746" s="9"/>
      <c r="P746" s="9"/>
      <c r="Q746" s="9"/>
    </row>
    <row r="747" spans="1:17" ht="15.75" customHeight="1">
      <c r="A747" s="7" t="s">
        <v>1038</v>
      </c>
      <c r="B747" s="7" t="s">
        <v>164</v>
      </c>
      <c r="C747" s="7" t="s">
        <v>278</v>
      </c>
      <c r="D747" s="7" t="s">
        <v>165</v>
      </c>
      <c r="E747" s="7" t="s">
        <v>348</v>
      </c>
      <c r="F747" s="8" t="str">
        <f>_xlfn.IFNA(INDEX('HS Codes'!$D$2:$K3301,MATCH($B747,'HS Codes'!$A$2:$A3301,0),MATCH(F$1,'HS Codes'!$D$1:$K$1,0)),"")</f>
        <v>6302.93.2000</v>
      </c>
      <c r="G747" s="8">
        <f>_xlfn.IFNA(INDEX('HS Codes'!$D$2:$K3301,MATCH($B747,'HS Codes'!$A$2:$A3301,0),MATCH(G$1,'HS Codes'!$D$1:$K$1,0)),"")</f>
        <v>6302600090</v>
      </c>
      <c r="H747" s="8" t="str">
        <f>_xlfn.IFNA(INDEX('HS Codes'!$D$2:$K3301,MATCH($B747,'HS Codes'!$A$2:$A3301,0),MATCH(H$1,'HS Codes'!$D$1:$K$1,0)),"")</f>
        <v>6302.93.00.00</v>
      </c>
      <c r="I747" s="8">
        <f>_xlfn.IFNA(INDEX('HS Codes'!$D$2:$K3301,MATCH($B747,'HS Codes'!$A$2:$A3301,0),MATCH(I$1,'HS Codes'!$D$1:$K$1,0)),"")</f>
        <v>63029390</v>
      </c>
      <c r="J747" s="8">
        <f>_xlfn.IFNA(INDEX('HS Codes'!$D$2:$K3301,MATCH($B747,'HS Codes'!$A$2:$A3301,0),MATCH(J$1,'HS Codes'!$D$1:$K$1,0)),"")</f>
        <v>0</v>
      </c>
      <c r="K747" s="8" t="str">
        <f>_xlfn.IFNA(INDEX('HS Codes'!$D$2:$K3301,MATCH($B747,'HS Codes'!$A$2:$A3301,0),MATCH(K$1,'HS Codes'!$D$1:$K$1,0)),"")</f>
        <v>6302.39.00</v>
      </c>
      <c r="L747" s="8">
        <f>_xlfn.IFNA(INDEX('HS Codes'!$D$2:$K3301,MATCH($B747,'HS Codes'!$A$2:$A3301,0),MATCH(L$1,'HS Codes'!$D$1:$K$1,0)),"")</f>
        <v>63029120</v>
      </c>
      <c r="M747" s="8" t="str">
        <f>_xlfn.IFNA(INDEX('HS Codes'!$C$2:$C3301,MATCH($B747,'HS Codes'!$A$2:$A3301,0)),"")</f>
        <v>Beach Towel - Toilet Linen 100% recycled 220 GSM/83% polyester/17% polyamide includes cotton on the packing pouch drawstring</v>
      </c>
      <c r="N747" s="9"/>
      <c r="O747" s="9"/>
      <c r="P747" s="9"/>
      <c r="Q747" s="9"/>
    </row>
    <row r="748" spans="1:17" ht="15.75" customHeight="1">
      <c r="A748" s="7" t="s">
        <v>1039</v>
      </c>
      <c r="B748" s="7" t="s">
        <v>164</v>
      </c>
      <c r="C748" s="7" t="s">
        <v>278</v>
      </c>
      <c r="D748" s="7" t="s">
        <v>165</v>
      </c>
      <c r="E748" s="7" t="s">
        <v>348</v>
      </c>
      <c r="F748" s="8" t="str">
        <f>_xlfn.IFNA(INDEX('HS Codes'!$D$2:$K3302,MATCH($B748,'HS Codes'!$A$2:$A3302,0),MATCH(F$1,'HS Codes'!$D$1:$K$1,0)),"")</f>
        <v>6302.93.2000</v>
      </c>
      <c r="G748" s="8">
        <f>_xlfn.IFNA(INDEX('HS Codes'!$D$2:$K3302,MATCH($B748,'HS Codes'!$A$2:$A3302,0),MATCH(G$1,'HS Codes'!$D$1:$K$1,0)),"")</f>
        <v>6302600090</v>
      </c>
      <c r="H748" s="8" t="str">
        <f>_xlfn.IFNA(INDEX('HS Codes'!$D$2:$K3302,MATCH($B748,'HS Codes'!$A$2:$A3302,0),MATCH(H$1,'HS Codes'!$D$1:$K$1,0)),"")</f>
        <v>6302.93.00.00</v>
      </c>
      <c r="I748" s="8">
        <f>_xlfn.IFNA(INDEX('HS Codes'!$D$2:$K3302,MATCH($B748,'HS Codes'!$A$2:$A3302,0),MATCH(I$1,'HS Codes'!$D$1:$K$1,0)),"")</f>
        <v>63029390</v>
      </c>
      <c r="J748" s="8">
        <f>_xlfn.IFNA(INDEX('HS Codes'!$D$2:$K3302,MATCH($B748,'HS Codes'!$A$2:$A3302,0),MATCH(J$1,'HS Codes'!$D$1:$K$1,0)),"")</f>
        <v>0</v>
      </c>
      <c r="K748" s="8" t="str">
        <f>_xlfn.IFNA(INDEX('HS Codes'!$D$2:$K3302,MATCH($B748,'HS Codes'!$A$2:$A3302,0),MATCH(K$1,'HS Codes'!$D$1:$K$1,0)),"")</f>
        <v>6302.39.00</v>
      </c>
      <c r="L748" s="8">
        <f>_xlfn.IFNA(INDEX('HS Codes'!$D$2:$K3302,MATCH($B748,'HS Codes'!$A$2:$A3302,0),MATCH(L$1,'HS Codes'!$D$1:$K$1,0)),"")</f>
        <v>63029120</v>
      </c>
      <c r="M748" s="8" t="str">
        <f>_xlfn.IFNA(INDEX('HS Codes'!$C$2:$C3302,MATCH($B748,'HS Codes'!$A$2:$A3302,0)),"")</f>
        <v>Beach Towel - Toilet Linen 100% recycled 220 GSM/83% polyester/17% polyamide includes cotton on the packing pouch drawstring</v>
      </c>
      <c r="N748" s="9"/>
      <c r="O748" s="9"/>
      <c r="P748" s="9"/>
      <c r="Q748" s="9"/>
    </row>
    <row r="749" spans="1:17" ht="15.75" customHeight="1">
      <c r="A749" s="7" t="s">
        <v>1040</v>
      </c>
      <c r="B749" s="7" t="s">
        <v>164</v>
      </c>
      <c r="C749" s="7" t="s">
        <v>278</v>
      </c>
      <c r="D749" s="7" t="s">
        <v>165</v>
      </c>
      <c r="E749" s="7" t="s">
        <v>348</v>
      </c>
      <c r="F749" s="8" t="str">
        <f>_xlfn.IFNA(INDEX('HS Codes'!$D$2:$K3303,MATCH($B749,'HS Codes'!$A$2:$A3303,0),MATCH(F$1,'HS Codes'!$D$1:$K$1,0)),"")</f>
        <v>6302.93.2000</v>
      </c>
      <c r="G749" s="8">
        <f>_xlfn.IFNA(INDEX('HS Codes'!$D$2:$K3303,MATCH($B749,'HS Codes'!$A$2:$A3303,0),MATCH(G$1,'HS Codes'!$D$1:$K$1,0)),"")</f>
        <v>6302600090</v>
      </c>
      <c r="H749" s="8" t="str">
        <f>_xlfn.IFNA(INDEX('HS Codes'!$D$2:$K3303,MATCH($B749,'HS Codes'!$A$2:$A3303,0),MATCH(H$1,'HS Codes'!$D$1:$K$1,0)),"")</f>
        <v>6302.93.00.00</v>
      </c>
      <c r="I749" s="8">
        <f>_xlfn.IFNA(INDEX('HS Codes'!$D$2:$K3303,MATCH($B749,'HS Codes'!$A$2:$A3303,0),MATCH(I$1,'HS Codes'!$D$1:$K$1,0)),"")</f>
        <v>63029390</v>
      </c>
      <c r="J749" s="8">
        <f>_xlfn.IFNA(INDEX('HS Codes'!$D$2:$K3303,MATCH($B749,'HS Codes'!$A$2:$A3303,0),MATCH(J$1,'HS Codes'!$D$1:$K$1,0)),"")</f>
        <v>0</v>
      </c>
      <c r="K749" s="8" t="str">
        <f>_xlfn.IFNA(INDEX('HS Codes'!$D$2:$K3303,MATCH($B749,'HS Codes'!$A$2:$A3303,0),MATCH(K$1,'HS Codes'!$D$1:$K$1,0)),"")</f>
        <v>6302.39.00</v>
      </c>
      <c r="L749" s="8">
        <f>_xlfn.IFNA(INDEX('HS Codes'!$D$2:$K3303,MATCH($B749,'HS Codes'!$A$2:$A3303,0),MATCH(L$1,'HS Codes'!$D$1:$K$1,0)),"")</f>
        <v>63029120</v>
      </c>
      <c r="M749" s="8" t="str">
        <f>_xlfn.IFNA(INDEX('HS Codes'!$C$2:$C3303,MATCH($B749,'HS Codes'!$A$2:$A3303,0)),"")</f>
        <v>Beach Towel - Toilet Linen 100% recycled 220 GSM/83% polyester/17% polyamide includes cotton on the packing pouch drawstring</v>
      </c>
      <c r="N749" s="9"/>
      <c r="O749" s="9"/>
      <c r="P749" s="9"/>
      <c r="Q749" s="9"/>
    </row>
    <row r="750" spans="1:17" ht="15.75" customHeight="1">
      <c r="A750" s="7" t="s">
        <v>1041</v>
      </c>
      <c r="B750" s="7" t="s">
        <v>164</v>
      </c>
      <c r="C750" s="7" t="s">
        <v>278</v>
      </c>
      <c r="D750" s="7" t="s">
        <v>165</v>
      </c>
      <c r="E750" s="7" t="s">
        <v>348</v>
      </c>
      <c r="F750" s="8" t="str">
        <f>_xlfn.IFNA(INDEX('HS Codes'!$D$2:$K3304,MATCH($B750,'HS Codes'!$A$2:$A3304,0),MATCH(F$1,'HS Codes'!$D$1:$K$1,0)),"")</f>
        <v>6302.93.2000</v>
      </c>
      <c r="G750" s="8">
        <f>_xlfn.IFNA(INDEX('HS Codes'!$D$2:$K3304,MATCH($B750,'HS Codes'!$A$2:$A3304,0),MATCH(G$1,'HS Codes'!$D$1:$K$1,0)),"")</f>
        <v>6302600090</v>
      </c>
      <c r="H750" s="8" t="str">
        <f>_xlfn.IFNA(INDEX('HS Codes'!$D$2:$K3304,MATCH($B750,'HS Codes'!$A$2:$A3304,0),MATCH(H$1,'HS Codes'!$D$1:$K$1,0)),"")</f>
        <v>6302.93.00.00</v>
      </c>
      <c r="I750" s="8">
        <f>_xlfn.IFNA(INDEX('HS Codes'!$D$2:$K3304,MATCH($B750,'HS Codes'!$A$2:$A3304,0),MATCH(I$1,'HS Codes'!$D$1:$K$1,0)),"")</f>
        <v>63029390</v>
      </c>
      <c r="J750" s="8">
        <f>_xlfn.IFNA(INDEX('HS Codes'!$D$2:$K3304,MATCH($B750,'HS Codes'!$A$2:$A3304,0),MATCH(J$1,'HS Codes'!$D$1:$K$1,0)),"")</f>
        <v>0</v>
      </c>
      <c r="K750" s="8" t="str">
        <f>_xlfn.IFNA(INDEX('HS Codes'!$D$2:$K3304,MATCH($B750,'HS Codes'!$A$2:$A3304,0),MATCH(K$1,'HS Codes'!$D$1:$K$1,0)),"")</f>
        <v>6302.39.00</v>
      </c>
      <c r="L750" s="8">
        <f>_xlfn.IFNA(INDEX('HS Codes'!$D$2:$K3304,MATCH($B750,'HS Codes'!$A$2:$A3304,0),MATCH(L$1,'HS Codes'!$D$1:$K$1,0)),"")</f>
        <v>63029120</v>
      </c>
      <c r="M750" s="8" t="str">
        <f>_xlfn.IFNA(INDEX('HS Codes'!$C$2:$C3304,MATCH($B750,'HS Codes'!$A$2:$A3304,0)),"")</f>
        <v>Beach Towel - Toilet Linen 100% recycled 220 GSM/83% polyester/17% polyamide includes cotton on the packing pouch drawstring</v>
      </c>
      <c r="N750" s="9"/>
      <c r="O750" s="9"/>
      <c r="P750" s="9"/>
      <c r="Q750" s="9"/>
    </row>
    <row r="751" spans="1:17" ht="15.75" customHeight="1">
      <c r="A751" s="7" t="s">
        <v>1042</v>
      </c>
      <c r="B751" s="7" t="s">
        <v>164</v>
      </c>
      <c r="C751" s="7" t="s">
        <v>278</v>
      </c>
      <c r="D751" s="7" t="s">
        <v>165</v>
      </c>
      <c r="E751" s="7" t="s">
        <v>348</v>
      </c>
      <c r="F751" s="8" t="str">
        <f>_xlfn.IFNA(INDEX('HS Codes'!$D$2:$K3305,MATCH($B751,'HS Codes'!$A$2:$A3305,0),MATCH(F$1,'HS Codes'!$D$1:$K$1,0)),"")</f>
        <v>6302.93.2000</v>
      </c>
      <c r="G751" s="8">
        <f>_xlfn.IFNA(INDEX('HS Codes'!$D$2:$K3305,MATCH($B751,'HS Codes'!$A$2:$A3305,0),MATCH(G$1,'HS Codes'!$D$1:$K$1,0)),"")</f>
        <v>6302600090</v>
      </c>
      <c r="H751" s="8" t="str">
        <f>_xlfn.IFNA(INDEX('HS Codes'!$D$2:$K3305,MATCH($B751,'HS Codes'!$A$2:$A3305,0),MATCH(H$1,'HS Codes'!$D$1:$K$1,0)),"")</f>
        <v>6302.93.00.00</v>
      </c>
      <c r="I751" s="8">
        <f>_xlfn.IFNA(INDEX('HS Codes'!$D$2:$K3305,MATCH($B751,'HS Codes'!$A$2:$A3305,0),MATCH(I$1,'HS Codes'!$D$1:$K$1,0)),"")</f>
        <v>63029390</v>
      </c>
      <c r="J751" s="8">
        <f>_xlfn.IFNA(INDEX('HS Codes'!$D$2:$K3305,MATCH($B751,'HS Codes'!$A$2:$A3305,0),MATCH(J$1,'HS Codes'!$D$1:$K$1,0)),"")</f>
        <v>0</v>
      </c>
      <c r="K751" s="8" t="str">
        <f>_xlfn.IFNA(INDEX('HS Codes'!$D$2:$K3305,MATCH($B751,'HS Codes'!$A$2:$A3305,0),MATCH(K$1,'HS Codes'!$D$1:$K$1,0)),"")</f>
        <v>6302.39.00</v>
      </c>
      <c r="L751" s="8">
        <f>_xlfn.IFNA(INDEX('HS Codes'!$D$2:$K3305,MATCH($B751,'HS Codes'!$A$2:$A3305,0),MATCH(L$1,'HS Codes'!$D$1:$K$1,0)),"")</f>
        <v>63029120</v>
      </c>
      <c r="M751" s="8" t="str">
        <f>_xlfn.IFNA(INDEX('HS Codes'!$C$2:$C3305,MATCH($B751,'HS Codes'!$A$2:$A3305,0)),"")</f>
        <v>Beach Towel - Toilet Linen 100% recycled 220 GSM/83% polyester/17% polyamide includes cotton on the packing pouch drawstring</v>
      </c>
      <c r="N751" s="9"/>
      <c r="O751" s="9"/>
      <c r="P751" s="9"/>
      <c r="Q751" s="9"/>
    </row>
    <row r="752" spans="1:17" ht="15.75" customHeight="1">
      <c r="A752" s="7" t="s">
        <v>1043</v>
      </c>
      <c r="B752" s="7" t="s">
        <v>164</v>
      </c>
      <c r="C752" s="7" t="s">
        <v>278</v>
      </c>
      <c r="D752" s="7" t="s">
        <v>165</v>
      </c>
      <c r="E752" s="7" t="s">
        <v>348</v>
      </c>
      <c r="F752" s="8" t="str">
        <f>_xlfn.IFNA(INDEX('HS Codes'!$D$2:$K3306,MATCH($B752,'HS Codes'!$A$2:$A3306,0),MATCH(F$1,'HS Codes'!$D$1:$K$1,0)),"")</f>
        <v>6302.93.2000</v>
      </c>
      <c r="G752" s="8">
        <f>_xlfn.IFNA(INDEX('HS Codes'!$D$2:$K3306,MATCH($B752,'HS Codes'!$A$2:$A3306,0),MATCH(G$1,'HS Codes'!$D$1:$K$1,0)),"")</f>
        <v>6302600090</v>
      </c>
      <c r="H752" s="8" t="str">
        <f>_xlfn.IFNA(INDEX('HS Codes'!$D$2:$K3306,MATCH($B752,'HS Codes'!$A$2:$A3306,0),MATCH(H$1,'HS Codes'!$D$1:$K$1,0)),"")</f>
        <v>6302.93.00.00</v>
      </c>
      <c r="I752" s="8">
        <f>_xlfn.IFNA(INDEX('HS Codes'!$D$2:$K3306,MATCH($B752,'HS Codes'!$A$2:$A3306,0),MATCH(I$1,'HS Codes'!$D$1:$K$1,0)),"")</f>
        <v>63029390</v>
      </c>
      <c r="J752" s="8">
        <f>_xlfn.IFNA(INDEX('HS Codes'!$D$2:$K3306,MATCH($B752,'HS Codes'!$A$2:$A3306,0),MATCH(J$1,'HS Codes'!$D$1:$K$1,0)),"")</f>
        <v>0</v>
      </c>
      <c r="K752" s="8" t="str">
        <f>_xlfn.IFNA(INDEX('HS Codes'!$D$2:$K3306,MATCH($B752,'HS Codes'!$A$2:$A3306,0),MATCH(K$1,'HS Codes'!$D$1:$K$1,0)),"")</f>
        <v>6302.39.00</v>
      </c>
      <c r="L752" s="8">
        <f>_xlfn.IFNA(INDEX('HS Codes'!$D$2:$K3306,MATCH($B752,'HS Codes'!$A$2:$A3306,0),MATCH(L$1,'HS Codes'!$D$1:$K$1,0)),"")</f>
        <v>63029120</v>
      </c>
      <c r="M752" s="8" t="str">
        <f>_xlfn.IFNA(INDEX('HS Codes'!$C$2:$C3306,MATCH($B752,'HS Codes'!$A$2:$A3306,0)),"")</f>
        <v>Beach Towel - Toilet Linen 100% recycled 220 GSM/83% polyester/17% polyamide includes cotton on the packing pouch drawstring</v>
      </c>
      <c r="N752" s="9"/>
      <c r="O752" s="9"/>
      <c r="P752" s="9"/>
      <c r="Q752" s="9"/>
    </row>
    <row r="753" spans="1:17" ht="15.75" customHeight="1">
      <c r="A753" s="7" t="s">
        <v>1044</v>
      </c>
      <c r="B753" s="7" t="s">
        <v>150</v>
      </c>
      <c r="C753" s="7"/>
      <c r="D753" s="7" t="s">
        <v>151</v>
      </c>
      <c r="E753" s="7" t="s">
        <v>151</v>
      </c>
      <c r="F753" s="8" t="str">
        <f>_xlfn.IFNA(INDEX('HS Codes'!$D$2:$K3307,MATCH($B753,'HS Codes'!$A$2:$A3307,0),MATCH(F$1,'HS Codes'!$D$1:$K$1,0)),"")</f>
        <v>6208.92.0010</v>
      </c>
      <c r="G753" s="8">
        <f>_xlfn.IFNA(INDEX('HS Codes'!$D$2:$K3307,MATCH($B753,'HS Codes'!$A$2:$A3307,0),MATCH(G$1,'HS Codes'!$D$1:$K$1,0)),"")</f>
        <v>6208110000</v>
      </c>
      <c r="H753" s="8" t="str">
        <f>_xlfn.IFNA(INDEX('HS Codes'!$D$2:$K3307,MATCH($B753,'HS Codes'!$A$2:$A3307,0),MATCH(H$1,'HS Codes'!$D$1:$K$1,0)),"")</f>
        <v>6208.92.00.00</v>
      </c>
      <c r="I753" s="8">
        <f>_xlfn.IFNA(INDEX('HS Codes'!$D$2:$K3307,MATCH($B753,'HS Codes'!$A$2:$A3307,0),MATCH(I$1,'HS Codes'!$D$1:$K$1,0)),"")</f>
        <v>6208990099</v>
      </c>
      <c r="J753" s="8">
        <f>_xlfn.IFNA(INDEX('HS Codes'!$D$2:$K3307,MATCH($B753,'HS Codes'!$A$2:$A3307,0),MATCH(J$1,'HS Codes'!$D$1:$K$1,0)),"")</f>
        <v>0</v>
      </c>
      <c r="K753" s="8" t="str">
        <f>_xlfn.IFNA(INDEX('HS Codes'!$D$2:$K3307,MATCH($B753,'HS Codes'!$A$2:$A3307,0),MATCH(K$1,'HS Codes'!$D$1:$K$1,0)),"")</f>
        <v>6208.11.00</v>
      </c>
      <c r="L753" s="8">
        <f>_xlfn.IFNA(INDEX('HS Codes'!$D$2:$K3307,MATCH($B753,'HS Codes'!$A$2:$A3307,0),MATCH(L$1,'HS Codes'!$D$1:$K$1,0)),"")</f>
        <v>62089200</v>
      </c>
      <c r="M753" s="8" t="str">
        <f>_xlfn.IFNA(INDEX('HS Codes'!$C$2:$C3307,MATCH($B753,'HS Codes'!$A$2:$A3307,0)),"")</f>
        <v>Bathrobe 100% recycled 220 GSM/83% polyester/17% polyamide includes cotton on the packing pouch drawstring</v>
      </c>
      <c r="N753" s="9"/>
      <c r="O753" s="9"/>
      <c r="P753" s="9"/>
      <c r="Q753" s="9"/>
    </row>
    <row r="754" spans="1:17" ht="15.75" customHeight="1">
      <c r="A754" s="7" t="s">
        <v>1045</v>
      </c>
      <c r="B754" s="7" t="s">
        <v>164</v>
      </c>
      <c r="C754" s="7" t="s">
        <v>278</v>
      </c>
      <c r="D754" s="7" t="s">
        <v>165</v>
      </c>
      <c r="E754" s="7" t="s">
        <v>348</v>
      </c>
      <c r="F754" s="8" t="str">
        <f>_xlfn.IFNA(INDEX('HS Codes'!$D$2:$K3308,MATCH($B754,'HS Codes'!$A$2:$A3308,0),MATCH(F$1,'HS Codes'!$D$1:$K$1,0)),"")</f>
        <v>6302.93.2000</v>
      </c>
      <c r="G754" s="8">
        <f>_xlfn.IFNA(INDEX('HS Codes'!$D$2:$K3308,MATCH($B754,'HS Codes'!$A$2:$A3308,0),MATCH(G$1,'HS Codes'!$D$1:$K$1,0)),"")</f>
        <v>6302600090</v>
      </c>
      <c r="H754" s="8" t="str">
        <f>_xlfn.IFNA(INDEX('HS Codes'!$D$2:$K3308,MATCH($B754,'HS Codes'!$A$2:$A3308,0),MATCH(H$1,'HS Codes'!$D$1:$K$1,0)),"")</f>
        <v>6302.93.00.00</v>
      </c>
      <c r="I754" s="8">
        <f>_xlfn.IFNA(INDEX('HS Codes'!$D$2:$K3308,MATCH($B754,'HS Codes'!$A$2:$A3308,0),MATCH(I$1,'HS Codes'!$D$1:$K$1,0)),"")</f>
        <v>63029390</v>
      </c>
      <c r="J754" s="8">
        <f>_xlfn.IFNA(INDEX('HS Codes'!$D$2:$K3308,MATCH($B754,'HS Codes'!$A$2:$A3308,0),MATCH(J$1,'HS Codes'!$D$1:$K$1,0)),"")</f>
        <v>0</v>
      </c>
      <c r="K754" s="8" t="str">
        <f>_xlfn.IFNA(INDEX('HS Codes'!$D$2:$K3308,MATCH($B754,'HS Codes'!$A$2:$A3308,0),MATCH(K$1,'HS Codes'!$D$1:$K$1,0)),"")</f>
        <v>6302.39.00</v>
      </c>
      <c r="L754" s="8">
        <f>_xlfn.IFNA(INDEX('HS Codes'!$D$2:$K3308,MATCH($B754,'HS Codes'!$A$2:$A3308,0),MATCH(L$1,'HS Codes'!$D$1:$K$1,0)),"")</f>
        <v>63029120</v>
      </c>
      <c r="M754" s="8" t="str">
        <f>_xlfn.IFNA(INDEX('HS Codes'!$C$2:$C3308,MATCH($B754,'HS Codes'!$A$2:$A3308,0)),"")</f>
        <v>Beach Towel - Toilet Linen 100% recycled 220 GSM/83% polyester/17% polyamide includes cotton on the packing pouch drawstring</v>
      </c>
      <c r="N754" s="9"/>
      <c r="O754" s="9"/>
      <c r="P754" s="9"/>
      <c r="Q754" s="9"/>
    </row>
    <row r="755" spans="1:17" ht="15.75" customHeight="1">
      <c r="A755" s="7" t="s">
        <v>1046</v>
      </c>
      <c r="B755" s="7" t="s">
        <v>164</v>
      </c>
      <c r="C755" s="7" t="s">
        <v>278</v>
      </c>
      <c r="D755" s="7" t="s">
        <v>165</v>
      </c>
      <c r="E755" s="7" t="s">
        <v>348</v>
      </c>
      <c r="F755" s="8" t="str">
        <f>_xlfn.IFNA(INDEX('HS Codes'!$D$2:$K3309,MATCH($B755,'HS Codes'!$A$2:$A3309,0),MATCH(F$1,'HS Codes'!$D$1:$K$1,0)),"")</f>
        <v>6302.93.2000</v>
      </c>
      <c r="G755" s="8">
        <f>_xlfn.IFNA(INDEX('HS Codes'!$D$2:$K3309,MATCH($B755,'HS Codes'!$A$2:$A3309,0),MATCH(G$1,'HS Codes'!$D$1:$K$1,0)),"")</f>
        <v>6302600090</v>
      </c>
      <c r="H755" s="8" t="str">
        <f>_xlfn.IFNA(INDEX('HS Codes'!$D$2:$K3309,MATCH($B755,'HS Codes'!$A$2:$A3309,0),MATCH(H$1,'HS Codes'!$D$1:$K$1,0)),"")</f>
        <v>6302.93.00.00</v>
      </c>
      <c r="I755" s="8">
        <f>_xlfn.IFNA(INDEX('HS Codes'!$D$2:$K3309,MATCH($B755,'HS Codes'!$A$2:$A3309,0),MATCH(I$1,'HS Codes'!$D$1:$K$1,0)),"")</f>
        <v>63029390</v>
      </c>
      <c r="J755" s="8">
        <f>_xlfn.IFNA(INDEX('HS Codes'!$D$2:$K3309,MATCH($B755,'HS Codes'!$A$2:$A3309,0),MATCH(J$1,'HS Codes'!$D$1:$K$1,0)),"")</f>
        <v>0</v>
      </c>
      <c r="K755" s="8" t="str">
        <f>_xlfn.IFNA(INDEX('HS Codes'!$D$2:$K3309,MATCH($B755,'HS Codes'!$A$2:$A3309,0),MATCH(K$1,'HS Codes'!$D$1:$K$1,0)),"")</f>
        <v>6302.39.00</v>
      </c>
      <c r="L755" s="8">
        <f>_xlfn.IFNA(INDEX('HS Codes'!$D$2:$K3309,MATCH($B755,'HS Codes'!$A$2:$A3309,0),MATCH(L$1,'HS Codes'!$D$1:$K$1,0)),"")</f>
        <v>63029120</v>
      </c>
      <c r="M755" s="8" t="str">
        <f>_xlfn.IFNA(INDEX('HS Codes'!$C$2:$C3309,MATCH($B755,'HS Codes'!$A$2:$A3309,0)),"")</f>
        <v>Beach Towel - Toilet Linen 100% recycled 220 GSM/83% polyester/17% polyamide includes cotton on the packing pouch drawstring</v>
      </c>
      <c r="N755" s="9"/>
      <c r="O755" s="9"/>
      <c r="P755" s="9"/>
      <c r="Q755" s="9"/>
    </row>
    <row r="756" spans="1:17" ht="15.75" customHeight="1">
      <c r="A756" s="7" t="s">
        <v>1047</v>
      </c>
      <c r="B756" s="7" t="s">
        <v>164</v>
      </c>
      <c r="C756" s="7" t="s">
        <v>278</v>
      </c>
      <c r="D756" s="7" t="s">
        <v>165</v>
      </c>
      <c r="E756" s="7" t="s">
        <v>348</v>
      </c>
      <c r="F756" s="8" t="str">
        <f>_xlfn.IFNA(INDEX('HS Codes'!$D$2:$K3310,MATCH($B756,'HS Codes'!$A$2:$A3310,0),MATCH(F$1,'HS Codes'!$D$1:$K$1,0)),"")</f>
        <v>6302.93.2000</v>
      </c>
      <c r="G756" s="8">
        <f>_xlfn.IFNA(INDEX('HS Codes'!$D$2:$K3310,MATCH($B756,'HS Codes'!$A$2:$A3310,0),MATCH(G$1,'HS Codes'!$D$1:$K$1,0)),"")</f>
        <v>6302600090</v>
      </c>
      <c r="H756" s="8" t="str">
        <f>_xlfn.IFNA(INDEX('HS Codes'!$D$2:$K3310,MATCH($B756,'HS Codes'!$A$2:$A3310,0),MATCH(H$1,'HS Codes'!$D$1:$K$1,0)),"")</f>
        <v>6302.93.00.00</v>
      </c>
      <c r="I756" s="8">
        <f>_xlfn.IFNA(INDEX('HS Codes'!$D$2:$K3310,MATCH($B756,'HS Codes'!$A$2:$A3310,0),MATCH(I$1,'HS Codes'!$D$1:$K$1,0)),"")</f>
        <v>63029390</v>
      </c>
      <c r="J756" s="8">
        <f>_xlfn.IFNA(INDEX('HS Codes'!$D$2:$K3310,MATCH($B756,'HS Codes'!$A$2:$A3310,0),MATCH(J$1,'HS Codes'!$D$1:$K$1,0)),"")</f>
        <v>0</v>
      </c>
      <c r="K756" s="8" t="str">
        <f>_xlfn.IFNA(INDEX('HS Codes'!$D$2:$K3310,MATCH($B756,'HS Codes'!$A$2:$A3310,0),MATCH(K$1,'HS Codes'!$D$1:$K$1,0)),"")</f>
        <v>6302.39.00</v>
      </c>
      <c r="L756" s="8">
        <f>_xlfn.IFNA(INDEX('HS Codes'!$D$2:$K3310,MATCH($B756,'HS Codes'!$A$2:$A3310,0),MATCH(L$1,'HS Codes'!$D$1:$K$1,0)),"")</f>
        <v>63029120</v>
      </c>
      <c r="M756" s="8" t="str">
        <f>_xlfn.IFNA(INDEX('HS Codes'!$C$2:$C3310,MATCH($B756,'HS Codes'!$A$2:$A3310,0)),"")</f>
        <v>Beach Towel - Toilet Linen 100% recycled 220 GSM/83% polyester/17% polyamide includes cotton on the packing pouch drawstring</v>
      </c>
      <c r="N756" s="9"/>
      <c r="O756" s="9"/>
      <c r="P756" s="9"/>
      <c r="Q756" s="9"/>
    </row>
    <row r="757" spans="1:17" ht="15.75" customHeight="1">
      <c r="A757" s="7" t="s">
        <v>1048</v>
      </c>
      <c r="B757" s="7" t="s">
        <v>156</v>
      </c>
      <c r="C757" s="7"/>
      <c r="D757" s="7" t="s">
        <v>157</v>
      </c>
      <c r="E757" s="7" t="s">
        <v>1049</v>
      </c>
      <c r="F757" s="8" t="str">
        <f>_xlfn.IFNA(INDEX('HS Codes'!$D$2:$K3311,MATCH($B757,'HS Codes'!$A$2:$A3311,0),MATCH(F$1,'HS Codes'!$D$1:$K$1,0)),"")</f>
        <v>6112.31.00.10</v>
      </c>
      <c r="G757" s="8">
        <f>_xlfn.IFNA(INDEX('HS Codes'!$D$2:$K3311,MATCH($B757,'HS Codes'!$A$2:$A3311,0),MATCH(G$1,'HS Codes'!$D$1:$K$1,0)),"")</f>
        <v>6112311000</v>
      </c>
      <c r="H757" s="8">
        <f>_xlfn.IFNA(INDEX('HS Codes'!$D$2:$K3311,MATCH($B757,'HS Codes'!$A$2:$A3311,0),MATCH(H$1,'HS Codes'!$D$1:$K$1,0)),"")</f>
        <v>6112311000</v>
      </c>
      <c r="I757" s="8">
        <f>_xlfn.IFNA(INDEX('HS Codes'!$D$2:$K3311,MATCH($B757,'HS Codes'!$A$2:$A3311,0),MATCH(I$1,'HS Codes'!$D$1:$K$1,0)),"")</f>
        <v>61123110</v>
      </c>
      <c r="J757" s="8">
        <f>_xlfn.IFNA(INDEX('HS Codes'!$D$2:$K3311,MATCH($B757,'HS Codes'!$A$2:$A3311,0),MATCH(J$1,'HS Codes'!$D$1:$K$1,0)),"")</f>
        <v>0</v>
      </c>
      <c r="K757" s="8" t="str">
        <f>_xlfn.IFNA(INDEX('HS Codes'!$D$2:$K3311,MATCH($B757,'HS Codes'!$A$2:$A3311,0),MATCH(K$1,'HS Codes'!$D$1:$K$1,0)),"")</f>
        <v>6112.39.00</v>
      </c>
      <c r="L757" s="8">
        <f>_xlfn.IFNA(INDEX('HS Codes'!$D$2:$K3311,MATCH($B757,'HS Codes'!$A$2:$A3311,0),MATCH(L$1,'HS Codes'!$D$1:$K$1,0)),"")</f>
        <v>61123100</v>
      </c>
      <c r="M757" s="8">
        <f>_xlfn.IFNA(INDEX('HS Codes'!$C$2:$C3311,MATCH($B757,'HS Codes'!$A$2:$A3311,0)),"")</f>
        <v>0</v>
      </c>
      <c r="N757" s="9"/>
      <c r="O757" s="9"/>
      <c r="P757" s="9"/>
      <c r="Q757" s="9"/>
    </row>
    <row r="758" spans="1:17" ht="15.75" customHeight="1">
      <c r="A758" s="7" t="s">
        <v>1050</v>
      </c>
      <c r="B758" s="7" t="s">
        <v>156</v>
      </c>
      <c r="C758" s="7"/>
      <c r="D758" s="7" t="s">
        <v>157</v>
      </c>
      <c r="E758" s="7" t="s">
        <v>1049</v>
      </c>
      <c r="F758" s="8" t="str">
        <f>_xlfn.IFNA(INDEX('HS Codes'!$D$2:$K3312,MATCH($B758,'HS Codes'!$A$2:$A3312,0),MATCH(F$1,'HS Codes'!$D$1:$K$1,0)),"")</f>
        <v>6112.31.00.10</v>
      </c>
      <c r="G758" s="8">
        <f>_xlfn.IFNA(INDEX('HS Codes'!$D$2:$K3312,MATCH($B758,'HS Codes'!$A$2:$A3312,0),MATCH(G$1,'HS Codes'!$D$1:$K$1,0)),"")</f>
        <v>6112311000</v>
      </c>
      <c r="H758" s="8">
        <f>_xlfn.IFNA(INDEX('HS Codes'!$D$2:$K3312,MATCH($B758,'HS Codes'!$A$2:$A3312,0),MATCH(H$1,'HS Codes'!$D$1:$K$1,0)),"")</f>
        <v>6112311000</v>
      </c>
      <c r="I758" s="8">
        <f>_xlfn.IFNA(INDEX('HS Codes'!$D$2:$K3312,MATCH($B758,'HS Codes'!$A$2:$A3312,0),MATCH(I$1,'HS Codes'!$D$1:$K$1,0)),"")</f>
        <v>61123110</v>
      </c>
      <c r="J758" s="8">
        <f>_xlfn.IFNA(INDEX('HS Codes'!$D$2:$K3312,MATCH($B758,'HS Codes'!$A$2:$A3312,0),MATCH(J$1,'HS Codes'!$D$1:$K$1,0)),"")</f>
        <v>0</v>
      </c>
      <c r="K758" s="8" t="str">
        <f>_xlfn.IFNA(INDEX('HS Codes'!$D$2:$K3312,MATCH($B758,'HS Codes'!$A$2:$A3312,0),MATCH(K$1,'HS Codes'!$D$1:$K$1,0)),"")</f>
        <v>6112.39.00</v>
      </c>
      <c r="L758" s="8">
        <f>_xlfn.IFNA(INDEX('HS Codes'!$D$2:$K3312,MATCH($B758,'HS Codes'!$A$2:$A3312,0),MATCH(L$1,'HS Codes'!$D$1:$K$1,0)),"")</f>
        <v>61123100</v>
      </c>
      <c r="M758" s="8">
        <f>_xlfn.IFNA(INDEX('HS Codes'!$C$2:$C3312,MATCH($B758,'HS Codes'!$A$2:$A3312,0)),"")</f>
        <v>0</v>
      </c>
      <c r="N758" s="9"/>
      <c r="O758" s="9"/>
      <c r="P758" s="9"/>
      <c r="Q758" s="9"/>
    </row>
    <row r="759" spans="1:17" ht="15.75" customHeight="1">
      <c r="A759" s="7" t="s">
        <v>1051</v>
      </c>
      <c r="B759" s="7" t="s">
        <v>156</v>
      </c>
      <c r="C759" s="7"/>
      <c r="D759" s="7" t="s">
        <v>157</v>
      </c>
      <c r="E759" s="7" t="s">
        <v>1049</v>
      </c>
      <c r="F759" s="8" t="str">
        <f>_xlfn.IFNA(INDEX('HS Codes'!$D$2:$K3313,MATCH($B759,'HS Codes'!$A$2:$A3313,0),MATCH(F$1,'HS Codes'!$D$1:$K$1,0)),"")</f>
        <v>6112.31.00.10</v>
      </c>
      <c r="G759" s="8">
        <f>_xlfn.IFNA(INDEX('HS Codes'!$D$2:$K3313,MATCH($B759,'HS Codes'!$A$2:$A3313,0),MATCH(G$1,'HS Codes'!$D$1:$K$1,0)),"")</f>
        <v>6112311000</v>
      </c>
      <c r="H759" s="8">
        <f>_xlfn.IFNA(INDEX('HS Codes'!$D$2:$K3313,MATCH($B759,'HS Codes'!$A$2:$A3313,0),MATCH(H$1,'HS Codes'!$D$1:$K$1,0)),"")</f>
        <v>6112311000</v>
      </c>
      <c r="I759" s="8">
        <f>_xlfn.IFNA(INDEX('HS Codes'!$D$2:$K3313,MATCH($B759,'HS Codes'!$A$2:$A3313,0),MATCH(I$1,'HS Codes'!$D$1:$K$1,0)),"")</f>
        <v>61123110</v>
      </c>
      <c r="J759" s="8">
        <f>_xlfn.IFNA(INDEX('HS Codes'!$D$2:$K3313,MATCH($B759,'HS Codes'!$A$2:$A3313,0),MATCH(J$1,'HS Codes'!$D$1:$K$1,0)),"")</f>
        <v>0</v>
      </c>
      <c r="K759" s="8" t="str">
        <f>_xlfn.IFNA(INDEX('HS Codes'!$D$2:$K3313,MATCH($B759,'HS Codes'!$A$2:$A3313,0),MATCH(K$1,'HS Codes'!$D$1:$K$1,0)),"")</f>
        <v>6112.39.00</v>
      </c>
      <c r="L759" s="8">
        <f>_xlfn.IFNA(INDEX('HS Codes'!$D$2:$K3313,MATCH($B759,'HS Codes'!$A$2:$A3313,0),MATCH(L$1,'HS Codes'!$D$1:$K$1,0)),"")</f>
        <v>61123100</v>
      </c>
      <c r="M759" s="8">
        <f>_xlfn.IFNA(INDEX('HS Codes'!$C$2:$C3313,MATCH($B759,'HS Codes'!$A$2:$A3313,0)),"")</f>
        <v>0</v>
      </c>
      <c r="N759" s="9"/>
      <c r="O759" s="9"/>
      <c r="P759" s="9"/>
      <c r="Q759" s="9"/>
    </row>
    <row r="760" spans="1:17" ht="15.75" customHeight="1">
      <c r="A760" s="7" t="s">
        <v>1052</v>
      </c>
      <c r="B760" s="7" t="s">
        <v>156</v>
      </c>
      <c r="C760" s="7"/>
      <c r="D760" s="7" t="s">
        <v>157</v>
      </c>
      <c r="E760" s="7" t="s">
        <v>1049</v>
      </c>
      <c r="F760" s="8" t="str">
        <f>_xlfn.IFNA(INDEX('HS Codes'!$D$2:$K3314,MATCH($B760,'HS Codes'!$A$2:$A3314,0),MATCH(F$1,'HS Codes'!$D$1:$K$1,0)),"")</f>
        <v>6112.31.00.10</v>
      </c>
      <c r="G760" s="8">
        <f>_xlfn.IFNA(INDEX('HS Codes'!$D$2:$K3314,MATCH($B760,'HS Codes'!$A$2:$A3314,0),MATCH(G$1,'HS Codes'!$D$1:$K$1,0)),"")</f>
        <v>6112311000</v>
      </c>
      <c r="H760" s="8">
        <f>_xlfn.IFNA(INDEX('HS Codes'!$D$2:$K3314,MATCH($B760,'HS Codes'!$A$2:$A3314,0),MATCH(H$1,'HS Codes'!$D$1:$K$1,0)),"")</f>
        <v>6112311000</v>
      </c>
      <c r="I760" s="8">
        <f>_xlfn.IFNA(INDEX('HS Codes'!$D$2:$K3314,MATCH($B760,'HS Codes'!$A$2:$A3314,0),MATCH(I$1,'HS Codes'!$D$1:$K$1,0)),"")</f>
        <v>61123110</v>
      </c>
      <c r="J760" s="8">
        <f>_xlfn.IFNA(INDEX('HS Codes'!$D$2:$K3314,MATCH($B760,'HS Codes'!$A$2:$A3314,0),MATCH(J$1,'HS Codes'!$D$1:$K$1,0)),"")</f>
        <v>0</v>
      </c>
      <c r="K760" s="8" t="str">
        <f>_xlfn.IFNA(INDEX('HS Codes'!$D$2:$K3314,MATCH($B760,'HS Codes'!$A$2:$A3314,0),MATCH(K$1,'HS Codes'!$D$1:$K$1,0)),"")</f>
        <v>6112.39.00</v>
      </c>
      <c r="L760" s="8">
        <f>_xlfn.IFNA(INDEX('HS Codes'!$D$2:$K3314,MATCH($B760,'HS Codes'!$A$2:$A3314,0),MATCH(L$1,'HS Codes'!$D$1:$K$1,0)),"")</f>
        <v>61123100</v>
      </c>
      <c r="M760" s="8">
        <f>_xlfn.IFNA(INDEX('HS Codes'!$C$2:$C3314,MATCH($B760,'HS Codes'!$A$2:$A3314,0)),"")</f>
        <v>0</v>
      </c>
      <c r="N760" s="9"/>
      <c r="O760" s="9"/>
      <c r="P760" s="9"/>
      <c r="Q760" s="9"/>
    </row>
    <row r="761" spans="1:17" ht="15.75" customHeight="1">
      <c r="A761" s="7" t="s">
        <v>1053</v>
      </c>
      <c r="B761" s="7" t="s">
        <v>156</v>
      </c>
      <c r="C761" s="7"/>
      <c r="D761" s="7" t="s">
        <v>157</v>
      </c>
      <c r="E761" s="7" t="s">
        <v>1049</v>
      </c>
      <c r="F761" s="8" t="str">
        <f>_xlfn.IFNA(INDEX('HS Codes'!$D$2:$K3315,MATCH($B761,'HS Codes'!$A$2:$A3315,0),MATCH(F$1,'HS Codes'!$D$1:$K$1,0)),"")</f>
        <v>6112.31.00.10</v>
      </c>
      <c r="G761" s="8">
        <f>_xlfn.IFNA(INDEX('HS Codes'!$D$2:$K3315,MATCH($B761,'HS Codes'!$A$2:$A3315,0),MATCH(G$1,'HS Codes'!$D$1:$K$1,0)),"")</f>
        <v>6112311000</v>
      </c>
      <c r="H761" s="8">
        <f>_xlfn.IFNA(INDEX('HS Codes'!$D$2:$K3315,MATCH($B761,'HS Codes'!$A$2:$A3315,0),MATCH(H$1,'HS Codes'!$D$1:$K$1,0)),"")</f>
        <v>6112311000</v>
      </c>
      <c r="I761" s="8">
        <f>_xlfn.IFNA(INDEX('HS Codes'!$D$2:$K3315,MATCH($B761,'HS Codes'!$A$2:$A3315,0),MATCH(I$1,'HS Codes'!$D$1:$K$1,0)),"")</f>
        <v>61123110</v>
      </c>
      <c r="J761" s="8">
        <f>_xlfn.IFNA(INDEX('HS Codes'!$D$2:$K3315,MATCH($B761,'HS Codes'!$A$2:$A3315,0),MATCH(J$1,'HS Codes'!$D$1:$K$1,0)),"")</f>
        <v>0</v>
      </c>
      <c r="K761" s="8" t="str">
        <f>_xlfn.IFNA(INDEX('HS Codes'!$D$2:$K3315,MATCH($B761,'HS Codes'!$A$2:$A3315,0),MATCH(K$1,'HS Codes'!$D$1:$K$1,0)),"")</f>
        <v>6112.39.00</v>
      </c>
      <c r="L761" s="8">
        <f>_xlfn.IFNA(INDEX('HS Codes'!$D$2:$K3315,MATCH($B761,'HS Codes'!$A$2:$A3315,0),MATCH(L$1,'HS Codes'!$D$1:$K$1,0)),"")</f>
        <v>61123100</v>
      </c>
      <c r="M761" s="8">
        <f>_xlfn.IFNA(INDEX('HS Codes'!$C$2:$C3315,MATCH($B761,'HS Codes'!$A$2:$A3315,0)),"")</f>
        <v>0</v>
      </c>
      <c r="N761" s="9"/>
      <c r="O761" s="9"/>
      <c r="P761" s="9"/>
      <c r="Q761" s="9"/>
    </row>
    <row r="762" spans="1:17" ht="15.75" customHeight="1">
      <c r="A762" s="7" t="s">
        <v>1054</v>
      </c>
      <c r="B762" s="7" t="s">
        <v>156</v>
      </c>
      <c r="C762" s="7"/>
      <c r="D762" s="7" t="s">
        <v>157</v>
      </c>
      <c r="E762" s="7" t="s">
        <v>1049</v>
      </c>
      <c r="F762" s="8" t="str">
        <f>_xlfn.IFNA(INDEX('HS Codes'!$D$2:$K3316,MATCH($B762,'HS Codes'!$A$2:$A3316,0),MATCH(F$1,'HS Codes'!$D$1:$K$1,0)),"")</f>
        <v>6112.31.00.10</v>
      </c>
      <c r="G762" s="8">
        <f>_xlfn.IFNA(INDEX('HS Codes'!$D$2:$K3316,MATCH($B762,'HS Codes'!$A$2:$A3316,0),MATCH(G$1,'HS Codes'!$D$1:$K$1,0)),"")</f>
        <v>6112311000</v>
      </c>
      <c r="H762" s="8">
        <f>_xlfn.IFNA(INDEX('HS Codes'!$D$2:$K3316,MATCH($B762,'HS Codes'!$A$2:$A3316,0),MATCH(H$1,'HS Codes'!$D$1:$K$1,0)),"")</f>
        <v>6112311000</v>
      </c>
      <c r="I762" s="8">
        <f>_xlfn.IFNA(INDEX('HS Codes'!$D$2:$K3316,MATCH($B762,'HS Codes'!$A$2:$A3316,0),MATCH(I$1,'HS Codes'!$D$1:$K$1,0)),"")</f>
        <v>61123110</v>
      </c>
      <c r="J762" s="8">
        <f>_xlfn.IFNA(INDEX('HS Codes'!$D$2:$K3316,MATCH($B762,'HS Codes'!$A$2:$A3316,0),MATCH(J$1,'HS Codes'!$D$1:$K$1,0)),"")</f>
        <v>0</v>
      </c>
      <c r="K762" s="8" t="str">
        <f>_xlfn.IFNA(INDEX('HS Codes'!$D$2:$K3316,MATCH($B762,'HS Codes'!$A$2:$A3316,0),MATCH(K$1,'HS Codes'!$D$1:$K$1,0)),"")</f>
        <v>6112.39.00</v>
      </c>
      <c r="L762" s="8">
        <f>_xlfn.IFNA(INDEX('HS Codes'!$D$2:$K3316,MATCH($B762,'HS Codes'!$A$2:$A3316,0),MATCH(L$1,'HS Codes'!$D$1:$K$1,0)),"")</f>
        <v>61123100</v>
      </c>
      <c r="M762" s="8">
        <f>_xlfn.IFNA(INDEX('HS Codes'!$C$2:$C3316,MATCH($B762,'HS Codes'!$A$2:$A3316,0)),"")</f>
        <v>0</v>
      </c>
      <c r="N762" s="9"/>
      <c r="O762" s="9"/>
      <c r="P762" s="9"/>
      <c r="Q762" s="9"/>
    </row>
    <row r="763" spans="1:17" ht="15.75" customHeight="1">
      <c r="A763" s="7" t="s">
        <v>1055</v>
      </c>
      <c r="B763" s="7" t="s">
        <v>156</v>
      </c>
      <c r="C763" s="7"/>
      <c r="D763" s="7" t="s">
        <v>157</v>
      </c>
      <c r="E763" s="7" t="s">
        <v>1049</v>
      </c>
      <c r="F763" s="8" t="str">
        <f>_xlfn.IFNA(INDEX('HS Codes'!$D$2:$K3317,MATCH($B763,'HS Codes'!$A$2:$A3317,0),MATCH(F$1,'HS Codes'!$D$1:$K$1,0)),"")</f>
        <v>6112.31.00.10</v>
      </c>
      <c r="G763" s="8">
        <f>_xlfn.IFNA(INDEX('HS Codes'!$D$2:$K3317,MATCH($B763,'HS Codes'!$A$2:$A3317,0),MATCH(G$1,'HS Codes'!$D$1:$K$1,0)),"")</f>
        <v>6112311000</v>
      </c>
      <c r="H763" s="8">
        <f>_xlfn.IFNA(INDEX('HS Codes'!$D$2:$K3317,MATCH($B763,'HS Codes'!$A$2:$A3317,0),MATCH(H$1,'HS Codes'!$D$1:$K$1,0)),"")</f>
        <v>6112311000</v>
      </c>
      <c r="I763" s="8">
        <f>_xlfn.IFNA(INDEX('HS Codes'!$D$2:$K3317,MATCH($B763,'HS Codes'!$A$2:$A3317,0),MATCH(I$1,'HS Codes'!$D$1:$K$1,0)),"")</f>
        <v>61123110</v>
      </c>
      <c r="J763" s="8">
        <f>_xlfn.IFNA(INDEX('HS Codes'!$D$2:$K3317,MATCH($B763,'HS Codes'!$A$2:$A3317,0),MATCH(J$1,'HS Codes'!$D$1:$K$1,0)),"")</f>
        <v>0</v>
      </c>
      <c r="K763" s="8" t="str">
        <f>_xlfn.IFNA(INDEX('HS Codes'!$D$2:$K3317,MATCH($B763,'HS Codes'!$A$2:$A3317,0),MATCH(K$1,'HS Codes'!$D$1:$K$1,0)),"")</f>
        <v>6112.39.00</v>
      </c>
      <c r="L763" s="8">
        <f>_xlfn.IFNA(INDEX('HS Codes'!$D$2:$K3317,MATCH($B763,'HS Codes'!$A$2:$A3317,0),MATCH(L$1,'HS Codes'!$D$1:$K$1,0)),"")</f>
        <v>61123100</v>
      </c>
      <c r="M763" s="8">
        <f>_xlfn.IFNA(INDEX('HS Codes'!$C$2:$C3317,MATCH($B763,'HS Codes'!$A$2:$A3317,0)),"")</f>
        <v>0</v>
      </c>
      <c r="N763" s="9"/>
      <c r="O763" s="9"/>
      <c r="P763" s="9"/>
      <c r="Q763" s="9"/>
    </row>
    <row r="764" spans="1:17" ht="15.75" customHeight="1">
      <c r="A764" s="7" t="s">
        <v>1056</v>
      </c>
      <c r="B764" s="7" t="s">
        <v>156</v>
      </c>
      <c r="C764" s="7"/>
      <c r="D764" s="7" t="s">
        <v>157</v>
      </c>
      <c r="E764" s="7" t="s">
        <v>1049</v>
      </c>
      <c r="F764" s="8" t="str">
        <f>_xlfn.IFNA(INDEX('HS Codes'!$D$2:$K3318,MATCH($B764,'HS Codes'!$A$2:$A3318,0),MATCH(F$1,'HS Codes'!$D$1:$K$1,0)),"")</f>
        <v>6112.31.00.10</v>
      </c>
      <c r="G764" s="8">
        <f>_xlfn.IFNA(INDEX('HS Codes'!$D$2:$K3318,MATCH($B764,'HS Codes'!$A$2:$A3318,0),MATCH(G$1,'HS Codes'!$D$1:$K$1,0)),"")</f>
        <v>6112311000</v>
      </c>
      <c r="H764" s="8">
        <f>_xlfn.IFNA(INDEX('HS Codes'!$D$2:$K3318,MATCH($B764,'HS Codes'!$A$2:$A3318,0),MATCH(H$1,'HS Codes'!$D$1:$K$1,0)),"")</f>
        <v>6112311000</v>
      </c>
      <c r="I764" s="8">
        <f>_xlfn.IFNA(INDEX('HS Codes'!$D$2:$K3318,MATCH($B764,'HS Codes'!$A$2:$A3318,0),MATCH(I$1,'HS Codes'!$D$1:$K$1,0)),"")</f>
        <v>61123110</v>
      </c>
      <c r="J764" s="8">
        <f>_xlfn.IFNA(INDEX('HS Codes'!$D$2:$K3318,MATCH($B764,'HS Codes'!$A$2:$A3318,0),MATCH(J$1,'HS Codes'!$D$1:$K$1,0)),"")</f>
        <v>0</v>
      </c>
      <c r="K764" s="8" t="str">
        <f>_xlfn.IFNA(INDEX('HS Codes'!$D$2:$K3318,MATCH($B764,'HS Codes'!$A$2:$A3318,0),MATCH(K$1,'HS Codes'!$D$1:$K$1,0)),"")</f>
        <v>6112.39.00</v>
      </c>
      <c r="L764" s="8">
        <f>_xlfn.IFNA(INDEX('HS Codes'!$D$2:$K3318,MATCH($B764,'HS Codes'!$A$2:$A3318,0),MATCH(L$1,'HS Codes'!$D$1:$K$1,0)),"")</f>
        <v>61123100</v>
      </c>
      <c r="M764" s="8">
        <f>_xlfn.IFNA(INDEX('HS Codes'!$C$2:$C3318,MATCH($B764,'HS Codes'!$A$2:$A3318,0)),"")</f>
        <v>0</v>
      </c>
      <c r="N764" s="9"/>
      <c r="O764" s="9"/>
      <c r="P764" s="9"/>
      <c r="Q764" s="9"/>
    </row>
    <row r="765" spans="1:17" ht="15.75" customHeight="1">
      <c r="A765" s="7" t="s">
        <v>1057</v>
      </c>
      <c r="B765" s="7" t="s">
        <v>156</v>
      </c>
      <c r="C765" s="7"/>
      <c r="D765" s="7" t="s">
        <v>157</v>
      </c>
      <c r="E765" s="7" t="s">
        <v>1049</v>
      </c>
      <c r="F765" s="8" t="str">
        <f>_xlfn.IFNA(INDEX('HS Codes'!$D$2:$K3319,MATCH($B765,'HS Codes'!$A$2:$A3319,0),MATCH(F$1,'HS Codes'!$D$1:$K$1,0)),"")</f>
        <v>6112.31.00.10</v>
      </c>
      <c r="G765" s="8">
        <f>_xlfn.IFNA(INDEX('HS Codes'!$D$2:$K3319,MATCH($B765,'HS Codes'!$A$2:$A3319,0),MATCH(G$1,'HS Codes'!$D$1:$K$1,0)),"")</f>
        <v>6112311000</v>
      </c>
      <c r="H765" s="8">
        <f>_xlfn.IFNA(INDEX('HS Codes'!$D$2:$K3319,MATCH($B765,'HS Codes'!$A$2:$A3319,0),MATCH(H$1,'HS Codes'!$D$1:$K$1,0)),"")</f>
        <v>6112311000</v>
      </c>
      <c r="I765" s="8">
        <f>_xlfn.IFNA(INDEX('HS Codes'!$D$2:$K3319,MATCH($B765,'HS Codes'!$A$2:$A3319,0),MATCH(I$1,'HS Codes'!$D$1:$K$1,0)),"")</f>
        <v>61123110</v>
      </c>
      <c r="J765" s="8">
        <f>_xlfn.IFNA(INDEX('HS Codes'!$D$2:$K3319,MATCH($B765,'HS Codes'!$A$2:$A3319,0),MATCH(J$1,'HS Codes'!$D$1:$K$1,0)),"")</f>
        <v>0</v>
      </c>
      <c r="K765" s="8" t="str">
        <f>_xlfn.IFNA(INDEX('HS Codes'!$D$2:$K3319,MATCH($B765,'HS Codes'!$A$2:$A3319,0),MATCH(K$1,'HS Codes'!$D$1:$K$1,0)),"")</f>
        <v>6112.39.00</v>
      </c>
      <c r="L765" s="8">
        <f>_xlfn.IFNA(INDEX('HS Codes'!$D$2:$K3319,MATCH($B765,'HS Codes'!$A$2:$A3319,0),MATCH(L$1,'HS Codes'!$D$1:$K$1,0)),"")</f>
        <v>61123100</v>
      </c>
      <c r="M765" s="8">
        <f>_xlfn.IFNA(INDEX('HS Codes'!$C$2:$C3319,MATCH($B765,'HS Codes'!$A$2:$A3319,0)),"")</f>
        <v>0</v>
      </c>
      <c r="N765" s="9"/>
      <c r="O765" s="9"/>
      <c r="P765" s="9"/>
      <c r="Q765" s="9"/>
    </row>
    <row r="766" spans="1:17" ht="15.75" customHeight="1">
      <c r="A766" s="7" t="s">
        <v>1058</v>
      </c>
      <c r="B766" s="7" t="s">
        <v>156</v>
      </c>
      <c r="C766" s="7"/>
      <c r="D766" s="7" t="s">
        <v>157</v>
      </c>
      <c r="E766" s="7" t="s">
        <v>1049</v>
      </c>
      <c r="F766" s="8" t="str">
        <f>_xlfn.IFNA(INDEX('HS Codes'!$D$2:$K3320,MATCH($B766,'HS Codes'!$A$2:$A3320,0),MATCH(F$1,'HS Codes'!$D$1:$K$1,0)),"")</f>
        <v>6112.31.00.10</v>
      </c>
      <c r="G766" s="8">
        <f>_xlfn.IFNA(INDEX('HS Codes'!$D$2:$K3320,MATCH($B766,'HS Codes'!$A$2:$A3320,0),MATCH(G$1,'HS Codes'!$D$1:$K$1,0)),"")</f>
        <v>6112311000</v>
      </c>
      <c r="H766" s="8">
        <f>_xlfn.IFNA(INDEX('HS Codes'!$D$2:$K3320,MATCH($B766,'HS Codes'!$A$2:$A3320,0),MATCH(H$1,'HS Codes'!$D$1:$K$1,0)),"")</f>
        <v>6112311000</v>
      </c>
      <c r="I766" s="8">
        <f>_xlfn.IFNA(INDEX('HS Codes'!$D$2:$K3320,MATCH($B766,'HS Codes'!$A$2:$A3320,0),MATCH(I$1,'HS Codes'!$D$1:$K$1,0)),"")</f>
        <v>61123110</v>
      </c>
      <c r="J766" s="8">
        <f>_xlfn.IFNA(INDEX('HS Codes'!$D$2:$K3320,MATCH($B766,'HS Codes'!$A$2:$A3320,0),MATCH(J$1,'HS Codes'!$D$1:$K$1,0)),"")</f>
        <v>0</v>
      </c>
      <c r="K766" s="8" t="str">
        <f>_xlfn.IFNA(INDEX('HS Codes'!$D$2:$K3320,MATCH($B766,'HS Codes'!$A$2:$A3320,0),MATCH(K$1,'HS Codes'!$D$1:$K$1,0)),"")</f>
        <v>6112.39.00</v>
      </c>
      <c r="L766" s="8">
        <f>_xlfn.IFNA(INDEX('HS Codes'!$D$2:$K3320,MATCH($B766,'HS Codes'!$A$2:$A3320,0),MATCH(L$1,'HS Codes'!$D$1:$K$1,0)),"")</f>
        <v>61123100</v>
      </c>
      <c r="M766" s="8">
        <f>_xlfn.IFNA(INDEX('HS Codes'!$C$2:$C3320,MATCH($B766,'HS Codes'!$A$2:$A3320,0)),"")</f>
        <v>0</v>
      </c>
      <c r="N766" s="9"/>
      <c r="O766" s="9"/>
      <c r="P766" s="9"/>
      <c r="Q766" s="9"/>
    </row>
    <row r="767" spans="1:17" ht="15.75" customHeight="1">
      <c r="A767" s="7" t="s">
        <v>1059</v>
      </c>
      <c r="B767" s="7" t="s">
        <v>156</v>
      </c>
      <c r="C767" s="7"/>
      <c r="D767" s="7" t="s">
        <v>157</v>
      </c>
      <c r="E767" s="7" t="s">
        <v>1049</v>
      </c>
      <c r="F767" s="8" t="str">
        <f>_xlfn.IFNA(INDEX('HS Codes'!$D$2:$K3321,MATCH($B767,'HS Codes'!$A$2:$A3321,0),MATCH(F$1,'HS Codes'!$D$1:$K$1,0)),"")</f>
        <v>6112.31.00.10</v>
      </c>
      <c r="G767" s="8">
        <f>_xlfn.IFNA(INDEX('HS Codes'!$D$2:$K3321,MATCH($B767,'HS Codes'!$A$2:$A3321,0),MATCH(G$1,'HS Codes'!$D$1:$K$1,0)),"")</f>
        <v>6112311000</v>
      </c>
      <c r="H767" s="8">
        <f>_xlfn.IFNA(INDEX('HS Codes'!$D$2:$K3321,MATCH($B767,'HS Codes'!$A$2:$A3321,0),MATCH(H$1,'HS Codes'!$D$1:$K$1,0)),"")</f>
        <v>6112311000</v>
      </c>
      <c r="I767" s="8">
        <f>_xlfn.IFNA(INDEX('HS Codes'!$D$2:$K3321,MATCH($B767,'HS Codes'!$A$2:$A3321,0),MATCH(I$1,'HS Codes'!$D$1:$K$1,0)),"")</f>
        <v>61123110</v>
      </c>
      <c r="J767" s="8">
        <f>_xlfn.IFNA(INDEX('HS Codes'!$D$2:$K3321,MATCH($B767,'HS Codes'!$A$2:$A3321,0),MATCH(J$1,'HS Codes'!$D$1:$K$1,0)),"")</f>
        <v>0</v>
      </c>
      <c r="K767" s="8" t="str">
        <f>_xlfn.IFNA(INDEX('HS Codes'!$D$2:$K3321,MATCH($B767,'HS Codes'!$A$2:$A3321,0),MATCH(K$1,'HS Codes'!$D$1:$K$1,0)),"")</f>
        <v>6112.39.00</v>
      </c>
      <c r="L767" s="8">
        <f>_xlfn.IFNA(INDEX('HS Codes'!$D$2:$K3321,MATCH($B767,'HS Codes'!$A$2:$A3321,0),MATCH(L$1,'HS Codes'!$D$1:$K$1,0)),"")</f>
        <v>61123100</v>
      </c>
      <c r="M767" s="8">
        <f>_xlfn.IFNA(INDEX('HS Codes'!$C$2:$C3321,MATCH($B767,'HS Codes'!$A$2:$A3321,0)),"")</f>
        <v>0</v>
      </c>
      <c r="N767" s="9"/>
      <c r="O767" s="9"/>
      <c r="P767" s="9"/>
      <c r="Q767" s="9"/>
    </row>
    <row r="768" spans="1:17" ht="15.75" customHeight="1">
      <c r="A768" s="7" t="s">
        <v>1060</v>
      </c>
      <c r="B768" s="7" t="s">
        <v>156</v>
      </c>
      <c r="C768" s="7"/>
      <c r="D768" s="7" t="s">
        <v>157</v>
      </c>
      <c r="E768" s="7" t="s">
        <v>1049</v>
      </c>
      <c r="F768" s="8" t="str">
        <f>_xlfn.IFNA(INDEX('HS Codes'!$D$2:$K3322,MATCH($B768,'HS Codes'!$A$2:$A3322,0),MATCH(F$1,'HS Codes'!$D$1:$K$1,0)),"")</f>
        <v>6112.31.00.10</v>
      </c>
      <c r="G768" s="8">
        <f>_xlfn.IFNA(INDEX('HS Codes'!$D$2:$K3322,MATCH($B768,'HS Codes'!$A$2:$A3322,0),MATCH(G$1,'HS Codes'!$D$1:$K$1,0)),"")</f>
        <v>6112311000</v>
      </c>
      <c r="H768" s="8">
        <f>_xlfn.IFNA(INDEX('HS Codes'!$D$2:$K3322,MATCH($B768,'HS Codes'!$A$2:$A3322,0),MATCH(H$1,'HS Codes'!$D$1:$K$1,0)),"")</f>
        <v>6112311000</v>
      </c>
      <c r="I768" s="8">
        <f>_xlfn.IFNA(INDEX('HS Codes'!$D$2:$K3322,MATCH($B768,'HS Codes'!$A$2:$A3322,0),MATCH(I$1,'HS Codes'!$D$1:$K$1,0)),"")</f>
        <v>61123110</v>
      </c>
      <c r="J768" s="8">
        <f>_xlfn.IFNA(INDEX('HS Codes'!$D$2:$K3322,MATCH($B768,'HS Codes'!$A$2:$A3322,0),MATCH(J$1,'HS Codes'!$D$1:$K$1,0)),"")</f>
        <v>0</v>
      </c>
      <c r="K768" s="8" t="str">
        <f>_xlfn.IFNA(INDEX('HS Codes'!$D$2:$K3322,MATCH($B768,'HS Codes'!$A$2:$A3322,0),MATCH(K$1,'HS Codes'!$D$1:$K$1,0)),"")</f>
        <v>6112.39.00</v>
      </c>
      <c r="L768" s="8">
        <f>_xlfn.IFNA(INDEX('HS Codes'!$D$2:$K3322,MATCH($B768,'HS Codes'!$A$2:$A3322,0),MATCH(L$1,'HS Codes'!$D$1:$K$1,0)),"")</f>
        <v>61123100</v>
      </c>
      <c r="M768" s="8">
        <f>_xlfn.IFNA(INDEX('HS Codes'!$C$2:$C3322,MATCH($B768,'HS Codes'!$A$2:$A3322,0)),"")</f>
        <v>0</v>
      </c>
      <c r="N768" s="9"/>
      <c r="O768" s="9"/>
      <c r="P768" s="9"/>
      <c r="Q768" s="9"/>
    </row>
    <row r="769" spans="1:17" ht="15.75" customHeight="1">
      <c r="A769" s="7" t="s">
        <v>1061</v>
      </c>
      <c r="B769" s="7" t="s">
        <v>156</v>
      </c>
      <c r="C769" s="7"/>
      <c r="D769" s="7" t="s">
        <v>157</v>
      </c>
      <c r="E769" s="7" t="s">
        <v>1049</v>
      </c>
      <c r="F769" s="8" t="str">
        <f>_xlfn.IFNA(INDEX('HS Codes'!$D$2:$K3323,MATCH($B769,'HS Codes'!$A$2:$A3323,0),MATCH(F$1,'HS Codes'!$D$1:$K$1,0)),"")</f>
        <v>6112.31.00.10</v>
      </c>
      <c r="G769" s="8">
        <f>_xlfn.IFNA(INDEX('HS Codes'!$D$2:$K3323,MATCH($B769,'HS Codes'!$A$2:$A3323,0),MATCH(G$1,'HS Codes'!$D$1:$K$1,0)),"")</f>
        <v>6112311000</v>
      </c>
      <c r="H769" s="8">
        <f>_xlfn.IFNA(INDEX('HS Codes'!$D$2:$K3323,MATCH($B769,'HS Codes'!$A$2:$A3323,0),MATCH(H$1,'HS Codes'!$D$1:$K$1,0)),"")</f>
        <v>6112311000</v>
      </c>
      <c r="I769" s="8">
        <f>_xlfn.IFNA(INDEX('HS Codes'!$D$2:$K3323,MATCH($B769,'HS Codes'!$A$2:$A3323,0),MATCH(I$1,'HS Codes'!$D$1:$K$1,0)),"")</f>
        <v>61123110</v>
      </c>
      <c r="J769" s="8">
        <f>_xlfn.IFNA(INDEX('HS Codes'!$D$2:$K3323,MATCH($B769,'HS Codes'!$A$2:$A3323,0),MATCH(J$1,'HS Codes'!$D$1:$K$1,0)),"")</f>
        <v>0</v>
      </c>
      <c r="K769" s="8" t="str">
        <f>_xlfn.IFNA(INDEX('HS Codes'!$D$2:$K3323,MATCH($B769,'HS Codes'!$A$2:$A3323,0),MATCH(K$1,'HS Codes'!$D$1:$K$1,0)),"")</f>
        <v>6112.39.00</v>
      </c>
      <c r="L769" s="8">
        <f>_xlfn.IFNA(INDEX('HS Codes'!$D$2:$K3323,MATCH($B769,'HS Codes'!$A$2:$A3323,0),MATCH(L$1,'HS Codes'!$D$1:$K$1,0)),"")</f>
        <v>61123100</v>
      </c>
      <c r="M769" s="8">
        <f>_xlfn.IFNA(INDEX('HS Codes'!$C$2:$C3323,MATCH($B769,'HS Codes'!$A$2:$A3323,0)),"")</f>
        <v>0</v>
      </c>
      <c r="N769" s="9"/>
      <c r="O769" s="9"/>
      <c r="P769" s="9"/>
      <c r="Q769" s="9"/>
    </row>
    <row r="770" spans="1:17" ht="15.75" customHeight="1">
      <c r="A770" s="7" t="s">
        <v>1062</v>
      </c>
      <c r="B770" s="7"/>
      <c r="C770" s="7"/>
      <c r="D770" s="7"/>
      <c r="E770" s="7"/>
      <c r="F770" s="8" t="str">
        <f>_xlfn.IFNA(INDEX('HS Codes'!$D$2:$K3324,MATCH($B770,'HS Codes'!$A$2:$A3324,0),MATCH(F$1,'HS Codes'!$D$1:$K$1,0)),"")</f>
        <v/>
      </c>
      <c r="G770" s="8" t="str">
        <f>_xlfn.IFNA(INDEX('HS Codes'!$D$2:$K3324,MATCH($B770,'HS Codes'!$A$2:$A3324,0),MATCH(G$1,'HS Codes'!$D$1:$K$1,0)),"")</f>
        <v/>
      </c>
      <c r="H770" s="8" t="str">
        <f>_xlfn.IFNA(INDEX('HS Codes'!$D$2:$K3324,MATCH($B770,'HS Codes'!$A$2:$A3324,0),MATCH(H$1,'HS Codes'!$D$1:$K$1,0)),"")</f>
        <v/>
      </c>
      <c r="I770" s="8" t="str">
        <f>_xlfn.IFNA(INDEX('HS Codes'!$D$2:$K3324,MATCH($B770,'HS Codes'!$A$2:$A3324,0),MATCH(I$1,'HS Codes'!$D$1:$K$1,0)),"")</f>
        <v/>
      </c>
      <c r="J770" s="8" t="str">
        <f>_xlfn.IFNA(INDEX('HS Codes'!$D$2:$K3324,MATCH($B770,'HS Codes'!$A$2:$A3324,0),MATCH(J$1,'HS Codes'!$D$1:$K$1,0)),"")</f>
        <v/>
      </c>
      <c r="K770" s="8" t="str">
        <f>_xlfn.IFNA(INDEX('HS Codes'!$D$2:$K3324,MATCH($B770,'HS Codes'!$A$2:$A3324,0),MATCH(K$1,'HS Codes'!$D$1:$K$1,0)),"")</f>
        <v/>
      </c>
      <c r="L770" s="8" t="str">
        <f>_xlfn.IFNA(INDEX('HS Codes'!$D$2:$K3324,MATCH($B770,'HS Codes'!$A$2:$A3324,0),MATCH(L$1,'HS Codes'!$D$1:$K$1,0)),"")</f>
        <v/>
      </c>
      <c r="M770" s="8" t="str">
        <f>_xlfn.IFNA(INDEX('HS Codes'!$C$2:$C3324,MATCH($B770,'HS Codes'!$A$2:$A3324,0)),"")</f>
        <v/>
      </c>
      <c r="N770" s="9"/>
      <c r="O770" s="9"/>
      <c r="P770" s="9"/>
      <c r="Q770" s="9"/>
    </row>
    <row r="771" spans="1:17" ht="15.75" customHeight="1">
      <c r="A771" s="7" t="s">
        <v>1063</v>
      </c>
      <c r="B771" s="7"/>
      <c r="C771" s="7"/>
      <c r="D771" s="7"/>
      <c r="E771" s="7"/>
      <c r="F771" s="8" t="str">
        <f>_xlfn.IFNA(INDEX('HS Codes'!$D$2:$K3325,MATCH($B771,'HS Codes'!$A$2:$A3325,0),MATCH(F$1,'HS Codes'!$D$1:$K$1,0)),"")</f>
        <v/>
      </c>
      <c r="G771" s="8" t="str">
        <f>_xlfn.IFNA(INDEX('HS Codes'!$D$2:$K3325,MATCH($B771,'HS Codes'!$A$2:$A3325,0),MATCH(G$1,'HS Codes'!$D$1:$K$1,0)),"")</f>
        <v/>
      </c>
      <c r="H771" s="8" t="str">
        <f>_xlfn.IFNA(INDEX('HS Codes'!$D$2:$K3325,MATCH($B771,'HS Codes'!$A$2:$A3325,0),MATCH(H$1,'HS Codes'!$D$1:$K$1,0)),"")</f>
        <v/>
      </c>
      <c r="I771" s="8" t="str">
        <f>_xlfn.IFNA(INDEX('HS Codes'!$D$2:$K3325,MATCH($B771,'HS Codes'!$A$2:$A3325,0),MATCH(I$1,'HS Codes'!$D$1:$K$1,0)),"")</f>
        <v/>
      </c>
      <c r="J771" s="8" t="str">
        <f>_xlfn.IFNA(INDEX('HS Codes'!$D$2:$K3325,MATCH($B771,'HS Codes'!$A$2:$A3325,0),MATCH(J$1,'HS Codes'!$D$1:$K$1,0)),"")</f>
        <v/>
      </c>
      <c r="K771" s="8" t="str">
        <f>_xlfn.IFNA(INDEX('HS Codes'!$D$2:$K3325,MATCH($B771,'HS Codes'!$A$2:$A3325,0),MATCH(K$1,'HS Codes'!$D$1:$K$1,0)),"")</f>
        <v/>
      </c>
      <c r="L771" s="8" t="str">
        <f>_xlfn.IFNA(INDEX('HS Codes'!$D$2:$K3325,MATCH($B771,'HS Codes'!$A$2:$A3325,0),MATCH(L$1,'HS Codes'!$D$1:$K$1,0)),"")</f>
        <v/>
      </c>
      <c r="M771" s="8" t="str">
        <f>_xlfn.IFNA(INDEX('HS Codes'!$C$2:$C3325,MATCH($B771,'HS Codes'!$A$2:$A3325,0)),"")</f>
        <v/>
      </c>
      <c r="N771" s="9"/>
      <c r="O771" s="9"/>
      <c r="P771" s="9"/>
      <c r="Q771" s="9"/>
    </row>
    <row r="772" spans="1:17" ht="15.75" customHeight="1">
      <c r="A772" s="7" t="s">
        <v>1064</v>
      </c>
      <c r="B772" s="7" t="s">
        <v>164</v>
      </c>
      <c r="C772" s="7" t="s">
        <v>278</v>
      </c>
      <c r="D772" s="7" t="s">
        <v>165</v>
      </c>
      <c r="E772" s="7" t="s">
        <v>348</v>
      </c>
      <c r="F772" s="8" t="str">
        <f>_xlfn.IFNA(INDEX('HS Codes'!$D$2:$K3326,MATCH($B772,'HS Codes'!$A$2:$A3326,0),MATCH(F$1,'HS Codes'!$D$1:$K$1,0)),"")</f>
        <v>6302.93.2000</v>
      </c>
      <c r="G772" s="8">
        <f>_xlfn.IFNA(INDEX('HS Codes'!$D$2:$K3326,MATCH($B772,'HS Codes'!$A$2:$A3326,0),MATCH(G$1,'HS Codes'!$D$1:$K$1,0)),"")</f>
        <v>6302600090</v>
      </c>
      <c r="H772" s="8" t="str">
        <f>_xlfn.IFNA(INDEX('HS Codes'!$D$2:$K3326,MATCH($B772,'HS Codes'!$A$2:$A3326,0),MATCH(H$1,'HS Codes'!$D$1:$K$1,0)),"")</f>
        <v>6302.93.00.00</v>
      </c>
      <c r="I772" s="8">
        <f>_xlfn.IFNA(INDEX('HS Codes'!$D$2:$K3326,MATCH($B772,'HS Codes'!$A$2:$A3326,0),MATCH(I$1,'HS Codes'!$D$1:$K$1,0)),"")</f>
        <v>63029390</v>
      </c>
      <c r="J772" s="8">
        <f>_xlfn.IFNA(INDEX('HS Codes'!$D$2:$K3326,MATCH($B772,'HS Codes'!$A$2:$A3326,0),MATCH(J$1,'HS Codes'!$D$1:$K$1,0)),"")</f>
        <v>0</v>
      </c>
      <c r="K772" s="8" t="str">
        <f>_xlfn.IFNA(INDEX('HS Codes'!$D$2:$K3326,MATCH($B772,'HS Codes'!$A$2:$A3326,0),MATCH(K$1,'HS Codes'!$D$1:$K$1,0)),"")</f>
        <v>6302.39.00</v>
      </c>
      <c r="L772" s="8">
        <f>_xlfn.IFNA(INDEX('HS Codes'!$D$2:$K3326,MATCH($B772,'HS Codes'!$A$2:$A3326,0),MATCH(L$1,'HS Codes'!$D$1:$K$1,0)),"")</f>
        <v>63029120</v>
      </c>
      <c r="M772" s="8" t="str">
        <f>_xlfn.IFNA(INDEX('HS Codes'!$C$2:$C3326,MATCH($B772,'HS Codes'!$A$2:$A3326,0)),"")</f>
        <v>Beach Towel - Toilet Linen 100% recycled 220 GSM/83% polyester/17% polyamide includes cotton on the packing pouch drawstring</v>
      </c>
      <c r="N772" s="9"/>
      <c r="O772" s="9"/>
      <c r="P772" s="9"/>
      <c r="Q772" s="9"/>
    </row>
    <row r="773" spans="1:17" ht="15.75" customHeight="1">
      <c r="A773" s="7" t="s">
        <v>1065</v>
      </c>
      <c r="B773" s="7" t="s">
        <v>164</v>
      </c>
      <c r="C773" s="7" t="s">
        <v>278</v>
      </c>
      <c r="D773" s="7" t="s">
        <v>165</v>
      </c>
      <c r="E773" s="7" t="s">
        <v>348</v>
      </c>
      <c r="F773" s="8" t="str">
        <f>_xlfn.IFNA(INDEX('HS Codes'!$D$2:$K3327,MATCH($B773,'HS Codes'!$A$2:$A3327,0),MATCH(F$1,'HS Codes'!$D$1:$K$1,0)),"")</f>
        <v>6302.93.2000</v>
      </c>
      <c r="G773" s="8">
        <f>_xlfn.IFNA(INDEX('HS Codes'!$D$2:$K3327,MATCH($B773,'HS Codes'!$A$2:$A3327,0),MATCH(G$1,'HS Codes'!$D$1:$K$1,0)),"")</f>
        <v>6302600090</v>
      </c>
      <c r="H773" s="8" t="str">
        <f>_xlfn.IFNA(INDEX('HS Codes'!$D$2:$K3327,MATCH($B773,'HS Codes'!$A$2:$A3327,0),MATCH(H$1,'HS Codes'!$D$1:$K$1,0)),"")</f>
        <v>6302.93.00.00</v>
      </c>
      <c r="I773" s="8">
        <f>_xlfn.IFNA(INDEX('HS Codes'!$D$2:$K3327,MATCH($B773,'HS Codes'!$A$2:$A3327,0),MATCH(I$1,'HS Codes'!$D$1:$K$1,0)),"")</f>
        <v>63029390</v>
      </c>
      <c r="J773" s="8">
        <f>_xlfn.IFNA(INDEX('HS Codes'!$D$2:$K3327,MATCH($B773,'HS Codes'!$A$2:$A3327,0),MATCH(J$1,'HS Codes'!$D$1:$K$1,0)),"")</f>
        <v>0</v>
      </c>
      <c r="K773" s="8" t="str">
        <f>_xlfn.IFNA(INDEX('HS Codes'!$D$2:$K3327,MATCH($B773,'HS Codes'!$A$2:$A3327,0),MATCH(K$1,'HS Codes'!$D$1:$K$1,0)),"")</f>
        <v>6302.39.00</v>
      </c>
      <c r="L773" s="8">
        <f>_xlfn.IFNA(INDEX('HS Codes'!$D$2:$K3327,MATCH($B773,'HS Codes'!$A$2:$A3327,0),MATCH(L$1,'HS Codes'!$D$1:$K$1,0)),"")</f>
        <v>63029120</v>
      </c>
      <c r="M773" s="8" t="str">
        <f>_xlfn.IFNA(INDEX('HS Codes'!$C$2:$C3327,MATCH($B773,'HS Codes'!$A$2:$A3327,0)),"")</f>
        <v>Beach Towel - Toilet Linen 100% recycled 220 GSM/83% polyester/17% polyamide includes cotton on the packing pouch drawstring</v>
      </c>
      <c r="N773" s="9"/>
      <c r="O773" s="9"/>
      <c r="P773" s="9"/>
      <c r="Q773" s="9"/>
    </row>
    <row r="774" spans="1:17" ht="15.75" customHeight="1">
      <c r="A774" s="7" t="s">
        <v>1066</v>
      </c>
      <c r="B774" s="7" t="s">
        <v>164</v>
      </c>
      <c r="C774" s="7" t="s">
        <v>278</v>
      </c>
      <c r="D774" s="7" t="s">
        <v>165</v>
      </c>
      <c r="E774" s="7" t="s">
        <v>348</v>
      </c>
      <c r="F774" s="8" t="str">
        <f>_xlfn.IFNA(INDEX('HS Codes'!$D$2:$K3328,MATCH($B774,'HS Codes'!$A$2:$A3328,0),MATCH(F$1,'HS Codes'!$D$1:$K$1,0)),"")</f>
        <v>6302.93.2000</v>
      </c>
      <c r="G774" s="8">
        <f>_xlfn.IFNA(INDEX('HS Codes'!$D$2:$K3328,MATCH($B774,'HS Codes'!$A$2:$A3328,0),MATCH(G$1,'HS Codes'!$D$1:$K$1,0)),"")</f>
        <v>6302600090</v>
      </c>
      <c r="H774" s="8" t="str">
        <f>_xlfn.IFNA(INDEX('HS Codes'!$D$2:$K3328,MATCH($B774,'HS Codes'!$A$2:$A3328,0),MATCH(H$1,'HS Codes'!$D$1:$K$1,0)),"")</f>
        <v>6302.93.00.00</v>
      </c>
      <c r="I774" s="8">
        <f>_xlfn.IFNA(INDEX('HS Codes'!$D$2:$K3328,MATCH($B774,'HS Codes'!$A$2:$A3328,0),MATCH(I$1,'HS Codes'!$D$1:$K$1,0)),"")</f>
        <v>63029390</v>
      </c>
      <c r="J774" s="8">
        <f>_xlfn.IFNA(INDEX('HS Codes'!$D$2:$K3328,MATCH($B774,'HS Codes'!$A$2:$A3328,0),MATCH(J$1,'HS Codes'!$D$1:$K$1,0)),"")</f>
        <v>0</v>
      </c>
      <c r="K774" s="8" t="str">
        <f>_xlfn.IFNA(INDEX('HS Codes'!$D$2:$K3328,MATCH($B774,'HS Codes'!$A$2:$A3328,0),MATCH(K$1,'HS Codes'!$D$1:$K$1,0)),"")</f>
        <v>6302.39.00</v>
      </c>
      <c r="L774" s="8">
        <f>_xlfn.IFNA(INDEX('HS Codes'!$D$2:$K3328,MATCH($B774,'HS Codes'!$A$2:$A3328,0),MATCH(L$1,'HS Codes'!$D$1:$K$1,0)),"")</f>
        <v>63029120</v>
      </c>
      <c r="M774" s="8" t="str">
        <f>_xlfn.IFNA(INDEX('HS Codes'!$C$2:$C3328,MATCH($B774,'HS Codes'!$A$2:$A3328,0)),"")</f>
        <v>Beach Towel - Toilet Linen 100% recycled 220 GSM/83% polyester/17% polyamide includes cotton on the packing pouch drawstring</v>
      </c>
      <c r="N774" s="9"/>
      <c r="O774" s="9"/>
      <c r="P774" s="9"/>
      <c r="Q774" s="9"/>
    </row>
    <row r="775" spans="1:17" ht="15.75" customHeight="1">
      <c r="A775" s="7" t="s">
        <v>1067</v>
      </c>
      <c r="B775" s="7" t="s">
        <v>159</v>
      </c>
      <c r="C775" s="7" t="s">
        <v>278</v>
      </c>
      <c r="D775" s="7" t="s">
        <v>160</v>
      </c>
      <c r="E775" s="7" t="s">
        <v>160</v>
      </c>
      <c r="F775" s="8" t="str">
        <f>_xlfn.IFNA(INDEX('HS Codes'!$D$2:$K3329,MATCH($B775,'HS Codes'!$A$2:$A3329,0),MATCH(F$1,'HS Codes'!$D$1:$K$1,0)),"")</f>
        <v>6302.53.00.20</v>
      </c>
      <c r="G775" s="8">
        <f>_xlfn.IFNA(INDEX('HS Codes'!$D$2:$K3329,MATCH($B775,'HS Codes'!$A$2:$A3329,0),MATCH(G$1,'HS Codes'!$D$1:$K$1,0)),"")</f>
        <v>6302531000</v>
      </c>
      <c r="H775" s="8">
        <f>_xlfn.IFNA(INDEX('HS Codes'!$D$2:$K3329,MATCH($B775,'HS Codes'!$A$2:$A3329,0),MATCH(H$1,'HS Codes'!$D$1:$K$1,0)),"")</f>
        <v>6302531000</v>
      </c>
      <c r="I775" s="8">
        <f>_xlfn.IFNA(INDEX('HS Codes'!$D$2:$K3329,MATCH($B775,'HS Codes'!$A$2:$A3329,0),MATCH(I$1,'HS Codes'!$D$1:$K$1,0)),"")</f>
        <v>63029310</v>
      </c>
      <c r="J775" s="8">
        <f>_xlfn.IFNA(INDEX('HS Codes'!$D$2:$K3329,MATCH($B775,'HS Codes'!$A$2:$A3329,0),MATCH(J$1,'HS Codes'!$D$1:$K$1,0)),"")</f>
        <v>0</v>
      </c>
      <c r="K775" s="8" t="str">
        <f>_xlfn.IFNA(INDEX('HS Codes'!$D$2:$K3329,MATCH($B775,'HS Codes'!$A$2:$A3329,0),MATCH(K$1,'HS Codes'!$D$1:$K$1,0)),"")</f>
        <v>6302.53.00</v>
      </c>
      <c r="L775" s="8">
        <f>_xlfn.IFNA(INDEX('HS Codes'!$D$2:$K3329,MATCH($B775,'HS Codes'!$A$2:$A3329,0),MATCH(L$1,'HS Codes'!$D$1:$K$1,0)),"")</f>
        <v>0</v>
      </c>
      <c r="M775" s="8" t="str">
        <f>_xlfn.IFNA(INDEX('HS Codes'!$C$2:$C3329,MATCH($B775,'HS Codes'!$A$2:$A3329,0)),"")</f>
        <v>Kitchen Linen 100% recycled 300 GSM/83% polyester/17% polyamide (no cotton)</v>
      </c>
      <c r="N775" s="9"/>
      <c r="O775" s="9"/>
      <c r="P775" s="9"/>
      <c r="Q775" s="9"/>
    </row>
    <row r="776" spans="1:17" ht="15.75" customHeight="1">
      <c r="A776" s="7" t="s">
        <v>1068</v>
      </c>
      <c r="B776" s="7" t="s">
        <v>159</v>
      </c>
      <c r="C776" s="7" t="s">
        <v>278</v>
      </c>
      <c r="D776" s="7" t="s">
        <v>160</v>
      </c>
      <c r="E776" s="7" t="s">
        <v>160</v>
      </c>
      <c r="F776" s="8" t="str">
        <f>_xlfn.IFNA(INDEX('HS Codes'!$D$2:$K3330,MATCH($B776,'HS Codes'!$A$2:$A3330,0),MATCH(F$1,'HS Codes'!$D$1:$K$1,0)),"")</f>
        <v>6302.53.00.20</v>
      </c>
      <c r="G776" s="8">
        <f>_xlfn.IFNA(INDEX('HS Codes'!$D$2:$K3330,MATCH($B776,'HS Codes'!$A$2:$A3330,0),MATCH(G$1,'HS Codes'!$D$1:$K$1,0)),"")</f>
        <v>6302531000</v>
      </c>
      <c r="H776" s="8">
        <f>_xlfn.IFNA(INDEX('HS Codes'!$D$2:$K3330,MATCH($B776,'HS Codes'!$A$2:$A3330,0),MATCH(H$1,'HS Codes'!$D$1:$K$1,0)),"")</f>
        <v>6302531000</v>
      </c>
      <c r="I776" s="8">
        <f>_xlfn.IFNA(INDEX('HS Codes'!$D$2:$K3330,MATCH($B776,'HS Codes'!$A$2:$A3330,0),MATCH(I$1,'HS Codes'!$D$1:$K$1,0)),"")</f>
        <v>63029310</v>
      </c>
      <c r="J776" s="8">
        <f>_xlfn.IFNA(INDEX('HS Codes'!$D$2:$K3330,MATCH($B776,'HS Codes'!$A$2:$A3330,0),MATCH(J$1,'HS Codes'!$D$1:$K$1,0)),"")</f>
        <v>0</v>
      </c>
      <c r="K776" s="8" t="str">
        <f>_xlfn.IFNA(INDEX('HS Codes'!$D$2:$K3330,MATCH($B776,'HS Codes'!$A$2:$A3330,0),MATCH(K$1,'HS Codes'!$D$1:$K$1,0)),"")</f>
        <v>6302.53.00</v>
      </c>
      <c r="L776" s="8">
        <f>_xlfn.IFNA(INDEX('HS Codes'!$D$2:$K3330,MATCH($B776,'HS Codes'!$A$2:$A3330,0),MATCH(L$1,'HS Codes'!$D$1:$K$1,0)),"")</f>
        <v>0</v>
      </c>
      <c r="M776" s="8" t="str">
        <f>_xlfn.IFNA(INDEX('HS Codes'!$C$2:$C3330,MATCH($B776,'HS Codes'!$A$2:$A3330,0)),"")</f>
        <v>Kitchen Linen 100% recycled 300 GSM/83% polyester/17% polyamide (no cotton)</v>
      </c>
      <c r="N776" s="9"/>
      <c r="O776" s="9"/>
      <c r="P776" s="9"/>
      <c r="Q776" s="9"/>
    </row>
    <row r="777" spans="1:17" ht="15.75" customHeight="1">
      <c r="A777" s="7" t="s">
        <v>1069</v>
      </c>
      <c r="B777" s="7" t="s">
        <v>159</v>
      </c>
      <c r="C777" s="7" t="s">
        <v>278</v>
      </c>
      <c r="D777" s="7" t="s">
        <v>160</v>
      </c>
      <c r="E777" s="7" t="s">
        <v>160</v>
      </c>
      <c r="F777" s="8" t="str">
        <f>_xlfn.IFNA(INDEX('HS Codes'!$D$2:$K3331,MATCH($B777,'HS Codes'!$A$2:$A3331,0),MATCH(F$1,'HS Codes'!$D$1:$K$1,0)),"")</f>
        <v>6302.53.00.20</v>
      </c>
      <c r="G777" s="8">
        <f>_xlfn.IFNA(INDEX('HS Codes'!$D$2:$K3331,MATCH($B777,'HS Codes'!$A$2:$A3331,0),MATCH(G$1,'HS Codes'!$D$1:$K$1,0)),"")</f>
        <v>6302531000</v>
      </c>
      <c r="H777" s="8">
        <f>_xlfn.IFNA(INDEX('HS Codes'!$D$2:$K3331,MATCH($B777,'HS Codes'!$A$2:$A3331,0),MATCH(H$1,'HS Codes'!$D$1:$K$1,0)),"")</f>
        <v>6302531000</v>
      </c>
      <c r="I777" s="8">
        <f>_xlfn.IFNA(INDEX('HS Codes'!$D$2:$K3331,MATCH($B777,'HS Codes'!$A$2:$A3331,0),MATCH(I$1,'HS Codes'!$D$1:$K$1,0)),"")</f>
        <v>63029310</v>
      </c>
      <c r="J777" s="8">
        <f>_xlfn.IFNA(INDEX('HS Codes'!$D$2:$K3331,MATCH($B777,'HS Codes'!$A$2:$A3331,0),MATCH(J$1,'HS Codes'!$D$1:$K$1,0)),"")</f>
        <v>0</v>
      </c>
      <c r="K777" s="8" t="str">
        <f>_xlfn.IFNA(INDEX('HS Codes'!$D$2:$K3331,MATCH($B777,'HS Codes'!$A$2:$A3331,0),MATCH(K$1,'HS Codes'!$D$1:$K$1,0)),"")</f>
        <v>6302.53.00</v>
      </c>
      <c r="L777" s="8">
        <f>_xlfn.IFNA(INDEX('HS Codes'!$D$2:$K3331,MATCH($B777,'HS Codes'!$A$2:$A3331,0),MATCH(L$1,'HS Codes'!$D$1:$K$1,0)),"")</f>
        <v>0</v>
      </c>
      <c r="M777" s="8" t="str">
        <f>_xlfn.IFNA(INDEX('HS Codes'!$C$2:$C3331,MATCH($B777,'HS Codes'!$A$2:$A3331,0)),"")</f>
        <v>Kitchen Linen 100% recycled 300 GSM/83% polyester/17% polyamide (no cotton)</v>
      </c>
      <c r="N777" s="9"/>
      <c r="O777" s="9"/>
      <c r="P777" s="9"/>
      <c r="Q777" s="9"/>
    </row>
    <row r="778" spans="1:17" ht="15.75" customHeight="1">
      <c r="A778" s="7" t="s">
        <v>1070</v>
      </c>
      <c r="B778" s="7" t="s">
        <v>159</v>
      </c>
      <c r="C778" s="7" t="s">
        <v>278</v>
      </c>
      <c r="D778" s="7" t="s">
        <v>160</v>
      </c>
      <c r="E778" s="7" t="s">
        <v>160</v>
      </c>
      <c r="F778" s="8" t="str">
        <f>_xlfn.IFNA(INDEX('HS Codes'!$D$2:$K3332,MATCH($B778,'HS Codes'!$A$2:$A3332,0),MATCH(F$1,'HS Codes'!$D$1:$K$1,0)),"")</f>
        <v>6302.53.00.20</v>
      </c>
      <c r="G778" s="8">
        <f>_xlfn.IFNA(INDEX('HS Codes'!$D$2:$K3332,MATCH($B778,'HS Codes'!$A$2:$A3332,0),MATCH(G$1,'HS Codes'!$D$1:$K$1,0)),"")</f>
        <v>6302531000</v>
      </c>
      <c r="H778" s="8">
        <f>_xlfn.IFNA(INDEX('HS Codes'!$D$2:$K3332,MATCH($B778,'HS Codes'!$A$2:$A3332,0),MATCH(H$1,'HS Codes'!$D$1:$K$1,0)),"")</f>
        <v>6302531000</v>
      </c>
      <c r="I778" s="8">
        <f>_xlfn.IFNA(INDEX('HS Codes'!$D$2:$K3332,MATCH($B778,'HS Codes'!$A$2:$A3332,0),MATCH(I$1,'HS Codes'!$D$1:$K$1,0)),"")</f>
        <v>63029310</v>
      </c>
      <c r="J778" s="8">
        <f>_xlfn.IFNA(INDEX('HS Codes'!$D$2:$K3332,MATCH($B778,'HS Codes'!$A$2:$A3332,0),MATCH(J$1,'HS Codes'!$D$1:$K$1,0)),"")</f>
        <v>0</v>
      </c>
      <c r="K778" s="8" t="str">
        <f>_xlfn.IFNA(INDEX('HS Codes'!$D$2:$K3332,MATCH($B778,'HS Codes'!$A$2:$A3332,0),MATCH(K$1,'HS Codes'!$D$1:$K$1,0)),"")</f>
        <v>6302.53.00</v>
      </c>
      <c r="L778" s="8">
        <f>_xlfn.IFNA(INDEX('HS Codes'!$D$2:$K3332,MATCH($B778,'HS Codes'!$A$2:$A3332,0),MATCH(L$1,'HS Codes'!$D$1:$K$1,0)),"")</f>
        <v>0</v>
      </c>
      <c r="M778" s="8" t="str">
        <f>_xlfn.IFNA(INDEX('HS Codes'!$C$2:$C3332,MATCH($B778,'HS Codes'!$A$2:$A3332,0)),"")</f>
        <v>Kitchen Linen 100% recycled 300 GSM/83% polyester/17% polyamide (no cotton)</v>
      </c>
      <c r="N778" s="9"/>
      <c r="O778" s="9"/>
      <c r="P778" s="9"/>
      <c r="Q778" s="9"/>
    </row>
    <row r="779" spans="1:17" ht="15.75" customHeight="1">
      <c r="A779" s="7" t="s">
        <v>1071</v>
      </c>
      <c r="B779" s="7" t="s">
        <v>159</v>
      </c>
      <c r="C779" s="7" t="s">
        <v>278</v>
      </c>
      <c r="D779" s="7" t="s">
        <v>160</v>
      </c>
      <c r="E779" s="7" t="s">
        <v>160</v>
      </c>
      <c r="F779" s="8" t="str">
        <f>_xlfn.IFNA(INDEX('HS Codes'!$D$2:$K3333,MATCH($B779,'HS Codes'!$A$2:$A3333,0),MATCH(F$1,'HS Codes'!$D$1:$K$1,0)),"")</f>
        <v>6302.53.00.20</v>
      </c>
      <c r="G779" s="8">
        <f>_xlfn.IFNA(INDEX('HS Codes'!$D$2:$K3333,MATCH($B779,'HS Codes'!$A$2:$A3333,0),MATCH(G$1,'HS Codes'!$D$1:$K$1,0)),"")</f>
        <v>6302531000</v>
      </c>
      <c r="H779" s="8">
        <f>_xlfn.IFNA(INDEX('HS Codes'!$D$2:$K3333,MATCH($B779,'HS Codes'!$A$2:$A3333,0),MATCH(H$1,'HS Codes'!$D$1:$K$1,0)),"")</f>
        <v>6302531000</v>
      </c>
      <c r="I779" s="8">
        <f>_xlfn.IFNA(INDEX('HS Codes'!$D$2:$K3333,MATCH($B779,'HS Codes'!$A$2:$A3333,0),MATCH(I$1,'HS Codes'!$D$1:$K$1,0)),"")</f>
        <v>63029310</v>
      </c>
      <c r="J779" s="8">
        <f>_xlfn.IFNA(INDEX('HS Codes'!$D$2:$K3333,MATCH($B779,'HS Codes'!$A$2:$A3333,0),MATCH(J$1,'HS Codes'!$D$1:$K$1,0)),"")</f>
        <v>0</v>
      </c>
      <c r="K779" s="8" t="str">
        <f>_xlfn.IFNA(INDEX('HS Codes'!$D$2:$K3333,MATCH($B779,'HS Codes'!$A$2:$A3333,0),MATCH(K$1,'HS Codes'!$D$1:$K$1,0)),"")</f>
        <v>6302.53.00</v>
      </c>
      <c r="L779" s="8">
        <f>_xlfn.IFNA(INDEX('HS Codes'!$D$2:$K3333,MATCH($B779,'HS Codes'!$A$2:$A3333,0),MATCH(L$1,'HS Codes'!$D$1:$K$1,0)),"")</f>
        <v>0</v>
      </c>
      <c r="M779" s="8" t="str">
        <f>_xlfn.IFNA(INDEX('HS Codes'!$C$2:$C3333,MATCH($B779,'HS Codes'!$A$2:$A3333,0)),"")</f>
        <v>Kitchen Linen 100% recycled 300 GSM/83% polyester/17% polyamide (no cotton)</v>
      </c>
      <c r="N779" s="9"/>
      <c r="O779" s="9"/>
      <c r="P779" s="9"/>
      <c r="Q779" s="9"/>
    </row>
    <row r="780" spans="1:17" ht="15.75" customHeight="1">
      <c r="A780" s="7" t="s">
        <v>1072</v>
      </c>
      <c r="B780" s="7" t="s">
        <v>159</v>
      </c>
      <c r="C780" s="7" t="s">
        <v>278</v>
      </c>
      <c r="D780" s="7" t="s">
        <v>160</v>
      </c>
      <c r="E780" s="7" t="s">
        <v>160</v>
      </c>
      <c r="F780" s="8" t="str">
        <f>_xlfn.IFNA(INDEX('HS Codes'!$D$2:$K3334,MATCH($B780,'HS Codes'!$A$2:$A3334,0),MATCH(F$1,'HS Codes'!$D$1:$K$1,0)),"")</f>
        <v>6302.53.00.20</v>
      </c>
      <c r="G780" s="8">
        <f>_xlfn.IFNA(INDEX('HS Codes'!$D$2:$K3334,MATCH($B780,'HS Codes'!$A$2:$A3334,0),MATCH(G$1,'HS Codes'!$D$1:$K$1,0)),"")</f>
        <v>6302531000</v>
      </c>
      <c r="H780" s="8">
        <f>_xlfn.IFNA(INDEX('HS Codes'!$D$2:$K3334,MATCH($B780,'HS Codes'!$A$2:$A3334,0),MATCH(H$1,'HS Codes'!$D$1:$K$1,0)),"")</f>
        <v>6302531000</v>
      </c>
      <c r="I780" s="8">
        <f>_xlfn.IFNA(INDEX('HS Codes'!$D$2:$K3334,MATCH($B780,'HS Codes'!$A$2:$A3334,0),MATCH(I$1,'HS Codes'!$D$1:$K$1,0)),"")</f>
        <v>63029310</v>
      </c>
      <c r="J780" s="8">
        <f>_xlfn.IFNA(INDEX('HS Codes'!$D$2:$K3334,MATCH($B780,'HS Codes'!$A$2:$A3334,0),MATCH(J$1,'HS Codes'!$D$1:$K$1,0)),"")</f>
        <v>0</v>
      </c>
      <c r="K780" s="8" t="str">
        <f>_xlfn.IFNA(INDEX('HS Codes'!$D$2:$K3334,MATCH($B780,'HS Codes'!$A$2:$A3334,0),MATCH(K$1,'HS Codes'!$D$1:$K$1,0)),"")</f>
        <v>6302.53.00</v>
      </c>
      <c r="L780" s="8">
        <f>_xlfn.IFNA(INDEX('HS Codes'!$D$2:$K3334,MATCH($B780,'HS Codes'!$A$2:$A3334,0),MATCH(L$1,'HS Codes'!$D$1:$K$1,0)),"")</f>
        <v>0</v>
      </c>
      <c r="M780" s="8" t="str">
        <f>_xlfn.IFNA(INDEX('HS Codes'!$C$2:$C3334,MATCH($B780,'HS Codes'!$A$2:$A3334,0)),"")</f>
        <v>Kitchen Linen 100% recycled 300 GSM/83% polyester/17% polyamide (no cotton)</v>
      </c>
      <c r="N780" s="9"/>
      <c r="O780" s="9"/>
      <c r="P780" s="9"/>
      <c r="Q780" s="9"/>
    </row>
    <row r="781" spans="1:17" ht="15.75" customHeight="1">
      <c r="A781" s="7" t="s">
        <v>1073</v>
      </c>
      <c r="B781" s="7" t="s">
        <v>159</v>
      </c>
      <c r="C781" s="7" t="s">
        <v>278</v>
      </c>
      <c r="D781" s="7" t="s">
        <v>160</v>
      </c>
      <c r="E781" s="7" t="s">
        <v>160</v>
      </c>
      <c r="F781" s="8" t="str">
        <f>_xlfn.IFNA(INDEX('HS Codes'!$D$2:$K3335,MATCH($B781,'HS Codes'!$A$2:$A3335,0),MATCH(F$1,'HS Codes'!$D$1:$K$1,0)),"")</f>
        <v>6302.53.00.20</v>
      </c>
      <c r="G781" s="8">
        <f>_xlfn.IFNA(INDEX('HS Codes'!$D$2:$K3335,MATCH($B781,'HS Codes'!$A$2:$A3335,0),MATCH(G$1,'HS Codes'!$D$1:$K$1,0)),"")</f>
        <v>6302531000</v>
      </c>
      <c r="H781" s="8">
        <f>_xlfn.IFNA(INDEX('HS Codes'!$D$2:$K3335,MATCH($B781,'HS Codes'!$A$2:$A3335,0),MATCH(H$1,'HS Codes'!$D$1:$K$1,0)),"")</f>
        <v>6302531000</v>
      </c>
      <c r="I781" s="8">
        <f>_xlfn.IFNA(INDEX('HS Codes'!$D$2:$K3335,MATCH($B781,'HS Codes'!$A$2:$A3335,0),MATCH(I$1,'HS Codes'!$D$1:$K$1,0)),"")</f>
        <v>63029310</v>
      </c>
      <c r="J781" s="8">
        <f>_xlfn.IFNA(INDEX('HS Codes'!$D$2:$K3335,MATCH($B781,'HS Codes'!$A$2:$A3335,0),MATCH(J$1,'HS Codes'!$D$1:$K$1,0)),"")</f>
        <v>0</v>
      </c>
      <c r="K781" s="8" t="str">
        <f>_xlfn.IFNA(INDEX('HS Codes'!$D$2:$K3335,MATCH($B781,'HS Codes'!$A$2:$A3335,0),MATCH(K$1,'HS Codes'!$D$1:$K$1,0)),"")</f>
        <v>6302.53.00</v>
      </c>
      <c r="L781" s="8">
        <f>_xlfn.IFNA(INDEX('HS Codes'!$D$2:$K3335,MATCH($B781,'HS Codes'!$A$2:$A3335,0),MATCH(L$1,'HS Codes'!$D$1:$K$1,0)),"")</f>
        <v>0</v>
      </c>
      <c r="M781" s="8" t="str">
        <f>_xlfn.IFNA(INDEX('HS Codes'!$C$2:$C3335,MATCH($B781,'HS Codes'!$A$2:$A3335,0)),"")</f>
        <v>Kitchen Linen 100% recycled 300 GSM/83% polyester/17% polyamide (no cotton)</v>
      </c>
      <c r="N781" s="9"/>
      <c r="O781" s="9"/>
      <c r="P781" s="9"/>
      <c r="Q781" s="9"/>
    </row>
    <row r="782" spans="1:17" ht="15.75" customHeight="1">
      <c r="A782" s="7" t="s">
        <v>1074</v>
      </c>
      <c r="B782" s="7" t="s">
        <v>159</v>
      </c>
      <c r="C782" s="7" t="s">
        <v>278</v>
      </c>
      <c r="D782" s="7" t="s">
        <v>160</v>
      </c>
      <c r="E782" s="7" t="s">
        <v>160</v>
      </c>
      <c r="F782" s="8" t="str">
        <f>_xlfn.IFNA(INDEX('HS Codes'!$D$2:$K3336,MATCH($B782,'HS Codes'!$A$2:$A3336,0),MATCH(F$1,'HS Codes'!$D$1:$K$1,0)),"")</f>
        <v>6302.53.00.20</v>
      </c>
      <c r="G782" s="8">
        <f>_xlfn.IFNA(INDEX('HS Codes'!$D$2:$K3336,MATCH($B782,'HS Codes'!$A$2:$A3336,0),MATCH(G$1,'HS Codes'!$D$1:$K$1,0)),"")</f>
        <v>6302531000</v>
      </c>
      <c r="H782" s="8">
        <f>_xlfn.IFNA(INDEX('HS Codes'!$D$2:$K3336,MATCH($B782,'HS Codes'!$A$2:$A3336,0),MATCH(H$1,'HS Codes'!$D$1:$K$1,0)),"")</f>
        <v>6302531000</v>
      </c>
      <c r="I782" s="8">
        <f>_xlfn.IFNA(INDEX('HS Codes'!$D$2:$K3336,MATCH($B782,'HS Codes'!$A$2:$A3336,0),MATCH(I$1,'HS Codes'!$D$1:$K$1,0)),"")</f>
        <v>63029310</v>
      </c>
      <c r="J782" s="8">
        <f>_xlfn.IFNA(INDEX('HS Codes'!$D$2:$K3336,MATCH($B782,'HS Codes'!$A$2:$A3336,0),MATCH(J$1,'HS Codes'!$D$1:$K$1,0)),"")</f>
        <v>0</v>
      </c>
      <c r="K782" s="8" t="str">
        <f>_xlfn.IFNA(INDEX('HS Codes'!$D$2:$K3336,MATCH($B782,'HS Codes'!$A$2:$A3336,0),MATCH(K$1,'HS Codes'!$D$1:$K$1,0)),"")</f>
        <v>6302.53.00</v>
      </c>
      <c r="L782" s="8">
        <f>_xlfn.IFNA(INDEX('HS Codes'!$D$2:$K3336,MATCH($B782,'HS Codes'!$A$2:$A3336,0),MATCH(L$1,'HS Codes'!$D$1:$K$1,0)),"")</f>
        <v>0</v>
      </c>
      <c r="M782" s="8" t="str">
        <f>_xlfn.IFNA(INDEX('HS Codes'!$C$2:$C3336,MATCH($B782,'HS Codes'!$A$2:$A3336,0)),"")</f>
        <v>Kitchen Linen 100% recycled 300 GSM/83% polyester/17% polyamide (no cotton)</v>
      </c>
      <c r="N782" s="9"/>
      <c r="O782" s="9"/>
      <c r="P782" s="9"/>
      <c r="Q782" s="9"/>
    </row>
    <row r="783" spans="1:17" ht="15.75" customHeight="1">
      <c r="A783" s="7" t="s">
        <v>1075</v>
      </c>
      <c r="B783" s="7" t="s">
        <v>159</v>
      </c>
      <c r="C783" s="7" t="s">
        <v>278</v>
      </c>
      <c r="D783" s="7" t="s">
        <v>160</v>
      </c>
      <c r="E783" s="7" t="s">
        <v>160</v>
      </c>
      <c r="F783" s="8" t="str">
        <f>_xlfn.IFNA(INDEX('HS Codes'!$D$2:$K3337,MATCH($B783,'HS Codes'!$A$2:$A3337,0),MATCH(F$1,'HS Codes'!$D$1:$K$1,0)),"")</f>
        <v>6302.53.00.20</v>
      </c>
      <c r="G783" s="8">
        <f>_xlfn.IFNA(INDEX('HS Codes'!$D$2:$K3337,MATCH($B783,'HS Codes'!$A$2:$A3337,0),MATCH(G$1,'HS Codes'!$D$1:$K$1,0)),"")</f>
        <v>6302531000</v>
      </c>
      <c r="H783" s="8">
        <f>_xlfn.IFNA(INDEX('HS Codes'!$D$2:$K3337,MATCH($B783,'HS Codes'!$A$2:$A3337,0),MATCH(H$1,'HS Codes'!$D$1:$K$1,0)),"")</f>
        <v>6302531000</v>
      </c>
      <c r="I783" s="8">
        <f>_xlfn.IFNA(INDEX('HS Codes'!$D$2:$K3337,MATCH($B783,'HS Codes'!$A$2:$A3337,0),MATCH(I$1,'HS Codes'!$D$1:$K$1,0)),"")</f>
        <v>63029310</v>
      </c>
      <c r="J783" s="8">
        <f>_xlfn.IFNA(INDEX('HS Codes'!$D$2:$K3337,MATCH($B783,'HS Codes'!$A$2:$A3337,0),MATCH(J$1,'HS Codes'!$D$1:$K$1,0)),"")</f>
        <v>0</v>
      </c>
      <c r="K783" s="8" t="str">
        <f>_xlfn.IFNA(INDEX('HS Codes'!$D$2:$K3337,MATCH($B783,'HS Codes'!$A$2:$A3337,0),MATCH(K$1,'HS Codes'!$D$1:$K$1,0)),"")</f>
        <v>6302.53.00</v>
      </c>
      <c r="L783" s="8">
        <f>_xlfn.IFNA(INDEX('HS Codes'!$D$2:$K3337,MATCH($B783,'HS Codes'!$A$2:$A3337,0),MATCH(L$1,'HS Codes'!$D$1:$K$1,0)),"")</f>
        <v>0</v>
      </c>
      <c r="M783" s="8" t="str">
        <f>_xlfn.IFNA(INDEX('HS Codes'!$C$2:$C3337,MATCH($B783,'HS Codes'!$A$2:$A3337,0)),"")</f>
        <v>Kitchen Linen 100% recycled 300 GSM/83% polyester/17% polyamide (no cotton)</v>
      </c>
      <c r="N783" s="9"/>
      <c r="O783" s="9"/>
      <c r="P783" s="9"/>
      <c r="Q783" s="9"/>
    </row>
    <row r="784" spans="1:17" ht="15.75" customHeight="1">
      <c r="A784" s="7" t="s">
        <v>1076</v>
      </c>
      <c r="B784" s="7" t="s">
        <v>164</v>
      </c>
      <c r="C784" s="7" t="s">
        <v>278</v>
      </c>
      <c r="D784" s="7" t="s">
        <v>165</v>
      </c>
      <c r="E784" s="7" t="s">
        <v>348</v>
      </c>
      <c r="F784" s="8" t="str">
        <f>_xlfn.IFNA(INDEX('HS Codes'!$D$2:$K3338,MATCH($B784,'HS Codes'!$A$2:$A3338,0),MATCH(F$1,'HS Codes'!$D$1:$K$1,0)),"")</f>
        <v>6302.93.2000</v>
      </c>
      <c r="G784" s="8">
        <f>_xlfn.IFNA(INDEX('HS Codes'!$D$2:$K3338,MATCH($B784,'HS Codes'!$A$2:$A3338,0),MATCH(G$1,'HS Codes'!$D$1:$K$1,0)),"")</f>
        <v>6302600090</v>
      </c>
      <c r="H784" s="8" t="str">
        <f>_xlfn.IFNA(INDEX('HS Codes'!$D$2:$K3338,MATCH($B784,'HS Codes'!$A$2:$A3338,0),MATCH(H$1,'HS Codes'!$D$1:$K$1,0)),"")</f>
        <v>6302.93.00.00</v>
      </c>
      <c r="I784" s="8">
        <f>_xlfn.IFNA(INDEX('HS Codes'!$D$2:$K3338,MATCH($B784,'HS Codes'!$A$2:$A3338,0),MATCH(I$1,'HS Codes'!$D$1:$K$1,0)),"")</f>
        <v>63029390</v>
      </c>
      <c r="J784" s="8">
        <f>_xlfn.IFNA(INDEX('HS Codes'!$D$2:$K3338,MATCH($B784,'HS Codes'!$A$2:$A3338,0),MATCH(J$1,'HS Codes'!$D$1:$K$1,0)),"")</f>
        <v>0</v>
      </c>
      <c r="K784" s="8" t="str">
        <f>_xlfn.IFNA(INDEX('HS Codes'!$D$2:$K3338,MATCH($B784,'HS Codes'!$A$2:$A3338,0),MATCH(K$1,'HS Codes'!$D$1:$K$1,0)),"")</f>
        <v>6302.39.00</v>
      </c>
      <c r="L784" s="8">
        <f>_xlfn.IFNA(INDEX('HS Codes'!$D$2:$K3338,MATCH($B784,'HS Codes'!$A$2:$A3338,0),MATCH(L$1,'HS Codes'!$D$1:$K$1,0)),"")</f>
        <v>63029120</v>
      </c>
      <c r="M784" s="8" t="str">
        <f>_xlfn.IFNA(INDEX('HS Codes'!$C$2:$C3338,MATCH($B784,'HS Codes'!$A$2:$A3338,0)),"")</f>
        <v>Beach Towel - Toilet Linen 100% recycled 220 GSM/83% polyester/17% polyamide includes cotton on the packing pouch drawstring</v>
      </c>
      <c r="N784" s="9"/>
      <c r="O784" s="9"/>
      <c r="P784" s="9"/>
      <c r="Q784" s="9"/>
    </row>
    <row r="785" spans="1:17" ht="15.75" customHeight="1">
      <c r="A785" s="7" t="s">
        <v>1077</v>
      </c>
      <c r="B785" s="7" t="s">
        <v>164</v>
      </c>
      <c r="C785" s="7" t="s">
        <v>278</v>
      </c>
      <c r="D785" s="7" t="s">
        <v>165</v>
      </c>
      <c r="E785" s="7" t="s">
        <v>348</v>
      </c>
      <c r="F785" s="8" t="str">
        <f>_xlfn.IFNA(INDEX('HS Codes'!$D$2:$K3339,MATCH($B785,'HS Codes'!$A$2:$A3339,0),MATCH(F$1,'HS Codes'!$D$1:$K$1,0)),"")</f>
        <v>6302.93.2000</v>
      </c>
      <c r="G785" s="8">
        <f>_xlfn.IFNA(INDEX('HS Codes'!$D$2:$K3339,MATCH($B785,'HS Codes'!$A$2:$A3339,0),MATCH(G$1,'HS Codes'!$D$1:$K$1,0)),"")</f>
        <v>6302600090</v>
      </c>
      <c r="H785" s="8" t="str">
        <f>_xlfn.IFNA(INDEX('HS Codes'!$D$2:$K3339,MATCH($B785,'HS Codes'!$A$2:$A3339,0),MATCH(H$1,'HS Codes'!$D$1:$K$1,0)),"")</f>
        <v>6302.93.00.00</v>
      </c>
      <c r="I785" s="8">
        <f>_xlfn.IFNA(INDEX('HS Codes'!$D$2:$K3339,MATCH($B785,'HS Codes'!$A$2:$A3339,0),MATCH(I$1,'HS Codes'!$D$1:$K$1,0)),"")</f>
        <v>63029390</v>
      </c>
      <c r="J785" s="8">
        <f>_xlfn.IFNA(INDEX('HS Codes'!$D$2:$K3339,MATCH($B785,'HS Codes'!$A$2:$A3339,0),MATCH(J$1,'HS Codes'!$D$1:$K$1,0)),"")</f>
        <v>0</v>
      </c>
      <c r="K785" s="8" t="str">
        <f>_xlfn.IFNA(INDEX('HS Codes'!$D$2:$K3339,MATCH($B785,'HS Codes'!$A$2:$A3339,0),MATCH(K$1,'HS Codes'!$D$1:$K$1,0)),"")</f>
        <v>6302.39.00</v>
      </c>
      <c r="L785" s="8">
        <f>_xlfn.IFNA(INDEX('HS Codes'!$D$2:$K3339,MATCH($B785,'HS Codes'!$A$2:$A3339,0),MATCH(L$1,'HS Codes'!$D$1:$K$1,0)),"")</f>
        <v>63029120</v>
      </c>
      <c r="M785" s="8" t="str">
        <f>_xlfn.IFNA(INDEX('HS Codes'!$C$2:$C3339,MATCH($B785,'HS Codes'!$A$2:$A3339,0)),"")</f>
        <v>Beach Towel - Toilet Linen 100% recycled 220 GSM/83% polyester/17% polyamide includes cotton on the packing pouch drawstring</v>
      </c>
      <c r="N785" s="9"/>
      <c r="O785" s="9"/>
      <c r="P785" s="9"/>
      <c r="Q785" s="9"/>
    </row>
    <row r="786" spans="1:17" ht="15.75" customHeight="1">
      <c r="A786" s="7" t="s">
        <v>1078</v>
      </c>
      <c r="B786" s="7" t="s">
        <v>164</v>
      </c>
      <c r="C786" s="7" t="s">
        <v>278</v>
      </c>
      <c r="D786" s="7" t="s">
        <v>165</v>
      </c>
      <c r="E786" s="7" t="s">
        <v>348</v>
      </c>
      <c r="F786" s="8" t="str">
        <f>_xlfn.IFNA(INDEX('HS Codes'!$D$2:$K3340,MATCH($B786,'HS Codes'!$A$2:$A3340,0),MATCH(F$1,'HS Codes'!$D$1:$K$1,0)),"")</f>
        <v>6302.93.2000</v>
      </c>
      <c r="G786" s="8">
        <f>_xlfn.IFNA(INDEX('HS Codes'!$D$2:$K3340,MATCH($B786,'HS Codes'!$A$2:$A3340,0),MATCH(G$1,'HS Codes'!$D$1:$K$1,0)),"")</f>
        <v>6302600090</v>
      </c>
      <c r="H786" s="8" t="str">
        <f>_xlfn.IFNA(INDEX('HS Codes'!$D$2:$K3340,MATCH($B786,'HS Codes'!$A$2:$A3340,0),MATCH(H$1,'HS Codes'!$D$1:$K$1,0)),"")</f>
        <v>6302.93.00.00</v>
      </c>
      <c r="I786" s="8">
        <f>_xlfn.IFNA(INDEX('HS Codes'!$D$2:$K3340,MATCH($B786,'HS Codes'!$A$2:$A3340,0),MATCH(I$1,'HS Codes'!$D$1:$K$1,0)),"")</f>
        <v>63029390</v>
      </c>
      <c r="J786" s="8">
        <f>_xlfn.IFNA(INDEX('HS Codes'!$D$2:$K3340,MATCH($B786,'HS Codes'!$A$2:$A3340,0),MATCH(J$1,'HS Codes'!$D$1:$K$1,0)),"")</f>
        <v>0</v>
      </c>
      <c r="K786" s="8" t="str">
        <f>_xlfn.IFNA(INDEX('HS Codes'!$D$2:$K3340,MATCH($B786,'HS Codes'!$A$2:$A3340,0),MATCH(K$1,'HS Codes'!$D$1:$K$1,0)),"")</f>
        <v>6302.39.00</v>
      </c>
      <c r="L786" s="8">
        <f>_xlfn.IFNA(INDEX('HS Codes'!$D$2:$K3340,MATCH($B786,'HS Codes'!$A$2:$A3340,0),MATCH(L$1,'HS Codes'!$D$1:$K$1,0)),"")</f>
        <v>63029120</v>
      </c>
      <c r="M786" s="8" t="str">
        <f>_xlfn.IFNA(INDEX('HS Codes'!$C$2:$C3340,MATCH($B786,'HS Codes'!$A$2:$A3340,0)),"")</f>
        <v>Beach Towel - Toilet Linen 100% recycled 220 GSM/83% polyester/17% polyamide includes cotton on the packing pouch drawstring</v>
      </c>
      <c r="N786" s="9"/>
      <c r="O786" s="9"/>
      <c r="P786" s="9"/>
      <c r="Q786" s="9"/>
    </row>
    <row r="787" spans="1:17" ht="15.75" customHeight="1">
      <c r="A787" s="7" t="s">
        <v>1079</v>
      </c>
      <c r="B787" s="7" t="s">
        <v>164</v>
      </c>
      <c r="C787" s="7" t="s">
        <v>278</v>
      </c>
      <c r="D787" s="7" t="s">
        <v>165</v>
      </c>
      <c r="E787" s="7" t="s">
        <v>348</v>
      </c>
      <c r="F787" s="8" t="str">
        <f>_xlfn.IFNA(INDEX('HS Codes'!$D$2:$K3341,MATCH($B787,'HS Codes'!$A$2:$A3341,0),MATCH(F$1,'HS Codes'!$D$1:$K$1,0)),"")</f>
        <v>6302.93.2000</v>
      </c>
      <c r="G787" s="8">
        <f>_xlfn.IFNA(INDEX('HS Codes'!$D$2:$K3341,MATCH($B787,'HS Codes'!$A$2:$A3341,0),MATCH(G$1,'HS Codes'!$D$1:$K$1,0)),"")</f>
        <v>6302600090</v>
      </c>
      <c r="H787" s="8" t="str">
        <f>_xlfn.IFNA(INDEX('HS Codes'!$D$2:$K3341,MATCH($B787,'HS Codes'!$A$2:$A3341,0),MATCH(H$1,'HS Codes'!$D$1:$K$1,0)),"")</f>
        <v>6302.93.00.00</v>
      </c>
      <c r="I787" s="8">
        <f>_xlfn.IFNA(INDEX('HS Codes'!$D$2:$K3341,MATCH($B787,'HS Codes'!$A$2:$A3341,0),MATCH(I$1,'HS Codes'!$D$1:$K$1,0)),"")</f>
        <v>63029390</v>
      </c>
      <c r="J787" s="8">
        <f>_xlfn.IFNA(INDEX('HS Codes'!$D$2:$K3341,MATCH($B787,'HS Codes'!$A$2:$A3341,0),MATCH(J$1,'HS Codes'!$D$1:$K$1,0)),"")</f>
        <v>0</v>
      </c>
      <c r="K787" s="8" t="str">
        <f>_xlfn.IFNA(INDEX('HS Codes'!$D$2:$K3341,MATCH($B787,'HS Codes'!$A$2:$A3341,0),MATCH(K$1,'HS Codes'!$D$1:$K$1,0)),"")</f>
        <v>6302.39.00</v>
      </c>
      <c r="L787" s="8">
        <f>_xlfn.IFNA(INDEX('HS Codes'!$D$2:$K3341,MATCH($B787,'HS Codes'!$A$2:$A3341,0),MATCH(L$1,'HS Codes'!$D$1:$K$1,0)),"")</f>
        <v>63029120</v>
      </c>
      <c r="M787" s="8" t="str">
        <f>_xlfn.IFNA(INDEX('HS Codes'!$C$2:$C3341,MATCH($B787,'HS Codes'!$A$2:$A3341,0)),"")</f>
        <v>Beach Towel - Toilet Linen 100% recycled 220 GSM/83% polyester/17% polyamide includes cotton on the packing pouch drawstring</v>
      </c>
      <c r="N787" s="9"/>
      <c r="O787" s="9"/>
      <c r="P787" s="9"/>
      <c r="Q787" s="9"/>
    </row>
    <row r="788" spans="1:17" ht="15.75" customHeight="1">
      <c r="A788" s="7" t="s">
        <v>1080</v>
      </c>
      <c r="B788" s="7" t="s">
        <v>164</v>
      </c>
      <c r="C788" s="7" t="s">
        <v>278</v>
      </c>
      <c r="D788" s="7" t="s">
        <v>165</v>
      </c>
      <c r="E788" s="7" t="s">
        <v>348</v>
      </c>
      <c r="F788" s="8" t="str">
        <f>_xlfn.IFNA(INDEX('HS Codes'!$D$2:$K3342,MATCH($B788,'HS Codes'!$A$2:$A3342,0),MATCH(F$1,'HS Codes'!$D$1:$K$1,0)),"")</f>
        <v>6302.93.2000</v>
      </c>
      <c r="G788" s="8">
        <f>_xlfn.IFNA(INDEX('HS Codes'!$D$2:$K3342,MATCH($B788,'HS Codes'!$A$2:$A3342,0),MATCH(G$1,'HS Codes'!$D$1:$K$1,0)),"")</f>
        <v>6302600090</v>
      </c>
      <c r="H788" s="8" t="str">
        <f>_xlfn.IFNA(INDEX('HS Codes'!$D$2:$K3342,MATCH($B788,'HS Codes'!$A$2:$A3342,0),MATCH(H$1,'HS Codes'!$D$1:$K$1,0)),"")</f>
        <v>6302.93.00.00</v>
      </c>
      <c r="I788" s="8">
        <f>_xlfn.IFNA(INDEX('HS Codes'!$D$2:$K3342,MATCH($B788,'HS Codes'!$A$2:$A3342,0),MATCH(I$1,'HS Codes'!$D$1:$K$1,0)),"")</f>
        <v>63029390</v>
      </c>
      <c r="J788" s="8">
        <f>_xlfn.IFNA(INDEX('HS Codes'!$D$2:$K3342,MATCH($B788,'HS Codes'!$A$2:$A3342,0),MATCH(J$1,'HS Codes'!$D$1:$K$1,0)),"")</f>
        <v>0</v>
      </c>
      <c r="K788" s="8" t="str">
        <f>_xlfn.IFNA(INDEX('HS Codes'!$D$2:$K3342,MATCH($B788,'HS Codes'!$A$2:$A3342,0),MATCH(K$1,'HS Codes'!$D$1:$K$1,0)),"")</f>
        <v>6302.39.00</v>
      </c>
      <c r="L788" s="8">
        <f>_xlfn.IFNA(INDEX('HS Codes'!$D$2:$K3342,MATCH($B788,'HS Codes'!$A$2:$A3342,0),MATCH(L$1,'HS Codes'!$D$1:$K$1,0)),"")</f>
        <v>63029120</v>
      </c>
      <c r="M788" s="8" t="str">
        <f>_xlfn.IFNA(INDEX('HS Codes'!$C$2:$C3342,MATCH($B788,'HS Codes'!$A$2:$A3342,0)),"")</f>
        <v>Beach Towel - Toilet Linen 100% recycled 220 GSM/83% polyester/17% polyamide includes cotton on the packing pouch drawstring</v>
      </c>
      <c r="N788" s="9"/>
      <c r="O788" s="9"/>
      <c r="P788" s="9"/>
      <c r="Q788" s="9"/>
    </row>
    <row r="789" spans="1:17" ht="15.75" customHeight="1">
      <c r="A789" s="7" t="s">
        <v>1081</v>
      </c>
      <c r="B789" s="7" t="s">
        <v>164</v>
      </c>
      <c r="C789" s="7" t="s">
        <v>278</v>
      </c>
      <c r="D789" s="7" t="s">
        <v>165</v>
      </c>
      <c r="E789" s="7" t="s">
        <v>348</v>
      </c>
      <c r="F789" s="8" t="str">
        <f>_xlfn.IFNA(INDEX('HS Codes'!$D$2:$K3343,MATCH($B789,'HS Codes'!$A$2:$A3343,0),MATCH(F$1,'HS Codes'!$D$1:$K$1,0)),"")</f>
        <v>6302.93.2000</v>
      </c>
      <c r="G789" s="8">
        <f>_xlfn.IFNA(INDEX('HS Codes'!$D$2:$K3343,MATCH($B789,'HS Codes'!$A$2:$A3343,0),MATCH(G$1,'HS Codes'!$D$1:$K$1,0)),"")</f>
        <v>6302600090</v>
      </c>
      <c r="H789" s="8" t="str">
        <f>_xlfn.IFNA(INDEX('HS Codes'!$D$2:$K3343,MATCH($B789,'HS Codes'!$A$2:$A3343,0),MATCH(H$1,'HS Codes'!$D$1:$K$1,0)),"")</f>
        <v>6302.93.00.00</v>
      </c>
      <c r="I789" s="8">
        <f>_xlfn.IFNA(INDEX('HS Codes'!$D$2:$K3343,MATCH($B789,'HS Codes'!$A$2:$A3343,0),MATCH(I$1,'HS Codes'!$D$1:$K$1,0)),"")</f>
        <v>63029390</v>
      </c>
      <c r="J789" s="8">
        <f>_xlfn.IFNA(INDEX('HS Codes'!$D$2:$K3343,MATCH($B789,'HS Codes'!$A$2:$A3343,0),MATCH(J$1,'HS Codes'!$D$1:$K$1,0)),"")</f>
        <v>0</v>
      </c>
      <c r="K789" s="8" t="str">
        <f>_xlfn.IFNA(INDEX('HS Codes'!$D$2:$K3343,MATCH($B789,'HS Codes'!$A$2:$A3343,0),MATCH(K$1,'HS Codes'!$D$1:$K$1,0)),"")</f>
        <v>6302.39.00</v>
      </c>
      <c r="L789" s="8">
        <f>_xlfn.IFNA(INDEX('HS Codes'!$D$2:$K3343,MATCH($B789,'HS Codes'!$A$2:$A3343,0),MATCH(L$1,'HS Codes'!$D$1:$K$1,0)),"")</f>
        <v>63029120</v>
      </c>
      <c r="M789" s="8" t="str">
        <f>_xlfn.IFNA(INDEX('HS Codes'!$C$2:$C3343,MATCH($B789,'HS Codes'!$A$2:$A3343,0)),"")</f>
        <v>Beach Towel - Toilet Linen 100% recycled 220 GSM/83% polyester/17% polyamide includes cotton on the packing pouch drawstring</v>
      </c>
      <c r="N789" s="9"/>
      <c r="O789" s="9"/>
      <c r="P789" s="9"/>
      <c r="Q789" s="9"/>
    </row>
    <row r="790" spans="1:17" ht="15.75" customHeight="1">
      <c r="A790" s="7" t="s">
        <v>1082</v>
      </c>
      <c r="B790" s="7" t="s">
        <v>164</v>
      </c>
      <c r="C790" s="7" t="s">
        <v>278</v>
      </c>
      <c r="D790" s="7" t="s">
        <v>165</v>
      </c>
      <c r="E790" s="7" t="s">
        <v>348</v>
      </c>
      <c r="F790" s="8" t="str">
        <f>_xlfn.IFNA(INDEX('HS Codes'!$D$2:$K3344,MATCH($B790,'HS Codes'!$A$2:$A3344,0),MATCH(F$1,'HS Codes'!$D$1:$K$1,0)),"")</f>
        <v>6302.93.2000</v>
      </c>
      <c r="G790" s="8">
        <f>_xlfn.IFNA(INDEX('HS Codes'!$D$2:$K3344,MATCH($B790,'HS Codes'!$A$2:$A3344,0),MATCH(G$1,'HS Codes'!$D$1:$K$1,0)),"")</f>
        <v>6302600090</v>
      </c>
      <c r="H790" s="8" t="str">
        <f>_xlfn.IFNA(INDEX('HS Codes'!$D$2:$K3344,MATCH($B790,'HS Codes'!$A$2:$A3344,0),MATCH(H$1,'HS Codes'!$D$1:$K$1,0)),"")</f>
        <v>6302.93.00.00</v>
      </c>
      <c r="I790" s="8">
        <f>_xlfn.IFNA(INDEX('HS Codes'!$D$2:$K3344,MATCH($B790,'HS Codes'!$A$2:$A3344,0),MATCH(I$1,'HS Codes'!$D$1:$K$1,0)),"")</f>
        <v>63029390</v>
      </c>
      <c r="J790" s="8">
        <f>_xlfn.IFNA(INDEX('HS Codes'!$D$2:$K3344,MATCH($B790,'HS Codes'!$A$2:$A3344,0),MATCH(J$1,'HS Codes'!$D$1:$K$1,0)),"")</f>
        <v>0</v>
      </c>
      <c r="K790" s="8" t="str">
        <f>_xlfn.IFNA(INDEX('HS Codes'!$D$2:$K3344,MATCH($B790,'HS Codes'!$A$2:$A3344,0),MATCH(K$1,'HS Codes'!$D$1:$K$1,0)),"")</f>
        <v>6302.39.00</v>
      </c>
      <c r="L790" s="8">
        <f>_xlfn.IFNA(INDEX('HS Codes'!$D$2:$K3344,MATCH($B790,'HS Codes'!$A$2:$A3344,0),MATCH(L$1,'HS Codes'!$D$1:$K$1,0)),"")</f>
        <v>63029120</v>
      </c>
      <c r="M790" s="8" t="str">
        <f>_xlfn.IFNA(INDEX('HS Codes'!$C$2:$C3344,MATCH($B790,'HS Codes'!$A$2:$A3344,0)),"")</f>
        <v>Beach Towel - Toilet Linen 100% recycled 220 GSM/83% polyester/17% polyamide includes cotton on the packing pouch drawstring</v>
      </c>
      <c r="N790" s="9"/>
      <c r="O790" s="9"/>
      <c r="P790" s="9"/>
      <c r="Q790" s="9"/>
    </row>
    <row r="791" spans="1:17" ht="15.75" customHeight="1">
      <c r="A791" s="7" t="s">
        <v>1083</v>
      </c>
      <c r="B791" s="7" t="s">
        <v>164</v>
      </c>
      <c r="C791" s="7" t="s">
        <v>278</v>
      </c>
      <c r="D791" s="7" t="s">
        <v>165</v>
      </c>
      <c r="E791" s="7" t="s">
        <v>348</v>
      </c>
      <c r="F791" s="8" t="str">
        <f>_xlfn.IFNA(INDEX('HS Codes'!$D$2:$K3345,MATCH($B791,'HS Codes'!$A$2:$A3345,0),MATCH(F$1,'HS Codes'!$D$1:$K$1,0)),"")</f>
        <v>6302.93.2000</v>
      </c>
      <c r="G791" s="8">
        <f>_xlfn.IFNA(INDEX('HS Codes'!$D$2:$K3345,MATCH($B791,'HS Codes'!$A$2:$A3345,0),MATCH(G$1,'HS Codes'!$D$1:$K$1,0)),"")</f>
        <v>6302600090</v>
      </c>
      <c r="H791" s="8" t="str">
        <f>_xlfn.IFNA(INDEX('HS Codes'!$D$2:$K3345,MATCH($B791,'HS Codes'!$A$2:$A3345,0),MATCH(H$1,'HS Codes'!$D$1:$K$1,0)),"")</f>
        <v>6302.93.00.00</v>
      </c>
      <c r="I791" s="8">
        <f>_xlfn.IFNA(INDEX('HS Codes'!$D$2:$K3345,MATCH($B791,'HS Codes'!$A$2:$A3345,0),MATCH(I$1,'HS Codes'!$D$1:$K$1,0)),"")</f>
        <v>63029390</v>
      </c>
      <c r="J791" s="8">
        <f>_xlfn.IFNA(INDEX('HS Codes'!$D$2:$K3345,MATCH($B791,'HS Codes'!$A$2:$A3345,0),MATCH(J$1,'HS Codes'!$D$1:$K$1,0)),"")</f>
        <v>0</v>
      </c>
      <c r="K791" s="8" t="str">
        <f>_xlfn.IFNA(INDEX('HS Codes'!$D$2:$K3345,MATCH($B791,'HS Codes'!$A$2:$A3345,0),MATCH(K$1,'HS Codes'!$D$1:$K$1,0)),"")</f>
        <v>6302.39.00</v>
      </c>
      <c r="L791" s="8">
        <f>_xlfn.IFNA(INDEX('HS Codes'!$D$2:$K3345,MATCH($B791,'HS Codes'!$A$2:$A3345,0),MATCH(L$1,'HS Codes'!$D$1:$K$1,0)),"")</f>
        <v>63029120</v>
      </c>
      <c r="M791" s="8" t="str">
        <f>_xlfn.IFNA(INDEX('HS Codes'!$C$2:$C3345,MATCH($B791,'HS Codes'!$A$2:$A3345,0)),"")</f>
        <v>Beach Towel - Toilet Linen 100% recycled 220 GSM/83% polyester/17% polyamide includes cotton on the packing pouch drawstring</v>
      </c>
      <c r="N791" s="9"/>
      <c r="O791" s="9"/>
      <c r="P791" s="9"/>
      <c r="Q791" s="9"/>
    </row>
    <row r="792" spans="1:17" ht="15.75" customHeight="1">
      <c r="A792" s="7" t="s">
        <v>1084</v>
      </c>
      <c r="B792" s="7" t="s">
        <v>164</v>
      </c>
      <c r="C792" s="7" t="s">
        <v>278</v>
      </c>
      <c r="D792" s="7" t="s">
        <v>165</v>
      </c>
      <c r="E792" s="7" t="s">
        <v>348</v>
      </c>
      <c r="F792" s="8" t="str">
        <f>_xlfn.IFNA(INDEX('HS Codes'!$D$2:$K3346,MATCH($B792,'HS Codes'!$A$2:$A3346,0),MATCH(F$1,'HS Codes'!$D$1:$K$1,0)),"")</f>
        <v>6302.93.2000</v>
      </c>
      <c r="G792" s="8">
        <f>_xlfn.IFNA(INDEX('HS Codes'!$D$2:$K3346,MATCH($B792,'HS Codes'!$A$2:$A3346,0),MATCH(G$1,'HS Codes'!$D$1:$K$1,0)),"")</f>
        <v>6302600090</v>
      </c>
      <c r="H792" s="8" t="str">
        <f>_xlfn.IFNA(INDEX('HS Codes'!$D$2:$K3346,MATCH($B792,'HS Codes'!$A$2:$A3346,0),MATCH(H$1,'HS Codes'!$D$1:$K$1,0)),"")</f>
        <v>6302.93.00.00</v>
      </c>
      <c r="I792" s="8">
        <f>_xlfn.IFNA(INDEX('HS Codes'!$D$2:$K3346,MATCH($B792,'HS Codes'!$A$2:$A3346,0),MATCH(I$1,'HS Codes'!$D$1:$K$1,0)),"")</f>
        <v>63029390</v>
      </c>
      <c r="J792" s="8">
        <f>_xlfn.IFNA(INDEX('HS Codes'!$D$2:$K3346,MATCH($B792,'HS Codes'!$A$2:$A3346,0),MATCH(J$1,'HS Codes'!$D$1:$K$1,0)),"")</f>
        <v>0</v>
      </c>
      <c r="K792" s="8" t="str">
        <f>_xlfn.IFNA(INDEX('HS Codes'!$D$2:$K3346,MATCH($B792,'HS Codes'!$A$2:$A3346,0),MATCH(K$1,'HS Codes'!$D$1:$K$1,0)),"")</f>
        <v>6302.39.00</v>
      </c>
      <c r="L792" s="8">
        <f>_xlfn.IFNA(INDEX('HS Codes'!$D$2:$K3346,MATCH($B792,'HS Codes'!$A$2:$A3346,0),MATCH(L$1,'HS Codes'!$D$1:$K$1,0)),"")</f>
        <v>63029120</v>
      </c>
      <c r="M792" s="8" t="str">
        <f>_xlfn.IFNA(INDEX('HS Codes'!$C$2:$C3346,MATCH($B792,'HS Codes'!$A$2:$A3346,0)),"")</f>
        <v>Beach Towel - Toilet Linen 100% recycled 220 GSM/83% polyester/17% polyamide includes cotton on the packing pouch drawstring</v>
      </c>
      <c r="N792" s="9"/>
      <c r="O792" s="9"/>
      <c r="P792" s="9"/>
      <c r="Q792" s="9"/>
    </row>
    <row r="793" spans="1:17" ht="15.75" customHeight="1">
      <c r="A793" s="7" t="s">
        <v>1085</v>
      </c>
      <c r="B793" s="7" t="s">
        <v>164</v>
      </c>
      <c r="C793" s="7" t="s">
        <v>278</v>
      </c>
      <c r="D793" s="7" t="s">
        <v>165</v>
      </c>
      <c r="E793" s="7" t="s">
        <v>348</v>
      </c>
      <c r="F793" s="8" t="str">
        <f>_xlfn.IFNA(INDEX('HS Codes'!$D$2:$K3347,MATCH($B793,'HS Codes'!$A$2:$A3347,0),MATCH(F$1,'HS Codes'!$D$1:$K$1,0)),"")</f>
        <v>6302.93.2000</v>
      </c>
      <c r="G793" s="8">
        <f>_xlfn.IFNA(INDEX('HS Codes'!$D$2:$K3347,MATCH($B793,'HS Codes'!$A$2:$A3347,0),MATCH(G$1,'HS Codes'!$D$1:$K$1,0)),"")</f>
        <v>6302600090</v>
      </c>
      <c r="H793" s="8" t="str">
        <f>_xlfn.IFNA(INDEX('HS Codes'!$D$2:$K3347,MATCH($B793,'HS Codes'!$A$2:$A3347,0),MATCH(H$1,'HS Codes'!$D$1:$K$1,0)),"")</f>
        <v>6302.93.00.00</v>
      </c>
      <c r="I793" s="8">
        <f>_xlfn.IFNA(INDEX('HS Codes'!$D$2:$K3347,MATCH($B793,'HS Codes'!$A$2:$A3347,0),MATCH(I$1,'HS Codes'!$D$1:$K$1,0)),"")</f>
        <v>63029390</v>
      </c>
      <c r="J793" s="8">
        <f>_xlfn.IFNA(INDEX('HS Codes'!$D$2:$K3347,MATCH($B793,'HS Codes'!$A$2:$A3347,0),MATCH(J$1,'HS Codes'!$D$1:$K$1,0)),"")</f>
        <v>0</v>
      </c>
      <c r="K793" s="8" t="str">
        <f>_xlfn.IFNA(INDEX('HS Codes'!$D$2:$K3347,MATCH($B793,'HS Codes'!$A$2:$A3347,0),MATCH(K$1,'HS Codes'!$D$1:$K$1,0)),"")</f>
        <v>6302.39.00</v>
      </c>
      <c r="L793" s="8">
        <f>_xlfn.IFNA(INDEX('HS Codes'!$D$2:$K3347,MATCH($B793,'HS Codes'!$A$2:$A3347,0),MATCH(L$1,'HS Codes'!$D$1:$K$1,0)),"")</f>
        <v>63029120</v>
      </c>
      <c r="M793" s="8" t="str">
        <f>_xlfn.IFNA(INDEX('HS Codes'!$C$2:$C3347,MATCH($B793,'HS Codes'!$A$2:$A3347,0)),"")</f>
        <v>Beach Towel - Toilet Linen 100% recycled 220 GSM/83% polyester/17% polyamide includes cotton on the packing pouch drawstring</v>
      </c>
      <c r="N793" s="9"/>
      <c r="O793" s="9"/>
      <c r="P793" s="9"/>
      <c r="Q793" s="9"/>
    </row>
    <row r="794" spans="1:17" ht="15.75" customHeight="1">
      <c r="A794" s="7" t="s">
        <v>1086</v>
      </c>
      <c r="B794" s="7" t="s">
        <v>164</v>
      </c>
      <c r="C794" s="7" t="s">
        <v>278</v>
      </c>
      <c r="D794" s="7" t="s">
        <v>165</v>
      </c>
      <c r="E794" s="7" t="s">
        <v>348</v>
      </c>
      <c r="F794" s="8" t="str">
        <f>_xlfn.IFNA(INDEX('HS Codes'!$D$2:$K3348,MATCH($B794,'HS Codes'!$A$2:$A3348,0),MATCH(F$1,'HS Codes'!$D$1:$K$1,0)),"")</f>
        <v>6302.93.2000</v>
      </c>
      <c r="G794" s="8">
        <f>_xlfn.IFNA(INDEX('HS Codes'!$D$2:$K3348,MATCH($B794,'HS Codes'!$A$2:$A3348,0),MATCH(G$1,'HS Codes'!$D$1:$K$1,0)),"")</f>
        <v>6302600090</v>
      </c>
      <c r="H794" s="8" t="str">
        <f>_xlfn.IFNA(INDEX('HS Codes'!$D$2:$K3348,MATCH($B794,'HS Codes'!$A$2:$A3348,0),MATCH(H$1,'HS Codes'!$D$1:$K$1,0)),"")</f>
        <v>6302.93.00.00</v>
      </c>
      <c r="I794" s="8">
        <f>_xlfn.IFNA(INDEX('HS Codes'!$D$2:$K3348,MATCH($B794,'HS Codes'!$A$2:$A3348,0),MATCH(I$1,'HS Codes'!$D$1:$K$1,0)),"")</f>
        <v>63029390</v>
      </c>
      <c r="J794" s="8">
        <f>_xlfn.IFNA(INDEX('HS Codes'!$D$2:$K3348,MATCH($B794,'HS Codes'!$A$2:$A3348,0),MATCH(J$1,'HS Codes'!$D$1:$K$1,0)),"")</f>
        <v>0</v>
      </c>
      <c r="K794" s="8" t="str">
        <f>_xlfn.IFNA(INDEX('HS Codes'!$D$2:$K3348,MATCH($B794,'HS Codes'!$A$2:$A3348,0),MATCH(K$1,'HS Codes'!$D$1:$K$1,0)),"")</f>
        <v>6302.39.00</v>
      </c>
      <c r="L794" s="8">
        <f>_xlfn.IFNA(INDEX('HS Codes'!$D$2:$K3348,MATCH($B794,'HS Codes'!$A$2:$A3348,0),MATCH(L$1,'HS Codes'!$D$1:$K$1,0)),"")</f>
        <v>63029120</v>
      </c>
      <c r="M794" s="8" t="str">
        <f>_xlfn.IFNA(INDEX('HS Codes'!$C$2:$C3348,MATCH($B794,'HS Codes'!$A$2:$A3348,0)),"")</f>
        <v>Beach Towel - Toilet Linen 100% recycled 220 GSM/83% polyester/17% polyamide includes cotton on the packing pouch drawstring</v>
      </c>
      <c r="N794" s="9"/>
      <c r="O794" s="9"/>
      <c r="P794" s="9"/>
      <c r="Q794" s="9"/>
    </row>
    <row r="795" spans="1:17" ht="15.75" customHeight="1">
      <c r="A795" s="7" t="s">
        <v>1087</v>
      </c>
      <c r="B795" s="7" t="s">
        <v>164</v>
      </c>
      <c r="C795" s="7" t="s">
        <v>278</v>
      </c>
      <c r="D795" s="7" t="s">
        <v>165</v>
      </c>
      <c r="E795" s="7" t="s">
        <v>348</v>
      </c>
      <c r="F795" s="8" t="str">
        <f>_xlfn.IFNA(INDEX('HS Codes'!$D$2:$K3349,MATCH($B795,'HS Codes'!$A$2:$A3349,0),MATCH(F$1,'HS Codes'!$D$1:$K$1,0)),"")</f>
        <v>6302.93.2000</v>
      </c>
      <c r="G795" s="8">
        <f>_xlfn.IFNA(INDEX('HS Codes'!$D$2:$K3349,MATCH($B795,'HS Codes'!$A$2:$A3349,0),MATCH(G$1,'HS Codes'!$D$1:$K$1,0)),"")</f>
        <v>6302600090</v>
      </c>
      <c r="H795" s="8" t="str">
        <f>_xlfn.IFNA(INDEX('HS Codes'!$D$2:$K3349,MATCH($B795,'HS Codes'!$A$2:$A3349,0),MATCH(H$1,'HS Codes'!$D$1:$K$1,0)),"")</f>
        <v>6302.93.00.00</v>
      </c>
      <c r="I795" s="8">
        <f>_xlfn.IFNA(INDEX('HS Codes'!$D$2:$K3349,MATCH($B795,'HS Codes'!$A$2:$A3349,0),MATCH(I$1,'HS Codes'!$D$1:$K$1,0)),"")</f>
        <v>63029390</v>
      </c>
      <c r="J795" s="8">
        <f>_xlfn.IFNA(INDEX('HS Codes'!$D$2:$K3349,MATCH($B795,'HS Codes'!$A$2:$A3349,0),MATCH(J$1,'HS Codes'!$D$1:$K$1,0)),"")</f>
        <v>0</v>
      </c>
      <c r="K795" s="8" t="str">
        <f>_xlfn.IFNA(INDEX('HS Codes'!$D$2:$K3349,MATCH($B795,'HS Codes'!$A$2:$A3349,0),MATCH(K$1,'HS Codes'!$D$1:$K$1,0)),"")</f>
        <v>6302.39.00</v>
      </c>
      <c r="L795" s="8">
        <f>_xlfn.IFNA(INDEX('HS Codes'!$D$2:$K3349,MATCH($B795,'HS Codes'!$A$2:$A3349,0),MATCH(L$1,'HS Codes'!$D$1:$K$1,0)),"")</f>
        <v>63029120</v>
      </c>
      <c r="M795" s="8" t="str">
        <f>_xlfn.IFNA(INDEX('HS Codes'!$C$2:$C3349,MATCH($B795,'HS Codes'!$A$2:$A3349,0)),"")</f>
        <v>Beach Towel - Toilet Linen 100% recycled 220 GSM/83% polyester/17% polyamide includes cotton on the packing pouch drawstring</v>
      </c>
      <c r="N795" s="9"/>
      <c r="O795" s="9"/>
      <c r="P795" s="9"/>
      <c r="Q795" s="9"/>
    </row>
    <row r="796" spans="1:17" ht="15.75" customHeight="1">
      <c r="A796" s="7" t="s">
        <v>1088</v>
      </c>
      <c r="B796" s="7" t="s">
        <v>164</v>
      </c>
      <c r="C796" s="7" t="s">
        <v>278</v>
      </c>
      <c r="D796" s="7" t="s">
        <v>165</v>
      </c>
      <c r="E796" s="7" t="s">
        <v>348</v>
      </c>
      <c r="F796" s="8" t="str">
        <f>_xlfn.IFNA(INDEX('HS Codes'!$D$2:$K3350,MATCH($B796,'HS Codes'!$A$2:$A3350,0),MATCH(F$1,'HS Codes'!$D$1:$K$1,0)),"")</f>
        <v>6302.93.2000</v>
      </c>
      <c r="G796" s="8">
        <f>_xlfn.IFNA(INDEX('HS Codes'!$D$2:$K3350,MATCH($B796,'HS Codes'!$A$2:$A3350,0),MATCH(G$1,'HS Codes'!$D$1:$K$1,0)),"")</f>
        <v>6302600090</v>
      </c>
      <c r="H796" s="8" t="str">
        <f>_xlfn.IFNA(INDEX('HS Codes'!$D$2:$K3350,MATCH($B796,'HS Codes'!$A$2:$A3350,0),MATCH(H$1,'HS Codes'!$D$1:$K$1,0)),"")</f>
        <v>6302.93.00.00</v>
      </c>
      <c r="I796" s="8">
        <f>_xlfn.IFNA(INDEX('HS Codes'!$D$2:$K3350,MATCH($B796,'HS Codes'!$A$2:$A3350,0),MATCH(I$1,'HS Codes'!$D$1:$K$1,0)),"")</f>
        <v>63029390</v>
      </c>
      <c r="J796" s="8">
        <f>_xlfn.IFNA(INDEX('HS Codes'!$D$2:$K3350,MATCH($B796,'HS Codes'!$A$2:$A3350,0),MATCH(J$1,'HS Codes'!$D$1:$K$1,0)),"")</f>
        <v>0</v>
      </c>
      <c r="K796" s="8" t="str">
        <f>_xlfn.IFNA(INDEX('HS Codes'!$D$2:$K3350,MATCH($B796,'HS Codes'!$A$2:$A3350,0),MATCH(K$1,'HS Codes'!$D$1:$K$1,0)),"")</f>
        <v>6302.39.00</v>
      </c>
      <c r="L796" s="8">
        <f>_xlfn.IFNA(INDEX('HS Codes'!$D$2:$K3350,MATCH($B796,'HS Codes'!$A$2:$A3350,0),MATCH(L$1,'HS Codes'!$D$1:$K$1,0)),"")</f>
        <v>63029120</v>
      </c>
      <c r="M796" s="8" t="str">
        <f>_xlfn.IFNA(INDEX('HS Codes'!$C$2:$C3350,MATCH($B796,'HS Codes'!$A$2:$A3350,0)),"")</f>
        <v>Beach Towel - Toilet Linen 100% recycled 220 GSM/83% polyester/17% polyamide includes cotton on the packing pouch drawstring</v>
      </c>
      <c r="N796" s="9"/>
      <c r="O796" s="9"/>
      <c r="P796" s="9"/>
      <c r="Q796" s="9"/>
    </row>
    <row r="797" spans="1:17" ht="15.75" customHeight="1">
      <c r="A797" s="7" t="s">
        <v>1089</v>
      </c>
      <c r="B797" s="7" t="s">
        <v>164</v>
      </c>
      <c r="C797" s="7" t="s">
        <v>278</v>
      </c>
      <c r="D797" s="7" t="s">
        <v>165</v>
      </c>
      <c r="E797" s="7" t="s">
        <v>348</v>
      </c>
      <c r="F797" s="8" t="str">
        <f>_xlfn.IFNA(INDEX('HS Codes'!$D$2:$K3351,MATCH($B797,'HS Codes'!$A$2:$A3351,0),MATCH(F$1,'HS Codes'!$D$1:$K$1,0)),"")</f>
        <v>6302.93.2000</v>
      </c>
      <c r="G797" s="8">
        <f>_xlfn.IFNA(INDEX('HS Codes'!$D$2:$K3351,MATCH($B797,'HS Codes'!$A$2:$A3351,0),MATCH(G$1,'HS Codes'!$D$1:$K$1,0)),"")</f>
        <v>6302600090</v>
      </c>
      <c r="H797" s="8" t="str">
        <f>_xlfn.IFNA(INDEX('HS Codes'!$D$2:$K3351,MATCH($B797,'HS Codes'!$A$2:$A3351,0),MATCH(H$1,'HS Codes'!$D$1:$K$1,0)),"")</f>
        <v>6302.93.00.00</v>
      </c>
      <c r="I797" s="8">
        <f>_xlfn.IFNA(INDEX('HS Codes'!$D$2:$K3351,MATCH($B797,'HS Codes'!$A$2:$A3351,0),MATCH(I$1,'HS Codes'!$D$1:$K$1,0)),"")</f>
        <v>63029390</v>
      </c>
      <c r="J797" s="8">
        <f>_xlfn.IFNA(INDEX('HS Codes'!$D$2:$K3351,MATCH($B797,'HS Codes'!$A$2:$A3351,0),MATCH(J$1,'HS Codes'!$D$1:$K$1,0)),"")</f>
        <v>0</v>
      </c>
      <c r="K797" s="8" t="str">
        <f>_xlfn.IFNA(INDEX('HS Codes'!$D$2:$K3351,MATCH($B797,'HS Codes'!$A$2:$A3351,0),MATCH(K$1,'HS Codes'!$D$1:$K$1,0)),"")</f>
        <v>6302.39.00</v>
      </c>
      <c r="L797" s="8">
        <f>_xlfn.IFNA(INDEX('HS Codes'!$D$2:$K3351,MATCH($B797,'HS Codes'!$A$2:$A3351,0),MATCH(L$1,'HS Codes'!$D$1:$K$1,0)),"")</f>
        <v>63029120</v>
      </c>
      <c r="M797" s="8" t="str">
        <f>_xlfn.IFNA(INDEX('HS Codes'!$C$2:$C3351,MATCH($B797,'HS Codes'!$A$2:$A3351,0)),"")</f>
        <v>Beach Towel - Toilet Linen 100% recycled 220 GSM/83% polyester/17% polyamide includes cotton on the packing pouch drawstring</v>
      </c>
      <c r="N797" s="9"/>
      <c r="O797" s="9"/>
      <c r="P797" s="9"/>
      <c r="Q797" s="9"/>
    </row>
    <row r="798" spans="1:17" ht="15.75" customHeight="1">
      <c r="A798" s="7" t="s">
        <v>1090</v>
      </c>
      <c r="B798" s="7" t="s">
        <v>164</v>
      </c>
      <c r="C798" s="7" t="s">
        <v>278</v>
      </c>
      <c r="D798" s="7" t="s">
        <v>165</v>
      </c>
      <c r="E798" s="7" t="s">
        <v>348</v>
      </c>
      <c r="F798" s="8" t="str">
        <f>_xlfn.IFNA(INDEX('HS Codes'!$D$2:$K3352,MATCH($B798,'HS Codes'!$A$2:$A3352,0),MATCH(F$1,'HS Codes'!$D$1:$K$1,0)),"")</f>
        <v>6302.93.2000</v>
      </c>
      <c r="G798" s="8">
        <f>_xlfn.IFNA(INDEX('HS Codes'!$D$2:$K3352,MATCH($B798,'HS Codes'!$A$2:$A3352,0),MATCH(G$1,'HS Codes'!$D$1:$K$1,0)),"")</f>
        <v>6302600090</v>
      </c>
      <c r="H798" s="8" t="str">
        <f>_xlfn.IFNA(INDEX('HS Codes'!$D$2:$K3352,MATCH($B798,'HS Codes'!$A$2:$A3352,0),MATCH(H$1,'HS Codes'!$D$1:$K$1,0)),"")</f>
        <v>6302.93.00.00</v>
      </c>
      <c r="I798" s="8">
        <f>_xlfn.IFNA(INDEX('HS Codes'!$D$2:$K3352,MATCH($B798,'HS Codes'!$A$2:$A3352,0),MATCH(I$1,'HS Codes'!$D$1:$K$1,0)),"")</f>
        <v>63029390</v>
      </c>
      <c r="J798" s="8">
        <f>_xlfn.IFNA(INDEX('HS Codes'!$D$2:$K3352,MATCH($B798,'HS Codes'!$A$2:$A3352,0),MATCH(J$1,'HS Codes'!$D$1:$K$1,0)),"")</f>
        <v>0</v>
      </c>
      <c r="K798" s="8" t="str">
        <f>_xlfn.IFNA(INDEX('HS Codes'!$D$2:$K3352,MATCH($B798,'HS Codes'!$A$2:$A3352,0),MATCH(K$1,'HS Codes'!$D$1:$K$1,0)),"")</f>
        <v>6302.39.00</v>
      </c>
      <c r="L798" s="8">
        <f>_xlfn.IFNA(INDEX('HS Codes'!$D$2:$K3352,MATCH($B798,'HS Codes'!$A$2:$A3352,0),MATCH(L$1,'HS Codes'!$D$1:$K$1,0)),"")</f>
        <v>63029120</v>
      </c>
      <c r="M798" s="8" t="str">
        <f>_xlfn.IFNA(INDEX('HS Codes'!$C$2:$C3352,MATCH($B798,'HS Codes'!$A$2:$A3352,0)),"")</f>
        <v>Beach Towel - Toilet Linen 100% recycled 220 GSM/83% polyester/17% polyamide includes cotton on the packing pouch drawstring</v>
      </c>
      <c r="N798" s="9"/>
      <c r="O798" s="9"/>
      <c r="P798" s="9"/>
      <c r="Q798" s="9"/>
    </row>
    <row r="799" spans="1:17" ht="15.75" customHeight="1">
      <c r="A799" s="7" t="s">
        <v>1091</v>
      </c>
      <c r="B799" s="7" t="s">
        <v>164</v>
      </c>
      <c r="C799" s="7" t="s">
        <v>278</v>
      </c>
      <c r="D799" s="7" t="s">
        <v>165</v>
      </c>
      <c r="E799" s="7" t="s">
        <v>348</v>
      </c>
      <c r="F799" s="8" t="str">
        <f>_xlfn.IFNA(INDEX('HS Codes'!$D$2:$K3353,MATCH($B799,'HS Codes'!$A$2:$A3353,0),MATCH(F$1,'HS Codes'!$D$1:$K$1,0)),"")</f>
        <v>6302.93.2000</v>
      </c>
      <c r="G799" s="8">
        <f>_xlfn.IFNA(INDEX('HS Codes'!$D$2:$K3353,MATCH($B799,'HS Codes'!$A$2:$A3353,0),MATCH(G$1,'HS Codes'!$D$1:$K$1,0)),"")</f>
        <v>6302600090</v>
      </c>
      <c r="H799" s="8" t="str">
        <f>_xlfn.IFNA(INDEX('HS Codes'!$D$2:$K3353,MATCH($B799,'HS Codes'!$A$2:$A3353,0),MATCH(H$1,'HS Codes'!$D$1:$K$1,0)),"")</f>
        <v>6302.93.00.00</v>
      </c>
      <c r="I799" s="8">
        <f>_xlfn.IFNA(INDEX('HS Codes'!$D$2:$K3353,MATCH($B799,'HS Codes'!$A$2:$A3353,0),MATCH(I$1,'HS Codes'!$D$1:$K$1,0)),"")</f>
        <v>63029390</v>
      </c>
      <c r="J799" s="8">
        <f>_xlfn.IFNA(INDEX('HS Codes'!$D$2:$K3353,MATCH($B799,'HS Codes'!$A$2:$A3353,0),MATCH(J$1,'HS Codes'!$D$1:$K$1,0)),"")</f>
        <v>0</v>
      </c>
      <c r="K799" s="8" t="str">
        <f>_xlfn.IFNA(INDEX('HS Codes'!$D$2:$K3353,MATCH($B799,'HS Codes'!$A$2:$A3353,0),MATCH(K$1,'HS Codes'!$D$1:$K$1,0)),"")</f>
        <v>6302.39.00</v>
      </c>
      <c r="L799" s="8">
        <f>_xlfn.IFNA(INDEX('HS Codes'!$D$2:$K3353,MATCH($B799,'HS Codes'!$A$2:$A3353,0),MATCH(L$1,'HS Codes'!$D$1:$K$1,0)),"")</f>
        <v>63029120</v>
      </c>
      <c r="M799" s="8" t="str">
        <f>_xlfn.IFNA(INDEX('HS Codes'!$C$2:$C3353,MATCH($B799,'HS Codes'!$A$2:$A3353,0)),"")</f>
        <v>Beach Towel - Toilet Linen 100% recycled 220 GSM/83% polyester/17% polyamide includes cotton on the packing pouch drawstring</v>
      </c>
      <c r="N799" s="9"/>
      <c r="O799" s="9"/>
      <c r="P799" s="9"/>
      <c r="Q799" s="9"/>
    </row>
    <row r="800" spans="1:17" ht="15.75" customHeight="1">
      <c r="A800" s="7" t="s">
        <v>1092</v>
      </c>
      <c r="B800" s="7" t="s">
        <v>164</v>
      </c>
      <c r="C800" s="7" t="s">
        <v>278</v>
      </c>
      <c r="D800" s="7" t="s">
        <v>165</v>
      </c>
      <c r="E800" s="7" t="s">
        <v>348</v>
      </c>
      <c r="F800" s="8" t="str">
        <f>_xlfn.IFNA(INDEX('HS Codes'!$D$2:$K3354,MATCH($B800,'HS Codes'!$A$2:$A3354,0),MATCH(F$1,'HS Codes'!$D$1:$K$1,0)),"")</f>
        <v>6302.93.2000</v>
      </c>
      <c r="G800" s="8">
        <f>_xlfn.IFNA(INDEX('HS Codes'!$D$2:$K3354,MATCH($B800,'HS Codes'!$A$2:$A3354,0),MATCH(G$1,'HS Codes'!$D$1:$K$1,0)),"")</f>
        <v>6302600090</v>
      </c>
      <c r="H800" s="8" t="str">
        <f>_xlfn.IFNA(INDEX('HS Codes'!$D$2:$K3354,MATCH($B800,'HS Codes'!$A$2:$A3354,0),MATCH(H$1,'HS Codes'!$D$1:$K$1,0)),"")</f>
        <v>6302.93.00.00</v>
      </c>
      <c r="I800" s="8">
        <f>_xlfn.IFNA(INDEX('HS Codes'!$D$2:$K3354,MATCH($B800,'HS Codes'!$A$2:$A3354,0),MATCH(I$1,'HS Codes'!$D$1:$K$1,0)),"")</f>
        <v>63029390</v>
      </c>
      <c r="J800" s="8">
        <f>_xlfn.IFNA(INDEX('HS Codes'!$D$2:$K3354,MATCH($B800,'HS Codes'!$A$2:$A3354,0),MATCH(J$1,'HS Codes'!$D$1:$K$1,0)),"")</f>
        <v>0</v>
      </c>
      <c r="K800" s="8" t="str">
        <f>_xlfn.IFNA(INDEX('HS Codes'!$D$2:$K3354,MATCH($B800,'HS Codes'!$A$2:$A3354,0),MATCH(K$1,'HS Codes'!$D$1:$K$1,0)),"")</f>
        <v>6302.39.00</v>
      </c>
      <c r="L800" s="8">
        <f>_xlfn.IFNA(INDEX('HS Codes'!$D$2:$K3354,MATCH($B800,'HS Codes'!$A$2:$A3354,0),MATCH(L$1,'HS Codes'!$D$1:$K$1,0)),"")</f>
        <v>63029120</v>
      </c>
      <c r="M800" s="8" t="str">
        <f>_xlfn.IFNA(INDEX('HS Codes'!$C$2:$C3354,MATCH($B800,'HS Codes'!$A$2:$A3354,0)),"")</f>
        <v>Beach Towel - Toilet Linen 100% recycled 220 GSM/83% polyester/17% polyamide includes cotton on the packing pouch drawstring</v>
      </c>
      <c r="N800" s="9"/>
      <c r="O800" s="9"/>
      <c r="P800" s="9"/>
      <c r="Q800" s="9"/>
    </row>
    <row r="801" spans="1:17" ht="15.75" customHeight="1">
      <c r="A801" s="7" t="s">
        <v>1093</v>
      </c>
      <c r="B801" s="7" t="s">
        <v>164</v>
      </c>
      <c r="C801" s="7" t="s">
        <v>278</v>
      </c>
      <c r="D801" s="7" t="s">
        <v>165</v>
      </c>
      <c r="E801" s="7" t="s">
        <v>348</v>
      </c>
      <c r="F801" s="8" t="str">
        <f>_xlfn.IFNA(INDEX('HS Codes'!$D$2:$K3355,MATCH($B801,'HS Codes'!$A$2:$A3355,0),MATCH(F$1,'HS Codes'!$D$1:$K$1,0)),"")</f>
        <v>6302.93.2000</v>
      </c>
      <c r="G801" s="8">
        <f>_xlfn.IFNA(INDEX('HS Codes'!$D$2:$K3355,MATCH($B801,'HS Codes'!$A$2:$A3355,0),MATCH(G$1,'HS Codes'!$D$1:$K$1,0)),"")</f>
        <v>6302600090</v>
      </c>
      <c r="H801" s="8" t="str">
        <f>_xlfn.IFNA(INDEX('HS Codes'!$D$2:$K3355,MATCH($B801,'HS Codes'!$A$2:$A3355,0),MATCH(H$1,'HS Codes'!$D$1:$K$1,0)),"")</f>
        <v>6302.93.00.00</v>
      </c>
      <c r="I801" s="8">
        <f>_xlfn.IFNA(INDEX('HS Codes'!$D$2:$K3355,MATCH($B801,'HS Codes'!$A$2:$A3355,0),MATCH(I$1,'HS Codes'!$D$1:$K$1,0)),"")</f>
        <v>63029390</v>
      </c>
      <c r="J801" s="8">
        <f>_xlfn.IFNA(INDEX('HS Codes'!$D$2:$K3355,MATCH($B801,'HS Codes'!$A$2:$A3355,0),MATCH(J$1,'HS Codes'!$D$1:$K$1,0)),"")</f>
        <v>0</v>
      </c>
      <c r="K801" s="8" t="str">
        <f>_xlfn.IFNA(INDEX('HS Codes'!$D$2:$K3355,MATCH($B801,'HS Codes'!$A$2:$A3355,0),MATCH(K$1,'HS Codes'!$D$1:$K$1,0)),"")</f>
        <v>6302.39.00</v>
      </c>
      <c r="L801" s="8">
        <f>_xlfn.IFNA(INDEX('HS Codes'!$D$2:$K3355,MATCH($B801,'HS Codes'!$A$2:$A3355,0),MATCH(L$1,'HS Codes'!$D$1:$K$1,0)),"")</f>
        <v>63029120</v>
      </c>
      <c r="M801" s="8" t="str">
        <f>_xlfn.IFNA(INDEX('HS Codes'!$C$2:$C3355,MATCH($B801,'HS Codes'!$A$2:$A3355,0)),"")</f>
        <v>Beach Towel - Toilet Linen 100% recycled 220 GSM/83% polyester/17% polyamide includes cotton on the packing pouch drawstring</v>
      </c>
      <c r="N801" s="9"/>
      <c r="O801" s="9"/>
      <c r="P801" s="9"/>
      <c r="Q801" s="9"/>
    </row>
    <row r="802" spans="1:17" ht="15.75" customHeight="1">
      <c r="A802" s="7" t="s">
        <v>1094</v>
      </c>
      <c r="B802" s="7" t="s">
        <v>164</v>
      </c>
      <c r="C802" s="7" t="s">
        <v>278</v>
      </c>
      <c r="D802" s="7" t="s">
        <v>165</v>
      </c>
      <c r="E802" s="7" t="s">
        <v>348</v>
      </c>
      <c r="F802" s="8" t="str">
        <f>_xlfn.IFNA(INDEX('HS Codes'!$D$2:$K3356,MATCH($B802,'HS Codes'!$A$2:$A3356,0),MATCH(F$1,'HS Codes'!$D$1:$K$1,0)),"")</f>
        <v>6302.93.2000</v>
      </c>
      <c r="G802" s="8">
        <f>_xlfn.IFNA(INDEX('HS Codes'!$D$2:$K3356,MATCH($B802,'HS Codes'!$A$2:$A3356,0),MATCH(G$1,'HS Codes'!$D$1:$K$1,0)),"")</f>
        <v>6302600090</v>
      </c>
      <c r="H802" s="8" t="str">
        <f>_xlfn.IFNA(INDEX('HS Codes'!$D$2:$K3356,MATCH($B802,'HS Codes'!$A$2:$A3356,0),MATCH(H$1,'HS Codes'!$D$1:$K$1,0)),"")</f>
        <v>6302.93.00.00</v>
      </c>
      <c r="I802" s="8">
        <f>_xlfn.IFNA(INDEX('HS Codes'!$D$2:$K3356,MATCH($B802,'HS Codes'!$A$2:$A3356,0),MATCH(I$1,'HS Codes'!$D$1:$K$1,0)),"")</f>
        <v>63029390</v>
      </c>
      <c r="J802" s="8">
        <f>_xlfn.IFNA(INDEX('HS Codes'!$D$2:$K3356,MATCH($B802,'HS Codes'!$A$2:$A3356,0),MATCH(J$1,'HS Codes'!$D$1:$K$1,0)),"")</f>
        <v>0</v>
      </c>
      <c r="K802" s="8" t="str">
        <f>_xlfn.IFNA(INDEX('HS Codes'!$D$2:$K3356,MATCH($B802,'HS Codes'!$A$2:$A3356,0),MATCH(K$1,'HS Codes'!$D$1:$K$1,0)),"")</f>
        <v>6302.39.00</v>
      </c>
      <c r="L802" s="8">
        <f>_xlfn.IFNA(INDEX('HS Codes'!$D$2:$K3356,MATCH($B802,'HS Codes'!$A$2:$A3356,0),MATCH(L$1,'HS Codes'!$D$1:$K$1,0)),"")</f>
        <v>63029120</v>
      </c>
      <c r="M802" s="8" t="str">
        <f>_xlfn.IFNA(INDEX('HS Codes'!$C$2:$C3356,MATCH($B802,'HS Codes'!$A$2:$A3356,0)),"")</f>
        <v>Beach Towel - Toilet Linen 100% recycled 220 GSM/83% polyester/17% polyamide includes cotton on the packing pouch drawstring</v>
      </c>
      <c r="N802" s="9"/>
      <c r="O802" s="9"/>
      <c r="P802" s="9"/>
      <c r="Q802" s="9"/>
    </row>
    <row r="803" spans="1:17" ht="15.75" customHeight="1">
      <c r="A803" s="7" t="s">
        <v>1095</v>
      </c>
      <c r="B803" s="7" t="s">
        <v>164</v>
      </c>
      <c r="C803" s="7" t="s">
        <v>278</v>
      </c>
      <c r="D803" s="7" t="s">
        <v>165</v>
      </c>
      <c r="E803" s="7" t="s">
        <v>348</v>
      </c>
      <c r="F803" s="8" t="str">
        <f>_xlfn.IFNA(INDEX('HS Codes'!$D$2:$K3357,MATCH($B803,'HS Codes'!$A$2:$A3357,0),MATCH(F$1,'HS Codes'!$D$1:$K$1,0)),"")</f>
        <v>6302.93.2000</v>
      </c>
      <c r="G803" s="8">
        <f>_xlfn.IFNA(INDEX('HS Codes'!$D$2:$K3357,MATCH($B803,'HS Codes'!$A$2:$A3357,0),MATCH(G$1,'HS Codes'!$D$1:$K$1,0)),"")</f>
        <v>6302600090</v>
      </c>
      <c r="H803" s="8" t="str">
        <f>_xlfn.IFNA(INDEX('HS Codes'!$D$2:$K3357,MATCH($B803,'HS Codes'!$A$2:$A3357,0),MATCH(H$1,'HS Codes'!$D$1:$K$1,0)),"")</f>
        <v>6302.93.00.00</v>
      </c>
      <c r="I803" s="8">
        <f>_xlfn.IFNA(INDEX('HS Codes'!$D$2:$K3357,MATCH($B803,'HS Codes'!$A$2:$A3357,0),MATCH(I$1,'HS Codes'!$D$1:$K$1,0)),"")</f>
        <v>63029390</v>
      </c>
      <c r="J803" s="8">
        <f>_xlfn.IFNA(INDEX('HS Codes'!$D$2:$K3357,MATCH($B803,'HS Codes'!$A$2:$A3357,0),MATCH(J$1,'HS Codes'!$D$1:$K$1,0)),"")</f>
        <v>0</v>
      </c>
      <c r="K803" s="8" t="str">
        <f>_xlfn.IFNA(INDEX('HS Codes'!$D$2:$K3357,MATCH($B803,'HS Codes'!$A$2:$A3357,0),MATCH(K$1,'HS Codes'!$D$1:$K$1,0)),"")</f>
        <v>6302.39.00</v>
      </c>
      <c r="L803" s="8">
        <f>_xlfn.IFNA(INDEX('HS Codes'!$D$2:$K3357,MATCH($B803,'HS Codes'!$A$2:$A3357,0),MATCH(L$1,'HS Codes'!$D$1:$K$1,0)),"")</f>
        <v>63029120</v>
      </c>
      <c r="M803" s="8" t="str">
        <f>_xlfn.IFNA(INDEX('HS Codes'!$C$2:$C3357,MATCH($B803,'HS Codes'!$A$2:$A3357,0)),"")</f>
        <v>Beach Towel - Toilet Linen 100% recycled 220 GSM/83% polyester/17% polyamide includes cotton on the packing pouch drawstring</v>
      </c>
      <c r="N803" s="9"/>
      <c r="O803" s="9"/>
      <c r="P803" s="9"/>
      <c r="Q803" s="9"/>
    </row>
    <row r="804" spans="1:17" ht="15.75" customHeight="1">
      <c r="A804" s="7" t="s">
        <v>1096</v>
      </c>
      <c r="B804" s="7" t="s">
        <v>164</v>
      </c>
      <c r="C804" s="7" t="s">
        <v>278</v>
      </c>
      <c r="D804" s="7" t="s">
        <v>165</v>
      </c>
      <c r="E804" s="7" t="s">
        <v>348</v>
      </c>
      <c r="F804" s="8" t="str">
        <f>_xlfn.IFNA(INDEX('HS Codes'!$D$2:$K3358,MATCH($B804,'HS Codes'!$A$2:$A3358,0),MATCH(F$1,'HS Codes'!$D$1:$K$1,0)),"")</f>
        <v>6302.93.2000</v>
      </c>
      <c r="G804" s="8">
        <f>_xlfn.IFNA(INDEX('HS Codes'!$D$2:$K3358,MATCH($B804,'HS Codes'!$A$2:$A3358,0),MATCH(G$1,'HS Codes'!$D$1:$K$1,0)),"")</f>
        <v>6302600090</v>
      </c>
      <c r="H804" s="8" t="str">
        <f>_xlfn.IFNA(INDEX('HS Codes'!$D$2:$K3358,MATCH($B804,'HS Codes'!$A$2:$A3358,0),MATCH(H$1,'HS Codes'!$D$1:$K$1,0)),"")</f>
        <v>6302.93.00.00</v>
      </c>
      <c r="I804" s="8">
        <f>_xlfn.IFNA(INDEX('HS Codes'!$D$2:$K3358,MATCH($B804,'HS Codes'!$A$2:$A3358,0),MATCH(I$1,'HS Codes'!$D$1:$K$1,0)),"")</f>
        <v>63029390</v>
      </c>
      <c r="J804" s="8">
        <f>_xlfn.IFNA(INDEX('HS Codes'!$D$2:$K3358,MATCH($B804,'HS Codes'!$A$2:$A3358,0),MATCH(J$1,'HS Codes'!$D$1:$K$1,0)),"")</f>
        <v>0</v>
      </c>
      <c r="K804" s="8" t="str">
        <f>_xlfn.IFNA(INDEX('HS Codes'!$D$2:$K3358,MATCH($B804,'HS Codes'!$A$2:$A3358,0),MATCH(K$1,'HS Codes'!$D$1:$K$1,0)),"")</f>
        <v>6302.39.00</v>
      </c>
      <c r="L804" s="8">
        <f>_xlfn.IFNA(INDEX('HS Codes'!$D$2:$K3358,MATCH($B804,'HS Codes'!$A$2:$A3358,0),MATCH(L$1,'HS Codes'!$D$1:$K$1,0)),"")</f>
        <v>63029120</v>
      </c>
      <c r="M804" s="8" t="str">
        <f>_xlfn.IFNA(INDEX('HS Codes'!$C$2:$C3358,MATCH($B804,'HS Codes'!$A$2:$A3358,0)),"")</f>
        <v>Beach Towel - Toilet Linen 100% recycled 220 GSM/83% polyester/17% polyamide includes cotton on the packing pouch drawstring</v>
      </c>
      <c r="N804" s="9"/>
      <c r="O804" s="9"/>
      <c r="P804" s="9"/>
      <c r="Q804" s="9"/>
    </row>
    <row r="805" spans="1:17" ht="15.75" customHeight="1">
      <c r="A805" s="7" t="s">
        <v>1097</v>
      </c>
      <c r="B805" s="7" t="s">
        <v>164</v>
      </c>
      <c r="C805" s="7" t="s">
        <v>278</v>
      </c>
      <c r="D805" s="7" t="s">
        <v>165</v>
      </c>
      <c r="E805" s="7" t="s">
        <v>348</v>
      </c>
      <c r="F805" s="8" t="str">
        <f>_xlfn.IFNA(INDEX('HS Codes'!$D$2:$K3359,MATCH($B805,'HS Codes'!$A$2:$A3359,0),MATCH(F$1,'HS Codes'!$D$1:$K$1,0)),"")</f>
        <v>6302.93.2000</v>
      </c>
      <c r="G805" s="8">
        <f>_xlfn.IFNA(INDEX('HS Codes'!$D$2:$K3359,MATCH($B805,'HS Codes'!$A$2:$A3359,0),MATCH(G$1,'HS Codes'!$D$1:$K$1,0)),"")</f>
        <v>6302600090</v>
      </c>
      <c r="H805" s="8" t="str">
        <f>_xlfn.IFNA(INDEX('HS Codes'!$D$2:$K3359,MATCH($B805,'HS Codes'!$A$2:$A3359,0),MATCH(H$1,'HS Codes'!$D$1:$K$1,0)),"")</f>
        <v>6302.93.00.00</v>
      </c>
      <c r="I805" s="8">
        <f>_xlfn.IFNA(INDEX('HS Codes'!$D$2:$K3359,MATCH($B805,'HS Codes'!$A$2:$A3359,0),MATCH(I$1,'HS Codes'!$D$1:$K$1,0)),"")</f>
        <v>63029390</v>
      </c>
      <c r="J805" s="8">
        <f>_xlfn.IFNA(INDEX('HS Codes'!$D$2:$K3359,MATCH($B805,'HS Codes'!$A$2:$A3359,0),MATCH(J$1,'HS Codes'!$D$1:$K$1,0)),"")</f>
        <v>0</v>
      </c>
      <c r="K805" s="8" t="str">
        <f>_xlfn.IFNA(INDEX('HS Codes'!$D$2:$K3359,MATCH($B805,'HS Codes'!$A$2:$A3359,0),MATCH(K$1,'HS Codes'!$D$1:$K$1,0)),"")</f>
        <v>6302.39.00</v>
      </c>
      <c r="L805" s="8">
        <f>_xlfn.IFNA(INDEX('HS Codes'!$D$2:$K3359,MATCH($B805,'HS Codes'!$A$2:$A3359,0),MATCH(L$1,'HS Codes'!$D$1:$K$1,0)),"")</f>
        <v>63029120</v>
      </c>
      <c r="M805" s="8" t="str">
        <f>_xlfn.IFNA(INDEX('HS Codes'!$C$2:$C3359,MATCH($B805,'HS Codes'!$A$2:$A3359,0)),"")</f>
        <v>Beach Towel - Toilet Linen 100% recycled 220 GSM/83% polyester/17% polyamide includes cotton on the packing pouch drawstring</v>
      </c>
      <c r="N805" s="9"/>
      <c r="O805" s="9"/>
      <c r="P805" s="9"/>
      <c r="Q805" s="9"/>
    </row>
    <row r="806" spans="1:17" ht="15.75" customHeight="1">
      <c r="A806" s="7" t="s">
        <v>1098</v>
      </c>
      <c r="B806" s="7" t="s">
        <v>164</v>
      </c>
      <c r="C806" s="7" t="s">
        <v>278</v>
      </c>
      <c r="D806" s="7" t="s">
        <v>165</v>
      </c>
      <c r="E806" s="7" t="s">
        <v>348</v>
      </c>
      <c r="F806" s="8" t="str">
        <f>_xlfn.IFNA(INDEX('HS Codes'!$D$2:$K3360,MATCH($B806,'HS Codes'!$A$2:$A3360,0),MATCH(F$1,'HS Codes'!$D$1:$K$1,0)),"")</f>
        <v>6302.93.2000</v>
      </c>
      <c r="G806" s="8">
        <f>_xlfn.IFNA(INDEX('HS Codes'!$D$2:$K3360,MATCH($B806,'HS Codes'!$A$2:$A3360,0),MATCH(G$1,'HS Codes'!$D$1:$K$1,0)),"")</f>
        <v>6302600090</v>
      </c>
      <c r="H806" s="8" t="str">
        <f>_xlfn.IFNA(INDEX('HS Codes'!$D$2:$K3360,MATCH($B806,'HS Codes'!$A$2:$A3360,0),MATCH(H$1,'HS Codes'!$D$1:$K$1,0)),"")</f>
        <v>6302.93.00.00</v>
      </c>
      <c r="I806" s="8">
        <f>_xlfn.IFNA(INDEX('HS Codes'!$D$2:$K3360,MATCH($B806,'HS Codes'!$A$2:$A3360,0),MATCH(I$1,'HS Codes'!$D$1:$K$1,0)),"")</f>
        <v>63029390</v>
      </c>
      <c r="J806" s="8">
        <f>_xlfn.IFNA(INDEX('HS Codes'!$D$2:$K3360,MATCH($B806,'HS Codes'!$A$2:$A3360,0),MATCH(J$1,'HS Codes'!$D$1:$K$1,0)),"")</f>
        <v>0</v>
      </c>
      <c r="K806" s="8" t="str">
        <f>_xlfn.IFNA(INDEX('HS Codes'!$D$2:$K3360,MATCH($B806,'HS Codes'!$A$2:$A3360,0),MATCH(K$1,'HS Codes'!$D$1:$K$1,0)),"")</f>
        <v>6302.39.00</v>
      </c>
      <c r="L806" s="8">
        <f>_xlfn.IFNA(INDEX('HS Codes'!$D$2:$K3360,MATCH($B806,'HS Codes'!$A$2:$A3360,0),MATCH(L$1,'HS Codes'!$D$1:$K$1,0)),"")</f>
        <v>63029120</v>
      </c>
      <c r="M806" s="8" t="str">
        <f>_xlfn.IFNA(INDEX('HS Codes'!$C$2:$C3360,MATCH($B806,'HS Codes'!$A$2:$A3360,0)),"")</f>
        <v>Beach Towel - Toilet Linen 100% recycled 220 GSM/83% polyester/17% polyamide includes cotton on the packing pouch drawstring</v>
      </c>
      <c r="N806" s="9"/>
      <c r="O806" s="9"/>
      <c r="P806" s="9"/>
      <c r="Q806" s="9"/>
    </row>
    <row r="807" spans="1:17" ht="15.75" customHeight="1">
      <c r="A807" s="7" t="s">
        <v>1099</v>
      </c>
      <c r="B807" s="7" t="s">
        <v>164</v>
      </c>
      <c r="C807" s="7" t="s">
        <v>278</v>
      </c>
      <c r="D807" s="7" t="s">
        <v>165</v>
      </c>
      <c r="E807" s="7" t="s">
        <v>348</v>
      </c>
      <c r="F807" s="8" t="str">
        <f>_xlfn.IFNA(INDEX('HS Codes'!$D$2:$K3361,MATCH($B807,'HS Codes'!$A$2:$A3361,0),MATCH(F$1,'HS Codes'!$D$1:$K$1,0)),"")</f>
        <v>6302.93.2000</v>
      </c>
      <c r="G807" s="8">
        <f>_xlfn.IFNA(INDEX('HS Codes'!$D$2:$K3361,MATCH($B807,'HS Codes'!$A$2:$A3361,0),MATCH(G$1,'HS Codes'!$D$1:$K$1,0)),"")</f>
        <v>6302600090</v>
      </c>
      <c r="H807" s="8" t="str">
        <f>_xlfn.IFNA(INDEX('HS Codes'!$D$2:$K3361,MATCH($B807,'HS Codes'!$A$2:$A3361,0),MATCH(H$1,'HS Codes'!$D$1:$K$1,0)),"")</f>
        <v>6302.93.00.00</v>
      </c>
      <c r="I807" s="8">
        <f>_xlfn.IFNA(INDEX('HS Codes'!$D$2:$K3361,MATCH($B807,'HS Codes'!$A$2:$A3361,0),MATCH(I$1,'HS Codes'!$D$1:$K$1,0)),"")</f>
        <v>63029390</v>
      </c>
      <c r="J807" s="8">
        <f>_xlfn.IFNA(INDEX('HS Codes'!$D$2:$K3361,MATCH($B807,'HS Codes'!$A$2:$A3361,0),MATCH(J$1,'HS Codes'!$D$1:$K$1,0)),"")</f>
        <v>0</v>
      </c>
      <c r="K807" s="8" t="str">
        <f>_xlfn.IFNA(INDEX('HS Codes'!$D$2:$K3361,MATCH($B807,'HS Codes'!$A$2:$A3361,0),MATCH(K$1,'HS Codes'!$D$1:$K$1,0)),"")</f>
        <v>6302.39.00</v>
      </c>
      <c r="L807" s="8">
        <f>_xlfn.IFNA(INDEX('HS Codes'!$D$2:$K3361,MATCH($B807,'HS Codes'!$A$2:$A3361,0),MATCH(L$1,'HS Codes'!$D$1:$K$1,0)),"")</f>
        <v>63029120</v>
      </c>
      <c r="M807" s="8" t="str">
        <f>_xlfn.IFNA(INDEX('HS Codes'!$C$2:$C3361,MATCH($B807,'HS Codes'!$A$2:$A3361,0)),"")</f>
        <v>Beach Towel - Toilet Linen 100% recycled 220 GSM/83% polyester/17% polyamide includes cotton on the packing pouch drawstring</v>
      </c>
      <c r="N807" s="9"/>
      <c r="O807" s="9"/>
      <c r="P807" s="9"/>
      <c r="Q807" s="9"/>
    </row>
    <row r="808" spans="1:17" ht="15.75" customHeight="1">
      <c r="A808" s="7" t="s">
        <v>1100</v>
      </c>
      <c r="B808" s="7" t="s">
        <v>164</v>
      </c>
      <c r="C808" s="7" t="s">
        <v>278</v>
      </c>
      <c r="D808" s="7" t="s">
        <v>165</v>
      </c>
      <c r="E808" s="7" t="s">
        <v>348</v>
      </c>
      <c r="F808" s="8" t="str">
        <f>_xlfn.IFNA(INDEX('HS Codes'!$D$2:$K3362,MATCH($B808,'HS Codes'!$A$2:$A3362,0),MATCH(F$1,'HS Codes'!$D$1:$K$1,0)),"")</f>
        <v>6302.93.2000</v>
      </c>
      <c r="G808" s="8">
        <f>_xlfn.IFNA(INDEX('HS Codes'!$D$2:$K3362,MATCH($B808,'HS Codes'!$A$2:$A3362,0),MATCH(G$1,'HS Codes'!$D$1:$K$1,0)),"")</f>
        <v>6302600090</v>
      </c>
      <c r="H808" s="8" t="str">
        <f>_xlfn.IFNA(INDEX('HS Codes'!$D$2:$K3362,MATCH($B808,'HS Codes'!$A$2:$A3362,0),MATCH(H$1,'HS Codes'!$D$1:$K$1,0)),"")</f>
        <v>6302.93.00.00</v>
      </c>
      <c r="I808" s="8">
        <f>_xlfn.IFNA(INDEX('HS Codes'!$D$2:$K3362,MATCH($B808,'HS Codes'!$A$2:$A3362,0),MATCH(I$1,'HS Codes'!$D$1:$K$1,0)),"")</f>
        <v>63029390</v>
      </c>
      <c r="J808" s="8">
        <f>_xlfn.IFNA(INDEX('HS Codes'!$D$2:$K3362,MATCH($B808,'HS Codes'!$A$2:$A3362,0),MATCH(J$1,'HS Codes'!$D$1:$K$1,0)),"")</f>
        <v>0</v>
      </c>
      <c r="K808" s="8" t="str">
        <f>_xlfn.IFNA(INDEX('HS Codes'!$D$2:$K3362,MATCH($B808,'HS Codes'!$A$2:$A3362,0),MATCH(K$1,'HS Codes'!$D$1:$K$1,0)),"")</f>
        <v>6302.39.00</v>
      </c>
      <c r="L808" s="8">
        <f>_xlfn.IFNA(INDEX('HS Codes'!$D$2:$K3362,MATCH($B808,'HS Codes'!$A$2:$A3362,0),MATCH(L$1,'HS Codes'!$D$1:$K$1,0)),"")</f>
        <v>63029120</v>
      </c>
      <c r="M808" s="8" t="str">
        <f>_xlfn.IFNA(INDEX('HS Codes'!$C$2:$C3362,MATCH($B808,'HS Codes'!$A$2:$A3362,0)),"")</f>
        <v>Beach Towel - Toilet Linen 100% recycled 220 GSM/83% polyester/17% polyamide includes cotton on the packing pouch drawstring</v>
      </c>
      <c r="N808" s="9"/>
      <c r="O808" s="9"/>
      <c r="P808" s="9"/>
      <c r="Q808" s="9"/>
    </row>
    <row r="809" spans="1:17" ht="15.75" customHeight="1">
      <c r="A809" s="7" t="s">
        <v>1101</v>
      </c>
      <c r="B809" s="7" t="s">
        <v>164</v>
      </c>
      <c r="C809" s="7" t="s">
        <v>278</v>
      </c>
      <c r="D809" s="7" t="s">
        <v>165</v>
      </c>
      <c r="E809" s="7" t="s">
        <v>348</v>
      </c>
      <c r="F809" s="8" t="str">
        <f>_xlfn.IFNA(INDEX('HS Codes'!$D$2:$K3363,MATCH($B809,'HS Codes'!$A$2:$A3363,0),MATCH(F$1,'HS Codes'!$D$1:$K$1,0)),"")</f>
        <v>6302.93.2000</v>
      </c>
      <c r="G809" s="8">
        <f>_xlfn.IFNA(INDEX('HS Codes'!$D$2:$K3363,MATCH($B809,'HS Codes'!$A$2:$A3363,0),MATCH(G$1,'HS Codes'!$D$1:$K$1,0)),"")</f>
        <v>6302600090</v>
      </c>
      <c r="H809" s="8" t="str">
        <f>_xlfn.IFNA(INDEX('HS Codes'!$D$2:$K3363,MATCH($B809,'HS Codes'!$A$2:$A3363,0),MATCH(H$1,'HS Codes'!$D$1:$K$1,0)),"")</f>
        <v>6302.93.00.00</v>
      </c>
      <c r="I809" s="8">
        <f>_xlfn.IFNA(INDEX('HS Codes'!$D$2:$K3363,MATCH($B809,'HS Codes'!$A$2:$A3363,0),MATCH(I$1,'HS Codes'!$D$1:$K$1,0)),"")</f>
        <v>63029390</v>
      </c>
      <c r="J809" s="8">
        <f>_xlfn.IFNA(INDEX('HS Codes'!$D$2:$K3363,MATCH($B809,'HS Codes'!$A$2:$A3363,0),MATCH(J$1,'HS Codes'!$D$1:$K$1,0)),"")</f>
        <v>0</v>
      </c>
      <c r="K809" s="8" t="str">
        <f>_xlfn.IFNA(INDEX('HS Codes'!$D$2:$K3363,MATCH($B809,'HS Codes'!$A$2:$A3363,0),MATCH(K$1,'HS Codes'!$D$1:$K$1,0)),"")</f>
        <v>6302.39.00</v>
      </c>
      <c r="L809" s="8">
        <f>_xlfn.IFNA(INDEX('HS Codes'!$D$2:$K3363,MATCH($B809,'HS Codes'!$A$2:$A3363,0),MATCH(L$1,'HS Codes'!$D$1:$K$1,0)),"")</f>
        <v>63029120</v>
      </c>
      <c r="M809" s="8" t="str">
        <f>_xlfn.IFNA(INDEX('HS Codes'!$C$2:$C3363,MATCH($B809,'HS Codes'!$A$2:$A3363,0)),"")</f>
        <v>Beach Towel - Toilet Linen 100% recycled 220 GSM/83% polyester/17% polyamide includes cotton on the packing pouch drawstring</v>
      </c>
      <c r="N809" s="9"/>
      <c r="O809" s="9"/>
      <c r="P809" s="9"/>
      <c r="Q809" s="9"/>
    </row>
    <row r="810" spans="1:17" ht="15.75" customHeight="1">
      <c r="A810" s="7" t="s">
        <v>1102</v>
      </c>
      <c r="B810" s="7" t="s">
        <v>164</v>
      </c>
      <c r="C810" s="7" t="s">
        <v>278</v>
      </c>
      <c r="D810" s="7" t="s">
        <v>165</v>
      </c>
      <c r="E810" s="7" t="s">
        <v>348</v>
      </c>
      <c r="F810" s="8" t="str">
        <f>_xlfn.IFNA(INDEX('HS Codes'!$D$2:$K3364,MATCH($B810,'HS Codes'!$A$2:$A3364,0),MATCH(F$1,'HS Codes'!$D$1:$K$1,0)),"")</f>
        <v>6302.93.2000</v>
      </c>
      <c r="G810" s="8">
        <f>_xlfn.IFNA(INDEX('HS Codes'!$D$2:$K3364,MATCH($B810,'HS Codes'!$A$2:$A3364,0),MATCH(G$1,'HS Codes'!$D$1:$K$1,0)),"")</f>
        <v>6302600090</v>
      </c>
      <c r="H810" s="8" t="str">
        <f>_xlfn.IFNA(INDEX('HS Codes'!$D$2:$K3364,MATCH($B810,'HS Codes'!$A$2:$A3364,0),MATCH(H$1,'HS Codes'!$D$1:$K$1,0)),"")</f>
        <v>6302.93.00.00</v>
      </c>
      <c r="I810" s="8">
        <f>_xlfn.IFNA(INDEX('HS Codes'!$D$2:$K3364,MATCH($B810,'HS Codes'!$A$2:$A3364,0),MATCH(I$1,'HS Codes'!$D$1:$K$1,0)),"")</f>
        <v>63029390</v>
      </c>
      <c r="J810" s="8">
        <f>_xlfn.IFNA(INDEX('HS Codes'!$D$2:$K3364,MATCH($B810,'HS Codes'!$A$2:$A3364,0),MATCH(J$1,'HS Codes'!$D$1:$K$1,0)),"")</f>
        <v>0</v>
      </c>
      <c r="K810" s="8" t="str">
        <f>_xlfn.IFNA(INDEX('HS Codes'!$D$2:$K3364,MATCH($B810,'HS Codes'!$A$2:$A3364,0),MATCH(K$1,'HS Codes'!$D$1:$K$1,0)),"")</f>
        <v>6302.39.00</v>
      </c>
      <c r="L810" s="8">
        <f>_xlfn.IFNA(INDEX('HS Codes'!$D$2:$K3364,MATCH($B810,'HS Codes'!$A$2:$A3364,0),MATCH(L$1,'HS Codes'!$D$1:$K$1,0)),"")</f>
        <v>63029120</v>
      </c>
      <c r="M810" s="8" t="str">
        <f>_xlfn.IFNA(INDEX('HS Codes'!$C$2:$C3364,MATCH($B810,'HS Codes'!$A$2:$A3364,0)),"")</f>
        <v>Beach Towel - Toilet Linen 100% recycled 220 GSM/83% polyester/17% polyamide includes cotton on the packing pouch drawstring</v>
      </c>
      <c r="N810" s="9"/>
      <c r="O810" s="9"/>
      <c r="P810" s="9"/>
      <c r="Q810" s="9"/>
    </row>
    <row r="811" spans="1:17" ht="15.75" customHeight="1">
      <c r="A811" s="7" t="s">
        <v>1103</v>
      </c>
      <c r="B811" s="7" t="s">
        <v>164</v>
      </c>
      <c r="C811" s="7" t="s">
        <v>278</v>
      </c>
      <c r="D811" s="7" t="s">
        <v>165</v>
      </c>
      <c r="E811" s="7" t="s">
        <v>348</v>
      </c>
      <c r="F811" s="8" t="str">
        <f>_xlfn.IFNA(INDEX('HS Codes'!$D$2:$K3365,MATCH($B811,'HS Codes'!$A$2:$A3365,0),MATCH(F$1,'HS Codes'!$D$1:$K$1,0)),"")</f>
        <v>6302.93.2000</v>
      </c>
      <c r="G811" s="8">
        <f>_xlfn.IFNA(INDEX('HS Codes'!$D$2:$K3365,MATCH($B811,'HS Codes'!$A$2:$A3365,0),MATCH(G$1,'HS Codes'!$D$1:$K$1,0)),"")</f>
        <v>6302600090</v>
      </c>
      <c r="H811" s="8" t="str">
        <f>_xlfn.IFNA(INDEX('HS Codes'!$D$2:$K3365,MATCH($B811,'HS Codes'!$A$2:$A3365,0),MATCH(H$1,'HS Codes'!$D$1:$K$1,0)),"")</f>
        <v>6302.93.00.00</v>
      </c>
      <c r="I811" s="8">
        <f>_xlfn.IFNA(INDEX('HS Codes'!$D$2:$K3365,MATCH($B811,'HS Codes'!$A$2:$A3365,0),MATCH(I$1,'HS Codes'!$D$1:$K$1,0)),"")</f>
        <v>63029390</v>
      </c>
      <c r="J811" s="8">
        <f>_xlfn.IFNA(INDEX('HS Codes'!$D$2:$K3365,MATCH($B811,'HS Codes'!$A$2:$A3365,0),MATCH(J$1,'HS Codes'!$D$1:$K$1,0)),"")</f>
        <v>0</v>
      </c>
      <c r="K811" s="8" t="str">
        <f>_xlfn.IFNA(INDEX('HS Codes'!$D$2:$K3365,MATCH($B811,'HS Codes'!$A$2:$A3365,0),MATCH(K$1,'HS Codes'!$D$1:$K$1,0)),"")</f>
        <v>6302.39.00</v>
      </c>
      <c r="L811" s="8">
        <f>_xlfn.IFNA(INDEX('HS Codes'!$D$2:$K3365,MATCH($B811,'HS Codes'!$A$2:$A3365,0),MATCH(L$1,'HS Codes'!$D$1:$K$1,0)),"")</f>
        <v>63029120</v>
      </c>
      <c r="M811" s="8" t="str">
        <f>_xlfn.IFNA(INDEX('HS Codes'!$C$2:$C3365,MATCH($B811,'HS Codes'!$A$2:$A3365,0)),"")</f>
        <v>Beach Towel - Toilet Linen 100% recycled 220 GSM/83% polyester/17% polyamide includes cotton on the packing pouch drawstring</v>
      </c>
      <c r="N811" s="9"/>
      <c r="O811" s="9"/>
      <c r="P811" s="9"/>
      <c r="Q811" s="9"/>
    </row>
    <row r="812" spans="1:17" ht="15.75" customHeight="1">
      <c r="A812" s="7" t="s">
        <v>1104</v>
      </c>
      <c r="B812" s="7" t="s">
        <v>164</v>
      </c>
      <c r="C812" s="7" t="s">
        <v>278</v>
      </c>
      <c r="D812" s="7" t="s">
        <v>165</v>
      </c>
      <c r="E812" s="7" t="s">
        <v>348</v>
      </c>
      <c r="F812" s="8" t="str">
        <f>_xlfn.IFNA(INDEX('HS Codes'!$D$2:$K3366,MATCH($B812,'HS Codes'!$A$2:$A3366,0),MATCH(F$1,'HS Codes'!$D$1:$K$1,0)),"")</f>
        <v>6302.93.2000</v>
      </c>
      <c r="G812" s="8">
        <f>_xlfn.IFNA(INDEX('HS Codes'!$D$2:$K3366,MATCH($B812,'HS Codes'!$A$2:$A3366,0),MATCH(G$1,'HS Codes'!$D$1:$K$1,0)),"")</f>
        <v>6302600090</v>
      </c>
      <c r="H812" s="8" t="str">
        <f>_xlfn.IFNA(INDEX('HS Codes'!$D$2:$K3366,MATCH($B812,'HS Codes'!$A$2:$A3366,0),MATCH(H$1,'HS Codes'!$D$1:$K$1,0)),"")</f>
        <v>6302.93.00.00</v>
      </c>
      <c r="I812" s="8">
        <f>_xlfn.IFNA(INDEX('HS Codes'!$D$2:$K3366,MATCH($B812,'HS Codes'!$A$2:$A3366,0),MATCH(I$1,'HS Codes'!$D$1:$K$1,0)),"")</f>
        <v>63029390</v>
      </c>
      <c r="J812" s="8">
        <f>_xlfn.IFNA(INDEX('HS Codes'!$D$2:$K3366,MATCH($B812,'HS Codes'!$A$2:$A3366,0),MATCH(J$1,'HS Codes'!$D$1:$K$1,0)),"")</f>
        <v>0</v>
      </c>
      <c r="K812" s="8" t="str">
        <f>_xlfn.IFNA(INDEX('HS Codes'!$D$2:$K3366,MATCH($B812,'HS Codes'!$A$2:$A3366,0),MATCH(K$1,'HS Codes'!$D$1:$K$1,0)),"")</f>
        <v>6302.39.00</v>
      </c>
      <c r="L812" s="8">
        <f>_xlfn.IFNA(INDEX('HS Codes'!$D$2:$K3366,MATCH($B812,'HS Codes'!$A$2:$A3366,0),MATCH(L$1,'HS Codes'!$D$1:$K$1,0)),"")</f>
        <v>63029120</v>
      </c>
      <c r="M812" s="8" t="str">
        <f>_xlfn.IFNA(INDEX('HS Codes'!$C$2:$C3366,MATCH($B812,'HS Codes'!$A$2:$A3366,0)),"")</f>
        <v>Beach Towel - Toilet Linen 100% recycled 220 GSM/83% polyester/17% polyamide includes cotton on the packing pouch drawstring</v>
      </c>
      <c r="N812" s="9"/>
      <c r="O812" s="9"/>
      <c r="P812" s="9"/>
      <c r="Q812" s="9"/>
    </row>
    <row r="813" spans="1:17" ht="15.75" customHeight="1">
      <c r="A813" s="7" t="s">
        <v>1105</v>
      </c>
      <c r="B813" s="7" t="s">
        <v>164</v>
      </c>
      <c r="C813" s="7" t="s">
        <v>278</v>
      </c>
      <c r="D813" s="7" t="s">
        <v>165</v>
      </c>
      <c r="E813" s="7" t="s">
        <v>348</v>
      </c>
      <c r="F813" s="8" t="str">
        <f>_xlfn.IFNA(INDEX('HS Codes'!$D$2:$K3367,MATCH($B813,'HS Codes'!$A$2:$A3367,0),MATCH(F$1,'HS Codes'!$D$1:$K$1,0)),"")</f>
        <v>6302.93.2000</v>
      </c>
      <c r="G813" s="8">
        <f>_xlfn.IFNA(INDEX('HS Codes'!$D$2:$K3367,MATCH($B813,'HS Codes'!$A$2:$A3367,0),MATCH(G$1,'HS Codes'!$D$1:$K$1,0)),"")</f>
        <v>6302600090</v>
      </c>
      <c r="H813" s="8" t="str">
        <f>_xlfn.IFNA(INDEX('HS Codes'!$D$2:$K3367,MATCH($B813,'HS Codes'!$A$2:$A3367,0),MATCH(H$1,'HS Codes'!$D$1:$K$1,0)),"")</f>
        <v>6302.93.00.00</v>
      </c>
      <c r="I813" s="8">
        <f>_xlfn.IFNA(INDEX('HS Codes'!$D$2:$K3367,MATCH($B813,'HS Codes'!$A$2:$A3367,0),MATCH(I$1,'HS Codes'!$D$1:$K$1,0)),"")</f>
        <v>63029390</v>
      </c>
      <c r="J813" s="8">
        <f>_xlfn.IFNA(INDEX('HS Codes'!$D$2:$K3367,MATCH($B813,'HS Codes'!$A$2:$A3367,0),MATCH(J$1,'HS Codes'!$D$1:$K$1,0)),"")</f>
        <v>0</v>
      </c>
      <c r="K813" s="8" t="str">
        <f>_xlfn.IFNA(INDEX('HS Codes'!$D$2:$K3367,MATCH($B813,'HS Codes'!$A$2:$A3367,0),MATCH(K$1,'HS Codes'!$D$1:$K$1,0)),"")</f>
        <v>6302.39.00</v>
      </c>
      <c r="L813" s="8">
        <f>_xlfn.IFNA(INDEX('HS Codes'!$D$2:$K3367,MATCH($B813,'HS Codes'!$A$2:$A3367,0),MATCH(L$1,'HS Codes'!$D$1:$K$1,0)),"")</f>
        <v>63029120</v>
      </c>
      <c r="M813" s="8" t="str">
        <f>_xlfn.IFNA(INDEX('HS Codes'!$C$2:$C3367,MATCH($B813,'HS Codes'!$A$2:$A3367,0)),"")</f>
        <v>Beach Towel - Toilet Linen 100% recycled 220 GSM/83% polyester/17% polyamide includes cotton on the packing pouch drawstring</v>
      </c>
      <c r="N813" s="9"/>
      <c r="O813" s="9"/>
      <c r="P813" s="9"/>
      <c r="Q813" s="9"/>
    </row>
    <row r="814" spans="1:17" ht="15.75" customHeight="1">
      <c r="A814" s="7" t="s">
        <v>1106</v>
      </c>
      <c r="B814" s="7" t="s">
        <v>164</v>
      </c>
      <c r="C814" s="7" t="s">
        <v>278</v>
      </c>
      <c r="D814" s="7" t="s">
        <v>165</v>
      </c>
      <c r="E814" s="7" t="s">
        <v>348</v>
      </c>
      <c r="F814" s="8" t="str">
        <f>_xlfn.IFNA(INDEX('HS Codes'!$D$2:$K3368,MATCH($B814,'HS Codes'!$A$2:$A3368,0),MATCH(F$1,'HS Codes'!$D$1:$K$1,0)),"")</f>
        <v>6302.93.2000</v>
      </c>
      <c r="G814" s="8">
        <f>_xlfn.IFNA(INDEX('HS Codes'!$D$2:$K3368,MATCH($B814,'HS Codes'!$A$2:$A3368,0),MATCH(G$1,'HS Codes'!$D$1:$K$1,0)),"")</f>
        <v>6302600090</v>
      </c>
      <c r="H814" s="8" t="str">
        <f>_xlfn.IFNA(INDEX('HS Codes'!$D$2:$K3368,MATCH($B814,'HS Codes'!$A$2:$A3368,0),MATCH(H$1,'HS Codes'!$D$1:$K$1,0)),"")</f>
        <v>6302.93.00.00</v>
      </c>
      <c r="I814" s="8">
        <f>_xlfn.IFNA(INDEX('HS Codes'!$D$2:$K3368,MATCH($B814,'HS Codes'!$A$2:$A3368,0),MATCH(I$1,'HS Codes'!$D$1:$K$1,0)),"")</f>
        <v>63029390</v>
      </c>
      <c r="J814" s="8">
        <f>_xlfn.IFNA(INDEX('HS Codes'!$D$2:$K3368,MATCH($B814,'HS Codes'!$A$2:$A3368,0),MATCH(J$1,'HS Codes'!$D$1:$K$1,0)),"")</f>
        <v>0</v>
      </c>
      <c r="K814" s="8" t="str">
        <f>_xlfn.IFNA(INDEX('HS Codes'!$D$2:$K3368,MATCH($B814,'HS Codes'!$A$2:$A3368,0),MATCH(K$1,'HS Codes'!$D$1:$K$1,0)),"")</f>
        <v>6302.39.00</v>
      </c>
      <c r="L814" s="8">
        <f>_xlfn.IFNA(INDEX('HS Codes'!$D$2:$K3368,MATCH($B814,'HS Codes'!$A$2:$A3368,0),MATCH(L$1,'HS Codes'!$D$1:$K$1,0)),"")</f>
        <v>63029120</v>
      </c>
      <c r="M814" s="8" t="str">
        <f>_xlfn.IFNA(INDEX('HS Codes'!$C$2:$C3368,MATCH($B814,'HS Codes'!$A$2:$A3368,0)),"")</f>
        <v>Beach Towel - Toilet Linen 100% recycled 220 GSM/83% polyester/17% polyamide includes cotton on the packing pouch drawstring</v>
      </c>
      <c r="N814" s="9"/>
      <c r="O814" s="9"/>
      <c r="P814" s="9"/>
      <c r="Q814" s="9"/>
    </row>
    <row r="815" spans="1:17" ht="15.75" customHeight="1">
      <c r="A815" s="7" t="s">
        <v>1107</v>
      </c>
      <c r="B815" s="7" t="s">
        <v>164</v>
      </c>
      <c r="C815" s="7" t="s">
        <v>278</v>
      </c>
      <c r="D815" s="7" t="s">
        <v>165</v>
      </c>
      <c r="E815" s="7" t="s">
        <v>348</v>
      </c>
      <c r="F815" s="8" t="str">
        <f>_xlfn.IFNA(INDEX('HS Codes'!$D$2:$K3369,MATCH($B815,'HS Codes'!$A$2:$A3369,0),MATCH(F$1,'HS Codes'!$D$1:$K$1,0)),"")</f>
        <v>6302.93.2000</v>
      </c>
      <c r="G815" s="8">
        <f>_xlfn.IFNA(INDEX('HS Codes'!$D$2:$K3369,MATCH($B815,'HS Codes'!$A$2:$A3369,0),MATCH(G$1,'HS Codes'!$D$1:$K$1,0)),"")</f>
        <v>6302600090</v>
      </c>
      <c r="H815" s="8" t="str">
        <f>_xlfn.IFNA(INDEX('HS Codes'!$D$2:$K3369,MATCH($B815,'HS Codes'!$A$2:$A3369,0),MATCH(H$1,'HS Codes'!$D$1:$K$1,0)),"")</f>
        <v>6302.93.00.00</v>
      </c>
      <c r="I815" s="8">
        <f>_xlfn.IFNA(INDEX('HS Codes'!$D$2:$K3369,MATCH($B815,'HS Codes'!$A$2:$A3369,0),MATCH(I$1,'HS Codes'!$D$1:$K$1,0)),"")</f>
        <v>63029390</v>
      </c>
      <c r="J815" s="8">
        <f>_xlfn.IFNA(INDEX('HS Codes'!$D$2:$K3369,MATCH($B815,'HS Codes'!$A$2:$A3369,0),MATCH(J$1,'HS Codes'!$D$1:$K$1,0)),"")</f>
        <v>0</v>
      </c>
      <c r="K815" s="8" t="str">
        <f>_xlfn.IFNA(INDEX('HS Codes'!$D$2:$K3369,MATCH($B815,'HS Codes'!$A$2:$A3369,0),MATCH(K$1,'HS Codes'!$D$1:$K$1,0)),"")</f>
        <v>6302.39.00</v>
      </c>
      <c r="L815" s="8">
        <f>_xlfn.IFNA(INDEX('HS Codes'!$D$2:$K3369,MATCH($B815,'HS Codes'!$A$2:$A3369,0),MATCH(L$1,'HS Codes'!$D$1:$K$1,0)),"")</f>
        <v>63029120</v>
      </c>
      <c r="M815" s="8" t="str">
        <f>_xlfn.IFNA(INDEX('HS Codes'!$C$2:$C3369,MATCH($B815,'HS Codes'!$A$2:$A3369,0)),"")</f>
        <v>Beach Towel - Toilet Linen 100% recycled 220 GSM/83% polyester/17% polyamide includes cotton on the packing pouch drawstring</v>
      </c>
      <c r="N815" s="9"/>
      <c r="O815" s="9"/>
      <c r="P815" s="9"/>
      <c r="Q815" s="9"/>
    </row>
    <row r="816" spans="1:17" ht="15.75" customHeight="1">
      <c r="A816" s="7" t="s">
        <v>1108</v>
      </c>
      <c r="B816" s="7" t="s">
        <v>164</v>
      </c>
      <c r="C816" s="7" t="s">
        <v>278</v>
      </c>
      <c r="D816" s="7" t="s">
        <v>165</v>
      </c>
      <c r="E816" s="7" t="s">
        <v>348</v>
      </c>
      <c r="F816" s="8" t="str">
        <f>_xlfn.IFNA(INDEX('HS Codes'!$D$2:$K3370,MATCH($B816,'HS Codes'!$A$2:$A3370,0),MATCH(F$1,'HS Codes'!$D$1:$K$1,0)),"")</f>
        <v>6302.93.2000</v>
      </c>
      <c r="G816" s="8">
        <f>_xlfn.IFNA(INDEX('HS Codes'!$D$2:$K3370,MATCH($B816,'HS Codes'!$A$2:$A3370,0),MATCH(G$1,'HS Codes'!$D$1:$K$1,0)),"")</f>
        <v>6302600090</v>
      </c>
      <c r="H816" s="8" t="str">
        <f>_xlfn.IFNA(INDEX('HS Codes'!$D$2:$K3370,MATCH($B816,'HS Codes'!$A$2:$A3370,0),MATCH(H$1,'HS Codes'!$D$1:$K$1,0)),"")</f>
        <v>6302.93.00.00</v>
      </c>
      <c r="I816" s="8">
        <f>_xlfn.IFNA(INDEX('HS Codes'!$D$2:$K3370,MATCH($B816,'HS Codes'!$A$2:$A3370,0),MATCH(I$1,'HS Codes'!$D$1:$K$1,0)),"")</f>
        <v>63029390</v>
      </c>
      <c r="J816" s="8">
        <f>_xlfn.IFNA(INDEX('HS Codes'!$D$2:$K3370,MATCH($B816,'HS Codes'!$A$2:$A3370,0),MATCH(J$1,'HS Codes'!$D$1:$K$1,0)),"")</f>
        <v>0</v>
      </c>
      <c r="K816" s="8" t="str">
        <f>_xlfn.IFNA(INDEX('HS Codes'!$D$2:$K3370,MATCH($B816,'HS Codes'!$A$2:$A3370,0),MATCH(K$1,'HS Codes'!$D$1:$K$1,0)),"")</f>
        <v>6302.39.00</v>
      </c>
      <c r="L816" s="8">
        <f>_xlfn.IFNA(INDEX('HS Codes'!$D$2:$K3370,MATCH($B816,'HS Codes'!$A$2:$A3370,0),MATCH(L$1,'HS Codes'!$D$1:$K$1,0)),"")</f>
        <v>63029120</v>
      </c>
      <c r="M816" s="8" t="str">
        <f>_xlfn.IFNA(INDEX('HS Codes'!$C$2:$C3370,MATCH($B816,'HS Codes'!$A$2:$A3370,0)),"")</f>
        <v>Beach Towel - Toilet Linen 100% recycled 220 GSM/83% polyester/17% polyamide includes cotton on the packing pouch drawstring</v>
      </c>
      <c r="N816" s="9"/>
      <c r="O816" s="9"/>
      <c r="P816" s="9"/>
      <c r="Q816" s="9"/>
    </row>
    <row r="817" spans="1:17" ht="15.75" customHeight="1">
      <c r="A817" s="7" t="s">
        <v>1109</v>
      </c>
      <c r="B817" s="7" t="s">
        <v>164</v>
      </c>
      <c r="C817" s="7" t="s">
        <v>278</v>
      </c>
      <c r="D817" s="7" t="s">
        <v>165</v>
      </c>
      <c r="E817" s="7" t="s">
        <v>348</v>
      </c>
      <c r="F817" s="8" t="str">
        <f>_xlfn.IFNA(INDEX('HS Codes'!$D$2:$K3371,MATCH($B817,'HS Codes'!$A$2:$A3371,0),MATCH(F$1,'HS Codes'!$D$1:$K$1,0)),"")</f>
        <v>6302.93.2000</v>
      </c>
      <c r="G817" s="8">
        <f>_xlfn.IFNA(INDEX('HS Codes'!$D$2:$K3371,MATCH($B817,'HS Codes'!$A$2:$A3371,0),MATCH(G$1,'HS Codes'!$D$1:$K$1,0)),"")</f>
        <v>6302600090</v>
      </c>
      <c r="H817" s="8" t="str">
        <f>_xlfn.IFNA(INDEX('HS Codes'!$D$2:$K3371,MATCH($B817,'HS Codes'!$A$2:$A3371,0),MATCH(H$1,'HS Codes'!$D$1:$K$1,0)),"")</f>
        <v>6302.93.00.00</v>
      </c>
      <c r="I817" s="8">
        <f>_xlfn.IFNA(INDEX('HS Codes'!$D$2:$K3371,MATCH($B817,'HS Codes'!$A$2:$A3371,0),MATCH(I$1,'HS Codes'!$D$1:$K$1,0)),"")</f>
        <v>63029390</v>
      </c>
      <c r="J817" s="8">
        <f>_xlfn.IFNA(INDEX('HS Codes'!$D$2:$K3371,MATCH($B817,'HS Codes'!$A$2:$A3371,0),MATCH(J$1,'HS Codes'!$D$1:$K$1,0)),"")</f>
        <v>0</v>
      </c>
      <c r="K817" s="8" t="str">
        <f>_xlfn.IFNA(INDEX('HS Codes'!$D$2:$K3371,MATCH($B817,'HS Codes'!$A$2:$A3371,0),MATCH(K$1,'HS Codes'!$D$1:$K$1,0)),"")</f>
        <v>6302.39.00</v>
      </c>
      <c r="L817" s="8">
        <f>_xlfn.IFNA(INDEX('HS Codes'!$D$2:$K3371,MATCH($B817,'HS Codes'!$A$2:$A3371,0),MATCH(L$1,'HS Codes'!$D$1:$K$1,0)),"")</f>
        <v>63029120</v>
      </c>
      <c r="M817" s="8" t="str">
        <f>_xlfn.IFNA(INDEX('HS Codes'!$C$2:$C3371,MATCH($B817,'HS Codes'!$A$2:$A3371,0)),"")</f>
        <v>Beach Towel - Toilet Linen 100% recycled 220 GSM/83% polyester/17% polyamide includes cotton on the packing pouch drawstring</v>
      </c>
      <c r="N817" s="9"/>
      <c r="O817" s="9"/>
      <c r="P817" s="9"/>
      <c r="Q817" s="9"/>
    </row>
    <row r="818" spans="1:17" ht="15.75" customHeight="1">
      <c r="A818" s="7" t="s">
        <v>1110</v>
      </c>
      <c r="B818" s="7" t="s">
        <v>164</v>
      </c>
      <c r="C818" s="7" t="s">
        <v>278</v>
      </c>
      <c r="D818" s="7" t="s">
        <v>165</v>
      </c>
      <c r="E818" s="7" t="s">
        <v>348</v>
      </c>
      <c r="F818" s="8" t="str">
        <f>_xlfn.IFNA(INDEX('HS Codes'!$D$2:$K3372,MATCH($B818,'HS Codes'!$A$2:$A3372,0),MATCH(F$1,'HS Codes'!$D$1:$K$1,0)),"")</f>
        <v>6302.93.2000</v>
      </c>
      <c r="G818" s="8">
        <f>_xlfn.IFNA(INDEX('HS Codes'!$D$2:$K3372,MATCH($B818,'HS Codes'!$A$2:$A3372,0),MATCH(G$1,'HS Codes'!$D$1:$K$1,0)),"")</f>
        <v>6302600090</v>
      </c>
      <c r="H818" s="8" t="str">
        <f>_xlfn.IFNA(INDEX('HS Codes'!$D$2:$K3372,MATCH($B818,'HS Codes'!$A$2:$A3372,0),MATCH(H$1,'HS Codes'!$D$1:$K$1,0)),"")</f>
        <v>6302.93.00.00</v>
      </c>
      <c r="I818" s="8">
        <f>_xlfn.IFNA(INDEX('HS Codes'!$D$2:$K3372,MATCH($B818,'HS Codes'!$A$2:$A3372,0),MATCH(I$1,'HS Codes'!$D$1:$K$1,0)),"")</f>
        <v>63029390</v>
      </c>
      <c r="J818" s="8">
        <f>_xlfn.IFNA(INDEX('HS Codes'!$D$2:$K3372,MATCH($B818,'HS Codes'!$A$2:$A3372,0),MATCH(J$1,'HS Codes'!$D$1:$K$1,0)),"")</f>
        <v>0</v>
      </c>
      <c r="K818" s="8" t="str">
        <f>_xlfn.IFNA(INDEX('HS Codes'!$D$2:$K3372,MATCH($B818,'HS Codes'!$A$2:$A3372,0),MATCH(K$1,'HS Codes'!$D$1:$K$1,0)),"")</f>
        <v>6302.39.00</v>
      </c>
      <c r="L818" s="8">
        <f>_xlfn.IFNA(INDEX('HS Codes'!$D$2:$K3372,MATCH($B818,'HS Codes'!$A$2:$A3372,0),MATCH(L$1,'HS Codes'!$D$1:$K$1,0)),"")</f>
        <v>63029120</v>
      </c>
      <c r="M818" s="8" t="str">
        <f>_xlfn.IFNA(INDEX('HS Codes'!$C$2:$C3372,MATCH($B818,'HS Codes'!$A$2:$A3372,0)),"")</f>
        <v>Beach Towel - Toilet Linen 100% recycled 220 GSM/83% polyester/17% polyamide includes cotton on the packing pouch drawstring</v>
      </c>
      <c r="N818" s="9"/>
      <c r="O818" s="9"/>
      <c r="P818" s="9"/>
      <c r="Q818" s="9"/>
    </row>
    <row r="819" spans="1:17" ht="15.75" customHeight="1">
      <c r="A819" s="7" t="s">
        <v>1111</v>
      </c>
      <c r="B819" s="7" t="s">
        <v>164</v>
      </c>
      <c r="C819" s="7" t="s">
        <v>278</v>
      </c>
      <c r="D819" s="7" t="s">
        <v>165</v>
      </c>
      <c r="E819" s="7" t="s">
        <v>348</v>
      </c>
      <c r="F819" s="8" t="str">
        <f>_xlfn.IFNA(INDEX('HS Codes'!$D$2:$K3373,MATCH($B819,'HS Codes'!$A$2:$A3373,0),MATCH(F$1,'HS Codes'!$D$1:$K$1,0)),"")</f>
        <v>6302.93.2000</v>
      </c>
      <c r="G819" s="8">
        <f>_xlfn.IFNA(INDEX('HS Codes'!$D$2:$K3373,MATCH($B819,'HS Codes'!$A$2:$A3373,0),MATCH(G$1,'HS Codes'!$D$1:$K$1,0)),"")</f>
        <v>6302600090</v>
      </c>
      <c r="H819" s="8" t="str">
        <f>_xlfn.IFNA(INDEX('HS Codes'!$D$2:$K3373,MATCH($B819,'HS Codes'!$A$2:$A3373,0),MATCH(H$1,'HS Codes'!$D$1:$K$1,0)),"")</f>
        <v>6302.93.00.00</v>
      </c>
      <c r="I819" s="8">
        <f>_xlfn.IFNA(INDEX('HS Codes'!$D$2:$K3373,MATCH($B819,'HS Codes'!$A$2:$A3373,0),MATCH(I$1,'HS Codes'!$D$1:$K$1,0)),"")</f>
        <v>63029390</v>
      </c>
      <c r="J819" s="8">
        <f>_xlfn.IFNA(INDEX('HS Codes'!$D$2:$K3373,MATCH($B819,'HS Codes'!$A$2:$A3373,0),MATCH(J$1,'HS Codes'!$D$1:$K$1,0)),"")</f>
        <v>0</v>
      </c>
      <c r="K819" s="8" t="str">
        <f>_xlfn.IFNA(INDEX('HS Codes'!$D$2:$K3373,MATCH($B819,'HS Codes'!$A$2:$A3373,0),MATCH(K$1,'HS Codes'!$D$1:$K$1,0)),"")</f>
        <v>6302.39.00</v>
      </c>
      <c r="L819" s="8">
        <f>_xlfn.IFNA(INDEX('HS Codes'!$D$2:$K3373,MATCH($B819,'HS Codes'!$A$2:$A3373,0),MATCH(L$1,'HS Codes'!$D$1:$K$1,0)),"")</f>
        <v>63029120</v>
      </c>
      <c r="M819" s="8" t="str">
        <f>_xlfn.IFNA(INDEX('HS Codes'!$C$2:$C3373,MATCH($B819,'HS Codes'!$A$2:$A3373,0)),"")</f>
        <v>Beach Towel - Toilet Linen 100% recycled 220 GSM/83% polyester/17% polyamide includes cotton on the packing pouch drawstring</v>
      </c>
      <c r="N819" s="9"/>
      <c r="O819" s="9"/>
      <c r="P819" s="9"/>
      <c r="Q819" s="9"/>
    </row>
    <row r="820" spans="1:17" ht="15.75" customHeight="1">
      <c r="A820" s="7" t="s">
        <v>1112</v>
      </c>
      <c r="B820" s="7" t="s">
        <v>164</v>
      </c>
      <c r="C820" s="7" t="s">
        <v>278</v>
      </c>
      <c r="D820" s="7" t="s">
        <v>165</v>
      </c>
      <c r="E820" s="7" t="s">
        <v>348</v>
      </c>
      <c r="F820" s="8" t="str">
        <f>_xlfn.IFNA(INDEX('HS Codes'!$D$2:$K3374,MATCH($B820,'HS Codes'!$A$2:$A3374,0),MATCH(F$1,'HS Codes'!$D$1:$K$1,0)),"")</f>
        <v>6302.93.2000</v>
      </c>
      <c r="G820" s="8">
        <f>_xlfn.IFNA(INDEX('HS Codes'!$D$2:$K3374,MATCH($B820,'HS Codes'!$A$2:$A3374,0),MATCH(G$1,'HS Codes'!$D$1:$K$1,0)),"")</f>
        <v>6302600090</v>
      </c>
      <c r="H820" s="8" t="str">
        <f>_xlfn.IFNA(INDEX('HS Codes'!$D$2:$K3374,MATCH($B820,'HS Codes'!$A$2:$A3374,0),MATCH(H$1,'HS Codes'!$D$1:$K$1,0)),"")</f>
        <v>6302.93.00.00</v>
      </c>
      <c r="I820" s="8">
        <f>_xlfn.IFNA(INDEX('HS Codes'!$D$2:$K3374,MATCH($B820,'HS Codes'!$A$2:$A3374,0),MATCH(I$1,'HS Codes'!$D$1:$K$1,0)),"")</f>
        <v>63029390</v>
      </c>
      <c r="J820" s="8">
        <f>_xlfn.IFNA(INDEX('HS Codes'!$D$2:$K3374,MATCH($B820,'HS Codes'!$A$2:$A3374,0),MATCH(J$1,'HS Codes'!$D$1:$K$1,0)),"")</f>
        <v>0</v>
      </c>
      <c r="K820" s="8" t="str">
        <f>_xlfn.IFNA(INDEX('HS Codes'!$D$2:$K3374,MATCH($B820,'HS Codes'!$A$2:$A3374,0),MATCH(K$1,'HS Codes'!$D$1:$K$1,0)),"")</f>
        <v>6302.39.00</v>
      </c>
      <c r="L820" s="8">
        <f>_xlfn.IFNA(INDEX('HS Codes'!$D$2:$K3374,MATCH($B820,'HS Codes'!$A$2:$A3374,0),MATCH(L$1,'HS Codes'!$D$1:$K$1,0)),"")</f>
        <v>63029120</v>
      </c>
      <c r="M820" s="8" t="str">
        <f>_xlfn.IFNA(INDEX('HS Codes'!$C$2:$C3374,MATCH($B820,'HS Codes'!$A$2:$A3374,0)),"")</f>
        <v>Beach Towel - Toilet Linen 100% recycled 220 GSM/83% polyester/17% polyamide includes cotton on the packing pouch drawstring</v>
      </c>
      <c r="N820" s="9"/>
      <c r="O820" s="9"/>
      <c r="P820" s="9"/>
      <c r="Q820" s="9"/>
    </row>
    <row r="821" spans="1:17" ht="15.75" customHeight="1">
      <c r="A821" s="7" t="s">
        <v>1113</v>
      </c>
      <c r="B821" s="7" t="s">
        <v>164</v>
      </c>
      <c r="C821" s="7" t="s">
        <v>278</v>
      </c>
      <c r="D821" s="7" t="s">
        <v>165</v>
      </c>
      <c r="E821" s="7" t="s">
        <v>348</v>
      </c>
      <c r="F821" s="8" t="str">
        <f>_xlfn.IFNA(INDEX('HS Codes'!$D$2:$K3375,MATCH($B821,'HS Codes'!$A$2:$A3375,0),MATCH(F$1,'HS Codes'!$D$1:$K$1,0)),"")</f>
        <v>6302.93.2000</v>
      </c>
      <c r="G821" s="8">
        <f>_xlfn.IFNA(INDEX('HS Codes'!$D$2:$K3375,MATCH($B821,'HS Codes'!$A$2:$A3375,0),MATCH(G$1,'HS Codes'!$D$1:$K$1,0)),"")</f>
        <v>6302600090</v>
      </c>
      <c r="H821" s="8" t="str">
        <f>_xlfn.IFNA(INDEX('HS Codes'!$D$2:$K3375,MATCH($B821,'HS Codes'!$A$2:$A3375,0),MATCH(H$1,'HS Codes'!$D$1:$K$1,0)),"")</f>
        <v>6302.93.00.00</v>
      </c>
      <c r="I821" s="8">
        <f>_xlfn.IFNA(INDEX('HS Codes'!$D$2:$K3375,MATCH($B821,'HS Codes'!$A$2:$A3375,0),MATCH(I$1,'HS Codes'!$D$1:$K$1,0)),"")</f>
        <v>63029390</v>
      </c>
      <c r="J821" s="8">
        <f>_xlfn.IFNA(INDEX('HS Codes'!$D$2:$K3375,MATCH($B821,'HS Codes'!$A$2:$A3375,0),MATCH(J$1,'HS Codes'!$D$1:$K$1,0)),"")</f>
        <v>0</v>
      </c>
      <c r="K821" s="8" t="str">
        <f>_xlfn.IFNA(INDEX('HS Codes'!$D$2:$K3375,MATCH($B821,'HS Codes'!$A$2:$A3375,0),MATCH(K$1,'HS Codes'!$D$1:$K$1,0)),"")</f>
        <v>6302.39.00</v>
      </c>
      <c r="L821" s="8">
        <f>_xlfn.IFNA(INDEX('HS Codes'!$D$2:$K3375,MATCH($B821,'HS Codes'!$A$2:$A3375,0),MATCH(L$1,'HS Codes'!$D$1:$K$1,0)),"")</f>
        <v>63029120</v>
      </c>
      <c r="M821" s="8" t="str">
        <f>_xlfn.IFNA(INDEX('HS Codes'!$C$2:$C3375,MATCH($B821,'HS Codes'!$A$2:$A3375,0)),"")</f>
        <v>Beach Towel - Toilet Linen 100% recycled 220 GSM/83% polyester/17% polyamide includes cotton on the packing pouch drawstring</v>
      </c>
      <c r="N821" s="9"/>
      <c r="O821" s="9"/>
      <c r="P821" s="9"/>
      <c r="Q821" s="9"/>
    </row>
    <row r="822" spans="1:17" ht="15.75" customHeight="1">
      <c r="A822" s="7" t="s">
        <v>1114</v>
      </c>
      <c r="B822" s="7" t="s">
        <v>164</v>
      </c>
      <c r="C822" s="7" t="s">
        <v>278</v>
      </c>
      <c r="D822" s="7" t="s">
        <v>165</v>
      </c>
      <c r="E822" s="7" t="s">
        <v>348</v>
      </c>
      <c r="F822" s="8" t="str">
        <f>_xlfn.IFNA(INDEX('HS Codes'!$D$2:$K3376,MATCH($B822,'HS Codes'!$A$2:$A3376,0),MATCH(F$1,'HS Codes'!$D$1:$K$1,0)),"")</f>
        <v>6302.93.2000</v>
      </c>
      <c r="G822" s="8">
        <f>_xlfn.IFNA(INDEX('HS Codes'!$D$2:$K3376,MATCH($B822,'HS Codes'!$A$2:$A3376,0),MATCH(G$1,'HS Codes'!$D$1:$K$1,0)),"")</f>
        <v>6302600090</v>
      </c>
      <c r="H822" s="8" t="str">
        <f>_xlfn.IFNA(INDEX('HS Codes'!$D$2:$K3376,MATCH($B822,'HS Codes'!$A$2:$A3376,0),MATCH(H$1,'HS Codes'!$D$1:$K$1,0)),"")</f>
        <v>6302.93.00.00</v>
      </c>
      <c r="I822" s="8">
        <f>_xlfn.IFNA(INDEX('HS Codes'!$D$2:$K3376,MATCH($B822,'HS Codes'!$A$2:$A3376,0),MATCH(I$1,'HS Codes'!$D$1:$K$1,0)),"")</f>
        <v>63029390</v>
      </c>
      <c r="J822" s="8">
        <f>_xlfn.IFNA(INDEX('HS Codes'!$D$2:$K3376,MATCH($B822,'HS Codes'!$A$2:$A3376,0),MATCH(J$1,'HS Codes'!$D$1:$K$1,0)),"")</f>
        <v>0</v>
      </c>
      <c r="K822" s="8" t="str">
        <f>_xlfn.IFNA(INDEX('HS Codes'!$D$2:$K3376,MATCH($B822,'HS Codes'!$A$2:$A3376,0),MATCH(K$1,'HS Codes'!$D$1:$K$1,0)),"")</f>
        <v>6302.39.00</v>
      </c>
      <c r="L822" s="8">
        <f>_xlfn.IFNA(INDEX('HS Codes'!$D$2:$K3376,MATCH($B822,'HS Codes'!$A$2:$A3376,0),MATCH(L$1,'HS Codes'!$D$1:$K$1,0)),"")</f>
        <v>63029120</v>
      </c>
      <c r="M822" s="8" t="str">
        <f>_xlfn.IFNA(INDEX('HS Codes'!$C$2:$C3376,MATCH($B822,'HS Codes'!$A$2:$A3376,0)),"")</f>
        <v>Beach Towel - Toilet Linen 100% recycled 220 GSM/83% polyester/17% polyamide includes cotton on the packing pouch drawstring</v>
      </c>
      <c r="N822" s="9"/>
      <c r="O822" s="9"/>
      <c r="P822" s="9"/>
      <c r="Q822" s="9"/>
    </row>
    <row r="823" spans="1:17" ht="15.75" customHeight="1">
      <c r="A823" s="7" t="s">
        <v>1115</v>
      </c>
      <c r="B823" s="7" t="s">
        <v>164</v>
      </c>
      <c r="C823" s="7" t="s">
        <v>278</v>
      </c>
      <c r="D823" s="7" t="s">
        <v>165</v>
      </c>
      <c r="E823" s="7" t="s">
        <v>348</v>
      </c>
      <c r="F823" s="8" t="str">
        <f>_xlfn.IFNA(INDEX('HS Codes'!$D$2:$K3377,MATCH($B823,'HS Codes'!$A$2:$A3377,0),MATCH(F$1,'HS Codes'!$D$1:$K$1,0)),"")</f>
        <v>6302.93.2000</v>
      </c>
      <c r="G823" s="8">
        <f>_xlfn.IFNA(INDEX('HS Codes'!$D$2:$K3377,MATCH($B823,'HS Codes'!$A$2:$A3377,0),MATCH(G$1,'HS Codes'!$D$1:$K$1,0)),"")</f>
        <v>6302600090</v>
      </c>
      <c r="H823" s="8" t="str">
        <f>_xlfn.IFNA(INDEX('HS Codes'!$D$2:$K3377,MATCH($B823,'HS Codes'!$A$2:$A3377,0),MATCH(H$1,'HS Codes'!$D$1:$K$1,0)),"")</f>
        <v>6302.93.00.00</v>
      </c>
      <c r="I823" s="8">
        <f>_xlfn.IFNA(INDEX('HS Codes'!$D$2:$K3377,MATCH($B823,'HS Codes'!$A$2:$A3377,0),MATCH(I$1,'HS Codes'!$D$1:$K$1,0)),"")</f>
        <v>63029390</v>
      </c>
      <c r="J823" s="8">
        <f>_xlfn.IFNA(INDEX('HS Codes'!$D$2:$K3377,MATCH($B823,'HS Codes'!$A$2:$A3377,0),MATCH(J$1,'HS Codes'!$D$1:$K$1,0)),"")</f>
        <v>0</v>
      </c>
      <c r="K823" s="8" t="str">
        <f>_xlfn.IFNA(INDEX('HS Codes'!$D$2:$K3377,MATCH($B823,'HS Codes'!$A$2:$A3377,0),MATCH(K$1,'HS Codes'!$D$1:$K$1,0)),"")</f>
        <v>6302.39.00</v>
      </c>
      <c r="L823" s="8">
        <f>_xlfn.IFNA(INDEX('HS Codes'!$D$2:$K3377,MATCH($B823,'HS Codes'!$A$2:$A3377,0),MATCH(L$1,'HS Codes'!$D$1:$K$1,0)),"")</f>
        <v>63029120</v>
      </c>
      <c r="M823" s="8" t="str">
        <f>_xlfn.IFNA(INDEX('HS Codes'!$C$2:$C3377,MATCH($B823,'HS Codes'!$A$2:$A3377,0)),"")</f>
        <v>Beach Towel - Toilet Linen 100% recycled 220 GSM/83% polyester/17% polyamide includes cotton on the packing pouch drawstring</v>
      </c>
      <c r="N823" s="9"/>
      <c r="O823" s="9"/>
      <c r="P823" s="9"/>
      <c r="Q823" s="9"/>
    </row>
    <row r="824" spans="1:17" ht="15.75" customHeight="1">
      <c r="A824" s="7" t="s">
        <v>1116</v>
      </c>
      <c r="B824" s="7" t="s">
        <v>164</v>
      </c>
      <c r="C824" s="7" t="s">
        <v>278</v>
      </c>
      <c r="D824" s="7" t="s">
        <v>165</v>
      </c>
      <c r="E824" s="7" t="s">
        <v>348</v>
      </c>
      <c r="F824" s="8" t="str">
        <f>_xlfn.IFNA(INDEX('HS Codes'!$D$2:$K3378,MATCH($B824,'HS Codes'!$A$2:$A3378,0),MATCH(F$1,'HS Codes'!$D$1:$K$1,0)),"")</f>
        <v>6302.93.2000</v>
      </c>
      <c r="G824" s="8">
        <f>_xlfn.IFNA(INDEX('HS Codes'!$D$2:$K3378,MATCH($B824,'HS Codes'!$A$2:$A3378,0),MATCH(G$1,'HS Codes'!$D$1:$K$1,0)),"")</f>
        <v>6302600090</v>
      </c>
      <c r="H824" s="8" t="str">
        <f>_xlfn.IFNA(INDEX('HS Codes'!$D$2:$K3378,MATCH($B824,'HS Codes'!$A$2:$A3378,0),MATCH(H$1,'HS Codes'!$D$1:$K$1,0)),"")</f>
        <v>6302.93.00.00</v>
      </c>
      <c r="I824" s="8">
        <f>_xlfn.IFNA(INDEX('HS Codes'!$D$2:$K3378,MATCH($B824,'HS Codes'!$A$2:$A3378,0),MATCH(I$1,'HS Codes'!$D$1:$K$1,0)),"")</f>
        <v>63029390</v>
      </c>
      <c r="J824" s="8">
        <f>_xlfn.IFNA(INDEX('HS Codes'!$D$2:$K3378,MATCH($B824,'HS Codes'!$A$2:$A3378,0),MATCH(J$1,'HS Codes'!$D$1:$K$1,0)),"")</f>
        <v>0</v>
      </c>
      <c r="K824" s="8" t="str">
        <f>_xlfn.IFNA(INDEX('HS Codes'!$D$2:$K3378,MATCH($B824,'HS Codes'!$A$2:$A3378,0),MATCH(K$1,'HS Codes'!$D$1:$K$1,0)),"")</f>
        <v>6302.39.00</v>
      </c>
      <c r="L824" s="8">
        <f>_xlfn.IFNA(INDEX('HS Codes'!$D$2:$K3378,MATCH($B824,'HS Codes'!$A$2:$A3378,0),MATCH(L$1,'HS Codes'!$D$1:$K$1,0)),"")</f>
        <v>63029120</v>
      </c>
      <c r="M824" s="8" t="str">
        <f>_xlfn.IFNA(INDEX('HS Codes'!$C$2:$C3378,MATCH($B824,'HS Codes'!$A$2:$A3378,0)),"")</f>
        <v>Beach Towel - Toilet Linen 100% recycled 220 GSM/83% polyester/17% polyamide includes cotton on the packing pouch drawstring</v>
      </c>
      <c r="N824" s="9"/>
      <c r="O824" s="9"/>
      <c r="P824" s="9"/>
      <c r="Q824" s="9"/>
    </row>
    <row r="825" spans="1:17" ht="15.75" customHeight="1">
      <c r="A825" s="7" t="s">
        <v>1117</v>
      </c>
      <c r="B825" s="7" t="s">
        <v>164</v>
      </c>
      <c r="C825" s="7" t="s">
        <v>278</v>
      </c>
      <c r="D825" s="7" t="s">
        <v>165</v>
      </c>
      <c r="E825" s="7" t="s">
        <v>348</v>
      </c>
      <c r="F825" s="8" t="str">
        <f>_xlfn.IFNA(INDEX('HS Codes'!$D$2:$K3379,MATCH($B825,'HS Codes'!$A$2:$A3379,0),MATCH(F$1,'HS Codes'!$D$1:$K$1,0)),"")</f>
        <v>6302.93.2000</v>
      </c>
      <c r="G825" s="8">
        <f>_xlfn.IFNA(INDEX('HS Codes'!$D$2:$K3379,MATCH($B825,'HS Codes'!$A$2:$A3379,0),MATCH(G$1,'HS Codes'!$D$1:$K$1,0)),"")</f>
        <v>6302600090</v>
      </c>
      <c r="H825" s="8" t="str">
        <f>_xlfn.IFNA(INDEX('HS Codes'!$D$2:$K3379,MATCH($B825,'HS Codes'!$A$2:$A3379,0),MATCH(H$1,'HS Codes'!$D$1:$K$1,0)),"")</f>
        <v>6302.93.00.00</v>
      </c>
      <c r="I825" s="8">
        <f>_xlfn.IFNA(INDEX('HS Codes'!$D$2:$K3379,MATCH($B825,'HS Codes'!$A$2:$A3379,0),MATCH(I$1,'HS Codes'!$D$1:$K$1,0)),"")</f>
        <v>63029390</v>
      </c>
      <c r="J825" s="8">
        <f>_xlfn.IFNA(INDEX('HS Codes'!$D$2:$K3379,MATCH($B825,'HS Codes'!$A$2:$A3379,0),MATCH(J$1,'HS Codes'!$D$1:$K$1,0)),"")</f>
        <v>0</v>
      </c>
      <c r="K825" s="8" t="str">
        <f>_xlfn.IFNA(INDEX('HS Codes'!$D$2:$K3379,MATCH($B825,'HS Codes'!$A$2:$A3379,0),MATCH(K$1,'HS Codes'!$D$1:$K$1,0)),"")</f>
        <v>6302.39.00</v>
      </c>
      <c r="L825" s="8">
        <f>_xlfn.IFNA(INDEX('HS Codes'!$D$2:$K3379,MATCH($B825,'HS Codes'!$A$2:$A3379,0),MATCH(L$1,'HS Codes'!$D$1:$K$1,0)),"")</f>
        <v>63029120</v>
      </c>
      <c r="M825" s="8" t="str">
        <f>_xlfn.IFNA(INDEX('HS Codes'!$C$2:$C3379,MATCH($B825,'HS Codes'!$A$2:$A3379,0)),"")</f>
        <v>Beach Towel - Toilet Linen 100% recycled 220 GSM/83% polyester/17% polyamide includes cotton on the packing pouch drawstring</v>
      </c>
      <c r="N825" s="9"/>
      <c r="O825" s="9"/>
      <c r="P825" s="9"/>
      <c r="Q825" s="9"/>
    </row>
    <row r="826" spans="1:17" ht="15.75" customHeight="1">
      <c r="A826" s="7" t="s">
        <v>1118</v>
      </c>
      <c r="B826" s="7" t="s">
        <v>164</v>
      </c>
      <c r="C826" s="7" t="s">
        <v>278</v>
      </c>
      <c r="D826" s="7" t="s">
        <v>165</v>
      </c>
      <c r="E826" s="7" t="s">
        <v>348</v>
      </c>
      <c r="F826" s="8" t="str">
        <f>_xlfn.IFNA(INDEX('HS Codes'!$D$2:$K3380,MATCH($B826,'HS Codes'!$A$2:$A3380,0),MATCH(F$1,'HS Codes'!$D$1:$K$1,0)),"")</f>
        <v>6302.93.2000</v>
      </c>
      <c r="G826" s="8">
        <f>_xlfn.IFNA(INDEX('HS Codes'!$D$2:$K3380,MATCH($B826,'HS Codes'!$A$2:$A3380,0),MATCH(G$1,'HS Codes'!$D$1:$K$1,0)),"")</f>
        <v>6302600090</v>
      </c>
      <c r="H826" s="8" t="str">
        <f>_xlfn.IFNA(INDEX('HS Codes'!$D$2:$K3380,MATCH($B826,'HS Codes'!$A$2:$A3380,0),MATCH(H$1,'HS Codes'!$D$1:$K$1,0)),"")</f>
        <v>6302.93.00.00</v>
      </c>
      <c r="I826" s="8">
        <f>_xlfn.IFNA(INDEX('HS Codes'!$D$2:$K3380,MATCH($B826,'HS Codes'!$A$2:$A3380,0),MATCH(I$1,'HS Codes'!$D$1:$K$1,0)),"")</f>
        <v>63029390</v>
      </c>
      <c r="J826" s="8">
        <f>_xlfn.IFNA(INDEX('HS Codes'!$D$2:$K3380,MATCH($B826,'HS Codes'!$A$2:$A3380,0),MATCH(J$1,'HS Codes'!$D$1:$K$1,0)),"")</f>
        <v>0</v>
      </c>
      <c r="K826" s="8" t="str">
        <f>_xlfn.IFNA(INDEX('HS Codes'!$D$2:$K3380,MATCH($B826,'HS Codes'!$A$2:$A3380,0),MATCH(K$1,'HS Codes'!$D$1:$K$1,0)),"")</f>
        <v>6302.39.00</v>
      </c>
      <c r="L826" s="8">
        <f>_xlfn.IFNA(INDEX('HS Codes'!$D$2:$K3380,MATCH($B826,'HS Codes'!$A$2:$A3380,0),MATCH(L$1,'HS Codes'!$D$1:$K$1,0)),"")</f>
        <v>63029120</v>
      </c>
      <c r="M826" s="8" t="str">
        <f>_xlfn.IFNA(INDEX('HS Codes'!$C$2:$C3380,MATCH($B826,'HS Codes'!$A$2:$A3380,0)),"")</f>
        <v>Beach Towel - Toilet Linen 100% recycled 220 GSM/83% polyester/17% polyamide includes cotton on the packing pouch drawstring</v>
      </c>
      <c r="N826" s="9"/>
      <c r="O826" s="9"/>
      <c r="P826" s="9"/>
      <c r="Q826" s="9"/>
    </row>
    <row r="827" spans="1:17" ht="15.75" customHeight="1">
      <c r="A827" s="7" t="s">
        <v>1119</v>
      </c>
      <c r="B827" s="7" t="s">
        <v>164</v>
      </c>
      <c r="C827" s="7" t="s">
        <v>278</v>
      </c>
      <c r="D827" s="7" t="s">
        <v>165</v>
      </c>
      <c r="E827" s="7" t="s">
        <v>348</v>
      </c>
      <c r="F827" s="8" t="str">
        <f>_xlfn.IFNA(INDEX('HS Codes'!$D$2:$K3381,MATCH($B827,'HS Codes'!$A$2:$A3381,0),MATCH(F$1,'HS Codes'!$D$1:$K$1,0)),"")</f>
        <v>6302.93.2000</v>
      </c>
      <c r="G827" s="8">
        <f>_xlfn.IFNA(INDEX('HS Codes'!$D$2:$K3381,MATCH($B827,'HS Codes'!$A$2:$A3381,0),MATCH(G$1,'HS Codes'!$D$1:$K$1,0)),"")</f>
        <v>6302600090</v>
      </c>
      <c r="H827" s="8" t="str">
        <f>_xlfn.IFNA(INDEX('HS Codes'!$D$2:$K3381,MATCH($B827,'HS Codes'!$A$2:$A3381,0),MATCH(H$1,'HS Codes'!$D$1:$K$1,0)),"")</f>
        <v>6302.93.00.00</v>
      </c>
      <c r="I827" s="8">
        <f>_xlfn.IFNA(INDEX('HS Codes'!$D$2:$K3381,MATCH($B827,'HS Codes'!$A$2:$A3381,0),MATCH(I$1,'HS Codes'!$D$1:$K$1,0)),"")</f>
        <v>63029390</v>
      </c>
      <c r="J827" s="8">
        <f>_xlfn.IFNA(INDEX('HS Codes'!$D$2:$K3381,MATCH($B827,'HS Codes'!$A$2:$A3381,0),MATCH(J$1,'HS Codes'!$D$1:$K$1,0)),"")</f>
        <v>0</v>
      </c>
      <c r="K827" s="8" t="str">
        <f>_xlfn.IFNA(INDEX('HS Codes'!$D$2:$K3381,MATCH($B827,'HS Codes'!$A$2:$A3381,0),MATCH(K$1,'HS Codes'!$D$1:$K$1,0)),"")</f>
        <v>6302.39.00</v>
      </c>
      <c r="L827" s="8">
        <f>_xlfn.IFNA(INDEX('HS Codes'!$D$2:$K3381,MATCH($B827,'HS Codes'!$A$2:$A3381,0),MATCH(L$1,'HS Codes'!$D$1:$K$1,0)),"")</f>
        <v>63029120</v>
      </c>
      <c r="M827" s="8" t="str">
        <f>_xlfn.IFNA(INDEX('HS Codes'!$C$2:$C3381,MATCH($B827,'HS Codes'!$A$2:$A3381,0)),"")</f>
        <v>Beach Towel - Toilet Linen 100% recycled 220 GSM/83% polyester/17% polyamide includes cotton on the packing pouch drawstring</v>
      </c>
      <c r="N827" s="9"/>
      <c r="O827" s="9"/>
      <c r="P827" s="9"/>
      <c r="Q827" s="9"/>
    </row>
    <row r="828" spans="1:17" ht="15.75" customHeight="1">
      <c r="A828" s="7" t="s">
        <v>1120</v>
      </c>
      <c r="B828" s="7" t="s">
        <v>164</v>
      </c>
      <c r="C828" s="7" t="s">
        <v>278</v>
      </c>
      <c r="D828" s="7" t="s">
        <v>165</v>
      </c>
      <c r="E828" s="7" t="s">
        <v>348</v>
      </c>
      <c r="F828" s="8" t="str">
        <f>_xlfn.IFNA(INDEX('HS Codes'!$D$2:$K3382,MATCH($B828,'HS Codes'!$A$2:$A3382,0),MATCH(F$1,'HS Codes'!$D$1:$K$1,0)),"")</f>
        <v>6302.93.2000</v>
      </c>
      <c r="G828" s="8">
        <f>_xlfn.IFNA(INDEX('HS Codes'!$D$2:$K3382,MATCH($B828,'HS Codes'!$A$2:$A3382,0),MATCH(G$1,'HS Codes'!$D$1:$K$1,0)),"")</f>
        <v>6302600090</v>
      </c>
      <c r="H828" s="8" t="str">
        <f>_xlfn.IFNA(INDEX('HS Codes'!$D$2:$K3382,MATCH($B828,'HS Codes'!$A$2:$A3382,0),MATCH(H$1,'HS Codes'!$D$1:$K$1,0)),"")</f>
        <v>6302.93.00.00</v>
      </c>
      <c r="I828" s="8">
        <f>_xlfn.IFNA(INDEX('HS Codes'!$D$2:$K3382,MATCH($B828,'HS Codes'!$A$2:$A3382,0),MATCH(I$1,'HS Codes'!$D$1:$K$1,0)),"")</f>
        <v>63029390</v>
      </c>
      <c r="J828" s="8">
        <f>_xlfn.IFNA(INDEX('HS Codes'!$D$2:$K3382,MATCH($B828,'HS Codes'!$A$2:$A3382,0),MATCH(J$1,'HS Codes'!$D$1:$K$1,0)),"")</f>
        <v>0</v>
      </c>
      <c r="K828" s="8" t="str">
        <f>_xlfn.IFNA(INDEX('HS Codes'!$D$2:$K3382,MATCH($B828,'HS Codes'!$A$2:$A3382,0),MATCH(K$1,'HS Codes'!$D$1:$K$1,0)),"")</f>
        <v>6302.39.00</v>
      </c>
      <c r="L828" s="8">
        <f>_xlfn.IFNA(INDEX('HS Codes'!$D$2:$K3382,MATCH($B828,'HS Codes'!$A$2:$A3382,0),MATCH(L$1,'HS Codes'!$D$1:$K$1,0)),"")</f>
        <v>63029120</v>
      </c>
      <c r="M828" s="8" t="str">
        <f>_xlfn.IFNA(INDEX('HS Codes'!$C$2:$C3382,MATCH($B828,'HS Codes'!$A$2:$A3382,0)),"")</f>
        <v>Beach Towel - Toilet Linen 100% recycled 220 GSM/83% polyester/17% polyamide includes cotton on the packing pouch drawstring</v>
      </c>
      <c r="N828" s="9"/>
      <c r="O828" s="9"/>
      <c r="P828" s="9"/>
      <c r="Q828" s="9"/>
    </row>
    <row r="829" spans="1:17" ht="15.75" customHeight="1">
      <c r="A829" s="7" t="s">
        <v>1121</v>
      </c>
      <c r="B829" s="7" t="s">
        <v>167</v>
      </c>
      <c r="C829" s="7" t="s">
        <v>278</v>
      </c>
      <c r="D829" s="7" t="s">
        <v>168</v>
      </c>
      <c r="E829" s="7" t="s">
        <v>752</v>
      </c>
      <c r="F829" s="8" t="str">
        <f>_xlfn.IFNA(INDEX('HS Codes'!$D$2:$K3383,MATCH($B829,'HS Codes'!$A$2:$A3383,0),MATCH(F$1,'HS Codes'!$D$1:$K$1,0)),"")</f>
        <v>6302.93.2000</v>
      </c>
      <c r="G829" s="8">
        <f>_xlfn.IFNA(INDEX('HS Codes'!$D$2:$K3383,MATCH($B829,'HS Codes'!$A$2:$A3383,0),MATCH(G$1,'HS Codes'!$D$1:$K$1,0)),"")</f>
        <v>6302600090</v>
      </c>
      <c r="H829" s="8" t="str">
        <f>_xlfn.IFNA(INDEX('HS Codes'!$D$2:$K3383,MATCH($B829,'HS Codes'!$A$2:$A3383,0),MATCH(H$1,'HS Codes'!$D$1:$K$1,0)),"")</f>
        <v>6302.93.00.00</v>
      </c>
      <c r="I829" s="8">
        <f>_xlfn.IFNA(INDEX('HS Codes'!$D$2:$K3383,MATCH($B829,'HS Codes'!$A$2:$A3383,0),MATCH(I$1,'HS Codes'!$D$1:$K$1,0)),"")</f>
        <v>6302939000</v>
      </c>
      <c r="J829" s="8">
        <f>_xlfn.IFNA(INDEX('HS Codes'!$D$2:$K3383,MATCH($B829,'HS Codes'!$A$2:$A3383,0),MATCH(J$1,'HS Codes'!$D$1:$K$1,0)),"")</f>
        <v>0</v>
      </c>
      <c r="K829" s="8" t="str">
        <f>_xlfn.IFNA(INDEX('HS Codes'!$D$2:$K3383,MATCH($B829,'HS Codes'!$A$2:$A3383,0),MATCH(K$1,'HS Codes'!$D$1:$K$1,0)),"")</f>
        <v>6302.39.00</v>
      </c>
      <c r="L829" s="8">
        <f>_xlfn.IFNA(INDEX('HS Codes'!$D$2:$K3383,MATCH($B829,'HS Codes'!$A$2:$A3383,0),MATCH(L$1,'HS Codes'!$D$1:$K$1,0)),"")</f>
        <v>63029120</v>
      </c>
      <c r="M829" s="8" t="str">
        <f>_xlfn.IFNA(INDEX('HS Codes'!$C$2:$C3383,MATCH($B829,'HS Codes'!$A$2:$A3383,0)),"")</f>
        <v>Beach Towel - Toilet Linen 100% recycled 220 GSM/83% polyester/17% polyamide includes cotton on the packing pouch drawstring</v>
      </c>
      <c r="N829" s="9"/>
      <c r="O829" s="9"/>
      <c r="P829" s="9"/>
      <c r="Q829" s="9"/>
    </row>
    <row r="830" spans="1:17" ht="15.75" customHeight="1">
      <c r="A830" s="7" t="s">
        <v>1122</v>
      </c>
      <c r="B830" s="7" t="s">
        <v>167</v>
      </c>
      <c r="C830" s="7" t="s">
        <v>278</v>
      </c>
      <c r="D830" s="7" t="s">
        <v>168</v>
      </c>
      <c r="E830" s="7" t="s">
        <v>752</v>
      </c>
      <c r="F830" s="8" t="str">
        <f>_xlfn.IFNA(INDEX('HS Codes'!$D$2:$K3384,MATCH($B830,'HS Codes'!$A$2:$A3384,0),MATCH(F$1,'HS Codes'!$D$1:$K$1,0)),"")</f>
        <v>6302.93.2000</v>
      </c>
      <c r="G830" s="8">
        <f>_xlfn.IFNA(INDEX('HS Codes'!$D$2:$K3384,MATCH($B830,'HS Codes'!$A$2:$A3384,0),MATCH(G$1,'HS Codes'!$D$1:$K$1,0)),"")</f>
        <v>6302600090</v>
      </c>
      <c r="H830" s="8" t="str">
        <f>_xlfn.IFNA(INDEX('HS Codes'!$D$2:$K3384,MATCH($B830,'HS Codes'!$A$2:$A3384,0),MATCH(H$1,'HS Codes'!$D$1:$K$1,0)),"")</f>
        <v>6302.93.00.00</v>
      </c>
      <c r="I830" s="8">
        <f>_xlfn.IFNA(INDEX('HS Codes'!$D$2:$K3384,MATCH($B830,'HS Codes'!$A$2:$A3384,0),MATCH(I$1,'HS Codes'!$D$1:$K$1,0)),"")</f>
        <v>6302939000</v>
      </c>
      <c r="J830" s="8">
        <f>_xlfn.IFNA(INDEX('HS Codes'!$D$2:$K3384,MATCH($B830,'HS Codes'!$A$2:$A3384,0),MATCH(J$1,'HS Codes'!$D$1:$K$1,0)),"")</f>
        <v>0</v>
      </c>
      <c r="K830" s="8" t="str">
        <f>_xlfn.IFNA(INDEX('HS Codes'!$D$2:$K3384,MATCH($B830,'HS Codes'!$A$2:$A3384,0),MATCH(K$1,'HS Codes'!$D$1:$K$1,0)),"")</f>
        <v>6302.39.00</v>
      </c>
      <c r="L830" s="8">
        <f>_xlfn.IFNA(INDEX('HS Codes'!$D$2:$K3384,MATCH($B830,'HS Codes'!$A$2:$A3384,0),MATCH(L$1,'HS Codes'!$D$1:$K$1,0)),"")</f>
        <v>63029120</v>
      </c>
      <c r="M830" s="8" t="str">
        <f>_xlfn.IFNA(INDEX('HS Codes'!$C$2:$C3384,MATCH($B830,'HS Codes'!$A$2:$A3384,0)),"")</f>
        <v>Beach Towel - Toilet Linen 100% recycled 220 GSM/83% polyester/17% polyamide includes cotton on the packing pouch drawstring</v>
      </c>
      <c r="N830" s="9"/>
      <c r="O830" s="9"/>
      <c r="P830" s="9"/>
      <c r="Q830" s="9"/>
    </row>
    <row r="831" spans="1:17" ht="15.75" customHeight="1">
      <c r="A831" s="7" t="s">
        <v>1123</v>
      </c>
      <c r="B831" s="7" t="s">
        <v>167</v>
      </c>
      <c r="C831" s="7" t="s">
        <v>278</v>
      </c>
      <c r="D831" s="7" t="s">
        <v>168</v>
      </c>
      <c r="E831" s="7" t="s">
        <v>752</v>
      </c>
      <c r="F831" s="8" t="str">
        <f>_xlfn.IFNA(INDEX('HS Codes'!$D$2:$K3385,MATCH($B831,'HS Codes'!$A$2:$A3385,0),MATCH(F$1,'HS Codes'!$D$1:$K$1,0)),"")</f>
        <v>6302.93.2000</v>
      </c>
      <c r="G831" s="8">
        <f>_xlfn.IFNA(INDEX('HS Codes'!$D$2:$K3385,MATCH($B831,'HS Codes'!$A$2:$A3385,0),MATCH(G$1,'HS Codes'!$D$1:$K$1,0)),"")</f>
        <v>6302600090</v>
      </c>
      <c r="H831" s="8" t="str">
        <f>_xlfn.IFNA(INDEX('HS Codes'!$D$2:$K3385,MATCH($B831,'HS Codes'!$A$2:$A3385,0),MATCH(H$1,'HS Codes'!$D$1:$K$1,0)),"")</f>
        <v>6302.93.00.00</v>
      </c>
      <c r="I831" s="8">
        <f>_xlfn.IFNA(INDEX('HS Codes'!$D$2:$K3385,MATCH($B831,'HS Codes'!$A$2:$A3385,0),MATCH(I$1,'HS Codes'!$D$1:$K$1,0)),"")</f>
        <v>6302939000</v>
      </c>
      <c r="J831" s="8">
        <f>_xlfn.IFNA(INDEX('HS Codes'!$D$2:$K3385,MATCH($B831,'HS Codes'!$A$2:$A3385,0),MATCH(J$1,'HS Codes'!$D$1:$K$1,0)),"")</f>
        <v>0</v>
      </c>
      <c r="K831" s="8" t="str">
        <f>_xlfn.IFNA(INDEX('HS Codes'!$D$2:$K3385,MATCH($B831,'HS Codes'!$A$2:$A3385,0),MATCH(K$1,'HS Codes'!$D$1:$K$1,0)),"")</f>
        <v>6302.39.00</v>
      </c>
      <c r="L831" s="8">
        <f>_xlfn.IFNA(INDEX('HS Codes'!$D$2:$K3385,MATCH($B831,'HS Codes'!$A$2:$A3385,0),MATCH(L$1,'HS Codes'!$D$1:$K$1,0)),"")</f>
        <v>63029120</v>
      </c>
      <c r="M831" s="8" t="str">
        <f>_xlfn.IFNA(INDEX('HS Codes'!$C$2:$C3385,MATCH($B831,'HS Codes'!$A$2:$A3385,0)),"")</f>
        <v>Beach Towel - Toilet Linen 100% recycled 220 GSM/83% polyester/17% polyamide includes cotton on the packing pouch drawstring</v>
      </c>
      <c r="N831" s="9"/>
      <c r="O831" s="9"/>
      <c r="P831" s="9"/>
      <c r="Q831" s="9"/>
    </row>
    <row r="832" spans="1:17" ht="15.75" customHeight="1">
      <c r="A832" s="7" t="s">
        <v>1124</v>
      </c>
      <c r="B832" s="7" t="s">
        <v>167</v>
      </c>
      <c r="C832" s="7" t="s">
        <v>278</v>
      </c>
      <c r="D832" s="7" t="s">
        <v>168</v>
      </c>
      <c r="E832" s="7" t="s">
        <v>752</v>
      </c>
      <c r="F832" s="8" t="str">
        <f>_xlfn.IFNA(INDEX('HS Codes'!$D$2:$K3386,MATCH($B832,'HS Codes'!$A$2:$A3386,0),MATCH(F$1,'HS Codes'!$D$1:$K$1,0)),"")</f>
        <v>6302.93.2000</v>
      </c>
      <c r="G832" s="8">
        <f>_xlfn.IFNA(INDEX('HS Codes'!$D$2:$K3386,MATCH($B832,'HS Codes'!$A$2:$A3386,0),MATCH(G$1,'HS Codes'!$D$1:$K$1,0)),"")</f>
        <v>6302600090</v>
      </c>
      <c r="H832" s="8" t="str">
        <f>_xlfn.IFNA(INDEX('HS Codes'!$D$2:$K3386,MATCH($B832,'HS Codes'!$A$2:$A3386,0),MATCH(H$1,'HS Codes'!$D$1:$K$1,0)),"")</f>
        <v>6302.93.00.00</v>
      </c>
      <c r="I832" s="8">
        <f>_xlfn.IFNA(INDEX('HS Codes'!$D$2:$K3386,MATCH($B832,'HS Codes'!$A$2:$A3386,0),MATCH(I$1,'HS Codes'!$D$1:$K$1,0)),"")</f>
        <v>6302939000</v>
      </c>
      <c r="J832" s="8">
        <f>_xlfn.IFNA(INDEX('HS Codes'!$D$2:$K3386,MATCH($B832,'HS Codes'!$A$2:$A3386,0),MATCH(J$1,'HS Codes'!$D$1:$K$1,0)),"")</f>
        <v>0</v>
      </c>
      <c r="K832" s="8" t="str">
        <f>_xlfn.IFNA(INDEX('HS Codes'!$D$2:$K3386,MATCH($B832,'HS Codes'!$A$2:$A3386,0),MATCH(K$1,'HS Codes'!$D$1:$K$1,0)),"")</f>
        <v>6302.39.00</v>
      </c>
      <c r="L832" s="8">
        <f>_xlfn.IFNA(INDEX('HS Codes'!$D$2:$K3386,MATCH($B832,'HS Codes'!$A$2:$A3386,0),MATCH(L$1,'HS Codes'!$D$1:$K$1,0)),"")</f>
        <v>63029120</v>
      </c>
      <c r="M832" s="8" t="str">
        <f>_xlfn.IFNA(INDEX('HS Codes'!$C$2:$C3386,MATCH($B832,'HS Codes'!$A$2:$A3386,0)),"")</f>
        <v>Beach Towel - Toilet Linen 100% recycled 220 GSM/83% polyester/17% polyamide includes cotton on the packing pouch drawstring</v>
      </c>
      <c r="N832" s="9"/>
      <c r="O832" s="9"/>
      <c r="P832" s="9"/>
      <c r="Q832" s="9"/>
    </row>
    <row r="833" spans="1:17" ht="15.75" customHeight="1">
      <c r="A833" s="7" t="s">
        <v>1125</v>
      </c>
      <c r="B833" s="7" t="s">
        <v>167</v>
      </c>
      <c r="C833" s="7" t="s">
        <v>278</v>
      </c>
      <c r="D833" s="7" t="s">
        <v>168</v>
      </c>
      <c r="E833" s="7" t="s">
        <v>752</v>
      </c>
      <c r="F833" s="8" t="str">
        <f>_xlfn.IFNA(INDEX('HS Codes'!$D$2:$K3387,MATCH($B833,'HS Codes'!$A$2:$A3387,0),MATCH(F$1,'HS Codes'!$D$1:$K$1,0)),"")</f>
        <v>6302.93.2000</v>
      </c>
      <c r="G833" s="8">
        <f>_xlfn.IFNA(INDEX('HS Codes'!$D$2:$K3387,MATCH($B833,'HS Codes'!$A$2:$A3387,0),MATCH(G$1,'HS Codes'!$D$1:$K$1,0)),"")</f>
        <v>6302600090</v>
      </c>
      <c r="H833" s="8" t="str">
        <f>_xlfn.IFNA(INDEX('HS Codes'!$D$2:$K3387,MATCH($B833,'HS Codes'!$A$2:$A3387,0),MATCH(H$1,'HS Codes'!$D$1:$K$1,0)),"")</f>
        <v>6302.93.00.00</v>
      </c>
      <c r="I833" s="8">
        <f>_xlfn.IFNA(INDEX('HS Codes'!$D$2:$K3387,MATCH($B833,'HS Codes'!$A$2:$A3387,0),MATCH(I$1,'HS Codes'!$D$1:$K$1,0)),"")</f>
        <v>6302939000</v>
      </c>
      <c r="J833" s="8">
        <f>_xlfn.IFNA(INDEX('HS Codes'!$D$2:$K3387,MATCH($B833,'HS Codes'!$A$2:$A3387,0),MATCH(J$1,'HS Codes'!$D$1:$K$1,0)),"")</f>
        <v>0</v>
      </c>
      <c r="K833" s="8" t="str">
        <f>_xlfn.IFNA(INDEX('HS Codes'!$D$2:$K3387,MATCH($B833,'HS Codes'!$A$2:$A3387,0),MATCH(K$1,'HS Codes'!$D$1:$K$1,0)),"")</f>
        <v>6302.39.00</v>
      </c>
      <c r="L833" s="8">
        <f>_xlfn.IFNA(INDEX('HS Codes'!$D$2:$K3387,MATCH($B833,'HS Codes'!$A$2:$A3387,0),MATCH(L$1,'HS Codes'!$D$1:$K$1,0)),"")</f>
        <v>63029120</v>
      </c>
      <c r="M833" s="8" t="str">
        <f>_xlfn.IFNA(INDEX('HS Codes'!$C$2:$C3387,MATCH($B833,'HS Codes'!$A$2:$A3387,0)),"")</f>
        <v>Beach Towel - Toilet Linen 100% recycled 220 GSM/83% polyester/17% polyamide includes cotton on the packing pouch drawstring</v>
      </c>
      <c r="N833" s="9"/>
      <c r="O833" s="9"/>
      <c r="P833" s="9"/>
      <c r="Q833" s="9"/>
    </row>
    <row r="834" spans="1:17" ht="15.75" customHeight="1">
      <c r="A834" s="7" t="s">
        <v>1126</v>
      </c>
      <c r="B834" s="7" t="s">
        <v>167</v>
      </c>
      <c r="C834" s="7" t="s">
        <v>278</v>
      </c>
      <c r="D834" s="7" t="s">
        <v>168</v>
      </c>
      <c r="E834" s="7" t="s">
        <v>752</v>
      </c>
      <c r="F834" s="8" t="str">
        <f>_xlfn.IFNA(INDEX('HS Codes'!$D$2:$K3388,MATCH($B834,'HS Codes'!$A$2:$A3388,0),MATCH(F$1,'HS Codes'!$D$1:$K$1,0)),"")</f>
        <v>6302.93.2000</v>
      </c>
      <c r="G834" s="8">
        <f>_xlfn.IFNA(INDEX('HS Codes'!$D$2:$K3388,MATCH($B834,'HS Codes'!$A$2:$A3388,0),MATCH(G$1,'HS Codes'!$D$1:$K$1,0)),"")</f>
        <v>6302600090</v>
      </c>
      <c r="H834" s="8" t="str">
        <f>_xlfn.IFNA(INDEX('HS Codes'!$D$2:$K3388,MATCH($B834,'HS Codes'!$A$2:$A3388,0),MATCH(H$1,'HS Codes'!$D$1:$K$1,0)),"")</f>
        <v>6302.93.00.00</v>
      </c>
      <c r="I834" s="8">
        <f>_xlfn.IFNA(INDEX('HS Codes'!$D$2:$K3388,MATCH($B834,'HS Codes'!$A$2:$A3388,0),MATCH(I$1,'HS Codes'!$D$1:$K$1,0)),"")</f>
        <v>6302939000</v>
      </c>
      <c r="J834" s="8">
        <f>_xlfn.IFNA(INDEX('HS Codes'!$D$2:$K3388,MATCH($B834,'HS Codes'!$A$2:$A3388,0),MATCH(J$1,'HS Codes'!$D$1:$K$1,0)),"")</f>
        <v>0</v>
      </c>
      <c r="K834" s="8" t="str">
        <f>_xlfn.IFNA(INDEX('HS Codes'!$D$2:$K3388,MATCH($B834,'HS Codes'!$A$2:$A3388,0),MATCH(K$1,'HS Codes'!$D$1:$K$1,0)),"")</f>
        <v>6302.39.00</v>
      </c>
      <c r="L834" s="8">
        <f>_xlfn.IFNA(INDEX('HS Codes'!$D$2:$K3388,MATCH($B834,'HS Codes'!$A$2:$A3388,0),MATCH(L$1,'HS Codes'!$D$1:$K$1,0)),"")</f>
        <v>63029120</v>
      </c>
      <c r="M834" s="8" t="str">
        <f>_xlfn.IFNA(INDEX('HS Codes'!$C$2:$C3388,MATCH($B834,'HS Codes'!$A$2:$A3388,0)),"")</f>
        <v>Beach Towel - Toilet Linen 100% recycled 220 GSM/83% polyester/17% polyamide includes cotton on the packing pouch drawstring</v>
      </c>
      <c r="N834" s="9"/>
      <c r="O834" s="9"/>
      <c r="P834" s="9"/>
      <c r="Q834" s="9"/>
    </row>
    <row r="835" spans="1:17" ht="15.75" customHeight="1">
      <c r="A835" s="7" t="s">
        <v>1127</v>
      </c>
      <c r="B835" s="7" t="s">
        <v>167</v>
      </c>
      <c r="C835" s="7" t="s">
        <v>278</v>
      </c>
      <c r="D835" s="7" t="s">
        <v>168</v>
      </c>
      <c r="E835" s="7" t="s">
        <v>752</v>
      </c>
      <c r="F835" s="8" t="str">
        <f>_xlfn.IFNA(INDEX('HS Codes'!$D$2:$K3389,MATCH($B835,'HS Codes'!$A$2:$A3389,0),MATCH(F$1,'HS Codes'!$D$1:$K$1,0)),"")</f>
        <v>6302.93.2000</v>
      </c>
      <c r="G835" s="8">
        <f>_xlfn.IFNA(INDEX('HS Codes'!$D$2:$K3389,MATCH($B835,'HS Codes'!$A$2:$A3389,0),MATCH(G$1,'HS Codes'!$D$1:$K$1,0)),"")</f>
        <v>6302600090</v>
      </c>
      <c r="H835" s="8" t="str">
        <f>_xlfn.IFNA(INDEX('HS Codes'!$D$2:$K3389,MATCH($B835,'HS Codes'!$A$2:$A3389,0),MATCH(H$1,'HS Codes'!$D$1:$K$1,0)),"")</f>
        <v>6302.93.00.00</v>
      </c>
      <c r="I835" s="8">
        <f>_xlfn.IFNA(INDEX('HS Codes'!$D$2:$K3389,MATCH($B835,'HS Codes'!$A$2:$A3389,0),MATCH(I$1,'HS Codes'!$D$1:$K$1,0)),"")</f>
        <v>6302939000</v>
      </c>
      <c r="J835" s="8">
        <f>_xlfn.IFNA(INDEX('HS Codes'!$D$2:$K3389,MATCH($B835,'HS Codes'!$A$2:$A3389,0),MATCH(J$1,'HS Codes'!$D$1:$K$1,0)),"")</f>
        <v>0</v>
      </c>
      <c r="K835" s="8" t="str">
        <f>_xlfn.IFNA(INDEX('HS Codes'!$D$2:$K3389,MATCH($B835,'HS Codes'!$A$2:$A3389,0),MATCH(K$1,'HS Codes'!$D$1:$K$1,0)),"")</f>
        <v>6302.39.00</v>
      </c>
      <c r="L835" s="8">
        <f>_xlfn.IFNA(INDEX('HS Codes'!$D$2:$K3389,MATCH($B835,'HS Codes'!$A$2:$A3389,0),MATCH(L$1,'HS Codes'!$D$1:$K$1,0)),"")</f>
        <v>63029120</v>
      </c>
      <c r="M835" s="8" t="str">
        <f>_xlfn.IFNA(INDEX('HS Codes'!$C$2:$C3389,MATCH($B835,'HS Codes'!$A$2:$A3389,0)),"")</f>
        <v>Beach Towel - Toilet Linen 100% recycled 220 GSM/83% polyester/17% polyamide includes cotton on the packing pouch drawstring</v>
      </c>
      <c r="N835" s="9"/>
      <c r="O835" s="9"/>
      <c r="P835" s="9"/>
      <c r="Q835" s="9"/>
    </row>
    <row r="836" spans="1:17" ht="15.75" customHeight="1">
      <c r="A836" s="7" t="s">
        <v>1128</v>
      </c>
      <c r="B836" s="7" t="s">
        <v>167</v>
      </c>
      <c r="C836" s="7" t="s">
        <v>278</v>
      </c>
      <c r="D836" s="7" t="s">
        <v>168</v>
      </c>
      <c r="E836" s="7" t="s">
        <v>752</v>
      </c>
      <c r="F836" s="8" t="str">
        <f>_xlfn.IFNA(INDEX('HS Codes'!$D$2:$K3390,MATCH($B836,'HS Codes'!$A$2:$A3390,0),MATCH(F$1,'HS Codes'!$D$1:$K$1,0)),"")</f>
        <v>6302.93.2000</v>
      </c>
      <c r="G836" s="8">
        <f>_xlfn.IFNA(INDEX('HS Codes'!$D$2:$K3390,MATCH($B836,'HS Codes'!$A$2:$A3390,0),MATCH(G$1,'HS Codes'!$D$1:$K$1,0)),"")</f>
        <v>6302600090</v>
      </c>
      <c r="H836" s="8" t="str">
        <f>_xlfn.IFNA(INDEX('HS Codes'!$D$2:$K3390,MATCH($B836,'HS Codes'!$A$2:$A3390,0),MATCH(H$1,'HS Codes'!$D$1:$K$1,0)),"")</f>
        <v>6302.93.00.00</v>
      </c>
      <c r="I836" s="8">
        <f>_xlfn.IFNA(INDEX('HS Codes'!$D$2:$K3390,MATCH($B836,'HS Codes'!$A$2:$A3390,0),MATCH(I$1,'HS Codes'!$D$1:$K$1,0)),"")</f>
        <v>6302939000</v>
      </c>
      <c r="J836" s="8">
        <f>_xlfn.IFNA(INDEX('HS Codes'!$D$2:$K3390,MATCH($B836,'HS Codes'!$A$2:$A3390,0),MATCH(J$1,'HS Codes'!$D$1:$K$1,0)),"")</f>
        <v>0</v>
      </c>
      <c r="K836" s="8" t="str">
        <f>_xlfn.IFNA(INDEX('HS Codes'!$D$2:$K3390,MATCH($B836,'HS Codes'!$A$2:$A3390,0),MATCH(K$1,'HS Codes'!$D$1:$K$1,0)),"")</f>
        <v>6302.39.00</v>
      </c>
      <c r="L836" s="8">
        <f>_xlfn.IFNA(INDEX('HS Codes'!$D$2:$K3390,MATCH($B836,'HS Codes'!$A$2:$A3390,0),MATCH(L$1,'HS Codes'!$D$1:$K$1,0)),"")</f>
        <v>63029120</v>
      </c>
      <c r="M836" s="8" t="str">
        <f>_xlfn.IFNA(INDEX('HS Codes'!$C$2:$C3390,MATCH($B836,'HS Codes'!$A$2:$A3390,0)),"")</f>
        <v>Beach Towel - Toilet Linen 100% recycled 220 GSM/83% polyester/17% polyamide includes cotton on the packing pouch drawstring</v>
      </c>
      <c r="N836" s="9"/>
      <c r="O836" s="9"/>
      <c r="P836" s="9"/>
      <c r="Q836" s="9"/>
    </row>
    <row r="837" spans="1:17" ht="15.75" customHeight="1">
      <c r="A837" s="7" t="s">
        <v>1129</v>
      </c>
      <c r="B837" s="7" t="s">
        <v>167</v>
      </c>
      <c r="C837" s="7" t="s">
        <v>278</v>
      </c>
      <c r="D837" s="7" t="s">
        <v>168</v>
      </c>
      <c r="E837" s="7" t="s">
        <v>752</v>
      </c>
      <c r="F837" s="8" t="str">
        <f>_xlfn.IFNA(INDEX('HS Codes'!$D$2:$K3391,MATCH($B837,'HS Codes'!$A$2:$A3391,0),MATCH(F$1,'HS Codes'!$D$1:$K$1,0)),"")</f>
        <v>6302.93.2000</v>
      </c>
      <c r="G837" s="8">
        <f>_xlfn.IFNA(INDEX('HS Codes'!$D$2:$K3391,MATCH($B837,'HS Codes'!$A$2:$A3391,0),MATCH(G$1,'HS Codes'!$D$1:$K$1,0)),"")</f>
        <v>6302600090</v>
      </c>
      <c r="H837" s="8" t="str">
        <f>_xlfn.IFNA(INDEX('HS Codes'!$D$2:$K3391,MATCH($B837,'HS Codes'!$A$2:$A3391,0),MATCH(H$1,'HS Codes'!$D$1:$K$1,0)),"")</f>
        <v>6302.93.00.00</v>
      </c>
      <c r="I837" s="8">
        <f>_xlfn.IFNA(INDEX('HS Codes'!$D$2:$K3391,MATCH($B837,'HS Codes'!$A$2:$A3391,0),MATCH(I$1,'HS Codes'!$D$1:$K$1,0)),"")</f>
        <v>6302939000</v>
      </c>
      <c r="J837" s="8">
        <f>_xlfn.IFNA(INDEX('HS Codes'!$D$2:$K3391,MATCH($B837,'HS Codes'!$A$2:$A3391,0),MATCH(J$1,'HS Codes'!$D$1:$K$1,0)),"")</f>
        <v>0</v>
      </c>
      <c r="K837" s="8" t="str">
        <f>_xlfn.IFNA(INDEX('HS Codes'!$D$2:$K3391,MATCH($B837,'HS Codes'!$A$2:$A3391,0),MATCH(K$1,'HS Codes'!$D$1:$K$1,0)),"")</f>
        <v>6302.39.00</v>
      </c>
      <c r="L837" s="8">
        <f>_xlfn.IFNA(INDEX('HS Codes'!$D$2:$K3391,MATCH($B837,'HS Codes'!$A$2:$A3391,0),MATCH(L$1,'HS Codes'!$D$1:$K$1,0)),"")</f>
        <v>63029120</v>
      </c>
      <c r="M837" s="8" t="str">
        <f>_xlfn.IFNA(INDEX('HS Codes'!$C$2:$C3391,MATCH($B837,'HS Codes'!$A$2:$A3391,0)),"")</f>
        <v>Beach Towel - Toilet Linen 100% recycled 220 GSM/83% polyester/17% polyamide includes cotton on the packing pouch drawstring</v>
      </c>
      <c r="N837" s="9"/>
      <c r="O837" s="9"/>
      <c r="P837" s="9"/>
      <c r="Q837" s="9"/>
    </row>
    <row r="838" spans="1:17" ht="15.75" customHeight="1">
      <c r="A838" s="7" t="s">
        <v>1130</v>
      </c>
      <c r="B838" s="7" t="s">
        <v>167</v>
      </c>
      <c r="C838" s="7" t="s">
        <v>278</v>
      </c>
      <c r="D838" s="7" t="s">
        <v>168</v>
      </c>
      <c r="E838" s="7" t="s">
        <v>752</v>
      </c>
      <c r="F838" s="8" t="str">
        <f>_xlfn.IFNA(INDEX('HS Codes'!$D$2:$K3392,MATCH($B838,'HS Codes'!$A$2:$A3392,0),MATCH(F$1,'HS Codes'!$D$1:$K$1,0)),"")</f>
        <v>6302.93.2000</v>
      </c>
      <c r="G838" s="8">
        <f>_xlfn.IFNA(INDEX('HS Codes'!$D$2:$K3392,MATCH($B838,'HS Codes'!$A$2:$A3392,0),MATCH(G$1,'HS Codes'!$D$1:$K$1,0)),"")</f>
        <v>6302600090</v>
      </c>
      <c r="H838" s="8" t="str">
        <f>_xlfn.IFNA(INDEX('HS Codes'!$D$2:$K3392,MATCH($B838,'HS Codes'!$A$2:$A3392,0),MATCH(H$1,'HS Codes'!$D$1:$K$1,0)),"")</f>
        <v>6302.93.00.00</v>
      </c>
      <c r="I838" s="8">
        <f>_xlfn.IFNA(INDEX('HS Codes'!$D$2:$K3392,MATCH($B838,'HS Codes'!$A$2:$A3392,0),MATCH(I$1,'HS Codes'!$D$1:$K$1,0)),"")</f>
        <v>6302939000</v>
      </c>
      <c r="J838" s="8">
        <f>_xlfn.IFNA(INDEX('HS Codes'!$D$2:$K3392,MATCH($B838,'HS Codes'!$A$2:$A3392,0),MATCH(J$1,'HS Codes'!$D$1:$K$1,0)),"")</f>
        <v>0</v>
      </c>
      <c r="K838" s="8" t="str">
        <f>_xlfn.IFNA(INDEX('HS Codes'!$D$2:$K3392,MATCH($B838,'HS Codes'!$A$2:$A3392,0),MATCH(K$1,'HS Codes'!$D$1:$K$1,0)),"")</f>
        <v>6302.39.00</v>
      </c>
      <c r="L838" s="8">
        <f>_xlfn.IFNA(INDEX('HS Codes'!$D$2:$K3392,MATCH($B838,'HS Codes'!$A$2:$A3392,0),MATCH(L$1,'HS Codes'!$D$1:$K$1,0)),"")</f>
        <v>63029120</v>
      </c>
      <c r="M838" s="8" t="str">
        <f>_xlfn.IFNA(INDEX('HS Codes'!$C$2:$C3392,MATCH($B838,'HS Codes'!$A$2:$A3392,0)),"")</f>
        <v>Beach Towel - Toilet Linen 100% recycled 220 GSM/83% polyester/17% polyamide includes cotton on the packing pouch drawstring</v>
      </c>
      <c r="N838" s="9"/>
      <c r="O838" s="9"/>
      <c r="P838" s="9"/>
      <c r="Q838" s="9"/>
    </row>
    <row r="839" spans="1:17" ht="15.75" customHeight="1">
      <c r="A839" s="7" t="s">
        <v>1131</v>
      </c>
      <c r="B839" s="7" t="s">
        <v>167</v>
      </c>
      <c r="C839" s="7" t="s">
        <v>278</v>
      </c>
      <c r="D839" s="7" t="s">
        <v>168</v>
      </c>
      <c r="E839" s="7" t="s">
        <v>752</v>
      </c>
      <c r="F839" s="8" t="str">
        <f>_xlfn.IFNA(INDEX('HS Codes'!$D$2:$K3393,MATCH($B839,'HS Codes'!$A$2:$A3393,0),MATCH(F$1,'HS Codes'!$D$1:$K$1,0)),"")</f>
        <v>6302.93.2000</v>
      </c>
      <c r="G839" s="8">
        <f>_xlfn.IFNA(INDEX('HS Codes'!$D$2:$K3393,MATCH($B839,'HS Codes'!$A$2:$A3393,0),MATCH(G$1,'HS Codes'!$D$1:$K$1,0)),"")</f>
        <v>6302600090</v>
      </c>
      <c r="H839" s="8" t="str">
        <f>_xlfn.IFNA(INDEX('HS Codes'!$D$2:$K3393,MATCH($B839,'HS Codes'!$A$2:$A3393,0),MATCH(H$1,'HS Codes'!$D$1:$K$1,0)),"")</f>
        <v>6302.93.00.00</v>
      </c>
      <c r="I839" s="8">
        <f>_xlfn.IFNA(INDEX('HS Codes'!$D$2:$K3393,MATCH($B839,'HS Codes'!$A$2:$A3393,0),MATCH(I$1,'HS Codes'!$D$1:$K$1,0)),"")</f>
        <v>6302939000</v>
      </c>
      <c r="J839" s="8">
        <f>_xlfn.IFNA(INDEX('HS Codes'!$D$2:$K3393,MATCH($B839,'HS Codes'!$A$2:$A3393,0),MATCH(J$1,'HS Codes'!$D$1:$K$1,0)),"")</f>
        <v>0</v>
      </c>
      <c r="K839" s="8" t="str">
        <f>_xlfn.IFNA(INDEX('HS Codes'!$D$2:$K3393,MATCH($B839,'HS Codes'!$A$2:$A3393,0),MATCH(K$1,'HS Codes'!$D$1:$K$1,0)),"")</f>
        <v>6302.39.00</v>
      </c>
      <c r="L839" s="8">
        <f>_xlfn.IFNA(INDEX('HS Codes'!$D$2:$K3393,MATCH($B839,'HS Codes'!$A$2:$A3393,0),MATCH(L$1,'HS Codes'!$D$1:$K$1,0)),"")</f>
        <v>63029120</v>
      </c>
      <c r="M839" s="8" t="str">
        <f>_xlfn.IFNA(INDEX('HS Codes'!$C$2:$C3393,MATCH($B839,'HS Codes'!$A$2:$A3393,0)),"")</f>
        <v>Beach Towel - Toilet Linen 100% recycled 220 GSM/83% polyester/17% polyamide includes cotton on the packing pouch drawstring</v>
      </c>
      <c r="N839" s="9"/>
      <c r="O839" s="9"/>
      <c r="P839" s="9"/>
      <c r="Q839" s="9"/>
    </row>
    <row r="840" spans="1:17" ht="15.75" customHeight="1">
      <c r="A840" s="7" t="s">
        <v>1132</v>
      </c>
      <c r="B840" s="7" t="s">
        <v>167</v>
      </c>
      <c r="C840" s="7" t="s">
        <v>278</v>
      </c>
      <c r="D840" s="7" t="s">
        <v>168</v>
      </c>
      <c r="E840" s="7" t="s">
        <v>752</v>
      </c>
      <c r="F840" s="8" t="str">
        <f>_xlfn.IFNA(INDEX('HS Codes'!$D$2:$K3394,MATCH($B840,'HS Codes'!$A$2:$A3394,0),MATCH(F$1,'HS Codes'!$D$1:$K$1,0)),"")</f>
        <v>6302.93.2000</v>
      </c>
      <c r="G840" s="8">
        <f>_xlfn.IFNA(INDEX('HS Codes'!$D$2:$K3394,MATCH($B840,'HS Codes'!$A$2:$A3394,0),MATCH(G$1,'HS Codes'!$D$1:$K$1,0)),"")</f>
        <v>6302600090</v>
      </c>
      <c r="H840" s="8" t="str">
        <f>_xlfn.IFNA(INDEX('HS Codes'!$D$2:$K3394,MATCH($B840,'HS Codes'!$A$2:$A3394,0),MATCH(H$1,'HS Codes'!$D$1:$K$1,0)),"")</f>
        <v>6302.93.00.00</v>
      </c>
      <c r="I840" s="8">
        <f>_xlfn.IFNA(INDEX('HS Codes'!$D$2:$K3394,MATCH($B840,'HS Codes'!$A$2:$A3394,0),MATCH(I$1,'HS Codes'!$D$1:$K$1,0)),"")</f>
        <v>6302939000</v>
      </c>
      <c r="J840" s="8">
        <f>_xlfn.IFNA(INDEX('HS Codes'!$D$2:$K3394,MATCH($B840,'HS Codes'!$A$2:$A3394,0),MATCH(J$1,'HS Codes'!$D$1:$K$1,0)),"")</f>
        <v>0</v>
      </c>
      <c r="K840" s="8" t="str">
        <f>_xlfn.IFNA(INDEX('HS Codes'!$D$2:$K3394,MATCH($B840,'HS Codes'!$A$2:$A3394,0),MATCH(K$1,'HS Codes'!$D$1:$K$1,0)),"")</f>
        <v>6302.39.00</v>
      </c>
      <c r="L840" s="8">
        <f>_xlfn.IFNA(INDEX('HS Codes'!$D$2:$K3394,MATCH($B840,'HS Codes'!$A$2:$A3394,0),MATCH(L$1,'HS Codes'!$D$1:$K$1,0)),"")</f>
        <v>63029120</v>
      </c>
      <c r="M840" s="8" t="str">
        <f>_xlfn.IFNA(INDEX('HS Codes'!$C$2:$C3394,MATCH($B840,'HS Codes'!$A$2:$A3394,0)),"")</f>
        <v>Beach Towel - Toilet Linen 100% recycled 220 GSM/83% polyester/17% polyamide includes cotton on the packing pouch drawstring</v>
      </c>
      <c r="N840" s="9"/>
      <c r="O840" s="9"/>
      <c r="P840" s="9"/>
      <c r="Q840" s="9"/>
    </row>
    <row r="841" spans="1:17" ht="15.75" customHeight="1">
      <c r="A841" s="7" t="s">
        <v>1133</v>
      </c>
      <c r="B841" s="7" t="s">
        <v>164</v>
      </c>
      <c r="C841" s="7" t="s">
        <v>278</v>
      </c>
      <c r="D841" s="7" t="s">
        <v>165</v>
      </c>
      <c r="E841" s="7" t="s">
        <v>348</v>
      </c>
      <c r="F841" s="8" t="str">
        <f>_xlfn.IFNA(INDEX('HS Codes'!$D$2:$K3395,MATCH($B841,'HS Codes'!$A$2:$A3395,0),MATCH(F$1,'HS Codes'!$D$1:$K$1,0)),"")</f>
        <v>6302.93.2000</v>
      </c>
      <c r="G841" s="8">
        <f>_xlfn.IFNA(INDEX('HS Codes'!$D$2:$K3395,MATCH($B841,'HS Codes'!$A$2:$A3395,0),MATCH(G$1,'HS Codes'!$D$1:$K$1,0)),"")</f>
        <v>6302600090</v>
      </c>
      <c r="H841" s="8" t="str">
        <f>_xlfn.IFNA(INDEX('HS Codes'!$D$2:$K3395,MATCH($B841,'HS Codes'!$A$2:$A3395,0),MATCH(H$1,'HS Codes'!$D$1:$K$1,0)),"")</f>
        <v>6302.93.00.00</v>
      </c>
      <c r="I841" s="8">
        <f>_xlfn.IFNA(INDEX('HS Codes'!$D$2:$K3395,MATCH($B841,'HS Codes'!$A$2:$A3395,0),MATCH(I$1,'HS Codes'!$D$1:$K$1,0)),"")</f>
        <v>63029390</v>
      </c>
      <c r="J841" s="8">
        <f>_xlfn.IFNA(INDEX('HS Codes'!$D$2:$K3395,MATCH($B841,'HS Codes'!$A$2:$A3395,0),MATCH(J$1,'HS Codes'!$D$1:$K$1,0)),"")</f>
        <v>0</v>
      </c>
      <c r="K841" s="8" t="str">
        <f>_xlfn.IFNA(INDEX('HS Codes'!$D$2:$K3395,MATCH($B841,'HS Codes'!$A$2:$A3395,0),MATCH(K$1,'HS Codes'!$D$1:$K$1,0)),"")</f>
        <v>6302.39.00</v>
      </c>
      <c r="L841" s="8">
        <f>_xlfn.IFNA(INDEX('HS Codes'!$D$2:$K3395,MATCH($B841,'HS Codes'!$A$2:$A3395,0),MATCH(L$1,'HS Codes'!$D$1:$K$1,0)),"")</f>
        <v>63029120</v>
      </c>
      <c r="M841" s="8" t="str">
        <f>_xlfn.IFNA(INDEX('HS Codes'!$C$2:$C3395,MATCH($B841,'HS Codes'!$A$2:$A3395,0)),"")</f>
        <v>Beach Towel - Toilet Linen 100% recycled 220 GSM/83% polyester/17% polyamide includes cotton on the packing pouch drawstring</v>
      </c>
      <c r="N841" s="9"/>
      <c r="O841" s="9"/>
      <c r="P841" s="9"/>
      <c r="Q841" s="9"/>
    </row>
    <row r="842" spans="1:17" ht="15.75" customHeight="1">
      <c r="A842" s="7" t="s">
        <v>1134</v>
      </c>
      <c r="B842" s="7" t="s">
        <v>164</v>
      </c>
      <c r="C842" s="7" t="s">
        <v>278</v>
      </c>
      <c r="D842" s="7" t="s">
        <v>165</v>
      </c>
      <c r="E842" s="7" t="s">
        <v>348</v>
      </c>
      <c r="F842" s="8" t="str">
        <f>_xlfn.IFNA(INDEX('HS Codes'!$D$2:$K3396,MATCH($B842,'HS Codes'!$A$2:$A3396,0),MATCH(F$1,'HS Codes'!$D$1:$K$1,0)),"")</f>
        <v>6302.93.2000</v>
      </c>
      <c r="G842" s="8">
        <f>_xlfn.IFNA(INDEX('HS Codes'!$D$2:$K3396,MATCH($B842,'HS Codes'!$A$2:$A3396,0),MATCH(G$1,'HS Codes'!$D$1:$K$1,0)),"")</f>
        <v>6302600090</v>
      </c>
      <c r="H842" s="8" t="str">
        <f>_xlfn.IFNA(INDEX('HS Codes'!$D$2:$K3396,MATCH($B842,'HS Codes'!$A$2:$A3396,0),MATCH(H$1,'HS Codes'!$D$1:$K$1,0)),"")</f>
        <v>6302.93.00.00</v>
      </c>
      <c r="I842" s="8">
        <f>_xlfn.IFNA(INDEX('HS Codes'!$D$2:$K3396,MATCH($B842,'HS Codes'!$A$2:$A3396,0),MATCH(I$1,'HS Codes'!$D$1:$K$1,0)),"")</f>
        <v>63029390</v>
      </c>
      <c r="J842" s="8">
        <f>_xlfn.IFNA(INDEX('HS Codes'!$D$2:$K3396,MATCH($B842,'HS Codes'!$A$2:$A3396,0),MATCH(J$1,'HS Codes'!$D$1:$K$1,0)),"")</f>
        <v>0</v>
      </c>
      <c r="K842" s="8" t="str">
        <f>_xlfn.IFNA(INDEX('HS Codes'!$D$2:$K3396,MATCH($B842,'HS Codes'!$A$2:$A3396,0),MATCH(K$1,'HS Codes'!$D$1:$K$1,0)),"")</f>
        <v>6302.39.00</v>
      </c>
      <c r="L842" s="8">
        <f>_xlfn.IFNA(INDEX('HS Codes'!$D$2:$K3396,MATCH($B842,'HS Codes'!$A$2:$A3396,0),MATCH(L$1,'HS Codes'!$D$1:$K$1,0)),"")</f>
        <v>63029120</v>
      </c>
      <c r="M842" s="8" t="str">
        <f>_xlfn.IFNA(INDEX('HS Codes'!$C$2:$C3396,MATCH($B842,'HS Codes'!$A$2:$A3396,0)),"")</f>
        <v>Beach Towel - Toilet Linen 100% recycled 220 GSM/83% polyester/17% polyamide includes cotton on the packing pouch drawstring</v>
      </c>
      <c r="N842" s="9"/>
      <c r="O842" s="9"/>
      <c r="P842" s="9"/>
      <c r="Q842" s="9"/>
    </row>
    <row r="843" spans="1:17" ht="15.75" customHeight="1">
      <c r="A843" s="7" t="s">
        <v>1135</v>
      </c>
      <c r="B843" s="7" t="s">
        <v>164</v>
      </c>
      <c r="C843" s="7" t="s">
        <v>278</v>
      </c>
      <c r="D843" s="7" t="s">
        <v>165</v>
      </c>
      <c r="E843" s="7" t="s">
        <v>348</v>
      </c>
      <c r="F843" s="8" t="str">
        <f>_xlfn.IFNA(INDEX('HS Codes'!$D$2:$K3397,MATCH($B843,'HS Codes'!$A$2:$A3397,0),MATCH(F$1,'HS Codes'!$D$1:$K$1,0)),"")</f>
        <v>6302.93.2000</v>
      </c>
      <c r="G843" s="8">
        <f>_xlfn.IFNA(INDEX('HS Codes'!$D$2:$K3397,MATCH($B843,'HS Codes'!$A$2:$A3397,0),MATCH(G$1,'HS Codes'!$D$1:$K$1,0)),"")</f>
        <v>6302600090</v>
      </c>
      <c r="H843" s="8" t="str">
        <f>_xlfn.IFNA(INDEX('HS Codes'!$D$2:$K3397,MATCH($B843,'HS Codes'!$A$2:$A3397,0),MATCH(H$1,'HS Codes'!$D$1:$K$1,0)),"")</f>
        <v>6302.93.00.00</v>
      </c>
      <c r="I843" s="8">
        <f>_xlfn.IFNA(INDEX('HS Codes'!$D$2:$K3397,MATCH($B843,'HS Codes'!$A$2:$A3397,0),MATCH(I$1,'HS Codes'!$D$1:$K$1,0)),"")</f>
        <v>63029390</v>
      </c>
      <c r="J843" s="8">
        <f>_xlfn.IFNA(INDEX('HS Codes'!$D$2:$K3397,MATCH($B843,'HS Codes'!$A$2:$A3397,0),MATCH(J$1,'HS Codes'!$D$1:$K$1,0)),"")</f>
        <v>0</v>
      </c>
      <c r="K843" s="8" t="str">
        <f>_xlfn.IFNA(INDEX('HS Codes'!$D$2:$K3397,MATCH($B843,'HS Codes'!$A$2:$A3397,0),MATCH(K$1,'HS Codes'!$D$1:$K$1,0)),"")</f>
        <v>6302.39.00</v>
      </c>
      <c r="L843" s="8">
        <f>_xlfn.IFNA(INDEX('HS Codes'!$D$2:$K3397,MATCH($B843,'HS Codes'!$A$2:$A3397,0),MATCH(L$1,'HS Codes'!$D$1:$K$1,0)),"")</f>
        <v>63029120</v>
      </c>
      <c r="M843" s="8" t="str">
        <f>_xlfn.IFNA(INDEX('HS Codes'!$C$2:$C3397,MATCH($B843,'HS Codes'!$A$2:$A3397,0)),"")</f>
        <v>Beach Towel - Toilet Linen 100% recycled 220 GSM/83% polyester/17% polyamide includes cotton on the packing pouch drawstring</v>
      </c>
      <c r="N843" s="9"/>
      <c r="O843" s="9"/>
      <c r="P843" s="9"/>
      <c r="Q843" s="9"/>
    </row>
    <row r="844" spans="1:17" ht="15.75" customHeight="1">
      <c r="A844" s="7" t="s">
        <v>1136</v>
      </c>
      <c r="B844" s="7" t="s">
        <v>164</v>
      </c>
      <c r="C844" s="7" t="s">
        <v>278</v>
      </c>
      <c r="D844" s="7" t="s">
        <v>165</v>
      </c>
      <c r="E844" s="7" t="s">
        <v>348</v>
      </c>
      <c r="F844" s="8" t="str">
        <f>_xlfn.IFNA(INDEX('HS Codes'!$D$2:$K3398,MATCH($B844,'HS Codes'!$A$2:$A3398,0),MATCH(F$1,'HS Codes'!$D$1:$K$1,0)),"")</f>
        <v>6302.93.2000</v>
      </c>
      <c r="G844" s="8">
        <f>_xlfn.IFNA(INDEX('HS Codes'!$D$2:$K3398,MATCH($B844,'HS Codes'!$A$2:$A3398,0),MATCH(G$1,'HS Codes'!$D$1:$K$1,0)),"")</f>
        <v>6302600090</v>
      </c>
      <c r="H844" s="8" t="str">
        <f>_xlfn.IFNA(INDEX('HS Codes'!$D$2:$K3398,MATCH($B844,'HS Codes'!$A$2:$A3398,0),MATCH(H$1,'HS Codes'!$D$1:$K$1,0)),"")</f>
        <v>6302.93.00.00</v>
      </c>
      <c r="I844" s="8">
        <f>_xlfn.IFNA(INDEX('HS Codes'!$D$2:$K3398,MATCH($B844,'HS Codes'!$A$2:$A3398,0),MATCH(I$1,'HS Codes'!$D$1:$K$1,0)),"")</f>
        <v>63029390</v>
      </c>
      <c r="J844" s="8">
        <f>_xlfn.IFNA(INDEX('HS Codes'!$D$2:$K3398,MATCH($B844,'HS Codes'!$A$2:$A3398,0),MATCH(J$1,'HS Codes'!$D$1:$K$1,0)),"")</f>
        <v>0</v>
      </c>
      <c r="K844" s="8" t="str">
        <f>_xlfn.IFNA(INDEX('HS Codes'!$D$2:$K3398,MATCH($B844,'HS Codes'!$A$2:$A3398,0),MATCH(K$1,'HS Codes'!$D$1:$K$1,0)),"")</f>
        <v>6302.39.00</v>
      </c>
      <c r="L844" s="8">
        <f>_xlfn.IFNA(INDEX('HS Codes'!$D$2:$K3398,MATCH($B844,'HS Codes'!$A$2:$A3398,0),MATCH(L$1,'HS Codes'!$D$1:$K$1,0)),"")</f>
        <v>63029120</v>
      </c>
      <c r="M844" s="8" t="str">
        <f>_xlfn.IFNA(INDEX('HS Codes'!$C$2:$C3398,MATCH($B844,'HS Codes'!$A$2:$A3398,0)),"")</f>
        <v>Beach Towel - Toilet Linen 100% recycled 220 GSM/83% polyester/17% polyamide includes cotton on the packing pouch drawstring</v>
      </c>
      <c r="N844" s="9"/>
      <c r="O844" s="9"/>
      <c r="P844" s="9"/>
      <c r="Q844" s="9"/>
    </row>
    <row r="845" spans="1:17" ht="15.75" customHeight="1">
      <c r="A845" s="7" t="s">
        <v>1137</v>
      </c>
      <c r="B845" s="7" t="s">
        <v>164</v>
      </c>
      <c r="C845" s="7" t="s">
        <v>278</v>
      </c>
      <c r="D845" s="7" t="s">
        <v>165</v>
      </c>
      <c r="E845" s="7" t="s">
        <v>348</v>
      </c>
      <c r="F845" s="8" t="str">
        <f>_xlfn.IFNA(INDEX('HS Codes'!$D$2:$K3399,MATCH($B845,'HS Codes'!$A$2:$A3399,0),MATCH(F$1,'HS Codes'!$D$1:$K$1,0)),"")</f>
        <v>6302.93.2000</v>
      </c>
      <c r="G845" s="8">
        <f>_xlfn.IFNA(INDEX('HS Codes'!$D$2:$K3399,MATCH($B845,'HS Codes'!$A$2:$A3399,0),MATCH(G$1,'HS Codes'!$D$1:$K$1,0)),"")</f>
        <v>6302600090</v>
      </c>
      <c r="H845" s="8" t="str">
        <f>_xlfn.IFNA(INDEX('HS Codes'!$D$2:$K3399,MATCH($B845,'HS Codes'!$A$2:$A3399,0),MATCH(H$1,'HS Codes'!$D$1:$K$1,0)),"")</f>
        <v>6302.93.00.00</v>
      </c>
      <c r="I845" s="8">
        <f>_xlfn.IFNA(INDEX('HS Codes'!$D$2:$K3399,MATCH($B845,'HS Codes'!$A$2:$A3399,0),MATCH(I$1,'HS Codes'!$D$1:$K$1,0)),"")</f>
        <v>63029390</v>
      </c>
      <c r="J845" s="8">
        <f>_xlfn.IFNA(INDEX('HS Codes'!$D$2:$K3399,MATCH($B845,'HS Codes'!$A$2:$A3399,0),MATCH(J$1,'HS Codes'!$D$1:$K$1,0)),"")</f>
        <v>0</v>
      </c>
      <c r="K845" s="8" t="str">
        <f>_xlfn.IFNA(INDEX('HS Codes'!$D$2:$K3399,MATCH($B845,'HS Codes'!$A$2:$A3399,0),MATCH(K$1,'HS Codes'!$D$1:$K$1,0)),"")</f>
        <v>6302.39.00</v>
      </c>
      <c r="L845" s="8">
        <f>_xlfn.IFNA(INDEX('HS Codes'!$D$2:$K3399,MATCH($B845,'HS Codes'!$A$2:$A3399,0),MATCH(L$1,'HS Codes'!$D$1:$K$1,0)),"")</f>
        <v>63029120</v>
      </c>
      <c r="M845" s="8" t="str">
        <f>_xlfn.IFNA(INDEX('HS Codes'!$C$2:$C3399,MATCH($B845,'HS Codes'!$A$2:$A3399,0)),"")</f>
        <v>Beach Towel - Toilet Linen 100% recycled 220 GSM/83% polyester/17% polyamide includes cotton on the packing pouch drawstring</v>
      </c>
      <c r="N845" s="9"/>
      <c r="O845" s="9"/>
      <c r="P845" s="9"/>
      <c r="Q845" s="9"/>
    </row>
    <row r="846" spans="1:17" ht="15.75" customHeight="1">
      <c r="A846" s="7" t="s">
        <v>1138</v>
      </c>
      <c r="B846" s="7" t="s">
        <v>164</v>
      </c>
      <c r="C846" s="7" t="s">
        <v>278</v>
      </c>
      <c r="D846" s="7" t="s">
        <v>165</v>
      </c>
      <c r="E846" s="7" t="s">
        <v>348</v>
      </c>
      <c r="F846" s="8" t="str">
        <f>_xlfn.IFNA(INDEX('HS Codes'!$D$2:$K3400,MATCH($B846,'HS Codes'!$A$2:$A3400,0),MATCH(F$1,'HS Codes'!$D$1:$K$1,0)),"")</f>
        <v>6302.93.2000</v>
      </c>
      <c r="G846" s="8">
        <f>_xlfn.IFNA(INDEX('HS Codes'!$D$2:$K3400,MATCH($B846,'HS Codes'!$A$2:$A3400,0),MATCH(G$1,'HS Codes'!$D$1:$K$1,0)),"")</f>
        <v>6302600090</v>
      </c>
      <c r="H846" s="8" t="str">
        <f>_xlfn.IFNA(INDEX('HS Codes'!$D$2:$K3400,MATCH($B846,'HS Codes'!$A$2:$A3400,0),MATCH(H$1,'HS Codes'!$D$1:$K$1,0)),"")</f>
        <v>6302.93.00.00</v>
      </c>
      <c r="I846" s="8">
        <f>_xlfn.IFNA(INDEX('HS Codes'!$D$2:$K3400,MATCH($B846,'HS Codes'!$A$2:$A3400,0),MATCH(I$1,'HS Codes'!$D$1:$K$1,0)),"")</f>
        <v>63029390</v>
      </c>
      <c r="J846" s="8">
        <f>_xlfn.IFNA(INDEX('HS Codes'!$D$2:$K3400,MATCH($B846,'HS Codes'!$A$2:$A3400,0),MATCH(J$1,'HS Codes'!$D$1:$K$1,0)),"")</f>
        <v>0</v>
      </c>
      <c r="K846" s="8" t="str">
        <f>_xlfn.IFNA(INDEX('HS Codes'!$D$2:$K3400,MATCH($B846,'HS Codes'!$A$2:$A3400,0),MATCH(K$1,'HS Codes'!$D$1:$K$1,0)),"")</f>
        <v>6302.39.00</v>
      </c>
      <c r="L846" s="8">
        <f>_xlfn.IFNA(INDEX('HS Codes'!$D$2:$K3400,MATCH($B846,'HS Codes'!$A$2:$A3400,0),MATCH(L$1,'HS Codes'!$D$1:$K$1,0)),"")</f>
        <v>63029120</v>
      </c>
      <c r="M846" s="8" t="str">
        <f>_xlfn.IFNA(INDEX('HS Codes'!$C$2:$C3400,MATCH($B846,'HS Codes'!$A$2:$A3400,0)),"")</f>
        <v>Beach Towel - Toilet Linen 100% recycled 220 GSM/83% polyester/17% polyamide includes cotton on the packing pouch drawstring</v>
      </c>
      <c r="N846" s="9"/>
      <c r="O846" s="9"/>
      <c r="P846" s="9"/>
      <c r="Q846" s="9"/>
    </row>
    <row r="847" spans="1:17" ht="15.75" customHeight="1">
      <c r="A847" s="7" t="s">
        <v>1139</v>
      </c>
      <c r="B847" s="7" t="s">
        <v>164</v>
      </c>
      <c r="C847" s="7" t="s">
        <v>278</v>
      </c>
      <c r="D847" s="7" t="s">
        <v>165</v>
      </c>
      <c r="E847" s="7" t="s">
        <v>348</v>
      </c>
      <c r="F847" s="8" t="str">
        <f>_xlfn.IFNA(INDEX('HS Codes'!$D$2:$K3401,MATCH($B847,'HS Codes'!$A$2:$A3401,0),MATCH(F$1,'HS Codes'!$D$1:$K$1,0)),"")</f>
        <v>6302.93.2000</v>
      </c>
      <c r="G847" s="8">
        <f>_xlfn.IFNA(INDEX('HS Codes'!$D$2:$K3401,MATCH($B847,'HS Codes'!$A$2:$A3401,0),MATCH(G$1,'HS Codes'!$D$1:$K$1,0)),"")</f>
        <v>6302600090</v>
      </c>
      <c r="H847" s="8" t="str">
        <f>_xlfn.IFNA(INDEX('HS Codes'!$D$2:$K3401,MATCH($B847,'HS Codes'!$A$2:$A3401,0),MATCH(H$1,'HS Codes'!$D$1:$K$1,0)),"")</f>
        <v>6302.93.00.00</v>
      </c>
      <c r="I847" s="8">
        <f>_xlfn.IFNA(INDEX('HS Codes'!$D$2:$K3401,MATCH($B847,'HS Codes'!$A$2:$A3401,0),MATCH(I$1,'HS Codes'!$D$1:$K$1,0)),"")</f>
        <v>63029390</v>
      </c>
      <c r="J847" s="8">
        <f>_xlfn.IFNA(INDEX('HS Codes'!$D$2:$K3401,MATCH($B847,'HS Codes'!$A$2:$A3401,0),MATCH(J$1,'HS Codes'!$D$1:$K$1,0)),"")</f>
        <v>0</v>
      </c>
      <c r="K847" s="8" t="str">
        <f>_xlfn.IFNA(INDEX('HS Codes'!$D$2:$K3401,MATCH($B847,'HS Codes'!$A$2:$A3401,0),MATCH(K$1,'HS Codes'!$D$1:$K$1,0)),"")</f>
        <v>6302.39.00</v>
      </c>
      <c r="L847" s="8">
        <f>_xlfn.IFNA(INDEX('HS Codes'!$D$2:$K3401,MATCH($B847,'HS Codes'!$A$2:$A3401,0),MATCH(L$1,'HS Codes'!$D$1:$K$1,0)),"")</f>
        <v>63029120</v>
      </c>
      <c r="M847" s="8" t="str">
        <f>_xlfn.IFNA(INDEX('HS Codes'!$C$2:$C3401,MATCH($B847,'HS Codes'!$A$2:$A3401,0)),"")</f>
        <v>Beach Towel - Toilet Linen 100% recycled 220 GSM/83% polyester/17% polyamide includes cotton on the packing pouch drawstring</v>
      </c>
      <c r="N847" s="9"/>
      <c r="O847" s="9"/>
      <c r="P847" s="9"/>
      <c r="Q847" s="9"/>
    </row>
    <row r="848" spans="1:17" ht="15.75" customHeight="1">
      <c r="A848" s="7" t="s">
        <v>1140</v>
      </c>
      <c r="B848" s="7" t="s">
        <v>164</v>
      </c>
      <c r="C848" s="7" t="s">
        <v>278</v>
      </c>
      <c r="D848" s="7" t="s">
        <v>165</v>
      </c>
      <c r="E848" s="7" t="s">
        <v>348</v>
      </c>
      <c r="F848" s="8" t="str">
        <f>_xlfn.IFNA(INDEX('HS Codes'!$D$2:$K3402,MATCH($B848,'HS Codes'!$A$2:$A3402,0),MATCH(F$1,'HS Codes'!$D$1:$K$1,0)),"")</f>
        <v>6302.93.2000</v>
      </c>
      <c r="G848" s="8">
        <f>_xlfn.IFNA(INDEX('HS Codes'!$D$2:$K3402,MATCH($B848,'HS Codes'!$A$2:$A3402,0),MATCH(G$1,'HS Codes'!$D$1:$K$1,0)),"")</f>
        <v>6302600090</v>
      </c>
      <c r="H848" s="8" t="str">
        <f>_xlfn.IFNA(INDEX('HS Codes'!$D$2:$K3402,MATCH($B848,'HS Codes'!$A$2:$A3402,0),MATCH(H$1,'HS Codes'!$D$1:$K$1,0)),"")</f>
        <v>6302.93.00.00</v>
      </c>
      <c r="I848" s="8">
        <f>_xlfn.IFNA(INDEX('HS Codes'!$D$2:$K3402,MATCH($B848,'HS Codes'!$A$2:$A3402,0),MATCH(I$1,'HS Codes'!$D$1:$K$1,0)),"")</f>
        <v>63029390</v>
      </c>
      <c r="J848" s="8">
        <f>_xlfn.IFNA(INDEX('HS Codes'!$D$2:$K3402,MATCH($B848,'HS Codes'!$A$2:$A3402,0),MATCH(J$1,'HS Codes'!$D$1:$K$1,0)),"")</f>
        <v>0</v>
      </c>
      <c r="K848" s="8" t="str">
        <f>_xlfn.IFNA(INDEX('HS Codes'!$D$2:$K3402,MATCH($B848,'HS Codes'!$A$2:$A3402,0),MATCH(K$1,'HS Codes'!$D$1:$K$1,0)),"")</f>
        <v>6302.39.00</v>
      </c>
      <c r="L848" s="8">
        <f>_xlfn.IFNA(INDEX('HS Codes'!$D$2:$K3402,MATCH($B848,'HS Codes'!$A$2:$A3402,0),MATCH(L$1,'HS Codes'!$D$1:$K$1,0)),"")</f>
        <v>63029120</v>
      </c>
      <c r="M848" s="8" t="str">
        <f>_xlfn.IFNA(INDEX('HS Codes'!$C$2:$C3402,MATCH($B848,'HS Codes'!$A$2:$A3402,0)),"")</f>
        <v>Beach Towel - Toilet Linen 100% recycled 220 GSM/83% polyester/17% polyamide includes cotton on the packing pouch drawstring</v>
      </c>
      <c r="N848" s="9"/>
      <c r="O848" s="9"/>
      <c r="P848" s="9"/>
      <c r="Q848" s="9"/>
    </row>
    <row r="849" spans="1:17" ht="15.75" customHeight="1">
      <c r="A849" s="7" t="s">
        <v>1141</v>
      </c>
      <c r="B849" s="7" t="s">
        <v>167</v>
      </c>
      <c r="C849" s="7" t="s">
        <v>278</v>
      </c>
      <c r="D849" s="7" t="s">
        <v>168</v>
      </c>
      <c r="E849" s="7" t="s">
        <v>752</v>
      </c>
      <c r="F849" s="8" t="str">
        <f>_xlfn.IFNA(INDEX('HS Codes'!$D$2:$K3403,MATCH($B849,'HS Codes'!$A$2:$A3403,0),MATCH(F$1,'HS Codes'!$D$1:$K$1,0)),"")</f>
        <v>6302.93.2000</v>
      </c>
      <c r="G849" s="8">
        <f>_xlfn.IFNA(INDEX('HS Codes'!$D$2:$K3403,MATCH($B849,'HS Codes'!$A$2:$A3403,0),MATCH(G$1,'HS Codes'!$D$1:$K$1,0)),"")</f>
        <v>6302600090</v>
      </c>
      <c r="H849" s="8" t="str">
        <f>_xlfn.IFNA(INDEX('HS Codes'!$D$2:$K3403,MATCH($B849,'HS Codes'!$A$2:$A3403,0),MATCH(H$1,'HS Codes'!$D$1:$K$1,0)),"")</f>
        <v>6302.93.00.00</v>
      </c>
      <c r="I849" s="8">
        <f>_xlfn.IFNA(INDEX('HS Codes'!$D$2:$K3403,MATCH($B849,'HS Codes'!$A$2:$A3403,0),MATCH(I$1,'HS Codes'!$D$1:$K$1,0)),"")</f>
        <v>6302939000</v>
      </c>
      <c r="J849" s="8">
        <f>_xlfn.IFNA(INDEX('HS Codes'!$D$2:$K3403,MATCH($B849,'HS Codes'!$A$2:$A3403,0),MATCH(J$1,'HS Codes'!$D$1:$K$1,0)),"")</f>
        <v>0</v>
      </c>
      <c r="K849" s="8" t="str">
        <f>_xlfn.IFNA(INDEX('HS Codes'!$D$2:$K3403,MATCH($B849,'HS Codes'!$A$2:$A3403,0),MATCH(K$1,'HS Codes'!$D$1:$K$1,0)),"")</f>
        <v>6302.39.00</v>
      </c>
      <c r="L849" s="8">
        <f>_xlfn.IFNA(INDEX('HS Codes'!$D$2:$K3403,MATCH($B849,'HS Codes'!$A$2:$A3403,0),MATCH(L$1,'HS Codes'!$D$1:$K$1,0)),"")</f>
        <v>63029120</v>
      </c>
      <c r="M849" s="8" t="str">
        <f>_xlfn.IFNA(INDEX('HS Codes'!$C$2:$C3403,MATCH($B849,'HS Codes'!$A$2:$A3403,0)),"")</f>
        <v>Beach Towel - Toilet Linen 100% recycled 220 GSM/83% polyester/17% polyamide includes cotton on the packing pouch drawstring</v>
      </c>
      <c r="N849" s="9"/>
      <c r="O849" s="9"/>
      <c r="P849" s="9"/>
      <c r="Q849" s="9"/>
    </row>
    <row r="850" spans="1:17" ht="15.75" customHeight="1">
      <c r="A850" s="7" t="s">
        <v>1142</v>
      </c>
      <c r="B850" s="7" t="s">
        <v>167</v>
      </c>
      <c r="C850" s="7" t="s">
        <v>278</v>
      </c>
      <c r="D850" s="7" t="s">
        <v>168</v>
      </c>
      <c r="E850" s="7" t="s">
        <v>752</v>
      </c>
      <c r="F850" s="8" t="str">
        <f>_xlfn.IFNA(INDEX('HS Codes'!$D$2:$K3404,MATCH($B850,'HS Codes'!$A$2:$A3404,0),MATCH(F$1,'HS Codes'!$D$1:$K$1,0)),"")</f>
        <v>6302.93.2000</v>
      </c>
      <c r="G850" s="8">
        <f>_xlfn.IFNA(INDEX('HS Codes'!$D$2:$K3404,MATCH($B850,'HS Codes'!$A$2:$A3404,0),MATCH(G$1,'HS Codes'!$D$1:$K$1,0)),"")</f>
        <v>6302600090</v>
      </c>
      <c r="H850" s="8" t="str">
        <f>_xlfn.IFNA(INDEX('HS Codes'!$D$2:$K3404,MATCH($B850,'HS Codes'!$A$2:$A3404,0),MATCH(H$1,'HS Codes'!$D$1:$K$1,0)),"")</f>
        <v>6302.93.00.00</v>
      </c>
      <c r="I850" s="8">
        <f>_xlfn.IFNA(INDEX('HS Codes'!$D$2:$K3404,MATCH($B850,'HS Codes'!$A$2:$A3404,0),MATCH(I$1,'HS Codes'!$D$1:$K$1,0)),"")</f>
        <v>6302939000</v>
      </c>
      <c r="J850" s="8">
        <f>_xlfn.IFNA(INDEX('HS Codes'!$D$2:$K3404,MATCH($B850,'HS Codes'!$A$2:$A3404,0),MATCH(J$1,'HS Codes'!$D$1:$K$1,0)),"")</f>
        <v>0</v>
      </c>
      <c r="K850" s="8" t="str">
        <f>_xlfn.IFNA(INDEX('HS Codes'!$D$2:$K3404,MATCH($B850,'HS Codes'!$A$2:$A3404,0),MATCH(K$1,'HS Codes'!$D$1:$K$1,0)),"")</f>
        <v>6302.39.00</v>
      </c>
      <c r="L850" s="8">
        <f>_xlfn.IFNA(INDEX('HS Codes'!$D$2:$K3404,MATCH($B850,'HS Codes'!$A$2:$A3404,0),MATCH(L$1,'HS Codes'!$D$1:$K$1,0)),"")</f>
        <v>63029120</v>
      </c>
      <c r="M850" s="8" t="str">
        <f>_xlfn.IFNA(INDEX('HS Codes'!$C$2:$C3404,MATCH($B850,'HS Codes'!$A$2:$A3404,0)),"")</f>
        <v>Beach Towel - Toilet Linen 100% recycled 220 GSM/83% polyester/17% polyamide includes cotton on the packing pouch drawstring</v>
      </c>
      <c r="N850" s="9"/>
      <c r="O850" s="9"/>
      <c r="P850" s="9"/>
      <c r="Q850" s="9"/>
    </row>
    <row r="851" spans="1:17" ht="15.75" customHeight="1">
      <c r="A851" s="7" t="s">
        <v>1143</v>
      </c>
      <c r="B851" s="7" t="s">
        <v>167</v>
      </c>
      <c r="C851" s="7" t="s">
        <v>278</v>
      </c>
      <c r="D851" s="7" t="s">
        <v>168</v>
      </c>
      <c r="E851" s="7" t="s">
        <v>752</v>
      </c>
      <c r="F851" s="8" t="str">
        <f>_xlfn.IFNA(INDEX('HS Codes'!$D$2:$K3405,MATCH($B851,'HS Codes'!$A$2:$A3405,0),MATCH(F$1,'HS Codes'!$D$1:$K$1,0)),"")</f>
        <v>6302.93.2000</v>
      </c>
      <c r="G851" s="8">
        <f>_xlfn.IFNA(INDEX('HS Codes'!$D$2:$K3405,MATCH($B851,'HS Codes'!$A$2:$A3405,0),MATCH(G$1,'HS Codes'!$D$1:$K$1,0)),"")</f>
        <v>6302600090</v>
      </c>
      <c r="H851" s="8" t="str">
        <f>_xlfn.IFNA(INDEX('HS Codes'!$D$2:$K3405,MATCH($B851,'HS Codes'!$A$2:$A3405,0),MATCH(H$1,'HS Codes'!$D$1:$K$1,0)),"")</f>
        <v>6302.93.00.00</v>
      </c>
      <c r="I851" s="8">
        <f>_xlfn.IFNA(INDEX('HS Codes'!$D$2:$K3405,MATCH($B851,'HS Codes'!$A$2:$A3405,0),MATCH(I$1,'HS Codes'!$D$1:$K$1,0)),"")</f>
        <v>6302939000</v>
      </c>
      <c r="J851" s="8">
        <f>_xlfn.IFNA(INDEX('HS Codes'!$D$2:$K3405,MATCH($B851,'HS Codes'!$A$2:$A3405,0),MATCH(J$1,'HS Codes'!$D$1:$K$1,0)),"")</f>
        <v>0</v>
      </c>
      <c r="K851" s="8" t="str">
        <f>_xlfn.IFNA(INDEX('HS Codes'!$D$2:$K3405,MATCH($B851,'HS Codes'!$A$2:$A3405,0),MATCH(K$1,'HS Codes'!$D$1:$K$1,0)),"")</f>
        <v>6302.39.00</v>
      </c>
      <c r="L851" s="8">
        <f>_xlfn.IFNA(INDEX('HS Codes'!$D$2:$K3405,MATCH($B851,'HS Codes'!$A$2:$A3405,0),MATCH(L$1,'HS Codes'!$D$1:$K$1,0)),"")</f>
        <v>63029120</v>
      </c>
      <c r="M851" s="8" t="str">
        <f>_xlfn.IFNA(INDEX('HS Codes'!$C$2:$C3405,MATCH($B851,'HS Codes'!$A$2:$A3405,0)),"")</f>
        <v>Beach Towel - Toilet Linen 100% recycled 220 GSM/83% polyester/17% polyamide includes cotton on the packing pouch drawstring</v>
      </c>
      <c r="N851" s="9"/>
      <c r="O851" s="9"/>
      <c r="P851" s="9"/>
      <c r="Q851" s="9"/>
    </row>
    <row r="852" spans="1:17" ht="15.75" customHeight="1">
      <c r="A852" s="7" t="s">
        <v>1144</v>
      </c>
      <c r="B852" s="7" t="s">
        <v>167</v>
      </c>
      <c r="C852" s="7" t="s">
        <v>278</v>
      </c>
      <c r="D852" s="7" t="s">
        <v>168</v>
      </c>
      <c r="E852" s="7" t="s">
        <v>752</v>
      </c>
      <c r="F852" s="8" t="str">
        <f>_xlfn.IFNA(INDEX('HS Codes'!$D$2:$K3406,MATCH($B852,'HS Codes'!$A$2:$A3406,0),MATCH(F$1,'HS Codes'!$D$1:$K$1,0)),"")</f>
        <v>6302.93.2000</v>
      </c>
      <c r="G852" s="8">
        <f>_xlfn.IFNA(INDEX('HS Codes'!$D$2:$K3406,MATCH($B852,'HS Codes'!$A$2:$A3406,0),MATCH(G$1,'HS Codes'!$D$1:$K$1,0)),"")</f>
        <v>6302600090</v>
      </c>
      <c r="H852" s="8" t="str">
        <f>_xlfn.IFNA(INDEX('HS Codes'!$D$2:$K3406,MATCH($B852,'HS Codes'!$A$2:$A3406,0),MATCH(H$1,'HS Codes'!$D$1:$K$1,0)),"")</f>
        <v>6302.93.00.00</v>
      </c>
      <c r="I852" s="8">
        <f>_xlfn.IFNA(INDEX('HS Codes'!$D$2:$K3406,MATCH($B852,'HS Codes'!$A$2:$A3406,0),MATCH(I$1,'HS Codes'!$D$1:$K$1,0)),"")</f>
        <v>6302939000</v>
      </c>
      <c r="J852" s="8">
        <f>_xlfn.IFNA(INDEX('HS Codes'!$D$2:$K3406,MATCH($B852,'HS Codes'!$A$2:$A3406,0),MATCH(J$1,'HS Codes'!$D$1:$K$1,0)),"")</f>
        <v>0</v>
      </c>
      <c r="K852" s="8" t="str">
        <f>_xlfn.IFNA(INDEX('HS Codes'!$D$2:$K3406,MATCH($B852,'HS Codes'!$A$2:$A3406,0),MATCH(K$1,'HS Codes'!$D$1:$K$1,0)),"")</f>
        <v>6302.39.00</v>
      </c>
      <c r="L852" s="8">
        <f>_xlfn.IFNA(INDEX('HS Codes'!$D$2:$K3406,MATCH($B852,'HS Codes'!$A$2:$A3406,0),MATCH(L$1,'HS Codes'!$D$1:$K$1,0)),"")</f>
        <v>63029120</v>
      </c>
      <c r="M852" s="8" t="str">
        <f>_xlfn.IFNA(INDEX('HS Codes'!$C$2:$C3406,MATCH($B852,'HS Codes'!$A$2:$A3406,0)),"")</f>
        <v>Beach Towel - Toilet Linen 100% recycled 220 GSM/83% polyester/17% polyamide includes cotton on the packing pouch drawstring</v>
      </c>
      <c r="N852" s="9"/>
      <c r="O852" s="9"/>
      <c r="P852" s="9"/>
      <c r="Q852" s="9"/>
    </row>
    <row r="853" spans="1:17" ht="15.75" customHeight="1">
      <c r="A853" s="7" t="s">
        <v>1145</v>
      </c>
      <c r="B853" s="7" t="s">
        <v>167</v>
      </c>
      <c r="C853" s="7" t="s">
        <v>278</v>
      </c>
      <c r="D853" s="7" t="s">
        <v>168</v>
      </c>
      <c r="E853" s="7" t="s">
        <v>752</v>
      </c>
      <c r="F853" s="8" t="str">
        <f>_xlfn.IFNA(INDEX('HS Codes'!$D$2:$K3407,MATCH($B853,'HS Codes'!$A$2:$A3407,0),MATCH(F$1,'HS Codes'!$D$1:$K$1,0)),"")</f>
        <v>6302.93.2000</v>
      </c>
      <c r="G853" s="8">
        <f>_xlfn.IFNA(INDEX('HS Codes'!$D$2:$K3407,MATCH($B853,'HS Codes'!$A$2:$A3407,0),MATCH(G$1,'HS Codes'!$D$1:$K$1,0)),"")</f>
        <v>6302600090</v>
      </c>
      <c r="H853" s="8" t="str">
        <f>_xlfn.IFNA(INDEX('HS Codes'!$D$2:$K3407,MATCH($B853,'HS Codes'!$A$2:$A3407,0),MATCH(H$1,'HS Codes'!$D$1:$K$1,0)),"")</f>
        <v>6302.93.00.00</v>
      </c>
      <c r="I853" s="8">
        <f>_xlfn.IFNA(INDEX('HS Codes'!$D$2:$K3407,MATCH($B853,'HS Codes'!$A$2:$A3407,0),MATCH(I$1,'HS Codes'!$D$1:$K$1,0)),"")</f>
        <v>6302939000</v>
      </c>
      <c r="J853" s="8">
        <f>_xlfn.IFNA(INDEX('HS Codes'!$D$2:$K3407,MATCH($B853,'HS Codes'!$A$2:$A3407,0),MATCH(J$1,'HS Codes'!$D$1:$K$1,0)),"")</f>
        <v>0</v>
      </c>
      <c r="K853" s="8" t="str">
        <f>_xlfn.IFNA(INDEX('HS Codes'!$D$2:$K3407,MATCH($B853,'HS Codes'!$A$2:$A3407,0),MATCH(K$1,'HS Codes'!$D$1:$K$1,0)),"")</f>
        <v>6302.39.00</v>
      </c>
      <c r="L853" s="8">
        <f>_xlfn.IFNA(INDEX('HS Codes'!$D$2:$K3407,MATCH($B853,'HS Codes'!$A$2:$A3407,0),MATCH(L$1,'HS Codes'!$D$1:$K$1,0)),"")</f>
        <v>63029120</v>
      </c>
      <c r="M853" s="8" t="str">
        <f>_xlfn.IFNA(INDEX('HS Codes'!$C$2:$C3407,MATCH($B853,'HS Codes'!$A$2:$A3407,0)),"")</f>
        <v>Beach Towel - Toilet Linen 100% recycled 220 GSM/83% polyester/17% polyamide includes cotton on the packing pouch drawstring</v>
      </c>
      <c r="N853" s="9"/>
      <c r="O853" s="9"/>
      <c r="P853" s="9"/>
      <c r="Q853" s="9"/>
    </row>
    <row r="854" spans="1:17" ht="15.75" customHeight="1">
      <c r="A854" s="7" t="s">
        <v>1146</v>
      </c>
      <c r="B854" s="7" t="s">
        <v>167</v>
      </c>
      <c r="C854" s="7" t="s">
        <v>278</v>
      </c>
      <c r="D854" s="7" t="s">
        <v>168</v>
      </c>
      <c r="E854" s="7" t="s">
        <v>752</v>
      </c>
      <c r="F854" s="8" t="str">
        <f>_xlfn.IFNA(INDEX('HS Codes'!$D$2:$K3408,MATCH($B854,'HS Codes'!$A$2:$A3408,0),MATCH(F$1,'HS Codes'!$D$1:$K$1,0)),"")</f>
        <v>6302.93.2000</v>
      </c>
      <c r="G854" s="8">
        <f>_xlfn.IFNA(INDEX('HS Codes'!$D$2:$K3408,MATCH($B854,'HS Codes'!$A$2:$A3408,0),MATCH(G$1,'HS Codes'!$D$1:$K$1,0)),"")</f>
        <v>6302600090</v>
      </c>
      <c r="H854" s="8" t="str">
        <f>_xlfn.IFNA(INDEX('HS Codes'!$D$2:$K3408,MATCH($B854,'HS Codes'!$A$2:$A3408,0),MATCH(H$1,'HS Codes'!$D$1:$K$1,0)),"")</f>
        <v>6302.93.00.00</v>
      </c>
      <c r="I854" s="8">
        <f>_xlfn.IFNA(INDEX('HS Codes'!$D$2:$K3408,MATCH($B854,'HS Codes'!$A$2:$A3408,0),MATCH(I$1,'HS Codes'!$D$1:$K$1,0)),"")</f>
        <v>6302939000</v>
      </c>
      <c r="J854" s="8">
        <f>_xlfn.IFNA(INDEX('HS Codes'!$D$2:$K3408,MATCH($B854,'HS Codes'!$A$2:$A3408,0),MATCH(J$1,'HS Codes'!$D$1:$K$1,0)),"")</f>
        <v>0</v>
      </c>
      <c r="K854" s="8" t="str">
        <f>_xlfn.IFNA(INDEX('HS Codes'!$D$2:$K3408,MATCH($B854,'HS Codes'!$A$2:$A3408,0),MATCH(K$1,'HS Codes'!$D$1:$K$1,0)),"")</f>
        <v>6302.39.00</v>
      </c>
      <c r="L854" s="8">
        <f>_xlfn.IFNA(INDEX('HS Codes'!$D$2:$K3408,MATCH($B854,'HS Codes'!$A$2:$A3408,0),MATCH(L$1,'HS Codes'!$D$1:$K$1,0)),"")</f>
        <v>63029120</v>
      </c>
      <c r="M854" s="8" t="str">
        <f>_xlfn.IFNA(INDEX('HS Codes'!$C$2:$C3408,MATCH($B854,'HS Codes'!$A$2:$A3408,0)),"")</f>
        <v>Beach Towel - Toilet Linen 100% recycled 220 GSM/83% polyester/17% polyamide includes cotton on the packing pouch drawstring</v>
      </c>
      <c r="N854" s="9"/>
      <c r="O854" s="9"/>
      <c r="P854" s="9"/>
      <c r="Q854" s="9"/>
    </row>
    <row r="855" spans="1:17" ht="15.75" customHeight="1">
      <c r="A855" s="7" t="s">
        <v>1147</v>
      </c>
      <c r="B855" s="7" t="s">
        <v>167</v>
      </c>
      <c r="C855" s="7" t="s">
        <v>278</v>
      </c>
      <c r="D855" s="7" t="s">
        <v>168</v>
      </c>
      <c r="E855" s="7" t="s">
        <v>752</v>
      </c>
      <c r="F855" s="8" t="str">
        <f>_xlfn.IFNA(INDEX('HS Codes'!$D$2:$K3409,MATCH($B855,'HS Codes'!$A$2:$A3409,0),MATCH(F$1,'HS Codes'!$D$1:$K$1,0)),"")</f>
        <v>6302.93.2000</v>
      </c>
      <c r="G855" s="8">
        <f>_xlfn.IFNA(INDEX('HS Codes'!$D$2:$K3409,MATCH($B855,'HS Codes'!$A$2:$A3409,0),MATCH(G$1,'HS Codes'!$D$1:$K$1,0)),"")</f>
        <v>6302600090</v>
      </c>
      <c r="H855" s="8" t="str">
        <f>_xlfn.IFNA(INDEX('HS Codes'!$D$2:$K3409,MATCH($B855,'HS Codes'!$A$2:$A3409,0),MATCH(H$1,'HS Codes'!$D$1:$K$1,0)),"")</f>
        <v>6302.93.00.00</v>
      </c>
      <c r="I855" s="8">
        <f>_xlfn.IFNA(INDEX('HS Codes'!$D$2:$K3409,MATCH($B855,'HS Codes'!$A$2:$A3409,0),MATCH(I$1,'HS Codes'!$D$1:$K$1,0)),"")</f>
        <v>6302939000</v>
      </c>
      <c r="J855" s="8">
        <f>_xlfn.IFNA(INDEX('HS Codes'!$D$2:$K3409,MATCH($B855,'HS Codes'!$A$2:$A3409,0),MATCH(J$1,'HS Codes'!$D$1:$K$1,0)),"")</f>
        <v>0</v>
      </c>
      <c r="K855" s="8" t="str">
        <f>_xlfn.IFNA(INDEX('HS Codes'!$D$2:$K3409,MATCH($B855,'HS Codes'!$A$2:$A3409,0),MATCH(K$1,'HS Codes'!$D$1:$K$1,0)),"")</f>
        <v>6302.39.00</v>
      </c>
      <c r="L855" s="8">
        <f>_xlfn.IFNA(INDEX('HS Codes'!$D$2:$K3409,MATCH($B855,'HS Codes'!$A$2:$A3409,0),MATCH(L$1,'HS Codes'!$D$1:$K$1,0)),"")</f>
        <v>63029120</v>
      </c>
      <c r="M855" s="8" t="str">
        <f>_xlfn.IFNA(INDEX('HS Codes'!$C$2:$C3409,MATCH($B855,'HS Codes'!$A$2:$A3409,0)),"")</f>
        <v>Beach Towel - Toilet Linen 100% recycled 220 GSM/83% polyester/17% polyamide includes cotton on the packing pouch drawstring</v>
      </c>
      <c r="N855" s="9"/>
      <c r="O855" s="9"/>
      <c r="P855" s="9"/>
      <c r="Q855" s="9"/>
    </row>
    <row r="856" spans="1:17" ht="15.75" customHeight="1">
      <c r="A856" s="7" t="s">
        <v>1148</v>
      </c>
      <c r="B856" s="7" t="s">
        <v>167</v>
      </c>
      <c r="C856" s="7" t="s">
        <v>278</v>
      </c>
      <c r="D856" s="7" t="s">
        <v>168</v>
      </c>
      <c r="E856" s="7" t="s">
        <v>752</v>
      </c>
      <c r="F856" s="8" t="str">
        <f>_xlfn.IFNA(INDEX('HS Codes'!$D$2:$K3410,MATCH($B856,'HS Codes'!$A$2:$A3410,0),MATCH(F$1,'HS Codes'!$D$1:$K$1,0)),"")</f>
        <v>6302.93.2000</v>
      </c>
      <c r="G856" s="8">
        <f>_xlfn.IFNA(INDEX('HS Codes'!$D$2:$K3410,MATCH($B856,'HS Codes'!$A$2:$A3410,0),MATCH(G$1,'HS Codes'!$D$1:$K$1,0)),"")</f>
        <v>6302600090</v>
      </c>
      <c r="H856" s="8" t="str">
        <f>_xlfn.IFNA(INDEX('HS Codes'!$D$2:$K3410,MATCH($B856,'HS Codes'!$A$2:$A3410,0),MATCH(H$1,'HS Codes'!$D$1:$K$1,0)),"")</f>
        <v>6302.93.00.00</v>
      </c>
      <c r="I856" s="8">
        <f>_xlfn.IFNA(INDEX('HS Codes'!$D$2:$K3410,MATCH($B856,'HS Codes'!$A$2:$A3410,0),MATCH(I$1,'HS Codes'!$D$1:$K$1,0)),"")</f>
        <v>6302939000</v>
      </c>
      <c r="J856" s="8">
        <f>_xlfn.IFNA(INDEX('HS Codes'!$D$2:$K3410,MATCH($B856,'HS Codes'!$A$2:$A3410,0),MATCH(J$1,'HS Codes'!$D$1:$K$1,0)),"")</f>
        <v>0</v>
      </c>
      <c r="K856" s="8" t="str">
        <f>_xlfn.IFNA(INDEX('HS Codes'!$D$2:$K3410,MATCH($B856,'HS Codes'!$A$2:$A3410,0),MATCH(K$1,'HS Codes'!$D$1:$K$1,0)),"")</f>
        <v>6302.39.00</v>
      </c>
      <c r="L856" s="8">
        <f>_xlfn.IFNA(INDEX('HS Codes'!$D$2:$K3410,MATCH($B856,'HS Codes'!$A$2:$A3410,0),MATCH(L$1,'HS Codes'!$D$1:$K$1,0)),"")</f>
        <v>63029120</v>
      </c>
      <c r="M856" s="8" t="str">
        <f>_xlfn.IFNA(INDEX('HS Codes'!$C$2:$C3410,MATCH($B856,'HS Codes'!$A$2:$A3410,0)),"")</f>
        <v>Beach Towel - Toilet Linen 100% recycled 220 GSM/83% polyester/17% polyamide includes cotton on the packing pouch drawstring</v>
      </c>
      <c r="N856" s="9"/>
      <c r="O856" s="9"/>
      <c r="P856" s="9"/>
      <c r="Q856" s="9"/>
    </row>
    <row r="857" spans="1:17" ht="15.75" customHeight="1">
      <c r="A857" s="7" t="s">
        <v>1149</v>
      </c>
      <c r="B857" s="7" t="s">
        <v>167</v>
      </c>
      <c r="C857" s="7" t="s">
        <v>278</v>
      </c>
      <c r="D857" s="7" t="s">
        <v>168</v>
      </c>
      <c r="E857" s="7" t="s">
        <v>752</v>
      </c>
      <c r="F857" s="8" t="str">
        <f>_xlfn.IFNA(INDEX('HS Codes'!$D$2:$K3411,MATCH($B857,'HS Codes'!$A$2:$A3411,0),MATCH(F$1,'HS Codes'!$D$1:$K$1,0)),"")</f>
        <v>6302.93.2000</v>
      </c>
      <c r="G857" s="8">
        <f>_xlfn.IFNA(INDEX('HS Codes'!$D$2:$K3411,MATCH($B857,'HS Codes'!$A$2:$A3411,0),MATCH(G$1,'HS Codes'!$D$1:$K$1,0)),"")</f>
        <v>6302600090</v>
      </c>
      <c r="H857" s="8" t="str">
        <f>_xlfn.IFNA(INDEX('HS Codes'!$D$2:$K3411,MATCH($B857,'HS Codes'!$A$2:$A3411,0),MATCH(H$1,'HS Codes'!$D$1:$K$1,0)),"")</f>
        <v>6302.93.00.00</v>
      </c>
      <c r="I857" s="8">
        <f>_xlfn.IFNA(INDEX('HS Codes'!$D$2:$K3411,MATCH($B857,'HS Codes'!$A$2:$A3411,0),MATCH(I$1,'HS Codes'!$D$1:$K$1,0)),"")</f>
        <v>6302939000</v>
      </c>
      <c r="J857" s="8">
        <f>_xlfn.IFNA(INDEX('HS Codes'!$D$2:$K3411,MATCH($B857,'HS Codes'!$A$2:$A3411,0),MATCH(J$1,'HS Codes'!$D$1:$K$1,0)),"")</f>
        <v>0</v>
      </c>
      <c r="K857" s="8" t="str">
        <f>_xlfn.IFNA(INDEX('HS Codes'!$D$2:$K3411,MATCH($B857,'HS Codes'!$A$2:$A3411,0),MATCH(K$1,'HS Codes'!$D$1:$K$1,0)),"")</f>
        <v>6302.39.00</v>
      </c>
      <c r="L857" s="8">
        <f>_xlfn.IFNA(INDEX('HS Codes'!$D$2:$K3411,MATCH($B857,'HS Codes'!$A$2:$A3411,0),MATCH(L$1,'HS Codes'!$D$1:$K$1,0)),"")</f>
        <v>63029120</v>
      </c>
      <c r="M857" s="8" t="str">
        <f>_xlfn.IFNA(INDEX('HS Codes'!$C$2:$C3411,MATCH($B857,'HS Codes'!$A$2:$A3411,0)),"")</f>
        <v>Beach Towel - Toilet Linen 100% recycled 220 GSM/83% polyester/17% polyamide includes cotton on the packing pouch drawstring</v>
      </c>
      <c r="N857" s="9"/>
      <c r="O857" s="9"/>
      <c r="P857" s="9"/>
      <c r="Q857" s="9"/>
    </row>
    <row r="858" spans="1:17" ht="15.75" customHeight="1">
      <c r="A858" s="7" t="s">
        <v>1150</v>
      </c>
      <c r="B858" s="7" t="s">
        <v>167</v>
      </c>
      <c r="C858" s="7" t="s">
        <v>278</v>
      </c>
      <c r="D858" s="7" t="s">
        <v>168</v>
      </c>
      <c r="E858" s="7" t="s">
        <v>752</v>
      </c>
      <c r="F858" s="8" t="str">
        <f>_xlfn.IFNA(INDEX('HS Codes'!$D$2:$K3412,MATCH($B858,'HS Codes'!$A$2:$A3412,0),MATCH(F$1,'HS Codes'!$D$1:$K$1,0)),"")</f>
        <v>6302.93.2000</v>
      </c>
      <c r="G858" s="8">
        <f>_xlfn.IFNA(INDEX('HS Codes'!$D$2:$K3412,MATCH($B858,'HS Codes'!$A$2:$A3412,0),MATCH(G$1,'HS Codes'!$D$1:$K$1,0)),"")</f>
        <v>6302600090</v>
      </c>
      <c r="H858" s="8" t="str">
        <f>_xlfn.IFNA(INDEX('HS Codes'!$D$2:$K3412,MATCH($B858,'HS Codes'!$A$2:$A3412,0),MATCH(H$1,'HS Codes'!$D$1:$K$1,0)),"")</f>
        <v>6302.93.00.00</v>
      </c>
      <c r="I858" s="8">
        <f>_xlfn.IFNA(INDEX('HS Codes'!$D$2:$K3412,MATCH($B858,'HS Codes'!$A$2:$A3412,0),MATCH(I$1,'HS Codes'!$D$1:$K$1,0)),"")</f>
        <v>6302939000</v>
      </c>
      <c r="J858" s="8">
        <f>_xlfn.IFNA(INDEX('HS Codes'!$D$2:$K3412,MATCH($B858,'HS Codes'!$A$2:$A3412,0),MATCH(J$1,'HS Codes'!$D$1:$K$1,0)),"")</f>
        <v>0</v>
      </c>
      <c r="K858" s="8" t="str">
        <f>_xlfn.IFNA(INDEX('HS Codes'!$D$2:$K3412,MATCH($B858,'HS Codes'!$A$2:$A3412,0),MATCH(K$1,'HS Codes'!$D$1:$K$1,0)),"")</f>
        <v>6302.39.00</v>
      </c>
      <c r="L858" s="8">
        <f>_xlfn.IFNA(INDEX('HS Codes'!$D$2:$K3412,MATCH($B858,'HS Codes'!$A$2:$A3412,0),MATCH(L$1,'HS Codes'!$D$1:$K$1,0)),"")</f>
        <v>63029120</v>
      </c>
      <c r="M858" s="8" t="str">
        <f>_xlfn.IFNA(INDEX('HS Codes'!$C$2:$C3412,MATCH($B858,'HS Codes'!$A$2:$A3412,0)),"")</f>
        <v>Beach Towel - Toilet Linen 100% recycled 220 GSM/83% polyester/17% polyamide includes cotton on the packing pouch drawstring</v>
      </c>
      <c r="N858" s="9"/>
      <c r="O858" s="9"/>
      <c r="P858" s="9"/>
      <c r="Q858" s="9"/>
    </row>
    <row r="859" spans="1:17" ht="15.75" customHeight="1">
      <c r="A859" s="7" t="s">
        <v>1151</v>
      </c>
      <c r="B859" s="7" t="s">
        <v>167</v>
      </c>
      <c r="C859" s="7" t="s">
        <v>278</v>
      </c>
      <c r="D859" s="7" t="s">
        <v>168</v>
      </c>
      <c r="E859" s="7" t="s">
        <v>752</v>
      </c>
      <c r="F859" s="8" t="str">
        <f>_xlfn.IFNA(INDEX('HS Codes'!$D$2:$K3413,MATCH($B859,'HS Codes'!$A$2:$A3413,0),MATCH(F$1,'HS Codes'!$D$1:$K$1,0)),"")</f>
        <v>6302.93.2000</v>
      </c>
      <c r="G859" s="8">
        <f>_xlfn.IFNA(INDEX('HS Codes'!$D$2:$K3413,MATCH($B859,'HS Codes'!$A$2:$A3413,0),MATCH(G$1,'HS Codes'!$D$1:$K$1,0)),"")</f>
        <v>6302600090</v>
      </c>
      <c r="H859" s="8" t="str">
        <f>_xlfn.IFNA(INDEX('HS Codes'!$D$2:$K3413,MATCH($B859,'HS Codes'!$A$2:$A3413,0),MATCH(H$1,'HS Codes'!$D$1:$K$1,0)),"")</f>
        <v>6302.93.00.00</v>
      </c>
      <c r="I859" s="8">
        <f>_xlfn.IFNA(INDEX('HS Codes'!$D$2:$K3413,MATCH($B859,'HS Codes'!$A$2:$A3413,0),MATCH(I$1,'HS Codes'!$D$1:$K$1,0)),"")</f>
        <v>6302939000</v>
      </c>
      <c r="J859" s="8">
        <f>_xlfn.IFNA(INDEX('HS Codes'!$D$2:$K3413,MATCH($B859,'HS Codes'!$A$2:$A3413,0),MATCH(J$1,'HS Codes'!$D$1:$K$1,0)),"")</f>
        <v>0</v>
      </c>
      <c r="K859" s="8" t="str">
        <f>_xlfn.IFNA(INDEX('HS Codes'!$D$2:$K3413,MATCH($B859,'HS Codes'!$A$2:$A3413,0),MATCH(K$1,'HS Codes'!$D$1:$K$1,0)),"")</f>
        <v>6302.39.00</v>
      </c>
      <c r="L859" s="8">
        <f>_xlfn.IFNA(INDEX('HS Codes'!$D$2:$K3413,MATCH($B859,'HS Codes'!$A$2:$A3413,0),MATCH(L$1,'HS Codes'!$D$1:$K$1,0)),"")</f>
        <v>63029120</v>
      </c>
      <c r="M859" s="8" t="str">
        <f>_xlfn.IFNA(INDEX('HS Codes'!$C$2:$C3413,MATCH($B859,'HS Codes'!$A$2:$A3413,0)),"")</f>
        <v>Beach Towel - Toilet Linen 100% recycled 220 GSM/83% polyester/17% polyamide includes cotton on the packing pouch drawstring</v>
      </c>
      <c r="N859" s="9"/>
      <c r="O859" s="9"/>
      <c r="P859" s="9"/>
      <c r="Q859" s="9"/>
    </row>
    <row r="860" spans="1:17" ht="15.75" customHeight="1">
      <c r="A860" s="7" t="s">
        <v>1152</v>
      </c>
      <c r="B860" s="7" t="s">
        <v>164</v>
      </c>
      <c r="C860" s="7" t="s">
        <v>278</v>
      </c>
      <c r="D860" s="7" t="s">
        <v>165</v>
      </c>
      <c r="E860" s="7" t="s">
        <v>348</v>
      </c>
      <c r="F860" s="8" t="str">
        <f>_xlfn.IFNA(INDEX('HS Codes'!$D$2:$K3414,MATCH($B860,'HS Codes'!$A$2:$A3414,0),MATCH(F$1,'HS Codes'!$D$1:$K$1,0)),"")</f>
        <v>6302.93.2000</v>
      </c>
      <c r="G860" s="8">
        <f>_xlfn.IFNA(INDEX('HS Codes'!$D$2:$K3414,MATCH($B860,'HS Codes'!$A$2:$A3414,0),MATCH(G$1,'HS Codes'!$D$1:$K$1,0)),"")</f>
        <v>6302600090</v>
      </c>
      <c r="H860" s="8" t="str">
        <f>_xlfn.IFNA(INDEX('HS Codes'!$D$2:$K3414,MATCH($B860,'HS Codes'!$A$2:$A3414,0),MATCH(H$1,'HS Codes'!$D$1:$K$1,0)),"")</f>
        <v>6302.93.00.00</v>
      </c>
      <c r="I860" s="8">
        <f>_xlfn.IFNA(INDEX('HS Codes'!$D$2:$K3414,MATCH($B860,'HS Codes'!$A$2:$A3414,0),MATCH(I$1,'HS Codes'!$D$1:$K$1,0)),"")</f>
        <v>63029390</v>
      </c>
      <c r="J860" s="8">
        <f>_xlfn.IFNA(INDEX('HS Codes'!$D$2:$K3414,MATCH($B860,'HS Codes'!$A$2:$A3414,0),MATCH(J$1,'HS Codes'!$D$1:$K$1,0)),"")</f>
        <v>0</v>
      </c>
      <c r="K860" s="8" t="str">
        <f>_xlfn.IFNA(INDEX('HS Codes'!$D$2:$K3414,MATCH($B860,'HS Codes'!$A$2:$A3414,0),MATCH(K$1,'HS Codes'!$D$1:$K$1,0)),"")</f>
        <v>6302.39.00</v>
      </c>
      <c r="L860" s="8">
        <f>_xlfn.IFNA(INDEX('HS Codes'!$D$2:$K3414,MATCH($B860,'HS Codes'!$A$2:$A3414,0),MATCH(L$1,'HS Codes'!$D$1:$K$1,0)),"")</f>
        <v>63029120</v>
      </c>
      <c r="M860" s="8" t="str">
        <f>_xlfn.IFNA(INDEX('HS Codes'!$C$2:$C3414,MATCH($B860,'HS Codes'!$A$2:$A3414,0)),"")</f>
        <v>Beach Towel - Toilet Linen 100% recycled 220 GSM/83% polyester/17% polyamide includes cotton on the packing pouch drawstring</v>
      </c>
      <c r="N860" s="9"/>
      <c r="O860" s="9"/>
      <c r="P860" s="9"/>
      <c r="Q860" s="9"/>
    </row>
    <row r="861" spans="1:17" ht="15.75" customHeight="1">
      <c r="A861" s="7" t="s">
        <v>1153</v>
      </c>
      <c r="B861" s="7" t="s">
        <v>164</v>
      </c>
      <c r="C861" s="7" t="s">
        <v>278</v>
      </c>
      <c r="D861" s="7" t="s">
        <v>165</v>
      </c>
      <c r="E861" s="7" t="s">
        <v>348</v>
      </c>
      <c r="F861" s="8" t="str">
        <f>_xlfn.IFNA(INDEX('HS Codes'!$D$2:$K3415,MATCH($B861,'HS Codes'!$A$2:$A3415,0),MATCH(F$1,'HS Codes'!$D$1:$K$1,0)),"")</f>
        <v>6302.93.2000</v>
      </c>
      <c r="G861" s="8">
        <f>_xlfn.IFNA(INDEX('HS Codes'!$D$2:$K3415,MATCH($B861,'HS Codes'!$A$2:$A3415,0),MATCH(G$1,'HS Codes'!$D$1:$K$1,0)),"")</f>
        <v>6302600090</v>
      </c>
      <c r="H861" s="8" t="str">
        <f>_xlfn.IFNA(INDEX('HS Codes'!$D$2:$K3415,MATCH($B861,'HS Codes'!$A$2:$A3415,0),MATCH(H$1,'HS Codes'!$D$1:$K$1,0)),"")</f>
        <v>6302.93.00.00</v>
      </c>
      <c r="I861" s="8">
        <f>_xlfn.IFNA(INDEX('HS Codes'!$D$2:$K3415,MATCH($B861,'HS Codes'!$A$2:$A3415,0),MATCH(I$1,'HS Codes'!$D$1:$K$1,0)),"")</f>
        <v>63029390</v>
      </c>
      <c r="J861" s="8">
        <f>_xlfn.IFNA(INDEX('HS Codes'!$D$2:$K3415,MATCH($B861,'HS Codes'!$A$2:$A3415,0),MATCH(J$1,'HS Codes'!$D$1:$K$1,0)),"")</f>
        <v>0</v>
      </c>
      <c r="K861" s="8" t="str">
        <f>_xlfn.IFNA(INDEX('HS Codes'!$D$2:$K3415,MATCH($B861,'HS Codes'!$A$2:$A3415,0),MATCH(K$1,'HS Codes'!$D$1:$K$1,0)),"")</f>
        <v>6302.39.00</v>
      </c>
      <c r="L861" s="8">
        <f>_xlfn.IFNA(INDEX('HS Codes'!$D$2:$K3415,MATCH($B861,'HS Codes'!$A$2:$A3415,0),MATCH(L$1,'HS Codes'!$D$1:$K$1,0)),"")</f>
        <v>63029120</v>
      </c>
      <c r="M861" s="8" t="str">
        <f>_xlfn.IFNA(INDEX('HS Codes'!$C$2:$C3415,MATCH($B861,'HS Codes'!$A$2:$A3415,0)),"")</f>
        <v>Beach Towel - Toilet Linen 100% recycled 220 GSM/83% polyester/17% polyamide includes cotton on the packing pouch drawstring</v>
      </c>
      <c r="N861" s="9"/>
      <c r="O861" s="9"/>
      <c r="P861" s="9"/>
      <c r="Q861" s="9"/>
    </row>
    <row r="862" spans="1:17" ht="15.75" customHeight="1">
      <c r="A862" s="7" t="s">
        <v>1154</v>
      </c>
      <c r="B862" s="7" t="s">
        <v>164</v>
      </c>
      <c r="C862" s="7" t="s">
        <v>278</v>
      </c>
      <c r="D862" s="7" t="s">
        <v>165</v>
      </c>
      <c r="E862" s="7" t="s">
        <v>348</v>
      </c>
      <c r="F862" s="8" t="str">
        <f>_xlfn.IFNA(INDEX('HS Codes'!$D$2:$K3416,MATCH($B862,'HS Codes'!$A$2:$A3416,0),MATCH(F$1,'HS Codes'!$D$1:$K$1,0)),"")</f>
        <v>6302.93.2000</v>
      </c>
      <c r="G862" s="8">
        <f>_xlfn.IFNA(INDEX('HS Codes'!$D$2:$K3416,MATCH($B862,'HS Codes'!$A$2:$A3416,0),MATCH(G$1,'HS Codes'!$D$1:$K$1,0)),"")</f>
        <v>6302600090</v>
      </c>
      <c r="H862" s="8" t="str">
        <f>_xlfn.IFNA(INDEX('HS Codes'!$D$2:$K3416,MATCH($B862,'HS Codes'!$A$2:$A3416,0),MATCH(H$1,'HS Codes'!$D$1:$K$1,0)),"")</f>
        <v>6302.93.00.00</v>
      </c>
      <c r="I862" s="8">
        <f>_xlfn.IFNA(INDEX('HS Codes'!$D$2:$K3416,MATCH($B862,'HS Codes'!$A$2:$A3416,0),MATCH(I$1,'HS Codes'!$D$1:$K$1,0)),"")</f>
        <v>63029390</v>
      </c>
      <c r="J862" s="8">
        <f>_xlfn.IFNA(INDEX('HS Codes'!$D$2:$K3416,MATCH($B862,'HS Codes'!$A$2:$A3416,0),MATCH(J$1,'HS Codes'!$D$1:$K$1,0)),"")</f>
        <v>0</v>
      </c>
      <c r="K862" s="8" t="str">
        <f>_xlfn.IFNA(INDEX('HS Codes'!$D$2:$K3416,MATCH($B862,'HS Codes'!$A$2:$A3416,0),MATCH(K$1,'HS Codes'!$D$1:$K$1,0)),"")</f>
        <v>6302.39.00</v>
      </c>
      <c r="L862" s="8">
        <f>_xlfn.IFNA(INDEX('HS Codes'!$D$2:$K3416,MATCH($B862,'HS Codes'!$A$2:$A3416,0),MATCH(L$1,'HS Codes'!$D$1:$K$1,0)),"")</f>
        <v>63029120</v>
      </c>
      <c r="M862" s="8" t="str">
        <f>_xlfn.IFNA(INDEX('HS Codes'!$C$2:$C3416,MATCH($B862,'HS Codes'!$A$2:$A3416,0)),"")</f>
        <v>Beach Towel - Toilet Linen 100% recycled 220 GSM/83% polyester/17% polyamide includes cotton on the packing pouch drawstring</v>
      </c>
      <c r="N862" s="9"/>
      <c r="O862" s="9"/>
      <c r="P862" s="9"/>
      <c r="Q862" s="9"/>
    </row>
    <row r="863" spans="1:17" ht="15.75" customHeight="1">
      <c r="A863" s="7" t="s">
        <v>1155</v>
      </c>
      <c r="B863" s="7" t="s">
        <v>164</v>
      </c>
      <c r="C863" s="7" t="s">
        <v>278</v>
      </c>
      <c r="D863" s="7" t="s">
        <v>165</v>
      </c>
      <c r="E863" s="7" t="s">
        <v>348</v>
      </c>
      <c r="F863" s="8" t="str">
        <f>_xlfn.IFNA(INDEX('HS Codes'!$D$2:$K3417,MATCH($B863,'HS Codes'!$A$2:$A3417,0),MATCH(F$1,'HS Codes'!$D$1:$K$1,0)),"")</f>
        <v>6302.93.2000</v>
      </c>
      <c r="G863" s="8">
        <f>_xlfn.IFNA(INDEX('HS Codes'!$D$2:$K3417,MATCH($B863,'HS Codes'!$A$2:$A3417,0),MATCH(G$1,'HS Codes'!$D$1:$K$1,0)),"")</f>
        <v>6302600090</v>
      </c>
      <c r="H863" s="8" t="str">
        <f>_xlfn.IFNA(INDEX('HS Codes'!$D$2:$K3417,MATCH($B863,'HS Codes'!$A$2:$A3417,0),MATCH(H$1,'HS Codes'!$D$1:$K$1,0)),"")</f>
        <v>6302.93.00.00</v>
      </c>
      <c r="I863" s="8">
        <f>_xlfn.IFNA(INDEX('HS Codes'!$D$2:$K3417,MATCH($B863,'HS Codes'!$A$2:$A3417,0),MATCH(I$1,'HS Codes'!$D$1:$K$1,0)),"")</f>
        <v>63029390</v>
      </c>
      <c r="J863" s="8">
        <f>_xlfn.IFNA(INDEX('HS Codes'!$D$2:$K3417,MATCH($B863,'HS Codes'!$A$2:$A3417,0),MATCH(J$1,'HS Codes'!$D$1:$K$1,0)),"")</f>
        <v>0</v>
      </c>
      <c r="K863" s="8" t="str">
        <f>_xlfn.IFNA(INDEX('HS Codes'!$D$2:$K3417,MATCH($B863,'HS Codes'!$A$2:$A3417,0),MATCH(K$1,'HS Codes'!$D$1:$K$1,0)),"")</f>
        <v>6302.39.00</v>
      </c>
      <c r="L863" s="8">
        <f>_xlfn.IFNA(INDEX('HS Codes'!$D$2:$K3417,MATCH($B863,'HS Codes'!$A$2:$A3417,0),MATCH(L$1,'HS Codes'!$D$1:$K$1,0)),"")</f>
        <v>63029120</v>
      </c>
      <c r="M863" s="8" t="str">
        <f>_xlfn.IFNA(INDEX('HS Codes'!$C$2:$C3417,MATCH($B863,'HS Codes'!$A$2:$A3417,0)),"")</f>
        <v>Beach Towel - Toilet Linen 100% recycled 220 GSM/83% polyester/17% polyamide includes cotton on the packing pouch drawstring</v>
      </c>
      <c r="N863" s="9"/>
      <c r="O863" s="9"/>
      <c r="P863" s="9"/>
      <c r="Q863" s="9"/>
    </row>
    <row r="864" spans="1:17" ht="15.75" customHeight="1">
      <c r="A864" s="7" t="s">
        <v>1156</v>
      </c>
      <c r="B864" s="7" t="s">
        <v>164</v>
      </c>
      <c r="C864" s="7" t="s">
        <v>278</v>
      </c>
      <c r="D864" s="7" t="s">
        <v>165</v>
      </c>
      <c r="E864" s="7" t="s">
        <v>348</v>
      </c>
      <c r="F864" s="8" t="str">
        <f>_xlfn.IFNA(INDEX('HS Codes'!$D$2:$K3418,MATCH($B864,'HS Codes'!$A$2:$A3418,0),MATCH(F$1,'HS Codes'!$D$1:$K$1,0)),"")</f>
        <v>6302.93.2000</v>
      </c>
      <c r="G864" s="8">
        <f>_xlfn.IFNA(INDEX('HS Codes'!$D$2:$K3418,MATCH($B864,'HS Codes'!$A$2:$A3418,0),MATCH(G$1,'HS Codes'!$D$1:$K$1,0)),"")</f>
        <v>6302600090</v>
      </c>
      <c r="H864" s="8" t="str">
        <f>_xlfn.IFNA(INDEX('HS Codes'!$D$2:$K3418,MATCH($B864,'HS Codes'!$A$2:$A3418,0),MATCH(H$1,'HS Codes'!$D$1:$K$1,0)),"")</f>
        <v>6302.93.00.00</v>
      </c>
      <c r="I864" s="8">
        <f>_xlfn.IFNA(INDEX('HS Codes'!$D$2:$K3418,MATCH($B864,'HS Codes'!$A$2:$A3418,0),MATCH(I$1,'HS Codes'!$D$1:$K$1,0)),"")</f>
        <v>63029390</v>
      </c>
      <c r="J864" s="8">
        <f>_xlfn.IFNA(INDEX('HS Codes'!$D$2:$K3418,MATCH($B864,'HS Codes'!$A$2:$A3418,0),MATCH(J$1,'HS Codes'!$D$1:$K$1,0)),"")</f>
        <v>0</v>
      </c>
      <c r="K864" s="8" t="str">
        <f>_xlfn.IFNA(INDEX('HS Codes'!$D$2:$K3418,MATCH($B864,'HS Codes'!$A$2:$A3418,0),MATCH(K$1,'HS Codes'!$D$1:$K$1,0)),"")</f>
        <v>6302.39.00</v>
      </c>
      <c r="L864" s="8">
        <f>_xlfn.IFNA(INDEX('HS Codes'!$D$2:$K3418,MATCH($B864,'HS Codes'!$A$2:$A3418,0),MATCH(L$1,'HS Codes'!$D$1:$K$1,0)),"")</f>
        <v>63029120</v>
      </c>
      <c r="M864" s="8" t="str">
        <f>_xlfn.IFNA(INDEX('HS Codes'!$C$2:$C3418,MATCH($B864,'HS Codes'!$A$2:$A3418,0)),"")</f>
        <v>Beach Towel - Toilet Linen 100% recycled 220 GSM/83% polyester/17% polyamide includes cotton on the packing pouch drawstring</v>
      </c>
      <c r="N864" s="9"/>
      <c r="O864" s="9"/>
      <c r="P864" s="9"/>
      <c r="Q864" s="9"/>
    </row>
    <row r="865" spans="1:17" ht="15.75" customHeight="1">
      <c r="A865" s="7" t="s">
        <v>1157</v>
      </c>
      <c r="B865" s="7" t="s">
        <v>164</v>
      </c>
      <c r="C865" s="7" t="s">
        <v>278</v>
      </c>
      <c r="D865" s="7" t="s">
        <v>165</v>
      </c>
      <c r="E865" s="7" t="s">
        <v>348</v>
      </c>
      <c r="F865" s="8" t="str">
        <f>_xlfn.IFNA(INDEX('HS Codes'!$D$2:$K3419,MATCH($B865,'HS Codes'!$A$2:$A3419,0),MATCH(F$1,'HS Codes'!$D$1:$K$1,0)),"")</f>
        <v>6302.93.2000</v>
      </c>
      <c r="G865" s="8">
        <f>_xlfn.IFNA(INDEX('HS Codes'!$D$2:$K3419,MATCH($B865,'HS Codes'!$A$2:$A3419,0),MATCH(G$1,'HS Codes'!$D$1:$K$1,0)),"")</f>
        <v>6302600090</v>
      </c>
      <c r="H865" s="8" t="str">
        <f>_xlfn.IFNA(INDEX('HS Codes'!$D$2:$K3419,MATCH($B865,'HS Codes'!$A$2:$A3419,0),MATCH(H$1,'HS Codes'!$D$1:$K$1,0)),"")</f>
        <v>6302.93.00.00</v>
      </c>
      <c r="I865" s="8">
        <f>_xlfn.IFNA(INDEX('HS Codes'!$D$2:$K3419,MATCH($B865,'HS Codes'!$A$2:$A3419,0),MATCH(I$1,'HS Codes'!$D$1:$K$1,0)),"")</f>
        <v>63029390</v>
      </c>
      <c r="J865" s="8">
        <f>_xlfn.IFNA(INDEX('HS Codes'!$D$2:$K3419,MATCH($B865,'HS Codes'!$A$2:$A3419,0),MATCH(J$1,'HS Codes'!$D$1:$K$1,0)),"")</f>
        <v>0</v>
      </c>
      <c r="K865" s="8" t="str">
        <f>_xlfn.IFNA(INDEX('HS Codes'!$D$2:$K3419,MATCH($B865,'HS Codes'!$A$2:$A3419,0),MATCH(K$1,'HS Codes'!$D$1:$K$1,0)),"")</f>
        <v>6302.39.00</v>
      </c>
      <c r="L865" s="8">
        <f>_xlfn.IFNA(INDEX('HS Codes'!$D$2:$K3419,MATCH($B865,'HS Codes'!$A$2:$A3419,0),MATCH(L$1,'HS Codes'!$D$1:$K$1,0)),"")</f>
        <v>63029120</v>
      </c>
      <c r="M865" s="8" t="str">
        <f>_xlfn.IFNA(INDEX('HS Codes'!$C$2:$C3419,MATCH($B865,'HS Codes'!$A$2:$A3419,0)),"")</f>
        <v>Beach Towel - Toilet Linen 100% recycled 220 GSM/83% polyester/17% polyamide includes cotton on the packing pouch drawstring</v>
      </c>
      <c r="N865" s="9"/>
      <c r="O865" s="9"/>
      <c r="P865" s="9"/>
      <c r="Q865" s="9"/>
    </row>
    <row r="866" spans="1:17" ht="15.75" customHeight="1">
      <c r="A866" s="7" t="s">
        <v>1158</v>
      </c>
      <c r="B866" s="7" t="s">
        <v>164</v>
      </c>
      <c r="C866" s="7" t="s">
        <v>278</v>
      </c>
      <c r="D866" s="7" t="s">
        <v>165</v>
      </c>
      <c r="E866" s="7" t="s">
        <v>348</v>
      </c>
      <c r="F866" s="8" t="str">
        <f>_xlfn.IFNA(INDEX('HS Codes'!$D$2:$K3420,MATCH($B866,'HS Codes'!$A$2:$A3420,0),MATCH(F$1,'HS Codes'!$D$1:$K$1,0)),"")</f>
        <v>6302.93.2000</v>
      </c>
      <c r="G866" s="8">
        <f>_xlfn.IFNA(INDEX('HS Codes'!$D$2:$K3420,MATCH($B866,'HS Codes'!$A$2:$A3420,0),MATCH(G$1,'HS Codes'!$D$1:$K$1,0)),"")</f>
        <v>6302600090</v>
      </c>
      <c r="H866" s="8" t="str">
        <f>_xlfn.IFNA(INDEX('HS Codes'!$D$2:$K3420,MATCH($B866,'HS Codes'!$A$2:$A3420,0),MATCH(H$1,'HS Codes'!$D$1:$K$1,0)),"")</f>
        <v>6302.93.00.00</v>
      </c>
      <c r="I866" s="8">
        <f>_xlfn.IFNA(INDEX('HS Codes'!$D$2:$K3420,MATCH($B866,'HS Codes'!$A$2:$A3420,0),MATCH(I$1,'HS Codes'!$D$1:$K$1,0)),"")</f>
        <v>63029390</v>
      </c>
      <c r="J866" s="8">
        <f>_xlfn.IFNA(INDEX('HS Codes'!$D$2:$K3420,MATCH($B866,'HS Codes'!$A$2:$A3420,0),MATCH(J$1,'HS Codes'!$D$1:$K$1,0)),"")</f>
        <v>0</v>
      </c>
      <c r="K866" s="8" t="str">
        <f>_xlfn.IFNA(INDEX('HS Codes'!$D$2:$K3420,MATCH($B866,'HS Codes'!$A$2:$A3420,0),MATCH(K$1,'HS Codes'!$D$1:$K$1,0)),"")</f>
        <v>6302.39.00</v>
      </c>
      <c r="L866" s="8">
        <f>_xlfn.IFNA(INDEX('HS Codes'!$D$2:$K3420,MATCH($B866,'HS Codes'!$A$2:$A3420,0),MATCH(L$1,'HS Codes'!$D$1:$K$1,0)),"")</f>
        <v>63029120</v>
      </c>
      <c r="M866" s="8" t="str">
        <f>_xlfn.IFNA(INDEX('HS Codes'!$C$2:$C3420,MATCH($B866,'HS Codes'!$A$2:$A3420,0)),"")</f>
        <v>Beach Towel - Toilet Linen 100% recycled 220 GSM/83% polyester/17% polyamide includes cotton on the packing pouch drawstring</v>
      </c>
      <c r="N866" s="9"/>
      <c r="O866" s="9"/>
      <c r="P866" s="9"/>
      <c r="Q866" s="9"/>
    </row>
    <row r="867" spans="1:17" ht="15.75" customHeight="1">
      <c r="A867" s="7" t="s">
        <v>1159</v>
      </c>
      <c r="B867" s="7" t="s">
        <v>164</v>
      </c>
      <c r="C867" s="7" t="s">
        <v>278</v>
      </c>
      <c r="D867" s="7" t="s">
        <v>165</v>
      </c>
      <c r="E867" s="7" t="s">
        <v>348</v>
      </c>
      <c r="F867" s="8" t="str">
        <f>_xlfn.IFNA(INDEX('HS Codes'!$D$2:$K3421,MATCH($B867,'HS Codes'!$A$2:$A3421,0),MATCH(F$1,'HS Codes'!$D$1:$K$1,0)),"")</f>
        <v>6302.93.2000</v>
      </c>
      <c r="G867" s="8">
        <f>_xlfn.IFNA(INDEX('HS Codes'!$D$2:$K3421,MATCH($B867,'HS Codes'!$A$2:$A3421,0),MATCH(G$1,'HS Codes'!$D$1:$K$1,0)),"")</f>
        <v>6302600090</v>
      </c>
      <c r="H867" s="8" t="str">
        <f>_xlfn.IFNA(INDEX('HS Codes'!$D$2:$K3421,MATCH($B867,'HS Codes'!$A$2:$A3421,0),MATCH(H$1,'HS Codes'!$D$1:$K$1,0)),"")</f>
        <v>6302.93.00.00</v>
      </c>
      <c r="I867" s="8">
        <f>_xlfn.IFNA(INDEX('HS Codes'!$D$2:$K3421,MATCH($B867,'HS Codes'!$A$2:$A3421,0),MATCH(I$1,'HS Codes'!$D$1:$K$1,0)),"")</f>
        <v>63029390</v>
      </c>
      <c r="J867" s="8">
        <f>_xlfn.IFNA(INDEX('HS Codes'!$D$2:$K3421,MATCH($B867,'HS Codes'!$A$2:$A3421,0),MATCH(J$1,'HS Codes'!$D$1:$K$1,0)),"")</f>
        <v>0</v>
      </c>
      <c r="K867" s="8" t="str">
        <f>_xlfn.IFNA(INDEX('HS Codes'!$D$2:$K3421,MATCH($B867,'HS Codes'!$A$2:$A3421,0),MATCH(K$1,'HS Codes'!$D$1:$K$1,0)),"")</f>
        <v>6302.39.00</v>
      </c>
      <c r="L867" s="8">
        <f>_xlfn.IFNA(INDEX('HS Codes'!$D$2:$K3421,MATCH($B867,'HS Codes'!$A$2:$A3421,0),MATCH(L$1,'HS Codes'!$D$1:$K$1,0)),"")</f>
        <v>63029120</v>
      </c>
      <c r="M867" s="8" t="str">
        <f>_xlfn.IFNA(INDEX('HS Codes'!$C$2:$C3421,MATCH($B867,'HS Codes'!$A$2:$A3421,0)),"")</f>
        <v>Beach Towel - Toilet Linen 100% recycled 220 GSM/83% polyester/17% polyamide includes cotton on the packing pouch drawstring</v>
      </c>
      <c r="N867" s="9"/>
      <c r="O867" s="9"/>
      <c r="P867" s="9"/>
      <c r="Q867" s="9"/>
    </row>
    <row r="868" spans="1:17" ht="15.75" customHeight="1">
      <c r="A868" s="7" t="s">
        <v>1160</v>
      </c>
      <c r="B868" s="7" t="s">
        <v>172</v>
      </c>
      <c r="C868" s="7" t="s">
        <v>278</v>
      </c>
      <c r="D868" s="7" t="s">
        <v>173</v>
      </c>
      <c r="E868" s="7" t="s">
        <v>377</v>
      </c>
      <c r="F868" s="8" t="str">
        <f>_xlfn.IFNA(INDEX('HS Codes'!$D$2:$K3422,MATCH($B868,'HS Codes'!$A$2:$A3422,0),MATCH(F$1,'HS Codes'!$D$1:$K$1,0)),"")</f>
        <v>6302.93.2000</v>
      </c>
      <c r="G868" s="8">
        <f>_xlfn.IFNA(INDEX('HS Codes'!$D$2:$K3422,MATCH($B868,'HS Codes'!$A$2:$A3422,0),MATCH(G$1,'HS Codes'!$D$1:$K$1,0)),"")</f>
        <v>6302600090</v>
      </c>
      <c r="H868" s="8" t="str">
        <f>_xlfn.IFNA(INDEX('HS Codes'!$D$2:$K3422,MATCH($B868,'HS Codes'!$A$2:$A3422,0),MATCH(H$1,'HS Codes'!$D$1:$K$1,0)),"")</f>
        <v>6302.93.00.00</v>
      </c>
      <c r="I868" s="8">
        <f>_xlfn.IFNA(INDEX('HS Codes'!$D$2:$K3422,MATCH($B868,'HS Codes'!$A$2:$A3422,0),MATCH(I$1,'HS Codes'!$D$1:$K$1,0)),"")</f>
        <v>6302939000</v>
      </c>
      <c r="J868" s="8">
        <f>_xlfn.IFNA(INDEX('HS Codes'!$D$2:$K3422,MATCH($B868,'HS Codes'!$A$2:$A3422,0),MATCH(J$1,'HS Codes'!$D$1:$K$1,0)),"")</f>
        <v>0</v>
      </c>
      <c r="K868" s="8" t="str">
        <f>_xlfn.IFNA(INDEX('HS Codes'!$D$2:$K3422,MATCH($B868,'HS Codes'!$A$2:$A3422,0),MATCH(K$1,'HS Codes'!$D$1:$K$1,0)),"")</f>
        <v>6302.39.00</v>
      </c>
      <c r="L868" s="8">
        <f>_xlfn.IFNA(INDEX('HS Codes'!$D$2:$K3422,MATCH($B868,'HS Codes'!$A$2:$A3422,0),MATCH(L$1,'HS Codes'!$D$1:$K$1,0)),"")</f>
        <v>63029120</v>
      </c>
      <c r="M868" s="8" t="str">
        <f>_xlfn.IFNA(INDEX('HS Codes'!$C$2:$C3422,MATCH($B868,'HS Codes'!$A$2:$A3422,0)),"")</f>
        <v>Bath Towel - Toilet Linen 100% recycled 340 GSM/83% polyester/17% polyamide (no cotton)</v>
      </c>
      <c r="N868" s="9"/>
      <c r="O868" s="9"/>
      <c r="P868" s="9"/>
      <c r="Q868" s="9"/>
    </row>
    <row r="869" spans="1:17" ht="15.75" customHeight="1">
      <c r="A869" s="7" t="s">
        <v>1161</v>
      </c>
      <c r="B869" s="7" t="s">
        <v>172</v>
      </c>
      <c r="C869" s="7" t="s">
        <v>278</v>
      </c>
      <c r="D869" s="7" t="s">
        <v>173</v>
      </c>
      <c r="E869" s="7" t="s">
        <v>377</v>
      </c>
      <c r="F869" s="8" t="str">
        <f>_xlfn.IFNA(INDEX('HS Codes'!$D$2:$K3423,MATCH($B869,'HS Codes'!$A$2:$A3423,0),MATCH(F$1,'HS Codes'!$D$1:$K$1,0)),"")</f>
        <v>6302.93.2000</v>
      </c>
      <c r="G869" s="8">
        <f>_xlfn.IFNA(INDEX('HS Codes'!$D$2:$K3423,MATCH($B869,'HS Codes'!$A$2:$A3423,0),MATCH(G$1,'HS Codes'!$D$1:$K$1,0)),"")</f>
        <v>6302600090</v>
      </c>
      <c r="H869" s="8" t="str">
        <f>_xlfn.IFNA(INDEX('HS Codes'!$D$2:$K3423,MATCH($B869,'HS Codes'!$A$2:$A3423,0),MATCH(H$1,'HS Codes'!$D$1:$K$1,0)),"")</f>
        <v>6302.93.00.00</v>
      </c>
      <c r="I869" s="8">
        <f>_xlfn.IFNA(INDEX('HS Codes'!$D$2:$K3423,MATCH($B869,'HS Codes'!$A$2:$A3423,0),MATCH(I$1,'HS Codes'!$D$1:$K$1,0)),"")</f>
        <v>6302939000</v>
      </c>
      <c r="J869" s="8">
        <f>_xlfn.IFNA(INDEX('HS Codes'!$D$2:$K3423,MATCH($B869,'HS Codes'!$A$2:$A3423,0),MATCH(J$1,'HS Codes'!$D$1:$K$1,0)),"")</f>
        <v>0</v>
      </c>
      <c r="K869" s="8" t="str">
        <f>_xlfn.IFNA(INDEX('HS Codes'!$D$2:$K3423,MATCH($B869,'HS Codes'!$A$2:$A3423,0),MATCH(K$1,'HS Codes'!$D$1:$K$1,0)),"")</f>
        <v>6302.39.00</v>
      </c>
      <c r="L869" s="8">
        <f>_xlfn.IFNA(INDEX('HS Codes'!$D$2:$K3423,MATCH($B869,'HS Codes'!$A$2:$A3423,0),MATCH(L$1,'HS Codes'!$D$1:$K$1,0)),"")</f>
        <v>63029120</v>
      </c>
      <c r="M869" s="8" t="str">
        <f>_xlfn.IFNA(INDEX('HS Codes'!$C$2:$C3423,MATCH($B869,'HS Codes'!$A$2:$A3423,0)),"")</f>
        <v>Bath Towel - Toilet Linen 100% recycled 340 GSM/83% polyester/17% polyamide (no cotton)</v>
      </c>
      <c r="N869" s="9"/>
      <c r="O869" s="9"/>
      <c r="P869" s="9"/>
      <c r="Q869" s="9"/>
    </row>
    <row r="870" spans="1:17" ht="15.75" customHeight="1">
      <c r="A870" s="7" t="s">
        <v>1162</v>
      </c>
      <c r="B870" s="7" t="s">
        <v>172</v>
      </c>
      <c r="C870" s="7" t="s">
        <v>278</v>
      </c>
      <c r="D870" s="7" t="s">
        <v>173</v>
      </c>
      <c r="E870" s="7" t="s">
        <v>377</v>
      </c>
      <c r="F870" s="8" t="str">
        <f>_xlfn.IFNA(INDEX('HS Codes'!$D$2:$K3424,MATCH($B870,'HS Codes'!$A$2:$A3424,0),MATCH(F$1,'HS Codes'!$D$1:$K$1,0)),"")</f>
        <v>6302.93.2000</v>
      </c>
      <c r="G870" s="8">
        <f>_xlfn.IFNA(INDEX('HS Codes'!$D$2:$K3424,MATCH($B870,'HS Codes'!$A$2:$A3424,0),MATCH(G$1,'HS Codes'!$D$1:$K$1,0)),"")</f>
        <v>6302600090</v>
      </c>
      <c r="H870" s="8" t="str">
        <f>_xlfn.IFNA(INDEX('HS Codes'!$D$2:$K3424,MATCH($B870,'HS Codes'!$A$2:$A3424,0),MATCH(H$1,'HS Codes'!$D$1:$K$1,0)),"")</f>
        <v>6302.93.00.00</v>
      </c>
      <c r="I870" s="8">
        <f>_xlfn.IFNA(INDEX('HS Codes'!$D$2:$K3424,MATCH($B870,'HS Codes'!$A$2:$A3424,0),MATCH(I$1,'HS Codes'!$D$1:$K$1,0)),"")</f>
        <v>6302939000</v>
      </c>
      <c r="J870" s="8">
        <f>_xlfn.IFNA(INDEX('HS Codes'!$D$2:$K3424,MATCH($B870,'HS Codes'!$A$2:$A3424,0),MATCH(J$1,'HS Codes'!$D$1:$K$1,0)),"")</f>
        <v>0</v>
      </c>
      <c r="K870" s="8" t="str">
        <f>_xlfn.IFNA(INDEX('HS Codes'!$D$2:$K3424,MATCH($B870,'HS Codes'!$A$2:$A3424,0),MATCH(K$1,'HS Codes'!$D$1:$K$1,0)),"")</f>
        <v>6302.39.00</v>
      </c>
      <c r="L870" s="8">
        <f>_xlfn.IFNA(INDEX('HS Codes'!$D$2:$K3424,MATCH($B870,'HS Codes'!$A$2:$A3424,0),MATCH(L$1,'HS Codes'!$D$1:$K$1,0)),"")</f>
        <v>63029120</v>
      </c>
      <c r="M870" s="8" t="str">
        <f>_xlfn.IFNA(INDEX('HS Codes'!$C$2:$C3424,MATCH($B870,'HS Codes'!$A$2:$A3424,0)),"")</f>
        <v>Bath Towel - Toilet Linen 100% recycled 340 GSM/83% polyester/17% polyamide (no cotton)</v>
      </c>
      <c r="N870" s="9"/>
      <c r="O870" s="9"/>
      <c r="P870" s="9"/>
      <c r="Q870" s="9"/>
    </row>
    <row r="871" spans="1:17" ht="15.75" customHeight="1">
      <c r="A871" s="7" t="s">
        <v>1163</v>
      </c>
      <c r="B871" s="7" t="s">
        <v>172</v>
      </c>
      <c r="C871" s="7" t="s">
        <v>278</v>
      </c>
      <c r="D871" s="7" t="s">
        <v>173</v>
      </c>
      <c r="E871" s="7" t="s">
        <v>377</v>
      </c>
      <c r="F871" s="8" t="str">
        <f>_xlfn.IFNA(INDEX('HS Codes'!$D$2:$K3425,MATCH($B871,'HS Codes'!$A$2:$A3425,0),MATCH(F$1,'HS Codes'!$D$1:$K$1,0)),"")</f>
        <v>6302.93.2000</v>
      </c>
      <c r="G871" s="8">
        <f>_xlfn.IFNA(INDEX('HS Codes'!$D$2:$K3425,MATCH($B871,'HS Codes'!$A$2:$A3425,0),MATCH(G$1,'HS Codes'!$D$1:$K$1,0)),"")</f>
        <v>6302600090</v>
      </c>
      <c r="H871" s="8" t="str">
        <f>_xlfn.IFNA(INDEX('HS Codes'!$D$2:$K3425,MATCH($B871,'HS Codes'!$A$2:$A3425,0),MATCH(H$1,'HS Codes'!$D$1:$K$1,0)),"")</f>
        <v>6302.93.00.00</v>
      </c>
      <c r="I871" s="8">
        <f>_xlfn.IFNA(INDEX('HS Codes'!$D$2:$K3425,MATCH($B871,'HS Codes'!$A$2:$A3425,0),MATCH(I$1,'HS Codes'!$D$1:$K$1,0)),"")</f>
        <v>6302939000</v>
      </c>
      <c r="J871" s="8">
        <f>_xlfn.IFNA(INDEX('HS Codes'!$D$2:$K3425,MATCH($B871,'HS Codes'!$A$2:$A3425,0),MATCH(J$1,'HS Codes'!$D$1:$K$1,0)),"")</f>
        <v>0</v>
      </c>
      <c r="K871" s="8" t="str">
        <f>_xlfn.IFNA(INDEX('HS Codes'!$D$2:$K3425,MATCH($B871,'HS Codes'!$A$2:$A3425,0),MATCH(K$1,'HS Codes'!$D$1:$K$1,0)),"")</f>
        <v>6302.39.00</v>
      </c>
      <c r="L871" s="8">
        <f>_xlfn.IFNA(INDEX('HS Codes'!$D$2:$K3425,MATCH($B871,'HS Codes'!$A$2:$A3425,0),MATCH(L$1,'HS Codes'!$D$1:$K$1,0)),"")</f>
        <v>63029120</v>
      </c>
      <c r="M871" s="8" t="str">
        <f>_xlfn.IFNA(INDEX('HS Codes'!$C$2:$C3425,MATCH($B871,'HS Codes'!$A$2:$A3425,0)),"")</f>
        <v>Bath Towel - Toilet Linen 100% recycled 340 GSM/83% polyester/17% polyamide (no cotton)</v>
      </c>
      <c r="N871" s="9"/>
      <c r="O871" s="9"/>
      <c r="P871" s="9"/>
      <c r="Q871" s="9"/>
    </row>
    <row r="872" spans="1:17" ht="15.75" customHeight="1">
      <c r="A872" s="7" t="s">
        <v>1164</v>
      </c>
      <c r="B872" s="7" t="s">
        <v>172</v>
      </c>
      <c r="C872" s="7" t="s">
        <v>278</v>
      </c>
      <c r="D872" s="7" t="s">
        <v>173</v>
      </c>
      <c r="E872" s="7" t="s">
        <v>377</v>
      </c>
      <c r="F872" s="8" t="str">
        <f>_xlfn.IFNA(INDEX('HS Codes'!$D$2:$K3426,MATCH($B872,'HS Codes'!$A$2:$A3426,0),MATCH(F$1,'HS Codes'!$D$1:$K$1,0)),"")</f>
        <v>6302.93.2000</v>
      </c>
      <c r="G872" s="8">
        <f>_xlfn.IFNA(INDEX('HS Codes'!$D$2:$K3426,MATCH($B872,'HS Codes'!$A$2:$A3426,0),MATCH(G$1,'HS Codes'!$D$1:$K$1,0)),"")</f>
        <v>6302600090</v>
      </c>
      <c r="H872" s="8" t="str">
        <f>_xlfn.IFNA(INDEX('HS Codes'!$D$2:$K3426,MATCH($B872,'HS Codes'!$A$2:$A3426,0),MATCH(H$1,'HS Codes'!$D$1:$K$1,0)),"")</f>
        <v>6302.93.00.00</v>
      </c>
      <c r="I872" s="8">
        <f>_xlfn.IFNA(INDEX('HS Codes'!$D$2:$K3426,MATCH($B872,'HS Codes'!$A$2:$A3426,0),MATCH(I$1,'HS Codes'!$D$1:$K$1,0)),"")</f>
        <v>6302939000</v>
      </c>
      <c r="J872" s="8">
        <f>_xlfn.IFNA(INDEX('HS Codes'!$D$2:$K3426,MATCH($B872,'HS Codes'!$A$2:$A3426,0),MATCH(J$1,'HS Codes'!$D$1:$K$1,0)),"")</f>
        <v>0</v>
      </c>
      <c r="K872" s="8" t="str">
        <f>_xlfn.IFNA(INDEX('HS Codes'!$D$2:$K3426,MATCH($B872,'HS Codes'!$A$2:$A3426,0),MATCH(K$1,'HS Codes'!$D$1:$K$1,0)),"")</f>
        <v>6302.39.00</v>
      </c>
      <c r="L872" s="8">
        <f>_xlfn.IFNA(INDEX('HS Codes'!$D$2:$K3426,MATCH($B872,'HS Codes'!$A$2:$A3426,0),MATCH(L$1,'HS Codes'!$D$1:$K$1,0)),"")</f>
        <v>63029120</v>
      </c>
      <c r="M872" s="8" t="str">
        <f>_xlfn.IFNA(INDEX('HS Codes'!$C$2:$C3426,MATCH($B872,'HS Codes'!$A$2:$A3426,0)),"")</f>
        <v>Bath Towel - Toilet Linen 100% recycled 340 GSM/83% polyester/17% polyamide (no cotton)</v>
      </c>
      <c r="N872" s="9"/>
      <c r="O872" s="9"/>
      <c r="P872" s="9"/>
      <c r="Q872" s="9"/>
    </row>
    <row r="873" spans="1:17" ht="15.75" customHeight="1">
      <c r="A873" s="7" t="s">
        <v>1165</v>
      </c>
      <c r="B873" s="7" t="s">
        <v>172</v>
      </c>
      <c r="C873" s="7" t="s">
        <v>278</v>
      </c>
      <c r="D873" s="7" t="s">
        <v>173</v>
      </c>
      <c r="E873" s="7" t="s">
        <v>377</v>
      </c>
      <c r="F873" s="8" t="str">
        <f>_xlfn.IFNA(INDEX('HS Codes'!$D$2:$K3427,MATCH($B873,'HS Codes'!$A$2:$A3427,0),MATCH(F$1,'HS Codes'!$D$1:$K$1,0)),"")</f>
        <v>6302.93.2000</v>
      </c>
      <c r="G873" s="8">
        <f>_xlfn.IFNA(INDEX('HS Codes'!$D$2:$K3427,MATCH($B873,'HS Codes'!$A$2:$A3427,0),MATCH(G$1,'HS Codes'!$D$1:$K$1,0)),"")</f>
        <v>6302600090</v>
      </c>
      <c r="H873" s="8" t="str">
        <f>_xlfn.IFNA(INDEX('HS Codes'!$D$2:$K3427,MATCH($B873,'HS Codes'!$A$2:$A3427,0),MATCH(H$1,'HS Codes'!$D$1:$K$1,0)),"")</f>
        <v>6302.93.00.00</v>
      </c>
      <c r="I873" s="8">
        <f>_xlfn.IFNA(INDEX('HS Codes'!$D$2:$K3427,MATCH($B873,'HS Codes'!$A$2:$A3427,0),MATCH(I$1,'HS Codes'!$D$1:$K$1,0)),"")</f>
        <v>6302939000</v>
      </c>
      <c r="J873" s="8">
        <f>_xlfn.IFNA(INDEX('HS Codes'!$D$2:$K3427,MATCH($B873,'HS Codes'!$A$2:$A3427,0),MATCH(J$1,'HS Codes'!$D$1:$K$1,0)),"")</f>
        <v>0</v>
      </c>
      <c r="K873" s="8" t="str">
        <f>_xlfn.IFNA(INDEX('HS Codes'!$D$2:$K3427,MATCH($B873,'HS Codes'!$A$2:$A3427,0),MATCH(K$1,'HS Codes'!$D$1:$K$1,0)),"")</f>
        <v>6302.39.00</v>
      </c>
      <c r="L873" s="8">
        <f>_xlfn.IFNA(INDEX('HS Codes'!$D$2:$K3427,MATCH($B873,'HS Codes'!$A$2:$A3427,0),MATCH(L$1,'HS Codes'!$D$1:$K$1,0)),"")</f>
        <v>63029120</v>
      </c>
      <c r="M873" s="8" t="str">
        <f>_xlfn.IFNA(INDEX('HS Codes'!$C$2:$C3427,MATCH($B873,'HS Codes'!$A$2:$A3427,0)),"")</f>
        <v>Bath Towel - Toilet Linen 100% recycled 340 GSM/83% polyester/17% polyamide (no cotton)</v>
      </c>
      <c r="N873" s="9"/>
      <c r="O873" s="9"/>
      <c r="P873" s="9"/>
      <c r="Q873" s="9"/>
    </row>
    <row r="874" spans="1:17" ht="15.75" customHeight="1">
      <c r="A874" s="7" t="s">
        <v>1166</v>
      </c>
      <c r="B874" s="7" t="s">
        <v>172</v>
      </c>
      <c r="C874" s="7" t="s">
        <v>278</v>
      </c>
      <c r="D874" s="7" t="s">
        <v>173</v>
      </c>
      <c r="E874" s="7" t="s">
        <v>377</v>
      </c>
      <c r="F874" s="8" t="str">
        <f>_xlfn.IFNA(INDEX('HS Codes'!$D$2:$K3428,MATCH($B874,'HS Codes'!$A$2:$A3428,0),MATCH(F$1,'HS Codes'!$D$1:$K$1,0)),"")</f>
        <v>6302.93.2000</v>
      </c>
      <c r="G874" s="8">
        <f>_xlfn.IFNA(INDEX('HS Codes'!$D$2:$K3428,MATCH($B874,'HS Codes'!$A$2:$A3428,0),MATCH(G$1,'HS Codes'!$D$1:$K$1,0)),"")</f>
        <v>6302600090</v>
      </c>
      <c r="H874" s="8" t="str">
        <f>_xlfn.IFNA(INDEX('HS Codes'!$D$2:$K3428,MATCH($B874,'HS Codes'!$A$2:$A3428,0),MATCH(H$1,'HS Codes'!$D$1:$K$1,0)),"")</f>
        <v>6302.93.00.00</v>
      </c>
      <c r="I874" s="8">
        <f>_xlfn.IFNA(INDEX('HS Codes'!$D$2:$K3428,MATCH($B874,'HS Codes'!$A$2:$A3428,0),MATCH(I$1,'HS Codes'!$D$1:$K$1,0)),"")</f>
        <v>6302939000</v>
      </c>
      <c r="J874" s="8">
        <f>_xlfn.IFNA(INDEX('HS Codes'!$D$2:$K3428,MATCH($B874,'HS Codes'!$A$2:$A3428,0),MATCH(J$1,'HS Codes'!$D$1:$K$1,0)),"")</f>
        <v>0</v>
      </c>
      <c r="K874" s="8" t="str">
        <f>_xlfn.IFNA(INDEX('HS Codes'!$D$2:$K3428,MATCH($B874,'HS Codes'!$A$2:$A3428,0),MATCH(K$1,'HS Codes'!$D$1:$K$1,0)),"")</f>
        <v>6302.39.00</v>
      </c>
      <c r="L874" s="8">
        <f>_xlfn.IFNA(INDEX('HS Codes'!$D$2:$K3428,MATCH($B874,'HS Codes'!$A$2:$A3428,0),MATCH(L$1,'HS Codes'!$D$1:$K$1,0)),"")</f>
        <v>63029120</v>
      </c>
      <c r="M874" s="8" t="str">
        <f>_xlfn.IFNA(INDEX('HS Codes'!$C$2:$C3428,MATCH($B874,'HS Codes'!$A$2:$A3428,0)),"")</f>
        <v>Bath Towel - Toilet Linen 100% recycled 340 GSM/83% polyester/17% polyamide (no cotton)</v>
      </c>
      <c r="N874" s="9"/>
      <c r="O874" s="9"/>
      <c r="P874" s="9"/>
      <c r="Q874" s="9"/>
    </row>
    <row r="875" spans="1:17" ht="15.75" customHeight="1">
      <c r="A875" s="7" t="s">
        <v>1167</v>
      </c>
      <c r="B875" s="7" t="s">
        <v>172</v>
      </c>
      <c r="C875" s="7" t="s">
        <v>278</v>
      </c>
      <c r="D875" s="7" t="s">
        <v>173</v>
      </c>
      <c r="E875" s="7" t="s">
        <v>377</v>
      </c>
      <c r="F875" s="8" t="str">
        <f>_xlfn.IFNA(INDEX('HS Codes'!$D$2:$K3429,MATCH($B875,'HS Codes'!$A$2:$A3429,0),MATCH(F$1,'HS Codes'!$D$1:$K$1,0)),"")</f>
        <v>6302.93.2000</v>
      </c>
      <c r="G875" s="8">
        <f>_xlfn.IFNA(INDEX('HS Codes'!$D$2:$K3429,MATCH($B875,'HS Codes'!$A$2:$A3429,0),MATCH(G$1,'HS Codes'!$D$1:$K$1,0)),"")</f>
        <v>6302600090</v>
      </c>
      <c r="H875" s="8" t="str">
        <f>_xlfn.IFNA(INDEX('HS Codes'!$D$2:$K3429,MATCH($B875,'HS Codes'!$A$2:$A3429,0),MATCH(H$1,'HS Codes'!$D$1:$K$1,0)),"")</f>
        <v>6302.93.00.00</v>
      </c>
      <c r="I875" s="8">
        <f>_xlfn.IFNA(INDEX('HS Codes'!$D$2:$K3429,MATCH($B875,'HS Codes'!$A$2:$A3429,0),MATCH(I$1,'HS Codes'!$D$1:$K$1,0)),"")</f>
        <v>6302939000</v>
      </c>
      <c r="J875" s="8">
        <f>_xlfn.IFNA(INDEX('HS Codes'!$D$2:$K3429,MATCH($B875,'HS Codes'!$A$2:$A3429,0),MATCH(J$1,'HS Codes'!$D$1:$K$1,0)),"")</f>
        <v>0</v>
      </c>
      <c r="K875" s="8" t="str">
        <f>_xlfn.IFNA(INDEX('HS Codes'!$D$2:$K3429,MATCH($B875,'HS Codes'!$A$2:$A3429,0),MATCH(K$1,'HS Codes'!$D$1:$K$1,0)),"")</f>
        <v>6302.39.00</v>
      </c>
      <c r="L875" s="8">
        <f>_xlfn.IFNA(INDEX('HS Codes'!$D$2:$K3429,MATCH($B875,'HS Codes'!$A$2:$A3429,0),MATCH(L$1,'HS Codes'!$D$1:$K$1,0)),"")</f>
        <v>63029120</v>
      </c>
      <c r="M875" s="8" t="str">
        <f>_xlfn.IFNA(INDEX('HS Codes'!$C$2:$C3429,MATCH($B875,'HS Codes'!$A$2:$A3429,0)),"")</f>
        <v>Bath Towel - Toilet Linen 100% recycled 340 GSM/83% polyester/17% polyamide (no cotton)</v>
      </c>
      <c r="N875" s="9"/>
      <c r="O875" s="9"/>
      <c r="P875" s="9"/>
      <c r="Q875" s="9"/>
    </row>
    <row r="876" spans="1:17" ht="15.75" customHeight="1">
      <c r="A876" s="7" t="s">
        <v>1168</v>
      </c>
      <c r="B876" s="7" t="s">
        <v>172</v>
      </c>
      <c r="C876" s="7" t="s">
        <v>278</v>
      </c>
      <c r="D876" s="7" t="s">
        <v>173</v>
      </c>
      <c r="E876" s="7" t="s">
        <v>377</v>
      </c>
      <c r="F876" s="8" t="str">
        <f>_xlfn.IFNA(INDEX('HS Codes'!$D$2:$K3430,MATCH($B876,'HS Codes'!$A$2:$A3430,0),MATCH(F$1,'HS Codes'!$D$1:$K$1,0)),"")</f>
        <v>6302.93.2000</v>
      </c>
      <c r="G876" s="8">
        <f>_xlfn.IFNA(INDEX('HS Codes'!$D$2:$K3430,MATCH($B876,'HS Codes'!$A$2:$A3430,0),MATCH(G$1,'HS Codes'!$D$1:$K$1,0)),"")</f>
        <v>6302600090</v>
      </c>
      <c r="H876" s="8" t="str">
        <f>_xlfn.IFNA(INDEX('HS Codes'!$D$2:$K3430,MATCH($B876,'HS Codes'!$A$2:$A3430,0),MATCH(H$1,'HS Codes'!$D$1:$K$1,0)),"")</f>
        <v>6302.93.00.00</v>
      </c>
      <c r="I876" s="8">
        <f>_xlfn.IFNA(INDEX('HS Codes'!$D$2:$K3430,MATCH($B876,'HS Codes'!$A$2:$A3430,0),MATCH(I$1,'HS Codes'!$D$1:$K$1,0)),"")</f>
        <v>6302939000</v>
      </c>
      <c r="J876" s="8">
        <f>_xlfn.IFNA(INDEX('HS Codes'!$D$2:$K3430,MATCH($B876,'HS Codes'!$A$2:$A3430,0),MATCH(J$1,'HS Codes'!$D$1:$K$1,0)),"")</f>
        <v>0</v>
      </c>
      <c r="K876" s="8" t="str">
        <f>_xlfn.IFNA(INDEX('HS Codes'!$D$2:$K3430,MATCH($B876,'HS Codes'!$A$2:$A3430,0),MATCH(K$1,'HS Codes'!$D$1:$K$1,0)),"")</f>
        <v>6302.39.00</v>
      </c>
      <c r="L876" s="8">
        <f>_xlfn.IFNA(INDEX('HS Codes'!$D$2:$K3430,MATCH($B876,'HS Codes'!$A$2:$A3430,0),MATCH(L$1,'HS Codes'!$D$1:$K$1,0)),"")</f>
        <v>63029120</v>
      </c>
      <c r="M876" s="8" t="str">
        <f>_xlfn.IFNA(INDEX('HS Codes'!$C$2:$C3430,MATCH($B876,'HS Codes'!$A$2:$A3430,0)),"")</f>
        <v>Bath Towel - Toilet Linen 100% recycled 340 GSM/83% polyester/17% polyamide (no cotton)</v>
      </c>
      <c r="N876" s="9"/>
      <c r="O876" s="9"/>
      <c r="P876" s="9"/>
      <c r="Q876" s="9"/>
    </row>
    <row r="877" spans="1:17" ht="15.75" customHeight="1">
      <c r="A877" s="7" t="s">
        <v>1169</v>
      </c>
      <c r="B877" s="7" t="s">
        <v>172</v>
      </c>
      <c r="C877" s="7" t="s">
        <v>278</v>
      </c>
      <c r="D877" s="7" t="s">
        <v>173</v>
      </c>
      <c r="E877" s="7" t="s">
        <v>377</v>
      </c>
      <c r="F877" s="8" t="str">
        <f>_xlfn.IFNA(INDEX('HS Codes'!$D$2:$K3431,MATCH($B877,'HS Codes'!$A$2:$A3431,0),MATCH(F$1,'HS Codes'!$D$1:$K$1,0)),"")</f>
        <v>6302.93.2000</v>
      </c>
      <c r="G877" s="8">
        <f>_xlfn.IFNA(INDEX('HS Codes'!$D$2:$K3431,MATCH($B877,'HS Codes'!$A$2:$A3431,0),MATCH(G$1,'HS Codes'!$D$1:$K$1,0)),"")</f>
        <v>6302600090</v>
      </c>
      <c r="H877" s="8" t="str">
        <f>_xlfn.IFNA(INDEX('HS Codes'!$D$2:$K3431,MATCH($B877,'HS Codes'!$A$2:$A3431,0),MATCH(H$1,'HS Codes'!$D$1:$K$1,0)),"")</f>
        <v>6302.93.00.00</v>
      </c>
      <c r="I877" s="8">
        <f>_xlfn.IFNA(INDEX('HS Codes'!$D$2:$K3431,MATCH($B877,'HS Codes'!$A$2:$A3431,0),MATCH(I$1,'HS Codes'!$D$1:$K$1,0)),"")</f>
        <v>6302939000</v>
      </c>
      <c r="J877" s="8">
        <f>_xlfn.IFNA(INDEX('HS Codes'!$D$2:$K3431,MATCH($B877,'HS Codes'!$A$2:$A3431,0),MATCH(J$1,'HS Codes'!$D$1:$K$1,0)),"")</f>
        <v>0</v>
      </c>
      <c r="K877" s="8" t="str">
        <f>_xlfn.IFNA(INDEX('HS Codes'!$D$2:$K3431,MATCH($B877,'HS Codes'!$A$2:$A3431,0),MATCH(K$1,'HS Codes'!$D$1:$K$1,0)),"")</f>
        <v>6302.39.00</v>
      </c>
      <c r="L877" s="8">
        <f>_xlfn.IFNA(INDEX('HS Codes'!$D$2:$K3431,MATCH($B877,'HS Codes'!$A$2:$A3431,0),MATCH(L$1,'HS Codes'!$D$1:$K$1,0)),"")</f>
        <v>63029120</v>
      </c>
      <c r="M877" s="8" t="str">
        <f>_xlfn.IFNA(INDEX('HS Codes'!$C$2:$C3431,MATCH($B877,'HS Codes'!$A$2:$A3431,0)),"")</f>
        <v>Bath Towel - Toilet Linen 100% recycled 340 GSM/83% polyester/17% polyamide (no cotton)</v>
      </c>
      <c r="N877" s="9"/>
      <c r="O877" s="9"/>
      <c r="P877" s="9"/>
      <c r="Q877" s="9"/>
    </row>
    <row r="878" spans="1:17" ht="15.75" customHeight="1">
      <c r="A878" s="7" t="s">
        <v>1170</v>
      </c>
      <c r="B878" s="7" t="s">
        <v>172</v>
      </c>
      <c r="C878" s="7" t="s">
        <v>278</v>
      </c>
      <c r="D878" s="7" t="s">
        <v>173</v>
      </c>
      <c r="E878" s="7" t="s">
        <v>377</v>
      </c>
      <c r="F878" s="8" t="str">
        <f>_xlfn.IFNA(INDEX('HS Codes'!$D$2:$K3432,MATCH($B878,'HS Codes'!$A$2:$A3432,0),MATCH(F$1,'HS Codes'!$D$1:$K$1,0)),"")</f>
        <v>6302.93.2000</v>
      </c>
      <c r="G878" s="8">
        <f>_xlfn.IFNA(INDEX('HS Codes'!$D$2:$K3432,MATCH($B878,'HS Codes'!$A$2:$A3432,0),MATCH(G$1,'HS Codes'!$D$1:$K$1,0)),"")</f>
        <v>6302600090</v>
      </c>
      <c r="H878" s="8" t="str">
        <f>_xlfn.IFNA(INDEX('HS Codes'!$D$2:$K3432,MATCH($B878,'HS Codes'!$A$2:$A3432,0),MATCH(H$1,'HS Codes'!$D$1:$K$1,0)),"")</f>
        <v>6302.93.00.00</v>
      </c>
      <c r="I878" s="8">
        <f>_xlfn.IFNA(INDEX('HS Codes'!$D$2:$K3432,MATCH($B878,'HS Codes'!$A$2:$A3432,0),MATCH(I$1,'HS Codes'!$D$1:$K$1,0)),"")</f>
        <v>6302939000</v>
      </c>
      <c r="J878" s="8">
        <f>_xlfn.IFNA(INDEX('HS Codes'!$D$2:$K3432,MATCH($B878,'HS Codes'!$A$2:$A3432,0),MATCH(J$1,'HS Codes'!$D$1:$K$1,0)),"")</f>
        <v>0</v>
      </c>
      <c r="K878" s="8" t="str">
        <f>_xlfn.IFNA(INDEX('HS Codes'!$D$2:$K3432,MATCH($B878,'HS Codes'!$A$2:$A3432,0),MATCH(K$1,'HS Codes'!$D$1:$K$1,0)),"")</f>
        <v>6302.39.00</v>
      </c>
      <c r="L878" s="8">
        <f>_xlfn.IFNA(INDEX('HS Codes'!$D$2:$K3432,MATCH($B878,'HS Codes'!$A$2:$A3432,0),MATCH(L$1,'HS Codes'!$D$1:$K$1,0)),"")</f>
        <v>63029120</v>
      </c>
      <c r="M878" s="8" t="str">
        <f>_xlfn.IFNA(INDEX('HS Codes'!$C$2:$C3432,MATCH($B878,'HS Codes'!$A$2:$A3432,0)),"")</f>
        <v>Bath Towel - Toilet Linen 100% recycled 340 GSM/83% polyester/17% polyamide (no cotton)</v>
      </c>
      <c r="N878" s="9"/>
      <c r="O878" s="9"/>
      <c r="P878" s="9"/>
      <c r="Q878" s="9"/>
    </row>
    <row r="879" spans="1:17" ht="15.75" customHeight="1">
      <c r="A879" s="7" t="s">
        <v>1171</v>
      </c>
      <c r="B879" s="7" t="s">
        <v>172</v>
      </c>
      <c r="C879" s="7" t="s">
        <v>278</v>
      </c>
      <c r="D879" s="7" t="s">
        <v>173</v>
      </c>
      <c r="E879" s="7" t="s">
        <v>377</v>
      </c>
      <c r="F879" s="8" t="str">
        <f>_xlfn.IFNA(INDEX('HS Codes'!$D$2:$K3433,MATCH($B879,'HS Codes'!$A$2:$A3433,0),MATCH(F$1,'HS Codes'!$D$1:$K$1,0)),"")</f>
        <v>6302.93.2000</v>
      </c>
      <c r="G879" s="8">
        <f>_xlfn.IFNA(INDEX('HS Codes'!$D$2:$K3433,MATCH($B879,'HS Codes'!$A$2:$A3433,0),MATCH(G$1,'HS Codes'!$D$1:$K$1,0)),"")</f>
        <v>6302600090</v>
      </c>
      <c r="H879" s="8" t="str">
        <f>_xlfn.IFNA(INDEX('HS Codes'!$D$2:$K3433,MATCH($B879,'HS Codes'!$A$2:$A3433,0),MATCH(H$1,'HS Codes'!$D$1:$K$1,0)),"")</f>
        <v>6302.93.00.00</v>
      </c>
      <c r="I879" s="8">
        <f>_xlfn.IFNA(INDEX('HS Codes'!$D$2:$K3433,MATCH($B879,'HS Codes'!$A$2:$A3433,0),MATCH(I$1,'HS Codes'!$D$1:$K$1,0)),"")</f>
        <v>6302939000</v>
      </c>
      <c r="J879" s="8">
        <f>_xlfn.IFNA(INDEX('HS Codes'!$D$2:$K3433,MATCH($B879,'HS Codes'!$A$2:$A3433,0),MATCH(J$1,'HS Codes'!$D$1:$K$1,0)),"")</f>
        <v>0</v>
      </c>
      <c r="K879" s="8" t="str">
        <f>_xlfn.IFNA(INDEX('HS Codes'!$D$2:$K3433,MATCH($B879,'HS Codes'!$A$2:$A3433,0),MATCH(K$1,'HS Codes'!$D$1:$K$1,0)),"")</f>
        <v>6302.39.00</v>
      </c>
      <c r="L879" s="8">
        <f>_xlfn.IFNA(INDEX('HS Codes'!$D$2:$K3433,MATCH($B879,'HS Codes'!$A$2:$A3433,0),MATCH(L$1,'HS Codes'!$D$1:$K$1,0)),"")</f>
        <v>63029120</v>
      </c>
      <c r="M879" s="8" t="str">
        <f>_xlfn.IFNA(INDEX('HS Codes'!$C$2:$C3433,MATCH($B879,'HS Codes'!$A$2:$A3433,0)),"")</f>
        <v>Bath Towel - Toilet Linen 100% recycled 340 GSM/83% polyester/17% polyamide (no cotton)</v>
      </c>
      <c r="N879" s="9"/>
      <c r="O879" s="9"/>
      <c r="P879" s="9"/>
      <c r="Q879" s="9"/>
    </row>
    <row r="880" spans="1:17" ht="15.75" customHeight="1">
      <c r="A880" s="7" t="s">
        <v>1172</v>
      </c>
      <c r="B880" s="7" t="s">
        <v>172</v>
      </c>
      <c r="C880" s="7" t="s">
        <v>278</v>
      </c>
      <c r="D880" s="7" t="s">
        <v>173</v>
      </c>
      <c r="E880" s="7" t="s">
        <v>377</v>
      </c>
      <c r="F880" s="8" t="str">
        <f>_xlfn.IFNA(INDEX('HS Codes'!$D$2:$K3434,MATCH($B880,'HS Codes'!$A$2:$A3434,0),MATCH(F$1,'HS Codes'!$D$1:$K$1,0)),"")</f>
        <v>6302.93.2000</v>
      </c>
      <c r="G880" s="8">
        <f>_xlfn.IFNA(INDEX('HS Codes'!$D$2:$K3434,MATCH($B880,'HS Codes'!$A$2:$A3434,0),MATCH(G$1,'HS Codes'!$D$1:$K$1,0)),"")</f>
        <v>6302600090</v>
      </c>
      <c r="H880" s="8" t="str">
        <f>_xlfn.IFNA(INDEX('HS Codes'!$D$2:$K3434,MATCH($B880,'HS Codes'!$A$2:$A3434,0),MATCH(H$1,'HS Codes'!$D$1:$K$1,0)),"")</f>
        <v>6302.93.00.00</v>
      </c>
      <c r="I880" s="8">
        <f>_xlfn.IFNA(INDEX('HS Codes'!$D$2:$K3434,MATCH($B880,'HS Codes'!$A$2:$A3434,0),MATCH(I$1,'HS Codes'!$D$1:$K$1,0)),"")</f>
        <v>6302939000</v>
      </c>
      <c r="J880" s="8">
        <f>_xlfn.IFNA(INDEX('HS Codes'!$D$2:$K3434,MATCH($B880,'HS Codes'!$A$2:$A3434,0),MATCH(J$1,'HS Codes'!$D$1:$K$1,0)),"")</f>
        <v>0</v>
      </c>
      <c r="K880" s="8" t="str">
        <f>_xlfn.IFNA(INDEX('HS Codes'!$D$2:$K3434,MATCH($B880,'HS Codes'!$A$2:$A3434,0),MATCH(K$1,'HS Codes'!$D$1:$K$1,0)),"")</f>
        <v>6302.39.00</v>
      </c>
      <c r="L880" s="8">
        <f>_xlfn.IFNA(INDEX('HS Codes'!$D$2:$K3434,MATCH($B880,'HS Codes'!$A$2:$A3434,0),MATCH(L$1,'HS Codes'!$D$1:$K$1,0)),"")</f>
        <v>63029120</v>
      </c>
      <c r="M880" s="8" t="str">
        <f>_xlfn.IFNA(INDEX('HS Codes'!$C$2:$C3434,MATCH($B880,'HS Codes'!$A$2:$A3434,0)),"")</f>
        <v>Bath Towel - Toilet Linen 100% recycled 340 GSM/83% polyester/17% polyamide (no cotton)</v>
      </c>
      <c r="N880" s="9"/>
      <c r="O880" s="9"/>
      <c r="P880" s="9"/>
      <c r="Q880" s="9"/>
    </row>
    <row r="881" spans="1:17" ht="15.75" customHeight="1">
      <c r="A881" s="7" t="s">
        <v>1173</v>
      </c>
      <c r="B881" s="7" t="s">
        <v>172</v>
      </c>
      <c r="C881" s="7" t="s">
        <v>278</v>
      </c>
      <c r="D881" s="7" t="s">
        <v>173</v>
      </c>
      <c r="E881" s="7" t="s">
        <v>377</v>
      </c>
      <c r="F881" s="8" t="str">
        <f>_xlfn.IFNA(INDEX('HS Codes'!$D$2:$K3435,MATCH($B881,'HS Codes'!$A$2:$A3435,0),MATCH(F$1,'HS Codes'!$D$1:$K$1,0)),"")</f>
        <v>6302.93.2000</v>
      </c>
      <c r="G881" s="8">
        <f>_xlfn.IFNA(INDEX('HS Codes'!$D$2:$K3435,MATCH($B881,'HS Codes'!$A$2:$A3435,0),MATCH(G$1,'HS Codes'!$D$1:$K$1,0)),"")</f>
        <v>6302600090</v>
      </c>
      <c r="H881" s="8" t="str">
        <f>_xlfn.IFNA(INDEX('HS Codes'!$D$2:$K3435,MATCH($B881,'HS Codes'!$A$2:$A3435,0),MATCH(H$1,'HS Codes'!$D$1:$K$1,0)),"")</f>
        <v>6302.93.00.00</v>
      </c>
      <c r="I881" s="8">
        <f>_xlfn.IFNA(INDEX('HS Codes'!$D$2:$K3435,MATCH($B881,'HS Codes'!$A$2:$A3435,0),MATCH(I$1,'HS Codes'!$D$1:$K$1,0)),"")</f>
        <v>6302939000</v>
      </c>
      <c r="J881" s="8">
        <f>_xlfn.IFNA(INDEX('HS Codes'!$D$2:$K3435,MATCH($B881,'HS Codes'!$A$2:$A3435,0),MATCH(J$1,'HS Codes'!$D$1:$K$1,0)),"")</f>
        <v>0</v>
      </c>
      <c r="K881" s="8" t="str">
        <f>_xlfn.IFNA(INDEX('HS Codes'!$D$2:$K3435,MATCH($B881,'HS Codes'!$A$2:$A3435,0),MATCH(K$1,'HS Codes'!$D$1:$K$1,0)),"")</f>
        <v>6302.39.00</v>
      </c>
      <c r="L881" s="8">
        <f>_xlfn.IFNA(INDEX('HS Codes'!$D$2:$K3435,MATCH($B881,'HS Codes'!$A$2:$A3435,0),MATCH(L$1,'HS Codes'!$D$1:$K$1,0)),"")</f>
        <v>63029120</v>
      </c>
      <c r="M881" s="8" t="str">
        <f>_xlfn.IFNA(INDEX('HS Codes'!$C$2:$C3435,MATCH($B881,'HS Codes'!$A$2:$A3435,0)),"")</f>
        <v>Bath Towel - Toilet Linen 100% recycled 340 GSM/83% polyester/17% polyamide (no cotton)</v>
      </c>
      <c r="N881" s="9"/>
      <c r="O881" s="9"/>
      <c r="P881" s="9"/>
      <c r="Q881" s="9"/>
    </row>
    <row r="882" spans="1:17" ht="15.75" customHeight="1">
      <c r="A882" s="7" t="s">
        <v>1174</v>
      </c>
      <c r="B882" s="7" t="s">
        <v>172</v>
      </c>
      <c r="C882" s="7" t="s">
        <v>278</v>
      </c>
      <c r="D882" s="7" t="s">
        <v>173</v>
      </c>
      <c r="E882" s="7" t="s">
        <v>377</v>
      </c>
      <c r="F882" s="8" t="str">
        <f>_xlfn.IFNA(INDEX('HS Codes'!$D$2:$K3436,MATCH($B882,'HS Codes'!$A$2:$A3436,0),MATCH(F$1,'HS Codes'!$D$1:$K$1,0)),"")</f>
        <v>6302.93.2000</v>
      </c>
      <c r="G882" s="8">
        <f>_xlfn.IFNA(INDEX('HS Codes'!$D$2:$K3436,MATCH($B882,'HS Codes'!$A$2:$A3436,0),MATCH(G$1,'HS Codes'!$D$1:$K$1,0)),"")</f>
        <v>6302600090</v>
      </c>
      <c r="H882" s="8" t="str">
        <f>_xlfn.IFNA(INDEX('HS Codes'!$D$2:$K3436,MATCH($B882,'HS Codes'!$A$2:$A3436,0),MATCH(H$1,'HS Codes'!$D$1:$K$1,0)),"")</f>
        <v>6302.93.00.00</v>
      </c>
      <c r="I882" s="8">
        <f>_xlfn.IFNA(INDEX('HS Codes'!$D$2:$K3436,MATCH($B882,'HS Codes'!$A$2:$A3436,0),MATCH(I$1,'HS Codes'!$D$1:$K$1,0)),"")</f>
        <v>6302939000</v>
      </c>
      <c r="J882" s="8">
        <f>_xlfn.IFNA(INDEX('HS Codes'!$D$2:$K3436,MATCH($B882,'HS Codes'!$A$2:$A3436,0),MATCH(J$1,'HS Codes'!$D$1:$K$1,0)),"")</f>
        <v>0</v>
      </c>
      <c r="K882" s="8" t="str">
        <f>_xlfn.IFNA(INDEX('HS Codes'!$D$2:$K3436,MATCH($B882,'HS Codes'!$A$2:$A3436,0),MATCH(K$1,'HS Codes'!$D$1:$K$1,0)),"")</f>
        <v>6302.39.00</v>
      </c>
      <c r="L882" s="8">
        <f>_xlfn.IFNA(INDEX('HS Codes'!$D$2:$K3436,MATCH($B882,'HS Codes'!$A$2:$A3436,0),MATCH(L$1,'HS Codes'!$D$1:$K$1,0)),"")</f>
        <v>63029120</v>
      </c>
      <c r="M882" s="8" t="str">
        <f>_xlfn.IFNA(INDEX('HS Codes'!$C$2:$C3436,MATCH($B882,'HS Codes'!$A$2:$A3436,0)),"")</f>
        <v>Bath Towel - Toilet Linen 100% recycled 340 GSM/83% polyester/17% polyamide (no cotton)</v>
      </c>
      <c r="N882" s="9"/>
      <c r="O882" s="9"/>
      <c r="P882" s="9"/>
      <c r="Q882" s="9"/>
    </row>
    <row r="883" spans="1:17" ht="15.75" customHeight="1">
      <c r="A883" s="7" t="s">
        <v>1175</v>
      </c>
      <c r="B883" s="7" t="s">
        <v>172</v>
      </c>
      <c r="C883" s="7" t="s">
        <v>278</v>
      </c>
      <c r="D883" s="7" t="s">
        <v>173</v>
      </c>
      <c r="E883" s="7" t="s">
        <v>377</v>
      </c>
      <c r="F883" s="8" t="str">
        <f>_xlfn.IFNA(INDEX('HS Codes'!$D$2:$K3437,MATCH($B883,'HS Codes'!$A$2:$A3437,0),MATCH(F$1,'HS Codes'!$D$1:$K$1,0)),"")</f>
        <v>6302.93.2000</v>
      </c>
      <c r="G883" s="8">
        <f>_xlfn.IFNA(INDEX('HS Codes'!$D$2:$K3437,MATCH($B883,'HS Codes'!$A$2:$A3437,0),MATCH(G$1,'HS Codes'!$D$1:$K$1,0)),"")</f>
        <v>6302600090</v>
      </c>
      <c r="H883" s="8" t="str">
        <f>_xlfn.IFNA(INDEX('HS Codes'!$D$2:$K3437,MATCH($B883,'HS Codes'!$A$2:$A3437,0),MATCH(H$1,'HS Codes'!$D$1:$K$1,0)),"")</f>
        <v>6302.93.00.00</v>
      </c>
      <c r="I883" s="8">
        <f>_xlfn.IFNA(INDEX('HS Codes'!$D$2:$K3437,MATCH($B883,'HS Codes'!$A$2:$A3437,0),MATCH(I$1,'HS Codes'!$D$1:$K$1,0)),"")</f>
        <v>6302939000</v>
      </c>
      <c r="J883" s="8">
        <f>_xlfn.IFNA(INDEX('HS Codes'!$D$2:$K3437,MATCH($B883,'HS Codes'!$A$2:$A3437,0),MATCH(J$1,'HS Codes'!$D$1:$K$1,0)),"")</f>
        <v>0</v>
      </c>
      <c r="K883" s="8" t="str">
        <f>_xlfn.IFNA(INDEX('HS Codes'!$D$2:$K3437,MATCH($B883,'HS Codes'!$A$2:$A3437,0),MATCH(K$1,'HS Codes'!$D$1:$K$1,0)),"")</f>
        <v>6302.39.00</v>
      </c>
      <c r="L883" s="8">
        <f>_xlfn.IFNA(INDEX('HS Codes'!$D$2:$K3437,MATCH($B883,'HS Codes'!$A$2:$A3437,0),MATCH(L$1,'HS Codes'!$D$1:$K$1,0)),"")</f>
        <v>63029120</v>
      </c>
      <c r="M883" s="8" t="str">
        <f>_xlfn.IFNA(INDEX('HS Codes'!$C$2:$C3437,MATCH($B883,'HS Codes'!$A$2:$A3437,0)),"")</f>
        <v>Bath Towel - Toilet Linen 100% recycled 340 GSM/83% polyester/17% polyamide (no cotton)</v>
      </c>
      <c r="N883" s="9"/>
      <c r="O883" s="9"/>
      <c r="P883" s="9"/>
      <c r="Q883" s="9"/>
    </row>
    <row r="884" spans="1:17" ht="15.75" customHeight="1">
      <c r="A884" s="7" t="s">
        <v>1176</v>
      </c>
      <c r="B884" s="7" t="s">
        <v>172</v>
      </c>
      <c r="C884" s="7" t="s">
        <v>278</v>
      </c>
      <c r="D884" s="7" t="s">
        <v>173</v>
      </c>
      <c r="E884" s="7" t="s">
        <v>377</v>
      </c>
      <c r="F884" s="8" t="str">
        <f>_xlfn.IFNA(INDEX('HS Codes'!$D$2:$K3438,MATCH($B884,'HS Codes'!$A$2:$A3438,0),MATCH(F$1,'HS Codes'!$D$1:$K$1,0)),"")</f>
        <v>6302.93.2000</v>
      </c>
      <c r="G884" s="8">
        <f>_xlfn.IFNA(INDEX('HS Codes'!$D$2:$K3438,MATCH($B884,'HS Codes'!$A$2:$A3438,0),MATCH(G$1,'HS Codes'!$D$1:$K$1,0)),"")</f>
        <v>6302600090</v>
      </c>
      <c r="H884" s="8" t="str">
        <f>_xlfn.IFNA(INDEX('HS Codes'!$D$2:$K3438,MATCH($B884,'HS Codes'!$A$2:$A3438,0),MATCH(H$1,'HS Codes'!$D$1:$K$1,0)),"")</f>
        <v>6302.93.00.00</v>
      </c>
      <c r="I884" s="8">
        <f>_xlfn.IFNA(INDEX('HS Codes'!$D$2:$K3438,MATCH($B884,'HS Codes'!$A$2:$A3438,0),MATCH(I$1,'HS Codes'!$D$1:$K$1,0)),"")</f>
        <v>6302939000</v>
      </c>
      <c r="J884" s="8">
        <f>_xlfn.IFNA(INDEX('HS Codes'!$D$2:$K3438,MATCH($B884,'HS Codes'!$A$2:$A3438,0),MATCH(J$1,'HS Codes'!$D$1:$K$1,0)),"")</f>
        <v>0</v>
      </c>
      <c r="K884" s="8" t="str">
        <f>_xlfn.IFNA(INDEX('HS Codes'!$D$2:$K3438,MATCH($B884,'HS Codes'!$A$2:$A3438,0),MATCH(K$1,'HS Codes'!$D$1:$K$1,0)),"")</f>
        <v>6302.39.00</v>
      </c>
      <c r="L884" s="8">
        <f>_xlfn.IFNA(INDEX('HS Codes'!$D$2:$K3438,MATCH($B884,'HS Codes'!$A$2:$A3438,0),MATCH(L$1,'HS Codes'!$D$1:$K$1,0)),"")</f>
        <v>63029120</v>
      </c>
      <c r="M884" s="8" t="str">
        <f>_xlfn.IFNA(INDEX('HS Codes'!$C$2:$C3438,MATCH($B884,'HS Codes'!$A$2:$A3438,0)),"")</f>
        <v>Bath Towel - Toilet Linen 100% recycled 340 GSM/83% polyester/17% polyamide (no cotton)</v>
      </c>
      <c r="N884" s="9"/>
      <c r="O884" s="9"/>
      <c r="P884" s="9"/>
      <c r="Q884" s="9"/>
    </row>
    <row r="885" spans="1:17" ht="15.75" customHeight="1">
      <c r="A885" s="7" t="s">
        <v>1177</v>
      </c>
      <c r="B885" s="7" t="s">
        <v>172</v>
      </c>
      <c r="C885" s="7" t="s">
        <v>278</v>
      </c>
      <c r="D885" s="7" t="s">
        <v>173</v>
      </c>
      <c r="E885" s="7" t="s">
        <v>377</v>
      </c>
      <c r="F885" s="8" t="str">
        <f>_xlfn.IFNA(INDEX('HS Codes'!$D$2:$K3439,MATCH($B885,'HS Codes'!$A$2:$A3439,0),MATCH(F$1,'HS Codes'!$D$1:$K$1,0)),"")</f>
        <v>6302.93.2000</v>
      </c>
      <c r="G885" s="8">
        <f>_xlfn.IFNA(INDEX('HS Codes'!$D$2:$K3439,MATCH($B885,'HS Codes'!$A$2:$A3439,0),MATCH(G$1,'HS Codes'!$D$1:$K$1,0)),"")</f>
        <v>6302600090</v>
      </c>
      <c r="H885" s="8" t="str">
        <f>_xlfn.IFNA(INDEX('HS Codes'!$D$2:$K3439,MATCH($B885,'HS Codes'!$A$2:$A3439,0),MATCH(H$1,'HS Codes'!$D$1:$K$1,0)),"")</f>
        <v>6302.93.00.00</v>
      </c>
      <c r="I885" s="8">
        <f>_xlfn.IFNA(INDEX('HS Codes'!$D$2:$K3439,MATCH($B885,'HS Codes'!$A$2:$A3439,0),MATCH(I$1,'HS Codes'!$D$1:$K$1,0)),"")</f>
        <v>6302939000</v>
      </c>
      <c r="J885" s="8">
        <f>_xlfn.IFNA(INDEX('HS Codes'!$D$2:$K3439,MATCH($B885,'HS Codes'!$A$2:$A3439,0),MATCH(J$1,'HS Codes'!$D$1:$K$1,0)),"")</f>
        <v>0</v>
      </c>
      <c r="K885" s="8" t="str">
        <f>_xlfn.IFNA(INDEX('HS Codes'!$D$2:$K3439,MATCH($B885,'HS Codes'!$A$2:$A3439,0),MATCH(K$1,'HS Codes'!$D$1:$K$1,0)),"")</f>
        <v>6302.39.00</v>
      </c>
      <c r="L885" s="8">
        <f>_xlfn.IFNA(INDEX('HS Codes'!$D$2:$K3439,MATCH($B885,'HS Codes'!$A$2:$A3439,0),MATCH(L$1,'HS Codes'!$D$1:$K$1,0)),"")</f>
        <v>63029120</v>
      </c>
      <c r="M885" s="8" t="str">
        <f>_xlfn.IFNA(INDEX('HS Codes'!$C$2:$C3439,MATCH($B885,'HS Codes'!$A$2:$A3439,0)),"")</f>
        <v>Bath Towel - Toilet Linen 100% recycled 340 GSM/83% polyester/17% polyamide (no cotton)</v>
      </c>
      <c r="N885" s="9"/>
      <c r="O885" s="9"/>
      <c r="P885" s="9"/>
      <c r="Q885" s="9"/>
    </row>
    <row r="886" spans="1:17" ht="15.75" customHeight="1">
      <c r="A886" s="7" t="s">
        <v>1178</v>
      </c>
      <c r="B886" s="7" t="s">
        <v>172</v>
      </c>
      <c r="C886" s="7" t="s">
        <v>278</v>
      </c>
      <c r="D886" s="7" t="s">
        <v>173</v>
      </c>
      <c r="E886" s="7" t="s">
        <v>377</v>
      </c>
      <c r="F886" s="8" t="str">
        <f>_xlfn.IFNA(INDEX('HS Codes'!$D$2:$K3440,MATCH($B886,'HS Codes'!$A$2:$A3440,0),MATCH(F$1,'HS Codes'!$D$1:$K$1,0)),"")</f>
        <v>6302.93.2000</v>
      </c>
      <c r="G886" s="8">
        <f>_xlfn.IFNA(INDEX('HS Codes'!$D$2:$K3440,MATCH($B886,'HS Codes'!$A$2:$A3440,0),MATCH(G$1,'HS Codes'!$D$1:$K$1,0)),"")</f>
        <v>6302600090</v>
      </c>
      <c r="H886" s="8" t="str">
        <f>_xlfn.IFNA(INDEX('HS Codes'!$D$2:$K3440,MATCH($B886,'HS Codes'!$A$2:$A3440,0),MATCH(H$1,'HS Codes'!$D$1:$K$1,0)),"")</f>
        <v>6302.93.00.00</v>
      </c>
      <c r="I886" s="8">
        <f>_xlfn.IFNA(INDEX('HS Codes'!$D$2:$K3440,MATCH($B886,'HS Codes'!$A$2:$A3440,0),MATCH(I$1,'HS Codes'!$D$1:$K$1,0)),"")</f>
        <v>6302939000</v>
      </c>
      <c r="J886" s="8">
        <f>_xlfn.IFNA(INDEX('HS Codes'!$D$2:$K3440,MATCH($B886,'HS Codes'!$A$2:$A3440,0),MATCH(J$1,'HS Codes'!$D$1:$K$1,0)),"")</f>
        <v>0</v>
      </c>
      <c r="K886" s="8" t="str">
        <f>_xlfn.IFNA(INDEX('HS Codes'!$D$2:$K3440,MATCH($B886,'HS Codes'!$A$2:$A3440,0),MATCH(K$1,'HS Codes'!$D$1:$K$1,0)),"")</f>
        <v>6302.39.00</v>
      </c>
      <c r="L886" s="8">
        <f>_xlfn.IFNA(INDEX('HS Codes'!$D$2:$K3440,MATCH($B886,'HS Codes'!$A$2:$A3440,0),MATCH(L$1,'HS Codes'!$D$1:$K$1,0)),"")</f>
        <v>63029120</v>
      </c>
      <c r="M886" s="8" t="str">
        <f>_xlfn.IFNA(INDEX('HS Codes'!$C$2:$C3440,MATCH($B886,'HS Codes'!$A$2:$A3440,0)),"")</f>
        <v>Bath Towel - Toilet Linen 100% recycled 340 GSM/83% polyester/17% polyamide (no cotton)</v>
      </c>
      <c r="N886" s="9"/>
      <c r="O886" s="9"/>
      <c r="P886" s="9"/>
      <c r="Q886" s="9"/>
    </row>
    <row r="887" spans="1:17" ht="15.75" customHeight="1">
      <c r="A887" s="7" t="s">
        <v>1179</v>
      </c>
      <c r="B887" s="7" t="s">
        <v>172</v>
      </c>
      <c r="C887" s="7" t="s">
        <v>278</v>
      </c>
      <c r="D887" s="7" t="s">
        <v>173</v>
      </c>
      <c r="E887" s="7" t="s">
        <v>377</v>
      </c>
      <c r="F887" s="8" t="str">
        <f>_xlfn.IFNA(INDEX('HS Codes'!$D$2:$K3441,MATCH($B887,'HS Codes'!$A$2:$A3441,0),MATCH(F$1,'HS Codes'!$D$1:$K$1,0)),"")</f>
        <v>6302.93.2000</v>
      </c>
      <c r="G887" s="8">
        <f>_xlfn.IFNA(INDEX('HS Codes'!$D$2:$K3441,MATCH($B887,'HS Codes'!$A$2:$A3441,0),MATCH(G$1,'HS Codes'!$D$1:$K$1,0)),"")</f>
        <v>6302600090</v>
      </c>
      <c r="H887" s="8" t="str">
        <f>_xlfn.IFNA(INDEX('HS Codes'!$D$2:$K3441,MATCH($B887,'HS Codes'!$A$2:$A3441,0),MATCH(H$1,'HS Codes'!$D$1:$K$1,0)),"")</f>
        <v>6302.93.00.00</v>
      </c>
      <c r="I887" s="8">
        <f>_xlfn.IFNA(INDEX('HS Codes'!$D$2:$K3441,MATCH($B887,'HS Codes'!$A$2:$A3441,0),MATCH(I$1,'HS Codes'!$D$1:$K$1,0)),"")</f>
        <v>6302939000</v>
      </c>
      <c r="J887" s="8">
        <f>_xlfn.IFNA(INDEX('HS Codes'!$D$2:$K3441,MATCH($B887,'HS Codes'!$A$2:$A3441,0),MATCH(J$1,'HS Codes'!$D$1:$K$1,0)),"")</f>
        <v>0</v>
      </c>
      <c r="K887" s="8" t="str">
        <f>_xlfn.IFNA(INDEX('HS Codes'!$D$2:$K3441,MATCH($B887,'HS Codes'!$A$2:$A3441,0),MATCH(K$1,'HS Codes'!$D$1:$K$1,0)),"")</f>
        <v>6302.39.00</v>
      </c>
      <c r="L887" s="8">
        <f>_xlfn.IFNA(INDEX('HS Codes'!$D$2:$K3441,MATCH($B887,'HS Codes'!$A$2:$A3441,0),MATCH(L$1,'HS Codes'!$D$1:$K$1,0)),"")</f>
        <v>63029120</v>
      </c>
      <c r="M887" s="8" t="str">
        <f>_xlfn.IFNA(INDEX('HS Codes'!$C$2:$C3441,MATCH($B887,'HS Codes'!$A$2:$A3441,0)),"")</f>
        <v>Bath Towel - Toilet Linen 100% recycled 340 GSM/83% polyester/17% polyamide (no cotton)</v>
      </c>
      <c r="N887" s="9"/>
      <c r="O887" s="9"/>
      <c r="P887" s="9"/>
      <c r="Q887" s="9"/>
    </row>
    <row r="888" spans="1:17" ht="15.75" customHeight="1">
      <c r="A888" s="7" t="s">
        <v>1180</v>
      </c>
      <c r="B888" s="7" t="s">
        <v>172</v>
      </c>
      <c r="C888" s="7" t="s">
        <v>278</v>
      </c>
      <c r="D888" s="7" t="s">
        <v>173</v>
      </c>
      <c r="E888" s="7" t="s">
        <v>377</v>
      </c>
      <c r="F888" s="8" t="str">
        <f>_xlfn.IFNA(INDEX('HS Codes'!$D$2:$K3442,MATCH($B888,'HS Codes'!$A$2:$A3442,0),MATCH(F$1,'HS Codes'!$D$1:$K$1,0)),"")</f>
        <v>6302.93.2000</v>
      </c>
      <c r="G888" s="8">
        <f>_xlfn.IFNA(INDEX('HS Codes'!$D$2:$K3442,MATCH($B888,'HS Codes'!$A$2:$A3442,0),MATCH(G$1,'HS Codes'!$D$1:$K$1,0)),"")</f>
        <v>6302600090</v>
      </c>
      <c r="H888" s="8" t="str">
        <f>_xlfn.IFNA(INDEX('HS Codes'!$D$2:$K3442,MATCH($B888,'HS Codes'!$A$2:$A3442,0),MATCH(H$1,'HS Codes'!$D$1:$K$1,0)),"")</f>
        <v>6302.93.00.00</v>
      </c>
      <c r="I888" s="8">
        <f>_xlfn.IFNA(INDEX('HS Codes'!$D$2:$K3442,MATCH($B888,'HS Codes'!$A$2:$A3442,0),MATCH(I$1,'HS Codes'!$D$1:$K$1,0)),"")</f>
        <v>6302939000</v>
      </c>
      <c r="J888" s="8">
        <f>_xlfn.IFNA(INDEX('HS Codes'!$D$2:$K3442,MATCH($B888,'HS Codes'!$A$2:$A3442,0),MATCH(J$1,'HS Codes'!$D$1:$K$1,0)),"")</f>
        <v>0</v>
      </c>
      <c r="K888" s="8" t="str">
        <f>_xlfn.IFNA(INDEX('HS Codes'!$D$2:$K3442,MATCH($B888,'HS Codes'!$A$2:$A3442,0),MATCH(K$1,'HS Codes'!$D$1:$K$1,0)),"")</f>
        <v>6302.39.00</v>
      </c>
      <c r="L888" s="8">
        <f>_xlfn.IFNA(INDEX('HS Codes'!$D$2:$K3442,MATCH($B888,'HS Codes'!$A$2:$A3442,0),MATCH(L$1,'HS Codes'!$D$1:$K$1,0)),"")</f>
        <v>63029120</v>
      </c>
      <c r="M888" s="8" t="str">
        <f>_xlfn.IFNA(INDEX('HS Codes'!$C$2:$C3442,MATCH($B888,'HS Codes'!$A$2:$A3442,0)),"")</f>
        <v>Bath Towel - Toilet Linen 100% recycled 340 GSM/83% polyester/17% polyamide (no cotton)</v>
      </c>
      <c r="N888" s="9"/>
      <c r="O888" s="9"/>
      <c r="P888" s="9"/>
      <c r="Q888" s="9"/>
    </row>
    <row r="889" spans="1:17" ht="15.75" customHeight="1">
      <c r="A889" s="7" t="s">
        <v>1181</v>
      </c>
      <c r="B889" s="7" t="s">
        <v>172</v>
      </c>
      <c r="C889" s="7" t="s">
        <v>278</v>
      </c>
      <c r="D889" s="7" t="s">
        <v>173</v>
      </c>
      <c r="E889" s="7" t="s">
        <v>377</v>
      </c>
      <c r="F889" s="8" t="str">
        <f>_xlfn.IFNA(INDEX('HS Codes'!$D$2:$K3443,MATCH($B889,'HS Codes'!$A$2:$A3443,0),MATCH(F$1,'HS Codes'!$D$1:$K$1,0)),"")</f>
        <v>6302.93.2000</v>
      </c>
      <c r="G889" s="8">
        <f>_xlfn.IFNA(INDEX('HS Codes'!$D$2:$K3443,MATCH($B889,'HS Codes'!$A$2:$A3443,0),MATCH(G$1,'HS Codes'!$D$1:$K$1,0)),"")</f>
        <v>6302600090</v>
      </c>
      <c r="H889" s="8" t="str">
        <f>_xlfn.IFNA(INDEX('HS Codes'!$D$2:$K3443,MATCH($B889,'HS Codes'!$A$2:$A3443,0),MATCH(H$1,'HS Codes'!$D$1:$K$1,0)),"")</f>
        <v>6302.93.00.00</v>
      </c>
      <c r="I889" s="8">
        <f>_xlfn.IFNA(INDEX('HS Codes'!$D$2:$K3443,MATCH($B889,'HS Codes'!$A$2:$A3443,0),MATCH(I$1,'HS Codes'!$D$1:$K$1,0)),"")</f>
        <v>6302939000</v>
      </c>
      <c r="J889" s="8">
        <f>_xlfn.IFNA(INDEX('HS Codes'!$D$2:$K3443,MATCH($B889,'HS Codes'!$A$2:$A3443,0),MATCH(J$1,'HS Codes'!$D$1:$K$1,0)),"")</f>
        <v>0</v>
      </c>
      <c r="K889" s="8" t="str">
        <f>_xlfn.IFNA(INDEX('HS Codes'!$D$2:$K3443,MATCH($B889,'HS Codes'!$A$2:$A3443,0),MATCH(K$1,'HS Codes'!$D$1:$K$1,0)),"")</f>
        <v>6302.39.00</v>
      </c>
      <c r="L889" s="8">
        <f>_xlfn.IFNA(INDEX('HS Codes'!$D$2:$K3443,MATCH($B889,'HS Codes'!$A$2:$A3443,0),MATCH(L$1,'HS Codes'!$D$1:$K$1,0)),"")</f>
        <v>63029120</v>
      </c>
      <c r="M889" s="8" t="str">
        <f>_xlfn.IFNA(INDEX('HS Codes'!$C$2:$C3443,MATCH($B889,'HS Codes'!$A$2:$A3443,0)),"")</f>
        <v>Bath Towel - Toilet Linen 100% recycled 340 GSM/83% polyester/17% polyamide (no cotton)</v>
      </c>
      <c r="N889" s="9"/>
      <c r="O889" s="9"/>
      <c r="P889" s="9"/>
      <c r="Q889" s="9"/>
    </row>
    <row r="890" spans="1:17" ht="15.75" customHeight="1">
      <c r="A890" s="7" t="s">
        <v>1182</v>
      </c>
      <c r="B890" s="7" t="s">
        <v>172</v>
      </c>
      <c r="C890" s="7" t="s">
        <v>278</v>
      </c>
      <c r="D890" s="7" t="s">
        <v>173</v>
      </c>
      <c r="E890" s="7" t="s">
        <v>377</v>
      </c>
      <c r="F890" s="8" t="str">
        <f>_xlfn.IFNA(INDEX('HS Codes'!$D$2:$K3444,MATCH($B890,'HS Codes'!$A$2:$A3444,0),MATCH(F$1,'HS Codes'!$D$1:$K$1,0)),"")</f>
        <v>6302.93.2000</v>
      </c>
      <c r="G890" s="8">
        <f>_xlfn.IFNA(INDEX('HS Codes'!$D$2:$K3444,MATCH($B890,'HS Codes'!$A$2:$A3444,0),MATCH(G$1,'HS Codes'!$D$1:$K$1,0)),"")</f>
        <v>6302600090</v>
      </c>
      <c r="H890" s="8" t="str">
        <f>_xlfn.IFNA(INDEX('HS Codes'!$D$2:$K3444,MATCH($B890,'HS Codes'!$A$2:$A3444,0),MATCH(H$1,'HS Codes'!$D$1:$K$1,0)),"")</f>
        <v>6302.93.00.00</v>
      </c>
      <c r="I890" s="8">
        <f>_xlfn.IFNA(INDEX('HS Codes'!$D$2:$K3444,MATCH($B890,'HS Codes'!$A$2:$A3444,0),MATCH(I$1,'HS Codes'!$D$1:$K$1,0)),"")</f>
        <v>6302939000</v>
      </c>
      <c r="J890" s="8">
        <f>_xlfn.IFNA(INDEX('HS Codes'!$D$2:$K3444,MATCH($B890,'HS Codes'!$A$2:$A3444,0),MATCH(J$1,'HS Codes'!$D$1:$K$1,0)),"")</f>
        <v>0</v>
      </c>
      <c r="K890" s="8" t="str">
        <f>_xlfn.IFNA(INDEX('HS Codes'!$D$2:$K3444,MATCH($B890,'HS Codes'!$A$2:$A3444,0),MATCH(K$1,'HS Codes'!$D$1:$K$1,0)),"")</f>
        <v>6302.39.00</v>
      </c>
      <c r="L890" s="8">
        <f>_xlfn.IFNA(INDEX('HS Codes'!$D$2:$K3444,MATCH($B890,'HS Codes'!$A$2:$A3444,0),MATCH(L$1,'HS Codes'!$D$1:$K$1,0)),"")</f>
        <v>63029120</v>
      </c>
      <c r="M890" s="8" t="str">
        <f>_xlfn.IFNA(INDEX('HS Codes'!$C$2:$C3444,MATCH($B890,'HS Codes'!$A$2:$A3444,0)),"")</f>
        <v>Bath Towel - Toilet Linen 100% recycled 340 GSM/83% polyester/17% polyamide (no cotton)</v>
      </c>
      <c r="N890" s="9"/>
      <c r="O890" s="9"/>
      <c r="P890" s="9"/>
      <c r="Q890" s="9"/>
    </row>
    <row r="891" spans="1:17" ht="15.75" customHeight="1">
      <c r="A891" s="7" t="s">
        <v>1183</v>
      </c>
      <c r="B891" s="7" t="s">
        <v>172</v>
      </c>
      <c r="C891" s="7" t="s">
        <v>278</v>
      </c>
      <c r="D891" s="7" t="s">
        <v>173</v>
      </c>
      <c r="E891" s="7" t="s">
        <v>377</v>
      </c>
      <c r="F891" s="8" t="str">
        <f>_xlfn.IFNA(INDEX('HS Codes'!$D$2:$K3445,MATCH($B891,'HS Codes'!$A$2:$A3445,0),MATCH(F$1,'HS Codes'!$D$1:$K$1,0)),"")</f>
        <v>6302.93.2000</v>
      </c>
      <c r="G891" s="8">
        <f>_xlfn.IFNA(INDEX('HS Codes'!$D$2:$K3445,MATCH($B891,'HS Codes'!$A$2:$A3445,0),MATCH(G$1,'HS Codes'!$D$1:$K$1,0)),"")</f>
        <v>6302600090</v>
      </c>
      <c r="H891" s="8" t="str">
        <f>_xlfn.IFNA(INDEX('HS Codes'!$D$2:$K3445,MATCH($B891,'HS Codes'!$A$2:$A3445,0),MATCH(H$1,'HS Codes'!$D$1:$K$1,0)),"")</f>
        <v>6302.93.00.00</v>
      </c>
      <c r="I891" s="8">
        <f>_xlfn.IFNA(INDEX('HS Codes'!$D$2:$K3445,MATCH($B891,'HS Codes'!$A$2:$A3445,0),MATCH(I$1,'HS Codes'!$D$1:$K$1,0)),"")</f>
        <v>6302939000</v>
      </c>
      <c r="J891" s="8">
        <f>_xlfn.IFNA(INDEX('HS Codes'!$D$2:$K3445,MATCH($B891,'HS Codes'!$A$2:$A3445,0),MATCH(J$1,'HS Codes'!$D$1:$K$1,0)),"")</f>
        <v>0</v>
      </c>
      <c r="K891" s="8" t="str">
        <f>_xlfn.IFNA(INDEX('HS Codes'!$D$2:$K3445,MATCH($B891,'HS Codes'!$A$2:$A3445,0),MATCH(K$1,'HS Codes'!$D$1:$K$1,0)),"")</f>
        <v>6302.39.00</v>
      </c>
      <c r="L891" s="8">
        <f>_xlfn.IFNA(INDEX('HS Codes'!$D$2:$K3445,MATCH($B891,'HS Codes'!$A$2:$A3445,0),MATCH(L$1,'HS Codes'!$D$1:$K$1,0)),"")</f>
        <v>63029120</v>
      </c>
      <c r="M891" s="8" t="str">
        <f>_xlfn.IFNA(INDEX('HS Codes'!$C$2:$C3445,MATCH($B891,'HS Codes'!$A$2:$A3445,0)),"")</f>
        <v>Bath Towel - Toilet Linen 100% recycled 340 GSM/83% polyester/17% polyamide (no cotton)</v>
      </c>
      <c r="N891" s="9"/>
      <c r="O891" s="9"/>
      <c r="P891" s="9"/>
      <c r="Q891" s="9"/>
    </row>
    <row r="892" spans="1:17" ht="15.75" customHeight="1">
      <c r="A892" s="7" t="s">
        <v>1184</v>
      </c>
      <c r="B892" s="7" t="s">
        <v>172</v>
      </c>
      <c r="C892" s="7" t="s">
        <v>278</v>
      </c>
      <c r="D892" s="7" t="s">
        <v>173</v>
      </c>
      <c r="E892" s="7" t="s">
        <v>377</v>
      </c>
      <c r="F892" s="8" t="str">
        <f>_xlfn.IFNA(INDEX('HS Codes'!$D$2:$K3446,MATCH($B892,'HS Codes'!$A$2:$A3446,0),MATCH(F$1,'HS Codes'!$D$1:$K$1,0)),"")</f>
        <v>6302.93.2000</v>
      </c>
      <c r="G892" s="8">
        <f>_xlfn.IFNA(INDEX('HS Codes'!$D$2:$K3446,MATCH($B892,'HS Codes'!$A$2:$A3446,0),MATCH(G$1,'HS Codes'!$D$1:$K$1,0)),"")</f>
        <v>6302600090</v>
      </c>
      <c r="H892" s="8" t="str">
        <f>_xlfn.IFNA(INDEX('HS Codes'!$D$2:$K3446,MATCH($B892,'HS Codes'!$A$2:$A3446,0),MATCH(H$1,'HS Codes'!$D$1:$K$1,0)),"")</f>
        <v>6302.93.00.00</v>
      </c>
      <c r="I892" s="8">
        <f>_xlfn.IFNA(INDEX('HS Codes'!$D$2:$K3446,MATCH($B892,'HS Codes'!$A$2:$A3446,0),MATCH(I$1,'HS Codes'!$D$1:$K$1,0)),"")</f>
        <v>6302939000</v>
      </c>
      <c r="J892" s="8">
        <f>_xlfn.IFNA(INDEX('HS Codes'!$D$2:$K3446,MATCH($B892,'HS Codes'!$A$2:$A3446,0),MATCH(J$1,'HS Codes'!$D$1:$K$1,0)),"")</f>
        <v>0</v>
      </c>
      <c r="K892" s="8" t="str">
        <f>_xlfn.IFNA(INDEX('HS Codes'!$D$2:$K3446,MATCH($B892,'HS Codes'!$A$2:$A3446,0),MATCH(K$1,'HS Codes'!$D$1:$K$1,0)),"")</f>
        <v>6302.39.00</v>
      </c>
      <c r="L892" s="8">
        <f>_xlfn.IFNA(INDEX('HS Codes'!$D$2:$K3446,MATCH($B892,'HS Codes'!$A$2:$A3446,0),MATCH(L$1,'HS Codes'!$D$1:$K$1,0)),"")</f>
        <v>63029120</v>
      </c>
      <c r="M892" s="8" t="str">
        <f>_xlfn.IFNA(INDEX('HS Codes'!$C$2:$C3446,MATCH($B892,'HS Codes'!$A$2:$A3446,0)),"")</f>
        <v>Bath Towel - Toilet Linen 100% recycled 340 GSM/83% polyester/17% polyamide (no cotton)</v>
      </c>
      <c r="N892" s="9"/>
      <c r="O892" s="9"/>
      <c r="P892" s="9"/>
      <c r="Q892" s="9"/>
    </row>
    <row r="893" spans="1:17" ht="15.75" customHeight="1">
      <c r="A893" s="7" t="s">
        <v>1185</v>
      </c>
      <c r="B893" s="7" t="s">
        <v>172</v>
      </c>
      <c r="C893" s="7" t="s">
        <v>278</v>
      </c>
      <c r="D893" s="7" t="s">
        <v>173</v>
      </c>
      <c r="E893" s="7" t="s">
        <v>377</v>
      </c>
      <c r="F893" s="8" t="str">
        <f>_xlfn.IFNA(INDEX('HS Codes'!$D$2:$K3447,MATCH($B893,'HS Codes'!$A$2:$A3447,0),MATCH(F$1,'HS Codes'!$D$1:$K$1,0)),"")</f>
        <v>6302.93.2000</v>
      </c>
      <c r="G893" s="8">
        <f>_xlfn.IFNA(INDEX('HS Codes'!$D$2:$K3447,MATCH($B893,'HS Codes'!$A$2:$A3447,0),MATCH(G$1,'HS Codes'!$D$1:$K$1,0)),"")</f>
        <v>6302600090</v>
      </c>
      <c r="H893" s="8" t="str">
        <f>_xlfn.IFNA(INDEX('HS Codes'!$D$2:$K3447,MATCH($B893,'HS Codes'!$A$2:$A3447,0),MATCH(H$1,'HS Codes'!$D$1:$K$1,0)),"")</f>
        <v>6302.93.00.00</v>
      </c>
      <c r="I893" s="8">
        <f>_xlfn.IFNA(INDEX('HS Codes'!$D$2:$K3447,MATCH($B893,'HS Codes'!$A$2:$A3447,0),MATCH(I$1,'HS Codes'!$D$1:$K$1,0)),"")</f>
        <v>6302939000</v>
      </c>
      <c r="J893" s="8">
        <f>_xlfn.IFNA(INDEX('HS Codes'!$D$2:$K3447,MATCH($B893,'HS Codes'!$A$2:$A3447,0),MATCH(J$1,'HS Codes'!$D$1:$K$1,0)),"")</f>
        <v>0</v>
      </c>
      <c r="K893" s="8" t="str">
        <f>_xlfn.IFNA(INDEX('HS Codes'!$D$2:$K3447,MATCH($B893,'HS Codes'!$A$2:$A3447,0),MATCH(K$1,'HS Codes'!$D$1:$K$1,0)),"")</f>
        <v>6302.39.00</v>
      </c>
      <c r="L893" s="8">
        <f>_xlfn.IFNA(INDEX('HS Codes'!$D$2:$K3447,MATCH($B893,'HS Codes'!$A$2:$A3447,0),MATCH(L$1,'HS Codes'!$D$1:$K$1,0)),"")</f>
        <v>63029120</v>
      </c>
      <c r="M893" s="8" t="str">
        <f>_xlfn.IFNA(INDEX('HS Codes'!$C$2:$C3447,MATCH($B893,'HS Codes'!$A$2:$A3447,0)),"")</f>
        <v>Bath Towel - Toilet Linen 100% recycled 340 GSM/83% polyester/17% polyamide (no cotton)</v>
      </c>
      <c r="N893" s="9"/>
      <c r="O893" s="9"/>
      <c r="P893" s="9"/>
      <c r="Q893" s="9"/>
    </row>
    <row r="894" spans="1:17" ht="15.75" customHeight="1">
      <c r="A894" s="7" t="s">
        <v>1186</v>
      </c>
      <c r="B894" s="7" t="s">
        <v>172</v>
      </c>
      <c r="C894" s="7" t="s">
        <v>278</v>
      </c>
      <c r="D894" s="7" t="s">
        <v>173</v>
      </c>
      <c r="E894" s="7" t="s">
        <v>377</v>
      </c>
      <c r="F894" s="8" t="str">
        <f>_xlfn.IFNA(INDEX('HS Codes'!$D$2:$K3448,MATCH($B894,'HS Codes'!$A$2:$A3448,0),MATCH(F$1,'HS Codes'!$D$1:$K$1,0)),"")</f>
        <v>6302.93.2000</v>
      </c>
      <c r="G894" s="8">
        <f>_xlfn.IFNA(INDEX('HS Codes'!$D$2:$K3448,MATCH($B894,'HS Codes'!$A$2:$A3448,0),MATCH(G$1,'HS Codes'!$D$1:$K$1,0)),"")</f>
        <v>6302600090</v>
      </c>
      <c r="H894" s="8" t="str">
        <f>_xlfn.IFNA(INDEX('HS Codes'!$D$2:$K3448,MATCH($B894,'HS Codes'!$A$2:$A3448,0),MATCH(H$1,'HS Codes'!$D$1:$K$1,0)),"")</f>
        <v>6302.93.00.00</v>
      </c>
      <c r="I894" s="8">
        <f>_xlfn.IFNA(INDEX('HS Codes'!$D$2:$K3448,MATCH($B894,'HS Codes'!$A$2:$A3448,0),MATCH(I$1,'HS Codes'!$D$1:$K$1,0)),"")</f>
        <v>6302939000</v>
      </c>
      <c r="J894" s="8">
        <f>_xlfn.IFNA(INDEX('HS Codes'!$D$2:$K3448,MATCH($B894,'HS Codes'!$A$2:$A3448,0),MATCH(J$1,'HS Codes'!$D$1:$K$1,0)),"")</f>
        <v>0</v>
      </c>
      <c r="K894" s="8" t="str">
        <f>_xlfn.IFNA(INDEX('HS Codes'!$D$2:$K3448,MATCH($B894,'HS Codes'!$A$2:$A3448,0),MATCH(K$1,'HS Codes'!$D$1:$K$1,0)),"")</f>
        <v>6302.39.00</v>
      </c>
      <c r="L894" s="8">
        <f>_xlfn.IFNA(INDEX('HS Codes'!$D$2:$K3448,MATCH($B894,'HS Codes'!$A$2:$A3448,0),MATCH(L$1,'HS Codes'!$D$1:$K$1,0)),"")</f>
        <v>63029120</v>
      </c>
      <c r="M894" s="8" t="str">
        <f>_xlfn.IFNA(INDEX('HS Codes'!$C$2:$C3448,MATCH($B894,'HS Codes'!$A$2:$A3448,0)),"")</f>
        <v>Bath Towel - Toilet Linen 100% recycled 340 GSM/83% polyester/17% polyamide (no cotton)</v>
      </c>
      <c r="N894" s="9"/>
      <c r="O894" s="9"/>
      <c r="P894" s="9"/>
      <c r="Q894" s="9"/>
    </row>
    <row r="895" spans="1:17" ht="15.75" customHeight="1">
      <c r="A895" s="7" t="s">
        <v>1187</v>
      </c>
      <c r="B895" s="7" t="s">
        <v>172</v>
      </c>
      <c r="C895" s="7" t="s">
        <v>278</v>
      </c>
      <c r="D895" s="7" t="s">
        <v>173</v>
      </c>
      <c r="E895" s="7" t="s">
        <v>377</v>
      </c>
      <c r="F895" s="8" t="str">
        <f>_xlfn.IFNA(INDEX('HS Codes'!$D$2:$K3449,MATCH($B895,'HS Codes'!$A$2:$A3449,0),MATCH(F$1,'HS Codes'!$D$1:$K$1,0)),"")</f>
        <v>6302.93.2000</v>
      </c>
      <c r="G895" s="8">
        <f>_xlfn.IFNA(INDEX('HS Codes'!$D$2:$K3449,MATCH($B895,'HS Codes'!$A$2:$A3449,0),MATCH(G$1,'HS Codes'!$D$1:$K$1,0)),"")</f>
        <v>6302600090</v>
      </c>
      <c r="H895" s="8" t="str">
        <f>_xlfn.IFNA(INDEX('HS Codes'!$D$2:$K3449,MATCH($B895,'HS Codes'!$A$2:$A3449,0),MATCH(H$1,'HS Codes'!$D$1:$K$1,0)),"")</f>
        <v>6302.93.00.00</v>
      </c>
      <c r="I895" s="8">
        <f>_xlfn.IFNA(INDEX('HS Codes'!$D$2:$K3449,MATCH($B895,'HS Codes'!$A$2:$A3449,0),MATCH(I$1,'HS Codes'!$D$1:$K$1,0)),"")</f>
        <v>6302939000</v>
      </c>
      <c r="J895" s="8">
        <f>_xlfn.IFNA(INDEX('HS Codes'!$D$2:$K3449,MATCH($B895,'HS Codes'!$A$2:$A3449,0),MATCH(J$1,'HS Codes'!$D$1:$K$1,0)),"")</f>
        <v>0</v>
      </c>
      <c r="K895" s="8" t="str">
        <f>_xlfn.IFNA(INDEX('HS Codes'!$D$2:$K3449,MATCH($B895,'HS Codes'!$A$2:$A3449,0),MATCH(K$1,'HS Codes'!$D$1:$K$1,0)),"")</f>
        <v>6302.39.00</v>
      </c>
      <c r="L895" s="8">
        <f>_xlfn.IFNA(INDEX('HS Codes'!$D$2:$K3449,MATCH($B895,'HS Codes'!$A$2:$A3449,0),MATCH(L$1,'HS Codes'!$D$1:$K$1,0)),"")</f>
        <v>63029120</v>
      </c>
      <c r="M895" s="8" t="str">
        <f>_xlfn.IFNA(INDEX('HS Codes'!$C$2:$C3449,MATCH($B895,'HS Codes'!$A$2:$A3449,0)),"")</f>
        <v>Bath Towel - Toilet Linen 100% recycled 340 GSM/83% polyester/17% polyamide (no cotton)</v>
      </c>
      <c r="N895" s="9"/>
      <c r="O895" s="9"/>
      <c r="P895" s="9"/>
      <c r="Q895" s="9"/>
    </row>
    <row r="896" spans="1:17" ht="15.75" customHeight="1">
      <c r="A896" s="7" t="s">
        <v>1188</v>
      </c>
      <c r="B896" s="7" t="s">
        <v>172</v>
      </c>
      <c r="C896" s="7" t="s">
        <v>278</v>
      </c>
      <c r="D896" s="7" t="s">
        <v>173</v>
      </c>
      <c r="E896" s="7" t="s">
        <v>377</v>
      </c>
      <c r="F896" s="8" t="str">
        <f>_xlfn.IFNA(INDEX('HS Codes'!$D$2:$K3450,MATCH($B896,'HS Codes'!$A$2:$A3450,0),MATCH(F$1,'HS Codes'!$D$1:$K$1,0)),"")</f>
        <v>6302.93.2000</v>
      </c>
      <c r="G896" s="8">
        <f>_xlfn.IFNA(INDEX('HS Codes'!$D$2:$K3450,MATCH($B896,'HS Codes'!$A$2:$A3450,0),MATCH(G$1,'HS Codes'!$D$1:$K$1,0)),"")</f>
        <v>6302600090</v>
      </c>
      <c r="H896" s="8" t="str">
        <f>_xlfn.IFNA(INDEX('HS Codes'!$D$2:$K3450,MATCH($B896,'HS Codes'!$A$2:$A3450,0),MATCH(H$1,'HS Codes'!$D$1:$K$1,0)),"")</f>
        <v>6302.93.00.00</v>
      </c>
      <c r="I896" s="8">
        <f>_xlfn.IFNA(INDEX('HS Codes'!$D$2:$K3450,MATCH($B896,'HS Codes'!$A$2:$A3450,0),MATCH(I$1,'HS Codes'!$D$1:$K$1,0)),"")</f>
        <v>6302939000</v>
      </c>
      <c r="J896" s="8">
        <f>_xlfn.IFNA(INDEX('HS Codes'!$D$2:$K3450,MATCH($B896,'HS Codes'!$A$2:$A3450,0),MATCH(J$1,'HS Codes'!$D$1:$K$1,0)),"")</f>
        <v>0</v>
      </c>
      <c r="K896" s="8" t="str">
        <f>_xlfn.IFNA(INDEX('HS Codes'!$D$2:$K3450,MATCH($B896,'HS Codes'!$A$2:$A3450,0),MATCH(K$1,'HS Codes'!$D$1:$K$1,0)),"")</f>
        <v>6302.39.00</v>
      </c>
      <c r="L896" s="8">
        <f>_xlfn.IFNA(INDEX('HS Codes'!$D$2:$K3450,MATCH($B896,'HS Codes'!$A$2:$A3450,0),MATCH(L$1,'HS Codes'!$D$1:$K$1,0)),"")</f>
        <v>63029120</v>
      </c>
      <c r="M896" s="8" t="str">
        <f>_xlfn.IFNA(INDEX('HS Codes'!$C$2:$C3450,MATCH($B896,'HS Codes'!$A$2:$A3450,0)),"")</f>
        <v>Bath Towel - Toilet Linen 100% recycled 340 GSM/83% polyester/17% polyamide (no cotton)</v>
      </c>
      <c r="N896" s="9"/>
      <c r="O896" s="9"/>
      <c r="P896" s="9"/>
      <c r="Q896" s="9"/>
    </row>
    <row r="897" spans="1:17" ht="15.75" customHeight="1">
      <c r="A897" s="7" t="s">
        <v>1189</v>
      </c>
      <c r="B897" s="7"/>
      <c r="C897" s="7"/>
      <c r="D897" s="7"/>
      <c r="E897" s="7"/>
      <c r="F897" s="8" t="str">
        <f>_xlfn.IFNA(INDEX('HS Codes'!$D$2:$K3451,MATCH($B897,'HS Codes'!$A$2:$A3451,0),MATCH(F$1,'HS Codes'!$D$1:$K$1,0)),"")</f>
        <v/>
      </c>
      <c r="G897" s="8" t="str">
        <f>_xlfn.IFNA(INDEX('HS Codes'!$D$2:$K3451,MATCH($B897,'HS Codes'!$A$2:$A3451,0),MATCH(G$1,'HS Codes'!$D$1:$K$1,0)),"")</f>
        <v/>
      </c>
      <c r="H897" s="8" t="str">
        <f>_xlfn.IFNA(INDEX('HS Codes'!$D$2:$K3451,MATCH($B897,'HS Codes'!$A$2:$A3451,0),MATCH(H$1,'HS Codes'!$D$1:$K$1,0)),"")</f>
        <v/>
      </c>
      <c r="I897" s="8" t="str">
        <f>_xlfn.IFNA(INDEX('HS Codes'!$D$2:$K3451,MATCH($B897,'HS Codes'!$A$2:$A3451,0),MATCH(I$1,'HS Codes'!$D$1:$K$1,0)),"")</f>
        <v/>
      </c>
      <c r="J897" s="8" t="str">
        <f>_xlfn.IFNA(INDEX('HS Codes'!$D$2:$K3451,MATCH($B897,'HS Codes'!$A$2:$A3451,0),MATCH(J$1,'HS Codes'!$D$1:$K$1,0)),"")</f>
        <v/>
      </c>
      <c r="K897" s="8" t="str">
        <f>_xlfn.IFNA(INDEX('HS Codes'!$D$2:$K3451,MATCH($B897,'HS Codes'!$A$2:$A3451,0),MATCH(K$1,'HS Codes'!$D$1:$K$1,0)),"")</f>
        <v/>
      </c>
      <c r="L897" s="8" t="str">
        <f>_xlfn.IFNA(INDEX('HS Codes'!$D$2:$K3451,MATCH($B897,'HS Codes'!$A$2:$A3451,0),MATCH(L$1,'HS Codes'!$D$1:$K$1,0)),"")</f>
        <v/>
      </c>
      <c r="M897" s="8" t="str">
        <f>_xlfn.IFNA(INDEX('HS Codes'!$C$2:$C3451,MATCH($B897,'HS Codes'!$A$2:$A3451,0)),"")</f>
        <v/>
      </c>
      <c r="N897" s="9"/>
      <c r="O897" s="9"/>
      <c r="P897" s="9"/>
      <c r="Q897" s="9"/>
    </row>
    <row r="898" spans="1:17" ht="15.75" customHeight="1">
      <c r="A898" s="7" t="s">
        <v>1190</v>
      </c>
      <c r="B898" s="7"/>
      <c r="C898" s="7"/>
      <c r="D898" s="7"/>
      <c r="E898" s="7"/>
      <c r="F898" s="8" t="str">
        <f>_xlfn.IFNA(INDEX('HS Codes'!$D$2:$K3452,MATCH($B898,'HS Codes'!$A$2:$A3452,0),MATCH(F$1,'HS Codes'!$D$1:$K$1,0)),"")</f>
        <v/>
      </c>
      <c r="G898" s="8" t="str">
        <f>_xlfn.IFNA(INDEX('HS Codes'!$D$2:$K3452,MATCH($B898,'HS Codes'!$A$2:$A3452,0),MATCH(G$1,'HS Codes'!$D$1:$K$1,0)),"")</f>
        <v/>
      </c>
      <c r="H898" s="8" t="str">
        <f>_xlfn.IFNA(INDEX('HS Codes'!$D$2:$K3452,MATCH($B898,'HS Codes'!$A$2:$A3452,0),MATCH(H$1,'HS Codes'!$D$1:$K$1,0)),"")</f>
        <v/>
      </c>
      <c r="I898" s="8" t="str">
        <f>_xlfn.IFNA(INDEX('HS Codes'!$D$2:$K3452,MATCH($B898,'HS Codes'!$A$2:$A3452,0),MATCH(I$1,'HS Codes'!$D$1:$K$1,0)),"")</f>
        <v/>
      </c>
      <c r="J898" s="8" t="str">
        <f>_xlfn.IFNA(INDEX('HS Codes'!$D$2:$K3452,MATCH($B898,'HS Codes'!$A$2:$A3452,0),MATCH(J$1,'HS Codes'!$D$1:$K$1,0)),"")</f>
        <v/>
      </c>
      <c r="K898" s="8" t="str">
        <f>_xlfn.IFNA(INDEX('HS Codes'!$D$2:$K3452,MATCH($B898,'HS Codes'!$A$2:$A3452,0),MATCH(K$1,'HS Codes'!$D$1:$K$1,0)),"")</f>
        <v/>
      </c>
      <c r="L898" s="8" t="str">
        <f>_xlfn.IFNA(INDEX('HS Codes'!$D$2:$K3452,MATCH($B898,'HS Codes'!$A$2:$A3452,0),MATCH(L$1,'HS Codes'!$D$1:$K$1,0)),"")</f>
        <v/>
      </c>
      <c r="M898" s="8" t="str">
        <f>_xlfn.IFNA(INDEX('HS Codes'!$C$2:$C3452,MATCH($B898,'HS Codes'!$A$2:$A3452,0)),"")</f>
        <v/>
      </c>
      <c r="N898" s="9"/>
      <c r="O898" s="9"/>
      <c r="P898" s="9"/>
      <c r="Q898" s="9"/>
    </row>
    <row r="899" spans="1:17" ht="15.75" customHeight="1">
      <c r="A899" s="7" t="s">
        <v>1191</v>
      </c>
      <c r="B899" s="7" t="s">
        <v>260</v>
      </c>
      <c r="C899" s="7"/>
      <c r="D899" s="7" t="s">
        <v>261</v>
      </c>
      <c r="E899" s="7" t="s">
        <v>523</v>
      </c>
      <c r="F899" s="8" t="str">
        <f>_xlfn.IFNA(INDEX('HS Codes'!$D$2:$K3453,MATCH($B899,'HS Codes'!$A$2:$A3453,0),MATCH(F$1,'HS Codes'!$D$1:$K$1,0)),"")</f>
        <v>4819.10.0040</v>
      </c>
      <c r="G899" s="8">
        <f>_xlfn.IFNA(INDEX('HS Codes'!$D$2:$K3453,MATCH($B899,'HS Codes'!$A$2:$A3453,0),MATCH(G$1,'HS Codes'!$D$1:$K$1,0)),"")</f>
        <v>4819100000</v>
      </c>
      <c r="H899" s="8">
        <f>_xlfn.IFNA(INDEX('HS Codes'!$D$2:$K3453,MATCH($B899,'HS Codes'!$A$2:$A3453,0),MATCH(H$1,'HS Codes'!$D$1:$K$1,0)),"")</f>
        <v>4819100000</v>
      </c>
      <c r="I899" s="8">
        <f>_xlfn.IFNA(INDEX('HS Codes'!$D$2:$K3453,MATCH($B899,'HS Codes'!$A$2:$A3453,0),MATCH(I$1,'HS Codes'!$D$1:$K$1,0)),"")</f>
        <v>48191000</v>
      </c>
      <c r="J899" s="8">
        <f>_xlfn.IFNA(INDEX('HS Codes'!$D$2:$K3453,MATCH($B899,'HS Codes'!$A$2:$A3453,0),MATCH(J$1,'HS Codes'!$D$1:$K$1,0)),"")</f>
        <v>0</v>
      </c>
      <c r="K899" s="8" t="str">
        <f>_xlfn.IFNA(INDEX('HS Codes'!$D$2:$K3453,MATCH($B899,'HS Codes'!$A$2:$A3453,0),MATCH(K$1,'HS Codes'!$D$1:$K$1,0)),"")</f>
        <v>4819.10.00</v>
      </c>
      <c r="L899" s="8">
        <f>_xlfn.IFNA(INDEX('HS Codes'!$D$2:$K3453,MATCH($B899,'HS Codes'!$A$2:$A3453,0),MATCH(L$1,'HS Codes'!$D$1:$K$1,0)),"")</f>
        <v>0</v>
      </c>
      <c r="M899" s="8">
        <f>_xlfn.IFNA(INDEX('HS Codes'!$C$2:$C3453,MATCH($B899,'HS Codes'!$A$2:$A3453,0)),"")</f>
        <v>0</v>
      </c>
      <c r="N899" s="9"/>
      <c r="O899" s="9"/>
      <c r="P899" s="9"/>
      <c r="Q899" s="9"/>
    </row>
    <row r="900" spans="1:17" ht="15.75" customHeight="1">
      <c r="A900" s="7" t="s">
        <v>1192</v>
      </c>
      <c r="B900" s="7" t="s">
        <v>260</v>
      </c>
      <c r="C900" s="7"/>
      <c r="D900" s="7" t="s">
        <v>261</v>
      </c>
      <c r="E900" s="7" t="s">
        <v>523</v>
      </c>
      <c r="F900" s="8" t="str">
        <f>_xlfn.IFNA(INDEX('HS Codes'!$D$2:$K3454,MATCH($B900,'HS Codes'!$A$2:$A3454,0),MATCH(F$1,'HS Codes'!$D$1:$K$1,0)),"")</f>
        <v>4819.10.0040</v>
      </c>
      <c r="G900" s="8">
        <f>_xlfn.IFNA(INDEX('HS Codes'!$D$2:$K3454,MATCH($B900,'HS Codes'!$A$2:$A3454,0),MATCH(G$1,'HS Codes'!$D$1:$K$1,0)),"")</f>
        <v>4819100000</v>
      </c>
      <c r="H900" s="8">
        <f>_xlfn.IFNA(INDEX('HS Codes'!$D$2:$K3454,MATCH($B900,'HS Codes'!$A$2:$A3454,0),MATCH(H$1,'HS Codes'!$D$1:$K$1,0)),"")</f>
        <v>4819100000</v>
      </c>
      <c r="I900" s="8">
        <f>_xlfn.IFNA(INDEX('HS Codes'!$D$2:$K3454,MATCH($B900,'HS Codes'!$A$2:$A3454,0),MATCH(I$1,'HS Codes'!$D$1:$K$1,0)),"")</f>
        <v>48191000</v>
      </c>
      <c r="J900" s="8">
        <f>_xlfn.IFNA(INDEX('HS Codes'!$D$2:$K3454,MATCH($B900,'HS Codes'!$A$2:$A3454,0),MATCH(J$1,'HS Codes'!$D$1:$K$1,0)),"")</f>
        <v>0</v>
      </c>
      <c r="K900" s="8" t="str">
        <f>_xlfn.IFNA(INDEX('HS Codes'!$D$2:$K3454,MATCH($B900,'HS Codes'!$A$2:$A3454,0),MATCH(K$1,'HS Codes'!$D$1:$K$1,0)),"")</f>
        <v>4819.10.00</v>
      </c>
      <c r="L900" s="8">
        <f>_xlfn.IFNA(INDEX('HS Codes'!$D$2:$K3454,MATCH($B900,'HS Codes'!$A$2:$A3454,0),MATCH(L$1,'HS Codes'!$D$1:$K$1,0)),"")</f>
        <v>0</v>
      </c>
      <c r="M900" s="8">
        <f>_xlfn.IFNA(INDEX('HS Codes'!$C$2:$C3454,MATCH($B900,'HS Codes'!$A$2:$A3454,0)),"")</f>
        <v>0</v>
      </c>
      <c r="N900" s="9"/>
      <c r="O900" s="9"/>
      <c r="P900" s="9"/>
      <c r="Q900" s="9"/>
    </row>
    <row r="901" spans="1:17" ht="15.75" customHeight="1">
      <c r="A901" s="7" t="s">
        <v>1193</v>
      </c>
      <c r="B901" s="7" t="s">
        <v>260</v>
      </c>
      <c r="C901" s="7"/>
      <c r="D901" s="7" t="s">
        <v>261</v>
      </c>
      <c r="E901" s="7" t="s">
        <v>523</v>
      </c>
      <c r="F901" s="8" t="str">
        <f>_xlfn.IFNA(INDEX('HS Codes'!$D$2:$K3455,MATCH($B901,'HS Codes'!$A$2:$A3455,0),MATCH(F$1,'HS Codes'!$D$1:$K$1,0)),"")</f>
        <v>4819.10.0040</v>
      </c>
      <c r="G901" s="8">
        <f>_xlfn.IFNA(INDEX('HS Codes'!$D$2:$K3455,MATCH($B901,'HS Codes'!$A$2:$A3455,0),MATCH(G$1,'HS Codes'!$D$1:$K$1,0)),"")</f>
        <v>4819100000</v>
      </c>
      <c r="H901" s="8">
        <f>_xlfn.IFNA(INDEX('HS Codes'!$D$2:$K3455,MATCH($B901,'HS Codes'!$A$2:$A3455,0),MATCH(H$1,'HS Codes'!$D$1:$K$1,0)),"")</f>
        <v>4819100000</v>
      </c>
      <c r="I901" s="8">
        <f>_xlfn.IFNA(INDEX('HS Codes'!$D$2:$K3455,MATCH($B901,'HS Codes'!$A$2:$A3455,0),MATCH(I$1,'HS Codes'!$D$1:$K$1,0)),"")</f>
        <v>48191000</v>
      </c>
      <c r="J901" s="8">
        <f>_xlfn.IFNA(INDEX('HS Codes'!$D$2:$K3455,MATCH($B901,'HS Codes'!$A$2:$A3455,0),MATCH(J$1,'HS Codes'!$D$1:$K$1,0)),"")</f>
        <v>0</v>
      </c>
      <c r="K901" s="8" t="str">
        <f>_xlfn.IFNA(INDEX('HS Codes'!$D$2:$K3455,MATCH($B901,'HS Codes'!$A$2:$A3455,0),MATCH(K$1,'HS Codes'!$D$1:$K$1,0)),"")</f>
        <v>4819.10.00</v>
      </c>
      <c r="L901" s="8">
        <f>_xlfn.IFNA(INDEX('HS Codes'!$D$2:$K3455,MATCH($B901,'HS Codes'!$A$2:$A3455,0),MATCH(L$1,'HS Codes'!$D$1:$K$1,0)),"")</f>
        <v>0</v>
      </c>
      <c r="M901" s="8">
        <f>_xlfn.IFNA(INDEX('HS Codes'!$C$2:$C3455,MATCH($B901,'HS Codes'!$A$2:$A3455,0)),"")</f>
        <v>0</v>
      </c>
      <c r="N901" s="9"/>
      <c r="O901" s="9"/>
      <c r="P901" s="9"/>
      <c r="Q901" s="9"/>
    </row>
    <row r="902" spans="1:17" ht="15.75" customHeight="1">
      <c r="A902" s="7" t="s">
        <v>1194</v>
      </c>
      <c r="B902" s="7" t="s">
        <v>260</v>
      </c>
      <c r="C902" s="7"/>
      <c r="D902" s="7" t="s">
        <v>261</v>
      </c>
      <c r="E902" s="7" t="s">
        <v>523</v>
      </c>
      <c r="F902" s="8" t="str">
        <f>_xlfn.IFNA(INDEX('HS Codes'!$D$2:$K3456,MATCH($B902,'HS Codes'!$A$2:$A3456,0),MATCH(F$1,'HS Codes'!$D$1:$K$1,0)),"")</f>
        <v>4819.10.0040</v>
      </c>
      <c r="G902" s="8">
        <f>_xlfn.IFNA(INDEX('HS Codes'!$D$2:$K3456,MATCH($B902,'HS Codes'!$A$2:$A3456,0),MATCH(G$1,'HS Codes'!$D$1:$K$1,0)),"")</f>
        <v>4819100000</v>
      </c>
      <c r="H902" s="8">
        <f>_xlfn.IFNA(INDEX('HS Codes'!$D$2:$K3456,MATCH($B902,'HS Codes'!$A$2:$A3456,0),MATCH(H$1,'HS Codes'!$D$1:$K$1,0)),"")</f>
        <v>4819100000</v>
      </c>
      <c r="I902" s="8">
        <f>_xlfn.IFNA(INDEX('HS Codes'!$D$2:$K3456,MATCH($B902,'HS Codes'!$A$2:$A3456,0),MATCH(I$1,'HS Codes'!$D$1:$K$1,0)),"")</f>
        <v>48191000</v>
      </c>
      <c r="J902" s="8">
        <f>_xlfn.IFNA(INDEX('HS Codes'!$D$2:$K3456,MATCH($B902,'HS Codes'!$A$2:$A3456,0),MATCH(J$1,'HS Codes'!$D$1:$K$1,0)),"")</f>
        <v>0</v>
      </c>
      <c r="K902" s="8" t="str">
        <f>_xlfn.IFNA(INDEX('HS Codes'!$D$2:$K3456,MATCH($B902,'HS Codes'!$A$2:$A3456,0),MATCH(K$1,'HS Codes'!$D$1:$K$1,0)),"")</f>
        <v>4819.10.00</v>
      </c>
      <c r="L902" s="8">
        <f>_xlfn.IFNA(INDEX('HS Codes'!$D$2:$K3456,MATCH($B902,'HS Codes'!$A$2:$A3456,0),MATCH(L$1,'HS Codes'!$D$1:$K$1,0)),"")</f>
        <v>0</v>
      </c>
      <c r="M902" s="8">
        <f>_xlfn.IFNA(INDEX('HS Codes'!$C$2:$C3456,MATCH($B902,'HS Codes'!$A$2:$A3456,0)),"")</f>
        <v>0</v>
      </c>
      <c r="N902" s="9"/>
      <c r="O902" s="9"/>
      <c r="P902" s="9"/>
      <c r="Q902" s="9"/>
    </row>
    <row r="903" spans="1:17" ht="15.75" customHeight="1">
      <c r="A903" s="7" t="s">
        <v>1195</v>
      </c>
      <c r="B903" s="7" t="s">
        <v>260</v>
      </c>
      <c r="C903" s="7"/>
      <c r="D903" s="7" t="s">
        <v>261</v>
      </c>
      <c r="E903" s="7" t="s">
        <v>523</v>
      </c>
      <c r="F903" s="8" t="str">
        <f>_xlfn.IFNA(INDEX('HS Codes'!$D$2:$K3457,MATCH($B903,'HS Codes'!$A$2:$A3457,0),MATCH(F$1,'HS Codes'!$D$1:$K$1,0)),"")</f>
        <v>4819.10.0040</v>
      </c>
      <c r="G903" s="8">
        <f>_xlfn.IFNA(INDEX('HS Codes'!$D$2:$K3457,MATCH($B903,'HS Codes'!$A$2:$A3457,0),MATCH(G$1,'HS Codes'!$D$1:$K$1,0)),"")</f>
        <v>4819100000</v>
      </c>
      <c r="H903" s="8">
        <f>_xlfn.IFNA(INDEX('HS Codes'!$D$2:$K3457,MATCH($B903,'HS Codes'!$A$2:$A3457,0),MATCH(H$1,'HS Codes'!$D$1:$K$1,0)),"")</f>
        <v>4819100000</v>
      </c>
      <c r="I903" s="8">
        <f>_xlfn.IFNA(INDEX('HS Codes'!$D$2:$K3457,MATCH($B903,'HS Codes'!$A$2:$A3457,0),MATCH(I$1,'HS Codes'!$D$1:$K$1,0)),"")</f>
        <v>48191000</v>
      </c>
      <c r="J903" s="8">
        <f>_xlfn.IFNA(INDEX('HS Codes'!$D$2:$K3457,MATCH($B903,'HS Codes'!$A$2:$A3457,0),MATCH(J$1,'HS Codes'!$D$1:$K$1,0)),"")</f>
        <v>0</v>
      </c>
      <c r="K903" s="8" t="str">
        <f>_xlfn.IFNA(INDEX('HS Codes'!$D$2:$K3457,MATCH($B903,'HS Codes'!$A$2:$A3457,0),MATCH(K$1,'HS Codes'!$D$1:$K$1,0)),"")</f>
        <v>4819.10.00</v>
      </c>
      <c r="L903" s="8">
        <f>_xlfn.IFNA(INDEX('HS Codes'!$D$2:$K3457,MATCH($B903,'HS Codes'!$A$2:$A3457,0),MATCH(L$1,'HS Codes'!$D$1:$K$1,0)),"")</f>
        <v>0</v>
      </c>
      <c r="M903" s="8">
        <f>_xlfn.IFNA(INDEX('HS Codes'!$C$2:$C3457,MATCH($B903,'HS Codes'!$A$2:$A3457,0)),"")</f>
        <v>0</v>
      </c>
      <c r="N903" s="9"/>
      <c r="O903" s="9"/>
      <c r="P903" s="9"/>
      <c r="Q903" s="9"/>
    </row>
    <row r="904" spans="1:17" ht="15.75" customHeight="1">
      <c r="A904" s="7" t="s">
        <v>1196</v>
      </c>
      <c r="B904" s="7" t="s">
        <v>260</v>
      </c>
      <c r="C904" s="7"/>
      <c r="D904" s="7" t="s">
        <v>261</v>
      </c>
      <c r="E904" s="7" t="s">
        <v>523</v>
      </c>
      <c r="F904" s="8" t="str">
        <f>_xlfn.IFNA(INDEX('HS Codes'!$D$2:$K3458,MATCH($B904,'HS Codes'!$A$2:$A3458,0),MATCH(F$1,'HS Codes'!$D$1:$K$1,0)),"")</f>
        <v>4819.10.0040</v>
      </c>
      <c r="G904" s="8">
        <f>_xlfn.IFNA(INDEX('HS Codes'!$D$2:$K3458,MATCH($B904,'HS Codes'!$A$2:$A3458,0),MATCH(G$1,'HS Codes'!$D$1:$K$1,0)),"")</f>
        <v>4819100000</v>
      </c>
      <c r="H904" s="8">
        <f>_xlfn.IFNA(INDEX('HS Codes'!$D$2:$K3458,MATCH($B904,'HS Codes'!$A$2:$A3458,0),MATCH(H$1,'HS Codes'!$D$1:$K$1,0)),"")</f>
        <v>4819100000</v>
      </c>
      <c r="I904" s="8">
        <f>_xlfn.IFNA(INDEX('HS Codes'!$D$2:$K3458,MATCH($B904,'HS Codes'!$A$2:$A3458,0),MATCH(I$1,'HS Codes'!$D$1:$K$1,0)),"")</f>
        <v>48191000</v>
      </c>
      <c r="J904" s="8">
        <f>_xlfn.IFNA(INDEX('HS Codes'!$D$2:$K3458,MATCH($B904,'HS Codes'!$A$2:$A3458,0),MATCH(J$1,'HS Codes'!$D$1:$K$1,0)),"")</f>
        <v>0</v>
      </c>
      <c r="K904" s="8" t="str">
        <f>_xlfn.IFNA(INDEX('HS Codes'!$D$2:$K3458,MATCH($B904,'HS Codes'!$A$2:$A3458,0),MATCH(K$1,'HS Codes'!$D$1:$K$1,0)),"")</f>
        <v>4819.10.00</v>
      </c>
      <c r="L904" s="8">
        <f>_xlfn.IFNA(INDEX('HS Codes'!$D$2:$K3458,MATCH($B904,'HS Codes'!$A$2:$A3458,0),MATCH(L$1,'HS Codes'!$D$1:$K$1,0)),"")</f>
        <v>0</v>
      </c>
      <c r="M904" s="8">
        <f>_xlfn.IFNA(INDEX('HS Codes'!$C$2:$C3458,MATCH($B904,'HS Codes'!$A$2:$A3458,0)),"")</f>
        <v>0</v>
      </c>
      <c r="N904" s="9"/>
      <c r="O904" s="9"/>
      <c r="P904" s="9"/>
      <c r="Q904" s="9"/>
    </row>
    <row r="905" spans="1:17" ht="15.75" customHeight="1">
      <c r="A905" s="7" t="s">
        <v>1197</v>
      </c>
      <c r="B905" s="7" t="s">
        <v>260</v>
      </c>
      <c r="C905" s="7"/>
      <c r="D905" s="7" t="s">
        <v>261</v>
      </c>
      <c r="E905" s="7" t="s">
        <v>523</v>
      </c>
      <c r="F905" s="8" t="str">
        <f>_xlfn.IFNA(INDEX('HS Codes'!$D$2:$K3459,MATCH($B905,'HS Codes'!$A$2:$A3459,0),MATCH(F$1,'HS Codes'!$D$1:$K$1,0)),"")</f>
        <v>4819.10.0040</v>
      </c>
      <c r="G905" s="8">
        <f>_xlfn.IFNA(INDEX('HS Codes'!$D$2:$K3459,MATCH($B905,'HS Codes'!$A$2:$A3459,0),MATCH(G$1,'HS Codes'!$D$1:$K$1,0)),"")</f>
        <v>4819100000</v>
      </c>
      <c r="H905" s="8">
        <f>_xlfn.IFNA(INDEX('HS Codes'!$D$2:$K3459,MATCH($B905,'HS Codes'!$A$2:$A3459,0),MATCH(H$1,'HS Codes'!$D$1:$K$1,0)),"")</f>
        <v>4819100000</v>
      </c>
      <c r="I905" s="8">
        <f>_xlfn.IFNA(INDEX('HS Codes'!$D$2:$K3459,MATCH($B905,'HS Codes'!$A$2:$A3459,0),MATCH(I$1,'HS Codes'!$D$1:$K$1,0)),"")</f>
        <v>48191000</v>
      </c>
      <c r="J905" s="8">
        <f>_xlfn.IFNA(INDEX('HS Codes'!$D$2:$K3459,MATCH($B905,'HS Codes'!$A$2:$A3459,0),MATCH(J$1,'HS Codes'!$D$1:$K$1,0)),"")</f>
        <v>0</v>
      </c>
      <c r="K905" s="8" t="str">
        <f>_xlfn.IFNA(INDEX('HS Codes'!$D$2:$K3459,MATCH($B905,'HS Codes'!$A$2:$A3459,0),MATCH(K$1,'HS Codes'!$D$1:$K$1,0)),"")</f>
        <v>4819.10.00</v>
      </c>
      <c r="L905" s="8">
        <f>_xlfn.IFNA(INDEX('HS Codes'!$D$2:$K3459,MATCH($B905,'HS Codes'!$A$2:$A3459,0),MATCH(L$1,'HS Codes'!$D$1:$K$1,0)),"")</f>
        <v>0</v>
      </c>
      <c r="M905" s="8">
        <f>_xlfn.IFNA(INDEX('HS Codes'!$C$2:$C3459,MATCH($B905,'HS Codes'!$A$2:$A3459,0)),"")</f>
        <v>0</v>
      </c>
      <c r="N905" s="9"/>
      <c r="O905" s="9"/>
      <c r="P905" s="9"/>
      <c r="Q905" s="9"/>
    </row>
    <row r="906" spans="1:17" ht="15.75" customHeight="1">
      <c r="A906" s="7" t="s">
        <v>1198</v>
      </c>
      <c r="B906" s="7" t="s">
        <v>260</v>
      </c>
      <c r="C906" s="7"/>
      <c r="D906" s="7" t="s">
        <v>261</v>
      </c>
      <c r="E906" s="7" t="s">
        <v>523</v>
      </c>
      <c r="F906" s="8" t="str">
        <f>_xlfn.IFNA(INDEX('HS Codes'!$D$2:$K3460,MATCH($B906,'HS Codes'!$A$2:$A3460,0),MATCH(F$1,'HS Codes'!$D$1:$K$1,0)),"")</f>
        <v>4819.10.0040</v>
      </c>
      <c r="G906" s="8">
        <f>_xlfn.IFNA(INDEX('HS Codes'!$D$2:$K3460,MATCH($B906,'HS Codes'!$A$2:$A3460,0),MATCH(G$1,'HS Codes'!$D$1:$K$1,0)),"")</f>
        <v>4819100000</v>
      </c>
      <c r="H906" s="8">
        <f>_xlfn.IFNA(INDEX('HS Codes'!$D$2:$K3460,MATCH($B906,'HS Codes'!$A$2:$A3460,0),MATCH(H$1,'HS Codes'!$D$1:$K$1,0)),"")</f>
        <v>4819100000</v>
      </c>
      <c r="I906" s="8">
        <f>_xlfn.IFNA(INDEX('HS Codes'!$D$2:$K3460,MATCH($B906,'HS Codes'!$A$2:$A3460,0),MATCH(I$1,'HS Codes'!$D$1:$K$1,0)),"")</f>
        <v>48191000</v>
      </c>
      <c r="J906" s="8">
        <f>_xlfn.IFNA(INDEX('HS Codes'!$D$2:$K3460,MATCH($B906,'HS Codes'!$A$2:$A3460,0),MATCH(J$1,'HS Codes'!$D$1:$K$1,0)),"")</f>
        <v>0</v>
      </c>
      <c r="K906" s="8" t="str">
        <f>_xlfn.IFNA(INDEX('HS Codes'!$D$2:$K3460,MATCH($B906,'HS Codes'!$A$2:$A3460,0),MATCH(K$1,'HS Codes'!$D$1:$K$1,0)),"")</f>
        <v>4819.10.00</v>
      </c>
      <c r="L906" s="8">
        <f>_xlfn.IFNA(INDEX('HS Codes'!$D$2:$K3460,MATCH($B906,'HS Codes'!$A$2:$A3460,0),MATCH(L$1,'HS Codes'!$D$1:$K$1,0)),"")</f>
        <v>0</v>
      </c>
      <c r="M906" s="8">
        <f>_xlfn.IFNA(INDEX('HS Codes'!$C$2:$C3460,MATCH($B906,'HS Codes'!$A$2:$A3460,0)),"")</f>
        <v>0</v>
      </c>
      <c r="N906" s="9"/>
      <c r="O906" s="9"/>
      <c r="P906" s="9"/>
      <c r="Q906" s="9"/>
    </row>
    <row r="907" spans="1:17" ht="15.75" customHeight="1">
      <c r="A907" s="7" t="s">
        <v>1199</v>
      </c>
      <c r="B907" s="7" t="s">
        <v>260</v>
      </c>
      <c r="C907" s="7"/>
      <c r="D907" s="7" t="s">
        <v>261</v>
      </c>
      <c r="E907" s="7" t="s">
        <v>523</v>
      </c>
      <c r="F907" s="8" t="str">
        <f>_xlfn.IFNA(INDEX('HS Codes'!$D$2:$K3461,MATCH($B907,'HS Codes'!$A$2:$A3461,0),MATCH(F$1,'HS Codes'!$D$1:$K$1,0)),"")</f>
        <v>4819.10.0040</v>
      </c>
      <c r="G907" s="8">
        <f>_xlfn.IFNA(INDEX('HS Codes'!$D$2:$K3461,MATCH($B907,'HS Codes'!$A$2:$A3461,0),MATCH(G$1,'HS Codes'!$D$1:$K$1,0)),"")</f>
        <v>4819100000</v>
      </c>
      <c r="H907" s="8">
        <f>_xlfn.IFNA(INDEX('HS Codes'!$D$2:$K3461,MATCH($B907,'HS Codes'!$A$2:$A3461,0),MATCH(H$1,'HS Codes'!$D$1:$K$1,0)),"")</f>
        <v>4819100000</v>
      </c>
      <c r="I907" s="8">
        <f>_xlfn.IFNA(INDEX('HS Codes'!$D$2:$K3461,MATCH($B907,'HS Codes'!$A$2:$A3461,0),MATCH(I$1,'HS Codes'!$D$1:$K$1,0)),"")</f>
        <v>48191000</v>
      </c>
      <c r="J907" s="8">
        <f>_xlfn.IFNA(INDEX('HS Codes'!$D$2:$K3461,MATCH($B907,'HS Codes'!$A$2:$A3461,0),MATCH(J$1,'HS Codes'!$D$1:$K$1,0)),"")</f>
        <v>0</v>
      </c>
      <c r="K907" s="8" t="str">
        <f>_xlfn.IFNA(INDEX('HS Codes'!$D$2:$K3461,MATCH($B907,'HS Codes'!$A$2:$A3461,0),MATCH(K$1,'HS Codes'!$D$1:$K$1,0)),"")</f>
        <v>4819.10.00</v>
      </c>
      <c r="L907" s="8">
        <f>_xlfn.IFNA(INDEX('HS Codes'!$D$2:$K3461,MATCH($B907,'HS Codes'!$A$2:$A3461,0),MATCH(L$1,'HS Codes'!$D$1:$K$1,0)),"")</f>
        <v>0</v>
      </c>
      <c r="M907" s="8">
        <f>_xlfn.IFNA(INDEX('HS Codes'!$C$2:$C3461,MATCH($B907,'HS Codes'!$A$2:$A3461,0)),"")</f>
        <v>0</v>
      </c>
      <c r="N907" s="9"/>
      <c r="O907" s="9"/>
      <c r="P907" s="9"/>
      <c r="Q907" s="9"/>
    </row>
    <row r="908" spans="1:17" ht="15.75" customHeight="1">
      <c r="A908" s="7" t="s">
        <v>1200</v>
      </c>
      <c r="B908" s="7" t="s">
        <v>260</v>
      </c>
      <c r="C908" s="7"/>
      <c r="D908" s="7" t="s">
        <v>261</v>
      </c>
      <c r="E908" s="7" t="s">
        <v>523</v>
      </c>
      <c r="F908" s="8" t="str">
        <f>_xlfn.IFNA(INDEX('HS Codes'!$D$2:$K3462,MATCH($B908,'HS Codes'!$A$2:$A3462,0),MATCH(F$1,'HS Codes'!$D$1:$K$1,0)),"")</f>
        <v>4819.10.0040</v>
      </c>
      <c r="G908" s="8">
        <f>_xlfn.IFNA(INDEX('HS Codes'!$D$2:$K3462,MATCH($B908,'HS Codes'!$A$2:$A3462,0),MATCH(G$1,'HS Codes'!$D$1:$K$1,0)),"")</f>
        <v>4819100000</v>
      </c>
      <c r="H908" s="8">
        <f>_xlfn.IFNA(INDEX('HS Codes'!$D$2:$K3462,MATCH($B908,'HS Codes'!$A$2:$A3462,0),MATCH(H$1,'HS Codes'!$D$1:$K$1,0)),"")</f>
        <v>4819100000</v>
      </c>
      <c r="I908" s="8">
        <f>_xlfn.IFNA(INDEX('HS Codes'!$D$2:$K3462,MATCH($B908,'HS Codes'!$A$2:$A3462,0),MATCH(I$1,'HS Codes'!$D$1:$K$1,0)),"")</f>
        <v>48191000</v>
      </c>
      <c r="J908" s="8">
        <f>_xlfn.IFNA(INDEX('HS Codes'!$D$2:$K3462,MATCH($B908,'HS Codes'!$A$2:$A3462,0),MATCH(J$1,'HS Codes'!$D$1:$K$1,0)),"")</f>
        <v>0</v>
      </c>
      <c r="K908" s="8" t="str">
        <f>_xlfn.IFNA(INDEX('HS Codes'!$D$2:$K3462,MATCH($B908,'HS Codes'!$A$2:$A3462,0),MATCH(K$1,'HS Codes'!$D$1:$K$1,0)),"")</f>
        <v>4819.10.00</v>
      </c>
      <c r="L908" s="8">
        <f>_xlfn.IFNA(INDEX('HS Codes'!$D$2:$K3462,MATCH($B908,'HS Codes'!$A$2:$A3462,0),MATCH(L$1,'HS Codes'!$D$1:$K$1,0)),"")</f>
        <v>0</v>
      </c>
      <c r="M908" s="8">
        <f>_xlfn.IFNA(INDEX('HS Codes'!$C$2:$C3462,MATCH($B908,'HS Codes'!$A$2:$A3462,0)),"")</f>
        <v>0</v>
      </c>
      <c r="N908" s="9"/>
      <c r="O908" s="9"/>
      <c r="P908" s="9"/>
      <c r="Q908" s="9"/>
    </row>
    <row r="909" spans="1:17" ht="15.75" customHeight="1">
      <c r="A909" s="7" t="s">
        <v>1201</v>
      </c>
      <c r="B909" s="7" t="s">
        <v>260</v>
      </c>
      <c r="C909" s="7"/>
      <c r="D909" s="7" t="s">
        <v>261</v>
      </c>
      <c r="E909" s="7" t="s">
        <v>523</v>
      </c>
      <c r="F909" s="8" t="str">
        <f>_xlfn.IFNA(INDEX('HS Codes'!$D$2:$K3463,MATCH($B909,'HS Codes'!$A$2:$A3463,0),MATCH(F$1,'HS Codes'!$D$1:$K$1,0)),"")</f>
        <v>4819.10.0040</v>
      </c>
      <c r="G909" s="8">
        <f>_xlfn.IFNA(INDEX('HS Codes'!$D$2:$K3463,MATCH($B909,'HS Codes'!$A$2:$A3463,0),MATCH(G$1,'HS Codes'!$D$1:$K$1,0)),"")</f>
        <v>4819100000</v>
      </c>
      <c r="H909" s="8">
        <f>_xlfn.IFNA(INDEX('HS Codes'!$D$2:$K3463,MATCH($B909,'HS Codes'!$A$2:$A3463,0),MATCH(H$1,'HS Codes'!$D$1:$K$1,0)),"")</f>
        <v>4819100000</v>
      </c>
      <c r="I909" s="8">
        <f>_xlfn.IFNA(INDEX('HS Codes'!$D$2:$K3463,MATCH($B909,'HS Codes'!$A$2:$A3463,0),MATCH(I$1,'HS Codes'!$D$1:$K$1,0)),"")</f>
        <v>48191000</v>
      </c>
      <c r="J909" s="8">
        <f>_xlfn.IFNA(INDEX('HS Codes'!$D$2:$K3463,MATCH($B909,'HS Codes'!$A$2:$A3463,0),MATCH(J$1,'HS Codes'!$D$1:$K$1,0)),"")</f>
        <v>0</v>
      </c>
      <c r="K909" s="8" t="str">
        <f>_xlfn.IFNA(INDEX('HS Codes'!$D$2:$K3463,MATCH($B909,'HS Codes'!$A$2:$A3463,0),MATCH(K$1,'HS Codes'!$D$1:$K$1,0)),"")</f>
        <v>4819.10.00</v>
      </c>
      <c r="L909" s="8">
        <f>_xlfn.IFNA(INDEX('HS Codes'!$D$2:$K3463,MATCH($B909,'HS Codes'!$A$2:$A3463,0),MATCH(L$1,'HS Codes'!$D$1:$K$1,0)),"")</f>
        <v>0</v>
      </c>
      <c r="M909" s="8">
        <f>_xlfn.IFNA(INDEX('HS Codes'!$C$2:$C3463,MATCH($B909,'HS Codes'!$A$2:$A3463,0)),"")</f>
        <v>0</v>
      </c>
      <c r="N909" s="9"/>
      <c r="O909" s="9"/>
      <c r="P909" s="9"/>
      <c r="Q909" s="9"/>
    </row>
    <row r="910" spans="1:17" ht="15.75" customHeight="1">
      <c r="A910" s="7" t="s">
        <v>1202</v>
      </c>
      <c r="B910" s="7" t="s">
        <v>260</v>
      </c>
      <c r="C910" s="7"/>
      <c r="D910" s="7" t="s">
        <v>261</v>
      </c>
      <c r="E910" s="7" t="s">
        <v>523</v>
      </c>
      <c r="F910" s="8" t="str">
        <f>_xlfn.IFNA(INDEX('HS Codes'!$D$2:$K3464,MATCH($B910,'HS Codes'!$A$2:$A3464,0),MATCH(F$1,'HS Codes'!$D$1:$K$1,0)),"")</f>
        <v>4819.10.0040</v>
      </c>
      <c r="G910" s="8">
        <f>_xlfn.IFNA(INDEX('HS Codes'!$D$2:$K3464,MATCH($B910,'HS Codes'!$A$2:$A3464,0),MATCH(G$1,'HS Codes'!$D$1:$K$1,0)),"")</f>
        <v>4819100000</v>
      </c>
      <c r="H910" s="8">
        <f>_xlfn.IFNA(INDEX('HS Codes'!$D$2:$K3464,MATCH($B910,'HS Codes'!$A$2:$A3464,0),MATCH(H$1,'HS Codes'!$D$1:$K$1,0)),"")</f>
        <v>4819100000</v>
      </c>
      <c r="I910" s="8">
        <f>_xlfn.IFNA(INDEX('HS Codes'!$D$2:$K3464,MATCH($B910,'HS Codes'!$A$2:$A3464,0),MATCH(I$1,'HS Codes'!$D$1:$K$1,0)),"")</f>
        <v>48191000</v>
      </c>
      <c r="J910" s="8">
        <f>_xlfn.IFNA(INDEX('HS Codes'!$D$2:$K3464,MATCH($B910,'HS Codes'!$A$2:$A3464,0),MATCH(J$1,'HS Codes'!$D$1:$K$1,0)),"")</f>
        <v>0</v>
      </c>
      <c r="K910" s="8" t="str">
        <f>_xlfn.IFNA(INDEX('HS Codes'!$D$2:$K3464,MATCH($B910,'HS Codes'!$A$2:$A3464,0),MATCH(K$1,'HS Codes'!$D$1:$K$1,0)),"")</f>
        <v>4819.10.00</v>
      </c>
      <c r="L910" s="8">
        <f>_xlfn.IFNA(INDEX('HS Codes'!$D$2:$K3464,MATCH($B910,'HS Codes'!$A$2:$A3464,0),MATCH(L$1,'HS Codes'!$D$1:$K$1,0)),"")</f>
        <v>0</v>
      </c>
      <c r="M910" s="8">
        <f>_xlfn.IFNA(INDEX('HS Codes'!$C$2:$C3464,MATCH($B910,'HS Codes'!$A$2:$A3464,0)),"")</f>
        <v>0</v>
      </c>
      <c r="N910" s="9"/>
      <c r="O910" s="9"/>
      <c r="P910" s="9"/>
      <c r="Q910" s="9"/>
    </row>
    <row r="911" spans="1:17" ht="15.75" customHeight="1">
      <c r="A911" s="7" t="s">
        <v>1203</v>
      </c>
      <c r="B911" s="7" t="s">
        <v>260</v>
      </c>
      <c r="C911" s="7"/>
      <c r="D911" s="7" t="s">
        <v>261</v>
      </c>
      <c r="E911" s="7" t="s">
        <v>523</v>
      </c>
      <c r="F911" s="8" t="str">
        <f>_xlfn.IFNA(INDEX('HS Codes'!$D$2:$K3465,MATCH($B911,'HS Codes'!$A$2:$A3465,0),MATCH(F$1,'HS Codes'!$D$1:$K$1,0)),"")</f>
        <v>4819.10.0040</v>
      </c>
      <c r="G911" s="8">
        <f>_xlfn.IFNA(INDEX('HS Codes'!$D$2:$K3465,MATCH($B911,'HS Codes'!$A$2:$A3465,0),MATCH(G$1,'HS Codes'!$D$1:$K$1,0)),"")</f>
        <v>4819100000</v>
      </c>
      <c r="H911" s="8">
        <f>_xlfn.IFNA(INDEX('HS Codes'!$D$2:$K3465,MATCH($B911,'HS Codes'!$A$2:$A3465,0),MATCH(H$1,'HS Codes'!$D$1:$K$1,0)),"")</f>
        <v>4819100000</v>
      </c>
      <c r="I911" s="8">
        <f>_xlfn.IFNA(INDEX('HS Codes'!$D$2:$K3465,MATCH($B911,'HS Codes'!$A$2:$A3465,0),MATCH(I$1,'HS Codes'!$D$1:$K$1,0)),"")</f>
        <v>48191000</v>
      </c>
      <c r="J911" s="8">
        <f>_xlfn.IFNA(INDEX('HS Codes'!$D$2:$K3465,MATCH($B911,'HS Codes'!$A$2:$A3465,0),MATCH(J$1,'HS Codes'!$D$1:$K$1,0)),"")</f>
        <v>0</v>
      </c>
      <c r="K911" s="8" t="str">
        <f>_xlfn.IFNA(INDEX('HS Codes'!$D$2:$K3465,MATCH($B911,'HS Codes'!$A$2:$A3465,0),MATCH(K$1,'HS Codes'!$D$1:$K$1,0)),"")</f>
        <v>4819.10.00</v>
      </c>
      <c r="L911" s="8">
        <f>_xlfn.IFNA(INDEX('HS Codes'!$D$2:$K3465,MATCH($B911,'HS Codes'!$A$2:$A3465,0),MATCH(L$1,'HS Codes'!$D$1:$K$1,0)),"")</f>
        <v>0</v>
      </c>
      <c r="M911" s="8">
        <f>_xlfn.IFNA(INDEX('HS Codes'!$C$2:$C3465,MATCH($B911,'HS Codes'!$A$2:$A3465,0)),"")</f>
        <v>0</v>
      </c>
      <c r="N911" s="9"/>
      <c r="O911" s="9"/>
      <c r="P911" s="9"/>
      <c r="Q911" s="9"/>
    </row>
    <row r="912" spans="1:17" ht="15.75" customHeight="1">
      <c r="A912" s="7" t="s">
        <v>1204</v>
      </c>
      <c r="B912" s="7" t="s">
        <v>260</v>
      </c>
      <c r="C912" s="7"/>
      <c r="D912" s="7" t="s">
        <v>261</v>
      </c>
      <c r="E912" s="7" t="s">
        <v>523</v>
      </c>
      <c r="F912" s="8" t="str">
        <f>_xlfn.IFNA(INDEX('HS Codes'!$D$2:$K3466,MATCH($B912,'HS Codes'!$A$2:$A3466,0),MATCH(F$1,'HS Codes'!$D$1:$K$1,0)),"")</f>
        <v>4819.10.0040</v>
      </c>
      <c r="G912" s="8">
        <f>_xlfn.IFNA(INDEX('HS Codes'!$D$2:$K3466,MATCH($B912,'HS Codes'!$A$2:$A3466,0),MATCH(G$1,'HS Codes'!$D$1:$K$1,0)),"")</f>
        <v>4819100000</v>
      </c>
      <c r="H912" s="8">
        <f>_xlfn.IFNA(INDEX('HS Codes'!$D$2:$K3466,MATCH($B912,'HS Codes'!$A$2:$A3466,0),MATCH(H$1,'HS Codes'!$D$1:$K$1,0)),"")</f>
        <v>4819100000</v>
      </c>
      <c r="I912" s="8">
        <f>_xlfn.IFNA(INDEX('HS Codes'!$D$2:$K3466,MATCH($B912,'HS Codes'!$A$2:$A3466,0),MATCH(I$1,'HS Codes'!$D$1:$K$1,0)),"")</f>
        <v>48191000</v>
      </c>
      <c r="J912" s="8">
        <f>_xlfn.IFNA(INDEX('HS Codes'!$D$2:$K3466,MATCH($B912,'HS Codes'!$A$2:$A3466,0),MATCH(J$1,'HS Codes'!$D$1:$K$1,0)),"")</f>
        <v>0</v>
      </c>
      <c r="K912" s="8" t="str">
        <f>_xlfn.IFNA(INDEX('HS Codes'!$D$2:$K3466,MATCH($B912,'HS Codes'!$A$2:$A3466,0),MATCH(K$1,'HS Codes'!$D$1:$K$1,0)),"")</f>
        <v>4819.10.00</v>
      </c>
      <c r="L912" s="8">
        <f>_xlfn.IFNA(INDEX('HS Codes'!$D$2:$K3466,MATCH($B912,'HS Codes'!$A$2:$A3466,0),MATCH(L$1,'HS Codes'!$D$1:$K$1,0)),"")</f>
        <v>0</v>
      </c>
      <c r="M912" s="8">
        <f>_xlfn.IFNA(INDEX('HS Codes'!$C$2:$C3466,MATCH($B912,'HS Codes'!$A$2:$A3466,0)),"")</f>
        <v>0</v>
      </c>
      <c r="N912" s="9"/>
      <c r="O912" s="9"/>
      <c r="P912" s="9"/>
      <c r="Q912" s="9"/>
    </row>
    <row r="913" spans="1:17" ht="15.75" customHeight="1">
      <c r="A913" s="7" t="s">
        <v>1205</v>
      </c>
      <c r="B913" s="7" t="s">
        <v>260</v>
      </c>
      <c r="C913" s="7"/>
      <c r="D913" s="7" t="s">
        <v>261</v>
      </c>
      <c r="E913" s="7" t="s">
        <v>523</v>
      </c>
      <c r="F913" s="8" t="str">
        <f>_xlfn.IFNA(INDEX('HS Codes'!$D$2:$K3467,MATCH($B913,'HS Codes'!$A$2:$A3467,0),MATCH(F$1,'HS Codes'!$D$1:$K$1,0)),"")</f>
        <v>4819.10.0040</v>
      </c>
      <c r="G913" s="8">
        <f>_xlfn.IFNA(INDEX('HS Codes'!$D$2:$K3467,MATCH($B913,'HS Codes'!$A$2:$A3467,0),MATCH(G$1,'HS Codes'!$D$1:$K$1,0)),"")</f>
        <v>4819100000</v>
      </c>
      <c r="H913" s="8">
        <f>_xlfn.IFNA(INDEX('HS Codes'!$D$2:$K3467,MATCH($B913,'HS Codes'!$A$2:$A3467,0),MATCH(H$1,'HS Codes'!$D$1:$K$1,0)),"")</f>
        <v>4819100000</v>
      </c>
      <c r="I913" s="8">
        <f>_xlfn.IFNA(INDEX('HS Codes'!$D$2:$K3467,MATCH($B913,'HS Codes'!$A$2:$A3467,0),MATCH(I$1,'HS Codes'!$D$1:$K$1,0)),"")</f>
        <v>48191000</v>
      </c>
      <c r="J913" s="8">
        <f>_xlfn.IFNA(INDEX('HS Codes'!$D$2:$K3467,MATCH($B913,'HS Codes'!$A$2:$A3467,0),MATCH(J$1,'HS Codes'!$D$1:$K$1,0)),"")</f>
        <v>0</v>
      </c>
      <c r="K913" s="8" t="str">
        <f>_xlfn.IFNA(INDEX('HS Codes'!$D$2:$K3467,MATCH($B913,'HS Codes'!$A$2:$A3467,0),MATCH(K$1,'HS Codes'!$D$1:$K$1,0)),"")</f>
        <v>4819.10.00</v>
      </c>
      <c r="L913" s="8">
        <f>_xlfn.IFNA(INDEX('HS Codes'!$D$2:$K3467,MATCH($B913,'HS Codes'!$A$2:$A3467,0),MATCH(L$1,'HS Codes'!$D$1:$K$1,0)),"")</f>
        <v>0</v>
      </c>
      <c r="M913" s="8">
        <f>_xlfn.IFNA(INDEX('HS Codes'!$C$2:$C3467,MATCH($B913,'HS Codes'!$A$2:$A3467,0)),"")</f>
        <v>0</v>
      </c>
      <c r="N913" s="9"/>
      <c r="O913" s="9"/>
      <c r="P913" s="9"/>
      <c r="Q913" s="9"/>
    </row>
    <row r="914" spans="1:17" ht="15.75" customHeight="1">
      <c r="A914" s="7" t="s">
        <v>1206</v>
      </c>
      <c r="B914" s="7" t="s">
        <v>260</v>
      </c>
      <c r="C914" s="7"/>
      <c r="D914" s="7" t="s">
        <v>261</v>
      </c>
      <c r="E914" s="7" t="s">
        <v>523</v>
      </c>
      <c r="F914" s="8" t="str">
        <f>_xlfn.IFNA(INDEX('HS Codes'!$D$2:$K3468,MATCH($B914,'HS Codes'!$A$2:$A3468,0),MATCH(F$1,'HS Codes'!$D$1:$K$1,0)),"")</f>
        <v>4819.10.0040</v>
      </c>
      <c r="G914" s="8">
        <f>_xlfn.IFNA(INDEX('HS Codes'!$D$2:$K3468,MATCH($B914,'HS Codes'!$A$2:$A3468,0),MATCH(G$1,'HS Codes'!$D$1:$K$1,0)),"")</f>
        <v>4819100000</v>
      </c>
      <c r="H914" s="8">
        <f>_xlfn.IFNA(INDEX('HS Codes'!$D$2:$K3468,MATCH($B914,'HS Codes'!$A$2:$A3468,0),MATCH(H$1,'HS Codes'!$D$1:$K$1,0)),"")</f>
        <v>4819100000</v>
      </c>
      <c r="I914" s="8">
        <f>_xlfn.IFNA(INDEX('HS Codes'!$D$2:$K3468,MATCH($B914,'HS Codes'!$A$2:$A3468,0),MATCH(I$1,'HS Codes'!$D$1:$K$1,0)),"")</f>
        <v>48191000</v>
      </c>
      <c r="J914" s="8">
        <f>_xlfn.IFNA(INDEX('HS Codes'!$D$2:$K3468,MATCH($B914,'HS Codes'!$A$2:$A3468,0),MATCH(J$1,'HS Codes'!$D$1:$K$1,0)),"")</f>
        <v>0</v>
      </c>
      <c r="K914" s="8" t="str">
        <f>_xlfn.IFNA(INDEX('HS Codes'!$D$2:$K3468,MATCH($B914,'HS Codes'!$A$2:$A3468,0),MATCH(K$1,'HS Codes'!$D$1:$K$1,0)),"")</f>
        <v>4819.10.00</v>
      </c>
      <c r="L914" s="8">
        <f>_xlfn.IFNA(INDEX('HS Codes'!$D$2:$K3468,MATCH($B914,'HS Codes'!$A$2:$A3468,0),MATCH(L$1,'HS Codes'!$D$1:$K$1,0)),"")</f>
        <v>0</v>
      </c>
      <c r="M914" s="8">
        <f>_xlfn.IFNA(INDEX('HS Codes'!$C$2:$C3468,MATCH($B914,'HS Codes'!$A$2:$A3468,0)),"")</f>
        <v>0</v>
      </c>
      <c r="N914" s="9"/>
      <c r="O914" s="9"/>
      <c r="P914" s="9"/>
      <c r="Q914" s="9"/>
    </row>
    <row r="915" spans="1:17" ht="15.75" customHeight="1">
      <c r="A915" s="7" t="s">
        <v>1207</v>
      </c>
      <c r="B915" s="7" t="s">
        <v>260</v>
      </c>
      <c r="C915" s="7"/>
      <c r="D915" s="7" t="s">
        <v>261</v>
      </c>
      <c r="E915" s="7" t="s">
        <v>523</v>
      </c>
      <c r="F915" s="8" t="str">
        <f>_xlfn.IFNA(INDEX('HS Codes'!$D$2:$K3469,MATCH($B915,'HS Codes'!$A$2:$A3469,0),MATCH(F$1,'HS Codes'!$D$1:$K$1,0)),"")</f>
        <v>4819.10.0040</v>
      </c>
      <c r="G915" s="8">
        <f>_xlfn.IFNA(INDEX('HS Codes'!$D$2:$K3469,MATCH($B915,'HS Codes'!$A$2:$A3469,0),MATCH(G$1,'HS Codes'!$D$1:$K$1,0)),"")</f>
        <v>4819100000</v>
      </c>
      <c r="H915" s="8">
        <f>_xlfn.IFNA(INDEX('HS Codes'!$D$2:$K3469,MATCH($B915,'HS Codes'!$A$2:$A3469,0),MATCH(H$1,'HS Codes'!$D$1:$K$1,0)),"")</f>
        <v>4819100000</v>
      </c>
      <c r="I915" s="8">
        <f>_xlfn.IFNA(INDEX('HS Codes'!$D$2:$K3469,MATCH($B915,'HS Codes'!$A$2:$A3469,0),MATCH(I$1,'HS Codes'!$D$1:$K$1,0)),"")</f>
        <v>48191000</v>
      </c>
      <c r="J915" s="8">
        <f>_xlfn.IFNA(INDEX('HS Codes'!$D$2:$K3469,MATCH($B915,'HS Codes'!$A$2:$A3469,0),MATCH(J$1,'HS Codes'!$D$1:$K$1,0)),"")</f>
        <v>0</v>
      </c>
      <c r="K915" s="8" t="str">
        <f>_xlfn.IFNA(INDEX('HS Codes'!$D$2:$K3469,MATCH($B915,'HS Codes'!$A$2:$A3469,0),MATCH(K$1,'HS Codes'!$D$1:$K$1,0)),"")</f>
        <v>4819.10.00</v>
      </c>
      <c r="L915" s="8">
        <f>_xlfn.IFNA(INDEX('HS Codes'!$D$2:$K3469,MATCH($B915,'HS Codes'!$A$2:$A3469,0),MATCH(L$1,'HS Codes'!$D$1:$K$1,0)),"")</f>
        <v>0</v>
      </c>
      <c r="M915" s="8">
        <f>_xlfn.IFNA(INDEX('HS Codes'!$C$2:$C3469,MATCH($B915,'HS Codes'!$A$2:$A3469,0)),"")</f>
        <v>0</v>
      </c>
      <c r="N915" s="9"/>
      <c r="O915" s="9"/>
      <c r="P915" s="9"/>
      <c r="Q915" s="9"/>
    </row>
    <row r="916" spans="1:17" ht="15.75" customHeight="1">
      <c r="A916" s="7" t="s">
        <v>1208</v>
      </c>
      <c r="B916" s="7" t="s">
        <v>84</v>
      </c>
      <c r="C916" s="7"/>
      <c r="D916" s="7" t="s">
        <v>85</v>
      </c>
      <c r="E916" s="7" t="s">
        <v>311</v>
      </c>
      <c r="F916" s="8">
        <f>_xlfn.IFNA(INDEX('HS Codes'!$D$2:$K3470,MATCH($B916,'HS Codes'!$A$2:$A3470,0),MATCH(F$1,'HS Codes'!$D$1:$K$1,0)),"")</f>
        <v>4202929100</v>
      </c>
      <c r="G916" s="8">
        <f>_xlfn.IFNA(INDEX('HS Codes'!$D$2:$K3470,MATCH($B916,'HS Codes'!$A$2:$A3470,0),MATCH(G$1,'HS Codes'!$D$1:$K$1,0)),"")</f>
        <v>4202220000</v>
      </c>
      <c r="H916" s="8">
        <f>_xlfn.IFNA(INDEX('HS Codes'!$D$2:$K3470,MATCH($B916,'HS Codes'!$A$2:$A3470,0),MATCH(H$1,'HS Codes'!$D$1:$K$1,0)),"")</f>
        <v>0</v>
      </c>
      <c r="I916" s="8">
        <f>_xlfn.IFNA(INDEX('HS Codes'!$D$2:$K3470,MATCH($B916,'HS Codes'!$A$2:$A3470,0),MATCH(I$1,'HS Codes'!$D$1:$K$1,0)),"")</f>
        <v>4202929100</v>
      </c>
      <c r="J916" s="8">
        <f>_xlfn.IFNA(INDEX('HS Codes'!$D$2:$K3470,MATCH($B916,'HS Codes'!$A$2:$A3470,0),MATCH(J$1,'HS Codes'!$D$1:$K$1,0)),"")</f>
        <v>0</v>
      </c>
      <c r="K916" s="8">
        <f>_xlfn.IFNA(INDEX('HS Codes'!$D$2:$K3470,MATCH($B916,'HS Codes'!$A$2:$A3470,0),MATCH(K$1,'HS Codes'!$D$1:$K$1,0)),"")</f>
        <v>0</v>
      </c>
      <c r="L916" s="8">
        <f>_xlfn.IFNA(INDEX('HS Codes'!$D$2:$K3470,MATCH($B916,'HS Codes'!$A$2:$A3470,0),MATCH(L$1,'HS Codes'!$D$1:$K$1,0)),"")</f>
        <v>0</v>
      </c>
      <c r="M916" s="8" t="str">
        <f>_xlfn.IFNA(INDEX('HS Codes'!$C$2:$C3470,MATCH($B916,'HS Codes'!$A$2:$A3470,0)),"")</f>
        <v>Toiletry Bag made of 100% polyester</v>
      </c>
      <c r="N916" s="9"/>
      <c r="O916" s="9"/>
      <c r="P916" s="9"/>
      <c r="Q916" s="9"/>
    </row>
    <row r="917" spans="1:17" ht="15.75" customHeight="1">
      <c r="A917" s="7" t="s">
        <v>1209</v>
      </c>
      <c r="B917" s="7" t="s">
        <v>84</v>
      </c>
      <c r="C917" s="7"/>
      <c r="D917" s="7" t="s">
        <v>85</v>
      </c>
      <c r="E917" s="7" t="s">
        <v>311</v>
      </c>
      <c r="F917" s="8">
        <f>_xlfn.IFNA(INDEX('HS Codes'!$D$2:$K3471,MATCH($B917,'HS Codes'!$A$2:$A3471,0),MATCH(F$1,'HS Codes'!$D$1:$K$1,0)),"")</f>
        <v>4202929100</v>
      </c>
      <c r="G917" s="8">
        <f>_xlfn.IFNA(INDEX('HS Codes'!$D$2:$K3471,MATCH($B917,'HS Codes'!$A$2:$A3471,0),MATCH(G$1,'HS Codes'!$D$1:$K$1,0)),"")</f>
        <v>4202220000</v>
      </c>
      <c r="H917" s="8">
        <f>_xlfn.IFNA(INDEX('HS Codes'!$D$2:$K3471,MATCH($B917,'HS Codes'!$A$2:$A3471,0),MATCH(H$1,'HS Codes'!$D$1:$K$1,0)),"")</f>
        <v>0</v>
      </c>
      <c r="I917" s="8">
        <f>_xlfn.IFNA(INDEX('HS Codes'!$D$2:$K3471,MATCH($B917,'HS Codes'!$A$2:$A3471,0),MATCH(I$1,'HS Codes'!$D$1:$K$1,0)),"")</f>
        <v>4202929100</v>
      </c>
      <c r="J917" s="8">
        <f>_xlfn.IFNA(INDEX('HS Codes'!$D$2:$K3471,MATCH($B917,'HS Codes'!$A$2:$A3471,0),MATCH(J$1,'HS Codes'!$D$1:$K$1,0)),"")</f>
        <v>0</v>
      </c>
      <c r="K917" s="8">
        <f>_xlfn.IFNA(INDEX('HS Codes'!$D$2:$K3471,MATCH($B917,'HS Codes'!$A$2:$A3471,0),MATCH(K$1,'HS Codes'!$D$1:$K$1,0)),"")</f>
        <v>0</v>
      </c>
      <c r="L917" s="8">
        <f>_xlfn.IFNA(INDEX('HS Codes'!$D$2:$K3471,MATCH($B917,'HS Codes'!$A$2:$A3471,0),MATCH(L$1,'HS Codes'!$D$1:$K$1,0)),"")</f>
        <v>0</v>
      </c>
      <c r="M917" s="8" t="str">
        <f>_xlfn.IFNA(INDEX('HS Codes'!$C$2:$C3471,MATCH($B917,'HS Codes'!$A$2:$A3471,0)),"")</f>
        <v>Toiletry Bag made of 100% polyester</v>
      </c>
      <c r="N917" s="9"/>
      <c r="O917" s="9"/>
      <c r="P917" s="9"/>
      <c r="Q917" s="9"/>
    </row>
    <row r="918" spans="1:17" ht="15.75" customHeight="1">
      <c r="A918" s="7" t="s">
        <v>1210</v>
      </c>
      <c r="B918" s="7" t="s">
        <v>98</v>
      </c>
      <c r="C918" s="7"/>
      <c r="D918" s="7" t="s">
        <v>99</v>
      </c>
      <c r="E918" s="7" t="s">
        <v>341</v>
      </c>
      <c r="F918" s="8" t="str">
        <f>_xlfn.IFNA(INDEX('HS Codes'!$D$2:$K3472,MATCH($B918,'HS Codes'!$A$2:$A3472,0),MATCH(F$1,'HS Codes'!$D$1:$K$1,0)),"")</f>
        <v>6302.93.2000</v>
      </c>
      <c r="G918" s="8">
        <f>_xlfn.IFNA(INDEX('HS Codes'!$D$2:$K3472,MATCH($B918,'HS Codes'!$A$2:$A3472,0),MATCH(G$1,'HS Codes'!$D$1:$K$1,0)),"")</f>
        <v>6302939000</v>
      </c>
      <c r="H918" s="8">
        <f>_xlfn.IFNA(INDEX('HS Codes'!$D$2:$K3472,MATCH($B918,'HS Codes'!$A$2:$A3472,0),MATCH(H$1,'HS Codes'!$D$1:$K$1,0)),"")</f>
        <v>6302939000</v>
      </c>
      <c r="I918" s="8">
        <f>_xlfn.IFNA(INDEX('HS Codes'!$D$2:$K3472,MATCH($B918,'HS Codes'!$A$2:$A3472,0),MATCH(I$1,'HS Codes'!$D$1:$K$1,0)),"")</f>
        <v>6302939000</v>
      </c>
      <c r="J918" s="8">
        <f>_xlfn.IFNA(INDEX('HS Codes'!$D$2:$K3472,MATCH($B918,'HS Codes'!$A$2:$A3472,0),MATCH(J$1,'HS Codes'!$D$1:$K$1,0)),"")</f>
        <v>0</v>
      </c>
      <c r="K918" s="8" t="str">
        <f>_xlfn.IFNA(INDEX('HS Codes'!$D$2:$K3472,MATCH($B918,'HS Codes'!$A$2:$A3472,0),MATCH(K$1,'HS Codes'!$D$1:$K$1,0)),"")</f>
        <v>6302.29.00</v>
      </c>
      <c r="L918" s="8">
        <f>_xlfn.IFNA(INDEX('HS Codes'!$D$2:$K3472,MATCH($B918,'HS Codes'!$A$2:$A3472,0),MATCH(L$1,'HS Codes'!$D$1:$K$1,0)),"")</f>
        <v>0</v>
      </c>
      <c r="M918" s="8" t="str">
        <f>_xlfn.IFNA(INDEX('HS Codes'!$C$2:$C3472,MATCH($B918,'HS Codes'!$A$2:$A3472,0)),"")</f>
        <v>Fitness Towel - Toilet Linen 100% recycled polyester includes cotton on the packing pouch drawstring</v>
      </c>
      <c r="N918" s="9"/>
      <c r="O918" s="9"/>
      <c r="P918" s="9"/>
      <c r="Q918" s="9"/>
    </row>
    <row r="919" spans="1:17" ht="15.75" customHeight="1">
      <c r="A919" s="7" t="s">
        <v>1211</v>
      </c>
      <c r="B919" s="7" t="s">
        <v>129</v>
      </c>
      <c r="C919" s="7" t="s">
        <v>278</v>
      </c>
      <c r="D919" s="7" t="s">
        <v>130</v>
      </c>
      <c r="E919" s="7" t="s">
        <v>360</v>
      </c>
      <c r="F919" s="8" t="str">
        <f>_xlfn.IFNA(INDEX('HS Codes'!$D$2:$K3473,MATCH($B919,'HS Codes'!$A$2:$A3473,0),MATCH(F$1,'HS Codes'!$D$1:$K$1,0)),"")</f>
        <v>6504.00.90.15</v>
      </c>
      <c r="G919" s="8">
        <f>_xlfn.IFNA(INDEX('HS Codes'!$D$2:$K3473,MATCH($B919,'HS Codes'!$A$2:$A3473,0),MATCH(G$1,'HS Codes'!$D$1:$K$1,0)),"")</f>
        <v>6505009090</v>
      </c>
      <c r="H919" s="8" t="str">
        <f>_xlfn.IFNA(INDEX('HS Codes'!$D$2:$K3473,MATCH($B919,'HS Codes'!$A$2:$A3473,0),MATCH(H$1,'HS Codes'!$D$1:$K$1,0)),"")</f>
        <v>6505.00.40.00</v>
      </c>
      <c r="I919" s="8" t="str">
        <f>_xlfn.IFNA(INDEX('HS Codes'!$D$2:$K3473,MATCH($B919,'HS Codes'!$A$2:$A3473,0),MATCH(I$1,'HS Codes'!$D$1:$K$1,0)),"")</f>
        <v>6505.00.90.90</v>
      </c>
      <c r="J919" s="8">
        <f>_xlfn.IFNA(INDEX('HS Codes'!$D$2:$K3473,MATCH($B919,'HS Codes'!$A$2:$A3473,0),MATCH(J$1,'HS Codes'!$D$1:$K$1,0)),"")</f>
        <v>0</v>
      </c>
      <c r="K919" s="8" t="str">
        <f>_xlfn.IFNA(INDEX('HS Codes'!$D$2:$K3473,MATCH($B919,'HS Codes'!$A$2:$A3473,0),MATCH(K$1,'HS Codes'!$D$1:$K$1,0)),"")</f>
        <v>6505.00.90</v>
      </c>
      <c r="L919" s="8">
        <f>_xlfn.IFNA(INDEX('HS Codes'!$D$2:$K3473,MATCH($B919,'HS Codes'!$A$2:$A3473,0),MATCH(L$1,'HS Codes'!$D$1:$K$1,0)),"")</f>
        <v>0</v>
      </c>
      <c r="M919" s="8" t="str">
        <f>_xlfn.IFNA(INDEX('HS Codes'!$C$2:$C3473,MATCH($B919,'HS Codes'!$A$2:$A3473,0)),"")</f>
        <v>Head Towel 100% recycled 200 GSM/83% polyester/17% polyamide (no cotton)</v>
      </c>
      <c r="N919" s="9"/>
      <c r="O919" s="9"/>
      <c r="P919" s="9"/>
      <c r="Q919" s="9"/>
    </row>
    <row r="920" spans="1:17" ht="15.75" customHeight="1">
      <c r="A920" s="7" t="s">
        <v>1212</v>
      </c>
      <c r="B920" s="7" t="s">
        <v>129</v>
      </c>
      <c r="C920" s="7" t="s">
        <v>278</v>
      </c>
      <c r="D920" s="7" t="s">
        <v>130</v>
      </c>
      <c r="E920" s="7" t="s">
        <v>360</v>
      </c>
      <c r="F920" s="8" t="str">
        <f>_xlfn.IFNA(INDEX('HS Codes'!$D$2:$K3474,MATCH($B920,'HS Codes'!$A$2:$A3474,0),MATCH(F$1,'HS Codes'!$D$1:$K$1,0)),"")</f>
        <v>6504.00.90.15</v>
      </c>
      <c r="G920" s="8">
        <f>_xlfn.IFNA(INDEX('HS Codes'!$D$2:$K3474,MATCH($B920,'HS Codes'!$A$2:$A3474,0),MATCH(G$1,'HS Codes'!$D$1:$K$1,0)),"")</f>
        <v>6505009090</v>
      </c>
      <c r="H920" s="8" t="str">
        <f>_xlfn.IFNA(INDEX('HS Codes'!$D$2:$K3474,MATCH($B920,'HS Codes'!$A$2:$A3474,0),MATCH(H$1,'HS Codes'!$D$1:$K$1,0)),"")</f>
        <v>6505.00.40.00</v>
      </c>
      <c r="I920" s="8" t="str">
        <f>_xlfn.IFNA(INDEX('HS Codes'!$D$2:$K3474,MATCH($B920,'HS Codes'!$A$2:$A3474,0),MATCH(I$1,'HS Codes'!$D$1:$K$1,0)),"")</f>
        <v>6505.00.90.90</v>
      </c>
      <c r="J920" s="8">
        <f>_xlfn.IFNA(INDEX('HS Codes'!$D$2:$K3474,MATCH($B920,'HS Codes'!$A$2:$A3474,0),MATCH(J$1,'HS Codes'!$D$1:$K$1,0)),"")</f>
        <v>0</v>
      </c>
      <c r="K920" s="8" t="str">
        <f>_xlfn.IFNA(INDEX('HS Codes'!$D$2:$K3474,MATCH($B920,'HS Codes'!$A$2:$A3474,0),MATCH(K$1,'HS Codes'!$D$1:$K$1,0)),"")</f>
        <v>6505.00.90</v>
      </c>
      <c r="L920" s="8">
        <f>_xlfn.IFNA(INDEX('HS Codes'!$D$2:$K3474,MATCH($B920,'HS Codes'!$A$2:$A3474,0),MATCH(L$1,'HS Codes'!$D$1:$K$1,0)),"")</f>
        <v>0</v>
      </c>
      <c r="M920" s="8" t="str">
        <f>_xlfn.IFNA(INDEX('HS Codes'!$C$2:$C3474,MATCH($B920,'HS Codes'!$A$2:$A3474,0)),"")</f>
        <v>Head Towel 100% recycled 200 GSM/83% polyester/17% polyamide (no cotton)</v>
      </c>
      <c r="N920" s="9"/>
      <c r="O920" s="9"/>
      <c r="P920" s="9"/>
      <c r="Q920" s="9"/>
    </row>
    <row r="921" spans="1:17" ht="15.75" customHeight="1">
      <c r="A921" s="7" t="s">
        <v>1213</v>
      </c>
      <c r="B921" s="7" t="s">
        <v>126</v>
      </c>
      <c r="C921" s="7" t="s">
        <v>278</v>
      </c>
      <c r="D921" s="7" t="s">
        <v>127</v>
      </c>
      <c r="E921" s="7" t="s">
        <v>360</v>
      </c>
      <c r="F921" s="8" t="str">
        <f>_xlfn.IFNA(INDEX('HS Codes'!$D$2:$K3475,MATCH($B921,'HS Codes'!$A$2:$A3475,0),MATCH(F$1,'HS Codes'!$D$1:$K$1,0)),"")</f>
        <v>6504.00.90.15</v>
      </c>
      <c r="G921" s="8">
        <f>_xlfn.IFNA(INDEX('HS Codes'!$D$2:$K3475,MATCH($B921,'HS Codes'!$A$2:$A3475,0),MATCH(G$1,'HS Codes'!$D$1:$K$1,0)),"")</f>
        <v>6505009090</v>
      </c>
      <c r="H921" s="8" t="str">
        <f>_xlfn.IFNA(INDEX('HS Codes'!$D$2:$K3475,MATCH($B921,'HS Codes'!$A$2:$A3475,0),MATCH(H$1,'HS Codes'!$D$1:$K$1,0)),"")</f>
        <v>6505.00.40.00</v>
      </c>
      <c r="I921" s="8" t="str">
        <f>_xlfn.IFNA(INDEX('HS Codes'!$D$2:$K3475,MATCH($B921,'HS Codes'!$A$2:$A3475,0),MATCH(I$1,'HS Codes'!$D$1:$K$1,0)),"")</f>
        <v>6505.00.90.90</v>
      </c>
      <c r="J921" s="8">
        <f>_xlfn.IFNA(INDEX('HS Codes'!$D$2:$K3475,MATCH($B921,'HS Codes'!$A$2:$A3475,0),MATCH(J$1,'HS Codes'!$D$1:$K$1,0)),"")</f>
        <v>0</v>
      </c>
      <c r="K921" s="8" t="str">
        <f>_xlfn.IFNA(INDEX('HS Codes'!$D$2:$K3475,MATCH($B921,'HS Codes'!$A$2:$A3475,0),MATCH(K$1,'HS Codes'!$D$1:$K$1,0)),"")</f>
        <v>6505.00.90</v>
      </c>
      <c r="L921" s="8">
        <f>_xlfn.IFNA(INDEX('HS Codes'!$D$2:$K3475,MATCH($B921,'HS Codes'!$A$2:$A3475,0),MATCH(L$1,'HS Codes'!$D$1:$K$1,0)),"")</f>
        <v>6507</v>
      </c>
      <c r="M921" s="8" t="str">
        <f>_xlfn.IFNA(INDEX('HS Codes'!$C$2:$C3475,MATCH($B921,'HS Codes'!$A$2:$A3475,0)),"")</f>
        <v>Head Towel 100% recycled 340 GSM/83% polyester/17% polyamide (no cotton)</v>
      </c>
      <c r="N921" s="9"/>
      <c r="O921" s="9"/>
      <c r="P921" s="9"/>
      <c r="Q921" s="9"/>
    </row>
    <row r="922" spans="1:17" ht="15.75" customHeight="1">
      <c r="A922" s="7" t="s">
        <v>1214</v>
      </c>
      <c r="B922" s="7" t="s">
        <v>126</v>
      </c>
      <c r="C922" s="7" t="s">
        <v>278</v>
      </c>
      <c r="D922" s="7" t="s">
        <v>127</v>
      </c>
      <c r="E922" s="7" t="s">
        <v>360</v>
      </c>
      <c r="F922" s="8" t="str">
        <f>_xlfn.IFNA(INDEX('HS Codes'!$D$2:$K3476,MATCH($B922,'HS Codes'!$A$2:$A3476,0),MATCH(F$1,'HS Codes'!$D$1:$K$1,0)),"")</f>
        <v>6504.00.90.15</v>
      </c>
      <c r="G922" s="8">
        <f>_xlfn.IFNA(INDEX('HS Codes'!$D$2:$K3476,MATCH($B922,'HS Codes'!$A$2:$A3476,0),MATCH(G$1,'HS Codes'!$D$1:$K$1,0)),"")</f>
        <v>6505009090</v>
      </c>
      <c r="H922" s="8" t="str">
        <f>_xlfn.IFNA(INDEX('HS Codes'!$D$2:$K3476,MATCH($B922,'HS Codes'!$A$2:$A3476,0),MATCH(H$1,'HS Codes'!$D$1:$K$1,0)),"")</f>
        <v>6505.00.40.00</v>
      </c>
      <c r="I922" s="8" t="str">
        <f>_xlfn.IFNA(INDEX('HS Codes'!$D$2:$K3476,MATCH($B922,'HS Codes'!$A$2:$A3476,0),MATCH(I$1,'HS Codes'!$D$1:$K$1,0)),"")</f>
        <v>6505.00.90.90</v>
      </c>
      <c r="J922" s="8">
        <f>_xlfn.IFNA(INDEX('HS Codes'!$D$2:$K3476,MATCH($B922,'HS Codes'!$A$2:$A3476,0),MATCH(J$1,'HS Codes'!$D$1:$K$1,0)),"")</f>
        <v>0</v>
      </c>
      <c r="K922" s="8" t="str">
        <f>_xlfn.IFNA(INDEX('HS Codes'!$D$2:$K3476,MATCH($B922,'HS Codes'!$A$2:$A3476,0),MATCH(K$1,'HS Codes'!$D$1:$K$1,0)),"")</f>
        <v>6505.00.90</v>
      </c>
      <c r="L922" s="8">
        <f>_xlfn.IFNA(INDEX('HS Codes'!$D$2:$K3476,MATCH($B922,'HS Codes'!$A$2:$A3476,0),MATCH(L$1,'HS Codes'!$D$1:$K$1,0)),"")</f>
        <v>6507</v>
      </c>
      <c r="M922" s="8" t="str">
        <f>_xlfn.IFNA(INDEX('HS Codes'!$C$2:$C3476,MATCH($B922,'HS Codes'!$A$2:$A3476,0)),"")</f>
        <v>Head Towel 100% recycled 340 GSM/83% polyester/17% polyamide (no cotton)</v>
      </c>
      <c r="N922" s="9"/>
      <c r="O922" s="9"/>
      <c r="P922" s="9"/>
      <c r="Q922" s="9"/>
    </row>
    <row r="923" spans="1:17" ht="15.75" customHeight="1">
      <c r="A923" s="7" t="s">
        <v>1215</v>
      </c>
      <c r="B923" s="7" t="s">
        <v>126</v>
      </c>
      <c r="C923" s="7" t="s">
        <v>278</v>
      </c>
      <c r="D923" s="7" t="s">
        <v>127</v>
      </c>
      <c r="E923" s="7" t="s">
        <v>360</v>
      </c>
      <c r="F923" s="8" t="str">
        <f>_xlfn.IFNA(INDEX('HS Codes'!$D$2:$K3477,MATCH($B923,'HS Codes'!$A$2:$A3477,0),MATCH(F$1,'HS Codes'!$D$1:$K$1,0)),"")</f>
        <v>6504.00.90.15</v>
      </c>
      <c r="G923" s="8">
        <f>_xlfn.IFNA(INDEX('HS Codes'!$D$2:$K3477,MATCH($B923,'HS Codes'!$A$2:$A3477,0),MATCH(G$1,'HS Codes'!$D$1:$K$1,0)),"")</f>
        <v>6505009090</v>
      </c>
      <c r="H923" s="8" t="str">
        <f>_xlfn.IFNA(INDEX('HS Codes'!$D$2:$K3477,MATCH($B923,'HS Codes'!$A$2:$A3477,0),MATCH(H$1,'HS Codes'!$D$1:$K$1,0)),"")</f>
        <v>6505.00.40.00</v>
      </c>
      <c r="I923" s="8" t="str">
        <f>_xlfn.IFNA(INDEX('HS Codes'!$D$2:$K3477,MATCH($B923,'HS Codes'!$A$2:$A3477,0),MATCH(I$1,'HS Codes'!$D$1:$K$1,0)),"")</f>
        <v>6505.00.90.90</v>
      </c>
      <c r="J923" s="8">
        <f>_xlfn.IFNA(INDEX('HS Codes'!$D$2:$K3477,MATCH($B923,'HS Codes'!$A$2:$A3477,0),MATCH(J$1,'HS Codes'!$D$1:$K$1,0)),"")</f>
        <v>0</v>
      </c>
      <c r="K923" s="8" t="str">
        <f>_xlfn.IFNA(INDEX('HS Codes'!$D$2:$K3477,MATCH($B923,'HS Codes'!$A$2:$A3477,0),MATCH(K$1,'HS Codes'!$D$1:$K$1,0)),"")</f>
        <v>6505.00.90</v>
      </c>
      <c r="L923" s="8">
        <f>_xlfn.IFNA(INDEX('HS Codes'!$D$2:$K3477,MATCH($B923,'HS Codes'!$A$2:$A3477,0),MATCH(L$1,'HS Codes'!$D$1:$K$1,0)),"")</f>
        <v>6507</v>
      </c>
      <c r="M923" s="8" t="str">
        <f>_xlfn.IFNA(INDEX('HS Codes'!$C$2:$C3477,MATCH($B923,'HS Codes'!$A$2:$A3477,0)),"")</f>
        <v>Head Towel 100% recycled 340 GSM/83% polyester/17% polyamide (no cotton)</v>
      </c>
      <c r="N923" s="9"/>
      <c r="O923" s="9"/>
      <c r="P923" s="9"/>
      <c r="Q923" s="9"/>
    </row>
    <row r="924" spans="1:17" ht="15.75" customHeight="1">
      <c r="A924" s="7" t="s">
        <v>1216</v>
      </c>
      <c r="B924" s="7" t="s">
        <v>126</v>
      </c>
      <c r="C924" s="7" t="s">
        <v>278</v>
      </c>
      <c r="D924" s="7" t="s">
        <v>127</v>
      </c>
      <c r="E924" s="7" t="s">
        <v>360</v>
      </c>
      <c r="F924" s="8" t="str">
        <f>_xlfn.IFNA(INDEX('HS Codes'!$D$2:$K3478,MATCH($B924,'HS Codes'!$A$2:$A3478,0),MATCH(F$1,'HS Codes'!$D$1:$K$1,0)),"")</f>
        <v>6504.00.90.15</v>
      </c>
      <c r="G924" s="8">
        <f>_xlfn.IFNA(INDEX('HS Codes'!$D$2:$K3478,MATCH($B924,'HS Codes'!$A$2:$A3478,0),MATCH(G$1,'HS Codes'!$D$1:$K$1,0)),"")</f>
        <v>6505009090</v>
      </c>
      <c r="H924" s="8" t="str">
        <f>_xlfn.IFNA(INDEX('HS Codes'!$D$2:$K3478,MATCH($B924,'HS Codes'!$A$2:$A3478,0),MATCH(H$1,'HS Codes'!$D$1:$K$1,0)),"")</f>
        <v>6505.00.40.00</v>
      </c>
      <c r="I924" s="8" t="str">
        <f>_xlfn.IFNA(INDEX('HS Codes'!$D$2:$K3478,MATCH($B924,'HS Codes'!$A$2:$A3478,0),MATCH(I$1,'HS Codes'!$D$1:$K$1,0)),"")</f>
        <v>6505.00.90.90</v>
      </c>
      <c r="J924" s="8">
        <f>_xlfn.IFNA(INDEX('HS Codes'!$D$2:$K3478,MATCH($B924,'HS Codes'!$A$2:$A3478,0),MATCH(J$1,'HS Codes'!$D$1:$K$1,0)),"")</f>
        <v>0</v>
      </c>
      <c r="K924" s="8" t="str">
        <f>_xlfn.IFNA(INDEX('HS Codes'!$D$2:$K3478,MATCH($B924,'HS Codes'!$A$2:$A3478,0),MATCH(K$1,'HS Codes'!$D$1:$K$1,0)),"")</f>
        <v>6505.00.90</v>
      </c>
      <c r="L924" s="8">
        <f>_xlfn.IFNA(INDEX('HS Codes'!$D$2:$K3478,MATCH($B924,'HS Codes'!$A$2:$A3478,0),MATCH(L$1,'HS Codes'!$D$1:$K$1,0)),"")</f>
        <v>6507</v>
      </c>
      <c r="M924" s="8" t="str">
        <f>_xlfn.IFNA(INDEX('HS Codes'!$C$2:$C3478,MATCH($B924,'HS Codes'!$A$2:$A3478,0)),"")</f>
        <v>Head Towel 100% recycled 340 GSM/83% polyester/17% polyamide (no cotton)</v>
      </c>
      <c r="N924" s="9"/>
      <c r="O924" s="9"/>
      <c r="P924" s="9"/>
      <c r="Q924" s="9"/>
    </row>
    <row r="925" spans="1:17" ht="15.75" customHeight="1">
      <c r="A925" s="7" t="s">
        <v>1217</v>
      </c>
      <c r="B925" s="7" t="s">
        <v>142</v>
      </c>
      <c r="C925" s="7" t="s">
        <v>278</v>
      </c>
      <c r="D925" s="7" t="s">
        <v>143</v>
      </c>
      <c r="E925" s="7" t="s">
        <v>143</v>
      </c>
      <c r="F925" s="8" t="str">
        <f>_xlfn.IFNA(INDEX('HS Codes'!$D$2:$K3479,MATCH($B925,'HS Codes'!$A$2:$A3479,0),MATCH(F$1,'HS Codes'!$D$1:$K$1,0)),"")</f>
        <v>6101.90.90.30</v>
      </c>
      <c r="G925" s="8">
        <f>_xlfn.IFNA(INDEX('HS Codes'!$D$2:$K3479,MATCH($B925,'HS Codes'!$A$2:$A3479,0),MATCH(G$1,'HS Codes'!$D$1:$K$1,0)),"")</f>
        <v>6101309000</v>
      </c>
      <c r="H925" s="8">
        <f>_xlfn.IFNA(INDEX('HS Codes'!$D$2:$K3479,MATCH($B925,'HS Codes'!$A$2:$A3479,0),MATCH(H$1,'HS Codes'!$D$1:$K$1,0)),"")</f>
        <v>6112399000</v>
      </c>
      <c r="I925" s="8" t="str">
        <f>_xlfn.IFNA(INDEX('HS Codes'!$D$2:$K3479,MATCH($B925,'HS Codes'!$A$2:$A3479,0),MATCH(I$1,'HS Codes'!$D$1:$K$1,0)),"")</f>
        <v>6211 4390 00</v>
      </c>
      <c r="J925" s="8">
        <f>_xlfn.IFNA(INDEX('HS Codes'!$D$2:$K3479,MATCH($B925,'HS Codes'!$A$2:$A3479,0),MATCH(J$1,'HS Codes'!$D$1:$K$1,0)),"")</f>
        <v>6117109000</v>
      </c>
      <c r="K925" s="8" t="str">
        <f>_xlfn.IFNA(INDEX('HS Codes'!$D$2:$K3479,MATCH($B925,'HS Codes'!$A$2:$A3479,0),MATCH(K$1,'HS Codes'!$D$1:$K$1,0)),"")</f>
        <v>6112.39.00</v>
      </c>
      <c r="L925" s="8">
        <f>_xlfn.IFNA(INDEX('HS Codes'!$D$2:$K3479,MATCH($B925,'HS Codes'!$A$2:$A3479,0),MATCH(L$1,'HS Codes'!$D$1:$K$1,0)),"")</f>
        <v>6202</v>
      </c>
      <c r="M925" s="8" t="str">
        <f>_xlfn.IFNA(INDEX('HS Codes'!$C$2:$C3479,MATCH($B925,'HS Codes'!$A$2:$A3479,0)),"")</f>
        <v>Beach Robe or Cloak 100% recycled 220 GSM/83% polyester/17% polyamide includes cotton on the packing pouch drawstring</v>
      </c>
      <c r="N925" s="9"/>
      <c r="O925" s="9"/>
      <c r="P925" s="9"/>
      <c r="Q925" s="9"/>
    </row>
    <row r="926" spans="1:17" ht="15.75" customHeight="1">
      <c r="A926" s="7" t="s">
        <v>1218</v>
      </c>
      <c r="B926" s="7" t="s">
        <v>142</v>
      </c>
      <c r="C926" s="7" t="s">
        <v>278</v>
      </c>
      <c r="D926" s="7" t="s">
        <v>143</v>
      </c>
      <c r="E926" s="7" t="s">
        <v>143</v>
      </c>
      <c r="F926" s="8" t="str">
        <f>_xlfn.IFNA(INDEX('HS Codes'!$D$2:$K3480,MATCH($B926,'HS Codes'!$A$2:$A3480,0),MATCH(F$1,'HS Codes'!$D$1:$K$1,0)),"")</f>
        <v>6101.90.90.30</v>
      </c>
      <c r="G926" s="8">
        <f>_xlfn.IFNA(INDEX('HS Codes'!$D$2:$K3480,MATCH($B926,'HS Codes'!$A$2:$A3480,0),MATCH(G$1,'HS Codes'!$D$1:$K$1,0)),"")</f>
        <v>6101309000</v>
      </c>
      <c r="H926" s="8">
        <f>_xlfn.IFNA(INDEX('HS Codes'!$D$2:$K3480,MATCH($B926,'HS Codes'!$A$2:$A3480,0),MATCH(H$1,'HS Codes'!$D$1:$K$1,0)),"")</f>
        <v>6112399000</v>
      </c>
      <c r="I926" s="8" t="str">
        <f>_xlfn.IFNA(INDEX('HS Codes'!$D$2:$K3480,MATCH($B926,'HS Codes'!$A$2:$A3480,0),MATCH(I$1,'HS Codes'!$D$1:$K$1,0)),"")</f>
        <v>6211 4390 00</v>
      </c>
      <c r="J926" s="8">
        <f>_xlfn.IFNA(INDEX('HS Codes'!$D$2:$K3480,MATCH($B926,'HS Codes'!$A$2:$A3480,0),MATCH(J$1,'HS Codes'!$D$1:$K$1,0)),"")</f>
        <v>6117109000</v>
      </c>
      <c r="K926" s="8" t="str">
        <f>_xlfn.IFNA(INDEX('HS Codes'!$D$2:$K3480,MATCH($B926,'HS Codes'!$A$2:$A3480,0),MATCH(K$1,'HS Codes'!$D$1:$K$1,0)),"")</f>
        <v>6112.39.00</v>
      </c>
      <c r="L926" s="8">
        <f>_xlfn.IFNA(INDEX('HS Codes'!$D$2:$K3480,MATCH($B926,'HS Codes'!$A$2:$A3480,0),MATCH(L$1,'HS Codes'!$D$1:$K$1,0)),"")</f>
        <v>6202</v>
      </c>
      <c r="M926" s="8" t="str">
        <f>_xlfn.IFNA(INDEX('HS Codes'!$C$2:$C3480,MATCH($B926,'HS Codes'!$A$2:$A3480,0)),"")</f>
        <v>Beach Robe or Cloak 100% recycled 220 GSM/83% polyester/17% polyamide includes cotton on the packing pouch drawstring</v>
      </c>
      <c r="N926" s="9"/>
      <c r="O926" s="9"/>
      <c r="P926" s="9"/>
      <c r="Q926" s="9"/>
    </row>
    <row r="927" spans="1:17" ht="15.75" customHeight="1">
      <c r="A927" s="7" t="s">
        <v>1219</v>
      </c>
      <c r="B927" s="7" t="s">
        <v>142</v>
      </c>
      <c r="C927" s="7" t="s">
        <v>278</v>
      </c>
      <c r="D927" s="7" t="s">
        <v>143</v>
      </c>
      <c r="E927" s="7" t="s">
        <v>143</v>
      </c>
      <c r="F927" s="8" t="str">
        <f>_xlfn.IFNA(INDEX('HS Codes'!$D$2:$K3481,MATCH($B927,'HS Codes'!$A$2:$A3481,0),MATCH(F$1,'HS Codes'!$D$1:$K$1,0)),"")</f>
        <v>6101.90.90.30</v>
      </c>
      <c r="G927" s="8">
        <f>_xlfn.IFNA(INDEX('HS Codes'!$D$2:$K3481,MATCH($B927,'HS Codes'!$A$2:$A3481,0),MATCH(G$1,'HS Codes'!$D$1:$K$1,0)),"")</f>
        <v>6101309000</v>
      </c>
      <c r="H927" s="8">
        <f>_xlfn.IFNA(INDEX('HS Codes'!$D$2:$K3481,MATCH($B927,'HS Codes'!$A$2:$A3481,0),MATCH(H$1,'HS Codes'!$D$1:$K$1,0)),"")</f>
        <v>6112399000</v>
      </c>
      <c r="I927" s="8" t="str">
        <f>_xlfn.IFNA(INDEX('HS Codes'!$D$2:$K3481,MATCH($B927,'HS Codes'!$A$2:$A3481,0),MATCH(I$1,'HS Codes'!$D$1:$K$1,0)),"")</f>
        <v>6211 4390 00</v>
      </c>
      <c r="J927" s="8">
        <f>_xlfn.IFNA(INDEX('HS Codes'!$D$2:$K3481,MATCH($B927,'HS Codes'!$A$2:$A3481,0),MATCH(J$1,'HS Codes'!$D$1:$K$1,0)),"")</f>
        <v>6117109000</v>
      </c>
      <c r="K927" s="8" t="str">
        <f>_xlfn.IFNA(INDEX('HS Codes'!$D$2:$K3481,MATCH($B927,'HS Codes'!$A$2:$A3481,0),MATCH(K$1,'HS Codes'!$D$1:$K$1,0)),"")</f>
        <v>6112.39.00</v>
      </c>
      <c r="L927" s="8">
        <f>_xlfn.IFNA(INDEX('HS Codes'!$D$2:$K3481,MATCH($B927,'HS Codes'!$A$2:$A3481,0),MATCH(L$1,'HS Codes'!$D$1:$K$1,0)),"")</f>
        <v>6202</v>
      </c>
      <c r="M927" s="8" t="str">
        <f>_xlfn.IFNA(INDEX('HS Codes'!$C$2:$C3481,MATCH($B927,'HS Codes'!$A$2:$A3481,0)),"")</f>
        <v>Beach Robe or Cloak 100% recycled 220 GSM/83% polyester/17% polyamide includes cotton on the packing pouch drawstring</v>
      </c>
      <c r="N927" s="9"/>
      <c r="O927" s="9"/>
      <c r="P927" s="9"/>
      <c r="Q927" s="9"/>
    </row>
    <row r="928" spans="1:17" ht="15.75" customHeight="1">
      <c r="A928" s="7" t="s">
        <v>1220</v>
      </c>
      <c r="B928" s="7" t="s">
        <v>142</v>
      </c>
      <c r="C928" s="7" t="s">
        <v>278</v>
      </c>
      <c r="D928" s="7" t="s">
        <v>143</v>
      </c>
      <c r="E928" s="7" t="s">
        <v>143</v>
      </c>
      <c r="F928" s="8" t="str">
        <f>_xlfn.IFNA(INDEX('HS Codes'!$D$2:$K3482,MATCH($B928,'HS Codes'!$A$2:$A3482,0),MATCH(F$1,'HS Codes'!$D$1:$K$1,0)),"")</f>
        <v>6101.90.90.30</v>
      </c>
      <c r="G928" s="8">
        <f>_xlfn.IFNA(INDEX('HS Codes'!$D$2:$K3482,MATCH($B928,'HS Codes'!$A$2:$A3482,0),MATCH(G$1,'HS Codes'!$D$1:$K$1,0)),"")</f>
        <v>6101309000</v>
      </c>
      <c r="H928" s="8">
        <f>_xlfn.IFNA(INDEX('HS Codes'!$D$2:$K3482,MATCH($B928,'HS Codes'!$A$2:$A3482,0),MATCH(H$1,'HS Codes'!$D$1:$K$1,0)),"")</f>
        <v>6112399000</v>
      </c>
      <c r="I928" s="8" t="str">
        <f>_xlfn.IFNA(INDEX('HS Codes'!$D$2:$K3482,MATCH($B928,'HS Codes'!$A$2:$A3482,0),MATCH(I$1,'HS Codes'!$D$1:$K$1,0)),"")</f>
        <v>6211 4390 00</v>
      </c>
      <c r="J928" s="8">
        <f>_xlfn.IFNA(INDEX('HS Codes'!$D$2:$K3482,MATCH($B928,'HS Codes'!$A$2:$A3482,0),MATCH(J$1,'HS Codes'!$D$1:$K$1,0)),"")</f>
        <v>6117109000</v>
      </c>
      <c r="K928" s="8" t="str">
        <f>_xlfn.IFNA(INDEX('HS Codes'!$D$2:$K3482,MATCH($B928,'HS Codes'!$A$2:$A3482,0),MATCH(K$1,'HS Codes'!$D$1:$K$1,0)),"")</f>
        <v>6112.39.00</v>
      </c>
      <c r="L928" s="8">
        <f>_xlfn.IFNA(INDEX('HS Codes'!$D$2:$K3482,MATCH($B928,'HS Codes'!$A$2:$A3482,0),MATCH(L$1,'HS Codes'!$D$1:$K$1,0)),"")</f>
        <v>6202</v>
      </c>
      <c r="M928" s="8" t="str">
        <f>_xlfn.IFNA(INDEX('HS Codes'!$C$2:$C3482,MATCH($B928,'HS Codes'!$A$2:$A3482,0)),"")</f>
        <v>Beach Robe or Cloak 100% recycled 220 GSM/83% polyester/17% polyamide includes cotton on the packing pouch drawstring</v>
      </c>
      <c r="N928" s="9"/>
      <c r="O928" s="9"/>
      <c r="P928" s="9"/>
      <c r="Q928" s="9"/>
    </row>
    <row r="929" spans="1:17" ht="15.75" customHeight="1">
      <c r="A929" s="7" t="s">
        <v>1221</v>
      </c>
      <c r="B929" s="7" t="s">
        <v>142</v>
      </c>
      <c r="C929" s="7" t="s">
        <v>278</v>
      </c>
      <c r="D929" s="7" t="s">
        <v>143</v>
      </c>
      <c r="E929" s="7" t="s">
        <v>143</v>
      </c>
      <c r="F929" s="8" t="str">
        <f>_xlfn.IFNA(INDEX('HS Codes'!$D$2:$K3483,MATCH($B929,'HS Codes'!$A$2:$A3483,0),MATCH(F$1,'HS Codes'!$D$1:$K$1,0)),"")</f>
        <v>6101.90.90.30</v>
      </c>
      <c r="G929" s="8">
        <f>_xlfn.IFNA(INDEX('HS Codes'!$D$2:$K3483,MATCH($B929,'HS Codes'!$A$2:$A3483,0),MATCH(G$1,'HS Codes'!$D$1:$K$1,0)),"")</f>
        <v>6101309000</v>
      </c>
      <c r="H929" s="8">
        <f>_xlfn.IFNA(INDEX('HS Codes'!$D$2:$K3483,MATCH($B929,'HS Codes'!$A$2:$A3483,0),MATCH(H$1,'HS Codes'!$D$1:$K$1,0)),"")</f>
        <v>6112399000</v>
      </c>
      <c r="I929" s="8" t="str">
        <f>_xlfn.IFNA(INDEX('HS Codes'!$D$2:$K3483,MATCH($B929,'HS Codes'!$A$2:$A3483,0),MATCH(I$1,'HS Codes'!$D$1:$K$1,0)),"")</f>
        <v>6211 4390 00</v>
      </c>
      <c r="J929" s="8">
        <f>_xlfn.IFNA(INDEX('HS Codes'!$D$2:$K3483,MATCH($B929,'HS Codes'!$A$2:$A3483,0),MATCH(J$1,'HS Codes'!$D$1:$K$1,0)),"")</f>
        <v>6117109000</v>
      </c>
      <c r="K929" s="8" t="str">
        <f>_xlfn.IFNA(INDEX('HS Codes'!$D$2:$K3483,MATCH($B929,'HS Codes'!$A$2:$A3483,0),MATCH(K$1,'HS Codes'!$D$1:$K$1,0)),"")</f>
        <v>6112.39.00</v>
      </c>
      <c r="L929" s="8">
        <f>_xlfn.IFNA(INDEX('HS Codes'!$D$2:$K3483,MATCH($B929,'HS Codes'!$A$2:$A3483,0),MATCH(L$1,'HS Codes'!$D$1:$K$1,0)),"")</f>
        <v>6202</v>
      </c>
      <c r="M929" s="8" t="str">
        <f>_xlfn.IFNA(INDEX('HS Codes'!$C$2:$C3483,MATCH($B929,'HS Codes'!$A$2:$A3483,0)),"")</f>
        <v>Beach Robe or Cloak 100% recycled 220 GSM/83% polyester/17% polyamide includes cotton on the packing pouch drawstring</v>
      </c>
      <c r="N929" s="9"/>
      <c r="O929" s="9"/>
      <c r="P929" s="9"/>
      <c r="Q929" s="9"/>
    </row>
    <row r="930" spans="1:17" ht="15.75" customHeight="1">
      <c r="A930" s="7" t="s">
        <v>1222</v>
      </c>
      <c r="B930" s="7" t="s">
        <v>142</v>
      </c>
      <c r="C930" s="7" t="s">
        <v>278</v>
      </c>
      <c r="D930" s="7" t="s">
        <v>143</v>
      </c>
      <c r="E930" s="7" t="s">
        <v>143</v>
      </c>
      <c r="F930" s="8" t="str">
        <f>_xlfn.IFNA(INDEX('HS Codes'!$D$2:$K3484,MATCH($B930,'HS Codes'!$A$2:$A3484,0),MATCH(F$1,'HS Codes'!$D$1:$K$1,0)),"")</f>
        <v>6101.90.90.30</v>
      </c>
      <c r="G930" s="8">
        <f>_xlfn.IFNA(INDEX('HS Codes'!$D$2:$K3484,MATCH($B930,'HS Codes'!$A$2:$A3484,0),MATCH(G$1,'HS Codes'!$D$1:$K$1,0)),"")</f>
        <v>6101309000</v>
      </c>
      <c r="H930" s="8">
        <f>_xlfn.IFNA(INDEX('HS Codes'!$D$2:$K3484,MATCH($B930,'HS Codes'!$A$2:$A3484,0),MATCH(H$1,'HS Codes'!$D$1:$K$1,0)),"")</f>
        <v>6112399000</v>
      </c>
      <c r="I930" s="8" t="str">
        <f>_xlfn.IFNA(INDEX('HS Codes'!$D$2:$K3484,MATCH($B930,'HS Codes'!$A$2:$A3484,0),MATCH(I$1,'HS Codes'!$D$1:$K$1,0)),"")</f>
        <v>6211 4390 00</v>
      </c>
      <c r="J930" s="8">
        <f>_xlfn.IFNA(INDEX('HS Codes'!$D$2:$K3484,MATCH($B930,'HS Codes'!$A$2:$A3484,0),MATCH(J$1,'HS Codes'!$D$1:$K$1,0)),"")</f>
        <v>6117109000</v>
      </c>
      <c r="K930" s="8" t="str">
        <f>_xlfn.IFNA(INDEX('HS Codes'!$D$2:$K3484,MATCH($B930,'HS Codes'!$A$2:$A3484,0),MATCH(K$1,'HS Codes'!$D$1:$K$1,0)),"")</f>
        <v>6112.39.00</v>
      </c>
      <c r="L930" s="8">
        <f>_xlfn.IFNA(INDEX('HS Codes'!$D$2:$K3484,MATCH($B930,'HS Codes'!$A$2:$A3484,0),MATCH(L$1,'HS Codes'!$D$1:$K$1,0)),"")</f>
        <v>6202</v>
      </c>
      <c r="M930" s="8" t="str">
        <f>_xlfn.IFNA(INDEX('HS Codes'!$C$2:$C3484,MATCH($B930,'HS Codes'!$A$2:$A3484,0)),"")</f>
        <v>Beach Robe or Cloak 100% recycled 220 GSM/83% polyester/17% polyamide includes cotton on the packing pouch drawstring</v>
      </c>
      <c r="N930" s="9"/>
      <c r="O930" s="9"/>
      <c r="P930" s="9"/>
      <c r="Q930" s="9"/>
    </row>
    <row r="931" spans="1:17" ht="15.75" customHeight="1">
      <c r="A931" s="7" t="s">
        <v>1223</v>
      </c>
      <c r="B931" s="7" t="s">
        <v>142</v>
      </c>
      <c r="C931" s="7" t="s">
        <v>278</v>
      </c>
      <c r="D931" s="7" t="s">
        <v>143</v>
      </c>
      <c r="E931" s="7" t="s">
        <v>143</v>
      </c>
      <c r="F931" s="8" t="str">
        <f>_xlfn.IFNA(INDEX('HS Codes'!$D$2:$K3485,MATCH($B931,'HS Codes'!$A$2:$A3485,0),MATCH(F$1,'HS Codes'!$D$1:$K$1,0)),"")</f>
        <v>6101.90.90.30</v>
      </c>
      <c r="G931" s="8">
        <f>_xlfn.IFNA(INDEX('HS Codes'!$D$2:$K3485,MATCH($B931,'HS Codes'!$A$2:$A3485,0),MATCH(G$1,'HS Codes'!$D$1:$K$1,0)),"")</f>
        <v>6101309000</v>
      </c>
      <c r="H931" s="8">
        <f>_xlfn.IFNA(INDEX('HS Codes'!$D$2:$K3485,MATCH($B931,'HS Codes'!$A$2:$A3485,0),MATCH(H$1,'HS Codes'!$D$1:$K$1,0)),"")</f>
        <v>6112399000</v>
      </c>
      <c r="I931" s="8" t="str">
        <f>_xlfn.IFNA(INDEX('HS Codes'!$D$2:$K3485,MATCH($B931,'HS Codes'!$A$2:$A3485,0),MATCH(I$1,'HS Codes'!$D$1:$K$1,0)),"")</f>
        <v>6211 4390 00</v>
      </c>
      <c r="J931" s="8">
        <f>_xlfn.IFNA(INDEX('HS Codes'!$D$2:$K3485,MATCH($B931,'HS Codes'!$A$2:$A3485,0),MATCH(J$1,'HS Codes'!$D$1:$K$1,0)),"")</f>
        <v>6117109000</v>
      </c>
      <c r="K931" s="8" t="str">
        <f>_xlfn.IFNA(INDEX('HS Codes'!$D$2:$K3485,MATCH($B931,'HS Codes'!$A$2:$A3485,0),MATCH(K$1,'HS Codes'!$D$1:$K$1,0)),"")</f>
        <v>6112.39.00</v>
      </c>
      <c r="L931" s="8">
        <f>_xlfn.IFNA(INDEX('HS Codes'!$D$2:$K3485,MATCH($B931,'HS Codes'!$A$2:$A3485,0),MATCH(L$1,'HS Codes'!$D$1:$K$1,0)),"")</f>
        <v>6202</v>
      </c>
      <c r="M931" s="8" t="str">
        <f>_xlfn.IFNA(INDEX('HS Codes'!$C$2:$C3485,MATCH($B931,'HS Codes'!$A$2:$A3485,0)),"")</f>
        <v>Beach Robe or Cloak 100% recycled 220 GSM/83% polyester/17% polyamide includes cotton on the packing pouch drawstring</v>
      </c>
      <c r="N931" s="9"/>
      <c r="O931" s="9"/>
      <c r="P931" s="9"/>
      <c r="Q931" s="9"/>
    </row>
    <row r="932" spans="1:17" ht="15.75" customHeight="1">
      <c r="A932" s="7" t="s">
        <v>1224</v>
      </c>
      <c r="B932" s="7" t="s">
        <v>142</v>
      </c>
      <c r="C932" s="7" t="s">
        <v>278</v>
      </c>
      <c r="D932" s="7" t="s">
        <v>143</v>
      </c>
      <c r="E932" s="7" t="s">
        <v>143</v>
      </c>
      <c r="F932" s="8" t="str">
        <f>_xlfn.IFNA(INDEX('HS Codes'!$D$2:$K3486,MATCH($B932,'HS Codes'!$A$2:$A3486,0),MATCH(F$1,'HS Codes'!$D$1:$K$1,0)),"")</f>
        <v>6101.90.90.30</v>
      </c>
      <c r="G932" s="8">
        <f>_xlfn.IFNA(INDEX('HS Codes'!$D$2:$K3486,MATCH($B932,'HS Codes'!$A$2:$A3486,0),MATCH(G$1,'HS Codes'!$D$1:$K$1,0)),"")</f>
        <v>6101309000</v>
      </c>
      <c r="H932" s="8">
        <f>_xlfn.IFNA(INDEX('HS Codes'!$D$2:$K3486,MATCH($B932,'HS Codes'!$A$2:$A3486,0),MATCH(H$1,'HS Codes'!$D$1:$K$1,0)),"")</f>
        <v>6112399000</v>
      </c>
      <c r="I932" s="8" t="str">
        <f>_xlfn.IFNA(INDEX('HS Codes'!$D$2:$K3486,MATCH($B932,'HS Codes'!$A$2:$A3486,0),MATCH(I$1,'HS Codes'!$D$1:$K$1,0)),"")</f>
        <v>6211 4390 00</v>
      </c>
      <c r="J932" s="8">
        <f>_xlfn.IFNA(INDEX('HS Codes'!$D$2:$K3486,MATCH($B932,'HS Codes'!$A$2:$A3486,0),MATCH(J$1,'HS Codes'!$D$1:$K$1,0)),"")</f>
        <v>6117109000</v>
      </c>
      <c r="K932" s="8" t="str">
        <f>_xlfn.IFNA(INDEX('HS Codes'!$D$2:$K3486,MATCH($B932,'HS Codes'!$A$2:$A3486,0),MATCH(K$1,'HS Codes'!$D$1:$K$1,0)),"")</f>
        <v>6112.39.00</v>
      </c>
      <c r="L932" s="8">
        <f>_xlfn.IFNA(INDEX('HS Codes'!$D$2:$K3486,MATCH($B932,'HS Codes'!$A$2:$A3486,0),MATCH(L$1,'HS Codes'!$D$1:$K$1,0)),"")</f>
        <v>6202</v>
      </c>
      <c r="M932" s="8" t="str">
        <f>_xlfn.IFNA(INDEX('HS Codes'!$C$2:$C3486,MATCH($B932,'HS Codes'!$A$2:$A3486,0)),"")</f>
        <v>Beach Robe or Cloak 100% recycled 220 GSM/83% polyester/17% polyamide includes cotton on the packing pouch drawstring</v>
      </c>
      <c r="N932" s="9"/>
      <c r="O932" s="9"/>
      <c r="P932" s="9"/>
      <c r="Q932" s="9"/>
    </row>
    <row r="933" spans="1:17" ht="15.75" customHeight="1">
      <c r="A933" s="7" t="s">
        <v>1225</v>
      </c>
      <c r="B933" s="7" t="s">
        <v>142</v>
      </c>
      <c r="C933" s="7" t="s">
        <v>278</v>
      </c>
      <c r="D933" s="7" t="s">
        <v>143</v>
      </c>
      <c r="E933" s="7" t="s">
        <v>143</v>
      </c>
      <c r="F933" s="8" t="str">
        <f>_xlfn.IFNA(INDEX('HS Codes'!$D$2:$K3487,MATCH($B933,'HS Codes'!$A$2:$A3487,0),MATCH(F$1,'HS Codes'!$D$1:$K$1,0)),"")</f>
        <v>6101.90.90.30</v>
      </c>
      <c r="G933" s="8">
        <f>_xlfn.IFNA(INDEX('HS Codes'!$D$2:$K3487,MATCH($B933,'HS Codes'!$A$2:$A3487,0),MATCH(G$1,'HS Codes'!$D$1:$K$1,0)),"")</f>
        <v>6101309000</v>
      </c>
      <c r="H933" s="8">
        <f>_xlfn.IFNA(INDEX('HS Codes'!$D$2:$K3487,MATCH($B933,'HS Codes'!$A$2:$A3487,0),MATCH(H$1,'HS Codes'!$D$1:$K$1,0)),"")</f>
        <v>6112399000</v>
      </c>
      <c r="I933" s="8" t="str">
        <f>_xlfn.IFNA(INDEX('HS Codes'!$D$2:$K3487,MATCH($B933,'HS Codes'!$A$2:$A3487,0),MATCH(I$1,'HS Codes'!$D$1:$K$1,0)),"")</f>
        <v>6211 4390 00</v>
      </c>
      <c r="J933" s="8">
        <f>_xlfn.IFNA(INDEX('HS Codes'!$D$2:$K3487,MATCH($B933,'HS Codes'!$A$2:$A3487,0),MATCH(J$1,'HS Codes'!$D$1:$K$1,0)),"")</f>
        <v>6117109000</v>
      </c>
      <c r="K933" s="8" t="str">
        <f>_xlfn.IFNA(INDEX('HS Codes'!$D$2:$K3487,MATCH($B933,'HS Codes'!$A$2:$A3487,0),MATCH(K$1,'HS Codes'!$D$1:$K$1,0)),"")</f>
        <v>6112.39.00</v>
      </c>
      <c r="L933" s="8">
        <f>_xlfn.IFNA(INDEX('HS Codes'!$D$2:$K3487,MATCH($B933,'HS Codes'!$A$2:$A3487,0),MATCH(L$1,'HS Codes'!$D$1:$K$1,0)),"")</f>
        <v>6202</v>
      </c>
      <c r="M933" s="8" t="str">
        <f>_xlfn.IFNA(INDEX('HS Codes'!$C$2:$C3487,MATCH($B933,'HS Codes'!$A$2:$A3487,0)),"")</f>
        <v>Beach Robe or Cloak 100% recycled 220 GSM/83% polyester/17% polyamide includes cotton on the packing pouch drawstring</v>
      </c>
      <c r="N933" s="9"/>
      <c r="O933" s="9"/>
      <c r="P933" s="9"/>
      <c r="Q933" s="9"/>
    </row>
    <row r="934" spans="1:17" ht="15.75" customHeight="1">
      <c r="A934" s="7" t="s">
        <v>1226</v>
      </c>
      <c r="B934" s="7" t="s">
        <v>142</v>
      </c>
      <c r="C934" s="7" t="s">
        <v>278</v>
      </c>
      <c r="D934" s="7" t="s">
        <v>143</v>
      </c>
      <c r="E934" s="7" t="s">
        <v>143</v>
      </c>
      <c r="F934" s="8" t="str">
        <f>_xlfn.IFNA(INDEX('HS Codes'!$D$2:$K3488,MATCH($B934,'HS Codes'!$A$2:$A3488,0),MATCH(F$1,'HS Codes'!$D$1:$K$1,0)),"")</f>
        <v>6101.90.90.30</v>
      </c>
      <c r="G934" s="8">
        <f>_xlfn.IFNA(INDEX('HS Codes'!$D$2:$K3488,MATCH($B934,'HS Codes'!$A$2:$A3488,0),MATCH(G$1,'HS Codes'!$D$1:$K$1,0)),"")</f>
        <v>6101309000</v>
      </c>
      <c r="H934" s="8">
        <f>_xlfn.IFNA(INDEX('HS Codes'!$D$2:$K3488,MATCH($B934,'HS Codes'!$A$2:$A3488,0),MATCH(H$1,'HS Codes'!$D$1:$K$1,0)),"")</f>
        <v>6112399000</v>
      </c>
      <c r="I934" s="8" t="str">
        <f>_xlfn.IFNA(INDEX('HS Codes'!$D$2:$K3488,MATCH($B934,'HS Codes'!$A$2:$A3488,0),MATCH(I$1,'HS Codes'!$D$1:$K$1,0)),"")</f>
        <v>6211 4390 00</v>
      </c>
      <c r="J934" s="8">
        <f>_xlfn.IFNA(INDEX('HS Codes'!$D$2:$K3488,MATCH($B934,'HS Codes'!$A$2:$A3488,0),MATCH(J$1,'HS Codes'!$D$1:$K$1,0)),"")</f>
        <v>6117109000</v>
      </c>
      <c r="K934" s="8" t="str">
        <f>_xlfn.IFNA(INDEX('HS Codes'!$D$2:$K3488,MATCH($B934,'HS Codes'!$A$2:$A3488,0),MATCH(K$1,'HS Codes'!$D$1:$K$1,0)),"")</f>
        <v>6112.39.00</v>
      </c>
      <c r="L934" s="8">
        <f>_xlfn.IFNA(INDEX('HS Codes'!$D$2:$K3488,MATCH($B934,'HS Codes'!$A$2:$A3488,0),MATCH(L$1,'HS Codes'!$D$1:$K$1,0)),"")</f>
        <v>6202</v>
      </c>
      <c r="M934" s="8" t="str">
        <f>_xlfn.IFNA(INDEX('HS Codes'!$C$2:$C3488,MATCH($B934,'HS Codes'!$A$2:$A3488,0)),"")</f>
        <v>Beach Robe or Cloak 100% recycled 220 GSM/83% polyester/17% polyamide includes cotton on the packing pouch drawstring</v>
      </c>
      <c r="N934" s="9"/>
      <c r="O934" s="9"/>
      <c r="P934" s="9"/>
      <c r="Q934" s="9"/>
    </row>
    <row r="935" spans="1:17" ht="15.75" customHeight="1">
      <c r="A935" s="7" t="s">
        <v>1227</v>
      </c>
      <c r="B935" s="7" t="s">
        <v>142</v>
      </c>
      <c r="C935" s="7" t="s">
        <v>278</v>
      </c>
      <c r="D935" s="7" t="s">
        <v>143</v>
      </c>
      <c r="E935" s="7" t="s">
        <v>143</v>
      </c>
      <c r="F935" s="8" t="str">
        <f>_xlfn.IFNA(INDEX('HS Codes'!$D$2:$K3489,MATCH($B935,'HS Codes'!$A$2:$A3489,0),MATCH(F$1,'HS Codes'!$D$1:$K$1,0)),"")</f>
        <v>6101.90.90.30</v>
      </c>
      <c r="G935" s="8">
        <f>_xlfn.IFNA(INDEX('HS Codes'!$D$2:$K3489,MATCH($B935,'HS Codes'!$A$2:$A3489,0),MATCH(G$1,'HS Codes'!$D$1:$K$1,0)),"")</f>
        <v>6101309000</v>
      </c>
      <c r="H935" s="8">
        <f>_xlfn.IFNA(INDEX('HS Codes'!$D$2:$K3489,MATCH($B935,'HS Codes'!$A$2:$A3489,0),MATCH(H$1,'HS Codes'!$D$1:$K$1,0)),"")</f>
        <v>6112399000</v>
      </c>
      <c r="I935" s="8" t="str">
        <f>_xlfn.IFNA(INDEX('HS Codes'!$D$2:$K3489,MATCH($B935,'HS Codes'!$A$2:$A3489,0),MATCH(I$1,'HS Codes'!$D$1:$K$1,0)),"")</f>
        <v>6211 4390 00</v>
      </c>
      <c r="J935" s="8">
        <f>_xlfn.IFNA(INDEX('HS Codes'!$D$2:$K3489,MATCH($B935,'HS Codes'!$A$2:$A3489,0),MATCH(J$1,'HS Codes'!$D$1:$K$1,0)),"")</f>
        <v>6117109000</v>
      </c>
      <c r="K935" s="8" t="str">
        <f>_xlfn.IFNA(INDEX('HS Codes'!$D$2:$K3489,MATCH($B935,'HS Codes'!$A$2:$A3489,0),MATCH(K$1,'HS Codes'!$D$1:$K$1,0)),"")</f>
        <v>6112.39.00</v>
      </c>
      <c r="L935" s="8">
        <f>_xlfn.IFNA(INDEX('HS Codes'!$D$2:$K3489,MATCH($B935,'HS Codes'!$A$2:$A3489,0),MATCH(L$1,'HS Codes'!$D$1:$K$1,0)),"")</f>
        <v>6202</v>
      </c>
      <c r="M935" s="8" t="str">
        <f>_xlfn.IFNA(INDEX('HS Codes'!$C$2:$C3489,MATCH($B935,'HS Codes'!$A$2:$A3489,0)),"")</f>
        <v>Beach Robe or Cloak 100% recycled 220 GSM/83% polyester/17% polyamide includes cotton on the packing pouch drawstring</v>
      </c>
      <c r="N935" s="9"/>
      <c r="O935" s="9"/>
      <c r="P935" s="9"/>
      <c r="Q935" s="9"/>
    </row>
    <row r="936" spans="1:17" ht="15.75" customHeight="1">
      <c r="A936" s="7" t="s">
        <v>1228</v>
      </c>
      <c r="B936" s="7" t="s">
        <v>142</v>
      </c>
      <c r="C936" s="7" t="s">
        <v>278</v>
      </c>
      <c r="D936" s="7" t="s">
        <v>143</v>
      </c>
      <c r="E936" s="7" t="s">
        <v>143</v>
      </c>
      <c r="F936" s="8" t="str">
        <f>_xlfn.IFNA(INDEX('HS Codes'!$D$2:$K3490,MATCH($B936,'HS Codes'!$A$2:$A3490,0),MATCH(F$1,'HS Codes'!$D$1:$K$1,0)),"")</f>
        <v>6101.90.90.30</v>
      </c>
      <c r="G936" s="8">
        <f>_xlfn.IFNA(INDEX('HS Codes'!$D$2:$K3490,MATCH($B936,'HS Codes'!$A$2:$A3490,0),MATCH(G$1,'HS Codes'!$D$1:$K$1,0)),"")</f>
        <v>6101309000</v>
      </c>
      <c r="H936" s="8">
        <f>_xlfn.IFNA(INDEX('HS Codes'!$D$2:$K3490,MATCH($B936,'HS Codes'!$A$2:$A3490,0),MATCH(H$1,'HS Codes'!$D$1:$K$1,0)),"")</f>
        <v>6112399000</v>
      </c>
      <c r="I936" s="8" t="str">
        <f>_xlfn.IFNA(INDEX('HS Codes'!$D$2:$K3490,MATCH($B936,'HS Codes'!$A$2:$A3490,0),MATCH(I$1,'HS Codes'!$D$1:$K$1,0)),"")</f>
        <v>6211 4390 00</v>
      </c>
      <c r="J936" s="8">
        <f>_xlfn.IFNA(INDEX('HS Codes'!$D$2:$K3490,MATCH($B936,'HS Codes'!$A$2:$A3490,0),MATCH(J$1,'HS Codes'!$D$1:$K$1,0)),"")</f>
        <v>6117109000</v>
      </c>
      <c r="K936" s="8" t="str">
        <f>_xlfn.IFNA(INDEX('HS Codes'!$D$2:$K3490,MATCH($B936,'HS Codes'!$A$2:$A3490,0),MATCH(K$1,'HS Codes'!$D$1:$K$1,0)),"")</f>
        <v>6112.39.00</v>
      </c>
      <c r="L936" s="8">
        <f>_xlfn.IFNA(INDEX('HS Codes'!$D$2:$K3490,MATCH($B936,'HS Codes'!$A$2:$A3490,0),MATCH(L$1,'HS Codes'!$D$1:$K$1,0)),"")</f>
        <v>6202</v>
      </c>
      <c r="M936" s="8" t="str">
        <f>_xlfn.IFNA(INDEX('HS Codes'!$C$2:$C3490,MATCH($B936,'HS Codes'!$A$2:$A3490,0)),"")</f>
        <v>Beach Robe or Cloak 100% recycled 220 GSM/83% polyester/17% polyamide includes cotton on the packing pouch drawstring</v>
      </c>
      <c r="N936" s="9"/>
      <c r="O936" s="9"/>
      <c r="P936" s="9"/>
      <c r="Q936" s="9"/>
    </row>
    <row r="937" spans="1:17" ht="15.75" customHeight="1">
      <c r="A937" s="7" t="s">
        <v>1229</v>
      </c>
      <c r="B937" s="7" t="s">
        <v>142</v>
      </c>
      <c r="C937" s="7" t="s">
        <v>278</v>
      </c>
      <c r="D937" s="7" t="s">
        <v>143</v>
      </c>
      <c r="E937" s="7" t="s">
        <v>143</v>
      </c>
      <c r="F937" s="8" t="str">
        <f>_xlfn.IFNA(INDEX('HS Codes'!$D$2:$K3491,MATCH($B937,'HS Codes'!$A$2:$A3491,0),MATCH(F$1,'HS Codes'!$D$1:$K$1,0)),"")</f>
        <v>6101.90.90.30</v>
      </c>
      <c r="G937" s="8">
        <f>_xlfn.IFNA(INDEX('HS Codes'!$D$2:$K3491,MATCH($B937,'HS Codes'!$A$2:$A3491,0),MATCH(G$1,'HS Codes'!$D$1:$K$1,0)),"")</f>
        <v>6101309000</v>
      </c>
      <c r="H937" s="8">
        <f>_xlfn.IFNA(INDEX('HS Codes'!$D$2:$K3491,MATCH($B937,'HS Codes'!$A$2:$A3491,0),MATCH(H$1,'HS Codes'!$D$1:$K$1,0)),"")</f>
        <v>6112399000</v>
      </c>
      <c r="I937" s="8" t="str">
        <f>_xlfn.IFNA(INDEX('HS Codes'!$D$2:$K3491,MATCH($B937,'HS Codes'!$A$2:$A3491,0),MATCH(I$1,'HS Codes'!$D$1:$K$1,0)),"")</f>
        <v>6211 4390 00</v>
      </c>
      <c r="J937" s="8">
        <f>_xlfn.IFNA(INDEX('HS Codes'!$D$2:$K3491,MATCH($B937,'HS Codes'!$A$2:$A3491,0),MATCH(J$1,'HS Codes'!$D$1:$K$1,0)),"")</f>
        <v>6117109000</v>
      </c>
      <c r="K937" s="8" t="str">
        <f>_xlfn.IFNA(INDEX('HS Codes'!$D$2:$K3491,MATCH($B937,'HS Codes'!$A$2:$A3491,0),MATCH(K$1,'HS Codes'!$D$1:$K$1,0)),"")</f>
        <v>6112.39.00</v>
      </c>
      <c r="L937" s="8">
        <f>_xlfn.IFNA(INDEX('HS Codes'!$D$2:$K3491,MATCH($B937,'HS Codes'!$A$2:$A3491,0),MATCH(L$1,'HS Codes'!$D$1:$K$1,0)),"")</f>
        <v>6202</v>
      </c>
      <c r="M937" s="8" t="str">
        <f>_xlfn.IFNA(INDEX('HS Codes'!$C$2:$C3491,MATCH($B937,'HS Codes'!$A$2:$A3491,0)),"")</f>
        <v>Beach Robe or Cloak 100% recycled 220 GSM/83% polyester/17% polyamide includes cotton on the packing pouch drawstring</v>
      </c>
      <c r="N937" s="9"/>
      <c r="O937" s="9"/>
      <c r="P937" s="9"/>
      <c r="Q937" s="9"/>
    </row>
    <row r="938" spans="1:17" ht="15.75" customHeight="1">
      <c r="A938" s="7" t="s">
        <v>1230</v>
      </c>
      <c r="B938" s="7" t="s">
        <v>142</v>
      </c>
      <c r="C938" s="7" t="s">
        <v>278</v>
      </c>
      <c r="D938" s="7" t="s">
        <v>143</v>
      </c>
      <c r="E938" s="7" t="s">
        <v>143</v>
      </c>
      <c r="F938" s="8" t="str">
        <f>_xlfn.IFNA(INDEX('HS Codes'!$D$2:$K3492,MATCH($B938,'HS Codes'!$A$2:$A3492,0),MATCH(F$1,'HS Codes'!$D$1:$K$1,0)),"")</f>
        <v>6101.90.90.30</v>
      </c>
      <c r="G938" s="8">
        <f>_xlfn.IFNA(INDEX('HS Codes'!$D$2:$K3492,MATCH($B938,'HS Codes'!$A$2:$A3492,0),MATCH(G$1,'HS Codes'!$D$1:$K$1,0)),"")</f>
        <v>6101309000</v>
      </c>
      <c r="H938" s="8">
        <f>_xlfn.IFNA(INDEX('HS Codes'!$D$2:$K3492,MATCH($B938,'HS Codes'!$A$2:$A3492,0),MATCH(H$1,'HS Codes'!$D$1:$K$1,0)),"")</f>
        <v>6112399000</v>
      </c>
      <c r="I938" s="8" t="str">
        <f>_xlfn.IFNA(INDEX('HS Codes'!$D$2:$K3492,MATCH($B938,'HS Codes'!$A$2:$A3492,0),MATCH(I$1,'HS Codes'!$D$1:$K$1,0)),"")</f>
        <v>6211 4390 00</v>
      </c>
      <c r="J938" s="8">
        <f>_xlfn.IFNA(INDEX('HS Codes'!$D$2:$K3492,MATCH($B938,'HS Codes'!$A$2:$A3492,0),MATCH(J$1,'HS Codes'!$D$1:$K$1,0)),"")</f>
        <v>6117109000</v>
      </c>
      <c r="K938" s="8" t="str">
        <f>_xlfn.IFNA(INDEX('HS Codes'!$D$2:$K3492,MATCH($B938,'HS Codes'!$A$2:$A3492,0),MATCH(K$1,'HS Codes'!$D$1:$K$1,0)),"")</f>
        <v>6112.39.00</v>
      </c>
      <c r="L938" s="8">
        <f>_xlfn.IFNA(INDEX('HS Codes'!$D$2:$K3492,MATCH($B938,'HS Codes'!$A$2:$A3492,0),MATCH(L$1,'HS Codes'!$D$1:$K$1,0)),"")</f>
        <v>6202</v>
      </c>
      <c r="M938" s="8" t="str">
        <f>_xlfn.IFNA(INDEX('HS Codes'!$C$2:$C3492,MATCH($B938,'HS Codes'!$A$2:$A3492,0)),"")</f>
        <v>Beach Robe or Cloak 100% recycled 220 GSM/83% polyester/17% polyamide includes cotton on the packing pouch drawstring</v>
      </c>
      <c r="N938" s="9"/>
      <c r="O938" s="9"/>
      <c r="P938" s="9"/>
      <c r="Q938" s="9"/>
    </row>
    <row r="939" spans="1:17" ht="15.75" customHeight="1">
      <c r="A939" s="7" t="s">
        <v>1231</v>
      </c>
      <c r="B939" s="7" t="s">
        <v>148</v>
      </c>
      <c r="C939" s="7" t="s">
        <v>278</v>
      </c>
      <c r="D939" s="7" t="s">
        <v>149</v>
      </c>
      <c r="E939" s="7" t="s">
        <v>149</v>
      </c>
      <c r="F939" s="8" t="str">
        <f>_xlfn.IFNA(INDEX('HS Codes'!$D$2:$K3493,MATCH($B939,'HS Codes'!$A$2:$A3493,0),MATCH(F$1,'HS Codes'!$D$1:$K$1,0)),"")</f>
        <v>6101.90.90.30</v>
      </c>
      <c r="G939" s="8">
        <f>_xlfn.IFNA(INDEX('HS Codes'!$D$2:$K3493,MATCH($B939,'HS Codes'!$A$2:$A3493,0),MATCH(G$1,'HS Codes'!$D$1:$K$1,0)),"")</f>
        <v>6101309000</v>
      </c>
      <c r="H939" s="8">
        <f>_xlfn.IFNA(INDEX('HS Codes'!$D$2:$K3493,MATCH($B939,'HS Codes'!$A$2:$A3493,0),MATCH(H$1,'HS Codes'!$D$1:$K$1,0)),"")</f>
        <v>6112399000</v>
      </c>
      <c r="I939" s="8" t="str">
        <f>_xlfn.IFNA(INDEX('HS Codes'!$D$2:$K3493,MATCH($B939,'HS Codes'!$A$2:$A3493,0),MATCH(I$1,'HS Codes'!$D$1:$K$1,0)),"")</f>
        <v>6211 4390 00</v>
      </c>
      <c r="J939" s="8">
        <f>_xlfn.IFNA(INDEX('HS Codes'!$D$2:$K3493,MATCH($B939,'HS Codes'!$A$2:$A3493,0),MATCH(J$1,'HS Codes'!$D$1:$K$1,0)),"")</f>
        <v>6117109000</v>
      </c>
      <c r="K939" s="8" t="str">
        <f>_xlfn.IFNA(INDEX('HS Codes'!$D$2:$K3493,MATCH($B939,'HS Codes'!$A$2:$A3493,0),MATCH(K$1,'HS Codes'!$D$1:$K$1,0)),"")</f>
        <v>6112.39.00</v>
      </c>
      <c r="L939" s="8">
        <f>_xlfn.IFNA(INDEX('HS Codes'!$D$2:$K3493,MATCH($B939,'HS Codes'!$A$2:$A3493,0),MATCH(L$1,'HS Codes'!$D$1:$K$1,0)),"")</f>
        <v>6202</v>
      </c>
      <c r="M939" s="8" t="str">
        <f>_xlfn.IFNA(INDEX('HS Codes'!$C$2:$C3493,MATCH($B939,'HS Codes'!$A$2:$A3493,0)),"")</f>
        <v>Beach Robe or Cloak 100% recycled 220 GSM/83% polyester/17% polyamide includes cotton on the packing pouch drawstring</v>
      </c>
      <c r="N939" s="9"/>
      <c r="O939" s="9"/>
      <c r="P939" s="9"/>
      <c r="Q939" s="9"/>
    </row>
    <row r="940" spans="1:17" ht="15.75" customHeight="1">
      <c r="A940" s="7" t="s">
        <v>1232</v>
      </c>
      <c r="B940" s="7" t="s">
        <v>164</v>
      </c>
      <c r="C940" s="7" t="s">
        <v>278</v>
      </c>
      <c r="D940" s="7" t="s">
        <v>165</v>
      </c>
      <c r="E940" s="7" t="s">
        <v>348</v>
      </c>
      <c r="F940" s="8" t="str">
        <f>_xlfn.IFNA(INDEX('HS Codes'!$D$2:$K3494,MATCH($B940,'HS Codes'!$A$2:$A3494,0),MATCH(F$1,'HS Codes'!$D$1:$K$1,0)),"")</f>
        <v>6302.93.2000</v>
      </c>
      <c r="G940" s="8">
        <f>_xlfn.IFNA(INDEX('HS Codes'!$D$2:$K3494,MATCH($B940,'HS Codes'!$A$2:$A3494,0),MATCH(G$1,'HS Codes'!$D$1:$K$1,0)),"")</f>
        <v>6302600090</v>
      </c>
      <c r="H940" s="8" t="str">
        <f>_xlfn.IFNA(INDEX('HS Codes'!$D$2:$K3494,MATCH($B940,'HS Codes'!$A$2:$A3494,0),MATCH(H$1,'HS Codes'!$D$1:$K$1,0)),"")</f>
        <v>6302.93.00.00</v>
      </c>
      <c r="I940" s="8">
        <f>_xlfn.IFNA(INDEX('HS Codes'!$D$2:$K3494,MATCH($B940,'HS Codes'!$A$2:$A3494,0),MATCH(I$1,'HS Codes'!$D$1:$K$1,0)),"")</f>
        <v>63029390</v>
      </c>
      <c r="J940" s="8">
        <f>_xlfn.IFNA(INDEX('HS Codes'!$D$2:$K3494,MATCH($B940,'HS Codes'!$A$2:$A3494,0),MATCH(J$1,'HS Codes'!$D$1:$K$1,0)),"")</f>
        <v>0</v>
      </c>
      <c r="K940" s="8" t="str">
        <f>_xlfn.IFNA(INDEX('HS Codes'!$D$2:$K3494,MATCH($B940,'HS Codes'!$A$2:$A3494,0),MATCH(K$1,'HS Codes'!$D$1:$K$1,0)),"")</f>
        <v>6302.39.00</v>
      </c>
      <c r="L940" s="8">
        <f>_xlfn.IFNA(INDEX('HS Codes'!$D$2:$K3494,MATCH($B940,'HS Codes'!$A$2:$A3494,0),MATCH(L$1,'HS Codes'!$D$1:$K$1,0)),"")</f>
        <v>63029120</v>
      </c>
      <c r="M940" s="8" t="str">
        <f>_xlfn.IFNA(INDEX('HS Codes'!$C$2:$C3494,MATCH($B940,'HS Codes'!$A$2:$A3494,0)),"")</f>
        <v>Beach Towel - Toilet Linen 100% recycled 220 GSM/83% polyester/17% polyamide includes cotton on the packing pouch drawstring</v>
      </c>
      <c r="N940" s="9"/>
      <c r="O940" s="9"/>
      <c r="P940" s="9"/>
      <c r="Q940" s="9"/>
    </row>
    <row r="941" spans="1:17" ht="15.75" customHeight="1">
      <c r="A941" s="7" t="s">
        <v>1233</v>
      </c>
      <c r="B941" s="7" t="s">
        <v>164</v>
      </c>
      <c r="C941" s="7" t="s">
        <v>278</v>
      </c>
      <c r="D941" s="7" t="s">
        <v>165</v>
      </c>
      <c r="E941" s="7" t="s">
        <v>348</v>
      </c>
      <c r="F941" s="8" t="str">
        <f>_xlfn.IFNA(INDEX('HS Codes'!$D$2:$K3495,MATCH($B941,'HS Codes'!$A$2:$A3495,0),MATCH(F$1,'HS Codes'!$D$1:$K$1,0)),"")</f>
        <v>6302.93.2000</v>
      </c>
      <c r="G941" s="8">
        <f>_xlfn.IFNA(INDEX('HS Codes'!$D$2:$K3495,MATCH($B941,'HS Codes'!$A$2:$A3495,0),MATCH(G$1,'HS Codes'!$D$1:$K$1,0)),"")</f>
        <v>6302600090</v>
      </c>
      <c r="H941" s="8" t="str">
        <f>_xlfn.IFNA(INDEX('HS Codes'!$D$2:$K3495,MATCH($B941,'HS Codes'!$A$2:$A3495,0),MATCH(H$1,'HS Codes'!$D$1:$K$1,0)),"")</f>
        <v>6302.93.00.00</v>
      </c>
      <c r="I941" s="8">
        <f>_xlfn.IFNA(INDEX('HS Codes'!$D$2:$K3495,MATCH($B941,'HS Codes'!$A$2:$A3495,0),MATCH(I$1,'HS Codes'!$D$1:$K$1,0)),"")</f>
        <v>63029390</v>
      </c>
      <c r="J941" s="8">
        <f>_xlfn.IFNA(INDEX('HS Codes'!$D$2:$K3495,MATCH($B941,'HS Codes'!$A$2:$A3495,0),MATCH(J$1,'HS Codes'!$D$1:$K$1,0)),"")</f>
        <v>0</v>
      </c>
      <c r="K941" s="8" t="str">
        <f>_xlfn.IFNA(INDEX('HS Codes'!$D$2:$K3495,MATCH($B941,'HS Codes'!$A$2:$A3495,0),MATCH(K$1,'HS Codes'!$D$1:$K$1,0)),"")</f>
        <v>6302.39.00</v>
      </c>
      <c r="L941" s="8">
        <f>_xlfn.IFNA(INDEX('HS Codes'!$D$2:$K3495,MATCH($B941,'HS Codes'!$A$2:$A3495,0),MATCH(L$1,'HS Codes'!$D$1:$K$1,0)),"")</f>
        <v>63029120</v>
      </c>
      <c r="M941" s="8" t="str">
        <f>_xlfn.IFNA(INDEX('HS Codes'!$C$2:$C3495,MATCH($B941,'HS Codes'!$A$2:$A3495,0)),"")</f>
        <v>Beach Towel - Toilet Linen 100% recycled 220 GSM/83% polyester/17% polyamide includes cotton on the packing pouch drawstring</v>
      </c>
      <c r="N941" s="9"/>
      <c r="O941" s="9"/>
      <c r="P941" s="9"/>
      <c r="Q941" s="9"/>
    </row>
    <row r="942" spans="1:17" ht="15.75" customHeight="1">
      <c r="A942" s="7" t="s">
        <v>1234</v>
      </c>
      <c r="B942" s="7" t="s">
        <v>164</v>
      </c>
      <c r="C942" s="7" t="s">
        <v>278</v>
      </c>
      <c r="D942" s="7" t="s">
        <v>165</v>
      </c>
      <c r="E942" s="7" t="s">
        <v>348</v>
      </c>
      <c r="F942" s="8" t="str">
        <f>_xlfn.IFNA(INDEX('HS Codes'!$D$2:$K3496,MATCH($B942,'HS Codes'!$A$2:$A3496,0),MATCH(F$1,'HS Codes'!$D$1:$K$1,0)),"")</f>
        <v>6302.93.2000</v>
      </c>
      <c r="G942" s="8">
        <f>_xlfn.IFNA(INDEX('HS Codes'!$D$2:$K3496,MATCH($B942,'HS Codes'!$A$2:$A3496,0),MATCH(G$1,'HS Codes'!$D$1:$K$1,0)),"")</f>
        <v>6302600090</v>
      </c>
      <c r="H942" s="8" t="str">
        <f>_xlfn.IFNA(INDEX('HS Codes'!$D$2:$K3496,MATCH($B942,'HS Codes'!$A$2:$A3496,0),MATCH(H$1,'HS Codes'!$D$1:$K$1,0)),"")</f>
        <v>6302.93.00.00</v>
      </c>
      <c r="I942" s="8">
        <f>_xlfn.IFNA(INDEX('HS Codes'!$D$2:$K3496,MATCH($B942,'HS Codes'!$A$2:$A3496,0),MATCH(I$1,'HS Codes'!$D$1:$K$1,0)),"")</f>
        <v>63029390</v>
      </c>
      <c r="J942" s="8">
        <f>_xlfn.IFNA(INDEX('HS Codes'!$D$2:$K3496,MATCH($B942,'HS Codes'!$A$2:$A3496,0),MATCH(J$1,'HS Codes'!$D$1:$K$1,0)),"")</f>
        <v>0</v>
      </c>
      <c r="K942" s="8" t="str">
        <f>_xlfn.IFNA(INDEX('HS Codes'!$D$2:$K3496,MATCH($B942,'HS Codes'!$A$2:$A3496,0),MATCH(K$1,'HS Codes'!$D$1:$K$1,0)),"")</f>
        <v>6302.39.00</v>
      </c>
      <c r="L942" s="8">
        <f>_xlfn.IFNA(INDEX('HS Codes'!$D$2:$K3496,MATCH($B942,'HS Codes'!$A$2:$A3496,0),MATCH(L$1,'HS Codes'!$D$1:$K$1,0)),"")</f>
        <v>63029120</v>
      </c>
      <c r="M942" s="8" t="str">
        <f>_xlfn.IFNA(INDEX('HS Codes'!$C$2:$C3496,MATCH($B942,'HS Codes'!$A$2:$A3496,0)),"")</f>
        <v>Beach Towel - Toilet Linen 100% recycled 220 GSM/83% polyester/17% polyamide includes cotton on the packing pouch drawstring</v>
      </c>
      <c r="N942" s="9"/>
      <c r="O942" s="9"/>
      <c r="P942" s="9"/>
      <c r="Q942" s="9"/>
    </row>
    <row r="943" spans="1:17" ht="15.75" customHeight="1">
      <c r="A943" s="7" t="s">
        <v>1235</v>
      </c>
      <c r="B943" s="7" t="s">
        <v>164</v>
      </c>
      <c r="C943" s="7" t="s">
        <v>278</v>
      </c>
      <c r="D943" s="7" t="s">
        <v>165</v>
      </c>
      <c r="E943" s="7" t="s">
        <v>348</v>
      </c>
      <c r="F943" s="8" t="str">
        <f>_xlfn.IFNA(INDEX('HS Codes'!$D$2:$K3497,MATCH($B943,'HS Codes'!$A$2:$A3497,0),MATCH(F$1,'HS Codes'!$D$1:$K$1,0)),"")</f>
        <v>6302.93.2000</v>
      </c>
      <c r="G943" s="8">
        <f>_xlfn.IFNA(INDEX('HS Codes'!$D$2:$K3497,MATCH($B943,'HS Codes'!$A$2:$A3497,0),MATCH(G$1,'HS Codes'!$D$1:$K$1,0)),"")</f>
        <v>6302600090</v>
      </c>
      <c r="H943" s="8" t="str">
        <f>_xlfn.IFNA(INDEX('HS Codes'!$D$2:$K3497,MATCH($B943,'HS Codes'!$A$2:$A3497,0),MATCH(H$1,'HS Codes'!$D$1:$K$1,0)),"")</f>
        <v>6302.93.00.00</v>
      </c>
      <c r="I943" s="8">
        <f>_xlfn.IFNA(INDEX('HS Codes'!$D$2:$K3497,MATCH($B943,'HS Codes'!$A$2:$A3497,0),MATCH(I$1,'HS Codes'!$D$1:$K$1,0)),"")</f>
        <v>63029390</v>
      </c>
      <c r="J943" s="8">
        <f>_xlfn.IFNA(INDEX('HS Codes'!$D$2:$K3497,MATCH($B943,'HS Codes'!$A$2:$A3497,0),MATCH(J$1,'HS Codes'!$D$1:$K$1,0)),"")</f>
        <v>0</v>
      </c>
      <c r="K943" s="8" t="str">
        <f>_xlfn.IFNA(INDEX('HS Codes'!$D$2:$K3497,MATCH($B943,'HS Codes'!$A$2:$A3497,0),MATCH(K$1,'HS Codes'!$D$1:$K$1,0)),"")</f>
        <v>6302.39.00</v>
      </c>
      <c r="L943" s="8">
        <f>_xlfn.IFNA(INDEX('HS Codes'!$D$2:$K3497,MATCH($B943,'HS Codes'!$A$2:$A3497,0),MATCH(L$1,'HS Codes'!$D$1:$K$1,0)),"")</f>
        <v>63029120</v>
      </c>
      <c r="M943" s="8" t="str">
        <f>_xlfn.IFNA(INDEX('HS Codes'!$C$2:$C3497,MATCH($B943,'HS Codes'!$A$2:$A3497,0)),"")</f>
        <v>Beach Towel - Toilet Linen 100% recycled 220 GSM/83% polyester/17% polyamide includes cotton on the packing pouch drawstring</v>
      </c>
      <c r="N943" s="9"/>
      <c r="O943" s="9"/>
      <c r="P943" s="9"/>
      <c r="Q943" s="9"/>
    </row>
    <row r="944" spans="1:17" ht="15.75" customHeight="1">
      <c r="A944" s="7" t="s">
        <v>1236</v>
      </c>
      <c r="B944" s="7" t="s">
        <v>164</v>
      </c>
      <c r="C944" s="7" t="s">
        <v>278</v>
      </c>
      <c r="D944" s="7" t="s">
        <v>165</v>
      </c>
      <c r="E944" s="7" t="s">
        <v>348</v>
      </c>
      <c r="F944" s="8" t="str">
        <f>_xlfn.IFNA(INDEX('HS Codes'!$D$2:$K3498,MATCH($B944,'HS Codes'!$A$2:$A3498,0),MATCH(F$1,'HS Codes'!$D$1:$K$1,0)),"")</f>
        <v>6302.93.2000</v>
      </c>
      <c r="G944" s="8">
        <f>_xlfn.IFNA(INDEX('HS Codes'!$D$2:$K3498,MATCH($B944,'HS Codes'!$A$2:$A3498,0),MATCH(G$1,'HS Codes'!$D$1:$K$1,0)),"")</f>
        <v>6302600090</v>
      </c>
      <c r="H944" s="8" t="str">
        <f>_xlfn.IFNA(INDEX('HS Codes'!$D$2:$K3498,MATCH($B944,'HS Codes'!$A$2:$A3498,0),MATCH(H$1,'HS Codes'!$D$1:$K$1,0)),"")</f>
        <v>6302.93.00.00</v>
      </c>
      <c r="I944" s="8">
        <f>_xlfn.IFNA(INDEX('HS Codes'!$D$2:$K3498,MATCH($B944,'HS Codes'!$A$2:$A3498,0),MATCH(I$1,'HS Codes'!$D$1:$K$1,0)),"")</f>
        <v>63029390</v>
      </c>
      <c r="J944" s="8">
        <f>_xlfn.IFNA(INDEX('HS Codes'!$D$2:$K3498,MATCH($B944,'HS Codes'!$A$2:$A3498,0),MATCH(J$1,'HS Codes'!$D$1:$K$1,0)),"")</f>
        <v>0</v>
      </c>
      <c r="K944" s="8" t="str">
        <f>_xlfn.IFNA(INDEX('HS Codes'!$D$2:$K3498,MATCH($B944,'HS Codes'!$A$2:$A3498,0),MATCH(K$1,'HS Codes'!$D$1:$K$1,0)),"")</f>
        <v>6302.39.00</v>
      </c>
      <c r="L944" s="8">
        <f>_xlfn.IFNA(INDEX('HS Codes'!$D$2:$K3498,MATCH($B944,'HS Codes'!$A$2:$A3498,0),MATCH(L$1,'HS Codes'!$D$1:$K$1,0)),"")</f>
        <v>63029120</v>
      </c>
      <c r="M944" s="8" t="str">
        <f>_xlfn.IFNA(INDEX('HS Codes'!$C$2:$C3498,MATCH($B944,'HS Codes'!$A$2:$A3498,0)),"")</f>
        <v>Beach Towel - Toilet Linen 100% recycled 220 GSM/83% polyester/17% polyamide includes cotton on the packing pouch drawstring</v>
      </c>
      <c r="N944" s="9"/>
      <c r="O944" s="9"/>
      <c r="P944" s="9"/>
      <c r="Q944" s="9"/>
    </row>
    <row r="945" spans="1:17" ht="15.75" customHeight="1">
      <c r="A945" s="7" t="s">
        <v>1237</v>
      </c>
      <c r="B945" s="7" t="s">
        <v>164</v>
      </c>
      <c r="C945" s="7" t="s">
        <v>278</v>
      </c>
      <c r="D945" s="7" t="s">
        <v>165</v>
      </c>
      <c r="E945" s="7" t="s">
        <v>348</v>
      </c>
      <c r="F945" s="8" t="str">
        <f>_xlfn.IFNA(INDEX('HS Codes'!$D$2:$K3499,MATCH($B945,'HS Codes'!$A$2:$A3499,0),MATCH(F$1,'HS Codes'!$D$1:$K$1,0)),"")</f>
        <v>6302.93.2000</v>
      </c>
      <c r="G945" s="8">
        <f>_xlfn.IFNA(INDEX('HS Codes'!$D$2:$K3499,MATCH($B945,'HS Codes'!$A$2:$A3499,0),MATCH(G$1,'HS Codes'!$D$1:$K$1,0)),"")</f>
        <v>6302600090</v>
      </c>
      <c r="H945" s="8" t="str">
        <f>_xlfn.IFNA(INDEX('HS Codes'!$D$2:$K3499,MATCH($B945,'HS Codes'!$A$2:$A3499,0),MATCH(H$1,'HS Codes'!$D$1:$K$1,0)),"")</f>
        <v>6302.93.00.00</v>
      </c>
      <c r="I945" s="8">
        <f>_xlfn.IFNA(INDEX('HS Codes'!$D$2:$K3499,MATCH($B945,'HS Codes'!$A$2:$A3499,0),MATCH(I$1,'HS Codes'!$D$1:$K$1,0)),"")</f>
        <v>63029390</v>
      </c>
      <c r="J945" s="8">
        <f>_xlfn.IFNA(INDEX('HS Codes'!$D$2:$K3499,MATCH($B945,'HS Codes'!$A$2:$A3499,0),MATCH(J$1,'HS Codes'!$D$1:$K$1,0)),"")</f>
        <v>0</v>
      </c>
      <c r="K945" s="8" t="str">
        <f>_xlfn.IFNA(INDEX('HS Codes'!$D$2:$K3499,MATCH($B945,'HS Codes'!$A$2:$A3499,0),MATCH(K$1,'HS Codes'!$D$1:$K$1,0)),"")</f>
        <v>6302.39.00</v>
      </c>
      <c r="L945" s="8">
        <f>_xlfn.IFNA(INDEX('HS Codes'!$D$2:$K3499,MATCH($B945,'HS Codes'!$A$2:$A3499,0),MATCH(L$1,'HS Codes'!$D$1:$K$1,0)),"")</f>
        <v>63029120</v>
      </c>
      <c r="M945" s="8" t="str">
        <f>_xlfn.IFNA(INDEX('HS Codes'!$C$2:$C3499,MATCH($B945,'HS Codes'!$A$2:$A3499,0)),"")</f>
        <v>Beach Towel - Toilet Linen 100% recycled 220 GSM/83% polyester/17% polyamide includes cotton on the packing pouch drawstring</v>
      </c>
      <c r="N945" s="9"/>
      <c r="O945" s="9"/>
      <c r="P945" s="9"/>
      <c r="Q945" s="9"/>
    </row>
    <row r="946" spans="1:17" ht="15.75" customHeight="1">
      <c r="A946" s="7" t="s">
        <v>1238</v>
      </c>
      <c r="B946" s="7" t="s">
        <v>164</v>
      </c>
      <c r="C946" s="7" t="s">
        <v>278</v>
      </c>
      <c r="D946" s="7" t="s">
        <v>165</v>
      </c>
      <c r="E946" s="7" t="s">
        <v>348</v>
      </c>
      <c r="F946" s="8" t="str">
        <f>_xlfn.IFNA(INDEX('HS Codes'!$D$2:$K3500,MATCH($B946,'HS Codes'!$A$2:$A3500,0),MATCH(F$1,'HS Codes'!$D$1:$K$1,0)),"")</f>
        <v>6302.93.2000</v>
      </c>
      <c r="G946" s="8">
        <f>_xlfn.IFNA(INDEX('HS Codes'!$D$2:$K3500,MATCH($B946,'HS Codes'!$A$2:$A3500,0),MATCH(G$1,'HS Codes'!$D$1:$K$1,0)),"")</f>
        <v>6302600090</v>
      </c>
      <c r="H946" s="8" t="str">
        <f>_xlfn.IFNA(INDEX('HS Codes'!$D$2:$K3500,MATCH($B946,'HS Codes'!$A$2:$A3500,0),MATCH(H$1,'HS Codes'!$D$1:$K$1,0)),"")</f>
        <v>6302.93.00.00</v>
      </c>
      <c r="I946" s="8">
        <f>_xlfn.IFNA(INDEX('HS Codes'!$D$2:$K3500,MATCH($B946,'HS Codes'!$A$2:$A3500,0),MATCH(I$1,'HS Codes'!$D$1:$K$1,0)),"")</f>
        <v>63029390</v>
      </c>
      <c r="J946" s="8">
        <f>_xlfn.IFNA(INDEX('HS Codes'!$D$2:$K3500,MATCH($B946,'HS Codes'!$A$2:$A3500,0),MATCH(J$1,'HS Codes'!$D$1:$K$1,0)),"")</f>
        <v>0</v>
      </c>
      <c r="K946" s="8" t="str">
        <f>_xlfn.IFNA(INDEX('HS Codes'!$D$2:$K3500,MATCH($B946,'HS Codes'!$A$2:$A3500,0),MATCH(K$1,'HS Codes'!$D$1:$K$1,0)),"")</f>
        <v>6302.39.00</v>
      </c>
      <c r="L946" s="8">
        <f>_xlfn.IFNA(INDEX('HS Codes'!$D$2:$K3500,MATCH($B946,'HS Codes'!$A$2:$A3500,0),MATCH(L$1,'HS Codes'!$D$1:$K$1,0)),"")</f>
        <v>63029120</v>
      </c>
      <c r="M946" s="8" t="str">
        <f>_xlfn.IFNA(INDEX('HS Codes'!$C$2:$C3500,MATCH($B946,'HS Codes'!$A$2:$A3500,0)),"")</f>
        <v>Beach Towel - Toilet Linen 100% recycled 220 GSM/83% polyester/17% polyamide includes cotton on the packing pouch drawstring</v>
      </c>
      <c r="N946" s="9"/>
      <c r="O946" s="9"/>
      <c r="P946" s="9"/>
      <c r="Q946" s="9"/>
    </row>
    <row r="947" spans="1:17" ht="15.75" customHeight="1">
      <c r="A947" s="7" t="s">
        <v>1239</v>
      </c>
      <c r="B947" s="7" t="s">
        <v>164</v>
      </c>
      <c r="C947" s="7" t="s">
        <v>278</v>
      </c>
      <c r="D947" s="7" t="s">
        <v>165</v>
      </c>
      <c r="E947" s="7" t="s">
        <v>348</v>
      </c>
      <c r="F947" s="8" t="str">
        <f>_xlfn.IFNA(INDEX('HS Codes'!$D$2:$K3501,MATCH($B947,'HS Codes'!$A$2:$A3501,0),MATCH(F$1,'HS Codes'!$D$1:$K$1,0)),"")</f>
        <v>6302.93.2000</v>
      </c>
      <c r="G947" s="8">
        <f>_xlfn.IFNA(INDEX('HS Codes'!$D$2:$K3501,MATCH($B947,'HS Codes'!$A$2:$A3501,0),MATCH(G$1,'HS Codes'!$D$1:$K$1,0)),"")</f>
        <v>6302600090</v>
      </c>
      <c r="H947" s="8" t="str">
        <f>_xlfn.IFNA(INDEX('HS Codes'!$D$2:$K3501,MATCH($B947,'HS Codes'!$A$2:$A3501,0),MATCH(H$1,'HS Codes'!$D$1:$K$1,0)),"")</f>
        <v>6302.93.00.00</v>
      </c>
      <c r="I947" s="8">
        <f>_xlfn.IFNA(INDEX('HS Codes'!$D$2:$K3501,MATCH($B947,'HS Codes'!$A$2:$A3501,0),MATCH(I$1,'HS Codes'!$D$1:$K$1,0)),"")</f>
        <v>63029390</v>
      </c>
      <c r="J947" s="8">
        <f>_xlfn.IFNA(INDEX('HS Codes'!$D$2:$K3501,MATCH($B947,'HS Codes'!$A$2:$A3501,0),MATCH(J$1,'HS Codes'!$D$1:$K$1,0)),"")</f>
        <v>0</v>
      </c>
      <c r="K947" s="8" t="str">
        <f>_xlfn.IFNA(INDEX('HS Codes'!$D$2:$K3501,MATCH($B947,'HS Codes'!$A$2:$A3501,0),MATCH(K$1,'HS Codes'!$D$1:$K$1,0)),"")</f>
        <v>6302.39.00</v>
      </c>
      <c r="L947" s="8">
        <f>_xlfn.IFNA(INDEX('HS Codes'!$D$2:$K3501,MATCH($B947,'HS Codes'!$A$2:$A3501,0),MATCH(L$1,'HS Codes'!$D$1:$K$1,0)),"")</f>
        <v>63029120</v>
      </c>
      <c r="M947" s="8" t="str">
        <f>_xlfn.IFNA(INDEX('HS Codes'!$C$2:$C3501,MATCH($B947,'HS Codes'!$A$2:$A3501,0)),"")</f>
        <v>Beach Towel - Toilet Linen 100% recycled 220 GSM/83% polyester/17% polyamide includes cotton on the packing pouch drawstring</v>
      </c>
      <c r="N947" s="9"/>
      <c r="O947" s="9"/>
      <c r="P947" s="9"/>
      <c r="Q947" s="9"/>
    </row>
    <row r="948" spans="1:17" ht="15.75" customHeight="1">
      <c r="A948" s="7" t="s">
        <v>1240</v>
      </c>
      <c r="B948" s="7" t="s">
        <v>164</v>
      </c>
      <c r="C948" s="7" t="s">
        <v>278</v>
      </c>
      <c r="D948" s="7" t="s">
        <v>165</v>
      </c>
      <c r="E948" s="7" t="s">
        <v>348</v>
      </c>
      <c r="F948" s="8" t="str">
        <f>_xlfn.IFNA(INDEX('HS Codes'!$D$2:$K3502,MATCH($B948,'HS Codes'!$A$2:$A3502,0),MATCH(F$1,'HS Codes'!$D$1:$K$1,0)),"")</f>
        <v>6302.93.2000</v>
      </c>
      <c r="G948" s="8">
        <f>_xlfn.IFNA(INDEX('HS Codes'!$D$2:$K3502,MATCH($B948,'HS Codes'!$A$2:$A3502,0),MATCH(G$1,'HS Codes'!$D$1:$K$1,0)),"")</f>
        <v>6302600090</v>
      </c>
      <c r="H948" s="8" t="str">
        <f>_xlfn.IFNA(INDEX('HS Codes'!$D$2:$K3502,MATCH($B948,'HS Codes'!$A$2:$A3502,0),MATCH(H$1,'HS Codes'!$D$1:$K$1,0)),"")</f>
        <v>6302.93.00.00</v>
      </c>
      <c r="I948" s="8">
        <f>_xlfn.IFNA(INDEX('HS Codes'!$D$2:$K3502,MATCH($B948,'HS Codes'!$A$2:$A3502,0),MATCH(I$1,'HS Codes'!$D$1:$K$1,0)),"")</f>
        <v>63029390</v>
      </c>
      <c r="J948" s="8">
        <f>_xlfn.IFNA(INDEX('HS Codes'!$D$2:$K3502,MATCH($B948,'HS Codes'!$A$2:$A3502,0),MATCH(J$1,'HS Codes'!$D$1:$K$1,0)),"")</f>
        <v>0</v>
      </c>
      <c r="K948" s="8" t="str">
        <f>_xlfn.IFNA(INDEX('HS Codes'!$D$2:$K3502,MATCH($B948,'HS Codes'!$A$2:$A3502,0),MATCH(K$1,'HS Codes'!$D$1:$K$1,0)),"")</f>
        <v>6302.39.00</v>
      </c>
      <c r="L948" s="8">
        <f>_xlfn.IFNA(INDEX('HS Codes'!$D$2:$K3502,MATCH($B948,'HS Codes'!$A$2:$A3502,0),MATCH(L$1,'HS Codes'!$D$1:$K$1,0)),"")</f>
        <v>63029120</v>
      </c>
      <c r="M948" s="8" t="str">
        <f>_xlfn.IFNA(INDEX('HS Codes'!$C$2:$C3502,MATCH($B948,'HS Codes'!$A$2:$A3502,0)),"")</f>
        <v>Beach Towel - Toilet Linen 100% recycled 220 GSM/83% polyester/17% polyamide includes cotton on the packing pouch drawstring</v>
      </c>
      <c r="N948" s="9"/>
      <c r="O948" s="9"/>
      <c r="P948" s="9"/>
      <c r="Q948" s="9"/>
    </row>
    <row r="949" spans="1:17" ht="15.75" customHeight="1">
      <c r="A949" s="7" t="s">
        <v>1241</v>
      </c>
      <c r="B949" s="7" t="s">
        <v>164</v>
      </c>
      <c r="C949" s="7" t="s">
        <v>278</v>
      </c>
      <c r="D949" s="7" t="s">
        <v>165</v>
      </c>
      <c r="E949" s="7" t="s">
        <v>348</v>
      </c>
      <c r="F949" s="8" t="str">
        <f>_xlfn.IFNA(INDEX('HS Codes'!$D$2:$K3503,MATCH($B949,'HS Codes'!$A$2:$A3503,0),MATCH(F$1,'HS Codes'!$D$1:$K$1,0)),"")</f>
        <v>6302.93.2000</v>
      </c>
      <c r="G949" s="8">
        <f>_xlfn.IFNA(INDEX('HS Codes'!$D$2:$K3503,MATCH($B949,'HS Codes'!$A$2:$A3503,0),MATCH(G$1,'HS Codes'!$D$1:$K$1,0)),"")</f>
        <v>6302600090</v>
      </c>
      <c r="H949" s="8" t="str">
        <f>_xlfn.IFNA(INDEX('HS Codes'!$D$2:$K3503,MATCH($B949,'HS Codes'!$A$2:$A3503,0),MATCH(H$1,'HS Codes'!$D$1:$K$1,0)),"")</f>
        <v>6302.93.00.00</v>
      </c>
      <c r="I949" s="8">
        <f>_xlfn.IFNA(INDEX('HS Codes'!$D$2:$K3503,MATCH($B949,'HS Codes'!$A$2:$A3503,0),MATCH(I$1,'HS Codes'!$D$1:$K$1,0)),"")</f>
        <v>63029390</v>
      </c>
      <c r="J949" s="8">
        <f>_xlfn.IFNA(INDEX('HS Codes'!$D$2:$K3503,MATCH($B949,'HS Codes'!$A$2:$A3503,0),MATCH(J$1,'HS Codes'!$D$1:$K$1,0)),"")</f>
        <v>0</v>
      </c>
      <c r="K949" s="8" t="str">
        <f>_xlfn.IFNA(INDEX('HS Codes'!$D$2:$K3503,MATCH($B949,'HS Codes'!$A$2:$A3503,0),MATCH(K$1,'HS Codes'!$D$1:$K$1,0)),"")</f>
        <v>6302.39.00</v>
      </c>
      <c r="L949" s="8">
        <f>_xlfn.IFNA(INDEX('HS Codes'!$D$2:$K3503,MATCH($B949,'HS Codes'!$A$2:$A3503,0),MATCH(L$1,'HS Codes'!$D$1:$K$1,0)),"")</f>
        <v>63029120</v>
      </c>
      <c r="M949" s="8" t="str">
        <f>_xlfn.IFNA(INDEX('HS Codes'!$C$2:$C3503,MATCH($B949,'HS Codes'!$A$2:$A3503,0)),"")</f>
        <v>Beach Towel - Toilet Linen 100% recycled 220 GSM/83% polyester/17% polyamide includes cotton on the packing pouch drawstring</v>
      </c>
      <c r="N949" s="9"/>
      <c r="O949" s="9"/>
      <c r="P949" s="9"/>
      <c r="Q949" s="9"/>
    </row>
    <row r="950" spans="1:17" ht="15.75" customHeight="1">
      <c r="A950" s="7" t="s">
        <v>1242</v>
      </c>
      <c r="B950" s="7" t="s">
        <v>164</v>
      </c>
      <c r="C950" s="7" t="s">
        <v>278</v>
      </c>
      <c r="D950" s="7" t="s">
        <v>165</v>
      </c>
      <c r="E950" s="7" t="s">
        <v>348</v>
      </c>
      <c r="F950" s="8" t="str">
        <f>_xlfn.IFNA(INDEX('HS Codes'!$D$2:$K3504,MATCH($B950,'HS Codes'!$A$2:$A3504,0),MATCH(F$1,'HS Codes'!$D$1:$K$1,0)),"")</f>
        <v>6302.93.2000</v>
      </c>
      <c r="G950" s="8">
        <f>_xlfn.IFNA(INDEX('HS Codes'!$D$2:$K3504,MATCH($B950,'HS Codes'!$A$2:$A3504,0),MATCH(G$1,'HS Codes'!$D$1:$K$1,0)),"")</f>
        <v>6302600090</v>
      </c>
      <c r="H950" s="8" t="str">
        <f>_xlfn.IFNA(INDEX('HS Codes'!$D$2:$K3504,MATCH($B950,'HS Codes'!$A$2:$A3504,0),MATCH(H$1,'HS Codes'!$D$1:$K$1,0)),"")</f>
        <v>6302.93.00.00</v>
      </c>
      <c r="I950" s="8">
        <f>_xlfn.IFNA(INDEX('HS Codes'!$D$2:$K3504,MATCH($B950,'HS Codes'!$A$2:$A3504,0),MATCH(I$1,'HS Codes'!$D$1:$K$1,0)),"")</f>
        <v>63029390</v>
      </c>
      <c r="J950" s="8">
        <f>_xlfn.IFNA(INDEX('HS Codes'!$D$2:$K3504,MATCH($B950,'HS Codes'!$A$2:$A3504,0),MATCH(J$1,'HS Codes'!$D$1:$K$1,0)),"")</f>
        <v>0</v>
      </c>
      <c r="K950" s="8" t="str">
        <f>_xlfn.IFNA(INDEX('HS Codes'!$D$2:$K3504,MATCH($B950,'HS Codes'!$A$2:$A3504,0),MATCH(K$1,'HS Codes'!$D$1:$K$1,0)),"")</f>
        <v>6302.39.00</v>
      </c>
      <c r="L950" s="8">
        <f>_xlfn.IFNA(INDEX('HS Codes'!$D$2:$K3504,MATCH($B950,'HS Codes'!$A$2:$A3504,0),MATCH(L$1,'HS Codes'!$D$1:$K$1,0)),"")</f>
        <v>63029120</v>
      </c>
      <c r="M950" s="8" t="str">
        <f>_xlfn.IFNA(INDEX('HS Codes'!$C$2:$C3504,MATCH($B950,'HS Codes'!$A$2:$A3504,0)),"")</f>
        <v>Beach Towel - Toilet Linen 100% recycled 220 GSM/83% polyester/17% polyamide includes cotton on the packing pouch drawstring</v>
      </c>
      <c r="N950" s="9"/>
      <c r="O950" s="9"/>
      <c r="P950" s="9"/>
      <c r="Q950" s="9"/>
    </row>
    <row r="951" spans="1:17" ht="15.75" customHeight="1">
      <c r="A951" s="7" t="s">
        <v>1243</v>
      </c>
      <c r="B951" s="7" t="s">
        <v>164</v>
      </c>
      <c r="C951" s="7" t="s">
        <v>278</v>
      </c>
      <c r="D951" s="7" t="s">
        <v>165</v>
      </c>
      <c r="E951" s="7" t="s">
        <v>348</v>
      </c>
      <c r="F951" s="8" t="str">
        <f>_xlfn.IFNA(INDEX('HS Codes'!$D$2:$K3505,MATCH($B951,'HS Codes'!$A$2:$A3505,0),MATCH(F$1,'HS Codes'!$D$1:$K$1,0)),"")</f>
        <v>6302.93.2000</v>
      </c>
      <c r="G951" s="8">
        <f>_xlfn.IFNA(INDEX('HS Codes'!$D$2:$K3505,MATCH($B951,'HS Codes'!$A$2:$A3505,0),MATCH(G$1,'HS Codes'!$D$1:$K$1,0)),"")</f>
        <v>6302600090</v>
      </c>
      <c r="H951" s="8" t="str">
        <f>_xlfn.IFNA(INDEX('HS Codes'!$D$2:$K3505,MATCH($B951,'HS Codes'!$A$2:$A3505,0),MATCH(H$1,'HS Codes'!$D$1:$K$1,0)),"")</f>
        <v>6302.93.00.00</v>
      </c>
      <c r="I951" s="8">
        <f>_xlfn.IFNA(INDEX('HS Codes'!$D$2:$K3505,MATCH($B951,'HS Codes'!$A$2:$A3505,0),MATCH(I$1,'HS Codes'!$D$1:$K$1,0)),"")</f>
        <v>63029390</v>
      </c>
      <c r="J951" s="8">
        <f>_xlfn.IFNA(INDEX('HS Codes'!$D$2:$K3505,MATCH($B951,'HS Codes'!$A$2:$A3505,0),MATCH(J$1,'HS Codes'!$D$1:$K$1,0)),"")</f>
        <v>0</v>
      </c>
      <c r="K951" s="8" t="str">
        <f>_xlfn.IFNA(INDEX('HS Codes'!$D$2:$K3505,MATCH($B951,'HS Codes'!$A$2:$A3505,0),MATCH(K$1,'HS Codes'!$D$1:$K$1,0)),"")</f>
        <v>6302.39.00</v>
      </c>
      <c r="L951" s="8">
        <f>_xlfn.IFNA(INDEX('HS Codes'!$D$2:$K3505,MATCH($B951,'HS Codes'!$A$2:$A3505,0),MATCH(L$1,'HS Codes'!$D$1:$K$1,0)),"")</f>
        <v>63029120</v>
      </c>
      <c r="M951" s="8" t="str">
        <f>_xlfn.IFNA(INDEX('HS Codes'!$C$2:$C3505,MATCH($B951,'HS Codes'!$A$2:$A3505,0)),"")</f>
        <v>Beach Towel - Toilet Linen 100% recycled 220 GSM/83% polyester/17% polyamide includes cotton on the packing pouch drawstring</v>
      </c>
      <c r="N951" s="9"/>
      <c r="O951" s="9"/>
      <c r="P951" s="9"/>
      <c r="Q951" s="9"/>
    </row>
    <row r="952" spans="1:17" ht="15.75" customHeight="1">
      <c r="A952" s="7" t="s">
        <v>1244</v>
      </c>
      <c r="B952" s="7" t="s">
        <v>164</v>
      </c>
      <c r="C952" s="7" t="s">
        <v>278</v>
      </c>
      <c r="D952" s="7" t="s">
        <v>165</v>
      </c>
      <c r="E952" s="7" t="s">
        <v>348</v>
      </c>
      <c r="F952" s="8" t="str">
        <f>_xlfn.IFNA(INDEX('HS Codes'!$D$2:$K3506,MATCH($B952,'HS Codes'!$A$2:$A3506,0),MATCH(F$1,'HS Codes'!$D$1:$K$1,0)),"")</f>
        <v>6302.93.2000</v>
      </c>
      <c r="G952" s="8">
        <f>_xlfn.IFNA(INDEX('HS Codes'!$D$2:$K3506,MATCH($B952,'HS Codes'!$A$2:$A3506,0),MATCH(G$1,'HS Codes'!$D$1:$K$1,0)),"")</f>
        <v>6302600090</v>
      </c>
      <c r="H952" s="8" t="str">
        <f>_xlfn.IFNA(INDEX('HS Codes'!$D$2:$K3506,MATCH($B952,'HS Codes'!$A$2:$A3506,0),MATCH(H$1,'HS Codes'!$D$1:$K$1,0)),"")</f>
        <v>6302.93.00.00</v>
      </c>
      <c r="I952" s="8">
        <f>_xlfn.IFNA(INDEX('HS Codes'!$D$2:$K3506,MATCH($B952,'HS Codes'!$A$2:$A3506,0),MATCH(I$1,'HS Codes'!$D$1:$K$1,0)),"")</f>
        <v>63029390</v>
      </c>
      <c r="J952" s="8">
        <f>_xlfn.IFNA(INDEX('HS Codes'!$D$2:$K3506,MATCH($B952,'HS Codes'!$A$2:$A3506,0),MATCH(J$1,'HS Codes'!$D$1:$K$1,0)),"")</f>
        <v>0</v>
      </c>
      <c r="K952" s="8" t="str">
        <f>_xlfn.IFNA(INDEX('HS Codes'!$D$2:$K3506,MATCH($B952,'HS Codes'!$A$2:$A3506,0),MATCH(K$1,'HS Codes'!$D$1:$K$1,0)),"")</f>
        <v>6302.39.00</v>
      </c>
      <c r="L952" s="8">
        <f>_xlfn.IFNA(INDEX('HS Codes'!$D$2:$K3506,MATCH($B952,'HS Codes'!$A$2:$A3506,0),MATCH(L$1,'HS Codes'!$D$1:$K$1,0)),"")</f>
        <v>63029120</v>
      </c>
      <c r="M952" s="8" t="str">
        <f>_xlfn.IFNA(INDEX('HS Codes'!$C$2:$C3506,MATCH($B952,'HS Codes'!$A$2:$A3506,0)),"")</f>
        <v>Beach Towel - Toilet Linen 100% recycled 220 GSM/83% polyester/17% polyamide includes cotton on the packing pouch drawstring</v>
      </c>
      <c r="N952" s="9"/>
      <c r="O952" s="9"/>
      <c r="P952" s="9"/>
      <c r="Q952" s="9"/>
    </row>
    <row r="953" spans="1:17" ht="15.75" customHeight="1">
      <c r="A953" s="7" t="s">
        <v>1245</v>
      </c>
      <c r="B953" s="7" t="s">
        <v>164</v>
      </c>
      <c r="C953" s="7" t="s">
        <v>278</v>
      </c>
      <c r="D953" s="7" t="s">
        <v>165</v>
      </c>
      <c r="E953" s="7" t="s">
        <v>348</v>
      </c>
      <c r="F953" s="8" t="str">
        <f>_xlfn.IFNA(INDEX('HS Codes'!$D$2:$K3507,MATCH($B953,'HS Codes'!$A$2:$A3507,0),MATCH(F$1,'HS Codes'!$D$1:$K$1,0)),"")</f>
        <v>6302.93.2000</v>
      </c>
      <c r="G953" s="8">
        <f>_xlfn.IFNA(INDEX('HS Codes'!$D$2:$K3507,MATCH($B953,'HS Codes'!$A$2:$A3507,0),MATCH(G$1,'HS Codes'!$D$1:$K$1,0)),"")</f>
        <v>6302600090</v>
      </c>
      <c r="H953" s="8" t="str">
        <f>_xlfn.IFNA(INDEX('HS Codes'!$D$2:$K3507,MATCH($B953,'HS Codes'!$A$2:$A3507,0),MATCH(H$1,'HS Codes'!$D$1:$K$1,0)),"")</f>
        <v>6302.93.00.00</v>
      </c>
      <c r="I953" s="8">
        <f>_xlfn.IFNA(INDEX('HS Codes'!$D$2:$K3507,MATCH($B953,'HS Codes'!$A$2:$A3507,0),MATCH(I$1,'HS Codes'!$D$1:$K$1,0)),"")</f>
        <v>63029390</v>
      </c>
      <c r="J953" s="8">
        <f>_xlfn.IFNA(INDEX('HS Codes'!$D$2:$K3507,MATCH($B953,'HS Codes'!$A$2:$A3507,0),MATCH(J$1,'HS Codes'!$D$1:$K$1,0)),"")</f>
        <v>0</v>
      </c>
      <c r="K953" s="8" t="str">
        <f>_xlfn.IFNA(INDEX('HS Codes'!$D$2:$K3507,MATCH($B953,'HS Codes'!$A$2:$A3507,0),MATCH(K$1,'HS Codes'!$D$1:$K$1,0)),"")</f>
        <v>6302.39.00</v>
      </c>
      <c r="L953" s="8">
        <f>_xlfn.IFNA(INDEX('HS Codes'!$D$2:$K3507,MATCH($B953,'HS Codes'!$A$2:$A3507,0),MATCH(L$1,'HS Codes'!$D$1:$K$1,0)),"")</f>
        <v>63029120</v>
      </c>
      <c r="M953" s="8" t="str">
        <f>_xlfn.IFNA(INDEX('HS Codes'!$C$2:$C3507,MATCH($B953,'HS Codes'!$A$2:$A3507,0)),"")</f>
        <v>Beach Towel - Toilet Linen 100% recycled 220 GSM/83% polyester/17% polyamide includes cotton on the packing pouch drawstring</v>
      </c>
      <c r="N953" s="9"/>
      <c r="O953" s="9"/>
      <c r="P953" s="9"/>
      <c r="Q953" s="9"/>
    </row>
    <row r="954" spans="1:17" ht="15.75" customHeight="1">
      <c r="A954" s="7" t="s">
        <v>1246</v>
      </c>
      <c r="B954" s="7" t="s">
        <v>164</v>
      </c>
      <c r="C954" s="7" t="s">
        <v>278</v>
      </c>
      <c r="D954" s="7" t="s">
        <v>165</v>
      </c>
      <c r="E954" s="7" t="s">
        <v>348</v>
      </c>
      <c r="F954" s="8" t="str">
        <f>_xlfn.IFNA(INDEX('HS Codes'!$D$2:$K3508,MATCH($B954,'HS Codes'!$A$2:$A3508,0),MATCH(F$1,'HS Codes'!$D$1:$K$1,0)),"")</f>
        <v>6302.93.2000</v>
      </c>
      <c r="G954" s="8">
        <f>_xlfn.IFNA(INDEX('HS Codes'!$D$2:$K3508,MATCH($B954,'HS Codes'!$A$2:$A3508,0),MATCH(G$1,'HS Codes'!$D$1:$K$1,0)),"")</f>
        <v>6302600090</v>
      </c>
      <c r="H954" s="8" t="str">
        <f>_xlfn.IFNA(INDEX('HS Codes'!$D$2:$K3508,MATCH($B954,'HS Codes'!$A$2:$A3508,0),MATCH(H$1,'HS Codes'!$D$1:$K$1,0)),"")</f>
        <v>6302.93.00.00</v>
      </c>
      <c r="I954" s="8">
        <f>_xlfn.IFNA(INDEX('HS Codes'!$D$2:$K3508,MATCH($B954,'HS Codes'!$A$2:$A3508,0),MATCH(I$1,'HS Codes'!$D$1:$K$1,0)),"")</f>
        <v>63029390</v>
      </c>
      <c r="J954" s="8">
        <f>_xlfn.IFNA(INDEX('HS Codes'!$D$2:$K3508,MATCH($B954,'HS Codes'!$A$2:$A3508,0),MATCH(J$1,'HS Codes'!$D$1:$K$1,0)),"")</f>
        <v>0</v>
      </c>
      <c r="K954" s="8" t="str">
        <f>_xlfn.IFNA(INDEX('HS Codes'!$D$2:$K3508,MATCH($B954,'HS Codes'!$A$2:$A3508,0),MATCH(K$1,'HS Codes'!$D$1:$K$1,0)),"")</f>
        <v>6302.39.00</v>
      </c>
      <c r="L954" s="8">
        <f>_xlfn.IFNA(INDEX('HS Codes'!$D$2:$K3508,MATCH($B954,'HS Codes'!$A$2:$A3508,0),MATCH(L$1,'HS Codes'!$D$1:$K$1,0)),"")</f>
        <v>63029120</v>
      </c>
      <c r="M954" s="8" t="str">
        <f>_xlfn.IFNA(INDEX('HS Codes'!$C$2:$C3508,MATCH($B954,'HS Codes'!$A$2:$A3508,0)),"")</f>
        <v>Beach Towel - Toilet Linen 100% recycled 220 GSM/83% polyester/17% polyamide includes cotton on the packing pouch drawstring</v>
      </c>
      <c r="N954" s="9"/>
      <c r="O954" s="9"/>
      <c r="P954" s="9"/>
      <c r="Q954" s="9"/>
    </row>
    <row r="955" spans="1:17" ht="15.75" customHeight="1">
      <c r="A955" s="7" t="s">
        <v>1247</v>
      </c>
      <c r="B955" s="7" t="s">
        <v>164</v>
      </c>
      <c r="C955" s="7" t="s">
        <v>278</v>
      </c>
      <c r="D955" s="7" t="s">
        <v>165</v>
      </c>
      <c r="E955" s="7" t="s">
        <v>348</v>
      </c>
      <c r="F955" s="8" t="str">
        <f>_xlfn.IFNA(INDEX('HS Codes'!$D$2:$K3509,MATCH($B955,'HS Codes'!$A$2:$A3509,0),MATCH(F$1,'HS Codes'!$D$1:$K$1,0)),"")</f>
        <v>6302.93.2000</v>
      </c>
      <c r="G955" s="8">
        <f>_xlfn.IFNA(INDEX('HS Codes'!$D$2:$K3509,MATCH($B955,'HS Codes'!$A$2:$A3509,0),MATCH(G$1,'HS Codes'!$D$1:$K$1,0)),"")</f>
        <v>6302600090</v>
      </c>
      <c r="H955" s="8" t="str">
        <f>_xlfn.IFNA(INDEX('HS Codes'!$D$2:$K3509,MATCH($B955,'HS Codes'!$A$2:$A3509,0),MATCH(H$1,'HS Codes'!$D$1:$K$1,0)),"")</f>
        <v>6302.93.00.00</v>
      </c>
      <c r="I955" s="8">
        <f>_xlfn.IFNA(INDEX('HS Codes'!$D$2:$K3509,MATCH($B955,'HS Codes'!$A$2:$A3509,0),MATCH(I$1,'HS Codes'!$D$1:$K$1,0)),"")</f>
        <v>63029390</v>
      </c>
      <c r="J955" s="8">
        <f>_xlfn.IFNA(INDEX('HS Codes'!$D$2:$K3509,MATCH($B955,'HS Codes'!$A$2:$A3509,0),MATCH(J$1,'HS Codes'!$D$1:$K$1,0)),"")</f>
        <v>0</v>
      </c>
      <c r="K955" s="8" t="str">
        <f>_xlfn.IFNA(INDEX('HS Codes'!$D$2:$K3509,MATCH($B955,'HS Codes'!$A$2:$A3509,0),MATCH(K$1,'HS Codes'!$D$1:$K$1,0)),"")</f>
        <v>6302.39.00</v>
      </c>
      <c r="L955" s="8">
        <f>_xlfn.IFNA(INDEX('HS Codes'!$D$2:$K3509,MATCH($B955,'HS Codes'!$A$2:$A3509,0),MATCH(L$1,'HS Codes'!$D$1:$K$1,0)),"")</f>
        <v>63029120</v>
      </c>
      <c r="M955" s="8" t="str">
        <f>_xlfn.IFNA(INDEX('HS Codes'!$C$2:$C3509,MATCH($B955,'HS Codes'!$A$2:$A3509,0)),"")</f>
        <v>Beach Towel - Toilet Linen 100% recycled 220 GSM/83% polyester/17% polyamide includes cotton on the packing pouch drawstring</v>
      </c>
      <c r="N955" s="9"/>
      <c r="O955" s="9"/>
      <c r="P955" s="9"/>
      <c r="Q955" s="9"/>
    </row>
    <row r="956" spans="1:17" ht="15.75" customHeight="1">
      <c r="A956" s="7" t="s">
        <v>1248</v>
      </c>
      <c r="B956" s="7" t="s">
        <v>164</v>
      </c>
      <c r="C956" s="7" t="s">
        <v>278</v>
      </c>
      <c r="D956" s="7" t="s">
        <v>165</v>
      </c>
      <c r="E956" s="7" t="s">
        <v>348</v>
      </c>
      <c r="F956" s="8" t="str">
        <f>_xlfn.IFNA(INDEX('HS Codes'!$D$2:$K3510,MATCH($B956,'HS Codes'!$A$2:$A3510,0),MATCH(F$1,'HS Codes'!$D$1:$K$1,0)),"")</f>
        <v>6302.93.2000</v>
      </c>
      <c r="G956" s="8">
        <f>_xlfn.IFNA(INDEX('HS Codes'!$D$2:$K3510,MATCH($B956,'HS Codes'!$A$2:$A3510,0),MATCH(G$1,'HS Codes'!$D$1:$K$1,0)),"")</f>
        <v>6302600090</v>
      </c>
      <c r="H956" s="8" t="str">
        <f>_xlfn.IFNA(INDEX('HS Codes'!$D$2:$K3510,MATCH($B956,'HS Codes'!$A$2:$A3510,0),MATCH(H$1,'HS Codes'!$D$1:$K$1,0)),"")</f>
        <v>6302.93.00.00</v>
      </c>
      <c r="I956" s="8">
        <f>_xlfn.IFNA(INDEX('HS Codes'!$D$2:$K3510,MATCH($B956,'HS Codes'!$A$2:$A3510,0),MATCH(I$1,'HS Codes'!$D$1:$K$1,0)),"")</f>
        <v>63029390</v>
      </c>
      <c r="J956" s="8">
        <f>_xlfn.IFNA(INDEX('HS Codes'!$D$2:$K3510,MATCH($B956,'HS Codes'!$A$2:$A3510,0),MATCH(J$1,'HS Codes'!$D$1:$K$1,0)),"")</f>
        <v>0</v>
      </c>
      <c r="K956" s="8" t="str">
        <f>_xlfn.IFNA(INDEX('HS Codes'!$D$2:$K3510,MATCH($B956,'HS Codes'!$A$2:$A3510,0),MATCH(K$1,'HS Codes'!$D$1:$K$1,0)),"")</f>
        <v>6302.39.00</v>
      </c>
      <c r="L956" s="8">
        <f>_xlfn.IFNA(INDEX('HS Codes'!$D$2:$K3510,MATCH($B956,'HS Codes'!$A$2:$A3510,0),MATCH(L$1,'HS Codes'!$D$1:$K$1,0)),"")</f>
        <v>63029120</v>
      </c>
      <c r="M956" s="8" t="str">
        <f>_xlfn.IFNA(INDEX('HS Codes'!$C$2:$C3510,MATCH($B956,'HS Codes'!$A$2:$A3510,0)),"")</f>
        <v>Beach Towel - Toilet Linen 100% recycled 220 GSM/83% polyester/17% polyamide includes cotton on the packing pouch drawstring</v>
      </c>
      <c r="N956" s="9"/>
      <c r="O956" s="9"/>
      <c r="P956" s="9"/>
      <c r="Q956" s="9"/>
    </row>
    <row r="957" spans="1:17" ht="15.75" customHeight="1">
      <c r="A957" s="7" t="s">
        <v>1249</v>
      </c>
      <c r="B957" s="7" t="s">
        <v>164</v>
      </c>
      <c r="C957" s="7" t="s">
        <v>278</v>
      </c>
      <c r="D957" s="7" t="s">
        <v>165</v>
      </c>
      <c r="E957" s="7" t="s">
        <v>348</v>
      </c>
      <c r="F957" s="8" t="str">
        <f>_xlfn.IFNA(INDEX('HS Codes'!$D$2:$K3511,MATCH($B957,'HS Codes'!$A$2:$A3511,0),MATCH(F$1,'HS Codes'!$D$1:$K$1,0)),"")</f>
        <v>6302.93.2000</v>
      </c>
      <c r="G957" s="8">
        <f>_xlfn.IFNA(INDEX('HS Codes'!$D$2:$K3511,MATCH($B957,'HS Codes'!$A$2:$A3511,0),MATCH(G$1,'HS Codes'!$D$1:$K$1,0)),"")</f>
        <v>6302600090</v>
      </c>
      <c r="H957" s="8" t="str">
        <f>_xlfn.IFNA(INDEX('HS Codes'!$D$2:$K3511,MATCH($B957,'HS Codes'!$A$2:$A3511,0),MATCH(H$1,'HS Codes'!$D$1:$K$1,0)),"")</f>
        <v>6302.93.00.00</v>
      </c>
      <c r="I957" s="8">
        <f>_xlfn.IFNA(INDEX('HS Codes'!$D$2:$K3511,MATCH($B957,'HS Codes'!$A$2:$A3511,0),MATCH(I$1,'HS Codes'!$D$1:$K$1,0)),"")</f>
        <v>63029390</v>
      </c>
      <c r="J957" s="8">
        <f>_xlfn.IFNA(INDEX('HS Codes'!$D$2:$K3511,MATCH($B957,'HS Codes'!$A$2:$A3511,0),MATCH(J$1,'HS Codes'!$D$1:$K$1,0)),"")</f>
        <v>0</v>
      </c>
      <c r="K957" s="8" t="str">
        <f>_xlfn.IFNA(INDEX('HS Codes'!$D$2:$K3511,MATCH($B957,'HS Codes'!$A$2:$A3511,0),MATCH(K$1,'HS Codes'!$D$1:$K$1,0)),"")</f>
        <v>6302.39.00</v>
      </c>
      <c r="L957" s="8">
        <f>_xlfn.IFNA(INDEX('HS Codes'!$D$2:$K3511,MATCH($B957,'HS Codes'!$A$2:$A3511,0),MATCH(L$1,'HS Codes'!$D$1:$K$1,0)),"")</f>
        <v>63029120</v>
      </c>
      <c r="M957" s="8" t="str">
        <f>_xlfn.IFNA(INDEX('HS Codes'!$C$2:$C3511,MATCH($B957,'HS Codes'!$A$2:$A3511,0)),"")</f>
        <v>Beach Towel - Toilet Linen 100% recycled 220 GSM/83% polyester/17% polyamide includes cotton on the packing pouch drawstring</v>
      </c>
      <c r="N957" s="9"/>
      <c r="O957" s="9"/>
      <c r="P957" s="9"/>
      <c r="Q957" s="9"/>
    </row>
    <row r="958" spans="1:17" ht="15.75" customHeight="1">
      <c r="A958" s="7" t="s">
        <v>1250</v>
      </c>
      <c r="B958" s="7" t="s">
        <v>164</v>
      </c>
      <c r="C958" s="7" t="s">
        <v>278</v>
      </c>
      <c r="D958" s="7" t="s">
        <v>165</v>
      </c>
      <c r="E958" s="7" t="s">
        <v>348</v>
      </c>
      <c r="F958" s="8" t="str">
        <f>_xlfn.IFNA(INDEX('HS Codes'!$D$2:$K3512,MATCH($B958,'HS Codes'!$A$2:$A3512,0),MATCH(F$1,'HS Codes'!$D$1:$K$1,0)),"")</f>
        <v>6302.93.2000</v>
      </c>
      <c r="G958" s="8">
        <f>_xlfn.IFNA(INDEX('HS Codes'!$D$2:$K3512,MATCH($B958,'HS Codes'!$A$2:$A3512,0),MATCH(G$1,'HS Codes'!$D$1:$K$1,0)),"")</f>
        <v>6302600090</v>
      </c>
      <c r="H958" s="8" t="str">
        <f>_xlfn.IFNA(INDEX('HS Codes'!$D$2:$K3512,MATCH($B958,'HS Codes'!$A$2:$A3512,0),MATCH(H$1,'HS Codes'!$D$1:$K$1,0)),"")</f>
        <v>6302.93.00.00</v>
      </c>
      <c r="I958" s="8">
        <f>_xlfn.IFNA(INDEX('HS Codes'!$D$2:$K3512,MATCH($B958,'HS Codes'!$A$2:$A3512,0),MATCH(I$1,'HS Codes'!$D$1:$K$1,0)),"")</f>
        <v>63029390</v>
      </c>
      <c r="J958" s="8">
        <f>_xlfn.IFNA(INDEX('HS Codes'!$D$2:$K3512,MATCH($B958,'HS Codes'!$A$2:$A3512,0),MATCH(J$1,'HS Codes'!$D$1:$K$1,0)),"")</f>
        <v>0</v>
      </c>
      <c r="K958" s="8" t="str">
        <f>_xlfn.IFNA(INDEX('HS Codes'!$D$2:$K3512,MATCH($B958,'HS Codes'!$A$2:$A3512,0),MATCH(K$1,'HS Codes'!$D$1:$K$1,0)),"")</f>
        <v>6302.39.00</v>
      </c>
      <c r="L958" s="8">
        <f>_xlfn.IFNA(INDEX('HS Codes'!$D$2:$K3512,MATCH($B958,'HS Codes'!$A$2:$A3512,0),MATCH(L$1,'HS Codes'!$D$1:$K$1,0)),"")</f>
        <v>63029120</v>
      </c>
      <c r="M958" s="8" t="str">
        <f>_xlfn.IFNA(INDEX('HS Codes'!$C$2:$C3512,MATCH($B958,'HS Codes'!$A$2:$A3512,0)),"")</f>
        <v>Beach Towel - Toilet Linen 100% recycled 220 GSM/83% polyester/17% polyamide includes cotton on the packing pouch drawstring</v>
      </c>
      <c r="N958" s="9"/>
      <c r="O958" s="9"/>
      <c r="P958" s="9"/>
      <c r="Q958" s="9"/>
    </row>
    <row r="959" spans="1:17" ht="15.75" customHeight="1">
      <c r="A959" s="7" t="s">
        <v>1251</v>
      </c>
      <c r="B959" s="7" t="s">
        <v>164</v>
      </c>
      <c r="C959" s="7" t="s">
        <v>278</v>
      </c>
      <c r="D959" s="7" t="s">
        <v>165</v>
      </c>
      <c r="E959" s="7" t="s">
        <v>348</v>
      </c>
      <c r="F959" s="8" t="str">
        <f>_xlfn.IFNA(INDEX('HS Codes'!$D$2:$K3513,MATCH($B959,'HS Codes'!$A$2:$A3513,0),MATCH(F$1,'HS Codes'!$D$1:$K$1,0)),"")</f>
        <v>6302.93.2000</v>
      </c>
      <c r="G959" s="8">
        <f>_xlfn.IFNA(INDEX('HS Codes'!$D$2:$K3513,MATCH($B959,'HS Codes'!$A$2:$A3513,0),MATCH(G$1,'HS Codes'!$D$1:$K$1,0)),"")</f>
        <v>6302600090</v>
      </c>
      <c r="H959" s="8" t="str">
        <f>_xlfn.IFNA(INDEX('HS Codes'!$D$2:$K3513,MATCH($B959,'HS Codes'!$A$2:$A3513,0),MATCH(H$1,'HS Codes'!$D$1:$K$1,0)),"")</f>
        <v>6302.93.00.00</v>
      </c>
      <c r="I959" s="8">
        <f>_xlfn.IFNA(INDEX('HS Codes'!$D$2:$K3513,MATCH($B959,'HS Codes'!$A$2:$A3513,0),MATCH(I$1,'HS Codes'!$D$1:$K$1,0)),"")</f>
        <v>63029390</v>
      </c>
      <c r="J959" s="8">
        <f>_xlfn.IFNA(INDEX('HS Codes'!$D$2:$K3513,MATCH($B959,'HS Codes'!$A$2:$A3513,0),MATCH(J$1,'HS Codes'!$D$1:$K$1,0)),"")</f>
        <v>0</v>
      </c>
      <c r="K959" s="8" t="str">
        <f>_xlfn.IFNA(INDEX('HS Codes'!$D$2:$K3513,MATCH($B959,'HS Codes'!$A$2:$A3513,0),MATCH(K$1,'HS Codes'!$D$1:$K$1,0)),"")</f>
        <v>6302.39.00</v>
      </c>
      <c r="L959" s="8">
        <f>_xlfn.IFNA(INDEX('HS Codes'!$D$2:$K3513,MATCH($B959,'HS Codes'!$A$2:$A3513,0),MATCH(L$1,'HS Codes'!$D$1:$K$1,0)),"")</f>
        <v>63029120</v>
      </c>
      <c r="M959" s="8" t="str">
        <f>_xlfn.IFNA(INDEX('HS Codes'!$C$2:$C3513,MATCH($B959,'HS Codes'!$A$2:$A3513,0)),"")</f>
        <v>Beach Towel - Toilet Linen 100% recycled 220 GSM/83% polyester/17% polyamide includes cotton on the packing pouch drawstring</v>
      </c>
      <c r="N959" s="9"/>
      <c r="O959" s="9"/>
      <c r="P959" s="9"/>
      <c r="Q959" s="9"/>
    </row>
    <row r="960" spans="1:17" ht="15.75" customHeight="1">
      <c r="A960" s="7" t="s">
        <v>1252</v>
      </c>
      <c r="B960" s="7" t="s">
        <v>164</v>
      </c>
      <c r="C960" s="7" t="s">
        <v>278</v>
      </c>
      <c r="D960" s="7" t="s">
        <v>165</v>
      </c>
      <c r="E960" s="7" t="s">
        <v>348</v>
      </c>
      <c r="F960" s="8" t="str">
        <f>_xlfn.IFNA(INDEX('HS Codes'!$D$2:$K3514,MATCH($B960,'HS Codes'!$A$2:$A3514,0),MATCH(F$1,'HS Codes'!$D$1:$K$1,0)),"")</f>
        <v>6302.93.2000</v>
      </c>
      <c r="G960" s="8">
        <f>_xlfn.IFNA(INDEX('HS Codes'!$D$2:$K3514,MATCH($B960,'HS Codes'!$A$2:$A3514,0),MATCH(G$1,'HS Codes'!$D$1:$K$1,0)),"")</f>
        <v>6302600090</v>
      </c>
      <c r="H960" s="8" t="str">
        <f>_xlfn.IFNA(INDEX('HS Codes'!$D$2:$K3514,MATCH($B960,'HS Codes'!$A$2:$A3514,0),MATCH(H$1,'HS Codes'!$D$1:$K$1,0)),"")</f>
        <v>6302.93.00.00</v>
      </c>
      <c r="I960" s="8">
        <f>_xlfn.IFNA(INDEX('HS Codes'!$D$2:$K3514,MATCH($B960,'HS Codes'!$A$2:$A3514,0),MATCH(I$1,'HS Codes'!$D$1:$K$1,0)),"")</f>
        <v>63029390</v>
      </c>
      <c r="J960" s="8">
        <f>_xlfn.IFNA(INDEX('HS Codes'!$D$2:$K3514,MATCH($B960,'HS Codes'!$A$2:$A3514,0),MATCH(J$1,'HS Codes'!$D$1:$K$1,0)),"")</f>
        <v>0</v>
      </c>
      <c r="K960" s="8" t="str">
        <f>_xlfn.IFNA(INDEX('HS Codes'!$D$2:$K3514,MATCH($B960,'HS Codes'!$A$2:$A3514,0),MATCH(K$1,'HS Codes'!$D$1:$K$1,0)),"")</f>
        <v>6302.39.00</v>
      </c>
      <c r="L960" s="8">
        <f>_xlfn.IFNA(INDEX('HS Codes'!$D$2:$K3514,MATCH($B960,'HS Codes'!$A$2:$A3514,0),MATCH(L$1,'HS Codes'!$D$1:$K$1,0)),"")</f>
        <v>63029120</v>
      </c>
      <c r="M960" s="8" t="str">
        <f>_xlfn.IFNA(INDEX('HS Codes'!$C$2:$C3514,MATCH($B960,'HS Codes'!$A$2:$A3514,0)),"")</f>
        <v>Beach Towel - Toilet Linen 100% recycled 220 GSM/83% polyester/17% polyamide includes cotton on the packing pouch drawstring</v>
      </c>
      <c r="N960" s="9"/>
      <c r="O960" s="9"/>
      <c r="P960" s="9"/>
      <c r="Q960" s="9"/>
    </row>
    <row r="961" spans="1:17" ht="15.75" customHeight="1">
      <c r="A961" s="7" t="s">
        <v>1253</v>
      </c>
      <c r="B961" s="7" t="s">
        <v>164</v>
      </c>
      <c r="C961" s="7" t="s">
        <v>278</v>
      </c>
      <c r="D961" s="7" t="s">
        <v>165</v>
      </c>
      <c r="E961" s="7" t="s">
        <v>348</v>
      </c>
      <c r="F961" s="8" t="str">
        <f>_xlfn.IFNA(INDEX('HS Codes'!$D$2:$K3515,MATCH($B961,'HS Codes'!$A$2:$A3515,0),MATCH(F$1,'HS Codes'!$D$1:$K$1,0)),"")</f>
        <v>6302.93.2000</v>
      </c>
      <c r="G961" s="8">
        <f>_xlfn.IFNA(INDEX('HS Codes'!$D$2:$K3515,MATCH($B961,'HS Codes'!$A$2:$A3515,0),MATCH(G$1,'HS Codes'!$D$1:$K$1,0)),"")</f>
        <v>6302600090</v>
      </c>
      <c r="H961" s="8" t="str">
        <f>_xlfn.IFNA(INDEX('HS Codes'!$D$2:$K3515,MATCH($B961,'HS Codes'!$A$2:$A3515,0),MATCH(H$1,'HS Codes'!$D$1:$K$1,0)),"")</f>
        <v>6302.93.00.00</v>
      </c>
      <c r="I961" s="8">
        <f>_xlfn.IFNA(INDEX('HS Codes'!$D$2:$K3515,MATCH($B961,'HS Codes'!$A$2:$A3515,0),MATCH(I$1,'HS Codes'!$D$1:$K$1,0)),"")</f>
        <v>63029390</v>
      </c>
      <c r="J961" s="8">
        <f>_xlfn.IFNA(INDEX('HS Codes'!$D$2:$K3515,MATCH($B961,'HS Codes'!$A$2:$A3515,0),MATCH(J$1,'HS Codes'!$D$1:$K$1,0)),"")</f>
        <v>0</v>
      </c>
      <c r="K961" s="8" t="str">
        <f>_xlfn.IFNA(INDEX('HS Codes'!$D$2:$K3515,MATCH($B961,'HS Codes'!$A$2:$A3515,0),MATCH(K$1,'HS Codes'!$D$1:$K$1,0)),"")</f>
        <v>6302.39.00</v>
      </c>
      <c r="L961" s="8">
        <f>_xlfn.IFNA(INDEX('HS Codes'!$D$2:$K3515,MATCH($B961,'HS Codes'!$A$2:$A3515,0),MATCH(L$1,'HS Codes'!$D$1:$K$1,0)),"")</f>
        <v>63029120</v>
      </c>
      <c r="M961" s="8" t="str">
        <f>_xlfn.IFNA(INDEX('HS Codes'!$C$2:$C3515,MATCH($B961,'HS Codes'!$A$2:$A3515,0)),"")</f>
        <v>Beach Towel - Toilet Linen 100% recycled 220 GSM/83% polyester/17% polyamide includes cotton on the packing pouch drawstring</v>
      </c>
      <c r="N961" s="9"/>
      <c r="O961" s="9"/>
      <c r="P961" s="9"/>
      <c r="Q961" s="9"/>
    </row>
    <row r="962" spans="1:17" ht="15.75" customHeight="1">
      <c r="A962" s="7" t="s">
        <v>1254</v>
      </c>
      <c r="B962" s="7" t="s">
        <v>164</v>
      </c>
      <c r="C962" s="7" t="s">
        <v>278</v>
      </c>
      <c r="D962" s="7" t="s">
        <v>165</v>
      </c>
      <c r="E962" s="7" t="s">
        <v>348</v>
      </c>
      <c r="F962" s="8" t="str">
        <f>_xlfn.IFNA(INDEX('HS Codes'!$D$2:$K3516,MATCH($B962,'HS Codes'!$A$2:$A3516,0),MATCH(F$1,'HS Codes'!$D$1:$K$1,0)),"")</f>
        <v>6302.93.2000</v>
      </c>
      <c r="G962" s="8">
        <f>_xlfn.IFNA(INDEX('HS Codes'!$D$2:$K3516,MATCH($B962,'HS Codes'!$A$2:$A3516,0),MATCH(G$1,'HS Codes'!$D$1:$K$1,0)),"")</f>
        <v>6302600090</v>
      </c>
      <c r="H962" s="8" t="str">
        <f>_xlfn.IFNA(INDEX('HS Codes'!$D$2:$K3516,MATCH($B962,'HS Codes'!$A$2:$A3516,0),MATCH(H$1,'HS Codes'!$D$1:$K$1,0)),"")</f>
        <v>6302.93.00.00</v>
      </c>
      <c r="I962" s="8">
        <f>_xlfn.IFNA(INDEX('HS Codes'!$D$2:$K3516,MATCH($B962,'HS Codes'!$A$2:$A3516,0),MATCH(I$1,'HS Codes'!$D$1:$K$1,0)),"")</f>
        <v>63029390</v>
      </c>
      <c r="J962" s="8">
        <f>_xlfn.IFNA(INDEX('HS Codes'!$D$2:$K3516,MATCH($B962,'HS Codes'!$A$2:$A3516,0),MATCH(J$1,'HS Codes'!$D$1:$K$1,0)),"")</f>
        <v>0</v>
      </c>
      <c r="K962" s="8" t="str">
        <f>_xlfn.IFNA(INDEX('HS Codes'!$D$2:$K3516,MATCH($B962,'HS Codes'!$A$2:$A3516,0),MATCH(K$1,'HS Codes'!$D$1:$K$1,0)),"")</f>
        <v>6302.39.00</v>
      </c>
      <c r="L962" s="8">
        <f>_xlfn.IFNA(INDEX('HS Codes'!$D$2:$K3516,MATCH($B962,'HS Codes'!$A$2:$A3516,0),MATCH(L$1,'HS Codes'!$D$1:$K$1,0)),"")</f>
        <v>63029120</v>
      </c>
      <c r="M962" s="8" t="str">
        <f>_xlfn.IFNA(INDEX('HS Codes'!$C$2:$C3516,MATCH($B962,'HS Codes'!$A$2:$A3516,0)),"")</f>
        <v>Beach Towel - Toilet Linen 100% recycled 220 GSM/83% polyester/17% polyamide includes cotton on the packing pouch drawstring</v>
      </c>
      <c r="N962" s="9"/>
      <c r="O962" s="9"/>
      <c r="P962" s="9"/>
      <c r="Q962" s="9"/>
    </row>
    <row r="963" spans="1:17" ht="15.75" customHeight="1">
      <c r="A963" s="7" t="s">
        <v>1255</v>
      </c>
      <c r="B963" s="7" t="s">
        <v>164</v>
      </c>
      <c r="C963" s="7" t="s">
        <v>278</v>
      </c>
      <c r="D963" s="7" t="s">
        <v>165</v>
      </c>
      <c r="E963" s="7" t="s">
        <v>348</v>
      </c>
      <c r="F963" s="8" t="str">
        <f>_xlfn.IFNA(INDEX('HS Codes'!$D$2:$K3517,MATCH($B963,'HS Codes'!$A$2:$A3517,0),MATCH(F$1,'HS Codes'!$D$1:$K$1,0)),"")</f>
        <v>6302.93.2000</v>
      </c>
      <c r="G963" s="8">
        <f>_xlfn.IFNA(INDEX('HS Codes'!$D$2:$K3517,MATCH($B963,'HS Codes'!$A$2:$A3517,0),MATCH(G$1,'HS Codes'!$D$1:$K$1,0)),"")</f>
        <v>6302600090</v>
      </c>
      <c r="H963" s="8" t="str">
        <f>_xlfn.IFNA(INDEX('HS Codes'!$D$2:$K3517,MATCH($B963,'HS Codes'!$A$2:$A3517,0),MATCH(H$1,'HS Codes'!$D$1:$K$1,0)),"")</f>
        <v>6302.93.00.00</v>
      </c>
      <c r="I963" s="8">
        <f>_xlfn.IFNA(INDEX('HS Codes'!$D$2:$K3517,MATCH($B963,'HS Codes'!$A$2:$A3517,0),MATCH(I$1,'HS Codes'!$D$1:$K$1,0)),"")</f>
        <v>63029390</v>
      </c>
      <c r="J963" s="8">
        <f>_xlfn.IFNA(INDEX('HS Codes'!$D$2:$K3517,MATCH($B963,'HS Codes'!$A$2:$A3517,0),MATCH(J$1,'HS Codes'!$D$1:$K$1,0)),"")</f>
        <v>0</v>
      </c>
      <c r="K963" s="8" t="str">
        <f>_xlfn.IFNA(INDEX('HS Codes'!$D$2:$K3517,MATCH($B963,'HS Codes'!$A$2:$A3517,0),MATCH(K$1,'HS Codes'!$D$1:$K$1,0)),"")</f>
        <v>6302.39.00</v>
      </c>
      <c r="L963" s="8">
        <f>_xlfn.IFNA(INDEX('HS Codes'!$D$2:$K3517,MATCH($B963,'HS Codes'!$A$2:$A3517,0),MATCH(L$1,'HS Codes'!$D$1:$K$1,0)),"")</f>
        <v>63029120</v>
      </c>
      <c r="M963" s="8" t="str">
        <f>_xlfn.IFNA(INDEX('HS Codes'!$C$2:$C3517,MATCH($B963,'HS Codes'!$A$2:$A3517,0)),"")</f>
        <v>Beach Towel - Toilet Linen 100% recycled 220 GSM/83% polyester/17% polyamide includes cotton on the packing pouch drawstring</v>
      </c>
      <c r="N963" s="9"/>
      <c r="O963" s="9"/>
      <c r="P963" s="9"/>
      <c r="Q963" s="9"/>
    </row>
    <row r="964" spans="1:17" ht="15.75" customHeight="1">
      <c r="A964" s="7" t="s">
        <v>1256</v>
      </c>
      <c r="B964" s="7" t="s">
        <v>164</v>
      </c>
      <c r="C964" s="7" t="s">
        <v>278</v>
      </c>
      <c r="D964" s="7" t="s">
        <v>165</v>
      </c>
      <c r="E964" s="7" t="s">
        <v>348</v>
      </c>
      <c r="F964" s="8" t="str">
        <f>_xlfn.IFNA(INDEX('HS Codes'!$D$2:$K3518,MATCH($B964,'HS Codes'!$A$2:$A3518,0),MATCH(F$1,'HS Codes'!$D$1:$K$1,0)),"")</f>
        <v>6302.93.2000</v>
      </c>
      <c r="G964" s="8">
        <f>_xlfn.IFNA(INDEX('HS Codes'!$D$2:$K3518,MATCH($B964,'HS Codes'!$A$2:$A3518,0),MATCH(G$1,'HS Codes'!$D$1:$K$1,0)),"")</f>
        <v>6302600090</v>
      </c>
      <c r="H964" s="8" t="str">
        <f>_xlfn.IFNA(INDEX('HS Codes'!$D$2:$K3518,MATCH($B964,'HS Codes'!$A$2:$A3518,0),MATCH(H$1,'HS Codes'!$D$1:$K$1,0)),"")</f>
        <v>6302.93.00.00</v>
      </c>
      <c r="I964" s="8">
        <f>_xlfn.IFNA(INDEX('HS Codes'!$D$2:$K3518,MATCH($B964,'HS Codes'!$A$2:$A3518,0),MATCH(I$1,'HS Codes'!$D$1:$K$1,0)),"")</f>
        <v>63029390</v>
      </c>
      <c r="J964" s="8">
        <f>_xlfn.IFNA(INDEX('HS Codes'!$D$2:$K3518,MATCH($B964,'HS Codes'!$A$2:$A3518,0),MATCH(J$1,'HS Codes'!$D$1:$K$1,0)),"")</f>
        <v>0</v>
      </c>
      <c r="K964" s="8" t="str">
        <f>_xlfn.IFNA(INDEX('HS Codes'!$D$2:$K3518,MATCH($B964,'HS Codes'!$A$2:$A3518,0),MATCH(K$1,'HS Codes'!$D$1:$K$1,0)),"")</f>
        <v>6302.39.00</v>
      </c>
      <c r="L964" s="8">
        <f>_xlfn.IFNA(INDEX('HS Codes'!$D$2:$K3518,MATCH($B964,'HS Codes'!$A$2:$A3518,0),MATCH(L$1,'HS Codes'!$D$1:$K$1,0)),"")</f>
        <v>63029120</v>
      </c>
      <c r="M964" s="8" t="str">
        <f>_xlfn.IFNA(INDEX('HS Codes'!$C$2:$C3518,MATCH($B964,'HS Codes'!$A$2:$A3518,0)),"")</f>
        <v>Beach Towel - Toilet Linen 100% recycled 220 GSM/83% polyester/17% polyamide includes cotton on the packing pouch drawstring</v>
      </c>
      <c r="N964" s="9"/>
      <c r="O964" s="9"/>
      <c r="P964" s="9"/>
      <c r="Q964" s="9"/>
    </row>
    <row r="965" spans="1:17" ht="15.75" customHeight="1">
      <c r="A965" s="7" t="s">
        <v>1257</v>
      </c>
      <c r="B965" s="7" t="s">
        <v>164</v>
      </c>
      <c r="C965" s="7" t="s">
        <v>278</v>
      </c>
      <c r="D965" s="7" t="s">
        <v>165</v>
      </c>
      <c r="E965" s="7" t="s">
        <v>348</v>
      </c>
      <c r="F965" s="8" t="str">
        <f>_xlfn.IFNA(INDEX('HS Codes'!$D$2:$K3519,MATCH($B965,'HS Codes'!$A$2:$A3519,0),MATCH(F$1,'HS Codes'!$D$1:$K$1,0)),"")</f>
        <v>6302.93.2000</v>
      </c>
      <c r="G965" s="8">
        <f>_xlfn.IFNA(INDEX('HS Codes'!$D$2:$K3519,MATCH($B965,'HS Codes'!$A$2:$A3519,0),MATCH(G$1,'HS Codes'!$D$1:$K$1,0)),"")</f>
        <v>6302600090</v>
      </c>
      <c r="H965" s="8" t="str">
        <f>_xlfn.IFNA(INDEX('HS Codes'!$D$2:$K3519,MATCH($B965,'HS Codes'!$A$2:$A3519,0),MATCH(H$1,'HS Codes'!$D$1:$K$1,0)),"")</f>
        <v>6302.93.00.00</v>
      </c>
      <c r="I965" s="8">
        <f>_xlfn.IFNA(INDEX('HS Codes'!$D$2:$K3519,MATCH($B965,'HS Codes'!$A$2:$A3519,0),MATCH(I$1,'HS Codes'!$D$1:$K$1,0)),"")</f>
        <v>63029390</v>
      </c>
      <c r="J965" s="8">
        <f>_xlfn.IFNA(INDEX('HS Codes'!$D$2:$K3519,MATCH($B965,'HS Codes'!$A$2:$A3519,0),MATCH(J$1,'HS Codes'!$D$1:$K$1,0)),"")</f>
        <v>0</v>
      </c>
      <c r="K965" s="8" t="str">
        <f>_xlfn.IFNA(INDEX('HS Codes'!$D$2:$K3519,MATCH($B965,'HS Codes'!$A$2:$A3519,0),MATCH(K$1,'HS Codes'!$D$1:$K$1,0)),"")</f>
        <v>6302.39.00</v>
      </c>
      <c r="L965" s="8">
        <f>_xlfn.IFNA(INDEX('HS Codes'!$D$2:$K3519,MATCH($B965,'HS Codes'!$A$2:$A3519,0),MATCH(L$1,'HS Codes'!$D$1:$K$1,0)),"")</f>
        <v>63029120</v>
      </c>
      <c r="M965" s="8" t="str">
        <f>_xlfn.IFNA(INDEX('HS Codes'!$C$2:$C3519,MATCH($B965,'HS Codes'!$A$2:$A3519,0)),"")</f>
        <v>Beach Towel - Toilet Linen 100% recycled 220 GSM/83% polyester/17% polyamide includes cotton on the packing pouch drawstring</v>
      </c>
      <c r="N965" s="9"/>
      <c r="O965" s="9"/>
      <c r="P965" s="9"/>
      <c r="Q965" s="9"/>
    </row>
    <row r="966" spans="1:17" ht="15.75" customHeight="1">
      <c r="A966" s="7" t="s">
        <v>1258</v>
      </c>
      <c r="B966" s="7" t="s">
        <v>164</v>
      </c>
      <c r="C966" s="7" t="s">
        <v>278</v>
      </c>
      <c r="D966" s="7" t="s">
        <v>165</v>
      </c>
      <c r="E966" s="7" t="s">
        <v>348</v>
      </c>
      <c r="F966" s="8" t="str">
        <f>_xlfn.IFNA(INDEX('HS Codes'!$D$2:$K3520,MATCH($B966,'HS Codes'!$A$2:$A3520,0),MATCH(F$1,'HS Codes'!$D$1:$K$1,0)),"")</f>
        <v>6302.93.2000</v>
      </c>
      <c r="G966" s="8">
        <f>_xlfn.IFNA(INDEX('HS Codes'!$D$2:$K3520,MATCH($B966,'HS Codes'!$A$2:$A3520,0),MATCH(G$1,'HS Codes'!$D$1:$K$1,0)),"")</f>
        <v>6302600090</v>
      </c>
      <c r="H966" s="8" t="str">
        <f>_xlfn.IFNA(INDEX('HS Codes'!$D$2:$K3520,MATCH($B966,'HS Codes'!$A$2:$A3520,0),MATCH(H$1,'HS Codes'!$D$1:$K$1,0)),"")</f>
        <v>6302.93.00.00</v>
      </c>
      <c r="I966" s="8">
        <f>_xlfn.IFNA(INDEX('HS Codes'!$D$2:$K3520,MATCH($B966,'HS Codes'!$A$2:$A3520,0),MATCH(I$1,'HS Codes'!$D$1:$K$1,0)),"")</f>
        <v>63029390</v>
      </c>
      <c r="J966" s="8">
        <f>_xlfn.IFNA(INDEX('HS Codes'!$D$2:$K3520,MATCH($B966,'HS Codes'!$A$2:$A3520,0),MATCH(J$1,'HS Codes'!$D$1:$K$1,0)),"")</f>
        <v>0</v>
      </c>
      <c r="K966" s="8" t="str">
        <f>_xlfn.IFNA(INDEX('HS Codes'!$D$2:$K3520,MATCH($B966,'HS Codes'!$A$2:$A3520,0),MATCH(K$1,'HS Codes'!$D$1:$K$1,0)),"")</f>
        <v>6302.39.00</v>
      </c>
      <c r="L966" s="8">
        <f>_xlfn.IFNA(INDEX('HS Codes'!$D$2:$K3520,MATCH($B966,'HS Codes'!$A$2:$A3520,0),MATCH(L$1,'HS Codes'!$D$1:$K$1,0)),"")</f>
        <v>63029120</v>
      </c>
      <c r="M966" s="8" t="str">
        <f>_xlfn.IFNA(INDEX('HS Codes'!$C$2:$C3520,MATCH($B966,'HS Codes'!$A$2:$A3520,0)),"")</f>
        <v>Beach Towel - Toilet Linen 100% recycled 220 GSM/83% polyester/17% polyamide includes cotton on the packing pouch drawstring</v>
      </c>
      <c r="N966" s="9"/>
      <c r="O966" s="9"/>
      <c r="P966" s="9"/>
      <c r="Q966" s="9"/>
    </row>
    <row r="967" spans="1:17" ht="15.75" customHeight="1">
      <c r="A967" s="7" t="s">
        <v>1259</v>
      </c>
      <c r="B967" s="7" t="s">
        <v>164</v>
      </c>
      <c r="C967" s="7" t="s">
        <v>278</v>
      </c>
      <c r="D967" s="7" t="s">
        <v>165</v>
      </c>
      <c r="E967" s="7" t="s">
        <v>348</v>
      </c>
      <c r="F967" s="8" t="str">
        <f>_xlfn.IFNA(INDEX('HS Codes'!$D$2:$K3521,MATCH($B967,'HS Codes'!$A$2:$A3521,0),MATCH(F$1,'HS Codes'!$D$1:$K$1,0)),"")</f>
        <v>6302.93.2000</v>
      </c>
      <c r="G967" s="8">
        <f>_xlfn.IFNA(INDEX('HS Codes'!$D$2:$K3521,MATCH($B967,'HS Codes'!$A$2:$A3521,0),MATCH(G$1,'HS Codes'!$D$1:$K$1,0)),"")</f>
        <v>6302600090</v>
      </c>
      <c r="H967" s="8" t="str">
        <f>_xlfn.IFNA(INDEX('HS Codes'!$D$2:$K3521,MATCH($B967,'HS Codes'!$A$2:$A3521,0),MATCH(H$1,'HS Codes'!$D$1:$K$1,0)),"")</f>
        <v>6302.93.00.00</v>
      </c>
      <c r="I967" s="8">
        <f>_xlfn.IFNA(INDEX('HS Codes'!$D$2:$K3521,MATCH($B967,'HS Codes'!$A$2:$A3521,0),MATCH(I$1,'HS Codes'!$D$1:$K$1,0)),"")</f>
        <v>63029390</v>
      </c>
      <c r="J967" s="8">
        <f>_xlfn.IFNA(INDEX('HS Codes'!$D$2:$K3521,MATCH($B967,'HS Codes'!$A$2:$A3521,0),MATCH(J$1,'HS Codes'!$D$1:$K$1,0)),"")</f>
        <v>0</v>
      </c>
      <c r="K967" s="8" t="str">
        <f>_xlfn.IFNA(INDEX('HS Codes'!$D$2:$K3521,MATCH($B967,'HS Codes'!$A$2:$A3521,0),MATCH(K$1,'HS Codes'!$D$1:$K$1,0)),"")</f>
        <v>6302.39.00</v>
      </c>
      <c r="L967" s="8">
        <f>_xlfn.IFNA(INDEX('HS Codes'!$D$2:$K3521,MATCH($B967,'HS Codes'!$A$2:$A3521,0),MATCH(L$1,'HS Codes'!$D$1:$K$1,0)),"")</f>
        <v>63029120</v>
      </c>
      <c r="M967" s="8" t="str">
        <f>_xlfn.IFNA(INDEX('HS Codes'!$C$2:$C3521,MATCH($B967,'HS Codes'!$A$2:$A3521,0)),"")</f>
        <v>Beach Towel - Toilet Linen 100% recycled 220 GSM/83% polyester/17% polyamide includes cotton on the packing pouch drawstring</v>
      </c>
      <c r="N967" s="9"/>
      <c r="O967" s="9"/>
      <c r="P967" s="9"/>
      <c r="Q967" s="9"/>
    </row>
    <row r="968" spans="1:17" ht="15.75" customHeight="1">
      <c r="A968" s="7" t="s">
        <v>1260</v>
      </c>
      <c r="B968" s="7" t="s">
        <v>164</v>
      </c>
      <c r="C968" s="7" t="s">
        <v>278</v>
      </c>
      <c r="D968" s="7" t="s">
        <v>165</v>
      </c>
      <c r="E968" s="7" t="s">
        <v>348</v>
      </c>
      <c r="F968" s="8" t="str">
        <f>_xlfn.IFNA(INDEX('HS Codes'!$D$2:$K3522,MATCH($B968,'HS Codes'!$A$2:$A3522,0),MATCH(F$1,'HS Codes'!$D$1:$K$1,0)),"")</f>
        <v>6302.93.2000</v>
      </c>
      <c r="G968" s="8">
        <f>_xlfn.IFNA(INDEX('HS Codes'!$D$2:$K3522,MATCH($B968,'HS Codes'!$A$2:$A3522,0),MATCH(G$1,'HS Codes'!$D$1:$K$1,0)),"")</f>
        <v>6302600090</v>
      </c>
      <c r="H968" s="8" t="str">
        <f>_xlfn.IFNA(INDEX('HS Codes'!$D$2:$K3522,MATCH($B968,'HS Codes'!$A$2:$A3522,0),MATCH(H$1,'HS Codes'!$D$1:$K$1,0)),"")</f>
        <v>6302.93.00.00</v>
      </c>
      <c r="I968" s="8">
        <f>_xlfn.IFNA(INDEX('HS Codes'!$D$2:$K3522,MATCH($B968,'HS Codes'!$A$2:$A3522,0),MATCH(I$1,'HS Codes'!$D$1:$K$1,0)),"")</f>
        <v>63029390</v>
      </c>
      <c r="J968" s="8">
        <f>_xlfn.IFNA(INDEX('HS Codes'!$D$2:$K3522,MATCH($B968,'HS Codes'!$A$2:$A3522,0),MATCH(J$1,'HS Codes'!$D$1:$K$1,0)),"")</f>
        <v>0</v>
      </c>
      <c r="K968" s="8" t="str">
        <f>_xlfn.IFNA(INDEX('HS Codes'!$D$2:$K3522,MATCH($B968,'HS Codes'!$A$2:$A3522,0),MATCH(K$1,'HS Codes'!$D$1:$K$1,0)),"")</f>
        <v>6302.39.00</v>
      </c>
      <c r="L968" s="8">
        <f>_xlfn.IFNA(INDEX('HS Codes'!$D$2:$K3522,MATCH($B968,'HS Codes'!$A$2:$A3522,0),MATCH(L$1,'HS Codes'!$D$1:$K$1,0)),"")</f>
        <v>63029120</v>
      </c>
      <c r="M968" s="8" t="str">
        <f>_xlfn.IFNA(INDEX('HS Codes'!$C$2:$C3522,MATCH($B968,'HS Codes'!$A$2:$A3522,0)),"")</f>
        <v>Beach Towel - Toilet Linen 100% recycled 220 GSM/83% polyester/17% polyamide includes cotton on the packing pouch drawstring</v>
      </c>
      <c r="N968" s="9"/>
      <c r="O968" s="9"/>
      <c r="P968" s="9"/>
      <c r="Q968" s="9"/>
    </row>
    <row r="969" spans="1:17" ht="15.75" customHeight="1">
      <c r="A969" s="7" t="s">
        <v>1261</v>
      </c>
      <c r="B969" s="7" t="s">
        <v>164</v>
      </c>
      <c r="C969" s="7" t="s">
        <v>278</v>
      </c>
      <c r="D969" s="7" t="s">
        <v>165</v>
      </c>
      <c r="E969" s="7" t="s">
        <v>348</v>
      </c>
      <c r="F969" s="8" t="str">
        <f>_xlfn.IFNA(INDEX('HS Codes'!$D$2:$K3523,MATCH($B969,'HS Codes'!$A$2:$A3523,0),MATCH(F$1,'HS Codes'!$D$1:$K$1,0)),"")</f>
        <v>6302.93.2000</v>
      </c>
      <c r="G969" s="8">
        <f>_xlfn.IFNA(INDEX('HS Codes'!$D$2:$K3523,MATCH($B969,'HS Codes'!$A$2:$A3523,0),MATCH(G$1,'HS Codes'!$D$1:$K$1,0)),"")</f>
        <v>6302600090</v>
      </c>
      <c r="H969" s="8" t="str">
        <f>_xlfn.IFNA(INDEX('HS Codes'!$D$2:$K3523,MATCH($B969,'HS Codes'!$A$2:$A3523,0),MATCH(H$1,'HS Codes'!$D$1:$K$1,0)),"")</f>
        <v>6302.93.00.00</v>
      </c>
      <c r="I969" s="8">
        <f>_xlfn.IFNA(INDEX('HS Codes'!$D$2:$K3523,MATCH($B969,'HS Codes'!$A$2:$A3523,0),MATCH(I$1,'HS Codes'!$D$1:$K$1,0)),"")</f>
        <v>63029390</v>
      </c>
      <c r="J969" s="8">
        <f>_xlfn.IFNA(INDEX('HS Codes'!$D$2:$K3523,MATCH($B969,'HS Codes'!$A$2:$A3523,0),MATCH(J$1,'HS Codes'!$D$1:$K$1,0)),"")</f>
        <v>0</v>
      </c>
      <c r="K969" s="8" t="str">
        <f>_xlfn.IFNA(INDEX('HS Codes'!$D$2:$K3523,MATCH($B969,'HS Codes'!$A$2:$A3523,0),MATCH(K$1,'HS Codes'!$D$1:$K$1,0)),"")</f>
        <v>6302.39.00</v>
      </c>
      <c r="L969" s="8">
        <f>_xlfn.IFNA(INDEX('HS Codes'!$D$2:$K3523,MATCH($B969,'HS Codes'!$A$2:$A3523,0),MATCH(L$1,'HS Codes'!$D$1:$K$1,0)),"")</f>
        <v>63029120</v>
      </c>
      <c r="M969" s="8" t="str">
        <f>_xlfn.IFNA(INDEX('HS Codes'!$C$2:$C3523,MATCH($B969,'HS Codes'!$A$2:$A3523,0)),"")</f>
        <v>Beach Towel - Toilet Linen 100% recycled 220 GSM/83% polyester/17% polyamide includes cotton on the packing pouch drawstring</v>
      </c>
      <c r="N969" s="9"/>
      <c r="O969" s="9"/>
      <c r="P969" s="9"/>
      <c r="Q969" s="9"/>
    </row>
    <row r="970" spans="1:17" ht="15.75" customHeight="1">
      <c r="A970" s="7" t="s">
        <v>1262</v>
      </c>
      <c r="B970" s="7" t="s">
        <v>164</v>
      </c>
      <c r="C970" s="7" t="s">
        <v>278</v>
      </c>
      <c r="D970" s="7" t="s">
        <v>165</v>
      </c>
      <c r="E970" s="7" t="s">
        <v>348</v>
      </c>
      <c r="F970" s="8" t="str">
        <f>_xlfn.IFNA(INDEX('HS Codes'!$D$2:$K3524,MATCH($B970,'HS Codes'!$A$2:$A3524,0),MATCH(F$1,'HS Codes'!$D$1:$K$1,0)),"")</f>
        <v>6302.93.2000</v>
      </c>
      <c r="G970" s="8">
        <f>_xlfn.IFNA(INDEX('HS Codes'!$D$2:$K3524,MATCH($B970,'HS Codes'!$A$2:$A3524,0),MATCH(G$1,'HS Codes'!$D$1:$K$1,0)),"")</f>
        <v>6302600090</v>
      </c>
      <c r="H970" s="8" t="str">
        <f>_xlfn.IFNA(INDEX('HS Codes'!$D$2:$K3524,MATCH($B970,'HS Codes'!$A$2:$A3524,0),MATCH(H$1,'HS Codes'!$D$1:$K$1,0)),"")</f>
        <v>6302.93.00.00</v>
      </c>
      <c r="I970" s="8">
        <f>_xlfn.IFNA(INDEX('HS Codes'!$D$2:$K3524,MATCH($B970,'HS Codes'!$A$2:$A3524,0),MATCH(I$1,'HS Codes'!$D$1:$K$1,0)),"")</f>
        <v>63029390</v>
      </c>
      <c r="J970" s="8">
        <f>_xlfn.IFNA(INDEX('HS Codes'!$D$2:$K3524,MATCH($B970,'HS Codes'!$A$2:$A3524,0),MATCH(J$1,'HS Codes'!$D$1:$K$1,0)),"")</f>
        <v>0</v>
      </c>
      <c r="K970" s="8" t="str">
        <f>_xlfn.IFNA(INDEX('HS Codes'!$D$2:$K3524,MATCH($B970,'HS Codes'!$A$2:$A3524,0),MATCH(K$1,'HS Codes'!$D$1:$K$1,0)),"")</f>
        <v>6302.39.00</v>
      </c>
      <c r="L970" s="8">
        <f>_xlfn.IFNA(INDEX('HS Codes'!$D$2:$K3524,MATCH($B970,'HS Codes'!$A$2:$A3524,0),MATCH(L$1,'HS Codes'!$D$1:$K$1,0)),"")</f>
        <v>63029120</v>
      </c>
      <c r="M970" s="8" t="str">
        <f>_xlfn.IFNA(INDEX('HS Codes'!$C$2:$C3524,MATCH($B970,'HS Codes'!$A$2:$A3524,0)),"")</f>
        <v>Beach Towel - Toilet Linen 100% recycled 220 GSM/83% polyester/17% polyamide includes cotton on the packing pouch drawstring</v>
      </c>
      <c r="N970" s="9"/>
      <c r="O970" s="9"/>
      <c r="P970" s="9"/>
      <c r="Q970" s="9"/>
    </row>
    <row r="971" spans="1:17" ht="15.75" customHeight="1">
      <c r="A971" s="7" t="s">
        <v>1263</v>
      </c>
      <c r="B971" s="7" t="s">
        <v>164</v>
      </c>
      <c r="C971" s="7" t="s">
        <v>278</v>
      </c>
      <c r="D971" s="7" t="s">
        <v>165</v>
      </c>
      <c r="E971" s="7" t="s">
        <v>348</v>
      </c>
      <c r="F971" s="8" t="str">
        <f>_xlfn.IFNA(INDEX('HS Codes'!$D$2:$K3525,MATCH($B971,'HS Codes'!$A$2:$A3525,0),MATCH(F$1,'HS Codes'!$D$1:$K$1,0)),"")</f>
        <v>6302.93.2000</v>
      </c>
      <c r="G971" s="8">
        <f>_xlfn.IFNA(INDEX('HS Codes'!$D$2:$K3525,MATCH($B971,'HS Codes'!$A$2:$A3525,0),MATCH(G$1,'HS Codes'!$D$1:$K$1,0)),"")</f>
        <v>6302600090</v>
      </c>
      <c r="H971" s="8" t="str">
        <f>_xlfn.IFNA(INDEX('HS Codes'!$D$2:$K3525,MATCH($B971,'HS Codes'!$A$2:$A3525,0),MATCH(H$1,'HS Codes'!$D$1:$K$1,0)),"")</f>
        <v>6302.93.00.00</v>
      </c>
      <c r="I971" s="8">
        <f>_xlfn.IFNA(INDEX('HS Codes'!$D$2:$K3525,MATCH($B971,'HS Codes'!$A$2:$A3525,0),MATCH(I$1,'HS Codes'!$D$1:$K$1,0)),"")</f>
        <v>63029390</v>
      </c>
      <c r="J971" s="8">
        <f>_xlfn.IFNA(INDEX('HS Codes'!$D$2:$K3525,MATCH($B971,'HS Codes'!$A$2:$A3525,0),MATCH(J$1,'HS Codes'!$D$1:$K$1,0)),"")</f>
        <v>0</v>
      </c>
      <c r="K971" s="8" t="str">
        <f>_xlfn.IFNA(INDEX('HS Codes'!$D$2:$K3525,MATCH($B971,'HS Codes'!$A$2:$A3525,0),MATCH(K$1,'HS Codes'!$D$1:$K$1,0)),"")</f>
        <v>6302.39.00</v>
      </c>
      <c r="L971" s="8">
        <f>_xlfn.IFNA(INDEX('HS Codes'!$D$2:$K3525,MATCH($B971,'HS Codes'!$A$2:$A3525,0),MATCH(L$1,'HS Codes'!$D$1:$K$1,0)),"")</f>
        <v>63029120</v>
      </c>
      <c r="M971" s="8" t="str">
        <f>_xlfn.IFNA(INDEX('HS Codes'!$C$2:$C3525,MATCH($B971,'HS Codes'!$A$2:$A3525,0)),"")</f>
        <v>Beach Towel - Toilet Linen 100% recycled 220 GSM/83% polyester/17% polyamide includes cotton on the packing pouch drawstring</v>
      </c>
      <c r="N971" s="9"/>
      <c r="O971" s="9"/>
      <c r="P971" s="9"/>
      <c r="Q971" s="9"/>
    </row>
    <row r="972" spans="1:17" ht="15.75" customHeight="1">
      <c r="A972" s="7" t="s">
        <v>1264</v>
      </c>
      <c r="B972" s="7" t="s">
        <v>159</v>
      </c>
      <c r="C972" s="7" t="s">
        <v>278</v>
      </c>
      <c r="D972" s="7" t="s">
        <v>160</v>
      </c>
      <c r="E972" s="7" t="s">
        <v>160</v>
      </c>
      <c r="F972" s="8" t="str">
        <f>_xlfn.IFNA(INDEX('HS Codes'!$D$2:$K3526,MATCH($B972,'HS Codes'!$A$2:$A3526,0),MATCH(F$1,'HS Codes'!$D$1:$K$1,0)),"")</f>
        <v>6302.53.00.20</v>
      </c>
      <c r="G972" s="8">
        <f>_xlfn.IFNA(INDEX('HS Codes'!$D$2:$K3526,MATCH($B972,'HS Codes'!$A$2:$A3526,0),MATCH(G$1,'HS Codes'!$D$1:$K$1,0)),"")</f>
        <v>6302531000</v>
      </c>
      <c r="H972" s="8">
        <f>_xlfn.IFNA(INDEX('HS Codes'!$D$2:$K3526,MATCH($B972,'HS Codes'!$A$2:$A3526,0),MATCH(H$1,'HS Codes'!$D$1:$K$1,0)),"")</f>
        <v>6302531000</v>
      </c>
      <c r="I972" s="8">
        <f>_xlfn.IFNA(INDEX('HS Codes'!$D$2:$K3526,MATCH($B972,'HS Codes'!$A$2:$A3526,0),MATCH(I$1,'HS Codes'!$D$1:$K$1,0)),"")</f>
        <v>63029310</v>
      </c>
      <c r="J972" s="8">
        <f>_xlfn.IFNA(INDEX('HS Codes'!$D$2:$K3526,MATCH($B972,'HS Codes'!$A$2:$A3526,0),MATCH(J$1,'HS Codes'!$D$1:$K$1,0)),"")</f>
        <v>0</v>
      </c>
      <c r="K972" s="8" t="str">
        <f>_xlfn.IFNA(INDEX('HS Codes'!$D$2:$K3526,MATCH($B972,'HS Codes'!$A$2:$A3526,0),MATCH(K$1,'HS Codes'!$D$1:$K$1,0)),"")</f>
        <v>6302.53.00</v>
      </c>
      <c r="L972" s="8">
        <f>_xlfn.IFNA(INDEX('HS Codes'!$D$2:$K3526,MATCH($B972,'HS Codes'!$A$2:$A3526,0),MATCH(L$1,'HS Codes'!$D$1:$K$1,0)),"")</f>
        <v>0</v>
      </c>
      <c r="M972" s="8" t="str">
        <f>_xlfn.IFNA(INDEX('HS Codes'!$C$2:$C3526,MATCH($B972,'HS Codes'!$A$2:$A3526,0)),"")</f>
        <v>Kitchen Linen 100% recycled 300 GSM/83% polyester/17% polyamide (no cotton)</v>
      </c>
      <c r="N972" s="9"/>
      <c r="O972" s="9"/>
      <c r="P972" s="9"/>
      <c r="Q972" s="9"/>
    </row>
    <row r="973" spans="1:17" ht="15.75" customHeight="1">
      <c r="A973" s="7" t="s">
        <v>1265</v>
      </c>
      <c r="B973" s="7" t="s">
        <v>159</v>
      </c>
      <c r="C973" s="7" t="s">
        <v>278</v>
      </c>
      <c r="D973" s="7" t="s">
        <v>160</v>
      </c>
      <c r="E973" s="7" t="s">
        <v>160</v>
      </c>
      <c r="F973" s="8" t="str">
        <f>_xlfn.IFNA(INDEX('HS Codes'!$D$2:$K3527,MATCH($B973,'HS Codes'!$A$2:$A3527,0),MATCH(F$1,'HS Codes'!$D$1:$K$1,0)),"")</f>
        <v>6302.53.00.20</v>
      </c>
      <c r="G973" s="8">
        <f>_xlfn.IFNA(INDEX('HS Codes'!$D$2:$K3527,MATCH($B973,'HS Codes'!$A$2:$A3527,0),MATCH(G$1,'HS Codes'!$D$1:$K$1,0)),"")</f>
        <v>6302531000</v>
      </c>
      <c r="H973" s="8">
        <f>_xlfn.IFNA(INDEX('HS Codes'!$D$2:$K3527,MATCH($B973,'HS Codes'!$A$2:$A3527,0),MATCH(H$1,'HS Codes'!$D$1:$K$1,0)),"")</f>
        <v>6302531000</v>
      </c>
      <c r="I973" s="8">
        <f>_xlfn.IFNA(INDEX('HS Codes'!$D$2:$K3527,MATCH($B973,'HS Codes'!$A$2:$A3527,0),MATCH(I$1,'HS Codes'!$D$1:$K$1,0)),"")</f>
        <v>63029310</v>
      </c>
      <c r="J973" s="8">
        <f>_xlfn.IFNA(INDEX('HS Codes'!$D$2:$K3527,MATCH($B973,'HS Codes'!$A$2:$A3527,0),MATCH(J$1,'HS Codes'!$D$1:$K$1,0)),"")</f>
        <v>0</v>
      </c>
      <c r="K973" s="8" t="str">
        <f>_xlfn.IFNA(INDEX('HS Codes'!$D$2:$K3527,MATCH($B973,'HS Codes'!$A$2:$A3527,0),MATCH(K$1,'HS Codes'!$D$1:$K$1,0)),"")</f>
        <v>6302.53.00</v>
      </c>
      <c r="L973" s="8">
        <f>_xlfn.IFNA(INDEX('HS Codes'!$D$2:$K3527,MATCH($B973,'HS Codes'!$A$2:$A3527,0),MATCH(L$1,'HS Codes'!$D$1:$K$1,0)),"")</f>
        <v>0</v>
      </c>
      <c r="M973" s="8" t="str">
        <f>_xlfn.IFNA(INDEX('HS Codes'!$C$2:$C3527,MATCH($B973,'HS Codes'!$A$2:$A3527,0)),"")</f>
        <v>Kitchen Linen 100% recycled 300 GSM/83% polyester/17% polyamide (no cotton)</v>
      </c>
      <c r="N973" s="9"/>
      <c r="O973" s="9"/>
      <c r="P973" s="9"/>
      <c r="Q973" s="9"/>
    </row>
    <row r="974" spans="1:17" ht="15.75" customHeight="1">
      <c r="A974" s="7" t="s">
        <v>1266</v>
      </c>
      <c r="B974" s="7" t="s">
        <v>159</v>
      </c>
      <c r="C974" s="7" t="s">
        <v>278</v>
      </c>
      <c r="D974" s="7" t="s">
        <v>160</v>
      </c>
      <c r="E974" s="7" t="s">
        <v>160</v>
      </c>
      <c r="F974" s="8" t="str">
        <f>_xlfn.IFNA(INDEX('HS Codes'!$D$2:$K3528,MATCH($B974,'HS Codes'!$A$2:$A3528,0),MATCH(F$1,'HS Codes'!$D$1:$K$1,0)),"")</f>
        <v>6302.53.00.20</v>
      </c>
      <c r="G974" s="8">
        <f>_xlfn.IFNA(INDEX('HS Codes'!$D$2:$K3528,MATCH($B974,'HS Codes'!$A$2:$A3528,0),MATCH(G$1,'HS Codes'!$D$1:$K$1,0)),"")</f>
        <v>6302531000</v>
      </c>
      <c r="H974" s="8">
        <f>_xlfn.IFNA(INDEX('HS Codes'!$D$2:$K3528,MATCH($B974,'HS Codes'!$A$2:$A3528,0),MATCH(H$1,'HS Codes'!$D$1:$K$1,0)),"")</f>
        <v>6302531000</v>
      </c>
      <c r="I974" s="8">
        <f>_xlfn.IFNA(INDEX('HS Codes'!$D$2:$K3528,MATCH($B974,'HS Codes'!$A$2:$A3528,0),MATCH(I$1,'HS Codes'!$D$1:$K$1,0)),"")</f>
        <v>63029310</v>
      </c>
      <c r="J974" s="8">
        <f>_xlfn.IFNA(INDEX('HS Codes'!$D$2:$K3528,MATCH($B974,'HS Codes'!$A$2:$A3528,0),MATCH(J$1,'HS Codes'!$D$1:$K$1,0)),"")</f>
        <v>0</v>
      </c>
      <c r="K974" s="8" t="str">
        <f>_xlfn.IFNA(INDEX('HS Codes'!$D$2:$K3528,MATCH($B974,'HS Codes'!$A$2:$A3528,0),MATCH(K$1,'HS Codes'!$D$1:$K$1,0)),"")</f>
        <v>6302.53.00</v>
      </c>
      <c r="L974" s="8">
        <f>_xlfn.IFNA(INDEX('HS Codes'!$D$2:$K3528,MATCH($B974,'HS Codes'!$A$2:$A3528,0),MATCH(L$1,'HS Codes'!$D$1:$K$1,0)),"")</f>
        <v>0</v>
      </c>
      <c r="M974" s="8" t="str">
        <f>_xlfn.IFNA(INDEX('HS Codes'!$C$2:$C3528,MATCH($B974,'HS Codes'!$A$2:$A3528,0)),"")</f>
        <v>Kitchen Linen 100% recycled 300 GSM/83% polyester/17% polyamide (no cotton)</v>
      </c>
      <c r="N974" s="9"/>
      <c r="O974" s="9"/>
      <c r="P974" s="9"/>
      <c r="Q974" s="9"/>
    </row>
    <row r="975" spans="1:17" ht="15.75" customHeight="1">
      <c r="A975" s="7" t="s">
        <v>1267</v>
      </c>
      <c r="B975" s="7" t="s">
        <v>159</v>
      </c>
      <c r="C975" s="7" t="s">
        <v>278</v>
      </c>
      <c r="D975" s="7" t="s">
        <v>160</v>
      </c>
      <c r="E975" s="7" t="s">
        <v>160</v>
      </c>
      <c r="F975" s="8" t="str">
        <f>_xlfn.IFNA(INDEX('HS Codes'!$D$2:$K3529,MATCH($B975,'HS Codes'!$A$2:$A3529,0),MATCH(F$1,'HS Codes'!$D$1:$K$1,0)),"")</f>
        <v>6302.53.00.20</v>
      </c>
      <c r="G975" s="8">
        <f>_xlfn.IFNA(INDEX('HS Codes'!$D$2:$K3529,MATCH($B975,'HS Codes'!$A$2:$A3529,0),MATCH(G$1,'HS Codes'!$D$1:$K$1,0)),"")</f>
        <v>6302531000</v>
      </c>
      <c r="H975" s="8">
        <f>_xlfn.IFNA(INDEX('HS Codes'!$D$2:$K3529,MATCH($B975,'HS Codes'!$A$2:$A3529,0),MATCH(H$1,'HS Codes'!$D$1:$K$1,0)),"")</f>
        <v>6302531000</v>
      </c>
      <c r="I975" s="8">
        <f>_xlfn.IFNA(INDEX('HS Codes'!$D$2:$K3529,MATCH($B975,'HS Codes'!$A$2:$A3529,0),MATCH(I$1,'HS Codes'!$D$1:$K$1,0)),"")</f>
        <v>63029310</v>
      </c>
      <c r="J975" s="8">
        <f>_xlfn.IFNA(INDEX('HS Codes'!$D$2:$K3529,MATCH($B975,'HS Codes'!$A$2:$A3529,0),MATCH(J$1,'HS Codes'!$D$1:$K$1,0)),"")</f>
        <v>0</v>
      </c>
      <c r="K975" s="8" t="str">
        <f>_xlfn.IFNA(INDEX('HS Codes'!$D$2:$K3529,MATCH($B975,'HS Codes'!$A$2:$A3529,0),MATCH(K$1,'HS Codes'!$D$1:$K$1,0)),"")</f>
        <v>6302.53.00</v>
      </c>
      <c r="L975" s="8">
        <f>_xlfn.IFNA(INDEX('HS Codes'!$D$2:$K3529,MATCH($B975,'HS Codes'!$A$2:$A3529,0),MATCH(L$1,'HS Codes'!$D$1:$K$1,0)),"")</f>
        <v>0</v>
      </c>
      <c r="M975" s="8" t="str">
        <f>_xlfn.IFNA(INDEX('HS Codes'!$C$2:$C3529,MATCH($B975,'HS Codes'!$A$2:$A3529,0)),"")</f>
        <v>Kitchen Linen 100% recycled 300 GSM/83% polyester/17% polyamide (no cotton)</v>
      </c>
      <c r="N975" s="9"/>
      <c r="O975" s="9"/>
      <c r="P975" s="9"/>
      <c r="Q975" s="9"/>
    </row>
    <row r="976" spans="1:17" ht="15.75" customHeight="1">
      <c r="A976" s="7" t="s">
        <v>1268</v>
      </c>
      <c r="B976" s="7" t="s">
        <v>159</v>
      </c>
      <c r="C976" s="7" t="s">
        <v>278</v>
      </c>
      <c r="D976" s="7" t="s">
        <v>160</v>
      </c>
      <c r="E976" s="7" t="s">
        <v>160</v>
      </c>
      <c r="F976" s="8" t="str">
        <f>_xlfn.IFNA(INDEX('HS Codes'!$D$2:$K3530,MATCH($B976,'HS Codes'!$A$2:$A3530,0),MATCH(F$1,'HS Codes'!$D$1:$K$1,0)),"")</f>
        <v>6302.53.00.20</v>
      </c>
      <c r="G976" s="8">
        <f>_xlfn.IFNA(INDEX('HS Codes'!$D$2:$K3530,MATCH($B976,'HS Codes'!$A$2:$A3530,0),MATCH(G$1,'HS Codes'!$D$1:$K$1,0)),"")</f>
        <v>6302531000</v>
      </c>
      <c r="H976" s="8">
        <f>_xlfn.IFNA(INDEX('HS Codes'!$D$2:$K3530,MATCH($B976,'HS Codes'!$A$2:$A3530,0),MATCH(H$1,'HS Codes'!$D$1:$K$1,0)),"")</f>
        <v>6302531000</v>
      </c>
      <c r="I976" s="8">
        <f>_xlfn.IFNA(INDEX('HS Codes'!$D$2:$K3530,MATCH($B976,'HS Codes'!$A$2:$A3530,0),MATCH(I$1,'HS Codes'!$D$1:$K$1,0)),"")</f>
        <v>63029310</v>
      </c>
      <c r="J976" s="8">
        <f>_xlfn.IFNA(INDEX('HS Codes'!$D$2:$K3530,MATCH($B976,'HS Codes'!$A$2:$A3530,0),MATCH(J$1,'HS Codes'!$D$1:$K$1,0)),"")</f>
        <v>0</v>
      </c>
      <c r="K976" s="8" t="str">
        <f>_xlfn.IFNA(INDEX('HS Codes'!$D$2:$K3530,MATCH($B976,'HS Codes'!$A$2:$A3530,0),MATCH(K$1,'HS Codes'!$D$1:$K$1,0)),"")</f>
        <v>6302.53.00</v>
      </c>
      <c r="L976" s="8">
        <f>_xlfn.IFNA(INDEX('HS Codes'!$D$2:$K3530,MATCH($B976,'HS Codes'!$A$2:$A3530,0),MATCH(L$1,'HS Codes'!$D$1:$K$1,0)),"")</f>
        <v>0</v>
      </c>
      <c r="M976" s="8" t="str">
        <f>_xlfn.IFNA(INDEX('HS Codes'!$C$2:$C3530,MATCH($B976,'HS Codes'!$A$2:$A3530,0)),"")</f>
        <v>Kitchen Linen 100% recycled 300 GSM/83% polyester/17% polyamide (no cotton)</v>
      </c>
      <c r="N976" s="9"/>
      <c r="O976" s="9"/>
      <c r="P976" s="9"/>
      <c r="Q976" s="9"/>
    </row>
    <row r="977" spans="1:17" ht="15.75" customHeight="1">
      <c r="A977" s="7" t="s">
        <v>1269</v>
      </c>
      <c r="B977" s="7" t="s">
        <v>159</v>
      </c>
      <c r="C977" s="7" t="s">
        <v>278</v>
      </c>
      <c r="D977" s="7" t="s">
        <v>160</v>
      </c>
      <c r="E977" s="7" t="s">
        <v>160</v>
      </c>
      <c r="F977" s="8" t="str">
        <f>_xlfn.IFNA(INDEX('HS Codes'!$D$2:$K3531,MATCH($B977,'HS Codes'!$A$2:$A3531,0),MATCH(F$1,'HS Codes'!$D$1:$K$1,0)),"")</f>
        <v>6302.53.00.20</v>
      </c>
      <c r="G977" s="8">
        <f>_xlfn.IFNA(INDEX('HS Codes'!$D$2:$K3531,MATCH($B977,'HS Codes'!$A$2:$A3531,0),MATCH(G$1,'HS Codes'!$D$1:$K$1,0)),"")</f>
        <v>6302531000</v>
      </c>
      <c r="H977" s="8">
        <f>_xlfn.IFNA(INDEX('HS Codes'!$D$2:$K3531,MATCH($B977,'HS Codes'!$A$2:$A3531,0),MATCH(H$1,'HS Codes'!$D$1:$K$1,0)),"")</f>
        <v>6302531000</v>
      </c>
      <c r="I977" s="8">
        <f>_xlfn.IFNA(INDEX('HS Codes'!$D$2:$K3531,MATCH($B977,'HS Codes'!$A$2:$A3531,0),MATCH(I$1,'HS Codes'!$D$1:$K$1,0)),"")</f>
        <v>63029310</v>
      </c>
      <c r="J977" s="8">
        <f>_xlfn.IFNA(INDEX('HS Codes'!$D$2:$K3531,MATCH($B977,'HS Codes'!$A$2:$A3531,0),MATCH(J$1,'HS Codes'!$D$1:$K$1,0)),"")</f>
        <v>0</v>
      </c>
      <c r="K977" s="8" t="str">
        <f>_xlfn.IFNA(INDEX('HS Codes'!$D$2:$K3531,MATCH($B977,'HS Codes'!$A$2:$A3531,0),MATCH(K$1,'HS Codes'!$D$1:$K$1,0)),"")</f>
        <v>6302.53.00</v>
      </c>
      <c r="L977" s="8">
        <f>_xlfn.IFNA(INDEX('HS Codes'!$D$2:$K3531,MATCH($B977,'HS Codes'!$A$2:$A3531,0),MATCH(L$1,'HS Codes'!$D$1:$K$1,0)),"")</f>
        <v>0</v>
      </c>
      <c r="M977" s="8" t="str">
        <f>_xlfn.IFNA(INDEX('HS Codes'!$C$2:$C3531,MATCH($B977,'HS Codes'!$A$2:$A3531,0)),"")</f>
        <v>Kitchen Linen 100% recycled 300 GSM/83% polyester/17% polyamide (no cotton)</v>
      </c>
      <c r="N977" s="9"/>
      <c r="O977" s="9"/>
      <c r="P977" s="9"/>
      <c r="Q977" s="9"/>
    </row>
    <row r="978" spans="1:17" ht="15.75" customHeight="1">
      <c r="A978" s="7" t="s">
        <v>1270</v>
      </c>
      <c r="B978" s="7" t="s">
        <v>159</v>
      </c>
      <c r="C978" s="7" t="s">
        <v>278</v>
      </c>
      <c r="D978" s="7" t="s">
        <v>160</v>
      </c>
      <c r="E978" s="7" t="s">
        <v>160</v>
      </c>
      <c r="F978" s="8" t="str">
        <f>_xlfn.IFNA(INDEX('HS Codes'!$D$2:$K3532,MATCH($B978,'HS Codes'!$A$2:$A3532,0),MATCH(F$1,'HS Codes'!$D$1:$K$1,0)),"")</f>
        <v>6302.53.00.20</v>
      </c>
      <c r="G978" s="8">
        <f>_xlfn.IFNA(INDEX('HS Codes'!$D$2:$K3532,MATCH($B978,'HS Codes'!$A$2:$A3532,0),MATCH(G$1,'HS Codes'!$D$1:$K$1,0)),"")</f>
        <v>6302531000</v>
      </c>
      <c r="H978" s="8">
        <f>_xlfn.IFNA(INDEX('HS Codes'!$D$2:$K3532,MATCH($B978,'HS Codes'!$A$2:$A3532,0),MATCH(H$1,'HS Codes'!$D$1:$K$1,0)),"")</f>
        <v>6302531000</v>
      </c>
      <c r="I978" s="8">
        <f>_xlfn.IFNA(INDEX('HS Codes'!$D$2:$K3532,MATCH($B978,'HS Codes'!$A$2:$A3532,0),MATCH(I$1,'HS Codes'!$D$1:$K$1,0)),"")</f>
        <v>63029310</v>
      </c>
      <c r="J978" s="8">
        <f>_xlfn.IFNA(INDEX('HS Codes'!$D$2:$K3532,MATCH($B978,'HS Codes'!$A$2:$A3532,0),MATCH(J$1,'HS Codes'!$D$1:$K$1,0)),"")</f>
        <v>0</v>
      </c>
      <c r="K978" s="8" t="str">
        <f>_xlfn.IFNA(INDEX('HS Codes'!$D$2:$K3532,MATCH($B978,'HS Codes'!$A$2:$A3532,0),MATCH(K$1,'HS Codes'!$D$1:$K$1,0)),"")</f>
        <v>6302.53.00</v>
      </c>
      <c r="L978" s="8">
        <f>_xlfn.IFNA(INDEX('HS Codes'!$D$2:$K3532,MATCH($B978,'HS Codes'!$A$2:$A3532,0),MATCH(L$1,'HS Codes'!$D$1:$K$1,0)),"")</f>
        <v>0</v>
      </c>
      <c r="M978" s="8" t="str">
        <f>_xlfn.IFNA(INDEX('HS Codes'!$C$2:$C3532,MATCH($B978,'HS Codes'!$A$2:$A3532,0)),"")</f>
        <v>Kitchen Linen 100% recycled 300 GSM/83% polyester/17% polyamide (no cotton)</v>
      </c>
      <c r="N978" s="9"/>
      <c r="O978" s="9"/>
      <c r="P978" s="9"/>
      <c r="Q978" s="9"/>
    </row>
    <row r="979" spans="1:17" ht="15.75" customHeight="1">
      <c r="A979" s="7" t="s">
        <v>1271</v>
      </c>
      <c r="B979" s="7" t="s">
        <v>159</v>
      </c>
      <c r="C979" s="7" t="s">
        <v>278</v>
      </c>
      <c r="D979" s="7" t="s">
        <v>160</v>
      </c>
      <c r="E979" s="7" t="s">
        <v>160</v>
      </c>
      <c r="F979" s="8" t="str">
        <f>_xlfn.IFNA(INDEX('HS Codes'!$D$2:$K3533,MATCH($B979,'HS Codes'!$A$2:$A3533,0),MATCH(F$1,'HS Codes'!$D$1:$K$1,0)),"")</f>
        <v>6302.53.00.20</v>
      </c>
      <c r="G979" s="8">
        <f>_xlfn.IFNA(INDEX('HS Codes'!$D$2:$K3533,MATCH($B979,'HS Codes'!$A$2:$A3533,0),MATCH(G$1,'HS Codes'!$D$1:$K$1,0)),"")</f>
        <v>6302531000</v>
      </c>
      <c r="H979" s="8">
        <f>_xlfn.IFNA(INDEX('HS Codes'!$D$2:$K3533,MATCH($B979,'HS Codes'!$A$2:$A3533,0),MATCH(H$1,'HS Codes'!$D$1:$K$1,0)),"")</f>
        <v>6302531000</v>
      </c>
      <c r="I979" s="8">
        <f>_xlfn.IFNA(INDEX('HS Codes'!$D$2:$K3533,MATCH($B979,'HS Codes'!$A$2:$A3533,0),MATCH(I$1,'HS Codes'!$D$1:$K$1,0)),"")</f>
        <v>63029310</v>
      </c>
      <c r="J979" s="8">
        <f>_xlfn.IFNA(INDEX('HS Codes'!$D$2:$K3533,MATCH($B979,'HS Codes'!$A$2:$A3533,0),MATCH(J$1,'HS Codes'!$D$1:$K$1,0)),"")</f>
        <v>0</v>
      </c>
      <c r="K979" s="8" t="str">
        <f>_xlfn.IFNA(INDEX('HS Codes'!$D$2:$K3533,MATCH($B979,'HS Codes'!$A$2:$A3533,0),MATCH(K$1,'HS Codes'!$D$1:$K$1,0)),"")</f>
        <v>6302.53.00</v>
      </c>
      <c r="L979" s="8">
        <f>_xlfn.IFNA(INDEX('HS Codes'!$D$2:$K3533,MATCH($B979,'HS Codes'!$A$2:$A3533,0),MATCH(L$1,'HS Codes'!$D$1:$K$1,0)),"")</f>
        <v>0</v>
      </c>
      <c r="M979" s="8" t="str">
        <f>_xlfn.IFNA(INDEX('HS Codes'!$C$2:$C3533,MATCH($B979,'HS Codes'!$A$2:$A3533,0)),"")</f>
        <v>Kitchen Linen 100% recycled 300 GSM/83% polyester/17% polyamide (no cotton)</v>
      </c>
      <c r="N979" s="9"/>
      <c r="O979" s="9"/>
      <c r="P979" s="9"/>
      <c r="Q979" s="9"/>
    </row>
    <row r="980" spans="1:17" ht="15.75" customHeight="1">
      <c r="A980" s="7" t="s">
        <v>1272</v>
      </c>
      <c r="B980" s="7" t="s">
        <v>159</v>
      </c>
      <c r="C980" s="7" t="s">
        <v>278</v>
      </c>
      <c r="D980" s="7" t="s">
        <v>160</v>
      </c>
      <c r="E980" s="7" t="s">
        <v>160</v>
      </c>
      <c r="F980" s="8" t="str">
        <f>_xlfn.IFNA(INDEX('HS Codes'!$D$2:$K3534,MATCH($B980,'HS Codes'!$A$2:$A3534,0),MATCH(F$1,'HS Codes'!$D$1:$K$1,0)),"")</f>
        <v>6302.53.00.20</v>
      </c>
      <c r="G980" s="8">
        <f>_xlfn.IFNA(INDEX('HS Codes'!$D$2:$K3534,MATCH($B980,'HS Codes'!$A$2:$A3534,0),MATCH(G$1,'HS Codes'!$D$1:$K$1,0)),"")</f>
        <v>6302531000</v>
      </c>
      <c r="H980" s="8">
        <f>_xlfn.IFNA(INDEX('HS Codes'!$D$2:$K3534,MATCH($B980,'HS Codes'!$A$2:$A3534,0),MATCH(H$1,'HS Codes'!$D$1:$K$1,0)),"")</f>
        <v>6302531000</v>
      </c>
      <c r="I980" s="8">
        <f>_xlfn.IFNA(INDEX('HS Codes'!$D$2:$K3534,MATCH($B980,'HS Codes'!$A$2:$A3534,0),MATCH(I$1,'HS Codes'!$D$1:$K$1,0)),"")</f>
        <v>63029310</v>
      </c>
      <c r="J980" s="8">
        <f>_xlfn.IFNA(INDEX('HS Codes'!$D$2:$K3534,MATCH($B980,'HS Codes'!$A$2:$A3534,0),MATCH(J$1,'HS Codes'!$D$1:$K$1,0)),"")</f>
        <v>0</v>
      </c>
      <c r="K980" s="8" t="str">
        <f>_xlfn.IFNA(INDEX('HS Codes'!$D$2:$K3534,MATCH($B980,'HS Codes'!$A$2:$A3534,0),MATCH(K$1,'HS Codes'!$D$1:$K$1,0)),"")</f>
        <v>6302.53.00</v>
      </c>
      <c r="L980" s="8">
        <f>_xlfn.IFNA(INDEX('HS Codes'!$D$2:$K3534,MATCH($B980,'HS Codes'!$A$2:$A3534,0),MATCH(L$1,'HS Codes'!$D$1:$K$1,0)),"")</f>
        <v>0</v>
      </c>
      <c r="M980" s="8" t="str">
        <f>_xlfn.IFNA(INDEX('HS Codes'!$C$2:$C3534,MATCH($B980,'HS Codes'!$A$2:$A3534,0)),"")</f>
        <v>Kitchen Linen 100% recycled 300 GSM/83% polyester/17% polyamide (no cotton)</v>
      </c>
      <c r="N980" s="9"/>
      <c r="O980" s="9"/>
      <c r="P980" s="9"/>
      <c r="Q980" s="9"/>
    </row>
    <row r="981" spans="1:17" ht="15.75" customHeight="1">
      <c r="A981" s="7" t="s">
        <v>1273</v>
      </c>
      <c r="B981" s="7" t="s">
        <v>159</v>
      </c>
      <c r="C981" s="7" t="s">
        <v>278</v>
      </c>
      <c r="D981" s="7" t="s">
        <v>160</v>
      </c>
      <c r="E981" s="7" t="s">
        <v>160</v>
      </c>
      <c r="F981" s="8" t="str">
        <f>_xlfn.IFNA(INDEX('HS Codes'!$D$2:$K3535,MATCH($B981,'HS Codes'!$A$2:$A3535,0),MATCH(F$1,'HS Codes'!$D$1:$K$1,0)),"")</f>
        <v>6302.53.00.20</v>
      </c>
      <c r="G981" s="8">
        <f>_xlfn.IFNA(INDEX('HS Codes'!$D$2:$K3535,MATCH($B981,'HS Codes'!$A$2:$A3535,0),MATCH(G$1,'HS Codes'!$D$1:$K$1,0)),"")</f>
        <v>6302531000</v>
      </c>
      <c r="H981" s="8">
        <f>_xlfn.IFNA(INDEX('HS Codes'!$D$2:$K3535,MATCH($B981,'HS Codes'!$A$2:$A3535,0),MATCH(H$1,'HS Codes'!$D$1:$K$1,0)),"")</f>
        <v>6302531000</v>
      </c>
      <c r="I981" s="8">
        <f>_xlfn.IFNA(INDEX('HS Codes'!$D$2:$K3535,MATCH($B981,'HS Codes'!$A$2:$A3535,0),MATCH(I$1,'HS Codes'!$D$1:$K$1,0)),"")</f>
        <v>63029310</v>
      </c>
      <c r="J981" s="8">
        <f>_xlfn.IFNA(INDEX('HS Codes'!$D$2:$K3535,MATCH($B981,'HS Codes'!$A$2:$A3535,0),MATCH(J$1,'HS Codes'!$D$1:$K$1,0)),"")</f>
        <v>0</v>
      </c>
      <c r="K981" s="8" t="str">
        <f>_xlfn.IFNA(INDEX('HS Codes'!$D$2:$K3535,MATCH($B981,'HS Codes'!$A$2:$A3535,0),MATCH(K$1,'HS Codes'!$D$1:$K$1,0)),"")</f>
        <v>6302.53.00</v>
      </c>
      <c r="L981" s="8">
        <f>_xlfn.IFNA(INDEX('HS Codes'!$D$2:$K3535,MATCH($B981,'HS Codes'!$A$2:$A3535,0),MATCH(L$1,'HS Codes'!$D$1:$K$1,0)),"")</f>
        <v>0</v>
      </c>
      <c r="M981" s="8" t="str">
        <f>_xlfn.IFNA(INDEX('HS Codes'!$C$2:$C3535,MATCH($B981,'HS Codes'!$A$2:$A3535,0)),"")</f>
        <v>Kitchen Linen 100% recycled 300 GSM/83% polyester/17% polyamide (no cotton)</v>
      </c>
      <c r="N981" s="9"/>
      <c r="O981" s="9"/>
      <c r="P981" s="9"/>
      <c r="Q981" s="9"/>
    </row>
    <row r="982" spans="1:17" ht="15.75" customHeight="1">
      <c r="A982" s="7" t="s">
        <v>1274</v>
      </c>
      <c r="B982" s="7" t="s">
        <v>159</v>
      </c>
      <c r="C982" s="7" t="s">
        <v>278</v>
      </c>
      <c r="D982" s="7" t="s">
        <v>160</v>
      </c>
      <c r="E982" s="7" t="s">
        <v>160</v>
      </c>
      <c r="F982" s="8" t="str">
        <f>_xlfn.IFNA(INDEX('HS Codes'!$D$2:$K3536,MATCH($B982,'HS Codes'!$A$2:$A3536,0),MATCH(F$1,'HS Codes'!$D$1:$K$1,0)),"")</f>
        <v>6302.53.00.20</v>
      </c>
      <c r="G982" s="8">
        <f>_xlfn.IFNA(INDEX('HS Codes'!$D$2:$K3536,MATCH($B982,'HS Codes'!$A$2:$A3536,0),MATCH(G$1,'HS Codes'!$D$1:$K$1,0)),"")</f>
        <v>6302531000</v>
      </c>
      <c r="H982" s="8">
        <f>_xlfn.IFNA(INDEX('HS Codes'!$D$2:$K3536,MATCH($B982,'HS Codes'!$A$2:$A3536,0),MATCH(H$1,'HS Codes'!$D$1:$K$1,0)),"")</f>
        <v>6302531000</v>
      </c>
      <c r="I982" s="8">
        <f>_xlfn.IFNA(INDEX('HS Codes'!$D$2:$K3536,MATCH($B982,'HS Codes'!$A$2:$A3536,0),MATCH(I$1,'HS Codes'!$D$1:$K$1,0)),"")</f>
        <v>63029310</v>
      </c>
      <c r="J982" s="8">
        <f>_xlfn.IFNA(INDEX('HS Codes'!$D$2:$K3536,MATCH($B982,'HS Codes'!$A$2:$A3536,0),MATCH(J$1,'HS Codes'!$D$1:$K$1,0)),"")</f>
        <v>0</v>
      </c>
      <c r="K982" s="8" t="str">
        <f>_xlfn.IFNA(INDEX('HS Codes'!$D$2:$K3536,MATCH($B982,'HS Codes'!$A$2:$A3536,0),MATCH(K$1,'HS Codes'!$D$1:$K$1,0)),"")</f>
        <v>6302.53.00</v>
      </c>
      <c r="L982" s="8">
        <f>_xlfn.IFNA(INDEX('HS Codes'!$D$2:$K3536,MATCH($B982,'HS Codes'!$A$2:$A3536,0),MATCH(L$1,'HS Codes'!$D$1:$K$1,0)),"")</f>
        <v>0</v>
      </c>
      <c r="M982" s="8" t="str">
        <f>_xlfn.IFNA(INDEX('HS Codes'!$C$2:$C3536,MATCH($B982,'HS Codes'!$A$2:$A3536,0)),"")</f>
        <v>Kitchen Linen 100% recycled 300 GSM/83% polyester/17% polyamide (no cotton)</v>
      </c>
      <c r="N982" s="9"/>
      <c r="O982" s="9"/>
      <c r="P982" s="9"/>
      <c r="Q982" s="9"/>
    </row>
    <row r="983" spans="1:17" ht="15.75" customHeight="1">
      <c r="A983" s="7" t="s">
        <v>1275</v>
      </c>
      <c r="B983" s="7" t="s">
        <v>159</v>
      </c>
      <c r="C983" s="7" t="s">
        <v>278</v>
      </c>
      <c r="D983" s="7" t="s">
        <v>160</v>
      </c>
      <c r="E983" s="7" t="s">
        <v>160</v>
      </c>
      <c r="F983" s="8" t="str">
        <f>_xlfn.IFNA(INDEX('HS Codes'!$D$2:$K3537,MATCH($B983,'HS Codes'!$A$2:$A3537,0),MATCH(F$1,'HS Codes'!$D$1:$K$1,0)),"")</f>
        <v>6302.53.00.20</v>
      </c>
      <c r="G983" s="8">
        <f>_xlfn.IFNA(INDEX('HS Codes'!$D$2:$K3537,MATCH($B983,'HS Codes'!$A$2:$A3537,0),MATCH(G$1,'HS Codes'!$D$1:$K$1,0)),"")</f>
        <v>6302531000</v>
      </c>
      <c r="H983" s="8">
        <f>_xlfn.IFNA(INDEX('HS Codes'!$D$2:$K3537,MATCH($B983,'HS Codes'!$A$2:$A3537,0),MATCH(H$1,'HS Codes'!$D$1:$K$1,0)),"")</f>
        <v>6302531000</v>
      </c>
      <c r="I983" s="8">
        <f>_xlfn.IFNA(INDEX('HS Codes'!$D$2:$K3537,MATCH($B983,'HS Codes'!$A$2:$A3537,0),MATCH(I$1,'HS Codes'!$D$1:$K$1,0)),"")</f>
        <v>63029310</v>
      </c>
      <c r="J983" s="8">
        <f>_xlfn.IFNA(INDEX('HS Codes'!$D$2:$K3537,MATCH($B983,'HS Codes'!$A$2:$A3537,0),MATCH(J$1,'HS Codes'!$D$1:$K$1,0)),"")</f>
        <v>0</v>
      </c>
      <c r="K983" s="8" t="str">
        <f>_xlfn.IFNA(INDEX('HS Codes'!$D$2:$K3537,MATCH($B983,'HS Codes'!$A$2:$A3537,0),MATCH(K$1,'HS Codes'!$D$1:$K$1,0)),"")</f>
        <v>6302.53.00</v>
      </c>
      <c r="L983" s="8">
        <f>_xlfn.IFNA(INDEX('HS Codes'!$D$2:$K3537,MATCH($B983,'HS Codes'!$A$2:$A3537,0),MATCH(L$1,'HS Codes'!$D$1:$K$1,0)),"")</f>
        <v>0</v>
      </c>
      <c r="M983" s="8" t="str">
        <f>_xlfn.IFNA(INDEX('HS Codes'!$C$2:$C3537,MATCH($B983,'HS Codes'!$A$2:$A3537,0)),"")</f>
        <v>Kitchen Linen 100% recycled 300 GSM/83% polyester/17% polyamide (no cotton)</v>
      </c>
      <c r="N983" s="9"/>
      <c r="O983" s="9"/>
      <c r="P983" s="9"/>
      <c r="Q983" s="9"/>
    </row>
    <row r="984" spans="1:17" ht="15.75" customHeight="1">
      <c r="A984" s="7" t="s">
        <v>1276</v>
      </c>
      <c r="B984" s="7" t="s">
        <v>159</v>
      </c>
      <c r="C984" s="7" t="s">
        <v>278</v>
      </c>
      <c r="D984" s="7" t="s">
        <v>160</v>
      </c>
      <c r="E984" s="7" t="s">
        <v>160</v>
      </c>
      <c r="F984" s="8" t="str">
        <f>_xlfn.IFNA(INDEX('HS Codes'!$D$2:$K3538,MATCH($B984,'HS Codes'!$A$2:$A3538,0),MATCH(F$1,'HS Codes'!$D$1:$K$1,0)),"")</f>
        <v>6302.53.00.20</v>
      </c>
      <c r="G984" s="8">
        <f>_xlfn.IFNA(INDEX('HS Codes'!$D$2:$K3538,MATCH($B984,'HS Codes'!$A$2:$A3538,0),MATCH(G$1,'HS Codes'!$D$1:$K$1,0)),"")</f>
        <v>6302531000</v>
      </c>
      <c r="H984" s="8">
        <f>_xlfn.IFNA(INDEX('HS Codes'!$D$2:$K3538,MATCH($B984,'HS Codes'!$A$2:$A3538,0),MATCH(H$1,'HS Codes'!$D$1:$K$1,0)),"")</f>
        <v>6302531000</v>
      </c>
      <c r="I984" s="8">
        <f>_xlfn.IFNA(INDEX('HS Codes'!$D$2:$K3538,MATCH($B984,'HS Codes'!$A$2:$A3538,0),MATCH(I$1,'HS Codes'!$D$1:$K$1,0)),"")</f>
        <v>63029310</v>
      </c>
      <c r="J984" s="8">
        <f>_xlfn.IFNA(INDEX('HS Codes'!$D$2:$K3538,MATCH($B984,'HS Codes'!$A$2:$A3538,0),MATCH(J$1,'HS Codes'!$D$1:$K$1,0)),"")</f>
        <v>0</v>
      </c>
      <c r="K984" s="8" t="str">
        <f>_xlfn.IFNA(INDEX('HS Codes'!$D$2:$K3538,MATCH($B984,'HS Codes'!$A$2:$A3538,0),MATCH(K$1,'HS Codes'!$D$1:$K$1,0)),"")</f>
        <v>6302.53.00</v>
      </c>
      <c r="L984" s="8">
        <f>_xlfn.IFNA(INDEX('HS Codes'!$D$2:$K3538,MATCH($B984,'HS Codes'!$A$2:$A3538,0),MATCH(L$1,'HS Codes'!$D$1:$K$1,0)),"")</f>
        <v>0</v>
      </c>
      <c r="M984" s="8" t="str">
        <f>_xlfn.IFNA(INDEX('HS Codes'!$C$2:$C3538,MATCH($B984,'HS Codes'!$A$2:$A3538,0)),"")</f>
        <v>Kitchen Linen 100% recycled 300 GSM/83% polyester/17% polyamide (no cotton)</v>
      </c>
      <c r="N984" s="9"/>
      <c r="O984" s="9"/>
      <c r="P984" s="9"/>
      <c r="Q984" s="9"/>
    </row>
    <row r="985" spans="1:17" ht="15.75" customHeight="1">
      <c r="A985" s="7" t="s">
        <v>1277</v>
      </c>
      <c r="B985" s="7" t="s">
        <v>159</v>
      </c>
      <c r="C985" s="7" t="s">
        <v>278</v>
      </c>
      <c r="D985" s="7" t="s">
        <v>160</v>
      </c>
      <c r="E985" s="7" t="s">
        <v>160</v>
      </c>
      <c r="F985" s="8" t="str">
        <f>_xlfn.IFNA(INDEX('HS Codes'!$D$2:$K3539,MATCH($B985,'HS Codes'!$A$2:$A3539,0),MATCH(F$1,'HS Codes'!$D$1:$K$1,0)),"")</f>
        <v>6302.53.00.20</v>
      </c>
      <c r="G985" s="8">
        <f>_xlfn.IFNA(INDEX('HS Codes'!$D$2:$K3539,MATCH($B985,'HS Codes'!$A$2:$A3539,0),MATCH(G$1,'HS Codes'!$D$1:$K$1,0)),"")</f>
        <v>6302531000</v>
      </c>
      <c r="H985" s="8">
        <f>_xlfn.IFNA(INDEX('HS Codes'!$D$2:$K3539,MATCH($B985,'HS Codes'!$A$2:$A3539,0),MATCH(H$1,'HS Codes'!$D$1:$K$1,0)),"")</f>
        <v>6302531000</v>
      </c>
      <c r="I985" s="8">
        <f>_xlfn.IFNA(INDEX('HS Codes'!$D$2:$K3539,MATCH($B985,'HS Codes'!$A$2:$A3539,0),MATCH(I$1,'HS Codes'!$D$1:$K$1,0)),"")</f>
        <v>63029310</v>
      </c>
      <c r="J985" s="8">
        <f>_xlfn.IFNA(INDEX('HS Codes'!$D$2:$K3539,MATCH($B985,'HS Codes'!$A$2:$A3539,0),MATCH(J$1,'HS Codes'!$D$1:$K$1,0)),"")</f>
        <v>0</v>
      </c>
      <c r="K985" s="8" t="str">
        <f>_xlfn.IFNA(INDEX('HS Codes'!$D$2:$K3539,MATCH($B985,'HS Codes'!$A$2:$A3539,0),MATCH(K$1,'HS Codes'!$D$1:$K$1,0)),"")</f>
        <v>6302.53.00</v>
      </c>
      <c r="L985" s="8">
        <f>_xlfn.IFNA(INDEX('HS Codes'!$D$2:$K3539,MATCH($B985,'HS Codes'!$A$2:$A3539,0),MATCH(L$1,'HS Codes'!$D$1:$K$1,0)),"")</f>
        <v>0</v>
      </c>
      <c r="M985" s="8" t="str">
        <f>_xlfn.IFNA(INDEX('HS Codes'!$C$2:$C3539,MATCH($B985,'HS Codes'!$A$2:$A3539,0)),"")</f>
        <v>Kitchen Linen 100% recycled 300 GSM/83% polyester/17% polyamide (no cotton)</v>
      </c>
      <c r="N985" s="9"/>
      <c r="O985" s="9"/>
      <c r="P985" s="9"/>
      <c r="Q985" s="9"/>
    </row>
    <row r="986" spans="1:17" ht="15.75" customHeight="1">
      <c r="A986" s="7" t="s">
        <v>1278</v>
      </c>
      <c r="B986" s="7" t="s">
        <v>164</v>
      </c>
      <c r="C986" s="7" t="s">
        <v>278</v>
      </c>
      <c r="D986" s="7" t="s">
        <v>165</v>
      </c>
      <c r="E986" s="7" t="s">
        <v>348</v>
      </c>
      <c r="F986" s="8" t="str">
        <f>_xlfn.IFNA(INDEX('HS Codes'!$D$2:$K3540,MATCH($B986,'HS Codes'!$A$2:$A3540,0),MATCH(F$1,'HS Codes'!$D$1:$K$1,0)),"")</f>
        <v>6302.93.2000</v>
      </c>
      <c r="G986" s="8">
        <f>_xlfn.IFNA(INDEX('HS Codes'!$D$2:$K3540,MATCH($B986,'HS Codes'!$A$2:$A3540,0),MATCH(G$1,'HS Codes'!$D$1:$K$1,0)),"")</f>
        <v>6302600090</v>
      </c>
      <c r="H986" s="8" t="str">
        <f>_xlfn.IFNA(INDEX('HS Codes'!$D$2:$K3540,MATCH($B986,'HS Codes'!$A$2:$A3540,0),MATCH(H$1,'HS Codes'!$D$1:$K$1,0)),"")</f>
        <v>6302.93.00.00</v>
      </c>
      <c r="I986" s="8">
        <f>_xlfn.IFNA(INDEX('HS Codes'!$D$2:$K3540,MATCH($B986,'HS Codes'!$A$2:$A3540,0),MATCH(I$1,'HS Codes'!$D$1:$K$1,0)),"")</f>
        <v>63029390</v>
      </c>
      <c r="J986" s="8">
        <f>_xlfn.IFNA(INDEX('HS Codes'!$D$2:$K3540,MATCH($B986,'HS Codes'!$A$2:$A3540,0),MATCH(J$1,'HS Codes'!$D$1:$K$1,0)),"")</f>
        <v>0</v>
      </c>
      <c r="K986" s="8" t="str">
        <f>_xlfn.IFNA(INDEX('HS Codes'!$D$2:$K3540,MATCH($B986,'HS Codes'!$A$2:$A3540,0),MATCH(K$1,'HS Codes'!$D$1:$K$1,0)),"")</f>
        <v>6302.39.00</v>
      </c>
      <c r="L986" s="8">
        <f>_xlfn.IFNA(INDEX('HS Codes'!$D$2:$K3540,MATCH($B986,'HS Codes'!$A$2:$A3540,0),MATCH(L$1,'HS Codes'!$D$1:$K$1,0)),"")</f>
        <v>63029120</v>
      </c>
      <c r="M986" s="8" t="str">
        <f>_xlfn.IFNA(INDEX('HS Codes'!$C$2:$C3540,MATCH($B986,'HS Codes'!$A$2:$A3540,0)),"")</f>
        <v>Beach Towel - Toilet Linen 100% recycled 220 GSM/83% polyester/17% polyamide includes cotton on the packing pouch drawstring</v>
      </c>
      <c r="N986" s="9"/>
      <c r="O986" s="9"/>
      <c r="P986" s="9"/>
      <c r="Q986" s="9"/>
    </row>
    <row r="987" spans="1:17" ht="15.75" customHeight="1">
      <c r="A987" s="7" t="s">
        <v>1279</v>
      </c>
      <c r="B987" s="7" t="s">
        <v>164</v>
      </c>
      <c r="C987" s="7" t="s">
        <v>278</v>
      </c>
      <c r="D987" s="7" t="s">
        <v>165</v>
      </c>
      <c r="E987" s="7" t="s">
        <v>348</v>
      </c>
      <c r="F987" s="8" t="str">
        <f>_xlfn.IFNA(INDEX('HS Codes'!$D$2:$K3541,MATCH($B987,'HS Codes'!$A$2:$A3541,0),MATCH(F$1,'HS Codes'!$D$1:$K$1,0)),"")</f>
        <v>6302.93.2000</v>
      </c>
      <c r="G987" s="8">
        <f>_xlfn.IFNA(INDEX('HS Codes'!$D$2:$K3541,MATCH($B987,'HS Codes'!$A$2:$A3541,0),MATCH(G$1,'HS Codes'!$D$1:$K$1,0)),"")</f>
        <v>6302600090</v>
      </c>
      <c r="H987" s="8" t="str">
        <f>_xlfn.IFNA(INDEX('HS Codes'!$D$2:$K3541,MATCH($B987,'HS Codes'!$A$2:$A3541,0),MATCH(H$1,'HS Codes'!$D$1:$K$1,0)),"")</f>
        <v>6302.93.00.00</v>
      </c>
      <c r="I987" s="8">
        <f>_xlfn.IFNA(INDEX('HS Codes'!$D$2:$K3541,MATCH($B987,'HS Codes'!$A$2:$A3541,0),MATCH(I$1,'HS Codes'!$D$1:$K$1,0)),"")</f>
        <v>63029390</v>
      </c>
      <c r="J987" s="8">
        <f>_xlfn.IFNA(INDEX('HS Codes'!$D$2:$K3541,MATCH($B987,'HS Codes'!$A$2:$A3541,0),MATCH(J$1,'HS Codes'!$D$1:$K$1,0)),"")</f>
        <v>0</v>
      </c>
      <c r="K987" s="8" t="str">
        <f>_xlfn.IFNA(INDEX('HS Codes'!$D$2:$K3541,MATCH($B987,'HS Codes'!$A$2:$A3541,0),MATCH(K$1,'HS Codes'!$D$1:$K$1,0)),"")</f>
        <v>6302.39.00</v>
      </c>
      <c r="L987" s="8">
        <f>_xlfn.IFNA(INDEX('HS Codes'!$D$2:$K3541,MATCH($B987,'HS Codes'!$A$2:$A3541,0),MATCH(L$1,'HS Codes'!$D$1:$K$1,0)),"")</f>
        <v>63029120</v>
      </c>
      <c r="M987" s="8" t="str">
        <f>_xlfn.IFNA(INDEX('HS Codes'!$C$2:$C3541,MATCH($B987,'HS Codes'!$A$2:$A3541,0)),"")</f>
        <v>Beach Towel - Toilet Linen 100% recycled 220 GSM/83% polyester/17% polyamide includes cotton on the packing pouch drawstring</v>
      </c>
      <c r="N987" s="9"/>
      <c r="O987" s="9"/>
      <c r="P987" s="9"/>
      <c r="Q987" s="9"/>
    </row>
    <row r="988" spans="1:17" ht="15.75" customHeight="1">
      <c r="A988" s="7" t="s">
        <v>1280</v>
      </c>
      <c r="B988" s="7" t="s">
        <v>164</v>
      </c>
      <c r="C988" s="7" t="s">
        <v>278</v>
      </c>
      <c r="D988" s="7" t="s">
        <v>165</v>
      </c>
      <c r="E988" s="7" t="s">
        <v>348</v>
      </c>
      <c r="F988" s="8" t="str">
        <f>_xlfn.IFNA(INDEX('HS Codes'!$D$2:$K3542,MATCH($B988,'HS Codes'!$A$2:$A3542,0),MATCH(F$1,'HS Codes'!$D$1:$K$1,0)),"")</f>
        <v>6302.93.2000</v>
      </c>
      <c r="G988" s="8">
        <f>_xlfn.IFNA(INDEX('HS Codes'!$D$2:$K3542,MATCH($B988,'HS Codes'!$A$2:$A3542,0),MATCH(G$1,'HS Codes'!$D$1:$K$1,0)),"")</f>
        <v>6302600090</v>
      </c>
      <c r="H988" s="8" t="str">
        <f>_xlfn.IFNA(INDEX('HS Codes'!$D$2:$K3542,MATCH($B988,'HS Codes'!$A$2:$A3542,0),MATCH(H$1,'HS Codes'!$D$1:$K$1,0)),"")</f>
        <v>6302.93.00.00</v>
      </c>
      <c r="I988" s="8">
        <f>_xlfn.IFNA(INDEX('HS Codes'!$D$2:$K3542,MATCH($B988,'HS Codes'!$A$2:$A3542,0),MATCH(I$1,'HS Codes'!$D$1:$K$1,0)),"")</f>
        <v>63029390</v>
      </c>
      <c r="J988" s="8">
        <f>_xlfn.IFNA(INDEX('HS Codes'!$D$2:$K3542,MATCH($B988,'HS Codes'!$A$2:$A3542,0),MATCH(J$1,'HS Codes'!$D$1:$K$1,0)),"")</f>
        <v>0</v>
      </c>
      <c r="K988" s="8" t="str">
        <f>_xlfn.IFNA(INDEX('HS Codes'!$D$2:$K3542,MATCH($B988,'HS Codes'!$A$2:$A3542,0),MATCH(K$1,'HS Codes'!$D$1:$K$1,0)),"")</f>
        <v>6302.39.00</v>
      </c>
      <c r="L988" s="8">
        <f>_xlfn.IFNA(INDEX('HS Codes'!$D$2:$K3542,MATCH($B988,'HS Codes'!$A$2:$A3542,0),MATCH(L$1,'HS Codes'!$D$1:$K$1,0)),"")</f>
        <v>63029120</v>
      </c>
      <c r="M988" s="8" t="str">
        <f>_xlfn.IFNA(INDEX('HS Codes'!$C$2:$C3542,MATCH($B988,'HS Codes'!$A$2:$A3542,0)),"")</f>
        <v>Beach Towel - Toilet Linen 100% recycled 220 GSM/83% polyester/17% polyamide includes cotton on the packing pouch drawstring</v>
      </c>
      <c r="N988" s="9"/>
      <c r="O988" s="9"/>
      <c r="P988" s="9"/>
      <c r="Q988" s="9"/>
    </row>
    <row r="989" spans="1:17" ht="15.75" customHeight="1">
      <c r="A989" s="7" t="s">
        <v>1281</v>
      </c>
      <c r="B989" s="7" t="s">
        <v>164</v>
      </c>
      <c r="C989" s="7" t="s">
        <v>278</v>
      </c>
      <c r="D989" s="7" t="s">
        <v>165</v>
      </c>
      <c r="E989" s="7" t="s">
        <v>348</v>
      </c>
      <c r="F989" s="8" t="str">
        <f>_xlfn.IFNA(INDEX('HS Codes'!$D$2:$K3543,MATCH($B989,'HS Codes'!$A$2:$A3543,0),MATCH(F$1,'HS Codes'!$D$1:$K$1,0)),"")</f>
        <v>6302.93.2000</v>
      </c>
      <c r="G989" s="8">
        <f>_xlfn.IFNA(INDEX('HS Codes'!$D$2:$K3543,MATCH($B989,'HS Codes'!$A$2:$A3543,0),MATCH(G$1,'HS Codes'!$D$1:$K$1,0)),"")</f>
        <v>6302600090</v>
      </c>
      <c r="H989" s="8" t="str">
        <f>_xlfn.IFNA(INDEX('HS Codes'!$D$2:$K3543,MATCH($B989,'HS Codes'!$A$2:$A3543,0),MATCH(H$1,'HS Codes'!$D$1:$K$1,0)),"")</f>
        <v>6302.93.00.00</v>
      </c>
      <c r="I989" s="8">
        <f>_xlfn.IFNA(INDEX('HS Codes'!$D$2:$K3543,MATCH($B989,'HS Codes'!$A$2:$A3543,0),MATCH(I$1,'HS Codes'!$D$1:$K$1,0)),"")</f>
        <v>63029390</v>
      </c>
      <c r="J989" s="8">
        <f>_xlfn.IFNA(INDEX('HS Codes'!$D$2:$K3543,MATCH($B989,'HS Codes'!$A$2:$A3543,0),MATCH(J$1,'HS Codes'!$D$1:$K$1,0)),"")</f>
        <v>0</v>
      </c>
      <c r="K989" s="8" t="str">
        <f>_xlfn.IFNA(INDEX('HS Codes'!$D$2:$K3543,MATCH($B989,'HS Codes'!$A$2:$A3543,0),MATCH(K$1,'HS Codes'!$D$1:$K$1,0)),"")</f>
        <v>6302.39.00</v>
      </c>
      <c r="L989" s="8">
        <f>_xlfn.IFNA(INDEX('HS Codes'!$D$2:$K3543,MATCH($B989,'HS Codes'!$A$2:$A3543,0),MATCH(L$1,'HS Codes'!$D$1:$K$1,0)),"")</f>
        <v>63029120</v>
      </c>
      <c r="M989" s="8" t="str">
        <f>_xlfn.IFNA(INDEX('HS Codes'!$C$2:$C3543,MATCH($B989,'HS Codes'!$A$2:$A3543,0)),"")</f>
        <v>Beach Towel - Toilet Linen 100% recycled 220 GSM/83% polyester/17% polyamide includes cotton on the packing pouch drawstring</v>
      </c>
      <c r="N989" s="9"/>
      <c r="O989" s="9"/>
      <c r="P989" s="9"/>
      <c r="Q989" s="9"/>
    </row>
    <row r="990" spans="1:17" ht="15.75" customHeight="1">
      <c r="A990" s="7" t="s">
        <v>1282</v>
      </c>
      <c r="B990" s="7" t="s">
        <v>164</v>
      </c>
      <c r="C990" s="7" t="s">
        <v>278</v>
      </c>
      <c r="D990" s="7" t="s">
        <v>165</v>
      </c>
      <c r="E990" s="7" t="s">
        <v>348</v>
      </c>
      <c r="F990" s="8" t="str">
        <f>_xlfn.IFNA(INDEX('HS Codes'!$D$2:$K3544,MATCH($B990,'HS Codes'!$A$2:$A3544,0),MATCH(F$1,'HS Codes'!$D$1:$K$1,0)),"")</f>
        <v>6302.93.2000</v>
      </c>
      <c r="G990" s="8">
        <f>_xlfn.IFNA(INDEX('HS Codes'!$D$2:$K3544,MATCH($B990,'HS Codes'!$A$2:$A3544,0),MATCH(G$1,'HS Codes'!$D$1:$K$1,0)),"")</f>
        <v>6302600090</v>
      </c>
      <c r="H990" s="8" t="str">
        <f>_xlfn.IFNA(INDEX('HS Codes'!$D$2:$K3544,MATCH($B990,'HS Codes'!$A$2:$A3544,0),MATCH(H$1,'HS Codes'!$D$1:$K$1,0)),"")</f>
        <v>6302.93.00.00</v>
      </c>
      <c r="I990" s="8">
        <f>_xlfn.IFNA(INDEX('HS Codes'!$D$2:$K3544,MATCH($B990,'HS Codes'!$A$2:$A3544,0),MATCH(I$1,'HS Codes'!$D$1:$K$1,0)),"")</f>
        <v>63029390</v>
      </c>
      <c r="J990" s="8">
        <f>_xlfn.IFNA(INDEX('HS Codes'!$D$2:$K3544,MATCH($B990,'HS Codes'!$A$2:$A3544,0),MATCH(J$1,'HS Codes'!$D$1:$K$1,0)),"")</f>
        <v>0</v>
      </c>
      <c r="K990" s="8" t="str">
        <f>_xlfn.IFNA(INDEX('HS Codes'!$D$2:$K3544,MATCH($B990,'HS Codes'!$A$2:$A3544,0),MATCH(K$1,'HS Codes'!$D$1:$K$1,0)),"")</f>
        <v>6302.39.00</v>
      </c>
      <c r="L990" s="8">
        <f>_xlfn.IFNA(INDEX('HS Codes'!$D$2:$K3544,MATCH($B990,'HS Codes'!$A$2:$A3544,0),MATCH(L$1,'HS Codes'!$D$1:$K$1,0)),"")</f>
        <v>63029120</v>
      </c>
      <c r="M990" s="8" t="str">
        <f>_xlfn.IFNA(INDEX('HS Codes'!$C$2:$C3544,MATCH($B990,'HS Codes'!$A$2:$A3544,0)),"")</f>
        <v>Beach Towel - Toilet Linen 100% recycled 220 GSM/83% polyester/17% polyamide includes cotton on the packing pouch drawstring</v>
      </c>
      <c r="N990" s="9"/>
      <c r="O990" s="9"/>
      <c r="P990" s="9"/>
      <c r="Q990" s="9"/>
    </row>
    <row r="991" spans="1:17" ht="15.75" customHeight="1">
      <c r="A991" s="7" t="s">
        <v>1283</v>
      </c>
      <c r="B991" s="7" t="s">
        <v>164</v>
      </c>
      <c r="C991" s="7" t="s">
        <v>278</v>
      </c>
      <c r="D991" s="7" t="s">
        <v>165</v>
      </c>
      <c r="E991" s="7" t="s">
        <v>348</v>
      </c>
      <c r="F991" s="8" t="str">
        <f>_xlfn.IFNA(INDEX('HS Codes'!$D$2:$K3545,MATCH($B991,'HS Codes'!$A$2:$A3545,0),MATCH(F$1,'HS Codes'!$D$1:$K$1,0)),"")</f>
        <v>6302.93.2000</v>
      </c>
      <c r="G991" s="8">
        <f>_xlfn.IFNA(INDEX('HS Codes'!$D$2:$K3545,MATCH($B991,'HS Codes'!$A$2:$A3545,0),MATCH(G$1,'HS Codes'!$D$1:$K$1,0)),"")</f>
        <v>6302600090</v>
      </c>
      <c r="H991" s="8" t="str">
        <f>_xlfn.IFNA(INDEX('HS Codes'!$D$2:$K3545,MATCH($B991,'HS Codes'!$A$2:$A3545,0),MATCH(H$1,'HS Codes'!$D$1:$K$1,0)),"")</f>
        <v>6302.93.00.00</v>
      </c>
      <c r="I991" s="8">
        <f>_xlfn.IFNA(INDEX('HS Codes'!$D$2:$K3545,MATCH($B991,'HS Codes'!$A$2:$A3545,0),MATCH(I$1,'HS Codes'!$D$1:$K$1,0)),"")</f>
        <v>63029390</v>
      </c>
      <c r="J991" s="8">
        <f>_xlfn.IFNA(INDEX('HS Codes'!$D$2:$K3545,MATCH($B991,'HS Codes'!$A$2:$A3545,0),MATCH(J$1,'HS Codes'!$D$1:$K$1,0)),"")</f>
        <v>0</v>
      </c>
      <c r="K991" s="8" t="str">
        <f>_xlfn.IFNA(INDEX('HS Codes'!$D$2:$K3545,MATCH($B991,'HS Codes'!$A$2:$A3545,0),MATCH(K$1,'HS Codes'!$D$1:$K$1,0)),"")</f>
        <v>6302.39.00</v>
      </c>
      <c r="L991" s="8">
        <f>_xlfn.IFNA(INDEX('HS Codes'!$D$2:$K3545,MATCH($B991,'HS Codes'!$A$2:$A3545,0),MATCH(L$1,'HS Codes'!$D$1:$K$1,0)),"")</f>
        <v>63029120</v>
      </c>
      <c r="M991" s="8" t="str">
        <f>_xlfn.IFNA(INDEX('HS Codes'!$C$2:$C3545,MATCH($B991,'HS Codes'!$A$2:$A3545,0)),"")</f>
        <v>Beach Towel - Toilet Linen 100% recycled 220 GSM/83% polyester/17% polyamide includes cotton on the packing pouch drawstring</v>
      </c>
      <c r="N991" s="9"/>
      <c r="O991" s="9"/>
      <c r="P991" s="9"/>
      <c r="Q991" s="9"/>
    </row>
    <row r="992" spans="1:17" ht="15.75" customHeight="1">
      <c r="A992" s="7" t="s">
        <v>1284</v>
      </c>
      <c r="B992" s="7" t="s">
        <v>164</v>
      </c>
      <c r="C992" s="7" t="s">
        <v>278</v>
      </c>
      <c r="D992" s="7" t="s">
        <v>165</v>
      </c>
      <c r="E992" s="7" t="s">
        <v>348</v>
      </c>
      <c r="F992" s="8" t="str">
        <f>_xlfn.IFNA(INDEX('HS Codes'!$D$2:$K3546,MATCH($B992,'HS Codes'!$A$2:$A3546,0),MATCH(F$1,'HS Codes'!$D$1:$K$1,0)),"")</f>
        <v>6302.93.2000</v>
      </c>
      <c r="G992" s="8">
        <f>_xlfn.IFNA(INDEX('HS Codes'!$D$2:$K3546,MATCH($B992,'HS Codes'!$A$2:$A3546,0),MATCH(G$1,'HS Codes'!$D$1:$K$1,0)),"")</f>
        <v>6302600090</v>
      </c>
      <c r="H992" s="8" t="str">
        <f>_xlfn.IFNA(INDEX('HS Codes'!$D$2:$K3546,MATCH($B992,'HS Codes'!$A$2:$A3546,0),MATCH(H$1,'HS Codes'!$D$1:$K$1,0)),"")</f>
        <v>6302.93.00.00</v>
      </c>
      <c r="I992" s="8">
        <f>_xlfn.IFNA(INDEX('HS Codes'!$D$2:$K3546,MATCH($B992,'HS Codes'!$A$2:$A3546,0),MATCH(I$1,'HS Codes'!$D$1:$K$1,0)),"")</f>
        <v>63029390</v>
      </c>
      <c r="J992" s="8">
        <f>_xlfn.IFNA(INDEX('HS Codes'!$D$2:$K3546,MATCH($B992,'HS Codes'!$A$2:$A3546,0),MATCH(J$1,'HS Codes'!$D$1:$K$1,0)),"")</f>
        <v>0</v>
      </c>
      <c r="K992" s="8" t="str">
        <f>_xlfn.IFNA(INDEX('HS Codes'!$D$2:$K3546,MATCH($B992,'HS Codes'!$A$2:$A3546,0),MATCH(K$1,'HS Codes'!$D$1:$K$1,0)),"")</f>
        <v>6302.39.00</v>
      </c>
      <c r="L992" s="8">
        <f>_xlfn.IFNA(INDEX('HS Codes'!$D$2:$K3546,MATCH($B992,'HS Codes'!$A$2:$A3546,0),MATCH(L$1,'HS Codes'!$D$1:$K$1,0)),"")</f>
        <v>63029120</v>
      </c>
      <c r="M992" s="8" t="str">
        <f>_xlfn.IFNA(INDEX('HS Codes'!$C$2:$C3546,MATCH($B992,'HS Codes'!$A$2:$A3546,0)),"")</f>
        <v>Beach Towel - Toilet Linen 100% recycled 220 GSM/83% polyester/17% polyamide includes cotton on the packing pouch drawstring</v>
      </c>
      <c r="N992" s="9"/>
      <c r="O992" s="9"/>
      <c r="P992" s="9"/>
      <c r="Q992" s="9"/>
    </row>
    <row r="993" spans="1:17" ht="15.75" customHeight="1">
      <c r="A993" s="7" t="s">
        <v>1285</v>
      </c>
      <c r="B993" s="7" t="s">
        <v>164</v>
      </c>
      <c r="C993" s="7" t="s">
        <v>278</v>
      </c>
      <c r="D993" s="7" t="s">
        <v>165</v>
      </c>
      <c r="E993" s="7" t="s">
        <v>348</v>
      </c>
      <c r="F993" s="8" t="str">
        <f>_xlfn.IFNA(INDEX('HS Codes'!$D$2:$K3547,MATCH($B993,'HS Codes'!$A$2:$A3547,0),MATCH(F$1,'HS Codes'!$D$1:$K$1,0)),"")</f>
        <v>6302.93.2000</v>
      </c>
      <c r="G993" s="8">
        <f>_xlfn.IFNA(INDEX('HS Codes'!$D$2:$K3547,MATCH($B993,'HS Codes'!$A$2:$A3547,0),MATCH(G$1,'HS Codes'!$D$1:$K$1,0)),"")</f>
        <v>6302600090</v>
      </c>
      <c r="H993" s="8" t="str">
        <f>_xlfn.IFNA(INDEX('HS Codes'!$D$2:$K3547,MATCH($B993,'HS Codes'!$A$2:$A3547,0),MATCH(H$1,'HS Codes'!$D$1:$K$1,0)),"")</f>
        <v>6302.93.00.00</v>
      </c>
      <c r="I993" s="8">
        <f>_xlfn.IFNA(INDEX('HS Codes'!$D$2:$K3547,MATCH($B993,'HS Codes'!$A$2:$A3547,0),MATCH(I$1,'HS Codes'!$D$1:$K$1,0)),"")</f>
        <v>63029390</v>
      </c>
      <c r="J993" s="8">
        <f>_xlfn.IFNA(INDEX('HS Codes'!$D$2:$K3547,MATCH($B993,'HS Codes'!$A$2:$A3547,0),MATCH(J$1,'HS Codes'!$D$1:$K$1,0)),"")</f>
        <v>0</v>
      </c>
      <c r="K993" s="8" t="str">
        <f>_xlfn.IFNA(INDEX('HS Codes'!$D$2:$K3547,MATCH($B993,'HS Codes'!$A$2:$A3547,0),MATCH(K$1,'HS Codes'!$D$1:$K$1,0)),"")</f>
        <v>6302.39.00</v>
      </c>
      <c r="L993" s="8">
        <f>_xlfn.IFNA(INDEX('HS Codes'!$D$2:$K3547,MATCH($B993,'HS Codes'!$A$2:$A3547,0),MATCH(L$1,'HS Codes'!$D$1:$K$1,0)),"")</f>
        <v>63029120</v>
      </c>
      <c r="M993" s="8" t="str">
        <f>_xlfn.IFNA(INDEX('HS Codes'!$C$2:$C3547,MATCH($B993,'HS Codes'!$A$2:$A3547,0)),"")</f>
        <v>Beach Towel - Toilet Linen 100% recycled 220 GSM/83% polyester/17% polyamide includes cotton on the packing pouch drawstring</v>
      </c>
      <c r="N993" s="9"/>
      <c r="O993" s="9"/>
      <c r="P993" s="9"/>
      <c r="Q993" s="9"/>
    </row>
    <row r="994" spans="1:17" ht="15.75" customHeight="1">
      <c r="A994" s="7" t="s">
        <v>1286</v>
      </c>
      <c r="B994" s="7" t="s">
        <v>164</v>
      </c>
      <c r="C994" s="7" t="s">
        <v>278</v>
      </c>
      <c r="D994" s="7" t="s">
        <v>165</v>
      </c>
      <c r="E994" s="7" t="s">
        <v>348</v>
      </c>
      <c r="F994" s="8" t="str">
        <f>_xlfn.IFNA(INDEX('HS Codes'!$D$2:$K3548,MATCH($B994,'HS Codes'!$A$2:$A3548,0),MATCH(F$1,'HS Codes'!$D$1:$K$1,0)),"")</f>
        <v>6302.93.2000</v>
      </c>
      <c r="G994" s="8">
        <f>_xlfn.IFNA(INDEX('HS Codes'!$D$2:$K3548,MATCH($B994,'HS Codes'!$A$2:$A3548,0),MATCH(G$1,'HS Codes'!$D$1:$K$1,0)),"")</f>
        <v>6302600090</v>
      </c>
      <c r="H994" s="8" t="str">
        <f>_xlfn.IFNA(INDEX('HS Codes'!$D$2:$K3548,MATCH($B994,'HS Codes'!$A$2:$A3548,0),MATCH(H$1,'HS Codes'!$D$1:$K$1,0)),"")</f>
        <v>6302.93.00.00</v>
      </c>
      <c r="I994" s="8">
        <f>_xlfn.IFNA(INDEX('HS Codes'!$D$2:$K3548,MATCH($B994,'HS Codes'!$A$2:$A3548,0),MATCH(I$1,'HS Codes'!$D$1:$K$1,0)),"")</f>
        <v>63029390</v>
      </c>
      <c r="J994" s="8">
        <f>_xlfn.IFNA(INDEX('HS Codes'!$D$2:$K3548,MATCH($B994,'HS Codes'!$A$2:$A3548,0),MATCH(J$1,'HS Codes'!$D$1:$K$1,0)),"")</f>
        <v>0</v>
      </c>
      <c r="K994" s="8" t="str">
        <f>_xlfn.IFNA(INDEX('HS Codes'!$D$2:$K3548,MATCH($B994,'HS Codes'!$A$2:$A3548,0),MATCH(K$1,'HS Codes'!$D$1:$K$1,0)),"")</f>
        <v>6302.39.00</v>
      </c>
      <c r="L994" s="8">
        <f>_xlfn.IFNA(INDEX('HS Codes'!$D$2:$K3548,MATCH($B994,'HS Codes'!$A$2:$A3548,0),MATCH(L$1,'HS Codes'!$D$1:$K$1,0)),"")</f>
        <v>63029120</v>
      </c>
      <c r="M994" s="8" t="str">
        <f>_xlfn.IFNA(INDEX('HS Codes'!$C$2:$C3548,MATCH($B994,'HS Codes'!$A$2:$A3548,0)),"")</f>
        <v>Beach Towel - Toilet Linen 100% recycled 220 GSM/83% polyester/17% polyamide includes cotton on the packing pouch drawstring</v>
      </c>
      <c r="N994" s="9"/>
      <c r="O994" s="9"/>
      <c r="P994" s="9"/>
      <c r="Q994" s="9"/>
    </row>
    <row r="995" spans="1:17" ht="15.75" customHeight="1">
      <c r="A995" s="7" t="s">
        <v>1287</v>
      </c>
      <c r="B995" s="7" t="s">
        <v>164</v>
      </c>
      <c r="C995" s="7" t="s">
        <v>278</v>
      </c>
      <c r="D995" s="7" t="s">
        <v>165</v>
      </c>
      <c r="E995" s="7" t="s">
        <v>348</v>
      </c>
      <c r="F995" s="8" t="str">
        <f>_xlfn.IFNA(INDEX('HS Codes'!$D$2:$K3549,MATCH($B995,'HS Codes'!$A$2:$A3549,0),MATCH(F$1,'HS Codes'!$D$1:$K$1,0)),"")</f>
        <v>6302.93.2000</v>
      </c>
      <c r="G995" s="8">
        <f>_xlfn.IFNA(INDEX('HS Codes'!$D$2:$K3549,MATCH($B995,'HS Codes'!$A$2:$A3549,0),MATCH(G$1,'HS Codes'!$D$1:$K$1,0)),"")</f>
        <v>6302600090</v>
      </c>
      <c r="H995" s="8" t="str">
        <f>_xlfn.IFNA(INDEX('HS Codes'!$D$2:$K3549,MATCH($B995,'HS Codes'!$A$2:$A3549,0),MATCH(H$1,'HS Codes'!$D$1:$K$1,0)),"")</f>
        <v>6302.93.00.00</v>
      </c>
      <c r="I995" s="8">
        <f>_xlfn.IFNA(INDEX('HS Codes'!$D$2:$K3549,MATCH($B995,'HS Codes'!$A$2:$A3549,0),MATCH(I$1,'HS Codes'!$D$1:$K$1,0)),"")</f>
        <v>63029390</v>
      </c>
      <c r="J995" s="8">
        <f>_xlfn.IFNA(INDEX('HS Codes'!$D$2:$K3549,MATCH($B995,'HS Codes'!$A$2:$A3549,0),MATCH(J$1,'HS Codes'!$D$1:$K$1,0)),"")</f>
        <v>0</v>
      </c>
      <c r="K995" s="8" t="str">
        <f>_xlfn.IFNA(INDEX('HS Codes'!$D$2:$K3549,MATCH($B995,'HS Codes'!$A$2:$A3549,0),MATCH(K$1,'HS Codes'!$D$1:$K$1,0)),"")</f>
        <v>6302.39.00</v>
      </c>
      <c r="L995" s="8">
        <f>_xlfn.IFNA(INDEX('HS Codes'!$D$2:$K3549,MATCH($B995,'HS Codes'!$A$2:$A3549,0),MATCH(L$1,'HS Codes'!$D$1:$K$1,0)),"")</f>
        <v>63029120</v>
      </c>
      <c r="M995" s="8" t="str">
        <f>_xlfn.IFNA(INDEX('HS Codes'!$C$2:$C3549,MATCH($B995,'HS Codes'!$A$2:$A3549,0)),"")</f>
        <v>Beach Towel - Toilet Linen 100% recycled 220 GSM/83% polyester/17% polyamide includes cotton on the packing pouch drawstring</v>
      </c>
      <c r="N995" s="9"/>
      <c r="O995" s="9"/>
      <c r="P995" s="9"/>
      <c r="Q995" s="9"/>
    </row>
    <row r="996" spans="1:17" ht="15.75" customHeight="1">
      <c r="A996" s="7" t="s">
        <v>1288</v>
      </c>
      <c r="B996" s="7" t="s">
        <v>169</v>
      </c>
      <c r="C996" s="7" t="s">
        <v>278</v>
      </c>
      <c r="D996" s="7" t="s">
        <v>170</v>
      </c>
      <c r="E996" s="7" t="s">
        <v>348</v>
      </c>
      <c r="F996" s="8" t="str">
        <f>_xlfn.IFNA(INDEX('HS Codes'!$D$2:$K3550,MATCH($B996,'HS Codes'!$A$2:$A3550,0),MATCH(F$1,'HS Codes'!$D$1:$K$1,0)),"")</f>
        <v>6302.93.2000</v>
      </c>
      <c r="G996" s="8">
        <f>_xlfn.IFNA(INDEX('HS Codes'!$D$2:$K3550,MATCH($B996,'HS Codes'!$A$2:$A3550,0),MATCH(G$1,'HS Codes'!$D$1:$K$1,0)),"")</f>
        <v>6302600090</v>
      </c>
      <c r="H996" s="8" t="str">
        <f>_xlfn.IFNA(INDEX('HS Codes'!$D$2:$K3550,MATCH($B996,'HS Codes'!$A$2:$A3550,0),MATCH(H$1,'HS Codes'!$D$1:$K$1,0)),"")</f>
        <v>6302.93.00.00</v>
      </c>
      <c r="I996" s="8">
        <f>_xlfn.IFNA(INDEX('HS Codes'!$D$2:$K3550,MATCH($B996,'HS Codes'!$A$2:$A3550,0),MATCH(I$1,'HS Codes'!$D$1:$K$1,0)),"")</f>
        <v>6302939000</v>
      </c>
      <c r="J996" s="8">
        <f>_xlfn.IFNA(INDEX('HS Codes'!$D$2:$K3550,MATCH($B996,'HS Codes'!$A$2:$A3550,0),MATCH(J$1,'HS Codes'!$D$1:$K$1,0)),"")</f>
        <v>0</v>
      </c>
      <c r="K996" s="8" t="str">
        <f>_xlfn.IFNA(INDEX('HS Codes'!$D$2:$K3550,MATCH($B996,'HS Codes'!$A$2:$A3550,0),MATCH(K$1,'HS Codes'!$D$1:$K$1,0)),"")</f>
        <v>6302.39.00</v>
      </c>
      <c r="L996" s="8">
        <f>_xlfn.IFNA(INDEX('HS Codes'!$D$2:$K3550,MATCH($B996,'HS Codes'!$A$2:$A3550,0),MATCH(L$1,'HS Codes'!$D$1:$K$1,0)),"")</f>
        <v>63029120</v>
      </c>
      <c r="M996" s="8" t="str">
        <f>_xlfn.IFNA(INDEX('HS Codes'!$C$2:$C3550,MATCH($B996,'HS Codes'!$A$2:$A3550,0)),"")</f>
        <v>Fitness Towels - Toilet Linen 100% recycled 220 GSM/83% polyester/17% polyamide (no cotton)</v>
      </c>
      <c r="N996" s="9"/>
      <c r="O996" s="9"/>
      <c r="P996" s="9"/>
      <c r="Q996" s="9"/>
    </row>
    <row r="997" spans="1:17" ht="15.75" customHeight="1">
      <c r="A997" s="7" t="s">
        <v>1289</v>
      </c>
      <c r="B997" s="7" t="s">
        <v>172</v>
      </c>
      <c r="C997" s="7" t="s">
        <v>278</v>
      </c>
      <c r="D997" s="7" t="s">
        <v>173</v>
      </c>
      <c r="E997" s="7" t="s">
        <v>377</v>
      </c>
      <c r="F997" s="8" t="str">
        <f>_xlfn.IFNA(INDEX('HS Codes'!$D$2:$K3551,MATCH($B997,'HS Codes'!$A$2:$A3551,0),MATCH(F$1,'HS Codes'!$D$1:$K$1,0)),"")</f>
        <v>6302.93.2000</v>
      </c>
      <c r="G997" s="8">
        <f>_xlfn.IFNA(INDEX('HS Codes'!$D$2:$K3551,MATCH($B997,'HS Codes'!$A$2:$A3551,0),MATCH(G$1,'HS Codes'!$D$1:$K$1,0)),"")</f>
        <v>6302600090</v>
      </c>
      <c r="H997" s="8" t="str">
        <f>_xlfn.IFNA(INDEX('HS Codes'!$D$2:$K3551,MATCH($B997,'HS Codes'!$A$2:$A3551,0),MATCH(H$1,'HS Codes'!$D$1:$K$1,0)),"")</f>
        <v>6302.93.00.00</v>
      </c>
      <c r="I997" s="8">
        <f>_xlfn.IFNA(INDEX('HS Codes'!$D$2:$K3551,MATCH($B997,'HS Codes'!$A$2:$A3551,0),MATCH(I$1,'HS Codes'!$D$1:$K$1,0)),"")</f>
        <v>6302939000</v>
      </c>
      <c r="J997" s="8">
        <f>_xlfn.IFNA(INDEX('HS Codes'!$D$2:$K3551,MATCH($B997,'HS Codes'!$A$2:$A3551,0),MATCH(J$1,'HS Codes'!$D$1:$K$1,0)),"")</f>
        <v>0</v>
      </c>
      <c r="K997" s="8" t="str">
        <f>_xlfn.IFNA(INDEX('HS Codes'!$D$2:$K3551,MATCH($B997,'HS Codes'!$A$2:$A3551,0),MATCH(K$1,'HS Codes'!$D$1:$K$1,0)),"")</f>
        <v>6302.39.00</v>
      </c>
      <c r="L997" s="8">
        <f>_xlfn.IFNA(INDEX('HS Codes'!$D$2:$K3551,MATCH($B997,'HS Codes'!$A$2:$A3551,0),MATCH(L$1,'HS Codes'!$D$1:$K$1,0)),"")</f>
        <v>63029120</v>
      </c>
      <c r="M997" s="8" t="str">
        <f>_xlfn.IFNA(INDEX('HS Codes'!$C$2:$C3551,MATCH($B997,'HS Codes'!$A$2:$A3551,0)),"")</f>
        <v>Bath Towel - Toilet Linen 100% recycled 340 GSM/83% polyester/17% polyamide (no cotton)</v>
      </c>
      <c r="N997" s="9"/>
      <c r="O997" s="9"/>
      <c r="P997" s="9"/>
      <c r="Q997" s="9"/>
    </row>
    <row r="998" spans="1:17" ht="15.75" customHeight="1">
      <c r="A998" s="7" t="s">
        <v>1290</v>
      </c>
      <c r="B998" s="7" t="s">
        <v>172</v>
      </c>
      <c r="C998" s="7" t="s">
        <v>278</v>
      </c>
      <c r="D998" s="7" t="s">
        <v>173</v>
      </c>
      <c r="E998" s="7" t="s">
        <v>377</v>
      </c>
      <c r="F998" s="8" t="str">
        <f>_xlfn.IFNA(INDEX('HS Codes'!$D$2:$K3552,MATCH($B998,'HS Codes'!$A$2:$A3552,0),MATCH(F$1,'HS Codes'!$D$1:$K$1,0)),"")</f>
        <v>6302.93.2000</v>
      </c>
      <c r="G998" s="8">
        <f>_xlfn.IFNA(INDEX('HS Codes'!$D$2:$K3552,MATCH($B998,'HS Codes'!$A$2:$A3552,0),MATCH(G$1,'HS Codes'!$D$1:$K$1,0)),"")</f>
        <v>6302600090</v>
      </c>
      <c r="H998" s="8" t="str">
        <f>_xlfn.IFNA(INDEX('HS Codes'!$D$2:$K3552,MATCH($B998,'HS Codes'!$A$2:$A3552,0),MATCH(H$1,'HS Codes'!$D$1:$K$1,0)),"")</f>
        <v>6302.93.00.00</v>
      </c>
      <c r="I998" s="8">
        <f>_xlfn.IFNA(INDEX('HS Codes'!$D$2:$K3552,MATCH($B998,'HS Codes'!$A$2:$A3552,0),MATCH(I$1,'HS Codes'!$D$1:$K$1,0)),"")</f>
        <v>6302939000</v>
      </c>
      <c r="J998" s="8">
        <f>_xlfn.IFNA(INDEX('HS Codes'!$D$2:$K3552,MATCH($B998,'HS Codes'!$A$2:$A3552,0),MATCH(J$1,'HS Codes'!$D$1:$K$1,0)),"")</f>
        <v>0</v>
      </c>
      <c r="K998" s="8" t="str">
        <f>_xlfn.IFNA(INDEX('HS Codes'!$D$2:$K3552,MATCH($B998,'HS Codes'!$A$2:$A3552,0),MATCH(K$1,'HS Codes'!$D$1:$K$1,0)),"")</f>
        <v>6302.39.00</v>
      </c>
      <c r="L998" s="8">
        <f>_xlfn.IFNA(INDEX('HS Codes'!$D$2:$K3552,MATCH($B998,'HS Codes'!$A$2:$A3552,0),MATCH(L$1,'HS Codes'!$D$1:$K$1,0)),"")</f>
        <v>63029120</v>
      </c>
      <c r="M998" s="8" t="str">
        <f>_xlfn.IFNA(INDEX('HS Codes'!$C$2:$C3552,MATCH($B998,'HS Codes'!$A$2:$A3552,0)),"")</f>
        <v>Bath Towel - Toilet Linen 100% recycled 340 GSM/83% polyester/17% polyamide (no cotton)</v>
      </c>
      <c r="N998" s="9"/>
      <c r="O998" s="9"/>
      <c r="P998" s="9"/>
      <c r="Q998" s="9"/>
    </row>
    <row r="999" spans="1:17" ht="15.75" customHeight="1">
      <c r="A999" s="7" t="s">
        <v>1291</v>
      </c>
      <c r="B999" s="7" t="s">
        <v>172</v>
      </c>
      <c r="C999" s="7" t="s">
        <v>278</v>
      </c>
      <c r="D999" s="7" t="s">
        <v>173</v>
      </c>
      <c r="E999" s="7" t="s">
        <v>377</v>
      </c>
      <c r="F999" s="8" t="str">
        <f>_xlfn.IFNA(INDEX('HS Codes'!$D$2:$K3553,MATCH($B999,'HS Codes'!$A$2:$A3553,0),MATCH(F$1,'HS Codes'!$D$1:$K$1,0)),"")</f>
        <v>6302.93.2000</v>
      </c>
      <c r="G999" s="8">
        <f>_xlfn.IFNA(INDEX('HS Codes'!$D$2:$K3553,MATCH($B999,'HS Codes'!$A$2:$A3553,0),MATCH(G$1,'HS Codes'!$D$1:$K$1,0)),"")</f>
        <v>6302600090</v>
      </c>
      <c r="H999" s="8" t="str">
        <f>_xlfn.IFNA(INDEX('HS Codes'!$D$2:$K3553,MATCH($B999,'HS Codes'!$A$2:$A3553,0),MATCH(H$1,'HS Codes'!$D$1:$K$1,0)),"")</f>
        <v>6302.93.00.00</v>
      </c>
      <c r="I999" s="8">
        <f>_xlfn.IFNA(INDEX('HS Codes'!$D$2:$K3553,MATCH($B999,'HS Codes'!$A$2:$A3553,0),MATCH(I$1,'HS Codes'!$D$1:$K$1,0)),"")</f>
        <v>6302939000</v>
      </c>
      <c r="J999" s="8">
        <f>_xlfn.IFNA(INDEX('HS Codes'!$D$2:$K3553,MATCH($B999,'HS Codes'!$A$2:$A3553,0),MATCH(J$1,'HS Codes'!$D$1:$K$1,0)),"")</f>
        <v>0</v>
      </c>
      <c r="K999" s="8" t="str">
        <f>_xlfn.IFNA(INDEX('HS Codes'!$D$2:$K3553,MATCH($B999,'HS Codes'!$A$2:$A3553,0),MATCH(K$1,'HS Codes'!$D$1:$K$1,0)),"")</f>
        <v>6302.39.00</v>
      </c>
      <c r="L999" s="8">
        <f>_xlfn.IFNA(INDEX('HS Codes'!$D$2:$K3553,MATCH($B999,'HS Codes'!$A$2:$A3553,0),MATCH(L$1,'HS Codes'!$D$1:$K$1,0)),"")</f>
        <v>63029120</v>
      </c>
      <c r="M999" s="8" t="str">
        <f>_xlfn.IFNA(INDEX('HS Codes'!$C$2:$C3553,MATCH($B999,'HS Codes'!$A$2:$A3553,0)),"")</f>
        <v>Bath Towel - Toilet Linen 100% recycled 340 GSM/83% polyester/17% polyamide (no cotton)</v>
      </c>
      <c r="N999" s="9"/>
      <c r="O999" s="9"/>
      <c r="P999" s="9"/>
      <c r="Q999" s="9"/>
    </row>
    <row r="1000" spans="1:17" ht="15.75" customHeight="1">
      <c r="A1000" s="7" t="s">
        <v>1292</v>
      </c>
      <c r="B1000" s="7" t="s">
        <v>172</v>
      </c>
      <c r="C1000" s="7" t="s">
        <v>278</v>
      </c>
      <c r="D1000" s="7" t="s">
        <v>173</v>
      </c>
      <c r="E1000" s="7" t="s">
        <v>377</v>
      </c>
      <c r="F1000" s="8" t="str">
        <f>_xlfn.IFNA(INDEX('HS Codes'!$D$2:$K3554,MATCH($B1000,'HS Codes'!$A$2:$A3554,0),MATCH(F$1,'HS Codes'!$D$1:$K$1,0)),"")</f>
        <v>6302.93.2000</v>
      </c>
      <c r="G1000" s="8">
        <f>_xlfn.IFNA(INDEX('HS Codes'!$D$2:$K3554,MATCH($B1000,'HS Codes'!$A$2:$A3554,0),MATCH(G$1,'HS Codes'!$D$1:$K$1,0)),"")</f>
        <v>6302600090</v>
      </c>
      <c r="H1000" s="8" t="str">
        <f>_xlfn.IFNA(INDEX('HS Codes'!$D$2:$K3554,MATCH($B1000,'HS Codes'!$A$2:$A3554,0),MATCH(H$1,'HS Codes'!$D$1:$K$1,0)),"")</f>
        <v>6302.93.00.00</v>
      </c>
      <c r="I1000" s="8">
        <f>_xlfn.IFNA(INDEX('HS Codes'!$D$2:$K3554,MATCH($B1000,'HS Codes'!$A$2:$A3554,0),MATCH(I$1,'HS Codes'!$D$1:$K$1,0)),"")</f>
        <v>6302939000</v>
      </c>
      <c r="J1000" s="8">
        <f>_xlfn.IFNA(INDEX('HS Codes'!$D$2:$K3554,MATCH($B1000,'HS Codes'!$A$2:$A3554,0),MATCH(J$1,'HS Codes'!$D$1:$K$1,0)),"")</f>
        <v>0</v>
      </c>
      <c r="K1000" s="8" t="str">
        <f>_xlfn.IFNA(INDEX('HS Codes'!$D$2:$K3554,MATCH($B1000,'HS Codes'!$A$2:$A3554,0),MATCH(K$1,'HS Codes'!$D$1:$K$1,0)),"")</f>
        <v>6302.39.00</v>
      </c>
      <c r="L1000" s="8">
        <f>_xlfn.IFNA(INDEX('HS Codes'!$D$2:$K3554,MATCH($B1000,'HS Codes'!$A$2:$A3554,0),MATCH(L$1,'HS Codes'!$D$1:$K$1,0)),"")</f>
        <v>63029120</v>
      </c>
      <c r="M1000" s="8" t="str">
        <f>_xlfn.IFNA(INDEX('HS Codes'!$C$2:$C3554,MATCH($B1000,'HS Codes'!$A$2:$A3554,0)),"")</f>
        <v>Bath Towel - Toilet Linen 100% recycled 340 GSM/83% polyester/17% polyamide (no cotton)</v>
      </c>
      <c r="N1000" s="9"/>
      <c r="O1000" s="9"/>
      <c r="P1000" s="9"/>
      <c r="Q1000" s="9"/>
    </row>
    <row r="1001" spans="1:17" ht="15.75" customHeight="1">
      <c r="A1001" s="7" t="s">
        <v>1293</v>
      </c>
      <c r="B1001" s="7" t="s">
        <v>172</v>
      </c>
      <c r="C1001" s="7" t="s">
        <v>278</v>
      </c>
      <c r="D1001" s="7" t="s">
        <v>173</v>
      </c>
      <c r="E1001" s="7" t="s">
        <v>377</v>
      </c>
      <c r="F1001" s="8" t="str">
        <f>_xlfn.IFNA(INDEX('HS Codes'!$D$2:$K3555,MATCH($B1001,'HS Codes'!$A$2:$A3555,0),MATCH(F$1,'HS Codes'!$D$1:$K$1,0)),"")</f>
        <v>6302.93.2000</v>
      </c>
      <c r="G1001" s="8">
        <f>_xlfn.IFNA(INDEX('HS Codes'!$D$2:$K3555,MATCH($B1001,'HS Codes'!$A$2:$A3555,0),MATCH(G$1,'HS Codes'!$D$1:$K$1,0)),"")</f>
        <v>6302600090</v>
      </c>
      <c r="H1001" s="8" t="str">
        <f>_xlfn.IFNA(INDEX('HS Codes'!$D$2:$K3555,MATCH($B1001,'HS Codes'!$A$2:$A3555,0),MATCH(H$1,'HS Codes'!$D$1:$K$1,0)),"")</f>
        <v>6302.93.00.00</v>
      </c>
      <c r="I1001" s="8">
        <f>_xlfn.IFNA(INDEX('HS Codes'!$D$2:$K3555,MATCH($B1001,'HS Codes'!$A$2:$A3555,0),MATCH(I$1,'HS Codes'!$D$1:$K$1,0)),"")</f>
        <v>6302939000</v>
      </c>
      <c r="J1001" s="8">
        <f>_xlfn.IFNA(INDEX('HS Codes'!$D$2:$K3555,MATCH($B1001,'HS Codes'!$A$2:$A3555,0),MATCH(J$1,'HS Codes'!$D$1:$K$1,0)),"")</f>
        <v>0</v>
      </c>
      <c r="K1001" s="8" t="str">
        <f>_xlfn.IFNA(INDEX('HS Codes'!$D$2:$K3555,MATCH($B1001,'HS Codes'!$A$2:$A3555,0),MATCH(K$1,'HS Codes'!$D$1:$K$1,0)),"")</f>
        <v>6302.39.00</v>
      </c>
      <c r="L1001" s="8">
        <f>_xlfn.IFNA(INDEX('HS Codes'!$D$2:$K3555,MATCH($B1001,'HS Codes'!$A$2:$A3555,0),MATCH(L$1,'HS Codes'!$D$1:$K$1,0)),"")</f>
        <v>63029120</v>
      </c>
      <c r="M1001" s="8" t="str">
        <f>_xlfn.IFNA(INDEX('HS Codes'!$C$2:$C3555,MATCH($B1001,'HS Codes'!$A$2:$A3555,0)),"")</f>
        <v>Bath Towel - Toilet Linen 100% recycled 340 GSM/83% polyester/17% polyamide (no cotton)</v>
      </c>
      <c r="N1001" s="9"/>
      <c r="O1001" s="9"/>
      <c r="P1001" s="9"/>
      <c r="Q1001" s="9"/>
    </row>
    <row r="1002" spans="1:17" ht="15.75" customHeight="1">
      <c r="A1002" s="7" t="s">
        <v>1294</v>
      </c>
      <c r="B1002" s="7" t="s">
        <v>172</v>
      </c>
      <c r="C1002" s="7" t="s">
        <v>278</v>
      </c>
      <c r="D1002" s="7" t="s">
        <v>173</v>
      </c>
      <c r="E1002" s="7" t="s">
        <v>377</v>
      </c>
      <c r="F1002" s="8" t="str">
        <f>_xlfn.IFNA(INDEX('HS Codes'!$D$2:$K3556,MATCH($B1002,'HS Codes'!$A$2:$A3556,0),MATCH(F$1,'HS Codes'!$D$1:$K$1,0)),"")</f>
        <v>6302.93.2000</v>
      </c>
      <c r="G1002" s="8">
        <f>_xlfn.IFNA(INDEX('HS Codes'!$D$2:$K3556,MATCH($B1002,'HS Codes'!$A$2:$A3556,0),MATCH(G$1,'HS Codes'!$D$1:$K$1,0)),"")</f>
        <v>6302600090</v>
      </c>
      <c r="H1002" s="8" t="str">
        <f>_xlfn.IFNA(INDEX('HS Codes'!$D$2:$K3556,MATCH($B1002,'HS Codes'!$A$2:$A3556,0),MATCH(H$1,'HS Codes'!$D$1:$K$1,0)),"")</f>
        <v>6302.93.00.00</v>
      </c>
      <c r="I1002" s="8">
        <f>_xlfn.IFNA(INDEX('HS Codes'!$D$2:$K3556,MATCH($B1002,'HS Codes'!$A$2:$A3556,0),MATCH(I$1,'HS Codes'!$D$1:$K$1,0)),"")</f>
        <v>6302939000</v>
      </c>
      <c r="J1002" s="8">
        <f>_xlfn.IFNA(INDEX('HS Codes'!$D$2:$K3556,MATCH($B1002,'HS Codes'!$A$2:$A3556,0),MATCH(J$1,'HS Codes'!$D$1:$K$1,0)),"")</f>
        <v>0</v>
      </c>
      <c r="K1002" s="8" t="str">
        <f>_xlfn.IFNA(INDEX('HS Codes'!$D$2:$K3556,MATCH($B1002,'HS Codes'!$A$2:$A3556,0),MATCH(K$1,'HS Codes'!$D$1:$K$1,0)),"")</f>
        <v>6302.39.00</v>
      </c>
      <c r="L1002" s="8">
        <f>_xlfn.IFNA(INDEX('HS Codes'!$D$2:$K3556,MATCH($B1002,'HS Codes'!$A$2:$A3556,0),MATCH(L$1,'HS Codes'!$D$1:$K$1,0)),"")</f>
        <v>63029120</v>
      </c>
      <c r="M1002" s="8" t="str">
        <f>_xlfn.IFNA(INDEX('HS Codes'!$C$2:$C3556,MATCH($B1002,'HS Codes'!$A$2:$A3556,0)),"")</f>
        <v>Bath Towel - Toilet Linen 100% recycled 340 GSM/83% polyester/17% polyamide (no cotton)</v>
      </c>
      <c r="N1002" s="9"/>
      <c r="O1002" s="9"/>
      <c r="P1002" s="9"/>
      <c r="Q1002" s="9"/>
    </row>
    <row r="1003" spans="1:17" ht="15.75" customHeight="1">
      <c r="A1003" s="7" t="s">
        <v>1295</v>
      </c>
      <c r="B1003" s="7" t="s">
        <v>172</v>
      </c>
      <c r="C1003" s="7" t="s">
        <v>278</v>
      </c>
      <c r="D1003" s="7" t="s">
        <v>173</v>
      </c>
      <c r="E1003" s="7" t="s">
        <v>377</v>
      </c>
      <c r="F1003" s="8" t="str">
        <f>_xlfn.IFNA(INDEX('HS Codes'!$D$2:$K3557,MATCH($B1003,'HS Codes'!$A$2:$A3557,0),MATCH(F$1,'HS Codes'!$D$1:$K$1,0)),"")</f>
        <v>6302.93.2000</v>
      </c>
      <c r="G1003" s="8">
        <f>_xlfn.IFNA(INDEX('HS Codes'!$D$2:$K3557,MATCH($B1003,'HS Codes'!$A$2:$A3557,0),MATCH(G$1,'HS Codes'!$D$1:$K$1,0)),"")</f>
        <v>6302600090</v>
      </c>
      <c r="H1003" s="8" t="str">
        <f>_xlfn.IFNA(INDEX('HS Codes'!$D$2:$K3557,MATCH($B1003,'HS Codes'!$A$2:$A3557,0),MATCH(H$1,'HS Codes'!$D$1:$K$1,0)),"")</f>
        <v>6302.93.00.00</v>
      </c>
      <c r="I1003" s="8">
        <f>_xlfn.IFNA(INDEX('HS Codes'!$D$2:$K3557,MATCH($B1003,'HS Codes'!$A$2:$A3557,0),MATCH(I$1,'HS Codes'!$D$1:$K$1,0)),"")</f>
        <v>6302939000</v>
      </c>
      <c r="J1003" s="8">
        <f>_xlfn.IFNA(INDEX('HS Codes'!$D$2:$K3557,MATCH($B1003,'HS Codes'!$A$2:$A3557,0),MATCH(J$1,'HS Codes'!$D$1:$K$1,0)),"")</f>
        <v>0</v>
      </c>
      <c r="K1003" s="8" t="str">
        <f>_xlfn.IFNA(INDEX('HS Codes'!$D$2:$K3557,MATCH($B1003,'HS Codes'!$A$2:$A3557,0),MATCH(K$1,'HS Codes'!$D$1:$K$1,0)),"")</f>
        <v>6302.39.00</v>
      </c>
      <c r="L1003" s="8">
        <f>_xlfn.IFNA(INDEX('HS Codes'!$D$2:$K3557,MATCH($B1003,'HS Codes'!$A$2:$A3557,0),MATCH(L$1,'HS Codes'!$D$1:$K$1,0)),"")</f>
        <v>63029120</v>
      </c>
      <c r="M1003" s="8" t="str">
        <f>_xlfn.IFNA(INDEX('HS Codes'!$C$2:$C3557,MATCH($B1003,'HS Codes'!$A$2:$A3557,0)),"")</f>
        <v>Bath Towel - Toilet Linen 100% recycled 340 GSM/83% polyester/17% polyamide (no cotton)</v>
      </c>
      <c r="N1003" s="9"/>
      <c r="O1003" s="9"/>
      <c r="P1003" s="9"/>
      <c r="Q1003" s="9"/>
    </row>
    <row r="1004" spans="1:17" ht="15.75" customHeight="1">
      <c r="A1004" s="7" t="s">
        <v>1296</v>
      </c>
      <c r="B1004" s="7" t="s">
        <v>172</v>
      </c>
      <c r="C1004" s="7" t="s">
        <v>278</v>
      </c>
      <c r="D1004" s="7" t="s">
        <v>173</v>
      </c>
      <c r="E1004" s="7" t="s">
        <v>377</v>
      </c>
      <c r="F1004" s="8" t="str">
        <f>_xlfn.IFNA(INDEX('HS Codes'!$D$2:$K3558,MATCH($B1004,'HS Codes'!$A$2:$A3558,0),MATCH(F$1,'HS Codes'!$D$1:$K$1,0)),"")</f>
        <v>6302.93.2000</v>
      </c>
      <c r="G1004" s="8">
        <f>_xlfn.IFNA(INDEX('HS Codes'!$D$2:$K3558,MATCH($B1004,'HS Codes'!$A$2:$A3558,0),MATCH(G$1,'HS Codes'!$D$1:$K$1,0)),"")</f>
        <v>6302600090</v>
      </c>
      <c r="H1004" s="8" t="str">
        <f>_xlfn.IFNA(INDEX('HS Codes'!$D$2:$K3558,MATCH($B1004,'HS Codes'!$A$2:$A3558,0),MATCH(H$1,'HS Codes'!$D$1:$K$1,0)),"")</f>
        <v>6302.93.00.00</v>
      </c>
      <c r="I1004" s="8">
        <f>_xlfn.IFNA(INDEX('HS Codes'!$D$2:$K3558,MATCH($B1004,'HS Codes'!$A$2:$A3558,0),MATCH(I$1,'HS Codes'!$D$1:$K$1,0)),"")</f>
        <v>6302939000</v>
      </c>
      <c r="J1004" s="8">
        <f>_xlfn.IFNA(INDEX('HS Codes'!$D$2:$K3558,MATCH($B1004,'HS Codes'!$A$2:$A3558,0),MATCH(J$1,'HS Codes'!$D$1:$K$1,0)),"")</f>
        <v>0</v>
      </c>
      <c r="K1004" s="8" t="str">
        <f>_xlfn.IFNA(INDEX('HS Codes'!$D$2:$K3558,MATCH($B1004,'HS Codes'!$A$2:$A3558,0),MATCH(K$1,'HS Codes'!$D$1:$K$1,0)),"")</f>
        <v>6302.39.00</v>
      </c>
      <c r="L1004" s="8">
        <f>_xlfn.IFNA(INDEX('HS Codes'!$D$2:$K3558,MATCH($B1004,'HS Codes'!$A$2:$A3558,0),MATCH(L$1,'HS Codes'!$D$1:$K$1,0)),"")</f>
        <v>63029120</v>
      </c>
      <c r="M1004" s="8" t="str">
        <f>_xlfn.IFNA(INDEX('HS Codes'!$C$2:$C3558,MATCH($B1004,'HS Codes'!$A$2:$A3558,0)),"")</f>
        <v>Bath Towel - Toilet Linen 100% recycled 340 GSM/83% polyester/17% polyamide (no cotton)</v>
      </c>
      <c r="N1004" s="9"/>
      <c r="O1004" s="9"/>
      <c r="P1004" s="9"/>
      <c r="Q1004" s="9"/>
    </row>
    <row r="1005" spans="1:17" ht="15.75" customHeight="1">
      <c r="A1005" s="7" t="s">
        <v>1297</v>
      </c>
      <c r="B1005" s="7" t="s">
        <v>172</v>
      </c>
      <c r="C1005" s="7" t="s">
        <v>278</v>
      </c>
      <c r="D1005" s="7" t="s">
        <v>173</v>
      </c>
      <c r="E1005" s="7" t="s">
        <v>377</v>
      </c>
      <c r="F1005" s="8" t="str">
        <f>_xlfn.IFNA(INDEX('HS Codes'!$D$2:$K3559,MATCH($B1005,'HS Codes'!$A$2:$A3559,0),MATCH(F$1,'HS Codes'!$D$1:$K$1,0)),"")</f>
        <v>6302.93.2000</v>
      </c>
      <c r="G1005" s="8">
        <f>_xlfn.IFNA(INDEX('HS Codes'!$D$2:$K3559,MATCH($B1005,'HS Codes'!$A$2:$A3559,0),MATCH(G$1,'HS Codes'!$D$1:$K$1,0)),"")</f>
        <v>6302600090</v>
      </c>
      <c r="H1005" s="8" t="str">
        <f>_xlfn.IFNA(INDEX('HS Codes'!$D$2:$K3559,MATCH($B1005,'HS Codes'!$A$2:$A3559,0),MATCH(H$1,'HS Codes'!$D$1:$K$1,0)),"")</f>
        <v>6302.93.00.00</v>
      </c>
      <c r="I1005" s="8">
        <f>_xlfn.IFNA(INDEX('HS Codes'!$D$2:$K3559,MATCH($B1005,'HS Codes'!$A$2:$A3559,0),MATCH(I$1,'HS Codes'!$D$1:$K$1,0)),"")</f>
        <v>6302939000</v>
      </c>
      <c r="J1005" s="8">
        <f>_xlfn.IFNA(INDEX('HS Codes'!$D$2:$K3559,MATCH($B1005,'HS Codes'!$A$2:$A3559,0),MATCH(J$1,'HS Codes'!$D$1:$K$1,0)),"")</f>
        <v>0</v>
      </c>
      <c r="K1005" s="8" t="str">
        <f>_xlfn.IFNA(INDEX('HS Codes'!$D$2:$K3559,MATCH($B1005,'HS Codes'!$A$2:$A3559,0),MATCH(K$1,'HS Codes'!$D$1:$K$1,0)),"")</f>
        <v>6302.39.00</v>
      </c>
      <c r="L1005" s="8">
        <f>_xlfn.IFNA(INDEX('HS Codes'!$D$2:$K3559,MATCH($B1005,'HS Codes'!$A$2:$A3559,0),MATCH(L$1,'HS Codes'!$D$1:$K$1,0)),"")</f>
        <v>63029120</v>
      </c>
      <c r="M1005" s="8" t="str">
        <f>_xlfn.IFNA(INDEX('HS Codes'!$C$2:$C3559,MATCH($B1005,'HS Codes'!$A$2:$A3559,0)),"")</f>
        <v>Bath Towel - Toilet Linen 100% recycled 340 GSM/83% polyester/17% polyamide (no cotton)</v>
      </c>
      <c r="N1005" s="9"/>
      <c r="O1005" s="9"/>
      <c r="P1005" s="9"/>
      <c r="Q1005" s="9"/>
    </row>
    <row r="1006" spans="1:17" ht="15.75" customHeight="1">
      <c r="A1006" s="7" t="s">
        <v>1298</v>
      </c>
      <c r="B1006" s="7" t="s">
        <v>172</v>
      </c>
      <c r="C1006" s="7" t="s">
        <v>278</v>
      </c>
      <c r="D1006" s="7" t="s">
        <v>173</v>
      </c>
      <c r="E1006" s="7" t="s">
        <v>377</v>
      </c>
      <c r="F1006" s="8" t="str">
        <f>_xlfn.IFNA(INDEX('HS Codes'!$D$2:$K3560,MATCH($B1006,'HS Codes'!$A$2:$A3560,0),MATCH(F$1,'HS Codes'!$D$1:$K$1,0)),"")</f>
        <v>6302.93.2000</v>
      </c>
      <c r="G1006" s="8">
        <f>_xlfn.IFNA(INDEX('HS Codes'!$D$2:$K3560,MATCH($B1006,'HS Codes'!$A$2:$A3560,0),MATCH(G$1,'HS Codes'!$D$1:$K$1,0)),"")</f>
        <v>6302600090</v>
      </c>
      <c r="H1006" s="8" t="str">
        <f>_xlfn.IFNA(INDEX('HS Codes'!$D$2:$K3560,MATCH($B1006,'HS Codes'!$A$2:$A3560,0),MATCH(H$1,'HS Codes'!$D$1:$K$1,0)),"")</f>
        <v>6302.93.00.00</v>
      </c>
      <c r="I1006" s="8">
        <f>_xlfn.IFNA(INDEX('HS Codes'!$D$2:$K3560,MATCH($B1006,'HS Codes'!$A$2:$A3560,0),MATCH(I$1,'HS Codes'!$D$1:$K$1,0)),"")</f>
        <v>6302939000</v>
      </c>
      <c r="J1006" s="8">
        <f>_xlfn.IFNA(INDEX('HS Codes'!$D$2:$K3560,MATCH($B1006,'HS Codes'!$A$2:$A3560,0),MATCH(J$1,'HS Codes'!$D$1:$K$1,0)),"")</f>
        <v>0</v>
      </c>
      <c r="K1006" s="8" t="str">
        <f>_xlfn.IFNA(INDEX('HS Codes'!$D$2:$K3560,MATCH($B1006,'HS Codes'!$A$2:$A3560,0),MATCH(K$1,'HS Codes'!$D$1:$K$1,0)),"")</f>
        <v>6302.39.00</v>
      </c>
      <c r="L1006" s="8">
        <f>_xlfn.IFNA(INDEX('HS Codes'!$D$2:$K3560,MATCH($B1006,'HS Codes'!$A$2:$A3560,0),MATCH(L$1,'HS Codes'!$D$1:$K$1,0)),"")</f>
        <v>63029120</v>
      </c>
      <c r="M1006" s="8" t="str">
        <f>_xlfn.IFNA(INDEX('HS Codes'!$C$2:$C3560,MATCH($B1006,'HS Codes'!$A$2:$A3560,0)),"")</f>
        <v>Bath Towel - Toilet Linen 100% recycled 340 GSM/83% polyester/17% polyamide (no cotton)</v>
      </c>
      <c r="N1006" s="9"/>
      <c r="O1006" s="9"/>
      <c r="P1006" s="9"/>
      <c r="Q1006" s="9"/>
    </row>
    <row r="1007" spans="1:17" ht="15.75" customHeight="1">
      <c r="A1007" s="7" t="s">
        <v>1299</v>
      </c>
      <c r="B1007" s="7" t="s">
        <v>172</v>
      </c>
      <c r="C1007" s="7" t="s">
        <v>278</v>
      </c>
      <c r="D1007" s="7" t="s">
        <v>173</v>
      </c>
      <c r="E1007" s="7" t="s">
        <v>377</v>
      </c>
      <c r="F1007" s="8" t="str">
        <f>_xlfn.IFNA(INDEX('HS Codes'!$D$2:$K3561,MATCH($B1007,'HS Codes'!$A$2:$A3561,0),MATCH(F$1,'HS Codes'!$D$1:$K$1,0)),"")</f>
        <v>6302.93.2000</v>
      </c>
      <c r="G1007" s="8">
        <f>_xlfn.IFNA(INDEX('HS Codes'!$D$2:$K3561,MATCH($B1007,'HS Codes'!$A$2:$A3561,0),MATCH(G$1,'HS Codes'!$D$1:$K$1,0)),"")</f>
        <v>6302600090</v>
      </c>
      <c r="H1007" s="8" t="str">
        <f>_xlfn.IFNA(INDEX('HS Codes'!$D$2:$K3561,MATCH($B1007,'HS Codes'!$A$2:$A3561,0),MATCH(H$1,'HS Codes'!$D$1:$K$1,0)),"")</f>
        <v>6302.93.00.00</v>
      </c>
      <c r="I1007" s="8">
        <f>_xlfn.IFNA(INDEX('HS Codes'!$D$2:$K3561,MATCH($B1007,'HS Codes'!$A$2:$A3561,0),MATCH(I$1,'HS Codes'!$D$1:$K$1,0)),"")</f>
        <v>6302939000</v>
      </c>
      <c r="J1007" s="8">
        <f>_xlfn.IFNA(INDEX('HS Codes'!$D$2:$K3561,MATCH($B1007,'HS Codes'!$A$2:$A3561,0),MATCH(J$1,'HS Codes'!$D$1:$K$1,0)),"")</f>
        <v>0</v>
      </c>
      <c r="K1007" s="8" t="str">
        <f>_xlfn.IFNA(INDEX('HS Codes'!$D$2:$K3561,MATCH($B1007,'HS Codes'!$A$2:$A3561,0),MATCH(K$1,'HS Codes'!$D$1:$K$1,0)),"")</f>
        <v>6302.39.00</v>
      </c>
      <c r="L1007" s="8">
        <f>_xlfn.IFNA(INDEX('HS Codes'!$D$2:$K3561,MATCH($B1007,'HS Codes'!$A$2:$A3561,0),MATCH(L$1,'HS Codes'!$D$1:$K$1,0)),"")</f>
        <v>63029120</v>
      </c>
      <c r="M1007" s="8" t="str">
        <f>_xlfn.IFNA(INDEX('HS Codes'!$C$2:$C3561,MATCH($B1007,'HS Codes'!$A$2:$A3561,0)),"")</f>
        <v>Bath Towel - Toilet Linen 100% recycled 340 GSM/83% polyester/17% polyamide (no cotton)</v>
      </c>
      <c r="N1007" s="9"/>
      <c r="O1007" s="9"/>
      <c r="P1007" s="9"/>
      <c r="Q1007" s="9"/>
    </row>
    <row r="1008" spans="1:17" ht="15.75" customHeight="1">
      <c r="A1008" s="7" t="s">
        <v>1300</v>
      </c>
      <c r="B1008" s="7" t="s">
        <v>172</v>
      </c>
      <c r="C1008" s="7" t="s">
        <v>278</v>
      </c>
      <c r="D1008" s="7" t="s">
        <v>173</v>
      </c>
      <c r="E1008" s="7" t="s">
        <v>377</v>
      </c>
      <c r="F1008" s="8" t="str">
        <f>_xlfn.IFNA(INDEX('HS Codes'!$D$2:$K3562,MATCH($B1008,'HS Codes'!$A$2:$A3562,0),MATCH(F$1,'HS Codes'!$D$1:$K$1,0)),"")</f>
        <v>6302.93.2000</v>
      </c>
      <c r="G1008" s="8">
        <f>_xlfn.IFNA(INDEX('HS Codes'!$D$2:$K3562,MATCH($B1008,'HS Codes'!$A$2:$A3562,0),MATCH(G$1,'HS Codes'!$D$1:$K$1,0)),"")</f>
        <v>6302600090</v>
      </c>
      <c r="H1008" s="8" t="str">
        <f>_xlfn.IFNA(INDEX('HS Codes'!$D$2:$K3562,MATCH($B1008,'HS Codes'!$A$2:$A3562,0),MATCH(H$1,'HS Codes'!$D$1:$K$1,0)),"")</f>
        <v>6302.93.00.00</v>
      </c>
      <c r="I1008" s="8">
        <f>_xlfn.IFNA(INDEX('HS Codes'!$D$2:$K3562,MATCH($B1008,'HS Codes'!$A$2:$A3562,0),MATCH(I$1,'HS Codes'!$D$1:$K$1,0)),"")</f>
        <v>6302939000</v>
      </c>
      <c r="J1008" s="8">
        <f>_xlfn.IFNA(INDEX('HS Codes'!$D$2:$K3562,MATCH($B1008,'HS Codes'!$A$2:$A3562,0),MATCH(J$1,'HS Codes'!$D$1:$K$1,0)),"")</f>
        <v>0</v>
      </c>
      <c r="K1008" s="8" t="str">
        <f>_xlfn.IFNA(INDEX('HS Codes'!$D$2:$K3562,MATCH($B1008,'HS Codes'!$A$2:$A3562,0),MATCH(K$1,'HS Codes'!$D$1:$K$1,0)),"")</f>
        <v>6302.39.00</v>
      </c>
      <c r="L1008" s="8">
        <f>_xlfn.IFNA(INDEX('HS Codes'!$D$2:$K3562,MATCH($B1008,'HS Codes'!$A$2:$A3562,0),MATCH(L$1,'HS Codes'!$D$1:$K$1,0)),"")</f>
        <v>63029120</v>
      </c>
      <c r="M1008" s="8" t="str">
        <f>_xlfn.IFNA(INDEX('HS Codes'!$C$2:$C3562,MATCH($B1008,'HS Codes'!$A$2:$A3562,0)),"")</f>
        <v>Bath Towel - Toilet Linen 100% recycled 340 GSM/83% polyester/17% polyamide (no cotton)</v>
      </c>
      <c r="N1008" s="9"/>
      <c r="O1008" s="9"/>
      <c r="P1008" s="9"/>
      <c r="Q1008" s="9"/>
    </row>
    <row r="1009" spans="1:17" ht="15.75" customHeight="1">
      <c r="A1009" s="7" t="s">
        <v>1301</v>
      </c>
      <c r="B1009" s="7" t="s">
        <v>172</v>
      </c>
      <c r="C1009" s="7" t="s">
        <v>278</v>
      </c>
      <c r="D1009" s="7" t="s">
        <v>173</v>
      </c>
      <c r="E1009" s="7" t="s">
        <v>377</v>
      </c>
      <c r="F1009" s="8" t="str">
        <f>_xlfn.IFNA(INDEX('HS Codes'!$D$2:$K3563,MATCH($B1009,'HS Codes'!$A$2:$A3563,0),MATCH(F$1,'HS Codes'!$D$1:$K$1,0)),"")</f>
        <v>6302.93.2000</v>
      </c>
      <c r="G1009" s="8">
        <f>_xlfn.IFNA(INDEX('HS Codes'!$D$2:$K3563,MATCH($B1009,'HS Codes'!$A$2:$A3563,0),MATCH(G$1,'HS Codes'!$D$1:$K$1,0)),"")</f>
        <v>6302600090</v>
      </c>
      <c r="H1009" s="8" t="str">
        <f>_xlfn.IFNA(INDEX('HS Codes'!$D$2:$K3563,MATCH($B1009,'HS Codes'!$A$2:$A3563,0),MATCH(H$1,'HS Codes'!$D$1:$K$1,0)),"")</f>
        <v>6302.93.00.00</v>
      </c>
      <c r="I1009" s="8">
        <f>_xlfn.IFNA(INDEX('HS Codes'!$D$2:$K3563,MATCH($B1009,'HS Codes'!$A$2:$A3563,0),MATCH(I$1,'HS Codes'!$D$1:$K$1,0)),"")</f>
        <v>6302939000</v>
      </c>
      <c r="J1009" s="8">
        <f>_xlfn.IFNA(INDEX('HS Codes'!$D$2:$K3563,MATCH($B1009,'HS Codes'!$A$2:$A3563,0),MATCH(J$1,'HS Codes'!$D$1:$K$1,0)),"")</f>
        <v>0</v>
      </c>
      <c r="K1009" s="8" t="str">
        <f>_xlfn.IFNA(INDEX('HS Codes'!$D$2:$K3563,MATCH($B1009,'HS Codes'!$A$2:$A3563,0),MATCH(K$1,'HS Codes'!$D$1:$K$1,0)),"")</f>
        <v>6302.39.00</v>
      </c>
      <c r="L1009" s="8">
        <f>_xlfn.IFNA(INDEX('HS Codes'!$D$2:$K3563,MATCH($B1009,'HS Codes'!$A$2:$A3563,0),MATCH(L$1,'HS Codes'!$D$1:$K$1,0)),"")</f>
        <v>63029120</v>
      </c>
      <c r="M1009" s="8" t="str">
        <f>_xlfn.IFNA(INDEX('HS Codes'!$C$2:$C3563,MATCH($B1009,'HS Codes'!$A$2:$A3563,0)),"")</f>
        <v>Bath Towel - Toilet Linen 100% recycled 340 GSM/83% polyester/17% polyamide (no cotton)</v>
      </c>
      <c r="N1009" s="9"/>
      <c r="O1009" s="9"/>
      <c r="P1009" s="9"/>
      <c r="Q1009" s="9"/>
    </row>
    <row r="1010" spans="1:17" ht="15.75" customHeight="1">
      <c r="A1010" s="7" t="s">
        <v>1302</v>
      </c>
      <c r="B1010" s="7" t="s">
        <v>172</v>
      </c>
      <c r="C1010" s="7" t="s">
        <v>278</v>
      </c>
      <c r="D1010" s="7" t="s">
        <v>173</v>
      </c>
      <c r="E1010" s="7" t="s">
        <v>377</v>
      </c>
      <c r="F1010" s="8" t="str">
        <f>_xlfn.IFNA(INDEX('HS Codes'!$D$2:$K3564,MATCH($B1010,'HS Codes'!$A$2:$A3564,0),MATCH(F$1,'HS Codes'!$D$1:$K$1,0)),"")</f>
        <v>6302.93.2000</v>
      </c>
      <c r="G1010" s="8">
        <f>_xlfn.IFNA(INDEX('HS Codes'!$D$2:$K3564,MATCH($B1010,'HS Codes'!$A$2:$A3564,0),MATCH(G$1,'HS Codes'!$D$1:$K$1,0)),"")</f>
        <v>6302600090</v>
      </c>
      <c r="H1010" s="8" t="str">
        <f>_xlfn.IFNA(INDEX('HS Codes'!$D$2:$K3564,MATCH($B1010,'HS Codes'!$A$2:$A3564,0),MATCH(H$1,'HS Codes'!$D$1:$K$1,0)),"")</f>
        <v>6302.93.00.00</v>
      </c>
      <c r="I1010" s="8">
        <f>_xlfn.IFNA(INDEX('HS Codes'!$D$2:$K3564,MATCH($B1010,'HS Codes'!$A$2:$A3564,0),MATCH(I$1,'HS Codes'!$D$1:$K$1,0)),"")</f>
        <v>6302939000</v>
      </c>
      <c r="J1010" s="8">
        <f>_xlfn.IFNA(INDEX('HS Codes'!$D$2:$K3564,MATCH($B1010,'HS Codes'!$A$2:$A3564,0),MATCH(J$1,'HS Codes'!$D$1:$K$1,0)),"")</f>
        <v>0</v>
      </c>
      <c r="K1010" s="8" t="str">
        <f>_xlfn.IFNA(INDEX('HS Codes'!$D$2:$K3564,MATCH($B1010,'HS Codes'!$A$2:$A3564,0),MATCH(K$1,'HS Codes'!$D$1:$K$1,0)),"")</f>
        <v>6302.39.00</v>
      </c>
      <c r="L1010" s="8">
        <f>_xlfn.IFNA(INDEX('HS Codes'!$D$2:$K3564,MATCH($B1010,'HS Codes'!$A$2:$A3564,0),MATCH(L$1,'HS Codes'!$D$1:$K$1,0)),"")</f>
        <v>63029120</v>
      </c>
      <c r="M1010" s="8" t="str">
        <f>_xlfn.IFNA(INDEX('HS Codes'!$C$2:$C3564,MATCH($B1010,'HS Codes'!$A$2:$A3564,0)),"")</f>
        <v>Bath Towel - Toilet Linen 100% recycled 340 GSM/83% polyester/17% polyamide (no cotton)</v>
      </c>
      <c r="N1010" s="9"/>
      <c r="O1010" s="9"/>
      <c r="P1010" s="9"/>
      <c r="Q1010" s="9"/>
    </row>
    <row r="1011" spans="1:17" ht="15.75" customHeight="1">
      <c r="A1011" s="7" t="s">
        <v>1303</v>
      </c>
      <c r="B1011" s="7" t="s">
        <v>172</v>
      </c>
      <c r="C1011" s="7" t="s">
        <v>278</v>
      </c>
      <c r="D1011" s="7" t="s">
        <v>173</v>
      </c>
      <c r="E1011" s="7" t="s">
        <v>377</v>
      </c>
      <c r="F1011" s="8" t="str">
        <f>_xlfn.IFNA(INDEX('HS Codes'!$D$2:$K3565,MATCH($B1011,'HS Codes'!$A$2:$A3565,0),MATCH(F$1,'HS Codes'!$D$1:$K$1,0)),"")</f>
        <v>6302.93.2000</v>
      </c>
      <c r="G1011" s="8">
        <f>_xlfn.IFNA(INDEX('HS Codes'!$D$2:$K3565,MATCH($B1011,'HS Codes'!$A$2:$A3565,0),MATCH(G$1,'HS Codes'!$D$1:$K$1,0)),"")</f>
        <v>6302600090</v>
      </c>
      <c r="H1011" s="8" t="str">
        <f>_xlfn.IFNA(INDEX('HS Codes'!$D$2:$K3565,MATCH($B1011,'HS Codes'!$A$2:$A3565,0),MATCH(H$1,'HS Codes'!$D$1:$K$1,0)),"")</f>
        <v>6302.93.00.00</v>
      </c>
      <c r="I1011" s="8">
        <f>_xlfn.IFNA(INDEX('HS Codes'!$D$2:$K3565,MATCH($B1011,'HS Codes'!$A$2:$A3565,0),MATCH(I$1,'HS Codes'!$D$1:$K$1,0)),"")</f>
        <v>6302939000</v>
      </c>
      <c r="J1011" s="8">
        <f>_xlfn.IFNA(INDEX('HS Codes'!$D$2:$K3565,MATCH($B1011,'HS Codes'!$A$2:$A3565,0),MATCH(J$1,'HS Codes'!$D$1:$K$1,0)),"")</f>
        <v>0</v>
      </c>
      <c r="K1011" s="8" t="str">
        <f>_xlfn.IFNA(INDEX('HS Codes'!$D$2:$K3565,MATCH($B1011,'HS Codes'!$A$2:$A3565,0),MATCH(K$1,'HS Codes'!$D$1:$K$1,0)),"")</f>
        <v>6302.39.00</v>
      </c>
      <c r="L1011" s="8">
        <f>_xlfn.IFNA(INDEX('HS Codes'!$D$2:$K3565,MATCH($B1011,'HS Codes'!$A$2:$A3565,0),MATCH(L$1,'HS Codes'!$D$1:$K$1,0)),"")</f>
        <v>63029120</v>
      </c>
      <c r="M1011" s="8" t="str">
        <f>_xlfn.IFNA(INDEX('HS Codes'!$C$2:$C3565,MATCH($B1011,'HS Codes'!$A$2:$A3565,0)),"")</f>
        <v>Bath Towel - Toilet Linen 100% recycled 340 GSM/83% polyester/17% polyamide (no cotton)</v>
      </c>
      <c r="N1011" s="9"/>
      <c r="O1011" s="9"/>
      <c r="P1011" s="9"/>
      <c r="Q1011" s="9"/>
    </row>
    <row r="1012" spans="1:17" ht="15.75" customHeight="1">
      <c r="A1012" s="7" t="s">
        <v>1304</v>
      </c>
      <c r="B1012" s="7" t="s">
        <v>172</v>
      </c>
      <c r="C1012" s="7" t="s">
        <v>278</v>
      </c>
      <c r="D1012" s="7" t="s">
        <v>173</v>
      </c>
      <c r="E1012" s="7" t="s">
        <v>377</v>
      </c>
      <c r="F1012" s="8" t="str">
        <f>_xlfn.IFNA(INDEX('HS Codes'!$D$2:$K3566,MATCH($B1012,'HS Codes'!$A$2:$A3566,0),MATCH(F$1,'HS Codes'!$D$1:$K$1,0)),"")</f>
        <v>6302.93.2000</v>
      </c>
      <c r="G1012" s="8">
        <f>_xlfn.IFNA(INDEX('HS Codes'!$D$2:$K3566,MATCH($B1012,'HS Codes'!$A$2:$A3566,0),MATCH(G$1,'HS Codes'!$D$1:$K$1,0)),"")</f>
        <v>6302600090</v>
      </c>
      <c r="H1012" s="8" t="str">
        <f>_xlfn.IFNA(INDEX('HS Codes'!$D$2:$K3566,MATCH($B1012,'HS Codes'!$A$2:$A3566,0),MATCH(H$1,'HS Codes'!$D$1:$K$1,0)),"")</f>
        <v>6302.93.00.00</v>
      </c>
      <c r="I1012" s="8">
        <f>_xlfn.IFNA(INDEX('HS Codes'!$D$2:$K3566,MATCH($B1012,'HS Codes'!$A$2:$A3566,0),MATCH(I$1,'HS Codes'!$D$1:$K$1,0)),"")</f>
        <v>6302939000</v>
      </c>
      <c r="J1012" s="8">
        <f>_xlfn.IFNA(INDEX('HS Codes'!$D$2:$K3566,MATCH($B1012,'HS Codes'!$A$2:$A3566,0),MATCH(J$1,'HS Codes'!$D$1:$K$1,0)),"")</f>
        <v>0</v>
      </c>
      <c r="K1012" s="8" t="str">
        <f>_xlfn.IFNA(INDEX('HS Codes'!$D$2:$K3566,MATCH($B1012,'HS Codes'!$A$2:$A3566,0),MATCH(K$1,'HS Codes'!$D$1:$K$1,0)),"")</f>
        <v>6302.39.00</v>
      </c>
      <c r="L1012" s="8">
        <f>_xlfn.IFNA(INDEX('HS Codes'!$D$2:$K3566,MATCH($B1012,'HS Codes'!$A$2:$A3566,0),MATCH(L$1,'HS Codes'!$D$1:$K$1,0)),"")</f>
        <v>63029120</v>
      </c>
      <c r="M1012" s="8" t="str">
        <f>_xlfn.IFNA(INDEX('HS Codes'!$C$2:$C3566,MATCH($B1012,'HS Codes'!$A$2:$A3566,0)),"")</f>
        <v>Bath Towel - Toilet Linen 100% recycled 340 GSM/83% polyester/17% polyamide (no cotton)</v>
      </c>
      <c r="N1012" s="9"/>
      <c r="O1012" s="9"/>
      <c r="P1012" s="9"/>
      <c r="Q1012" s="9"/>
    </row>
    <row r="1013" spans="1:17" ht="15.75" customHeight="1">
      <c r="A1013" s="7" t="s">
        <v>1305</v>
      </c>
      <c r="B1013" s="7" t="s">
        <v>172</v>
      </c>
      <c r="C1013" s="7" t="s">
        <v>278</v>
      </c>
      <c r="D1013" s="7" t="s">
        <v>173</v>
      </c>
      <c r="E1013" s="7" t="s">
        <v>377</v>
      </c>
      <c r="F1013" s="8" t="str">
        <f>_xlfn.IFNA(INDEX('HS Codes'!$D$2:$K3567,MATCH($B1013,'HS Codes'!$A$2:$A3567,0),MATCH(F$1,'HS Codes'!$D$1:$K$1,0)),"")</f>
        <v>6302.93.2000</v>
      </c>
      <c r="G1013" s="8">
        <f>_xlfn.IFNA(INDEX('HS Codes'!$D$2:$K3567,MATCH($B1013,'HS Codes'!$A$2:$A3567,0),MATCH(G$1,'HS Codes'!$D$1:$K$1,0)),"")</f>
        <v>6302600090</v>
      </c>
      <c r="H1013" s="8" t="str">
        <f>_xlfn.IFNA(INDEX('HS Codes'!$D$2:$K3567,MATCH($B1013,'HS Codes'!$A$2:$A3567,0),MATCH(H$1,'HS Codes'!$D$1:$K$1,0)),"")</f>
        <v>6302.93.00.00</v>
      </c>
      <c r="I1013" s="8">
        <f>_xlfn.IFNA(INDEX('HS Codes'!$D$2:$K3567,MATCH($B1013,'HS Codes'!$A$2:$A3567,0),MATCH(I$1,'HS Codes'!$D$1:$K$1,0)),"")</f>
        <v>6302939000</v>
      </c>
      <c r="J1013" s="8">
        <f>_xlfn.IFNA(INDEX('HS Codes'!$D$2:$K3567,MATCH($B1013,'HS Codes'!$A$2:$A3567,0),MATCH(J$1,'HS Codes'!$D$1:$K$1,0)),"")</f>
        <v>0</v>
      </c>
      <c r="K1013" s="8" t="str">
        <f>_xlfn.IFNA(INDEX('HS Codes'!$D$2:$K3567,MATCH($B1013,'HS Codes'!$A$2:$A3567,0),MATCH(K$1,'HS Codes'!$D$1:$K$1,0)),"")</f>
        <v>6302.39.00</v>
      </c>
      <c r="L1013" s="8">
        <f>_xlfn.IFNA(INDEX('HS Codes'!$D$2:$K3567,MATCH($B1013,'HS Codes'!$A$2:$A3567,0),MATCH(L$1,'HS Codes'!$D$1:$K$1,0)),"")</f>
        <v>63029120</v>
      </c>
      <c r="M1013" s="8" t="str">
        <f>_xlfn.IFNA(INDEX('HS Codes'!$C$2:$C3567,MATCH($B1013,'HS Codes'!$A$2:$A3567,0)),"")</f>
        <v>Bath Towel - Toilet Linen 100% recycled 340 GSM/83% polyester/17% polyamide (no cotton)</v>
      </c>
      <c r="N1013" s="9"/>
      <c r="O1013" s="9"/>
      <c r="P1013" s="9"/>
      <c r="Q1013" s="9"/>
    </row>
    <row r="1014" spans="1:17" ht="15.75" customHeight="1">
      <c r="A1014" s="7" t="s">
        <v>1306</v>
      </c>
      <c r="B1014" s="7" t="s">
        <v>172</v>
      </c>
      <c r="C1014" s="7" t="s">
        <v>278</v>
      </c>
      <c r="D1014" s="7" t="s">
        <v>173</v>
      </c>
      <c r="E1014" s="7" t="s">
        <v>377</v>
      </c>
      <c r="F1014" s="8" t="str">
        <f>_xlfn.IFNA(INDEX('HS Codes'!$D$2:$K3568,MATCH($B1014,'HS Codes'!$A$2:$A3568,0),MATCH(F$1,'HS Codes'!$D$1:$K$1,0)),"")</f>
        <v>6302.93.2000</v>
      </c>
      <c r="G1014" s="8">
        <f>_xlfn.IFNA(INDEX('HS Codes'!$D$2:$K3568,MATCH($B1014,'HS Codes'!$A$2:$A3568,0),MATCH(G$1,'HS Codes'!$D$1:$K$1,0)),"")</f>
        <v>6302600090</v>
      </c>
      <c r="H1014" s="8" t="str">
        <f>_xlfn.IFNA(INDEX('HS Codes'!$D$2:$K3568,MATCH($B1014,'HS Codes'!$A$2:$A3568,0),MATCH(H$1,'HS Codes'!$D$1:$K$1,0)),"")</f>
        <v>6302.93.00.00</v>
      </c>
      <c r="I1014" s="8">
        <f>_xlfn.IFNA(INDEX('HS Codes'!$D$2:$K3568,MATCH($B1014,'HS Codes'!$A$2:$A3568,0),MATCH(I$1,'HS Codes'!$D$1:$K$1,0)),"")</f>
        <v>6302939000</v>
      </c>
      <c r="J1014" s="8">
        <f>_xlfn.IFNA(INDEX('HS Codes'!$D$2:$K3568,MATCH($B1014,'HS Codes'!$A$2:$A3568,0),MATCH(J$1,'HS Codes'!$D$1:$K$1,0)),"")</f>
        <v>0</v>
      </c>
      <c r="K1014" s="8" t="str">
        <f>_xlfn.IFNA(INDEX('HS Codes'!$D$2:$K3568,MATCH($B1014,'HS Codes'!$A$2:$A3568,0),MATCH(K$1,'HS Codes'!$D$1:$K$1,0)),"")</f>
        <v>6302.39.00</v>
      </c>
      <c r="L1014" s="8">
        <f>_xlfn.IFNA(INDEX('HS Codes'!$D$2:$K3568,MATCH($B1014,'HS Codes'!$A$2:$A3568,0),MATCH(L$1,'HS Codes'!$D$1:$K$1,0)),"")</f>
        <v>63029120</v>
      </c>
      <c r="M1014" s="8" t="str">
        <f>_xlfn.IFNA(INDEX('HS Codes'!$C$2:$C3568,MATCH($B1014,'HS Codes'!$A$2:$A3568,0)),"")</f>
        <v>Bath Towel - Toilet Linen 100% recycled 340 GSM/83% polyester/17% polyamide (no cotton)</v>
      </c>
      <c r="N1014" s="9"/>
      <c r="O1014" s="9"/>
      <c r="P1014" s="9"/>
      <c r="Q1014" s="9"/>
    </row>
    <row r="1015" spans="1:17" ht="15.75" customHeight="1">
      <c r="A1015" s="7" t="s">
        <v>1307</v>
      </c>
      <c r="B1015" s="7" t="s">
        <v>169</v>
      </c>
      <c r="C1015" s="7" t="s">
        <v>278</v>
      </c>
      <c r="D1015" s="7" t="s">
        <v>170</v>
      </c>
      <c r="E1015" s="7" t="s">
        <v>348</v>
      </c>
      <c r="F1015" s="8" t="str">
        <f>_xlfn.IFNA(INDEX('HS Codes'!$D$2:$K3569,MATCH($B1015,'HS Codes'!$A$2:$A3569,0),MATCH(F$1,'HS Codes'!$D$1:$K$1,0)),"")</f>
        <v>6302.93.2000</v>
      </c>
      <c r="G1015" s="8">
        <f>_xlfn.IFNA(INDEX('HS Codes'!$D$2:$K3569,MATCH($B1015,'HS Codes'!$A$2:$A3569,0),MATCH(G$1,'HS Codes'!$D$1:$K$1,0)),"")</f>
        <v>6302600090</v>
      </c>
      <c r="H1015" s="8" t="str">
        <f>_xlfn.IFNA(INDEX('HS Codes'!$D$2:$K3569,MATCH($B1015,'HS Codes'!$A$2:$A3569,0),MATCH(H$1,'HS Codes'!$D$1:$K$1,0)),"")</f>
        <v>6302.93.00.00</v>
      </c>
      <c r="I1015" s="8">
        <f>_xlfn.IFNA(INDEX('HS Codes'!$D$2:$K3569,MATCH($B1015,'HS Codes'!$A$2:$A3569,0),MATCH(I$1,'HS Codes'!$D$1:$K$1,0)),"")</f>
        <v>6302939000</v>
      </c>
      <c r="J1015" s="8">
        <f>_xlfn.IFNA(INDEX('HS Codes'!$D$2:$K3569,MATCH($B1015,'HS Codes'!$A$2:$A3569,0),MATCH(J$1,'HS Codes'!$D$1:$K$1,0)),"")</f>
        <v>0</v>
      </c>
      <c r="K1015" s="8" t="str">
        <f>_xlfn.IFNA(INDEX('HS Codes'!$D$2:$K3569,MATCH($B1015,'HS Codes'!$A$2:$A3569,0),MATCH(K$1,'HS Codes'!$D$1:$K$1,0)),"")</f>
        <v>6302.39.00</v>
      </c>
      <c r="L1015" s="8">
        <f>_xlfn.IFNA(INDEX('HS Codes'!$D$2:$K3569,MATCH($B1015,'HS Codes'!$A$2:$A3569,0),MATCH(L$1,'HS Codes'!$D$1:$K$1,0)),"")</f>
        <v>63029120</v>
      </c>
      <c r="M1015" s="8" t="str">
        <f>_xlfn.IFNA(INDEX('HS Codes'!$C$2:$C3569,MATCH($B1015,'HS Codes'!$A$2:$A3569,0)),"")</f>
        <v>Fitness Towels - Toilet Linen 100% recycled 220 GSM/83% polyester/17% polyamide (no cotton)</v>
      </c>
      <c r="N1015" s="9"/>
      <c r="O1015" s="9"/>
      <c r="P1015" s="9"/>
      <c r="Q1015" s="9"/>
    </row>
    <row r="1016" spans="1:17" ht="15.75" customHeight="1">
      <c r="A1016" s="7" t="s">
        <v>1308</v>
      </c>
      <c r="B1016" s="7" t="s">
        <v>169</v>
      </c>
      <c r="C1016" s="7" t="s">
        <v>278</v>
      </c>
      <c r="D1016" s="7" t="s">
        <v>170</v>
      </c>
      <c r="E1016" s="7" t="s">
        <v>348</v>
      </c>
      <c r="F1016" s="8" t="str">
        <f>_xlfn.IFNA(INDEX('HS Codes'!$D$2:$K3570,MATCH($B1016,'HS Codes'!$A$2:$A3570,0),MATCH(F$1,'HS Codes'!$D$1:$K$1,0)),"")</f>
        <v>6302.93.2000</v>
      </c>
      <c r="G1016" s="8">
        <f>_xlfn.IFNA(INDEX('HS Codes'!$D$2:$K3570,MATCH($B1016,'HS Codes'!$A$2:$A3570,0),MATCH(G$1,'HS Codes'!$D$1:$K$1,0)),"")</f>
        <v>6302600090</v>
      </c>
      <c r="H1016" s="8" t="str">
        <f>_xlfn.IFNA(INDEX('HS Codes'!$D$2:$K3570,MATCH($B1016,'HS Codes'!$A$2:$A3570,0),MATCH(H$1,'HS Codes'!$D$1:$K$1,0)),"")</f>
        <v>6302.93.00.00</v>
      </c>
      <c r="I1016" s="8">
        <f>_xlfn.IFNA(INDEX('HS Codes'!$D$2:$K3570,MATCH($B1016,'HS Codes'!$A$2:$A3570,0),MATCH(I$1,'HS Codes'!$D$1:$K$1,0)),"")</f>
        <v>6302939000</v>
      </c>
      <c r="J1016" s="8">
        <f>_xlfn.IFNA(INDEX('HS Codes'!$D$2:$K3570,MATCH($B1016,'HS Codes'!$A$2:$A3570,0),MATCH(J$1,'HS Codes'!$D$1:$K$1,0)),"")</f>
        <v>0</v>
      </c>
      <c r="K1016" s="8" t="str">
        <f>_xlfn.IFNA(INDEX('HS Codes'!$D$2:$K3570,MATCH($B1016,'HS Codes'!$A$2:$A3570,0),MATCH(K$1,'HS Codes'!$D$1:$K$1,0)),"")</f>
        <v>6302.39.00</v>
      </c>
      <c r="L1016" s="8">
        <f>_xlfn.IFNA(INDEX('HS Codes'!$D$2:$K3570,MATCH($B1016,'HS Codes'!$A$2:$A3570,0),MATCH(L$1,'HS Codes'!$D$1:$K$1,0)),"")</f>
        <v>63029120</v>
      </c>
      <c r="M1016" s="8" t="str">
        <f>_xlfn.IFNA(INDEX('HS Codes'!$C$2:$C3570,MATCH($B1016,'HS Codes'!$A$2:$A3570,0)),"")</f>
        <v>Fitness Towels - Toilet Linen 100% recycled 220 GSM/83% polyester/17% polyamide (no cotton)</v>
      </c>
      <c r="N1016" s="9"/>
      <c r="O1016" s="9"/>
      <c r="P1016" s="9"/>
      <c r="Q1016" s="9"/>
    </row>
    <row r="1017" spans="1:17" ht="15.75" customHeight="1">
      <c r="A1017" s="7" t="s">
        <v>1309</v>
      </c>
      <c r="B1017" s="7" t="s">
        <v>169</v>
      </c>
      <c r="C1017" s="7" t="s">
        <v>278</v>
      </c>
      <c r="D1017" s="7" t="s">
        <v>170</v>
      </c>
      <c r="E1017" s="7" t="s">
        <v>348</v>
      </c>
      <c r="F1017" s="8" t="str">
        <f>_xlfn.IFNA(INDEX('HS Codes'!$D$2:$K3571,MATCH($B1017,'HS Codes'!$A$2:$A3571,0),MATCH(F$1,'HS Codes'!$D$1:$K$1,0)),"")</f>
        <v>6302.93.2000</v>
      </c>
      <c r="G1017" s="8">
        <f>_xlfn.IFNA(INDEX('HS Codes'!$D$2:$K3571,MATCH($B1017,'HS Codes'!$A$2:$A3571,0),MATCH(G$1,'HS Codes'!$D$1:$K$1,0)),"")</f>
        <v>6302600090</v>
      </c>
      <c r="H1017" s="8" t="str">
        <f>_xlfn.IFNA(INDEX('HS Codes'!$D$2:$K3571,MATCH($B1017,'HS Codes'!$A$2:$A3571,0),MATCH(H$1,'HS Codes'!$D$1:$K$1,0)),"")</f>
        <v>6302.93.00.00</v>
      </c>
      <c r="I1017" s="8">
        <f>_xlfn.IFNA(INDEX('HS Codes'!$D$2:$K3571,MATCH($B1017,'HS Codes'!$A$2:$A3571,0),MATCH(I$1,'HS Codes'!$D$1:$K$1,0)),"")</f>
        <v>6302939000</v>
      </c>
      <c r="J1017" s="8">
        <f>_xlfn.IFNA(INDEX('HS Codes'!$D$2:$K3571,MATCH($B1017,'HS Codes'!$A$2:$A3571,0),MATCH(J$1,'HS Codes'!$D$1:$K$1,0)),"")</f>
        <v>0</v>
      </c>
      <c r="K1017" s="8" t="str">
        <f>_xlfn.IFNA(INDEX('HS Codes'!$D$2:$K3571,MATCH($B1017,'HS Codes'!$A$2:$A3571,0),MATCH(K$1,'HS Codes'!$D$1:$K$1,0)),"")</f>
        <v>6302.39.00</v>
      </c>
      <c r="L1017" s="8">
        <f>_xlfn.IFNA(INDEX('HS Codes'!$D$2:$K3571,MATCH($B1017,'HS Codes'!$A$2:$A3571,0),MATCH(L$1,'HS Codes'!$D$1:$K$1,0)),"")</f>
        <v>63029120</v>
      </c>
      <c r="M1017" s="8" t="str">
        <f>_xlfn.IFNA(INDEX('HS Codes'!$C$2:$C3571,MATCH($B1017,'HS Codes'!$A$2:$A3571,0)),"")</f>
        <v>Fitness Towels - Toilet Linen 100% recycled 220 GSM/83% polyester/17% polyamide (no cotton)</v>
      </c>
      <c r="N1017" s="9"/>
      <c r="O1017" s="9"/>
      <c r="P1017" s="9"/>
      <c r="Q1017" s="9"/>
    </row>
    <row r="1018" spans="1:17" ht="15.75" customHeight="1">
      <c r="A1018" s="7" t="s">
        <v>1310</v>
      </c>
      <c r="B1018" s="7" t="s">
        <v>169</v>
      </c>
      <c r="C1018" s="7" t="s">
        <v>278</v>
      </c>
      <c r="D1018" s="7" t="s">
        <v>170</v>
      </c>
      <c r="E1018" s="7" t="s">
        <v>348</v>
      </c>
      <c r="F1018" s="8" t="str">
        <f>_xlfn.IFNA(INDEX('HS Codes'!$D$2:$K3572,MATCH($B1018,'HS Codes'!$A$2:$A3572,0),MATCH(F$1,'HS Codes'!$D$1:$K$1,0)),"")</f>
        <v>6302.93.2000</v>
      </c>
      <c r="G1018" s="8">
        <f>_xlfn.IFNA(INDEX('HS Codes'!$D$2:$K3572,MATCH($B1018,'HS Codes'!$A$2:$A3572,0),MATCH(G$1,'HS Codes'!$D$1:$K$1,0)),"")</f>
        <v>6302600090</v>
      </c>
      <c r="H1018" s="8" t="str">
        <f>_xlfn.IFNA(INDEX('HS Codes'!$D$2:$K3572,MATCH($B1018,'HS Codes'!$A$2:$A3572,0),MATCH(H$1,'HS Codes'!$D$1:$K$1,0)),"")</f>
        <v>6302.93.00.00</v>
      </c>
      <c r="I1018" s="8">
        <f>_xlfn.IFNA(INDEX('HS Codes'!$D$2:$K3572,MATCH($B1018,'HS Codes'!$A$2:$A3572,0),MATCH(I$1,'HS Codes'!$D$1:$K$1,0)),"")</f>
        <v>6302939000</v>
      </c>
      <c r="J1018" s="8">
        <f>_xlfn.IFNA(INDEX('HS Codes'!$D$2:$K3572,MATCH($B1018,'HS Codes'!$A$2:$A3572,0),MATCH(J$1,'HS Codes'!$D$1:$K$1,0)),"")</f>
        <v>0</v>
      </c>
      <c r="K1018" s="8" t="str">
        <f>_xlfn.IFNA(INDEX('HS Codes'!$D$2:$K3572,MATCH($B1018,'HS Codes'!$A$2:$A3572,0),MATCH(K$1,'HS Codes'!$D$1:$K$1,0)),"")</f>
        <v>6302.39.00</v>
      </c>
      <c r="L1018" s="8">
        <f>_xlfn.IFNA(INDEX('HS Codes'!$D$2:$K3572,MATCH($B1018,'HS Codes'!$A$2:$A3572,0),MATCH(L$1,'HS Codes'!$D$1:$K$1,0)),"")</f>
        <v>63029120</v>
      </c>
      <c r="M1018" s="8" t="str">
        <f>_xlfn.IFNA(INDEX('HS Codes'!$C$2:$C3572,MATCH($B1018,'HS Codes'!$A$2:$A3572,0)),"")</f>
        <v>Fitness Towels - Toilet Linen 100% recycled 220 GSM/83% polyester/17% polyamide (no cotton)</v>
      </c>
      <c r="N1018" s="9"/>
      <c r="O1018" s="9"/>
      <c r="P1018" s="9"/>
      <c r="Q1018" s="9"/>
    </row>
    <row r="1019" spans="1:17" ht="15.75" customHeight="1">
      <c r="A1019" s="7" t="s">
        <v>1311</v>
      </c>
      <c r="B1019" s="7" t="s">
        <v>169</v>
      </c>
      <c r="C1019" s="7" t="s">
        <v>278</v>
      </c>
      <c r="D1019" s="7" t="s">
        <v>170</v>
      </c>
      <c r="E1019" s="7" t="s">
        <v>348</v>
      </c>
      <c r="F1019" s="8" t="str">
        <f>_xlfn.IFNA(INDEX('HS Codes'!$D$2:$K3573,MATCH($B1019,'HS Codes'!$A$2:$A3573,0),MATCH(F$1,'HS Codes'!$D$1:$K$1,0)),"")</f>
        <v>6302.93.2000</v>
      </c>
      <c r="G1019" s="8">
        <f>_xlfn.IFNA(INDEX('HS Codes'!$D$2:$K3573,MATCH($B1019,'HS Codes'!$A$2:$A3573,0),MATCH(G$1,'HS Codes'!$D$1:$K$1,0)),"")</f>
        <v>6302600090</v>
      </c>
      <c r="H1019" s="8" t="str">
        <f>_xlfn.IFNA(INDEX('HS Codes'!$D$2:$K3573,MATCH($B1019,'HS Codes'!$A$2:$A3573,0),MATCH(H$1,'HS Codes'!$D$1:$K$1,0)),"")</f>
        <v>6302.93.00.00</v>
      </c>
      <c r="I1019" s="8">
        <f>_xlfn.IFNA(INDEX('HS Codes'!$D$2:$K3573,MATCH($B1019,'HS Codes'!$A$2:$A3573,0),MATCH(I$1,'HS Codes'!$D$1:$K$1,0)),"")</f>
        <v>6302939000</v>
      </c>
      <c r="J1019" s="8">
        <f>_xlfn.IFNA(INDEX('HS Codes'!$D$2:$K3573,MATCH($B1019,'HS Codes'!$A$2:$A3573,0),MATCH(J$1,'HS Codes'!$D$1:$K$1,0)),"")</f>
        <v>0</v>
      </c>
      <c r="K1019" s="8" t="str">
        <f>_xlfn.IFNA(INDEX('HS Codes'!$D$2:$K3573,MATCH($B1019,'HS Codes'!$A$2:$A3573,0),MATCH(K$1,'HS Codes'!$D$1:$K$1,0)),"")</f>
        <v>6302.39.00</v>
      </c>
      <c r="L1019" s="8">
        <f>_xlfn.IFNA(INDEX('HS Codes'!$D$2:$K3573,MATCH($B1019,'HS Codes'!$A$2:$A3573,0),MATCH(L$1,'HS Codes'!$D$1:$K$1,0)),"")</f>
        <v>63029120</v>
      </c>
      <c r="M1019" s="8" t="str">
        <f>_xlfn.IFNA(INDEX('HS Codes'!$C$2:$C3573,MATCH($B1019,'HS Codes'!$A$2:$A3573,0)),"")</f>
        <v>Fitness Towels - Toilet Linen 100% recycled 220 GSM/83% polyester/17% polyamide (no cotton)</v>
      </c>
      <c r="N1019" s="9"/>
      <c r="O1019" s="9"/>
      <c r="P1019" s="9"/>
      <c r="Q1019" s="9"/>
    </row>
    <row r="1020" spans="1:17" ht="15.75" customHeight="1">
      <c r="A1020" s="7" t="s">
        <v>1312</v>
      </c>
      <c r="B1020" s="7" t="s">
        <v>169</v>
      </c>
      <c r="C1020" s="7" t="s">
        <v>278</v>
      </c>
      <c r="D1020" s="7" t="s">
        <v>170</v>
      </c>
      <c r="E1020" s="7" t="s">
        <v>348</v>
      </c>
      <c r="F1020" s="8" t="str">
        <f>_xlfn.IFNA(INDEX('HS Codes'!$D$2:$K3574,MATCH($B1020,'HS Codes'!$A$2:$A3574,0),MATCH(F$1,'HS Codes'!$D$1:$K$1,0)),"")</f>
        <v>6302.93.2000</v>
      </c>
      <c r="G1020" s="8">
        <f>_xlfn.IFNA(INDEX('HS Codes'!$D$2:$K3574,MATCH($B1020,'HS Codes'!$A$2:$A3574,0),MATCH(G$1,'HS Codes'!$D$1:$K$1,0)),"")</f>
        <v>6302600090</v>
      </c>
      <c r="H1020" s="8" t="str">
        <f>_xlfn.IFNA(INDEX('HS Codes'!$D$2:$K3574,MATCH($B1020,'HS Codes'!$A$2:$A3574,0),MATCH(H$1,'HS Codes'!$D$1:$K$1,0)),"")</f>
        <v>6302.93.00.00</v>
      </c>
      <c r="I1020" s="8">
        <f>_xlfn.IFNA(INDEX('HS Codes'!$D$2:$K3574,MATCH($B1020,'HS Codes'!$A$2:$A3574,0),MATCH(I$1,'HS Codes'!$D$1:$K$1,0)),"")</f>
        <v>6302939000</v>
      </c>
      <c r="J1020" s="8">
        <f>_xlfn.IFNA(INDEX('HS Codes'!$D$2:$K3574,MATCH($B1020,'HS Codes'!$A$2:$A3574,0),MATCH(J$1,'HS Codes'!$D$1:$K$1,0)),"")</f>
        <v>0</v>
      </c>
      <c r="K1020" s="8" t="str">
        <f>_xlfn.IFNA(INDEX('HS Codes'!$D$2:$K3574,MATCH($B1020,'HS Codes'!$A$2:$A3574,0),MATCH(K$1,'HS Codes'!$D$1:$K$1,0)),"")</f>
        <v>6302.39.00</v>
      </c>
      <c r="L1020" s="8">
        <f>_xlfn.IFNA(INDEX('HS Codes'!$D$2:$K3574,MATCH($B1020,'HS Codes'!$A$2:$A3574,0),MATCH(L$1,'HS Codes'!$D$1:$K$1,0)),"")</f>
        <v>63029120</v>
      </c>
      <c r="M1020" s="8" t="str">
        <f>_xlfn.IFNA(INDEX('HS Codes'!$C$2:$C3574,MATCH($B1020,'HS Codes'!$A$2:$A3574,0)),"")</f>
        <v>Fitness Towels - Toilet Linen 100% recycled 220 GSM/83% polyester/17% polyamide (no cotton)</v>
      </c>
      <c r="N1020" s="9"/>
      <c r="O1020" s="9"/>
      <c r="P1020" s="9"/>
      <c r="Q1020" s="9"/>
    </row>
    <row r="1021" spans="1:17" ht="15.75" customHeight="1">
      <c r="A1021" s="7" t="s">
        <v>1313</v>
      </c>
      <c r="B1021" s="7" t="s">
        <v>169</v>
      </c>
      <c r="C1021" s="7" t="s">
        <v>278</v>
      </c>
      <c r="D1021" s="7" t="s">
        <v>170</v>
      </c>
      <c r="E1021" s="7" t="s">
        <v>348</v>
      </c>
      <c r="F1021" s="8" t="str">
        <f>_xlfn.IFNA(INDEX('HS Codes'!$D$2:$K3575,MATCH($B1021,'HS Codes'!$A$2:$A3575,0),MATCH(F$1,'HS Codes'!$D$1:$K$1,0)),"")</f>
        <v>6302.93.2000</v>
      </c>
      <c r="G1021" s="8">
        <f>_xlfn.IFNA(INDEX('HS Codes'!$D$2:$K3575,MATCH($B1021,'HS Codes'!$A$2:$A3575,0),MATCH(G$1,'HS Codes'!$D$1:$K$1,0)),"")</f>
        <v>6302600090</v>
      </c>
      <c r="H1021" s="8" t="str">
        <f>_xlfn.IFNA(INDEX('HS Codes'!$D$2:$K3575,MATCH($B1021,'HS Codes'!$A$2:$A3575,0),MATCH(H$1,'HS Codes'!$D$1:$K$1,0)),"")</f>
        <v>6302.93.00.00</v>
      </c>
      <c r="I1021" s="8">
        <f>_xlfn.IFNA(INDEX('HS Codes'!$D$2:$K3575,MATCH($B1021,'HS Codes'!$A$2:$A3575,0),MATCH(I$1,'HS Codes'!$D$1:$K$1,0)),"")</f>
        <v>6302939000</v>
      </c>
      <c r="J1021" s="8">
        <f>_xlfn.IFNA(INDEX('HS Codes'!$D$2:$K3575,MATCH($B1021,'HS Codes'!$A$2:$A3575,0),MATCH(J$1,'HS Codes'!$D$1:$K$1,0)),"")</f>
        <v>0</v>
      </c>
      <c r="K1021" s="8" t="str">
        <f>_xlfn.IFNA(INDEX('HS Codes'!$D$2:$K3575,MATCH($B1021,'HS Codes'!$A$2:$A3575,0),MATCH(K$1,'HS Codes'!$D$1:$K$1,0)),"")</f>
        <v>6302.39.00</v>
      </c>
      <c r="L1021" s="8">
        <f>_xlfn.IFNA(INDEX('HS Codes'!$D$2:$K3575,MATCH($B1021,'HS Codes'!$A$2:$A3575,0),MATCH(L$1,'HS Codes'!$D$1:$K$1,0)),"")</f>
        <v>63029120</v>
      </c>
      <c r="M1021" s="8" t="str">
        <f>_xlfn.IFNA(INDEX('HS Codes'!$C$2:$C3575,MATCH($B1021,'HS Codes'!$A$2:$A3575,0)),"")</f>
        <v>Fitness Towels - Toilet Linen 100% recycled 220 GSM/83% polyester/17% polyamide (no cotton)</v>
      </c>
      <c r="N1021" s="9"/>
      <c r="O1021" s="9"/>
      <c r="P1021" s="9"/>
      <c r="Q1021" s="9"/>
    </row>
    <row r="1022" spans="1:17" ht="15.75" customHeight="1">
      <c r="A1022" s="7" t="s">
        <v>1314</v>
      </c>
      <c r="B1022" s="7" t="s">
        <v>169</v>
      </c>
      <c r="C1022" s="7" t="s">
        <v>278</v>
      </c>
      <c r="D1022" s="7" t="s">
        <v>170</v>
      </c>
      <c r="E1022" s="7" t="s">
        <v>348</v>
      </c>
      <c r="F1022" s="8" t="str">
        <f>_xlfn.IFNA(INDEX('HS Codes'!$D$2:$K3576,MATCH($B1022,'HS Codes'!$A$2:$A3576,0),MATCH(F$1,'HS Codes'!$D$1:$K$1,0)),"")</f>
        <v>6302.93.2000</v>
      </c>
      <c r="G1022" s="8">
        <f>_xlfn.IFNA(INDEX('HS Codes'!$D$2:$K3576,MATCH($B1022,'HS Codes'!$A$2:$A3576,0),MATCH(G$1,'HS Codes'!$D$1:$K$1,0)),"")</f>
        <v>6302600090</v>
      </c>
      <c r="H1022" s="8" t="str">
        <f>_xlfn.IFNA(INDEX('HS Codes'!$D$2:$K3576,MATCH($B1022,'HS Codes'!$A$2:$A3576,0),MATCH(H$1,'HS Codes'!$D$1:$K$1,0)),"")</f>
        <v>6302.93.00.00</v>
      </c>
      <c r="I1022" s="8">
        <f>_xlfn.IFNA(INDEX('HS Codes'!$D$2:$K3576,MATCH($B1022,'HS Codes'!$A$2:$A3576,0),MATCH(I$1,'HS Codes'!$D$1:$K$1,0)),"")</f>
        <v>6302939000</v>
      </c>
      <c r="J1022" s="8">
        <f>_xlfn.IFNA(INDEX('HS Codes'!$D$2:$K3576,MATCH($B1022,'HS Codes'!$A$2:$A3576,0),MATCH(J$1,'HS Codes'!$D$1:$K$1,0)),"")</f>
        <v>0</v>
      </c>
      <c r="K1022" s="8" t="str">
        <f>_xlfn.IFNA(INDEX('HS Codes'!$D$2:$K3576,MATCH($B1022,'HS Codes'!$A$2:$A3576,0),MATCH(K$1,'HS Codes'!$D$1:$K$1,0)),"")</f>
        <v>6302.39.00</v>
      </c>
      <c r="L1022" s="8">
        <f>_xlfn.IFNA(INDEX('HS Codes'!$D$2:$K3576,MATCH($B1022,'HS Codes'!$A$2:$A3576,0),MATCH(L$1,'HS Codes'!$D$1:$K$1,0)),"")</f>
        <v>63029120</v>
      </c>
      <c r="M1022" s="8" t="str">
        <f>_xlfn.IFNA(INDEX('HS Codes'!$C$2:$C3576,MATCH($B1022,'HS Codes'!$A$2:$A3576,0)),"")</f>
        <v>Fitness Towels - Toilet Linen 100% recycled 220 GSM/83% polyester/17% polyamide (no cotton)</v>
      </c>
      <c r="N1022" s="9"/>
      <c r="O1022" s="9"/>
      <c r="P1022" s="9"/>
      <c r="Q1022" s="9"/>
    </row>
    <row r="1023" spans="1:17" ht="15.75" customHeight="1">
      <c r="A1023" s="7" t="s">
        <v>1315</v>
      </c>
      <c r="B1023" s="7" t="s">
        <v>169</v>
      </c>
      <c r="C1023" s="7" t="s">
        <v>278</v>
      </c>
      <c r="D1023" s="7" t="s">
        <v>170</v>
      </c>
      <c r="E1023" s="7" t="s">
        <v>348</v>
      </c>
      <c r="F1023" s="8" t="str">
        <f>_xlfn.IFNA(INDEX('HS Codes'!$D$2:$K3577,MATCH($B1023,'HS Codes'!$A$2:$A3577,0),MATCH(F$1,'HS Codes'!$D$1:$K$1,0)),"")</f>
        <v>6302.93.2000</v>
      </c>
      <c r="G1023" s="8">
        <f>_xlfn.IFNA(INDEX('HS Codes'!$D$2:$K3577,MATCH($B1023,'HS Codes'!$A$2:$A3577,0),MATCH(G$1,'HS Codes'!$D$1:$K$1,0)),"")</f>
        <v>6302600090</v>
      </c>
      <c r="H1023" s="8" t="str">
        <f>_xlfn.IFNA(INDEX('HS Codes'!$D$2:$K3577,MATCH($B1023,'HS Codes'!$A$2:$A3577,0),MATCH(H$1,'HS Codes'!$D$1:$K$1,0)),"")</f>
        <v>6302.93.00.00</v>
      </c>
      <c r="I1023" s="8">
        <f>_xlfn.IFNA(INDEX('HS Codes'!$D$2:$K3577,MATCH($B1023,'HS Codes'!$A$2:$A3577,0),MATCH(I$1,'HS Codes'!$D$1:$K$1,0)),"")</f>
        <v>6302939000</v>
      </c>
      <c r="J1023" s="8">
        <f>_xlfn.IFNA(INDEX('HS Codes'!$D$2:$K3577,MATCH($B1023,'HS Codes'!$A$2:$A3577,0),MATCH(J$1,'HS Codes'!$D$1:$K$1,0)),"")</f>
        <v>0</v>
      </c>
      <c r="K1023" s="8" t="str">
        <f>_xlfn.IFNA(INDEX('HS Codes'!$D$2:$K3577,MATCH($B1023,'HS Codes'!$A$2:$A3577,0),MATCH(K$1,'HS Codes'!$D$1:$K$1,0)),"")</f>
        <v>6302.39.00</v>
      </c>
      <c r="L1023" s="8">
        <f>_xlfn.IFNA(INDEX('HS Codes'!$D$2:$K3577,MATCH($B1023,'HS Codes'!$A$2:$A3577,0),MATCH(L$1,'HS Codes'!$D$1:$K$1,0)),"")</f>
        <v>63029120</v>
      </c>
      <c r="M1023" s="8" t="str">
        <f>_xlfn.IFNA(INDEX('HS Codes'!$C$2:$C3577,MATCH($B1023,'HS Codes'!$A$2:$A3577,0)),"")</f>
        <v>Fitness Towels - Toilet Linen 100% recycled 220 GSM/83% polyester/17% polyamide (no cotton)</v>
      </c>
      <c r="N1023" s="9"/>
      <c r="O1023" s="9"/>
      <c r="P1023" s="9"/>
      <c r="Q1023" s="9"/>
    </row>
    <row r="1024" spans="1:17" ht="15.75" customHeight="1">
      <c r="A1024" s="7" t="s">
        <v>1316</v>
      </c>
      <c r="B1024" s="7" t="s">
        <v>169</v>
      </c>
      <c r="C1024" s="7" t="s">
        <v>278</v>
      </c>
      <c r="D1024" s="7" t="s">
        <v>170</v>
      </c>
      <c r="E1024" s="7" t="s">
        <v>348</v>
      </c>
      <c r="F1024" s="8" t="str">
        <f>_xlfn.IFNA(INDEX('HS Codes'!$D$2:$K3578,MATCH($B1024,'HS Codes'!$A$2:$A3578,0),MATCH(F$1,'HS Codes'!$D$1:$K$1,0)),"")</f>
        <v>6302.93.2000</v>
      </c>
      <c r="G1024" s="8">
        <f>_xlfn.IFNA(INDEX('HS Codes'!$D$2:$K3578,MATCH($B1024,'HS Codes'!$A$2:$A3578,0),MATCH(G$1,'HS Codes'!$D$1:$K$1,0)),"")</f>
        <v>6302600090</v>
      </c>
      <c r="H1024" s="8" t="str">
        <f>_xlfn.IFNA(INDEX('HS Codes'!$D$2:$K3578,MATCH($B1024,'HS Codes'!$A$2:$A3578,0),MATCH(H$1,'HS Codes'!$D$1:$K$1,0)),"")</f>
        <v>6302.93.00.00</v>
      </c>
      <c r="I1024" s="8">
        <f>_xlfn.IFNA(INDEX('HS Codes'!$D$2:$K3578,MATCH($B1024,'HS Codes'!$A$2:$A3578,0),MATCH(I$1,'HS Codes'!$D$1:$K$1,0)),"")</f>
        <v>6302939000</v>
      </c>
      <c r="J1024" s="8">
        <f>_xlfn.IFNA(INDEX('HS Codes'!$D$2:$K3578,MATCH($B1024,'HS Codes'!$A$2:$A3578,0),MATCH(J$1,'HS Codes'!$D$1:$K$1,0)),"")</f>
        <v>0</v>
      </c>
      <c r="K1024" s="8" t="str">
        <f>_xlfn.IFNA(INDEX('HS Codes'!$D$2:$K3578,MATCH($B1024,'HS Codes'!$A$2:$A3578,0),MATCH(K$1,'HS Codes'!$D$1:$K$1,0)),"")</f>
        <v>6302.39.00</v>
      </c>
      <c r="L1024" s="8">
        <f>_xlfn.IFNA(INDEX('HS Codes'!$D$2:$K3578,MATCH($B1024,'HS Codes'!$A$2:$A3578,0),MATCH(L$1,'HS Codes'!$D$1:$K$1,0)),"")</f>
        <v>63029120</v>
      </c>
      <c r="M1024" s="8" t="str">
        <f>_xlfn.IFNA(INDEX('HS Codes'!$C$2:$C3578,MATCH($B1024,'HS Codes'!$A$2:$A3578,0)),"")</f>
        <v>Fitness Towels - Toilet Linen 100% recycled 220 GSM/83% polyester/17% polyamide (no cotton)</v>
      </c>
      <c r="N1024" s="9"/>
      <c r="O1024" s="9"/>
      <c r="P1024" s="9"/>
      <c r="Q1024" s="9"/>
    </row>
    <row r="1025" spans="1:17" ht="15.75" customHeight="1">
      <c r="A1025" s="7" t="s">
        <v>1317</v>
      </c>
      <c r="B1025" s="7" t="s">
        <v>169</v>
      </c>
      <c r="C1025" s="7" t="s">
        <v>278</v>
      </c>
      <c r="D1025" s="7" t="s">
        <v>170</v>
      </c>
      <c r="E1025" s="7" t="s">
        <v>348</v>
      </c>
      <c r="F1025" s="8" t="str">
        <f>_xlfn.IFNA(INDEX('HS Codes'!$D$2:$K3579,MATCH($B1025,'HS Codes'!$A$2:$A3579,0),MATCH(F$1,'HS Codes'!$D$1:$K$1,0)),"")</f>
        <v>6302.93.2000</v>
      </c>
      <c r="G1025" s="8">
        <f>_xlfn.IFNA(INDEX('HS Codes'!$D$2:$K3579,MATCH($B1025,'HS Codes'!$A$2:$A3579,0),MATCH(G$1,'HS Codes'!$D$1:$K$1,0)),"")</f>
        <v>6302600090</v>
      </c>
      <c r="H1025" s="8" t="str">
        <f>_xlfn.IFNA(INDEX('HS Codes'!$D$2:$K3579,MATCH($B1025,'HS Codes'!$A$2:$A3579,0),MATCH(H$1,'HS Codes'!$D$1:$K$1,0)),"")</f>
        <v>6302.93.00.00</v>
      </c>
      <c r="I1025" s="8">
        <f>_xlfn.IFNA(INDEX('HS Codes'!$D$2:$K3579,MATCH($B1025,'HS Codes'!$A$2:$A3579,0),MATCH(I$1,'HS Codes'!$D$1:$K$1,0)),"")</f>
        <v>6302939000</v>
      </c>
      <c r="J1025" s="8">
        <f>_xlfn.IFNA(INDEX('HS Codes'!$D$2:$K3579,MATCH($B1025,'HS Codes'!$A$2:$A3579,0),MATCH(J$1,'HS Codes'!$D$1:$K$1,0)),"")</f>
        <v>0</v>
      </c>
      <c r="K1025" s="8" t="str">
        <f>_xlfn.IFNA(INDEX('HS Codes'!$D$2:$K3579,MATCH($B1025,'HS Codes'!$A$2:$A3579,0),MATCH(K$1,'HS Codes'!$D$1:$K$1,0)),"")</f>
        <v>6302.39.00</v>
      </c>
      <c r="L1025" s="8">
        <f>_xlfn.IFNA(INDEX('HS Codes'!$D$2:$K3579,MATCH($B1025,'HS Codes'!$A$2:$A3579,0),MATCH(L$1,'HS Codes'!$D$1:$K$1,0)),"")</f>
        <v>63029120</v>
      </c>
      <c r="M1025" s="8" t="str">
        <f>_xlfn.IFNA(INDEX('HS Codes'!$C$2:$C3579,MATCH($B1025,'HS Codes'!$A$2:$A3579,0)),"")</f>
        <v>Fitness Towels - Toilet Linen 100% recycled 220 GSM/83% polyester/17% polyamide (no cotton)</v>
      </c>
      <c r="N1025" s="9"/>
      <c r="O1025" s="9"/>
      <c r="P1025" s="9"/>
      <c r="Q1025" s="9"/>
    </row>
    <row r="1026" spans="1:17" ht="15.75" customHeight="1">
      <c r="A1026" s="7" t="s">
        <v>1318</v>
      </c>
      <c r="B1026" s="7" t="s">
        <v>169</v>
      </c>
      <c r="C1026" s="7" t="s">
        <v>278</v>
      </c>
      <c r="D1026" s="7" t="s">
        <v>170</v>
      </c>
      <c r="E1026" s="7" t="s">
        <v>348</v>
      </c>
      <c r="F1026" s="8" t="str">
        <f>_xlfn.IFNA(INDEX('HS Codes'!$D$2:$K3580,MATCH($B1026,'HS Codes'!$A$2:$A3580,0),MATCH(F$1,'HS Codes'!$D$1:$K$1,0)),"")</f>
        <v>6302.93.2000</v>
      </c>
      <c r="G1026" s="8">
        <f>_xlfn.IFNA(INDEX('HS Codes'!$D$2:$K3580,MATCH($B1026,'HS Codes'!$A$2:$A3580,0),MATCH(G$1,'HS Codes'!$D$1:$K$1,0)),"")</f>
        <v>6302600090</v>
      </c>
      <c r="H1026" s="8" t="str">
        <f>_xlfn.IFNA(INDEX('HS Codes'!$D$2:$K3580,MATCH($B1026,'HS Codes'!$A$2:$A3580,0),MATCH(H$1,'HS Codes'!$D$1:$K$1,0)),"")</f>
        <v>6302.93.00.00</v>
      </c>
      <c r="I1026" s="8">
        <f>_xlfn.IFNA(INDEX('HS Codes'!$D$2:$K3580,MATCH($B1026,'HS Codes'!$A$2:$A3580,0),MATCH(I$1,'HS Codes'!$D$1:$K$1,0)),"")</f>
        <v>6302939000</v>
      </c>
      <c r="J1026" s="8">
        <f>_xlfn.IFNA(INDEX('HS Codes'!$D$2:$K3580,MATCH($B1026,'HS Codes'!$A$2:$A3580,0),MATCH(J$1,'HS Codes'!$D$1:$K$1,0)),"")</f>
        <v>0</v>
      </c>
      <c r="K1026" s="8" t="str">
        <f>_xlfn.IFNA(INDEX('HS Codes'!$D$2:$K3580,MATCH($B1026,'HS Codes'!$A$2:$A3580,0),MATCH(K$1,'HS Codes'!$D$1:$K$1,0)),"")</f>
        <v>6302.39.00</v>
      </c>
      <c r="L1026" s="8">
        <f>_xlfn.IFNA(INDEX('HS Codes'!$D$2:$K3580,MATCH($B1026,'HS Codes'!$A$2:$A3580,0),MATCH(L$1,'HS Codes'!$D$1:$K$1,0)),"")</f>
        <v>63029120</v>
      </c>
      <c r="M1026" s="8" t="str">
        <f>_xlfn.IFNA(INDEX('HS Codes'!$C$2:$C3580,MATCH($B1026,'HS Codes'!$A$2:$A3580,0)),"")</f>
        <v>Fitness Towels - Toilet Linen 100% recycled 220 GSM/83% polyester/17% polyamide (no cotton)</v>
      </c>
      <c r="N1026" s="9"/>
      <c r="O1026" s="9"/>
      <c r="P1026" s="9"/>
      <c r="Q1026" s="9"/>
    </row>
    <row r="1027" spans="1:17" ht="15.75" customHeight="1">
      <c r="A1027" s="7" t="s">
        <v>1319</v>
      </c>
      <c r="B1027" s="7" t="s">
        <v>169</v>
      </c>
      <c r="C1027" s="7" t="s">
        <v>278</v>
      </c>
      <c r="D1027" s="7" t="s">
        <v>170</v>
      </c>
      <c r="E1027" s="7" t="s">
        <v>348</v>
      </c>
      <c r="F1027" s="8" t="str">
        <f>_xlfn.IFNA(INDEX('HS Codes'!$D$2:$K3581,MATCH($B1027,'HS Codes'!$A$2:$A3581,0),MATCH(F$1,'HS Codes'!$D$1:$K$1,0)),"")</f>
        <v>6302.93.2000</v>
      </c>
      <c r="G1027" s="8">
        <f>_xlfn.IFNA(INDEX('HS Codes'!$D$2:$K3581,MATCH($B1027,'HS Codes'!$A$2:$A3581,0),MATCH(G$1,'HS Codes'!$D$1:$K$1,0)),"")</f>
        <v>6302600090</v>
      </c>
      <c r="H1027" s="8" t="str">
        <f>_xlfn.IFNA(INDEX('HS Codes'!$D$2:$K3581,MATCH($B1027,'HS Codes'!$A$2:$A3581,0),MATCH(H$1,'HS Codes'!$D$1:$K$1,0)),"")</f>
        <v>6302.93.00.00</v>
      </c>
      <c r="I1027" s="8">
        <f>_xlfn.IFNA(INDEX('HS Codes'!$D$2:$K3581,MATCH($B1027,'HS Codes'!$A$2:$A3581,0),MATCH(I$1,'HS Codes'!$D$1:$K$1,0)),"")</f>
        <v>6302939000</v>
      </c>
      <c r="J1027" s="8">
        <f>_xlfn.IFNA(INDEX('HS Codes'!$D$2:$K3581,MATCH($B1027,'HS Codes'!$A$2:$A3581,0),MATCH(J$1,'HS Codes'!$D$1:$K$1,0)),"")</f>
        <v>0</v>
      </c>
      <c r="K1027" s="8" t="str">
        <f>_xlfn.IFNA(INDEX('HS Codes'!$D$2:$K3581,MATCH($B1027,'HS Codes'!$A$2:$A3581,0),MATCH(K$1,'HS Codes'!$D$1:$K$1,0)),"")</f>
        <v>6302.39.00</v>
      </c>
      <c r="L1027" s="8">
        <f>_xlfn.IFNA(INDEX('HS Codes'!$D$2:$K3581,MATCH($B1027,'HS Codes'!$A$2:$A3581,0),MATCH(L$1,'HS Codes'!$D$1:$K$1,0)),"")</f>
        <v>63029120</v>
      </c>
      <c r="M1027" s="8" t="str">
        <f>_xlfn.IFNA(INDEX('HS Codes'!$C$2:$C3581,MATCH($B1027,'HS Codes'!$A$2:$A3581,0)),"")</f>
        <v>Fitness Towels - Toilet Linen 100% recycled 220 GSM/83% polyester/17% polyamide (no cotton)</v>
      </c>
      <c r="N1027" s="9"/>
      <c r="O1027" s="9"/>
      <c r="P1027" s="9"/>
      <c r="Q1027" s="9"/>
    </row>
    <row r="1028" spans="1:17" ht="15.75" customHeight="1">
      <c r="A1028" s="7" t="s">
        <v>1320</v>
      </c>
      <c r="B1028" s="7" t="s">
        <v>169</v>
      </c>
      <c r="C1028" s="7" t="s">
        <v>278</v>
      </c>
      <c r="D1028" s="7" t="s">
        <v>170</v>
      </c>
      <c r="E1028" s="7" t="s">
        <v>348</v>
      </c>
      <c r="F1028" s="8" t="str">
        <f>_xlfn.IFNA(INDEX('HS Codes'!$D$2:$K3582,MATCH($B1028,'HS Codes'!$A$2:$A3582,0),MATCH(F$1,'HS Codes'!$D$1:$K$1,0)),"")</f>
        <v>6302.93.2000</v>
      </c>
      <c r="G1028" s="8">
        <f>_xlfn.IFNA(INDEX('HS Codes'!$D$2:$K3582,MATCH($B1028,'HS Codes'!$A$2:$A3582,0),MATCH(G$1,'HS Codes'!$D$1:$K$1,0)),"")</f>
        <v>6302600090</v>
      </c>
      <c r="H1028" s="8" t="str">
        <f>_xlfn.IFNA(INDEX('HS Codes'!$D$2:$K3582,MATCH($B1028,'HS Codes'!$A$2:$A3582,0),MATCH(H$1,'HS Codes'!$D$1:$K$1,0)),"")</f>
        <v>6302.93.00.00</v>
      </c>
      <c r="I1028" s="8">
        <f>_xlfn.IFNA(INDEX('HS Codes'!$D$2:$K3582,MATCH($B1028,'HS Codes'!$A$2:$A3582,0),MATCH(I$1,'HS Codes'!$D$1:$K$1,0)),"")</f>
        <v>6302939000</v>
      </c>
      <c r="J1028" s="8">
        <f>_xlfn.IFNA(INDEX('HS Codes'!$D$2:$K3582,MATCH($B1028,'HS Codes'!$A$2:$A3582,0),MATCH(J$1,'HS Codes'!$D$1:$K$1,0)),"")</f>
        <v>0</v>
      </c>
      <c r="K1028" s="8" t="str">
        <f>_xlfn.IFNA(INDEX('HS Codes'!$D$2:$K3582,MATCH($B1028,'HS Codes'!$A$2:$A3582,0),MATCH(K$1,'HS Codes'!$D$1:$K$1,0)),"")</f>
        <v>6302.39.00</v>
      </c>
      <c r="L1028" s="8">
        <f>_xlfn.IFNA(INDEX('HS Codes'!$D$2:$K3582,MATCH($B1028,'HS Codes'!$A$2:$A3582,0),MATCH(L$1,'HS Codes'!$D$1:$K$1,0)),"")</f>
        <v>63029120</v>
      </c>
      <c r="M1028" s="8" t="str">
        <f>_xlfn.IFNA(INDEX('HS Codes'!$C$2:$C3582,MATCH($B1028,'HS Codes'!$A$2:$A3582,0)),"")</f>
        <v>Fitness Towels - Toilet Linen 100% recycled 220 GSM/83% polyester/17% polyamide (no cotton)</v>
      </c>
      <c r="N1028" s="9"/>
      <c r="O1028" s="9"/>
      <c r="P1028" s="9"/>
      <c r="Q1028" s="9"/>
    </row>
    <row r="1029" spans="1:17" ht="15.75" customHeight="1">
      <c r="A1029" s="7" t="s">
        <v>1321</v>
      </c>
      <c r="B1029" s="7" t="s">
        <v>169</v>
      </c>
      <c r="C1029" s="7" t="s">
        <v>278</v>
      </c>
      <c r="D1029" s="7" t="s">
        <v>170</v>
      </c>
      <c r="E1029" s="7" t="s">
        <v>348</v>
      </c>
      <c r="F1029" s="8" t="str">
        <f>_xlfn.IFNA(INDEX('HS Codes'!$D$2:$K3583,MATCH($B1029,'HS Codes'!$A$2:$A3583,0),MATCH(F$1,'HS Codes'!$D$1:$K$1,0)),"")</f>
        <v>6302.93.2000</v>
      </c>
      <c r="G1029" s="8">
        <f>_xlfn.IFNA(INDEX('HS Codes'!$D$2:$K3583,MATCH($B1029,'HS Codes'!$A$2:$A3583,0),MATCH(G$1,'HS Codes'!$D$1:$K$1,0)),"")</f>
        <v>6302600090</v>
      </c>
      <c r="H1029" s="8" t="str">
        <f>_xlfn.IFNA(INDEX('HS Codes'!$D$2:$K3583,MATCH($B1029,'HS Codes'!$A$2:$A3583,0),MATCH(H$1,'HS Codes'!$D$1:$K$1,0)),"")</f>
        <v>6302.93.00.00</v>
      </c>
      <c r="I1029" s="8">
        <f>_xlfn.IFNA(INDEX('HS Codes'!$D$2:$K3583,MATCH($B1029,'HS Codes'!$A$2:$A3583,0),MATCH(I$1,'HS Codes'!$D$1:$K$1,0)),"")</f>
        <v>6302939000</v>
      </c>
      <c r="J1029" s="8">
        <f>_xlfn.IFNA(INDEX('HS Codes'!$D$2:$K3583,MATCH($B1029,'HS Codes'!$A$2:$A3583,0),MATCH(J$1,'HS Codes'!$D$1:$K$1,0)),"")</f>
        <v>0</v>
      </c>
      <c r="K1029" s="8" t="str">
        <f>_xlfn.IFNA(INDEX('HS Codes'!$D$2:$K3583,MATCH($B1029,'HS Codes'!$A$2:$A3583,0),MATCH(K$1,'HS Codes'!$D$1:$K$1,0)),"")</f>
        <v>6302.39.00</v>
      </c>
      <c r="L1029" s="8">
        <f>_xlfn.IFNA(INDEX('HS Codes'!$D$2:$K3583,MATCH($B1029,'HS Codes'!$A$2:$A3583,0),MATCH(L$1,'HS Codes'!$D$1:$K$1,0)),"")</f>
        <v>63029120</v>
      </c>
      <c r="M1029" s="8" t="str">
        <f>_xlfn.IFNA(INDEX('HS Codes'!$C$2:$C3583,MATCH($B1029,'HS Codes'!$A$2:$A3583,0)),"")</f>
        <v>Fitness Towels - Toilet Linen 100% recycled 220 GSM/83% polyester/17% polyamide (no cotton)</v>
      </c>
      <c r="N1029" s="9"/>
      <c r="O1029" s="9"/>
      <c r="P1029" s="9"/>
      <c r="Q1029" s="9"/>
    </row>
    <row r="1030" spans="1:17" ht="15.75" customHeight="1">
      <c r="A1030" s="7" t="s">
        <v>1322</v>
      </c>
      <c r="B1030" s="7" t="s">
        <v>169</v>
      </c>
      <c r="C1030" s="7" t="s">
        <v>278</v>
      </c>
      <c r="D1030" s="7" t="s">
        <v>170</v>
      </c>
      <c r="E1030" s="7" t="s">
        <v>348</v>
      </c>
      <c r="F1030" s="8" t="str">
        <f>_xlfn.IFNA(INDEX('HS Codes'!$D$2:$K3584,MATCH($B1030,'HS Codes'!$A$2:$A3584,0),MATCH(F$1,'HS Codes'!$D$1:$K$1,0)),"")</f>
        <v>6302.93.2000</v>
      </c>
      <c r="G1030" s="8">
        <f>_xlfn.IFNA(INDEX('HS Codes'!$D$2:$K3584,MATCH($B1030,'HS Codes'!$A$2:$A3584,0),MATCH(G$1,'HS Codes'!$D$1:$K$1,0)),"")</f>
        <v>6302600090</v>
      </c>
      <c r="H1030" s="8" t="str">
        <f>_xlfn.IFNA(INDEX('HS Codes'!$D$2:$K3584,MATCH($B1030,'HS Codes'!$A$2:$A3584,0),MATCH(H$1,'HS Codes'!$D$1:$K$1,0)),"")</f>
        <v>6302.93.00.00</v>
      </c>
      <c r="I1030" s="8">
        <f>_xlfn.IFNA(INDEX('HS Codes'!$D$2:$K3584,MATCH($B1030,'HS Codes'!$A$2:$A3584,0),MATCH(I$1,'HS Codes'!$D$1:$K$1,0)),"")</f>
        <v>6302939000</v>
      </c>
      <c r="J1030" s="8">
        <f>_xlfn.IFNA(INDEX('HS Codes'!$D$2:$K3584,MATCH($B1030,'HS Codes'!$A$2:$A3584,0),MATCH(J$1,'HS Codes'!$D$1:$K$1,0)),"")</f>
        <v>0</v>
      </c>
      <c r="K1030" s="8" t="str">
        <f>_xlfn.IFNA(INDEX('HS Codes'!$D$2:$K3584,MATCH($B1030,'HS Codes'!$A$2:$A3584,0),MATCH(K$1,'HS Codes'!$D$1:$K$1,0)),"")</f>
        <v>6302.39.00</v>
      </c>
      <c r="L1030" s="8">
        <f>_xlfn.IFNA(INDEX('HS Codes'!$D$2:$K3584,MATCH($B1030,'HS Codes'!$A$2:$A3584,0),MATCH(L$1,'HS Codes'!$D$1:$K$1,0)),"")</f>
        <v>63029120</v>
      </c>
      <c r="M1030" s="8" t="str">
        <f>_xlfn.IFNA(INDEX('HS Codes'!$C$2:$C3584,MATCH($B1030,'HS Codes'!$A$2:$A3584,0)),"")</f>
        <v>Fitness Towels - Toilet Linen 100% recycled 220 GSM/83% polyester/17% polyamide (no cotton)</v>
      </c>
      <c r="N1030" s="9"/>
      <c r="O1030" s="9"/>
      <c r="P1030" s="9"/>
      <c r="Q1030" s="9"/>
    </row>
    <row r="1031" spans="1:17" ht="15.75" customHeight="1">
      <c r="A1031" s="7" t="s">
        <v>1323</v>
      </c>
      <c r="B1031" s="7" t="s">
        <v>169</v>
      </c>
      <c r="C1031" s="7" t="s">
        <v>278</v>
      </c>
      <c r="D1031" s="7" t="s">
        <v>170</v>
      </c>
      <c r="E1031" s="7" t="s">
        <v>348</v>
      </c>
      <c r="F1031" s="8" t="str">
        <f>_xlfn.IFNA(INDEX('HS Codes'!$D$2:$K3585,MATCH($B1031,'HS Codes'!$A$2:$A3585,0),MATCH(F$1,'HS Codes'!$D$1:$K$1,0)),"")</f>
        <v>6302.93.2000</v>
      </c>
      <c r="G1031" s="8">
        <f>_xlfn.IFNA(INDEX('HS Codes'!$D$2:$K3585,MATCH($B1031,'HS Codes'!$A$2:$A3585,0),MATCH(G$1,'HS Codes'!$D$1:$K$1,0)),"")</f>
        <v>6302600090</v>
      </c>
      <c r="H1031" s="8" t="str">
        <f>_xlfn.IFNA(INDEX('HS Codes'!$D$2:$K3585,MATCH($B1031,'HS Codes'!$A$2:$A3585,0),MATCH(H$1,'HS Codes'!$D$1:$K$1,0)),"")</f>
        <v>6302.93.00.00</v>
      </c>
      <c r="I1031" s="8">
        <f>_xlfn.IFNA(INDEX('HS Codes'!$D$2:$K3585,MATCH($B1031,'HS Codes'!$A$2:$A3585,0),MATCH(I$1,'HS Codes'!$D$1:$K$1,0)),"")</f>
        <v>6302939000</v>
      </c>
      <c r="J1031" s="8">
        <f>_xlfn.IFNA(INDEX('HS Codes'!$D$2:$K3585,MATCH($B1031,'HS Codes'!$A$2:$A3585,0),MATCH(J$1,'HS Codes'!$D$1:$K$1,0)),"")</f>
        <v>0</v>
      </c>
      <c r="K1031" s="8" t="str">
        <f>_xlfn.IFNA(INDEX('HS Codes'!$D$2:$K3585,MATCH($B1031,'HS Codes'!$A$2:$A3585,0),MATCH(K$1,'HS Codes'!$D$1:$K$1,0)),"")</f>
        <v>6302.39.00</v>
      </c>
      <c r="L1031" s="8">
        <f>_xlfn.IFNA(INDEX('HS Codes'!$D$2:$K3585,MATCH($B1031,'HS Codes'!$A$2:$A3585,0),MATCH(L$1,'HS Codes'!$D$1:$K$1,0)),"")</f>
        <v>63029120</v>
      </c>
      <c r="M1031" s="8" t="str">
        <f>_xlfn.IFNA(INDEX('HS Codes'!$C$2:$C3585,MATCH($B1031,'HS Codes'!$A$2:$A3585,0)),"")</f>
        <v>Fitness Towels - Toilet Linen 100% recycled 220 GSM/83% polyester/17% polyamide (no cotton)</v>
      </c>
      <c r="N1031" s="9"/>
      <c r="O1031" s="9"/>
      <c r="P1031" s="9"/>
      <c r="Q1031" s="9"/>
    </row>
    <row r="1032" spans="1:17" ht="15.75" customHeight="1">
      <c r="A1032" s="7" t="s">
        <v>1324</v>
      </c>
      <c r="B1032" s="7" t="s">
        <v>169</v>
      </c>
      <c r="C1032" s="7" t="s">
        <v>278</v>
      </c>
      <c r="D1032" s="7" t="s">
        <v>170</v>
      </c>
      <c r="E1032" s="7" t="s">
        <v>348</v>
      </c>
      <c r="F1032" s="8" t="str">
        <f>_xlfn.IFNA(INDEX('HS Codes'!$D$2:$K3586,MATCH($B1032,'HS Codes'!$A$2:$A3586,0),MATCH(F$1,'HS Codes'!$D$1:$K$1,0)),"")</f>
        <v>6302.93.2000</v>
      </c>
      <c r="G1032" s="8">
        <f>_xlfn.IFNA(INDEX('HS Codes'!$D$2:$K3586,MATCH($B1032,'HS Codes'!$A$2:$A3586,0),MATCH(G$1,'HS Codes'!$D$1:$K$1,0)),"")</f>
        <v>6302600090</v>
      </c>
      <c r="H1032" s="8" t="str">
        <f>_xlfn.IFNA(INDEX('HS Codes'!$D$2:$K3586,MATCH($B1032,'HS Codes'!$A$2:$A3586,0),MATCH(H$1,'HS Codes'!$D$1:$K$1,0)),"")</f>
        <v>6302.93.00.00</v>
      </c>
      <c r="I1032" s="8">
        <f>_xlfn.IFNA(INDEX('HS Codes'!$D$2:$K3586,MATCH($B1032,'HS Codes'!$A$2:$A3586,0),MATCH(I$1,'HS Codes'!$D$1:$K$1,0)),"")</f>
        <v>6302939000</v>
      </c>
      <c r="J1032" s="8">
        <f>_xlfn.IFNA(INDEX('HS Codes'!$D$2:$K3586,MATCH($B1032,'HS Codes'!$A$2:$A3586,0),MATCH(J$1,'HS Codes'!$D$1:$K$1,0)),"")</f>
        <v>0</v>
      </c>
      <c r="K1032" s="8" t="str">
        <f>_xlfn.IFNA(INDEX('HS Codes'!$D$2:$K3586,MATCH($B1032,'HS Codes'!$A$2:$A3586,0),MATCH(K$1,'HS Codes'!$D$1:$K$1,0)),"")</f>
        <v>6302.39.00</v>
      </c>
      <c r="L1032" s="8">
        <f>_xlfn.IFNA(INDEX('HS Codes'!$D$2:$K3586,MATCH($B1032,'HS Codes'!$A$2:$A3586,0),MATCH(L$1,'HS Codes'!$D$1:$K$1,0)),"")</f>
        <v>63029120</v>
      </c>
      <c r="M1032" s="8" t="str">
        <f>_xlfn.IFNA(INDEX('HS Codes'!$C$2:$C3586,MATCH($B1032,'HS Codes'!$A$2:$A3586,0)),"")</f>
        <v>Fitness Towels - Toilet Linen 100% recycled 220 GSM/83% polyester/17% polyamide (no cotton)</v>
      </c>
      <c r="N1032" s="9"/>
      <c r="O1032" s="9"/>
      <c r="P1032" s="9"/>
      <c r="Q1032" s="9"/>
    </row>
    <row r="1033" spans="1:17" ht="15.75" customHeight="1">
      <c r="A1033" s="7" t="s">
        <v>1325</v>
      </c>
      <c r="B1033" s="7" t="s">
        <v>169</v>
      </c>
      <c r="C1033" s="7" t="s">
        <v>278</v>
      </c>
      <c r="D1033" s="7" t="s">
        <v>170</v>
      </c>
      <c r="E1033" s="7" t="s">
        <v>348</v>
      </c>
      <c r="F1033" s="8" t="str">
        <f>_xlfn.IFNA(INDEX('HS Codes'!$D$2:$K3587,MATCH($B1033,'HS Codes'!$A$2:$A3587,0),MATCH(F$1,'HS Codes'!$D$1:$K$1,0)),"")</f>
        <v>6302.93.2000</v>
      </c>
      <c r="G1033" s="8">
        <f>_xlfn.IFNA(INDEX('HS Codes'!$D$2:$K3587,MATCH($B1033,'HS Codes'!$A$2:$A3587,0),MATCH(G$1,'HS Codes'!$D$1:$K$1,0)),"")</f>
        <v>6302600090</v>
      </c>
      <c r="H1033" s="8" t="str">
        <f>_xlfn.IFNA(INDEX('HS Codes'!$D$2:$K3587,MATCH($B1033,'HS Codes'!$A$2:$A3587,0),MATCH(H$1,'HS Codes'!$D$1:$K$1,0)),"")</f>
        <v>6302.93.00.00</v>
      </c>
      <c r="I1033" s="8">
        <f>_xlfn.IFNA(INDEX('HS Codes'!$D$2:$K3587,MATCH($B1033,'HS Codes'!$A$2:$A3587,0),MATCH(I$1,'HS Codes'!$D$1:$K$1,0)),"")</f>
        <v>6302939000</v>
      </c>
      <c r="J1033" s="8">
        <f>_xlfn.IFNA(INDEX('HS Codes'!$D$2:$K3587,MATCH($B1033,'HS Codes'!$A$2:$A3587,0),MATCH(J$1,'HS Codes'!$D$1:$K$1,0)),"")</f>
        <v>0</v>
      </c>
      <c r="K1033" s="8" t="str">
        <f>_xlfn.IFNA(INDEX('HS Codes'!$D$2:$K3587,MATCH($B1033,'HS Codes'!$A$2:$A3587,0),MATCH(K$1,'HS Codes'!$D$1:$K$1,0)),"")</f>
        <v>6302.39.00</v>
      </c>
      <c r="L1033" s="8">
        <f>_xlfn.IFNA(INDEX('HS Codes'!$D$2:$K3587,MATCH($B1033,'HS Codes'!$A$2:$A3587,0),MATCH(L$1,'HS Codes'!$D$1:$K$1,0)),"")</f>
        <v>63029120</v>
      </c>
      <c r="M1033" s="8" t="str">
        <f>_xlfn.IFNA(INDEX('HS Codes'!$C$2:$C3587,MATCH($B1033,'HS Codes'!$A$2:$A3587,0)),"")</f>
        <v>Fitness Towels - Toilet Linen 100% recycled 220 GSM/83% polyester/17% polyamide (no cotton)</v>
      </c>
      <c r="N1033" s="9"/>
      <c r="O1033" s="9"/>
      <c r="P1033" s="9"/>
      <c r="Q1033" s="9"/>
    </row>
    <row r="1034" spans="1:17" ht="15.75" customHeight="1">
      <c r="A1034" s="7" t="s">
        <v>1326</v>
      </c>
      <c r="B1034" s="7" t="s">
        <v>169</v>
      </c>
      <c r="C1034" s="7" t="s">
        <v>278</v>
      </c>
      <c r="D1034" s="7" t="s">
        <v>170</v>
      </c>
      <c r="E1034" s="7" t="s">
        <v>348</v>
      </c>
      <c r="F1034" s="8" t="str">
        <f>_xlfn.IFNA(INDEX('HS Codes'!$D$2:$K3588,MATCH($B1034,'HS Codes'!$A$2:$A3588,0),MATCH(F$1,'HS Codes'!$D$1:$K$1,0)),"")</f>
        <v>6302.93.2000</v>
      </c>
      <c r="G1034" s="8">
        <f>_xlfn.IFNA(INDEX('HS Codes'!$D$2:$K3588,MATCH($B1034,'HS Codes'!$A$2:$A3588,0),MATCH(G$1,'HS Codes'!$D$1:$K$1,0)),"")</f>
        <v>6302600090</v>
      </c>
      <c r="H1034" s="8" t="str">
        <f>_xlfn.IFNA(INDEX('HS Codes'!$D$2:$K3588,MATCH($B1034,'HS Codes'!$A$2:$A3588,0),MATCH(H$1,'HS Codes'!$D$1:$K$1,0)),"")</f>
        <v>6302.93.00.00</v>
      </c>
      <c r="I1034" s="8">
        <f>_xlfn.IFNA(INDEX('HS Codes'!$D$2:$K3588,MATCH($B1034,'HS Codes'!$A$2:$A3588,0),MATCH(I$1,'HS Codes'!$D$1:$K$1,0)),"")</f>
        <v>6302939000</v>
      </c>
      <c r="J1034" s="8">
        <f>_xlfn.IFNA(INDEX('HS Codes'!$D$2:$K3588,MATCH($B1034,'HS Codes'!$A$2:$A3588,0),MATCH(J$1,'HS Codes'!$D$1:$K$1,0)),"")</f>
        <v>0</v>
      </c>
      <c r="K1034" s="8" t="str">
        <f>_xlfn.IFNA(INDEX('HS Codes'!$D$2:$K3588,MATCH($B1034,'HS Codes'!$A$2:$A3588,0),MATCH(K$1,'HS Codes'!$D$1:$K$1,0)),"")</f>
        <v>6302.39.00</v>
      </c>
      <c r="L1034" s="8">
        <f>_xlfn.IFNA(INDEX('HS Codes'!$D$2:$K3588,MATCH($B1034,'HS Codes'!$A$2:$A3588,0),MATCH(L$1,'HS Codes'!$D$1:$K$1,0)),"")</f>
        <v>63029120</v>
      </c>
      <c r="M1034" s="8" t="str">
        <f>_xlfn.IFNA(INDEX('HS Codes'!$C$2:$C3588,MATCH($B1034,'HS Codes'!$A$2:$A3588,0)),"")</f>
        <v>Fitness Towels - Toilet Linen 100% recycled 220 GSM/83% polyester/17% polyamide (no cotton)</v>
      </c>
      <c r="N1034" s="9"/>
      <c r="O1034" s="9"/>
      <c r="P1034" s="9"/>
      <c r="Q1034" s="9"/>
    </row>
    <row r="1035" spans="1:17" ht="15.75" customHeight="1">
      <c r="A1035" s="7" t="s">
        <v>1327</v>
      </c>
      <c r="B1035" s="7" t="s">
        <v>262</v>
      </c>
      <c r="C1035" s="7"/>
      <c r="D1035" s="7" t="s">
        <v>263</v>
      </c>
      <c r="E1035" s="7" t="s">
        <v>1328</v>
      </c>
      <c r="F1035" s="8">
        <f>_xlfn.IFNA(INDEX('HS Codes'!$D$2:$K3589,MATCH($B1035,'HS Codes'!$A$2:$A3589,0),MATCH(F$1,'HS Codes'!$D$1:$K$1,0)),"")</f>
        <v>4202220000</v>
      </c>
      <c r="G1035" s="8">
        <f>_xlfn.IFNA(INDEX('HS Codes'!$D$2:$K3589,MATCH($B1035,'HS Codes'!$A$2:$A3589,0),MATCH(G$1,'HS Codes'!$D$1:$K$1,0)),"")</f>
        <v>4202220000</v>
      </c>
      <c r="H1035" s="8">
        <f>_xlfn.IFNA(INDEX('HS Codes'!$D$2:$K3589,MATCH($B1035,'HS Codes'!$A$2:$A3589,0),MATCH(H$1,'HS Codes'!$D$1:$K$1,0)),"")</f>
        <v>0</v>
      </c>
      <c r="I1035" s="8">
        <f>_xlfn.IFNA(INDEX('HS Codes'!$D$2:$K3589,MATCH($B1035,'HS Codes'!$A$2:$A3589,0),MATCH(I$1,'HS Codes'!$D$1:$K$1,0)),"")</f>
        <v>0</v>
      </c>
      <c r="J1035" s="8">
        <f>_xlfn.IFNA(INDEX('HS Codes'!$D$2:$K3589,MATCH($B1035,'HS Codes'!$A$2:$A3589,0),MATCH(J$1,'HS Codes'!$D$1:$K$1,0)),"")</f>
        <v>0</v>
      </c>
      <c r="K1035" s="8" t="str">
        <f>_xlfn.IFNA(INDEX('HS Codes'!$D$2:$K3589,MATCH($B1035,'HS Codes'!$A$2:$A3589,0),MATCH(K$1,'HS Codes'!$D$1:$K$1,0)),"")</f>
        <v>4202.22.00</v>
      </c>
      <c r="L1035" s="8">
        <f>_xlfn.IFNA(INDEX('HS Codes'!$D$2:$K3589,MATCH($B1035,'HS Codes'!$A$2:$A3589,0),MATCH(L$1,'HS Codes'!$D$1:$K$1,0)),"")</f>
        <v>0</v>
      </c>
      <c r="M1035" s="8">
        <f>_xlfn.IFNA(INDEX('HS Codes'!$C$2:$C3589,MATCH($B1035,'HS Codes'!$A$2:$A3589,0)),"")</f>
        <v>0</v>
      </c>
      <c r="N1035" s="9"/>
      <c r="O1035" s="9"/>
      <c r="P1035" s="9"/>
      <c r="Q1035" s="9"/>
    </row>
    <row r="1036" spans="1:17" ht="15.75" customHeight="1">
      <c r="A1036" s="7" t="s">
        <v>1329</v>
      </c>
      <c r="B1036" s="7" t="s">
        <v>262</v>
      </c>
      <c r="C1036" s="7"/>
      <c r="D1036" s="7" t="s">
        <v>263</v>
      </c>
      <c r="E1036" s="7" t="s">
        <v>1328</v>
      </c>
      <c r="F1036" s="8">
        <f>_xlfn.IFNA(INDEX('HS Codes'!$D$2:$K3590,MATCH($B1036,'HS Codes'!$A$2:$A3590,0),MATCH(F$1,'HS Codes'!$D$1:$K$1,0)),"")</f>
        <v>4202220000</v>
      </c>
      <c r="G1036" s="8">
        <f>_xlfn.IFNA(INDEX('HS Codes'!$D$2:$K3590,MATCH($B1036,'HS Codes'!$A$2:$A3590,0),MATCH(G$1,'HS Codes'!$D$1:$K$1,0)),"")</f>
        <v>4202220000</v>
      </c>
      <c r="H1036" s="8">
        <f>_xlfn.IFNA(INDEX('HS Codes'!$D$2:$K3590,MATCH($B1036,'HS Codes'!$A$2:$A3590,0),MATCH(H$1,'HS Codes'!$D$1:$K$1,0)),"")</f>
        <v>0</v>
      </c>
      <c r="I1036" s="8">
        <f>_xlfn.IFNA(INDEX('HS Codes'!$D$2:$K3590,MATCH($B1036,'HS Codes'!$A$2:$A3590,0),MATCH(I$1,'HS Codes'!$D$1:$K$1,0)),"")</f>
        <v>0</v>
      </c>
      <c r="J1036" s="8">
        <f>_xlfn.IFNA(INDEX('HS Codes'!$D$2:$K3590,MATCH($B1036,'HS Codes'!$A$2:$A3590,0),MATCH(J$1,'HS Codes'!$D$1:$K$1,0)),"")</f>
        <v>0</v>
      </c>
      <c r="K1036" s="8" t="str">
        <f>_xlfn.IFNA(INDEX('HS Codes'!$D$2:$K3590,MATCH($B1036,'HS Codes'!$A$2:$A3590,0),MATCH(K$1,'HS Codes'!$D$1:$K$1,0)),"")</f>
        <v>4202.22.00</v>
      </c>
      <c r="L1036" s="8">
        <f>_xlfn.IFNA(INDEX('HS Codes'!$D$2:$K3590,MATCH($B1036,'HS Codes'!$A$2:$A3590,0),MATCH(L$1,'HS Codes'!$D$1:$K$1,0)),"")</f>
        <v>0</v>
      </c>
      <c r="M1036" s="8">
        <f>_xlfn.IFNA(INDEX('HS Codes'!$C$2:$C3590,MATCH($B1036,'HS Codes'!$A$2:$A3590,0)),"")</f>
        <v>0</v>
      </c>
      <c r="N1036" s="9"/>
      <c r="O1036" s="9"/>
      <c r="P1036" s="9"/>
      <c r="Q1036" s="9"/>
    </row>
    <row r="1037" spans="1:17" ht="15.75" customHeight="1">
      <c r="A1037" s="7" t="s">
        <v>1330</v>
      </c>
      <c r="B1037" s="7" t="s">
        <v>262</v>
      </c>
      <c r="C1037" s="7"/>
      <c r="D1037" s="7" t="s">
        <v>263</v>
      </c>
      <c r="E1037" s="7" t="s">
        <v>1328</v>
      </c>
      <c r="F1037" s="8">
        <f>_xlfn.IFNA(INDEX('HS Codes'!$D$2:$K3591,MATCH($B1037,'HS Codes'!$A$2:$A3591,0),MATCH(F$1,'HS Codes'!$D$1:$K$1,0)),"")</f>
        <v>4202220000</v>
      </c>
      <c r="G1037" s="8">
        <f>_xlfn.IFNA(INDEX('HS Codes'!$D$2:$K3591,MATCH($B1037,'HS Codes'!$A$2:$A3591,0),MATCH(G$1,'HS Codes'!$D$1:$K$1,0)),"")</f>
        <v>4202220000</v>
      </c>
      <c r="H1037" s="8">
        <f>_xlfn.IFNA(INDEX('HS Codes'!$D$2:$K3591,MATCH($B1037,'HS Codes'!$A$2:$A3591,0),MATCH(H$1,'HS Codes'!$D$1:$K$1,0)),"")</f>
        <v>0</v>
      </c>
      <c r="I1037" s="8">
        <f>_xlfn.IFNA(INDEX('HS Codes'!$D$2:$K3591,MATCH($B1037,'HS Codes'!$A$2:$A3591,0),MATCH(I$1,'HS Codes'!$D$1:$K$1,0)),"")</f>
        <v>0</v>
      </c>
      <c r="J1037" s="8">
        <f>_xlfn.IFNA(INDEX('HS Codes'!$D$2:$K3591,MATCH($B1037,'HS Codes'!$A$2:$A3591,0),MATCH(J$1,'HS Codes'!$D$1:$K$1,0)),"")</f>
        <v>0</v>
      </c>
      <c r="K1037" s="8" t="str">
        <f>_xlfn.IFNA(INDEX('HS Codes'!$D$2:$K3591,MATCH($B1037,'HS Codes'!$A$2:$A3591,0),MATCH(K$1,'HS Codes'!$D$1:$K$1,0)),"")</f>
        <v>4202.22.00</v>
      </c>
      <c r="L1037" s="8">
        <f>_xlfn.IFNA(INDEX('HS Codes'!$D$2:$K3591,MATCH($B1037,'HS Codes'!$A$2:$A3591,0),MATCH(L$1,'HS Codes'!$D$1:$K$1,0)),"")</f>
        <v>0</v>
      </c>
      <c r="M1037" s="8">
        <f>_xlfn.IFNA(INDEX('HS Codes'!$C$2:$C3591,MATCH($B1037,'HS Codes'!$A$2:$A3591,0)),"")</f>
        <v>0</v>
      </c>
      <c r="N1037" s="9"/>
      <c r="O1037" s="9"/>
      <c r="P1037" s="9"/>
      <c r="Q1037" s="9"/>
    </row>
    <row r="1038" spans="1:17" ht="15.75" customHeight="1">
      <c r="A1038" s="7" t="s">
        <v>1331</v>
      </c>
      <c r="B1038" s="7" t="s">
        <v>262</v>
      </c>
      <c r="C1038" s="7"/>
      <c r="D1038" s="7" t="s">
        <v>263</v>
      </c>
      <c r="E1038" s="7" t="s">
        <v>1328</v>
      </c>
      <c r="F1038" s="8">
        <f>_xlfn.IFNA(INDEX('HS Codes'!$D$2:$K3592,MATCH($B1038,'HS Codes'!$A$2:$A3592,0),MATCH(F$1,'HS Codes'!$D$1:$K$1,0)),"")</f>
        <v>4202220000</v>
      </c>
      <c r="G1038" s="8">
        <f>_xlfn.IFNA(INDEX('HS Codes'!$D$2:$K3592,MATCH($B1038,'HS Codes'!$A$2:$A3592,0),MATCH(G$1,'HS Codes'!$D$1:$K$1,0)),"")</f>
        <v>4202220000</v>
      </c>
      <c r="H1038" s="8">
        <f>_xlfn.IFNA(INDEX('HS Codes'!$D$2:$K3592,MATCH($B1038,'HS Codes'!$A$2:$A3592,0),MATCH(H$1,'HS Codes'!$D$1:$K$1,0)),"")</f>
        <v>0</v>
      </c>
      <c r="I1038" s="8">
        <f>_xlfn.IFNA(INDEX('HS Codes'!$D$2:$K3592,MATCH($B1038,'HS Codes'!$A$2:$A3592,0),MATCH(I$1,'HS Codes'!$D$1:$K$1,0)),"")</f>
        <v>0</v>
      </c>
      <c r="J1038" s="8">
        <f>_xlfn.IFNA(INDEX('HS Codes'!$D$2:$K3592,MATCH($B1038,'HS Codes'!$A$2:$A3592,0),MATCH(J$1,'HS Codes'!$D$1:$K$1,0)),"")</f>
        <v>0</v>
      </c>
      <c r="K1038" s="8" t="str">
        <f>_xlfn.IFNA(INDEX('HS Codes'!$D$2:$K3592,MATCH($B1038,'HS Codes'!$A$2:$A3592,0),MATCH(K$1,'HS Codes'!$D$1:$K$1,0)),"")</f>
        <v>4202.22.00</v>
      </c>
      <c r="L1038" s="8">
        <f>_xlfn.IFNA(INDEX('HS Codes'!$D$2:$K3592,MATCH($B1038,'HS Codes'!$A$2:$A3592,0),MATCH(L$1,'HS Codes'!$D$1:$K$1,0)),"")</f>
        <v>0</v>
      </c>
      <c r="M1038" s="8">
        <f>_xlfn.IFNA(INDEX('HS Codes'!$C$2:$C3592,MATCH($B1038,'HS Codes'!$A$2:$A3592,0)),"")</f>
        <v>0</v>
      </c>
      <c r="N1038" s="9"/>
      <c r="O1038" s="9"/>
      <c r="P1038" s="9"/>
      <c r="Q1038" s="9"/>
    </row>
    <row r="1039" spans="1:17" ht="15.75" customHeight="1">
      <c r="A1039" s="7" t="s">
        <v>1332</v>
      </c>
      <c r="B1039" s="7" t="s">
        <v>262</v>
      </c>
      <c r="C1039" s="7"/>
      <c r="D1039" s="7" t="s">
        <v>263</v>
      </c>
      <c r="E1039" s="7" t="s">
        <v>1328</v>
      </c>
      <c r="F1039" s="8">
        <f>_xlfn.IFNA(INDEX('HS Codes'!$D$2:$K3593,MATCH($B1039,'HS Codes'!$A$2:$A3593,0),MATCH(F$1,'HS Codes'!$D$1:$K$1,0)),"")</f>
        <v>4202220000</v>
      </c>
      <c r="G1039" s="8">
        <f>_xlfn.IFNA(INDEX('HS Codes'!$D$2:$K3593,MATCH($B1039,'HS Codes'!$A$2:$A3593,0),MATCH(G$1,'HS Codes'!$D$1:$K$1,0)),"")</f>
        <v>4202220000</v>
      </c>
      <c r="H1039" s="8">
        <f>_xlfn.IFNA(INDEX('HS Codes'!$D$2:$K3593,MATCH($B1039,'HS Codes'!$A$2:$A3593,0),MATCH(H$1,'HS Codes'!$D$1:$K$1,0)),"")</f>
        <v>0</v>
      </c>
      <c r="I1039" s="8">
        <f>_xlfn.IFNA(INDEX('HS Codes'!$D$2:$K3593,MATCH($B1039,'HS Codes'!$A$2:$A3593,0),MATCH(I$1,'HS Codes'!$D$1:$K$1,0)),"")</f>
        <v>0</v>
      </c>
      <c r="J1039" s="8">
        <f>_xlfn.IFNA(INDEX('HS Codes'!$D$2:$K3593,MATCH($B1039,'HS Codes'!$A$2:$A3593,0),MATCH(J$1,'HS Codes'!$D$1:$K$1,0)),"")</f>
        <v>0</v>
      </c>
      <c r="K1039" s="8" t="str">
        <f>_xlfn.IFNA(INDEX('HS Codes'!$D$2:$K3593,MATCH($B1039,'HS Codes'!$A$2:$A3593,0),MATCH(K$1,'HS Codes'!$D$1:$K$1,0)),"")</f>
        <v>4202.22.00</v>
      </c>
      <c r="L1039" s="8">
        <f>_xlfn.IFNA(INDEX('HS Codes'!$D$2:$K3593,MATCH($B1039,'HS Codes'!$A$2:$A3593,0),MATCH(L$1,'HS Codes'!$D$1:$K$1,0)),"")</f>
        <v>0</v>
      </c>
      <c r="M1039" s="8">
        <f>_xlfn.IFNA(INDEX('HS Codes'!$C$2:$C3593,MATCH($B1039,'HS Codes'!$A$2:$A3593,0)),"")</f>
        <v>0</v>
      </c>
      <c r="N1039" s="9"/>
      <c r="O1039" s="9"/>
      <c r="P1039" s="9"/>
      <c r="Q1039" s="9"/>
    </row>
    <row r="1040" spans="1:17" ht="15.75" customHeight="1">
      <c r="A1040" s="7" t="s">
        <v>1333</v>
      </c>
      <c r="B1040" s="7" t="s">
        <v>262</v>
      </c>
      <c r="C1040" s="7"/>
      <c r="D1040" s="7" t="s">
        <v>263</v>
      </c>
      <c r="E1040" s="7" t="s">
        <v>1328</v>
      </c>
      <c r="F1040" s="8">
        <f>_xlfn.IFNA(INDEX('HS Codes'!$D$2:$K3594,MATCH($B1040,'HS Codes'!$A$2:$A3594,0),MATCH(F$1,'HS Codes'!$D$1:$K$1,0)),"")</f>
        <v>4202220000</v>
      </c>
      <c r="G1040" s="8">
        <f>_xlfn.IFNA(INDEX('HS Codes'!$D$2:$K3594,MATCH($B1040,'HS Codes'!$A$2:$A3594,0),MATCH(G$1,'HS Codes'!$D$1:$K$1,0)),"")</f>
        <v>4202220000</v>
      </c>
      <c r="H1040" s="8">
        <f>_xlfn.IFNA(INDEX('HS Codes'!$D$2:$K3594,MATCH($B1040,'HS Codes'!$A$2:$A3594,0),MATCH(H$1,'HS Codes'!$D$1:$K$1,0)),"")</f>
        <v>0</v>
      </c>
      <c r="I1040" s="8">
        <f>_xlfn.IFNA(INDEX('HS Codes'!$D$2:$K3594,MATCH($B1040,'HS Codes'!$A$2:$A3594,0),MATCH(I$1,'HS Codes'!$D$1:$K$1,0)),"")</f>
        <v>0</v>
      </c>
      <c r="J1040" s="8">
        <f>_xlfn.IFNA(INDEX('HS Codes'!$D$2:$K3594,MATCH($B1040,'HS Codes'!$A$2:$A3594,0),MATCH(J$1,'HS Codes'!$D$1:$K$1,0)),"")</f>
        <v>0</v>
      </c>
      <c r="K1040" s="8" t="str">
        <f>_xlfn.IFNA(INDEX('HS Codes'!$D$2:$K3594,MATCH($B1040,'HS Codes'!$A$2:$A3594,0),MATCH(K$1,'HS Codes'!$D$1:$K$1,0)),"")</f>
        <v>4202.22.00</v>
      </c>
      <c r="L1040" s="8">
        <f>_xlfn.IFNA(INDEX('HS Codes'!$D$2:$K3594,MATCH($B1040,'HS Codes'!$A$2:$A3594,0),MATCH(L$1,'HS Codes'!$D$1:$K$1,0)),"")</f>
        <v>0</v>
      </c>
      <c r="M1040" s="8">
        <f>_xlfn.IFNA(INDEX('HS Codes'!$C$2:$C3594,MATCH($B1040,'HS Codes'!$A$2:$A3594,0)),"")</f>
        <v>0</v>
      </c>
      <c r="N1040" s="9"/>
      <c r="O1040" s="9"/>
      <c r="P1040" s="9"/>
      <c r="Q1040" s="9"/>
    </row>
    <row r="1041" spans="1:17" ht="15.75" customHeight="1">
      <c r="A1041" s="7" t="s">
        <v>1334</v>
      </c>
      <c r="B1041" s="7" t="s">
        <v>262</v>
      </c>
      <c r="C1041" s="7"/>
      <c r="D1041" s="7" t="s">
        <v>263</v>
      </c>
      <c r="E1041" s="7" t="s">
        <v>1328</v>
      </c>
      <c r="F1041" s="8">
        <f>_xlfn.IFNA(INDEX('HS Codes'!$D$2:$K3595,MATCH($B1041,'HS Codes'!$A$2:$A3595,0),MATCH(F$1,'HS Codes'!$D$1:$K$1,0)),"")</f>
        <v>4202220000</v>
      </c>
      <c r="G1041" s="8">
        <f>_xlfn.IFNA(INDEX('HS Codes'!$D$2:$K3595,MATCH($B1041,'HS Codes'!$A$2:$A3595,0),MATCH(G$1,'HS Codes'!$D$1:$K$1,0)),"")</f>
        <v>4202220000</v>
      </c>
      <c r="H1041" s="8">
        <f>_xlfn.IFNA(INDEX('HS Codes'!$D$2:$K3595,MATCH($B1041,'HS Codes'!$A$2:$A3595,0),MATCH(H$1,'HS Codes'!$D$1:$K$1,0)),"")</f>
        <v>0</v>
      </c>
      <c r="I1041" s="8">
        <f>_xlfn.IFNA(INDEX('HS Codes'!$D$2:$K3595,MATCH($B1041,'HS Codes'!$A$2:$A3595,0),MATCH(I$1,'HS Codes'!$D$1:$K$1,0)),"")</f>
        <v>0</v>
      </c>
      <c r="J1041" s="8">
        <f>_xlfn.IFNA(INDEX('HS Codes'!$D$2:$K3595,MATCH($B1041,'HS Codes'!$A$2:$A3595,0),MATCH(J$1,'HS Codes'!$D$1:$K$1,0)),"")</f>
        <v>0</v>
      </c>
      <c r="K1041" s="8" t="str">
        <f>_xlfn.IFNA(INDEX('HS Codes'!$D$2:$K3595,MATCH($B1041,'HS Codes'!$A$2:$A3595,0),MATCH(K$1,'HS Codes'!$D$1:$K$1,0)),"")</f>
        <v>4202.22.00</v>
      </c>
      <c r="L1041" s="8">
        <f>_xlfn.IFNA(INDEX('HS Codes'!$D$2:$K3595,MATCH($B1041,'HS Codes'!$A$2:$A3595,0),MATCH(L$1,'HS Codes'!$D$1:$K$1,0)),"")</f>
        <v>0</v>
      </c>
      <c r="M1041" s="8">
        <f>_xlfn.IFNA(INDEX('HS Codes'!$C$2:$C3595,MATCH($B1041,'HS Codes'!$A$2:$A3595,0)),"")</f>
        <v>0</v>
      </c>
      <c r="N1041" s="9"/>
      <c r="O1041" s="9"/>
      <c r="P1041" s="9"/>
      <c r="Q1041" s="9"/>
    </row>
    <row r="1042" spans="1:17" ht="15.75" customHeight="1">
      <c r="A1042" s="7" t="s">
        <v>1335</v>
      </c>
      <c r="B1042" s="7" t="s">
        <v>262</v>
      </c>
      <c r="C1042" s="7"/>
      <c r="D1042" s="7" t="s">
        <v>263</v>
      </c>
      <c r="E1042" s="7" t="s">
        <v>1328</v>
      </c>
      <c r="F1042" s="8">
        <f>_xlfn.IFNA(INDEX('HS Codes'!$D$2:$K3596,MATCH($B1042,'HS Codes'!$A$2:$A3596,0),MATCH(F$1,'HS Codes'!$D$1:$K$1,0)),"")</f>
        <v>4202220000</v>
      </c>
      <c r="G1042" s="8">
        <f>_xlfn.IFNA(INDEX('HS Codes'!$D$2:$K3596,MATCH($B1042,'HS Codes'!$A$2:$A3596,0),MATCH(G$1,'HS Codes'!$D$1:$K$1,0)),"")</f>
        <v>4202220000</v>
      </c>
      <c r="H1042" s="8">
        <f>_xlfn.IFNA(INDEX('HS Codes'!$D$2:$K3596,MATCH($B1042,'HS Codes'!$A$2:$A3596,0),MATCH(H$1,'HS Codes'!$D$1:$K$1,0)),"")</f>
        <v>0</v>
      </c>
      <c r="I1042" s="8">
        <f>_xlfn.IFNA(INDEX('HS Codes'!$D$2:$K3596,MATCH($B1042,'HS Codes'!$A$2:$A3596,0),MATCH(I$1,'HS Codes'!$D$1:$K$1,0)),"")</f>
        <v>0</v>
      </c>
      <c r="J1042" s="8">
        <f>_xlfn.IFNA(INDEX('HS Codes'!$D$2:$K3596,MATCH($B1042,'HS Codes'!$A$2:$A3596,0),MATCH(J$1,'HS Codes'!$D$1:$K$1,0)),"")</f>
        <v>0</v>
      </c>
      <c r="K1042" s="8" t="str">
        <f>_xlfn.IFNA(INDEX('HS Codes'!$D$2:$K3596,MATCH($B1042,'HS Codes'!$A$2:$A3596,0),MATCH(K$1,'HS Codes'!$D$1:$K$1,0)),"")</f>
        <v>4202.22.00</v>
      </c>
      <c r="L1042" s="8">
        <f>_xlfn.IFNA(INDEX('HS Codes'!$D$2:$K3596,MATCH($B1042,'HS Codes'!$A$2:$A3596,0),MATCH(L$1,'HS Codes'!$D$1:$K$1,0)),"")</f>
        <v>0</v>
      </c>
      <c r="M1042" s="8">
        <f>_xlfn.IFNA(INDEX('HS Codes'!$C$2:$C3596,MATCH($B1042,'HS Codes'!$A$2:$A3596,0)),"")</f>
        <v>0</v>
      </c>
      <c r="N1042" s="9"/>
      <c r="O1042" s="9"/>
      <c r="P1042" s="9"/>
      <c r="Q1042" s="9"/>
    </row>
    <row r="1043" spans="1:17" ht="15.75" customHeight="1">
      <c r="A1043" s="7" t="s">
        <v>1336</v>
      </c>
      <c r="B1043" s="7" t="s">
        <v>77</v>
      </c>
      <c r="C1043" s="7" t="s">
        <v>275</v>
      </c>
      <c r="D1043" s="7" t="s">
        <v>78</v>
      </c>
      <c r="E1043" s="7" t="s">
        <v>276</v>
      </c>
      <c r="F1043" s="8" t="str">
        <f>_xlfn.IFNA(INDEX('HS Codes'!$D$2:$K3597,MATCH($B1043,'HS Codes'!$A$2:$A3597,0),MATCH(F$1,'HS Codes'!$D$1:$K$1,0)),"")</f>
        <v>4202.92.91.00</v>
      </c>
      <c r="G1043" s="8">
        <f>_xlfn.IFNA(INDEX('HS Codes'!$D$2:$K3597,MATCH($B1043,'HS Codes'!$A$2:$A3597,0),MATCH(G$1,'HS Codes'!$D$1:$K$1,0)),"")</f>
        <v>4202921900</v>
      </c>
      <c r="H1043" s="8" t="str">
        <f>_xlfn.IFNA(INDEX('HS Codes'!$D$2:$K3597,MATCH($B1043,'HS Codes'!$A$2:$A3597,0),MATCH(H$1,'HS Codes'!$D$1:$K$1,0)),"")</f>
        <v>4202.92.90.00</v>
      </c>
      <c r="I1043" s="8" t="str">
        <f>_xlfn.IFNA(INDEX('HS Codes'!$D$2:$K3597,MATCH($B1043,'HS Codes'!$A$2:$A3597,0),MATCH(I$1,'HS Codes'!$D$1:$K$1,0)),"")</f>
        <v>4202 9298 90</v>
      </c>
      <c r="J1043" s="8">
        <f>_xlfn.IFNA(INDEX('HS Codes'!$D$2:$K3597,MATCH($B1043,'HS Codes'!$A$2:$A3597,0),MATCH(J$1,'HS Codes'!$D$1:$K$1,0)),"")</f>
        <v>0</v>
      </c>
      <c r="K1043" s="8" t="str">
        <f>_xlfn.IFNA(INDEX('HS Codes'!$D$2:$K3597,MATCH($B1043,'HS Codes'!$A$2:$A3597,0),MATCH(K$1,'HS Codes'!$D$1:$K$1,0)),"")</f>
        <v>4202.92.90</v>
      </c>
      <c r="L1043" s="8">
        <f>_xlfn.IFNA(INDEX('HS Codes'!$D$2:$K3597,MATCH($B1043,'HS Codes'!$A$2:$A3597,0),MATCH(L$1,'HS Codes'!$D$1:$K$1,0)),"")</f>
        <v>42029100</v>
      </c>
      <c r="M1043" s="8" t="str">
        <f>_xlfn.IFNA(INDEX('HS Codes'!$C$2:$C3597,MATCH($B1043,'HS Codes'!$A$2:$A3597,0)),"")</f>
        <v>Shopping Bag 100% recycled polyester</v>
      </c>
      <c r="N1043" s="9"/>
      <c r="O1043" s="9"/>
      <c r="P1043" s="9"/>
      <c r="Q1043" s="9"/>
    </row>
    <row r="1044" spans="1:17" ht="15.75" customHeight="1">
      <c r="A1044" s="7" t="s">
        <v>1337</v>
      </c>
      <c r="B1044" s="7" t="s">
        <v>77</v>
      </c>
      <c r="C1044" s="7" t="s">
        <v>275</v>
      </c>
      <c r="D1044" s="7" t="s">
        <v>78</v>
      </c>
      <c r="E1044" s="7" t="s">
        <v>276</v>
      </c>
      <c r="F1044" s="8" t="str">
        <f>_xlfn.IFNA(INDEX('HS Codes'!$D$2:$K3598,MATCH($B1044,'HS Codes'!$A$2:$A3598,0),MATCH(F$1,'HS Codes'!$D$1:$K$1,0)),"")</f>
        <v>4202.92.91.00</v>
      </c>
      <c r="G1044" s="8">
        <f>_xlfn.IFNA(INDEX('HS Codes'!$D$2:$K3598,MATCH($B1044,'HS Codes'!$A$2:$A3598,0),MATCH(G$1,'HS Codes'!$D$1:$K$1,0)),"")</f>
        <v>4202921900</v>
      </c>
      <c r="H1044" s="8" t="str">
        <f>_xlfn.IFNA(INDEX('HS Codes'!$D$2:$K3598,MATCH($B1044,'HS Codes'!$A$2:$A3598,0),MATCH(H$1,'HS Codes'!$D$1:$K$1,0)),"")</f>
        <v>4202.92.90.00</v>
      </c>
      <c r="I1044" s="8" t="str">
        <f>_xlfn.IFNA(INDEX('HS Codes'!$D$2:$K3598,MATCH($B1044,'HS Codes'!$A$2:$A3598,0),MATCH(I$1,'HS Codes'!$D$1:$K$1,0)),"")</f>
        <v>4202 9298 90</v>
      </c>
      <c r="J1044" s="8">
        <f>_xlfn.IFNA(INDEX('HS Codes'!$D$2:$K3598,MATCH($B1044,'HS Codes'!$A$2:$A3598,0),MATCH(J$1,'HS Codes'!$D$1:$K$1,0)),"")</f>
        <v>0</v>
      </c>
      <c r="K1044" s="8" t="str">
        <f>_xlfn.IFNA(INDEX('HS Codes'!$D$2:$K3598,MATCH($B1044,'HS Codes'!$A$2:$A3598,0),MATCH(K$1,'HS Codes'!$D$1:$K$1,0)),"")</f>
        <v>4202.92.90</v>
      </c>
      <c r="L1044" s="8">
        <f>_xlfn.IFNA(INDEX('HS Codes'!$D$2:$K3598,MATCH($B1044,'HS Codes'!$A$2:$A3598,0),MATCH(L$1,'HS Codes'!$D$1:$K$1,0)),"")</f>
        <v>42029100</v>
      </c>
      <c r="M1044" s="8" t="str">
        <f>_xlfn.IFNA(INDEX('HS Codes'!$C$2:$C3598,MATCH($B1044,'HS Codes'!$A$2:$A3598,0)),"")</f>
        <v>Shopping Bag 100% recycled polyester</v>
      </c>
      <c r="N1044" s="9"/>
      <c r="O1044" s="9"/>
      <c r="P1044" s="9"/>
      <c r="Q1044" s="9"/>
    </row>
    <row r="1045" spans="1:17" ht="15.75" customHeight="1">
      <c r="A1045" s="7" t="s">
        <v>1338</v>
      </c>
      <c r="B1045" s="7" t="s">
        <v>77</v>
      </c>
      <c r="C1045" s="7" t="s">
        <v>275</v>
      </c>
      <c r="D1045" s="7" t="s">
        <v>78</v>
      </c>
      <c r="E1045" s="7" t="s">
        <v>276</v>
      </c>
      <c r="F1045" s="8" t="str">
        <f>_xlfn.IFNA(INDEX('HS Codes'!$D$2:$K3599,MATCH($B1045,'HS Codes'!$A$2:$A3599,0),MATCH(F$1,'HS Codes'!$D$1:$K$1,0)),"")</f>
        <v>4202.92.91.00</v>
      </c>
      <c r="G1045" s="8">
        <f>_xlfn.IFNA(INDEX('HS Codes'!$D$2:$K3599,MATCH($B1045,'HS Codes'!$A$2:$A3599,0),MATCH(G$1,'HS Codes'!$D$1:$K$1,0)),"")</f>
        <v>4202921900</v>
      </c>
      <c r="H1045" s="8" t="str">
        <f>_xlfn.IFNA(INDEX('HS Codes'!$D$2:$K3599,MATCH($B1045,'HS Codes'!$A$2:$A3599,0),MATCH(H$1,'HS Codes'!$D$1:$K$1,0)),"")</f>
        <v>4202.92.90.00</v>
      </c>
      <c r="I1045" s="8" t="str">
        <f>_xlfn.IFNA(INDEX('HS Codes'!$D$2:$K3599,MATCH($B1045,'HS Codes'!$A$2:$A3599,0),MATCH(I$1,'HS Codes'!$D$1:$K$1,0)),"")</f>
        <v>4202 9298 90</v>
      </c>
      <c r="J1045" s="8">
        <f>_xlfn.IFNA(INDEX('HS Codes'!$D$2:$K3599,MATCH($B1045,'HS Codes'!$A$2:$A3599,0),MATCH(J$1,'HS Codes'!$D$1:$K$1,0)),"")</f>
        <v>0</v>
      </c>
      <c r="K1045" s="8" t="str">
        <f>_xlfn.IFNA(INDEX('HS Codes'!$D$2:$K3599,MATCH($B1045,'HS Codes'!$A$2:$A3599,0),MATCH(K$1,'HS Codes'!$D$1:$K$1,0)),"")</f>
        <v>4202.92.90</v>
      </c>
      <c r="L1045" s="8">
        <f>_xlfn.IFNA(INDEX('HS Codes'!$D$2:$K3599,MATCH($B1045,'HS Codes'!$A$2:$A3599,0),MATCH(L$1,'HS Codes'!$D$1:$K$1,0)),"")</f>
        <v>42029100</v>
      </c>
      <c r="M1045" s="8" t="str">
        <f>_xlfn.IFNA(INDEX('HS Codes'!$C$2:$C3599,MATCH($B1045,'HS Codes'!$A$2:$A3599,0)),"")</f>
        <v>Shopping Bag 100% recycled polyester</v>
      </c>
      <c r="N1045" s="9"/>
      <c r="O1045" s="9"/>
      <c r="P1045" s="9"/>
      <c r="Q1045" s="9"/>
    </row>
    <row r="1046" spans="1:17" ht="15.75" customHeight="1">
      <c r="A1046" s="7" t="s">
        <v>1339</v>
      </c>
      <c r="B1046" s="7" t="s">
        <v>77</v>
      </c>
      <c r="C1046" s="7" t="s">
        <v>275</v>
      </c>
      <c r="D1046" s="7" t="s">
        <v>78</v>
      </c>
      <c r="E1046" s="7" t="s">
        <v>276</v>
      </c>
      <c r="F1046" s="8" t="str">
        <f>_xlfn.IFNA(INDEX('HS Codes'!$D$2:$K3600,MATCH($B1046,'HS Codes'!$A$2:$A3600,0),MATCH(F$1,'HS Codes'!$D$1:$K$1,0)),"")</f>
        <v>4202.92.91.00</v>
      </c>
      <c r="G1046" s="8">
        <f>_xlfn.IFNA(INDEX('HS Codes'!$D$2:$K3600,MATCH($B1046,'HS Codes'!$A$2:$A3600,0),MATCH(G$1,'HS Codes'!$D$1:$K$1,0)),"")</f>
        <v>4202921900</v>
      </c>
      <c r="H1046" s="8" t="str">
        <f>_xlfn.IFNA(INDEX('HS Codes'!$D$2:$K3600,MATCH($B1046,'HS Codes'!$A$2:$A3600,0),MATCH(H$1,'HS Codes'!$D$1:$K$1,0)),"")</f>
        <v>4202.92.90.00</v>
      </c>
      <c r="I1046" s="8" t="str">
        <f>_xlfn.IFNA(INDEX('HS Codes'!$D$2:$K3600,MATCH($B1046,'HS Codes'!$A$2:$A3600,0),MATCH(I$1,'HS Codes'!$D$1:$K$1,0)),"")</f>
        <v>4202 9298 90</v>
      </c>
      <c r="J1046" s="8">
        <f>_xlfn.IFNA(INDEX('HS Codes'!$D$2:$K3600,MATCH($B1046,'HS Codes'!$A$2:$A3600,0),MATCH(J$1,'HS Codes'!$D$1:$K$1,0)),"")</f>
        <v>0</v>
      </c>
      <c r="K1046" s="8" t="str">
        <f>_xlfn.IFNA(INDEX('HS Codes'!$D$2:$K3600,MATCH($B1046,'HS Codes'!$A$2:$A3600,0),MATCH(K$1,'HS Codes'!$D$1:$K$1,0)),"")</f>
        <v>4202.92.90</v>
      </c>
      <c r="L1046" s="8">
        <f>_xlfn.IFNA(INDEX('HS Codes'!$D$2:$K3600,MATCH($B1046,'HS Codes'!$A$2:$A3600,0),MATCH(L$1,'HS Codes'!$D$1:$K$1,0)),"")</f>
        <v>42029100</v>
      </c>
      <c r="M1046" s="8" t="str">
        <f>_xlfn.IFNA(INDEX('HS Codes'!$C$2:$C3600,MATCH($B1046,'HS Codes'!$A$2:$A3600,0)),"")</f>
        <v>Shopping Bag 100% recycled polyester</v>
      </c>
      <c r="N1046" s="9"/>
      <c r="O1046" s="9"/>
      <c r="P1046" s="9"/>
      <c r="Q1046" s="9"/>
    </row>
    <row r="1047" spans="1:17" ht="15.75" customHeight="1">
      <c r="A1047" s="7" t="s">
        <v>1340</v>
      </c>
      <c r="B1047" s="7" t="s">
        <v>77</v>
      </c>
      <c r="C1047" s="7" t="s">
        <v>275</v>
      </c>
      <c r="D1047" s="7" t="s">
        <v>78</v>
      </c>
      <c r="E1047" s="7" t="s">
        <v>276</v>
      </c>
      <c r="F1047" s="8" t="str">
        <f>_xlfn.IFNA(INDEX('HS Codes'!$D$2:$K3601,MATCH($B1047,'HS Codes'!$A$2:$A3601,0),MATCH(F$1,'HS Codes'!$D$1:$K$1,0)),"")</f>
        <v>4202.92.91.00</v>
      </c>
      <c r="G1047" s="8">
        <f>_xlfn.IFNA(INDEX('HS Codes'!$D$2:$K3601,MATCH($B1047,'HS Codes'!$A$2:$A3601,0),MATCH(G$1,'HS Codes'!$D$1:$K$1,0)),"")</f>
        <v>4202921900</v>
      </c>
      <c r="H1047" s="8" t="str">
        <f>_xlfn.IFNA(INDEX('HS Codes'!$D$2:$K3601,MATCH($B1047,'HS Codes'!$A$2:$A3601,0),MATCH(H$1,'HS Codes'!$D$1:$K$1,0)),"")</f>
        <v>4202.92.90.00</v>
      </c>
      <c r="I1047" s="8" t="str">
        <f>_xlfn.IFNA(INDEX('HS Codes'!$D$2:$K3601,MATCH($B1047,'HS Codes'!$A$2:$A3601,0),MATCH(I$1,'HS Codes'!$D$1:$K$1,0)),"")</f>
        <v>4202 9298 90</v>
      </c>
      <c r="J1047" s="8">
        <f>_xlfn.IFNA(INDEX('HS Codes'!$D$2:$K3601,MATCH($B1047,'HS Codes'!$A$2:$A3601,0),MATCH(J$1,'HS Codes'!$D$1:$K$1,0)),"")</f>
        <v>0</v>
      </c>
      <c r="K1047" s="8" t="str">
        <f>_xlfn.IFNA(INDEX('HS Codes'!$D$2:$K3601,MATCH($B1047,'HS Codes'!$A$2:$A3601,0),MATCH(K$1,'HS Codes'!$D$1:$K$1,0)),"")</f>
        <v>4202.92.90</v>
      </c>
      <c r="L1047" s="8">
        <f>_xlfn.IFNA(INDEX('HS Codes'!$D$2:$K3601,MATCH($B1047,'HS Codes'!$A$2:$A3601,0),MATCH(L$1,'HS Codes'!$D$1:$K$1,0)),"")</f>
        <v>42029100</v>
      </c>
      <c r="M1047" s="8" t="str">
        <f>_xlfn.IFNA(INDEX('HS Codes'!$C$2:$C3601,MATCH($B1047,'HS Codes'!$A$2:$A3601,0)),"")</f>
        <v>Shopping Bag 100% recycled polyester</v>
      </c>
      <c r="N1047" s="9"/>
      <c r="O1047" s="9"/>
      <c r="P1047" s="9"/>
      <c r="Q1047" s="9"/>
    </row>
    <row r="1048" spans="1:17" ht="15.75" customHeight="1">
      <c r="A1048" s="7" t="s">
        <v>1341</v>
      </c>
      <c r="B1048" s="7" t="s">
        <v>77</v>
      </c>
      <c r="C1048" s="7" t="s">
        <v>275</v>
      </c>
      <c r="D1048" s="7" t="s">
        <v>78</v>
      </c>
      <c r="E1048" s="7" t="s">
        <v>276</v>
      </c>
      <c r="F1048" s="8" t="str">
        <f>_xlfn.IFNA(INDEX('HS Codes'!$D$2:$K3602,MATCH($B1048,'HS Codes'!$A$2:$A3602,0),MATCH(F$1,'HS Codes'!$D$1:$K$1,0)),"")</f>
        <v>4202.92.91.00</v>
      </c>
      <c r="G1048" s="8">
        <f>_xlfn.IFNA(INDEX('HS Codes'!$D$2:$K3602,MATCH($B1048,'HS Codes'!$A$2:$A3602,0),MATCH(G$1,'HS Codes'!$D$1:$K$1,0)),"")</f>
        <v>4202921900</v>
      </c>
      <c r="H1048" s="8" t="str">
        <f>_xlfn.IFNA(INDEX('HS Codes'!$D$2:$K3602,MATCH($B1048,'HS Codes'!$A$2:$A3602,0),MATCH(H$1,'HS Codes'!$D$1:$K$1,0)),"")</f>
        <v>4202.92.90.00</v>
      </c>
      <c r="I1048" s="8" t="str">
        <f>_xlfn.IFNA(INDEX('HS Codes'!$D$2:$K3602,MATCH($B1048,'HS Codes'!$A$2:$A3602,0),MATCH(I$1,'HS Codes'!$D$1:$K$1,0)),"")</f>
        <v>4202 9298 90</v>
      </c>
      <c r="J1048" s="8">
        <f>_xlfn.IFNA(INDEX('HS Codes'!$D$2:$K3602,MATCH($B1048,'HS Codes'!$A$2:$A3602,0),MATCH(J$1,'HS Codes'!$D$1:$K$1,0)),"")</f>
        <v>0</v>
      </c>
      <c r="K1048" s="8" t="str">
        <f>_xlfn.IFNA(INDEX('HS Codes'!$D$2:$K3602,MATCH($B1048,'HS Codes'!$A$2:$A3602,0),MATCH(K$1,'HS Codes'!$D$1:$K$1,0)),"")</f>
        <v>4202.92.90</v>
      </c>
      <c r="L1048" s="8">
        <f>_xlfn.IFNA(INDEX('HS Codes'!$D$2:$K3602,MATCH($B1048,'HS Codes'!$A$2:$A3602,0),MATCH(L$1,'HS Codes'!$D$1:$K$1,0)),"")</f>
        <v>42029100</v>
      </c>
      <c r="M1048" s="8" t="str">
        <f>_xlfn.IFNA(INDEX('HS Codes'!$C$2:$C3602,MATCH($B1048,'HS Codes'!$A$2:$A3602,0)),"")</f>
        <v>Shopping Bag 100% recycled polyester</v>
      </c>
      <c r="N1048" s="9"/>
      <c r="O1048" s="9"/>
      <c r="P1048" s="9"/>
      <c r="Q1048" s="9"/>
    </row>
    <row r="1049" spans="1:17" ht="15.75" customHeight="1">
      <c r="A1049" s="7" t="s">
        <v>1342</v>
      </c>
      <c r="B1049" s="7" t="s">
        <v>77</v>
      </c>
      <c r="C1049" s="7" t="s">
        <v>275</v>
      </c>
      <c r="D1049" s="7" t="s">
        <v>78</v>
      </c>
      <c r="E1049" s="7" t="s">
        <v>276</v>
      </c>
      <c r="F1049" s="8" t="str">
        <f>_xlfn.IFNA(INDEX('HS Codes'!$D$2:$K3603,MATCH($B1049,'HS Codes'!$A$2:$A3603,0),MATCH(F$1,'HS Codes'!$D$1:$K$1,0)),"")</f>
        <v>4202.92.91.00</v>
      </c>
      <c r="G1049" s="8">
        <f>_xlfn.IFNA(INDEX('HS Codes'!$D$2:$K3603,MATCH($B1049,'HS Codes'!$A$2:$A3603,0),MATCH(G$1,'HS Codes'!$D$1:$K$1,0)),"")</f>
        <v>4202921900</v>
      </c>
      <c r="H1049" s="8" t="str">
        <f>_xlfn.IFNA(INDEX('HS Codes'!$D$2:$K3603,MATCH($B1049,'HS Codes'!$A$2:$A3603,0),MATCH(H$1,'HS Codes'!$D$1:$K$1,0)),"")</f>
        <v>4202.92.90.00</v>
      </c>
      <c r="I1049" s="8" t="str">
        <f>_xlfn.IFNA(INDEX('HS Codes'!$D$2:$K3603,MATCH($B1049,'HS Codes'!$A$2:$A3603,0),MATCH(I$1,'HS Codes'!$D$1:$K$1,0)),"")</f>
        <v>4202 9298 90</v>
      </c>
      <c r="J1049" s="8">
        <f>_xlfn.IFNA(INDEX('HS Codes'!$D$2:$K3603,MATCH($B1049,'HS Codes'!$A$2:$A3603,0),MATCH(J$1,'HS Codes'!$D$1:$K$1,0)),"")</f>
        <v>0</v>
      </c>
      <c r="K1049" s="8" t="str">
        <f>_xlfn.IFNA(INDEX('HS Codes'!$D$2:$K3603,MATCH($B1049,'HS Codes'!$A$2:$A3603,0),MATCH(K$1,'HS Codes'!$D$1:$K$1,0)),"")</f>
        <v>4202.92.90</v>
      </c>
      <c r="L1049" s="8">
        <f>_xlfn.IFNA(INDEX('HS Codes'!$D$2:$K3603,MATCH($B1049,'HS Codes'!$A$2:$A3603,0),MATCH(L$1,'HS Codes'!$D$1:$K$1,0)),"")</f>
        <v>42029100</v>
      </c>
      <c r="M1049" s="8" t="str">
        <f>_xlfn.IFNA(INDEX('HS Codes'!$C$2:$C3603,MATCH($B1049,'HS Codes'!$A$2:$A3603,0)),"")</f>
        <v>Shopping Bag 100% recycled polyester</v>
      </c>
      <c r="N1049" s="9"/>
      <c r="O1049" s="9"/>
      <c r="P1049" s="9"/>
      <c r="Q1049" s="9"/>
    </row>
    <row r="1050" spans="1:17" ht="15.75" customHeight="1">
      <c r="A1050" s="7" t="s">
        <v>1343</v>
      </c>
      <c r="B1050" s="7" t="s">
        <v>77</v>
      </c>
      <c r="C1050" s="7" t="s">
        <v>275</v>
      </c>
      <c r="D1050" s="7" t="s">
        <v>78</v>
      </c>
      <c r="E1050" s="7" t="s">
        <v>276</v>
      </c>
      <c r="F1050" s="8" t="str">
        <f>_xlfn.IFNA(INDEX('HS Codes'!$D$2:$K3604,MATCH($B1050,'HS Codes'!$A$2:$A3604,0),MATCH(F$1,'HS Codes'!$D$1:$K$1,0)),"")</f>
        <v>4202.92.91.00</v>
      </c>
      <c r="G1050" s="8">
        <f>_xlfn.IFNA(INDEX('HS Codes'!$D$2:$K3604,MATCH($B1050,'HS Codes'!$A$2:$A3604,0),MATCH(G$1,'HS Codes'!$D$1:$K$1,0)),"")</f>
        <v>4202921900</v>
      </c>
      <c r="H1050" s="8" t="str">
        <f>_xlfn.IFNA(INDEX('HS Codes'!$D$2:$K3604,MATCH($B1050,'HS Codes'!$A$2:$A3604,0),MATCH(H$1,'HS Codes'!$D$1:$K$1,0)),"")</f>
        <v>4202.92.90.00</v>
      </c>
      <c r="I1050" s="8" t="str">
        <f>_xlfn.IFNA(INDEX('HS Codes'!$D$2:$K3604,MATCH($B1050,'HS Codes'!$A$2:$A3604,0),MATCH(I$1,'HS Codes'!$D$1:$K$1,0)),"")</f>
        <v>4202 9298 90</v>
      </c>
      <c r="J1050" s="8">
        <f>_xlfn.IFNA(INDEX('HS Codes'!$D$2:$K3604,MATCH($B1050,'HS Codes'!$A$2:$A3604,0),MATCH(J$1,'HS Codes'!$D$1:$K$1,0)),"")</f>
        <v>0</v>
      </c>
      <c r="K1050" s="8" t="str">
        <f>_xlfn.IFNA(INDEX('HS Codes'!$D$2:$K3604,MATCH($B1050,'HS Codes'!$A$2:$A3604,0),MATCH(K$1,'HS Codes'!$D$1:$K$1,0)),"")</f>
        <v>4202.92.90</v>
      </c>
      <c r="L1050" s="8">
        <f>_xlfn.IFNA(INDEX('HS Codes'!$D$2:$K3604,MATCH($B1050,'HS Codes'!$A$2:$A3604,0),MATCH(L$1,'HS Codes'!$D$1:$K$1,0)),"")</f>
        <v>42029100</v>
      </c>
      <c r="M1050" s="8" t="str">
        <f>_xlfn.IFNA(INDEX('HS Codes'!$C$2:$C3604,MATCH($B1050,'HS Codes'!$A$2:$A3604,0)),"")</f>
        <v>Shopping Bag 100% recycled polyester</v>
      </c>
      <c r="N1050" s="9"/>
      <c r="O1050" s="9"/>
      <c r="P1050" s="9"/>
      <c r="Q1050" s="9"/>
    </row>
    <row r="1051" spans="1:17" ht="15.75" customHeight="1">
      <c r="A1051" s="7" t="s">
        <v>1344</v>
      </c>
      <c r="B1051" s="7" t="s">
        <v>77</v>
      </c>
      <c r="C1051" s="7" t="s">
        <v>275</v>
      </c>
      <c r="D1051" s="7" t="s">
        <v>78</v>
      </c>
      <c r="E1051" s="7" t="s">
        <v>276</v>
      </c>
      <c r="F1051" s="8" t="str">
        <f>_xlfn.IFNA(INDEX('HS Codes'!$D$2:$K3605,MATCH($B1051,'HS Codes'!$A$2:$A3605,0),MATCH(F$1,'HS Codes'!$D$1:$K$1,0)),"")</f>
        <v>4202.92.91.00</v>
      </c>
      <c r="G1051" s="8">
        <f>_xlfn.IFNA(INDEX('HS Codes'!$D$2:$K3605,MATCH($B1051,'HS Codes'!$A$2:$A3605,0),MATCH(G$1,'HS Codes'!$D$1:$K$1,0)),"")</f>
        <v>4202921900</v>
      </c>
      <c r="H1051" s="8" t="str">
        <f>_xlfn.IFNA(INDEX('HS Codes'!$D$2:$K3605,MATCH($B1051,'HS Codes'!$A$2:$A3605,0),MATCH(H$1,'HS Codes'!$D$1:$K$1,0)),"")</f>
        <v>4202.92.90.00</v>
      </c>
      <c r="I1051" s="8" t="str">
        <f>_xlfn.IFNA(INDEX('HS Codes'!$D$2:$K3605,MATCH($B1051,'HS Codes'!$A$2:$A3605,0),MATCH(I$1,'HS Codes'!$D$1:$K$1,0)),"")</f>
        <v>4202 9298 90</v>
      </c>
      <c r="J1051" s="8">
        <f>_xlfn.IFNA(INDEX('HS Codes'!$D$2:$K3605,MATCH($B1051,'HS Codes'!$A$2:$A3605,0),MATCH(J$1,'HS Codes'!$D$1:$K$1,0)),"")</f>
        <v>0</v>
      </c>
      <c r="K1051" s="8" t="str">
        <f>_xlfn.IFNA(INDEX('HS Codes'!$D$2:$K3605,MATCH($B1051,'HS Codes'!$A$2:$A3605,0),MATCH(K$1,'HS Codes'!$D$1:$K$1,0)),"")</f>
        <v>4202.92.90</v>
      </c>
      <c r="L1051" s="8">
        <f>_xlfn.IFNA(INDEX('HS Codes'!$D$2:$K3605,MATCH($B1051,'HS Codes'!$A$2:$A3605,0),MATCH(L$1,'HS Codes'!$D$1:$K$1,0)),"")</f>
        <v>42029100</v>
      </c>
      <c r="M1051" s="8" t="str">
        <f>_xlfn.IFNA(INDEX('HS Codes'!$C$2:$C3605,MATCH($B1051,'HS Codes'!$A$2:$A3605,0)),"")</f>
        <v>Shopping Bag 100% recycled polyester</v>
      </c>
      <c r="N1051" s="9"/>
      <c r="O1051" s="9"/>
      <c r="P1051" s="9"/>
      <c r="Q1051" s="9"/>
    </row>
    <row r="1052" spans="1:17" ht="15.75" customHeight="1">
      <c r="A1052" s="7" t="s">
        <v>1345</v>
      </c>
      <c r="B1052" s="7" t="s">
        <v>93</v>
      </c>
      <c r="C1052" s="7"/>
      <c r="D1052" s="7" t="s">
        <v>94</v>
      </c>
      <c r="E1052" s="7" t="s">
        <v>838</v>
      </c>
      <c r="F1052" s="8" t="str">
        <f>_xlfn.IFNA(INDEX('HS Codes'!$D$2:$K3606,MATCH($B1052,'HS Codes'!$A$2:$A3606,0),MATCH(F$1,'HS Codes'!$D$1:$K$1,0)),"")</f>
        <v>7310.29.00</v>
      </c>
      <c r="G1052" s="8">
        <f>_xlfn.IFNA(INDEX('HS Codes'!$D$2:$K3606,MATCH($B1052,'HS Codes'!$A$2:$A3606,0),MATCH(G$1,'HS Codes'!$D$1:$K$1,0)),"")</f>
        <v>7310299000</v>
      </c>
      <c r="H1052" s="8" t="str">
        <f>_xlfn.IFNA(INDEX('HS Codes'!$D$2:$K3606,MATCH($B1052,'HS Codes'!$A$2:$A3606,0),MATCH(H$1,'HS Codes'!$D$1:$K$1,0)),"")</f>
        <v>7310.29.00</v>
      </c>
      <c r="I1052" s="8">
        <f>_xlfn.IFNA(INDEX('HS Codes'!$D$2:$K3606,MATCH($B1052,'HS Codes'!$A$2:$A3606,0),MATCH(I$1,'HS Codes'!$D$1:$K$1,0)),"")</f>
        <v>73102191</v>
      </c>
      <c r="J1052" s="8">
        <f>_xlfn.IFNA(INDEX('HS Codes'!$D$2:$K3606,MATCH($B1052,'HS Codes'!$A$2:$A3606,0),MATCH(J$1,'HS Codes'!$D$1:$K$1,0)),"")</f>
        <v>0</v>
      </c>
      <c r="K1052" s="8" t="str">
        <f>_xlfn.IFNA(INDEX('HS Codes'!$D$2:$K3606,MATCH($B1052,'HS Codes'!$A$2:$A3606,0),MATCH(K$1,'HS Codes'!$D$1:$K$1,0)),"")</f>
        <v>7310.21.10</v>
      </c>
      <c r="L1052" s="8">
        <f>_xlfn.IFNA(INDEX('HS Codes'!$D$2:$K3606,MATCH($B1052,'HS Codes'!$A$2:$A3606,0),MATCH(L$1,'HS Codes'!$D$1:$K$1,0)),"")</f>
        <v>0</v>
      </c>
      <c r="M1052" s="8" t="str">
        <f>_xlfn.IFNA(INDEX('HS Codes'!$C$2:$C3606,MATCH($B1052,'HS Codes'!$A$2:$A3606,0)),"")</f>
        <v>Bottle</v>
      </c>
      <c r="N1052" s="9"/>
      <c r="O1052" s="9"/>
      <c r="P1052" s="9"/>
      <c r="Q1052" s="9"/>
    </row>
    <row r="1053" spans="1:17" ht="15.75" customHeight="1">
      <c r="A1053" s="7" t="s">
        <v>1346</v>
      </c>
      <c r="B1053" s="7" t="s">
        <v>93</v>
      </c>
      <c r="C1053" s="7"/>
      <c r="D1053" s="7" t="s">
        <v>94</v>
      </c>
      <c r="E1053" s="7" t="s">
        <v>838</v>
      </c>
      <c r="F1053" s="8" t="str">
        <f>_xlfn.IFNA(INDEX('HS Codes'!$D$2:$K3607,MATCH($B1053,'HS Codes'!$A$2:$A3607,0),MATCH(F$1,'HS Codes'!$D$1:$K$1,0)),"")</f>
        <v>7310.29.00</v>
      </c>
      <c r="G1053" s="8">
        <f>_xlfn.IFNA(INDEX('HS Codes'!$D$2:$K3607,MATCH($B1053,'HS Codes'!$A$2:$A3607,0),MATCH(G$1,'HS Codes'!$D$1:$K$1,0)),"")</f>
        <v>7310299000</v>
      </c>
      <c r="H1053" s="8" t="str">
        <f>_xlfn.IFNA(INDEX('HS Codes'!$D$2:$K3607,MATCH($B1053,'HS Codes'!$A$2:$A3607,0),MATCH(H$1,'HS Codes'!$D$1:$K$1,0)),"")</f>
        <v>7310.29.00</v>
      </c>
      <c r="I1053" s="8">
        <f>_xlfn.IFNA(INDEX('HS Codes'!$D$2:$K3607,MATCH($B1053,'HS Codes'!$A$2:$A3607,0),MATCH(I$1,'HS Codes'!$D$1:$K$1,0)),"")</f>
        <v>73102191</v>
      </c>
      <c r="J1053" s="8">
        <f>_xlfn.IFNA(INDEX('HS Codes'!$D$2:$K3607,MATCH($B1053,'HS Codes'!$A$2:$A3607,0),MATCH(J$1,'HS Codes'!$D$1:$K$1,0)),"")</f>
        <v>0</v>
      </c>
      <c r="K1053" s="8" t="str">
        <f>_xlfn.IFNA(INDEX('HS Codes'!$D$2:$K3607,MATCH($B1053,'HS Codes'!$A$2:$A3607,0),MATCH(K$1,'HS Codes'!$D$1:$K$1,0)),"")</f>
        <v>7310.21.10</v>
      </c>
      <c r="L1053" s="8">
        <f>_xlfn.IFNA(INDEX('HS Codes'!$D$2:$K3607,MATCH($B1053,'HS Codes'!$A$2:$A3607,0),MATCH(L$1,'HS Codes'!$D$1:$K$1,0)),"")</f>
        <v>0</v>
      </c>
      <c r="M1053" s="8" t="str">
        <f>_xlfn.IFNA(INDEX('HS Codes'!$C$2:$C3607,MATCH($B1053,'HS Codes'!$A$2:$A3607,0)),"")</f>
        <v>Bottle</v>
      </c>
      <c r="N1053" s="9"/>
      <c r="O1053" s="9"/>
      <c r="P1053" s="9"/>
      <c r="Q1053" s="9"/>
    </row>
    <row r="1054" spans="1:17" ht="15.75" customHeight="1">
      <c r="A1054" s="7" t="s">
        <v>1347</v>
      </c>
      <c r="B1054" s="7" t="s">
        <v>93</v>
      </c>
      <c r="C1054" s="7"/>
      <c r="D1054" s="7" t="s">
        <v>94</v>
      </c>
      <c r="E1054" s="7" t="s">
        <v>838</v>
      </c>
      <c r="F1054" s="8" t="str">
        <f>_xlfn.IFNA(INDEX('HS Codes'!$D$2:$K3608,MATCH($B1054,'HS Codes'!$A$2:$A3608,0),MATCH(F$1,'HS Codes'!$D$1:$K$1,0)),"")</f>
        <v>7310.29.00</v>
      </c>
      <c r="G1054" s="8">
        <f>_xlfn.IFNA(INDEX('HS Codes'!$D$2:$K3608,MATCH($B1054,'HS Codes'!$A$2:$A3608,0),MATCH(G$1,'HS Codes'!$D$1:$K$1,0)),"")</f>
        <v>7310299000</v>
      </c>
      <c r="H1054" s="8" t="str">
        <f>_xlfn.IFNA(INDEX('HS Codes'!$D$2:$K3608,MATCH($B1054,'HS Codes'!$A$2:$A3608,0),MATCH(H$1,'HS Codes'!$D$1:$K$1,0)),"")</f>
        <v>7310.29.00</v>
      </c>
      <c r="I1054" s="8">
        <f>_xlfn.IFNA(INDEX('HS Codes'!$D$2:$K3608,MATCH($B1054,'HS Codes'!$A$2:$A3608,0),MATCH(I$1,'HS Codes'!$D$1:$K$1,0)),"")</f>
        <v>73102191</v>
      </c>
      <c r="J1054" s="8">
        <f>_xlfn.IFNA(INDEX('HS Codes'!$D$2:$K3608,MATCH($B1054,'HS Codes'!$A$2:$A3608,0),MATCH(J$1,'HS Codes'!$D$1:$K$1,0)),"")</f>
        <v>0</v>
      </c>
      <c r="K1054" s="8" t="str">
        <f>_xlfn.IFNA(INDEX('HS Codes'!$D$2:$K3608,MATCH($B1054,'HS Codes'!$A$2:$A3608,0),MATCH(K$1,'HS Codes'!$D$1:$K$1,0)),"")</f>
        <v>7310.21.10</v>
      </c>
      <c r="L1054" s="8">
        <f>_xlfn.IFNA(INDEX('HS Codes'!$D$2:$K3608,MATCH($B1054,'HS Codes'!$A$2:$A3608,0),MATCH(L$1,'HS Codes'!$D$1:$K$1,0)),"")</f>
        <v>0</v>
      </c>
      <c r="M1054" s="8" t="str">
        <f>_xlfn.IFNA(INDEX('HS Codes'!$C$2:$C3608,MATCH($B1054,'HS Codes'!$A$2:$A3608,0)),"")</f>
        <v>Bottle</v>
      </c>
      <c r="N1054" s="9"/>
      <c r="O1054" s="9"/>
      <c r="P1054" s="9"/>
      <c r="Q1054" s="9"/>
    </row>
    <row r="1055" spans="1:17" ht="15.75" customHeight="1">
      <c r="A1055" s="7" t="s">
        <v>1348</v>
      </c>
      <c r="B1055" s="7" t="s">
        <v>93</v>
      </c>
      <c r="C1055" s="7"/>
      <c r="D1055" s="7" t="s">
        <v>94</v>
      </c>
      <c r="E1055" s="7" t="s">
        <v>838</v>
      </c>
      <c r="F1055" s="8" t="str">
        <f>_xlfn.IFNA(INDEX('HS Codes'!$D$2:$K3609,MATCH($B1055,'HS Codes'!$A$2:$A3609,0),MATCH(F$1,'HS Codes'!$D$1:$K$1,0)),"")</f>
        <v>7310.29.00</v>
      </c>
      <c r="G1055" s="8">
        <f>_xlfn.IFNA(INDEX('HS Codes'!$D$2:$K3609,MATCH($B1055,'HS Codes'!$A$2:$A3609,0),MATCH(G$1,'HS Codes'!$D$1:$K$1,0)),"")</f>
        <v>7310299000</v>
      </c>
      <c r="H1055" s="8" t="str">
        <f>_xlfn.IFNA(INDEX('HS Codes'!$D$2:$K3609,MATCH($B1055,'HS Codes'!$A$2:$A3609,0),MATCH(H$1,'HS Codes'!$D$1:$K$1,0)),"")</f>
        <v>7310.29.00</v>
      </c>
      <c r="I1055" s="8">
        <f>_xlfn.IFNA(INDEX('HS Codes'!$D$2:$K3609,MATCH($B1055,'HS Codes'!$A$2:$A3609,0),MATCH(I$1,'HS Codes'!$D$1:$K$1,0)),"")</f>
        <v>73102191</v>
      </c>
      <c r="J1055" s="8">
        <f>_xlfn.IFNA(INDEX('HS Codes'!$D$2:$K3609,MATCH($B1055,'HS Codes'!$A$2:$A3609,0),MATCH(J$1,'HS Codes'!$D$1:$K$1,0)),"")</f>
        <v>0</v>
      </c>
      <c r="K1055" s="8" t="str">
        <f>_xlfn.IFNA(INDEX('HS Codes'!$D$2:$K3609,MATCH($B1055,'HS Codes'!$A$2:$A3609,0),MATCH(K$1,'HS Codes'!$D$1:$K$1,0)),"")</f>
        <v>7310.21.10</v>
      </c>
      <c r="L1055" s="8">
        <f>_xlfn.IFNA(INDEX('HS Codes'!$D$2:$K3609,MATCH($B1055,'HS Codes'!$A$2:$A3609,0),MATCH(L$1,'HS Codes'!$D$1:$K$1,0)),"")</f>
        <v>0</v>
      </c>
      <c r="M1055" s="8" t="str">
        <f>_xlfn.IFNA(INDEX('HS Codes'!$C$2:$C3609,MATCH($B1055,'HS Codes'!$A$2:$A3609,0)),"")</f>
        <v>Bottle</v>
      </c>
      <c r="N1055" s="9"/>
      <c r="O1055" s="9"/>
      <c r="P1055" s="9"/>
      <c r="Q1055" s="9"/>
    </row>
    <row r="1056" spans="1:17" ht="15.75" customHeight="1">
      <c r="A1056" s="7" t="s">
        <v>1349</v>
      </c>
      <c r="B1056" s="7" t="s">
        <v>93</v>
      </c>
      <c r="C1056" s="7"/>
      <c r="D1056" s="7" t="s">
        <v>94</v>
      </c>
      <c r="E1056" s="7" t="s">
        <v>838</v>
      </c>
      <c r="F1056" s="8" t="str">
        <f>_xlfn.IFNA(INDEX('HS Codes'!$D$2:$K3610,MATCH($B1056,'HS Codes'!$A$2:$A3610,0),MATCH(F$1,'HS Codes'!$D$1:$K$1,0)),"")</f>
        <v>7310.29.00</v>
      </c>
      <c r="G1056" s="8">
        <f>_xlfn.IFNA(INDEX('HS Codes'!$D$2:$K3610,MATCH($B1056,'HS Codes'!$A$2:$A3610,0),MATCH(G$1,'HS Codes'!$D$1:$K$1,0)),"")</f>
        <v>7310299000</v>
      </c>
      <c r="H1056" s="8" t="str">
        <f>_xlfn.IFNA(INDEX('HS Codes'!$D$2:$K3610,MATCH($B1056,'HS Codes'!$A$2:$A3610,0),MATCH(H$1,'HS Codes'!$D$1:$K$1,0)),"")</f>
        <v>7310.29.00</v>
      </c>
      <c r="I1056" s="8">
        <f>_xlfn.IFNA(INDEX('HS Codes'!$D$2:$K3610,MATCH($B1056,'HS Codes'!$A$2:$A3610,0),MATCH(I$1,'HS Codes'!$D$1:$K$1,0)),"")</f>
        <v>73102191</v>
      </c>
      <c r="J1056" s="8">
        <f>_xlfn.IFNA(INDEX('HS Codes'!$D$2:$K3610,MATCH($B1056,'HS Codes'!$A$2:$A3610,0),MATCH(J$1,'HS Codes'!$D$1:$K$1,0)),"")</f>
        <v>0</v>
      </c>
      <c r="K1056" s="8" t="str">
        <f>_xlfn.IFNA(INDEX('HS Codes'!$D$2:$K3610,MATCH($B1056,'HS Codes'!$A$2:$A3610,0),MATCH(K$1,'HS Codes'!$D$1:$K$1,0)),"")</f>
        <v>7310.21.10</v>
      </c>
      <c r="L1056" s="8">
        <f>_xlfn.IFNA(INDEX('HS Codes'!$D$2:$K3610,MATCH($B1056,'HS Codes'!$A$2:$A3610,0),MATCH(L$1,'HS Codes'!$D$1:$K$1,0)),"")</f>
        <v>0</v>
      </c>
      <c r="M1056" s="8" t="str">
        <f>_xlfn.IFNA(INDEX('HS Codes'!$C$2:$C3610,MATCH($B1056,'HS Codes'!$A$2:$A3610,0)),"")</f>
        <v>Bottle</v>
      </c>
      <c r="N1056" s="9"/>
      <c r="O1056" s="9"/>
      <c r="P1056" s="9"/>
      <c r="Q1056" s="9"/>
    </row>
    <row r="1057" spans="1:17" ht="15.75" customHeight="1">
      <c r="A1057" s="7" t="s">
        <v>1350</v>
      </c>
      <c r="B1057" s="7" t="s">
        <v>93</v>
      </c>
      <c r="C1057" s="7"/>
      <c r="D1057" s="7" t="s">
        <v>94</v>
      </c>
      <c r="E1057" s="7" t="s">
        <v>838</v>
      </c>
      <c r="F1057" s="8" t="str">
        <f>_xlfn.IFNA(INDEX('HS Codes'!$D$2:$K3611,MATCH($B1057,'HS Codes'!$A$2:$A3611,0),MATCH(F$1,'HS Codes'!$D$1:$K$1,0)),"")</f>
        <v>7310.29.00</v>
      </c>
      <c r="G1057" s="8">
        <f>_xlfn.IFNA(INDEX('HS Codes'!$D$2:$K3611,MATCH($B1057,'HS Codes'!$A$2:$A3611,0),MATCH(G$1,'HS Codes'!$D$1:$K$1,0)),"")</f>
        <v>7310299000</v>
      </c>
      <c r="H1057" s="8" t="str">
        <f>_xlfn.IFNA(INDEX('HS Codes'!$D$2:$K3611,MATCH($B1057,'HS Codes'!$A$2:$A3611,0),MATCH(H$1,'HS Codes'!$D$1:$K$1,0)),"")</f>
        <v>7310.29.00</v>
      </c>
      <c r="I1057" s="8">
        <f>_xlfn.IFNA(INDEX('HS Codes'!$D$2:$K3611,MATCH($B1057,'HS Codes'!$A$2:$A3611,0),MATCH(I$1,'HS Codes'!$D$1:$K$1,0)),"")</f>
        <v>73102191</v>
      </c>
      <c r="J1057" s="8">
        <f>_xlfn.IFNA(INDEX('HS Codes'!$D$2:$K3611,MATCH($B1057,'HS Codes'!$A$2:$A3611,0),MATCH(J$1,'HS Codes'!$D$1:$K$1,0)),"")</f>
        <v>0</v>
      </c>
      <c r="K1057" s="8" t="str">
        <f>_xlfn.IFNA(INDEX('HS Codes'!$D$2:$K3611,MATCH($B1057,'HS Codes'!$A$2:$A3611,0),MATCH(K$1,'HS Codes'!$D$1:$K$1,0)),"")</f>
        <v>7310.21.10</v>
      </c>
      <c r="L1057" s="8">
        <f>_xlfn.IFNA(INDEX('HS Codes'!$D$2:$K3611,MATCH($B1057,'HS Codes'!$A$2:$A3611,0),MATCH(L$1,'HS Codes'!$D$1:$K$1,0)),"")</f>
        <v>0</v>
      </c>
      <c r="M1057" s="8" t="str">
        <f>_xlfn.IFNA(INDEX('HS Codes'!$C$2:$C3611,MATCH($B1057,'HS Codes'!$A$2:$A3611,0)),"")</f>
        <v>Bottle</v>
      </c>
      <c r="N1057" s="9"/>
      <c r="O1057" s="9"/>
      <c r="P1057" s="9"/>
      <c r="Q1057" s="9"/>
    </row>
    <row r="1058" spans="1:17" ht="15.75" customHeight="1">
      <c r="A1058" s="7" t="s">
        <v>1351</v>
      </c>
      <c r="B1058" s="7" t="s">
        <v>93</v>
      </c>
      <c r="C1058" s="7"/>
      <c r="D1058" s="7" t="s">
        <v>94</v>
      </c>
      <c r="E1058" s="7" t="s">
        <v>838</v>
      </c>
      <c r="F1058" s="8" t="str">
        <f>_xlfn.IFNA(INDEX('HS Codes'!$D$2:$K3612,MATCH($B1058,'HS Codes'!$A$2:$A3612,0),MATCH(F$1,'HS Codes'!$D$1:$K$1,0)),"")</f>
        <v>7310.29.00</v>
      </c>
      <c r="G1058" s="8">
        <f>_xlfn.IFNA(INDEX('HS Codes'!$D$2:$K3612,MATCH($B1058,'HS Codes'!$A$2:$A3612,0),MATCH(G$1,'HS Codes'!$D$1:$K$1,0)),"")</f>
        <v>7310299000</v>
      </c>
      <c r="H1058" s="8" t="str">
        <f>_xlfn.IFNA(INDEX('HS Codes'!$D$2:$K3612,MATCH($B1058,'HS Codes'!$A$2:$A3612,0),MATCH(H$1,'HS Codes'!$D$1:$K$1,0)),"")</f>
        <v>7310.29.00</v>
      </c>
      <c r="I1058" s="8">
        <f>_xlfn.IFNA(INDEX('HS Codes'!$D$2:$K3612,MATCH($B1058,'HS Codes'!$A$2:$A3612,0),MATCH(I$1,'HS Codes'!$D$1:$K$1,0)),"")</f>
        <v>73102191</v>
      </c>
      <c r="J1058" s="8">
        <f>_xlfn.IFNA(INDEX('HS Codes'!$D$2:$K3612,MATCH($B1058,'HS Codes'!$A$2:$A3612,0),MATCH(J$1,'HS Codes'!$D$1:$K$1,0)),"")</f>
        <v>0</v>
      </c>
      <c r="K1058" s="8" t="str">
        <f>_xlfn.IFNA(INDEX('HS Codes'!$D$2:$K3612,MATCH($B1058,'HS Codes'!$A$2:$A3612,0),MATCH(K$1,'HS Codes'!$D$1:$K$1,0)),"")</f>
        <v>7310.21.10</v>
      </c>
      <c r="L1058" s="8">
        <f>_xlfn.IFNA(INDEX('HS Codes'!$D$2:$K3612,MATCH($B1058,'HS Codes'!$A$2:$A3612,0),MATCH(L$1,'HS Codes'!$D$1:$K$1,0)),"")</f>
        <v>0</v>
      </c>
      <c r="M1058" s="8" t="str">
        <f>_xlfn.IFNA(INDEX('HS Codes'!$C$2:$C3612,MATCH($B1058,'HS Codes'!$A$2:$A3612,0)),"")</f>
        <v>Bottle</v>
      </c>
      <c r="N1058" s="9"/>
      <c r="O1058" s="9"/>
      <c r="P1058" s="9"/>
      <c r="Q1058" s="9"/>
    </row>
    <row r="1059" spans="1:17" ht="15.75" customHeight="1">
      <c r="A1059" s="7" t="s">
        <v>1352</v>
      </c>
      <c r="B1059" s="7" t="s">
        <v>169</v>
      </c>
      <c r="C1059" s="7" t="s">
        <v>278</v>
      </c>
      <c r="D1059" s="7" t="s">
        <v>170</v>
      </c>
      <c r="E1059" s="7" t="s">
        <v>348</v>
      </c>
      <c r="F1059" s="8" t="str">
        <f>_xlfn.IFNA(INDEX('HS Codes'!$D$2:$K3613,MATCH($B1059,'HS Codes'!$A$2:$A3613,0),MATCH(F$1,'HS Codes'!$D$1:$K$1,0)),"")</f>
        <v>6302.93.2000</v>
      </c>
      <c r="G1059" s="8">
        <f>_xlfn.IFNA(INDEX('HS Codes'!$D$2:$K3613,MATCH($B1059,'HS Codes'!$A$2:$A3613,0),MATCH(G$1,'HS Codes'!$D$1:$K$1,0)),"")</f>
        <v>6302600090</v>
      </c>
      <c r="H1059" s="8" t="str">
        <f>_xlfn.IFNA(INDEX('HS Codes'!$D$2:$K3613,MATCH($B1059,'HS Codes'!$A$2:$A3613,0),MATCH(H$1,'HS Codes'!$D$1:$K$1,0)),"")</f>
        <v>6302.93.00.00</v>
      </c>
      <c r="I1059" s="8">
        <f>_xlfn.IFNA(INDEX('HS Codes'!$D$2:$K3613,MATCH($B1059,'HS Codes'!$A$2:$A3613,0),MATCH(I$1,'HS Codes'!$D$1:$K$1,0)),"")</f>
        <v>6302939000</v>
      </c>
      <c r="J1059" s="8">
        <f>_xlfn.IFNA(INDEX('HS Codes'!$D$2:$K3613,MATCH($B1059,'HS Codes'!$A$2:$A3613,0),MATCH(J$1,'HS Codes'!$D$1:$K$1,0)),"")</f>
        <v>0</v>
      </c>
      <c r="K1059" s="8" t="str">
        <f>_xlfn.IFNA(INDEX('HS Codes'!$D$2:$K3613,MATCH($B1059,'HS Codes'!$A$2:$A3613,0),MATCH(K$1,'HS Codes'!$D$1:$K$1,0)),"")</f>
        <v>6302.39.00</v>
      </c>
      <c r="L1059" s="8">
        <f>_xlfn.IFNA(INDEX('HS Codes'!$D$2:$K3613,MATCH($B1059,'HS Codes'!$A$2:$A3613,0),MATCH(L$1,'HS Codes'!$D$1:$K$1,0)),"")</f>
        <v>63029120</v>
      </c>
      <c r="M1059" s="8" t="str">
        <f>_xlfn.IFNA(INDEX('HS Codes'!$C$2:$C3613,MATCH($B1059,'HS Codes'!$A$2:$A3613,0)),"")</f>
        <v>Fitness Towels - Toilet Linen 100% recycled 220 GSM/83% polyester/17% polyamide (no cotton)</v>
      </c>
      <c r="N1059" s="9"/>
      <c r="O1059" s="9"/>
      <c r="P1059" s="9"/>
      <c r="Q1059" s="9"/>
    </row>
    <row r="1060" spans="1:17" ht="15.75" customHeight="1">
      <c r="A1060" s="7" t="s">
        <v>1353</v>
      </c>
      <c r="B1060" s="7" t="s">
        <v>169</v>
      </c>
      <c r="C1060" s="7" t="s">
        <v>278</v>
      </c>
      <c r="D1060" s="7" t="s">
        <v>170</v>
      </c>
      <c r="E1060" s="7" t="s">
        <v>348</v>
      </c>
      <c r="F1060" s="8" t="str">
        <f>_xlfn.IFNA(INDEX('HS Codes'!$D$2:$K3614,MATCH($B1060,'HS Codes'!$A$2:$A3614,0),MATCH(F$1,'HS Codes'!$D$1:$K$1,0)),"")</f>
        <v>6302.93.2000</v>
      </c>
      <c r="G1060" s="8">
        <f>_xlfn.IFNA(INDEX('HS Codes'!$D$2:$K3614,MATCH($B1060,'HS Codes'!$A$2:$A3614,0),MATCH(G$1,'HS Codes'!$D$1:$K$1,0)),"")</f>
        <v>6302600090</v>
      </c>
      <c r="H1060" s="8" t="str">
        <f>_xlfn.IFNA(INDEX('HS Codes'!$D$2:$K3614,MATCH($B1060,'HS Codes'!$A$2:$A3614,0),MATCH(H$1,'HS Codes'!$D$1:$K$1,0)),"")</f>
        <v>6302.93.00.00</v>
      </c>
      <c r="I1060" s="8">
        <f>_xlfn.IFNA(INDEX('HS Codes'!$D$2:$K3614,MATCH($B1060,'HS Codes'!$A$2:$A3614,0),MATCH(I$1,'HS Codes'!$D$1:$K$1,0)),"")</f>
        <v>6302939000</v>
      </c>
      <c r="J1060" s="8">
        <f>_xlfn.IFNA(INDEX('HS Codes'!$D$2:$K3614,MATCH($B1060,'HS Codes'!$A$2:$A3614,0),MATCH(J$1,'HS Codes'!$D$1:$K$1,0)),"")</f>
        <v>0</v>
      </c>
      <c r="K1060" s="8" t="str">
        <f>_xlfn.IFNA(INDEX('HS Codes'!$D$2:$K3614,MATCH($B1060,'HS Codes'!$A$2:$A3614,0),MATCH(K$1,'HS Codes'!$D$1:$K$1,0)),"")</f>
        <v>6302.39.00</v>
      </c>
      <c r="L1060" s="8">
        <f>_xlfn.IFNA(INDEX('HS Codes'!$D$2:$K3614,MATCH($B1060,'HS Codes'!$A$2:$A3614,0),MATCH(L$1,'HS Codes'!$D$1:$K$1,0)),"")</f>
        <v>63029120</v>
      </c>
      <c r="M1060" s="8" t="str">
        <f>_xlfn.IFNA(INDEX('HS Codes'!$C$2:$C3614,MATCH($B1060,'HS Codes'!$A$2:$A3614,0)),"")</f>
        <v>Fitness Towels - Toilet Linen 100% recycled 220 GSM/83% polyester/17% polyamide (no cotton)</v>
      </c>
      <c r="N1060" s="9"/>
      <c r="O1060" s="9"/>
      <c r="P1060" s="9"/>
      <c r="Q1060" s="9"/>
    </row>
    <row r="1061" spans="1:17" ht="15.75" customHeight="1">
      <c r="A1061" s="7" t="s">
        <v>1354</v>
      </c>
      <c r="B1061" s="7" t="s">
        <v>169</v>
      </c>
      <c r="C1061" s="7" t="s">
        <v>278</v>
      </c>
      <c r="D1061" s="7" t="s">
        <v>170</v>
      </c>
      <c r="E1061" s="7" t="s">
        <v>348</v>
      </c>
      <c r="F1061" s="8" t="str">
        <f>_xlfn.IFNA(INDEX('HS Codes'!$D$2:$K3615,MATCH($B1061,'HS Codes'!$A$2:$A3615,0),MATCH(F$1,'HS Codes'!$D$1:$K$1,0)),"")</f>
        <v>6302.93.2000</v>
      </c>
      <c r="G1061" s="8">
        <f>_xlfn.IFNA(INDEX('HS Codes'!$D$2:$K3615,MATCH($B1061,'HS Codes'!$A$2:$A3615,0),MATCH(G$1,'HS Codes'!$D$1:$K$1,0)),"")</f>
        <v>6302600090</v>
      </c>
      <c r="H1061" s="8" t="str">
        <f>_xlfn.IFNA(INDEX('HS Codes'!$D$2:$K3615,MATCH($B1061,'HS Codes'!$A$2:$A3615,0),MATCH(H$1,'HS Codes'!$D$1:$K$1,0)),"")</f>
        <v>6302.93.00.00</v>
      </c>
      <c r="I1061" s="8">
        <f>_xlfn.IFNA(INDEX('HS Codes'!$D$2:$K3615,MATCH($B1061,'HS Codes'!$A$2:$A3615,0),MATCH(I$1,'HS Codes'!$D$1:$K$1,0)),"")</f>
        <v>6302939000</v>
      </c>
      <c r="J1061" s="8">
        <f>_xlfn.IFNA(INDEX('HS Codes'!$D$2:$K3615,MATCH($B1061,'HS Codes'!$A$2:$A3615,0),MATCH(J$1,'HS Codes'!$D$1:$K$1,0)),"")</f>
        <v>0</v>
      </c>
      <c r="K1061" s="8" t="str">
        <f>_xlfn.IFNA(INDEX('HS Codes'!$D$2:$K3615,MATCH($B1061,'HS Codes'!$A$2:$A3615,0),MATCH(K$1,'HS Codes'!$D$1:$K$1,0)),"")</f>
        <v>6302.39.00</v>
      </c>
      <c r="L1061" s="8">
        <f>_xlfn.IFNA(INDEX('HS Codes'!$D$2:$K3615,MATCH($B1061,'HS Codes'!$A$2:$A3615,0),MATCH(L$1,'HS Codes'!$D$1:$K$1,0)),"")</f>
        <v>63029120</v>
      </c>
      <c r="M1061" s="8" t="str">
        <f>_xlfn.IFNA(INDEX('HS Codes'!$C$2:$C3615,MATCH($B1061,'HS Codes'!$A$2:$A3615,0)),"")</f>
        <v>Fitness Towels - Toilet Linen 100% recycled 220 GSM/83% polyester/17% polyamide (no cotton)</v>
      </c>
      <c r="N1061" s="9"/>
      <c r="O1061" s="9"/>
      <c r="P1061" s="9"/>
      <c r="Q1061" s="9"/>
    </row>
    <row r="1062" spans="1:17" ht="15.75" customHeight="1">
      <c r="A1062" s="7" t="s">
        <v>1355</v>
      </c>
      <c r="B1062" s="7" t="s">
        <v>175</v>
      </c>
      <c r="C1062" s="7"/>
      <c r="D1062" s="7" t="s">
        <v>176</v>
      </c>
      <c r="E1062" s="7" t="s">
        <v>322</v>
      </c>
      <c r="F1062" s="8">
        <f>_xlfn.IFNA(INDEX('HS Codes'!$D$2:$K3616,MATCH($B1062,'HS Codes'!$A$2:$A3616,0),MATCH(F$1,'HS Codes'!$D$1:$K$1,0)),"")</f>
        <v>0</v>
      </c>
      <c r="G1062" s="8">
        <f>_xlfn.IFNA(INDEX('HS Codes'!$D$2:$K3616,MATCH($B1062,'HS Codes'!$A$2:$A3616,0),MATCH(G$1,'HS Codes'!$D$1:$K$1,0)),"")</f>
        <v>0</v>
      </c>
      <c r="H1062" s="8">
        <f>_xlfn.IFNA(INDEX('HS Codes'!$D$2:$K3616,MATCH($B1062,'HS Codes'!$A$2:$A3616,0),MATCH(H$1,'HS Codes'!$D$1:$K$1,0)),"")</f>
        <v>0</v>
      </c>
      <c r="I1062" s="8">
        <f>_xlfn.IFNA(INDEX('HS Codes'!$D$2:$K3616,MATCH($B1062,'HS Codes'!$A$2:$A3616,0),MATCH(I$1,'HS Codes'!$D$1:$K$1,0)),"")</f>
        <v>0</v>
      </c>
      <c r="J1062" s="8">
        <f>_xlfn.IFNA(INDEX('HS Codes'!$D$2:$K3616,MATCH($B1062,'HS Codes'!$A$2:$A3616,0),MATCH(J$1,'HS Codes'!$D$1:$K$1,0)),"")</f>
        <v>0</v>
      </c>
      <c r="K1062" s="8">
        <f>_xlfn.IFNA(INDEX('HS Codes'!$D$2:$K3616,MATCH($B1062,'HS Codes'!$A$2:$A3616,0),MATCH(K$1,'HS Codes'!$D$1:$K$1,0)),"")</f>
        <v>0</v>
      </c>
      <c r="L1062" s="8">
        <f>_xlfn.IFNA(INDEX('HS Codes'!$D$2:$K3616,MATCH($B1062,'HS Codes'!$A$2:$A3616,0),MATCH(L$1,'HS Codes'!$D$1:$K$1,0)),"")</f>
        <v>0</v>
      </c>
      <c r="M1062" s="8">
        <f>_xlfn.IFNA(INDEX('HS Codes'!$C$2:$C3616,MATCH($B1062,'HS Codes'!$A$2:$A3616,0)),"")</f>
        <v>0</v>
      </c>
      <c r="N1062" s="9"/>
      <c r="O1062" s="9"/>
      <c r="P1062" s="9"/>
      <c r="Q1062" s="9"/>
    </row>
    <row r="1063" spans="1:17" ht="15.75" customHeight="1">
      <c r="A1063" s="7" t="s">
        <v>1356</v>
      </c>
      <c r="B1063" s="7" t="s">
        <v>175</v>
      </c>
      <c r="C1063" s="7"/>
      <c r="D1063" s="7" t="s">
        <v>176</v>
      </c>
      <c r="E1063" s="7" t="s">
        <v>322</v>
      </c>
      <c r="F1063" s="8">
        <f>_xlfn.IFNA(INDEX('HS Codes'!$D$2:$K3617,MATCH($B1063,'HS Codes'!$A$2:$A3617,0),MATCH(F$1,'HS Codes'!$D$1:$K$1,0)),"")</f>
        <v>0</v>
      </c>
      <c r="G1063" s="8">
        <f>_xlfn.IFNA(INDEX('HS Codes'!$D$2:$K3617,MATCH($B1063,'HS Codes'!$A$2:$A3617,0),MATCH(G$1,'HS Codes'!$D$1:$K$1,0)),"")</f>
        <v>0</v>
      </c>
      <c r="H1063" s="8">
        <f>_xlfn.IFNA(INDEX('HS Codes'!$D$2:$K3617,MATCH($B1063,'HS Codes'!$A$2:$A3617,0),MATCH(H$1,'HS Codes'!$D$1:$K$1,0)),"")</f>
        <v>0</v>
      </c>
      <c r="I1063" s="8">
        <f>_xlfn.IFNA(INDEX('HS Codes'!$D$2:$K3617,MATCH($B1063,'HS Codes'!$A$2:$A3617,0),MATCH(I$1,'HS Codes'!$D$1:$K$1,0)),"")</f>
        <v>0</v>
      </c>
      <c r="J1063" s="8">
        <f>_xlfn.IFNA(INDEX('HS Codes'!$D$2:$K3617,MATCH($B1063,'HS Codes'!$A$2:$A3617,0),MATCH(J$1,'HS Codes'!$D$1:$K$1,0)),"")</f>
        <v>0</v>
      </c>
      <c r="K1063" s="8">
        <f>_xlfn.IFNA(INDEX('HS Codes'!$D$2:$K3617,MATCH($B1063,'HS Codes'!$A$2:$A3617,0),MATCH(K$1,'HS Codes'!$D$1:$K$1,0)),"")</f>
        <v>0</v>
      </c>
      <c r="L1063" s="8">
        <f>_xlfn.IFNA(INDEX('HS Codes'!$D$2:$K3617,MATCH($B1063,'HS Codes'!$A$2:$A3617,0),MATCH(L$1,'HS Codes'!$D$1:$K$1,0)),"")</f>
        <v>0</v>
      </c>
      <c r="M1063" s="8">
        <f>_xlfn.IFNA(INDEX('HS Codes'!$C$2:$C3617,MATCH($B1063,'HS Codes'!$A$2:$A3617,0)),"")</f>
        <v>0</v>
      </c>
      <c r="N1063" s="9"/>
      <c r="O1063" s="9"/>
      <c r="P1063" s="9"/>
      <c r="Q1063" s="9"/>
    </row>
    <row r="1064" spans="1:17" ht="15.75" customHeight="1">
      <c r="A1064" s="7" t="s">
        <v>1357</v>
      </c>
      <c r="B1064" s="7" t="s">
        <v>175</v>
      </c>
      <c r="C1064" s="7"/>
      <c r="D1064" s="7" t="s">
        <v>176</v>
      </c>
      <c r="E1064" s="7" t="s">
        <v>322</v>
      </c>
      <c r="F1064" s="8">
        <f>_xlfn.IFNA(INDEX('HS Codes'!$D$2:$K3618,MATCH($B1064,'HS Codes'!$A$2:$A3618,0),MATCH(F$1,'HS Codes'!$D$1:$K$1,0)),"")</f>
        <v>0</v>
      </c>
      <c r="G1064" s="8">
        <f>_xlfn.IFNA(INDEX('HS Codes'!$D$2:$K3618,MATCH($B1064,'HS Codes'!$A$2:$A3618,0),MATCH(G$1,'HS Codes'!$D$1:$K$1,0)),"")</f>
        <v>0</v>
      </c>
      <c r="H1064" s="8">
        <f>_xlfn.IFNA(INDEX('HS Codes'!$D$2:$K3618,MATCH($B1064,'HS Codes'!$A$2:$A3618,0),MATCH(H$1,'HS Codes'!$D$1:$K$1,0)),"")</f>
        <v>0</v>
      </c>
      <c r="I1064" s="8">
        <f>_xlfn.IFNA(INDEX('HS Codes'!$D$2:$K3618,MATCH($B1064,'HS Codes'!$A$2:$A3618,0),MATCH(I$1,'HS Codes'!$D$1:$K$1,0)),"")</f>
        <v>0</v>
      </c>
      <c r="J1064" s="8">
        <f>_xlfn.IFNA(INDEX('HS Codes'!$D$2:$K3618,MATCH($B1064,'HS Codes'!$A$2:$A3618,0),MATCH(J$1,'HS Codes'!$D$1:$K$1,0)),"")</f>
        <v>0</v>
      </c>
      <c r="K1064" s="8">
        <f>_xlfn.IFNA(INDEX('HS Codes'!$D$2:$K3618,MATCH($B1064,'HS Codes'!$A$2:$A3618,0),MATCH(K$1,'HS Codes'!$D$1:$K$1,0)),"")</f>
        <v>0</v>
      </c>
      <c r="L1064" s="8">
        <f>_xlfn.IFNA(INDEX('HS Codes'!$D$2:$K3618,MATCH($B1064,'HS Codes'!$A$2:$A3618,0),MATCH(L$1,'HS Codes'!$D$1:$K$1,0)),"")</f>
        <v>0</v>
      </c>
      <c r="M1064" s="8">
        <f>_xlfn.IFNA(INDEX('HS Codes'!$C$2:$C3618,MATCH($B1064,'HS Codes'!$A$2:$A3618,0)),"")</f>
        <v>0</v>
      </c>
      <c r="N1064" s="9"/>
      <c r="O1064" s="9"/>
      <c r="P1064" s="9"/>
      <c r="Q1064" s="9"/>
    </row>
    <row r="1065" spans="1:17" ht="15.75" customHeight="1">
      <c r="A1065" s="7" t="s">
        <v>1358</v>
      </c>
      <c r="B1065" s="7" t="s">
        <v>175</v>
      </c>
      <c r="C1065" s="7"/>
      <c r="D1065" s="7" t="s">
        <v>176</v>
      </c>
      <c r="E1065" s="7" t="s">
        <v>322</v>
      </c>
      <c r="F1065" s="8">
        <f>_xlfn.IFNA(INDEX('HS Codes'!$D$2:$K3619,MATCH($B1065,'HS Codes'!$A$2:$A3619,0),MATCH(F$1,'HS Codes'!$D$1:$K$1,0)),"")</f>
        <v>0</v>
      </c>
      <c r="G1065" s="8">
        <f>_xlfn.IFNA(INDEX('HS Codes'!$D$2:$K3619,MATCH($B1065,'HS Codes'!$A$2:$A3619,0),MATCH(G$1,'HS Codes'!$D$1:$K$1,0)),"")</f>
        <v>0</v>
      </c>
      <c r="H1065" s="8">
        <f>_xlfn.IFNA(INDEX('HS Codes'!$D$2:$K3619,MATCH($B1065,'HS Codes'!$A$2:$A3619,0),MATCH(H$1,'HS Codes'!$D$1:$K$1,0)),"")</f>
        <v>0</v>
      </c>
      <c r="I1065" s="8">
        <f>_xlfn.IFNA(INDEX('HS Codes'!$D$2:$K3619,MATCH($B1065,'HS Codes'!$A$2:$A3619,0),MATCH(I$1,'HS Codes'!$D$1:$K$1,0)),"")</f>
        <v>0</v>
      </c>
      <c r="J1065" s="8">
        <f>_xlfn.IFNA(INDEX('HS Codes'!$D$2:$K3619,MATCH($B1065,'HS Codes'!$A$2:$A3619,0),MATCH(J$1,'HS Codes'!$D$1:$K$1,0)),"")</f>
        <v>0</v>
      </c>
      <c r="K1065" s="8">
        <f>_xlfn.IFNA(INDEX('HS Codes'!$D$2:$K3619,MATCH($B1065,'HS Codes'!$A$2:$A3619,0),MATCH(K$1,'HS Codes'!$D$1:$K$1,0)),"")</f>
        <v>0</v>
      </c>
      <c r="L1065" s="8">
        <f>_xlfn.IFNA(INDEX('HS Codes'!$D$2:$K3619,MATCH($B1065,'HS Codes'!$A$2:$A3619,0),MATCH(L$1,'HS Codes'!$D$1:$K$1,0)),"")</f>
        <v>0</v>
      </c>
      <c r="M1065" s="8">
        <f>_xlfn.IFNA(INDEX('HS Codes'!$C$2:$C3619,MATCH($B1065,'HS Codes'!$A$2:$A3619,0)),"")</f>
        <v>0</v>
      </c>
      <c r="N1065" s="9"/>
      <c r="O1065" s="9"/>
      <c r="P1065" s="9"/>
      <c r="Q1065" s="9"/>
    </row>
    <row r="1066" spans="1:17" ht="15.75" customHeight="1">
      <c r="A1066" s="7" t="s">
        <v>1359</v>
      </c>
      <c r="B1066" s="7" t="s">
        <v>175</v>
      </c>
      <c r="C1066" s="7"/>
      <c r="D1066" s="7" t="s">
        <v>176</v>
      </c>
      <c r="E1066" s="7" t="s">
        <v>322</v>
      </c>
      <c r="F1066" s="8">
        <f>_xlfn.IFNA(INDEX('HS Codes'!$D$2:$K3620,MATCH($B1066,'HS Codes'!$A$2:$A3620,0),MATCH(F$1,'HS Codes'!$D$1:$K$1,0)),"")</f>
        <v>0</v>
      </c>
      <c r="G1066" s="8">
        <f>_xlfn.IFNA(INDEX('HS Codes'!$D$2:$K3620,MATCH($B1066,'HS Codes'!$A$2:$A3620,0),MATCH(G$1,'HS Codes'!$D$1:$K$1,0)),"")</f>
        <v>0</v>
      </c>
      <c r="H1066" s="8">
        <f>_xlfn.IFNA(INDEX('HS Codes'!$D$2:$K3620,MATCH($B1066,'HS Codes'!$A$2:$A3620,0),MATCH(H$1,'HS Codes'!$D$1:$K$1,0)),"")</f>
        <v>0</v>
      </c>
      <c r="I1066" s="8">
        <f>_xlfn.IFNA(INDEX('HS Codes'!$D$2:$K3620,MATCH($B1066,'HS Codes'!$A$2:$A3620,0),MATCH(I$1,'HS Codes'!$D$1:$K$1,0)),"")</f>
        <v>0</v>
      </c>
      <c r="J1066" s="8">
        <f>_xlfn.IFNA(INDEX('HS Codes'!$D$2:$K3620,MATCH($B1066,'HS Codes'!$A$2:$A3620,0),MATCH(J$1,'HS Codes'!$D$1:$K$1,0)),"")</f>
        <v>0</v>
      </c>
      <c r="K1066" s="8">
        <f>_xlfn.IFNA(INDEX('HS Codes'!$D$2:$K3620,MATCH($B1066,'HS Codes'!$A$2:$A3620,0),MATCH(K$1,'HS Codes'!$D$1:$K$1,0)),"")</f>
        <v>0</v>
      </c>
      <c r="L1066" s="8">
        <f>_xlfn.IFNA(INDEX('HS Codes'!$D$2:$K3620,MATCH($B1066,'HS Codes'!$A$2:$A3620,0),MATCH(L$1,'HS Codes'!$D$1:$K$1,0)),"")</f>
        <v>0</v>
      </c>
      <c r="M1066" s="8">
        <f>_xlfn.IFNA(INDEX('HS Codes'!$C$2:$C3620,MATCH($B1066,'HS Codes'!$A$2:$A3620,0)),"")</f>
        <v>0</v>
      </c>
      <c r="N1066" s="9"/>
      <c r="O1066" s="9"/>
      <c r="P1066" s="9"/>
      <c r="Q1066" s="9"/>
    </row>
    <row r="1067" spans="1:17" ht="15.75" customHeight="1">
      <c r="A1067" s="7" t="s">
        <v>1360</v>
      </c>
      <c r="B1067" s="7" t="s">
        <v>175</v>
      </c>
      <c r="C1067" s="7"/>
      <c r="D1067" s="7" t="s">
        <v>176</v>
      </c>
      <c r="E1067" s="7" t="s">
        <v>322</v>
      </c>
      <c r="F1067" s="8">
        <f>_xlfn.IFNA(INDEX('HS Codes'!$D$2:$K3621,MATCH($B1067,'HS Codes'!$A$2:$A3621,0),MATCH(F$1,'HS Codes'!$D$1:$K$1,0)),"")</f>
        <v>0</v>
      </c>
      <c r="G1067" s="8">
        <f>_xlfn.IFNA(INDEX('HS Codes'!$D$2:$K3621,MATCH($B1067,'HS Codes'!$A$2:$A3621,0),MATCH(G$1,'HS Codes'!$D$1:$K$1,0)),"")</f>
        <v>0</v>
      </c>
      <c r="H1067" s="8">
        <f>_xlfn.IFNA(INDEX('HS Codes'!$D$2:$K3621,MATCH($B1067,'HS Codes'!$A$2:$A3621,0),MATCH(H$1,'HS Codes'!$D$1:$K$1,0)),"")</f>
        <v>0</v>
      </c>
      <c r="I1067" s="8">
        <f>_xlfn.IFNA(INDEX('HS Codes'!$D$2:$K3621,MATCH($B1067,'HS Codes'!$A$2:$A3621,0),MATCH(I$1,'HS Codes'!$D$1:$K$1,0)),"")</f>
        <v>0</v>
      </c>
      <c r="J1067" s="8">
        <f>_xlfn.IFNA(INDEX('HS Codes'!$D$2:$K3621,MATCH($B1067,'HS Codes'!$A$2:$A3621,0),MATCH(J$1,'HS Codes'!$D$1:$K$1,0)),"")</f>
        <v>0</v>
      </c>
      <c r="K1067" s="8">
        <f>_xlfn.IFNA(INDEX('HS Codes'!$D$2:$K3621,MATCH($B1067,'HS Codes'!$A$2:$A3621,0),MATCH(K$1,'HS Codes'!$D$1:$K$1,0)),"")</f>
        <v>0</v>
      </c>
      <c r="L1067" s="8">
        <f>_xlfn.IFNA(INDEX('HS Codes'!$D$2:$K3621,MATCH($B1067,'HS Codes'!$A$2:$A3621,0),MATCH(L$1,'HS Codes'!$D$1:$K$1,0)),"")</f>
        <v>0</v>
      </c>
      <c r="M1067" s="8">
        <f>_xlfn.IFNA(INDEX('HS Codes'!$C$2:$C3621,MATCH($B1067,'HS Codes'!$A$2:$A3621,0)),"")</f>
        <v>0</v>
      </c>
      <c r="N1067" s="9"/>
      <c r="O1067" s="9"/>
      <c r="P1067" s="9"/>
      <c r="Q1067" s="9"/>
    </row>
    <row r="1068" spans="1:17" ht="15.75" customHeight="1">
      <c r="A1068" s="7" t="s">
        <v>1361</v>
      </c>
      <c r="B1068" s="7" t="s">
        <v>175</v>
      </c>
      <c r="C1068" s="7"/>
      <c r="D1068" s="7" t="s">
        <v>176</v>
      </c>
      <c r="E1068" s="7" t="s">
        <v>322</v>
      </c>
      <c r="F1068" s="8">
        <f>_xlfn.IFNA(INDEX('HS Codes'!$D$2:$K3622,MATCH($B1068,'HS Codes'!$A$2:$A3622,0),MATCH(F$1,'HS Codes'!$D$1:$K$1,0)),"")</f>
        <v>0</v>
      </c>
      <c r="G1068" s="8">
        <f>_xlfn.IFNA(INDEX('HS Codes'!$D$2:$K3622,MATCH($B1068,'HS Codes'!$A$2:$A3622,0),MATCH(G$1,'HS Codes'!$D$1:$K$1,0)),"")</f>
        <v>0</v>
      </c>
      <c r="H1068" s="8">
        <f>_xlfn.IFNA(INDEX('HS Codes'!$D$2:$K3622,MATCH($B1068,'HS Codes'!$A$2:$A3622,0),MATCH(H$1,'HS Codes'!$D$1:$K$1,0)),"")</f>
        <v>0</v>
      </c>
      <c r="I1068" s="8">
        <f>_xlfn.IFNA(INDEX('HS Codes'!$D$2:$K3622,MATCH($B1068,'HS Codes'!$A$2:$A3622,0),MATCH(I$1,'HS Codes'!$D$1:$K$1,0)),"")</f>
        <v>0</v>
      </c>
      <c r="J1068" s="8">
        <f>_xlfn.IFNA(INDEX('HS Codes'!$D$2:$K3622,MATCH($B1068,'HS Codes'!$A$2:$A3622,0),MATCH(J$1,'HS Codes'!$D$1:$K$1,0)),"")</f>
        <v>0</v>
      </c>
      <c r="K1068" s="8">
        <f>_xlfn.IFNA(INDEX('HS Codes'!$D$2:$K3622,MATCH($B1068,'HS Codes'!$A$2:$A3622,0),MATCH(K$1,'HS Codes'!$D$1:$K$1,0)),"")</f>
        <v>0</v>
      </c>
      <c r="L1068" s="8">
        <f>_xlfn.IFNA(INDEX('HS Codes'!$D$2:$K3622,MATCH($B1068,'HS Codes'!$A$2:$A3622,0),MATCH(L$1,'HS Codes'!$D$1:$K$1,0)),"")</f>
        <v>0</v>
      </c>
      <c r="M1068" s="8">
        <f>_xlfn.IFNA(INDEX('HS Codes'!$C$2:$C3622,MATCH($B1068,'HS Codes'!$A$2:$A3622,0)),"")</f>
        <v>0</v>
      </c>
      <c r="N1068" s="9"/>
      <c r="O1068" s="9"/>
      <c r="P1068" s="9"/>
      <c r="Q1068" s="9"/>
    </row>
    <row r="1069" spans="1:17" ht="15.75" customHeight="1">
      <c r="A1069" s="7" t="s">
        <v>1362</v>
      </c>
      <c r="B1069" s="7" t="s">
        <v>175</v>
      </c>
      <c r="C1069" s="7"/>
      <c r="D1069" s="7" t="s">
        <v>176</v>
      </c>
      <c r="E1069" s="7" t="s">
        <v>322</v>
      </c>
      <c r="F1069" s="8">
        <f>_xlfn.IFNA(INDEX('HS Codes'!$D$2:$K3623,MATCH($B1069,'HS Codes'!$A$2:$A3623,0),MATCH(F$1,'HS Codes'!$D$1:$K$1,0)),"")</f>
        <v>0</v>
      </c>
      <c r="G1069" s="8">
        <f>_xlfn.IFNA(INDEX('HS Codes'!$D$2:$K3623,MATCH($B1069,'HS Codes'!$A$2:$A3623,0),MATCH(G$1,'HS Codes'!$D$1:$K$1,0)),"")</f>
        <v>0</v>
      </c>
      <c r="H1069" s="8">
        <f>_xlfn.IFNA(INDEX('HS Codes'!$D$2:$K3623,MATCH($B1069,'HS Codes'!$A$2:$A3623,0),MATCH(H$1,'HS Codes'!$D$1:$K$1,0)),"")</f>
        <v>0</v>
      </c>
      <c r="I1069" s="8">
        <f>_xlfn.IFNA(INDEX('HS Codes'!$D$2:$K3623,MATCH($B1069,'HS Codes'!$A$2:$A3623,0),MATCH(I$1,'HS Codes'!$D$1:$K$1,0)),"")</f>
        <v>0</v>
      </c>
      <c r="J1069" s="8">
        <f>_xlfn.IFNA(INDEX('HS Codes'!$D$2:$K3623,MATCH($B1069,'HS Codes'!$A$2:$A3623,0),MATCH(J$1,'HS Codes'!$D$1:$K$1,0)),"")</f>
        <v>0</v>
      </c>
      <c r="K1069" s="8">
        <f>_xlfn.IFNA(INDEX('HS Codes'!$D$2:$K3623,MATCH($B1069,'HS Codes'!$A$2:$A3623,0),MATCH(K$1,'HS Codes'!$D$1:$K$1,0)),"")</f>
        <v>0</v>
      </c>
      <c r="L1069" s="8">
        <f>_xlfn.IFNA(INDEX('HS Codes'!$D$2:$K3623,MATCH($B1069,'HS Codes'!$A$2:$A3623,0),MATCH(L$1,'HS Codes'!$D$1:$K$1,0)),"")</f>
        <v>0</v>
      </c>
      <c r="M1069" s="8">
        <f>_xlfn.IFNA(INDEX('HS Codes'!$C$2:$C3623,MATCH($B1069,'HS Codes'!$A$2:$A3623,0)),"")</f>
        <v>0</v>
      </c>
      <c r="N1069" s="9"/>
      <c r="O1069" s="9"/>
      <c r="P1069" s="9"/>
      <c r="Q1069" s="9"/>
    </row>
    <row r="1070" spans="1:17" ht="15.75" customHeight="1">
      <c r="A1070" s="7" t="s">
        <v>1363</v>
      </c>
      <c r="B1070" s="7" t="s">
        <v>213</v>
      </c>
      <c r="C1070" s="7"/>
      <c r="D1070" s="7" t="s">
        <v>214</v>
      </c>
      <c r="E1070" s="7" t="s">
        <v>322</v>
      </c>
      <c r="F1070" s="8">
        <f>_xlfn.IFNA(INDEX('HS Codes'!$D$2:$K3624,MATCH($B1070,'HS Codes'!$A$2:$A3624,0),MATCH(F$1,'HS Codes'!$D$1:$K$1,0)),"")</f>
        <v>0</v>
      </c>
      <c r="G1070" s="8">
        <f>_xlfn.IFNA(INDEX('HS Codes'!$D$2:$K3624,MATCH($B1070,'HS Codes'!$A$2:$A3624,0),MATCH(G$1,'HS Codes'!$D$1:$K$1,0)),"")</f>
        <v>0</v>
      </c>
      <c r="H1070" s="8">
        <f>_xlfn.IFNA(INDEX('HS Codes'!$D$2:$K3624,MATCH($B1070,'HS Codes'!$A$2:$A3624,0),MATCH(H$1,'HS Codes'!$D$1:$K$1,0)),"")</f>
        <v>0</v>
      </c>
      <c r="I1070" s="8">
        <f>_xlfn.IFNA(INDEX('HS Codes'!$D$2:$K3624,MATCH($B1070,'HS Codes'!$A$2:$A3624,0),MATCH(I$1,'HS Codes'!$D$1:$K$1,0)),"")</f>
        <v>0</v>
      </c>
      <c r="J1070" s="8">
        <f>_xlfn.IFNA(INDEX('HS Codes'!$D$2:$K3624,MATCH($B1070,'HS Codes'!$A$2:$A3624,0),MATCH(J$1,'HS Codes'!$D$1:$K$1,0)),"")</f>
        <v>0</v>
      </c>
      <c r="K1070" s="8">
        <f>_xlfn.IFNA(INDEX('HS Codes'!$D$2:$K3624,MATCH($B1070,'HS Codes'!$A$2:$A3624,0),MATCH(K$1,'HS Codes'!$D$1:$K$1,0)),"")</f>
        <v>0</v>
      </c>
      <c r="L1070" s="8">
        <f>_xlfn.IFNA(INDEX('HS Codes'!$D$2:$K3624,MATCH($B1070,'HS Codes'!$A$2:$A3624,0),MATCH(L$1,'HS Codes'!$D$1:$K$1,0)),"")</f>
        <v>0</v>
      </c>
      <c r="M1070" s="8">
        <f>_xlfn.IFNA(INDEX('HS Codes'!$C$2:$C3624,MATCH($B1070,'HS Codes'!$A$2:$A3624,0)),"")</f>
        <v>0</v>
      </c>
      <c r="N1070" s="9"/>
      <c r="O1070" s="9"/>
      <c r="P1070" s="9"/>
      <c r="Q1070" s="9"/>
    </row>
    <row r="1071" spans="1:17" ht="15.75" customHeight="1">
      <c r="A1071" s="7" t="s">
        <v>1364</v>
      </c>
      <c r="B1071" s="7" t="s">
        <v>213</v>
      </c>
      <c r="C1071" s="7"/>
      <c r="D1071" s="7" t="s">
        <v>214</v>
      </c>
      <c r="E1071" s="7" t="s">
        <v>322</v>
      </c>
      <c r="F1071" s="8">
        <f>_xlfn.IFNA(INDEX('HS Codes'!$D$2:$K3625,MATCH($B1071,'HS Codes'!$A$2:$A3625,0),MATCH(F$1,'HS Codes'!$D$1:$K$1,0)),"")</f>
        <v>0</v>
      </c>
      <c r="G1071" s="8">
        <f>_xlfn.IFNA(INDEX('HS Codes'!$D$2:$K3625,MATCH($B1071,'HS Codes'!$A$2:$A3625,0),MATCH(G$1,'HS Codes'!$D$1:$K$1,0)),"")</f>
        <v>0</v>
      </c>
      <c r="H1071" s="8">
        <f>_xlfn.IFNA(INDEX('HS Codes'!$D$2:$K3625,MATCH($B1071,'HS Codes'!$A$2:$A3625,0),MATCH(H$1,'HS Codes'!$D$1:$K$1,0)),"")</f>
        <v>0</v>
      </c>
      <c r="I1071" s="8">
        <f>_xlfn.IFNA(INDEX('HS Codes'!$D$2:$K3625,MATCH($B1071,'HS Codes'!$A$2:$A3625,0),MATCH(I$1,'HS Codes'!$D$1:$K$1,0)),"")</f>
        <v>0</v>
      </c>
      <c r="J1071" s="8">
        <f>_xlfn.IFNA(INDEX('HS Codes'!$D$2:$K3625,MATCH($B1071,'HS Codes'!$A$2:$A3625,0),MATCH(J$1,'HS Codes'!$D$1:$K$1,0)),"")</f>
        <v>0</v>
      </c>
      <c r="K1071" s="8">
        <f>_xlfn.IFNA(INDEX('HS Codes'!$D$2:$K3625,MATCH($B1071,'HS Codes'!$A$2:$A3625,0),MATCH(K$1,'HS Codes'!$D$1:$K$1,0)),"")</f>
        <v>0</v>
      </c>
      <c r="L1071" s="8">
        <f>_xlfn.IFNA(INDEX('HS Codes'!$D$2:$K3625,MATCH($B1071,'HS Codes'!$A$2:$A3625,0),MATCH(L$1,'HS Codes'!$D$1:$K$1,0)),"")</f>
        <v>0</v>
      </c>
      <c r="M1071" s="8">
        <f>_xlfn.IFNA(INDEX('HS Codes'!$C$2:$C3625,MATCH($B1071,'HS Codes'!$A$2:$A3625,0)),"")</f>
        <v>0</v>
      </c>
      <c r="N1071" s="9"/>
      <c r="O1071" s="9"/>
      <c r="P1071" s="9"/>
      <c r="Q1071" s="9"/>
    </row>
    <row r="1072" spans="1:17" ht="15.75" customHeight="1">
      <c r="A1072" s="7" t="s">
        <v>1365</v>
      </c>
      <c r="B1072" s="7" t="s">
        <v>213</v>
      </c>
      <c r="C1072" s="7"/>
      <c r="D1072" s="7" t="s">
        <v>214</v>
      </c>
      <c r="E1072" s="7" t="s">
        <v>322</v>
      </c>
      <c r="F1072" s="8">
        <f>_xlfn.IFNA(INDEX('HS Codes'!$D$2:$K3626,MATCH($B1072,'HS Codes'!$A$2:$A3626,0),MATCH(F$1,'HS Codes'!$D$1:$K$1,0)),"")</f>
        <v>0</v>
      </c>
      <c r="G1072" s="8">
        <f>_xlfn.IFNA(INDEX('HS Codes'!$D$2:$K3626,MATCH($B1072,'HS Codes'!$A$2:$A3626,0),MATCH(G$1,'HS Codes'!$D$1:$K$1,0)),"")</f>
        <v>0</v>
      </c>
      <c r="H1072" s="8">
        <f>_xlfn.IFNA(INDEX('HS Codes'!$D$2:$K3626,MATCH($B1072,'HS Codes'!$A$2:$A3626,0),MATCH(H$1,'HS Codes'!$D$1:$K$1,0)),"")</f>
        <v>0</v>
      </c>
      <c r="I1072" s="8">
        <f>_xlfn.IFNA(INDEX('HS Codes'!$D$2:$K3626,MATCH($B1072,'HS Codes'!$A$2:$A3626,0),MATCH(I$1,'HS Codes'!$D$1:$K$1,0)),"")</f>
        <v>0</v>
      </c>
      <c r="J1072" s="8">
        <f>_xlfn.IFNA(INDEX('HS Codes'!$D$2:$K3626,MATCH($B1072,'HS Codes'!$A$2:$A3626,0),MATCH(J$1,'HS Codes'!$D$1:$K$1,0)),"")</f>
        <v>0</v>
      </c>
      <c r="K1072" s="8">
        <f>_xlfn.IFNA(INDEX('HS Codes'!$D$2:$K3626,MATCH($B1072,'HS Codes'!$A$2:$A3626,0),MATCH(K$1,'HS Codes'!$D$1:$K$1,0)),"")</f>
        <v>0</v>
      </c>
      <c r="L1072" s="8">
        <f>_xlfn.IFNA(INDEX('HS Codes'!$D$2:$K3626,MATCH($B1072,'HS Codes'!$A$2:$A3626,0),MATCH(L$1,'HS Codes'!$D$1:$K$1,0)),"")</f>
        <v>0</v>
      </c>
      <c r="M1072" s="8">
        <f>_xlfn.IFNA(INDEX('HS Codes'!$C$2:$C3626,MATCH($B1072,'HS Codes'!$A$2:$A3626,0)),"")</f>
        <v>0</v>
      </c>
      <c r="N1072" s="9"/>
      <c r="O1072" s="9"/>
      <c r="P1072" s="9"/>
      <c r="Q1072" s="9"/>
    </row>
    <row r="1073" spans="1:17" ht="15.75" customHeight="1">
      <c r="A1073" s="7" t="s">
        <v>1366</v>
      </c>
      <c r="B1073" s="7" t="s">
        <v>213</v>
      </c>
      <c r="C1073" s="7"/>
      <c r="D1073" s="7" t="s">
        <v>214</v>
      </c>
      <c r="E1073" s="7" t="s">
        <v>322</v>
      </c>
      <c r="F1073" s="8">
        <f>_xlfn.IFNA(INDEX('HS Codes'!$D$2:$K3627,MATCH($B1073,'HS Codes'!$A$2:$A3627,0),MATCH(F$1,'HS Codes'!$D$1:$K$1,0)),"")</f>
        <v>0</v>
      </c>
      <c r="G1073" s="8">
        <f>_xlfn.IFNA(INDEX('HS Codes'!$D$2:$K3627,MATCH($B1073,'HS Codes'!$A$2:$A3627,0),MATCH(G$1,'HS Codes'!$D$1:$K$1,0)),"")</f>
        <v>0</v>
      </c>
      <c r="H1073" s="8">
        <f>_xlfn.IFNA(INDEX('HS Codes'!$D$2:$K3627,MATCH($B1073,'HS Codes'!$A$2:$A3627,0),MATCH(H$1,'HS Codes'!$D$1:$K$1,0)),"")</f>
        <v>0</v>
      </c>
      <c r="I1073" s="8">
        <f>_xlfn.IFNA(INDEX('HS Codes'!$D$2:$K3627,MATCH($B1073,'HS Codes'!$A$2:$A3627,0),MATCH(I$1,'HS Codes'!$D$1:$K$1,0)),"")</f>
        <v>0</v>
      </c>
      <c r="J1073" s="8">
        <f>_xlfn.IFNA(INDEX('HS Codes'!$D$2:$K3627,MATCH($B1073,'HS Codes'!$A$2:$A3627,0),MATCH(J$1,'HS Codes'!$D$1:$K$1,0)),"")</f>
        <v>0</v>
      </c>
      <c r="K1073" s="8">
        <f>_xlfn.IFNA(INDEX('HS Codes'!$D$2:$K3627,MATCH($B1073,'HS Codes'!$A$2:$A3627,0),MATCH(K$1,'HS Codes'!$D$1:$K$1,0)),"")</f>
        <v>0</v>
      </c>
      <c r="L1073" s="8">
        <f>_xlfn.IFNA(INDEX('HS Codes'!$D$2:$K3627,MATCH($B1073,'HS Codes'!$A$2:$A3627,0),MATCH(L$1,'HS Codes'!$D$1:$K$1,0)),"")</f>
        <v>0</v>
      </c>
      <c r="M1073" s="8">
        <f>_xlfn.IFNA(INDEX('HS Codes'!$C$2:$C3627,MATCH($B1073,'HS Codes'!$A$2:$A3627,0)),"")</f>
        <v>0</v>
      </c>
      <c r="N1073" s="9"/>
      <c r="O1073" s="9"/>
      <c r="P1073" s="9"/>
      <c r="Q1073" s="9"/>
    </row>
    <row r="1074" spans="1:17" ht="15.75" customHeight="1">
      <c r="A1074" s="7" t="s">
        <v>1367</v>
      </c>
      <c r="B1074" s="7" t="s">
        <v>213</v>
      </c>
      <c r="C1074" s="7"/>
      <c r="D1074" s="7" t="s">
        <v>214</v>
      </c>
      <c r="E1074" s="7" t="s">
        <v>322</v>
      </c>
      <c r="F1074" s="8">
        <f>_xlfn.IFNA(INDEX('HS Codes'!$D$2:$K3628,MATCH($B1074,'HS Codes'!$A$2:$A3628,0),MATCH(F$1,'HS Codes'!$D$1:$K$1,0)),"")</f>
        <v>0</v>
      </c>
      <c r="G1074" s="8">
        <f>_xlfn.IFNA(INDEX('HS Codes'!$D$2:$K3628,MATCH($B1074,'HS Codes'!$A$2:$A3628,0),MATCH(G$1,'HS Codes'!$D$1:$K$1,0)),"")</f>
        <v>0</v>
      </c>
      <c r="H1074" s="8">
        <f>_xlfn.IFNA(INDEX('HS Codes'!$D$2:$K3628,MATCH($B1074,'HS Codes'!$A$2:$A3628,0),MATCH(H$1,'HS Codes'!$D$1:$K$1,0)),"")</f>
        <v>0</v>
      </c>
      <c r="I1074" s="8">
        <f>_xlfn.IFNA(INDEX('HS Codes'!$D$2:$K3628,MATCH($B1074,'HS Codes'!$A$2:$A3628,0),MATCH(I$1,'HS Codes'!$D$1:$K$1,0)),"")</f>
        <v>0</v>
      </c>
      <c r="J1074" s="8">
        <f>_xlfn.IFNA(INDEX('HS Codes'!$D$2:$K3628,MATCH($B1074,'HS Codes'!$A$2:$A3628,0),MATCH(J$1,'HS Codes'!$D$1:$K$1,0)),"")</f>
        <v>0</v>
      </c>
      <c r="K1074" s="8">
        <f>_xlfn.IFNA(INDEX('HS Codes'!$D$2:$K3628,MATCH($B1074,'HS Codes'!$A$2:$A3628,0),MATCH(K$1,'HS Codes'!$D$1:$K$1,0)),"")</f>
        <v>0</v>
      </c>
      <c r="L1074" s="8">
        <f>_xlfn.IFNA(INDEX('HS Codes'!$D$2:$K3628,MATCH($B1074,'HS Codes'!$A$2:$A3628,0),MATCH(L$1,'HS Codes'!$D$1:$K$1,0)),"")</f>
        <v>0</v>
      </c>
      <c r="M1074" s="8">
        <f>_xlfn.IFNA(INDEX('HS Codes'!$C$2:$C3628,MATCH($B1074,'HS Codes'!$A$2:$A3628,0)),"")</f>
        <v>0</v>
      </c>
      <c r="N1074" s="9"/>
      <c r="O1074" s="9"/>
      <c r="P1074" s="9"/>
      <c r="Q1074" s="9"/>
    </row>
    <row r="1075" spans="1:17" ht="15.75" customHeight="1">
      <c r="A1075" s="7" t="s">
        <v>1368</v>
      </c>
      <c r="B1075" s="7" t="s">
        <v>181</v>
      </c>
      <c r="C1075" s="7"/>
      <c r="D1075" s="7" t="s">
        <v>182</v>
      </c>
      <c r="E1075" s="7" t="s">
        <v>322</v>
      </c>
      <c r="F1075" s="8">
        <f>_xlfn.IFNA(INDEX('HS Codes'!$D$2:$K3629,MATCH($B1075,'HS Codes'!$A$2:$A3629,0),MATCH(F$1,'HS Codes'!$D$1:$K$1,0)),"")</f>
        <v>0</v>
      </c>
      <c r="G1075" s="8">
        <f>_xlfn.IFNA(INDEX('HS Codes'!$D$2:$K3629,MATCH($B1075,'HS Codes'!$A$2:$A3629,0),MATCH(G$1,'HS Codes'!$D$1:$K$1,0)),"")</f>
        <v>0</v>
      </c>
      <c r="H1075" s="8">
        <f>_xlfn.IFNA(INDEX('HS Codes'!$D$2:$K3629,MATCH($B1075,'HS Codes'!$A$2:$A3629,0),MATCH(H$1,'HS Codes'!$D$1:$K$1,0)),"")</f>
        <v>0</v>
      </c>
      <c r="I1075" s="8">
        <f>_xlfn.IFNA(INDEX('HS Codes'!$D$2:$K3629,MATCH($B1075,'HS Codes'!$A$2:$A3629,0),MATCH(I$1,'HS Codes'!$D$1:$K$1,0)),"")</f>
        <v>0</v>
      </c>
      <c r="J1075" s="8">
        <f>_xlfn.IFNA(INDEX('HS Codes'!$D$2:$K3629,MATCH($B1075,'HS Codes'!$A$2:$A3629,0),MATCH(J$1,'HS Codes'!$D$1:$K$1,0)),"")</f>
        <v>0</v>
      </c>
      <c r="K1075" s="8">
        <f>_xlfn.IFNA(INDEX('HS Codes'!$D$2:$K3629,MATCH($B1075,'HS Codes'!$A$2:$A3629,0),MATCH(K$1,'HS Codes'!$D$1:$K$1,0)),"")</f>
        <v>0</v>
      </c>
      <c r="L1075" s="8">
        <f>_xlfn.IFNA(INDEX('HS Codes'!$D$2:$K3629,MATCH($B1075,'HS Codes'!$A$2:$A3629,0),MATCH(L$1,'HS Codes'!$D$1:$K$1,0)),"")</f>
        <v>0</v>
      </c>
      <c r="M1075" s="8">
        <f>_xlfn.IFNA(INDEX('HS Codes'!$C$2:$C3629,MATCH($B1075,'HS Codes'!$A$2:$A3629,0)),"")</f>
        <v>0</v>
      </c>
      <c r="N1075" s="9"/>
      <c r="O1075" s="9"/>
      <c r="P1075" s="9"/>
      <c r="Q1075" s="9"/>
    </row>
    <row r="1076" spans="1:17" ht="15.75" customHeight="1">
      <c r="A1076" s="7" t="s">
        <v>1369</v>
      </c>
      <c r="B1076" s="7" t="s">
        <v>181</v>
      </c>
      <c r="C1076" s="7"/>
      <c r="D1076" s="7" t="s">
        <v>182</v>
      </c>
      <c r="E1076" s="7" t="s">
        <v>322</v>
      </c>
      <c r="F1076" s="8">
        <f>_xlfn.IFNA(INDEX('HS Codes'!$D$2:$K3630,MATCH($B1076,'HS Codes'!$A$2:$A3630,0),MATCH(F$1,'HS Codes'!$D$1:$K$1,0)),"")</f>
        <v>0</v>
      </c>
      <c r="G1076" s="8">
        <f>_xlfn.IFNA(INDEX('HS Codes'!$D$2:$K3630,MATCH($B1076,'HS Codes'!$A$2:$A3630,0),MATCH(G$1,'HS Codes'!$D$1:$K$1,0)),"")</f>
        <v>0</v>
      </c>
      <c r="H1076" s="8">
        <f>_xlfn.IFNA(INDEX('HS Codes'!$D$2:$K3630,MATCH($B1076,'HS Codes'!$A$2:$A3630,0),MATCH(H$1,'HS Codes'!$D$1:$K$1,0)),"")</f>
        <v>0</v>
      </c>
      <c r="I1076" s="8">
        <f>_xlfn.IFNA(INDEX('HS Codes'!$D$2:$K3630,MATCH($B1076,'HS Codes'!$A$2:$A3630,0),MATCH(I$1,'HS Codes'!$D$1:$K$1,0)),"")</f>
        <v>0</v>
      </c>
      <c r="J1076" s="8">
        <f>_xlfn.IFNA(INDEX('HS Codes'!$D$2:$K3630,MATCH($B1076,'HS Codes'!$A$2:$A3630,0),MATCH(J$1,'HS Codes'!$D$1:$K$1,0)),"")</f>
        <v>0</v>
      </c>
      <c r="K1076" s="8">
        <f>_xlfn.IFNA(INDEX('HS Codes'!$D$2:$K3630,MATCH($B1076,'HS Codes'!$A$2:$A3630,0),MATCH(K$1,'HS Codes'!$D$1:$K$1,0)),"")</f>
        <v>0</v>
      </c>
      <c r="L1076" s="8">
        <f>_xlfn.IFNA(INDEX('HS Codes'!$D$2:$K3630,MATCH($B1076,'HS Codes'!$A$2:$A3630,0),MATCH(L$1,'HS Codes'!$D$1:$K$1,0)),"")</f>
        <v>0</v>
      </c>
      <c r="M1076" s="8">
        <f>_xlfn.IFNA(INDEX('HS Codes'!$C$2:$C3630,MATCH($B1076,'HS Codes'!$A$2:$A3630,0)),"")</f>
        <v>0</v>
      </c>
      <c r="N1076" s="9"/>
      <c r="O1076" s="9"/>
      <c r="P1076" s="9"/>
      <c r="Q1076" s="9"/>
    </row>
    <row r="1077" spans="1:17" ht="15.75" customHeight="1">
      <c r="A1077" s="7" t="s">
        <v>1370</v>
      </c>
      <c r="B1077" s="7" t="s">
        <v>181</v>
      </c>
      <c r="C1077" s="7"/>
      <c r="D1077" s="7" t="s">
        <v>182</v>
      </c>
      <c r="E1077" s="7" t="s">
        <v>322</v>
      </c>
      <c r="F1077" s="8">
        <f>_xlfn.IFNA(INDEX('HS Codes'!$D$2:$K3631,MATCH($B1077,'HS Codes'!$A$2:$A3631,0),MATCH(F$1,'HS Codes'!$D$1:$K$1,0)),"")</f>
        <v>0</v>
      </c>
      <c r="G1077" s="8">
        <f>_xlfn.IFNA(INDEX('HS Codes'!$D$2:$K3631,MATCH($B1077,'HS Codes'!$A$2:$A3631,0),MATCH(G$1,'HS Codes'!$D$1:$K$1,0)),"")</f>
        <v>0</v>
      </c>
      <c r="H1077" s="8">
        <f>_xlfn.IFNA(INDEX('HS Codes'!$D$2:$K3631,MATCH($B1077,'HS Codes'!$A$2:$A3631,0),MATCH(H$1,'HS Codes'!$D$1:$K$1,0)),"")</f>
        <v>0</v>
      </c>
      <c r="I1077" s="8">
        <f>_xlfn.IFNA(INDEX('HS Codes'!$D$2:$K3631,MATCH($B1077,'HS Codes'!$A$2:$A3631,0),MATCH(I$1,'HS Codes'!$D$1:$K$1,0)),"")</f>
        <v>0</v>
      </c>
      <c r="J1077" s="8">
        <f>_xlfn.IFNA(INDEX('HS Codes'!$D$2:$K3631,MATCH($B1077,'HS Codes'!$A$2:$A3631,0),MATCH(J$1,'HS Codes'!$D$1:$K$1,0)),"")</f>
        <v>0</v>
      </c>
      <c r="K1077" s="8">
        <f>_xlfn.IFNA(INDEX('HS Codes'!$D$2:$K3631,MATCH($B1077,'HS Codes'!$A$2:$A3631,0),MATCH(K$1,'HS Codes'!$D$1:$K$1,0)),"")</f>
        <v>0</v>
      </c>
      <c r="L1077" s="8">
        <f>_xlfn.IFNA(INDEX('HS Codes'!$D$2:$K3631,MATCH($B1077,'HS Codes'!$A$2:$A3631,0),MATCH(L$1,'HS Codes'!$D$1:$K$1,0)),"")</f>
        <v>0</v>
      </c>
      <c r="M1077" s="8">
        <f>_xlfn.IFNA(INDEX('HS Codes'!$C$2:$C3631,MATCH($B1077,'HS Codes'!$A$2:$A3631,0)),"")</f>
        <v>0</v>
      </c>
      <c r="N1077" s="9"/>
      <c r="O1077" s="9"/>
      <c r="P1077" s="9"/>
      <c r="Q1077" s="9"/>
    </row>
    <row r="1078" spans="1:17" ht="15.75" customHeight="1">
      <c r="A1078" s="7" t="s">
        <v>1371</v>
      </c>
      <c r="B1078" s="7" t="s">
        <v>181</v>
      </c>
      <c r="C1078" s="7"/>
      <c r="D1078" s="7" t="s">
        <v>182</v>
      </c>
      <c r="E1078" s="7" t="s">
        <v>322</v>
      </c>
      <c r="F1078" s="8">
        <f>_xlfn.IFNA(INDEX('HS Codes'!$D$2:$K3632,MATCH($B1078,'HS Codes'!$A$2:$A3632,0),MATCH(F$1,'HS Codes'!$D$1:$K$1,0)),"")</f>
        <v>0</v>
      </c>
      <c r="G1078" s="8">
        <f>_xlfn.IFNA(INDEX('HS Codes'!$D$2:$K3632,MATCH($B1078,'HS Codes'!$A$2:$A3632,0),MATCH(G$1,'HS Codes'!$D$1:$K$1,0)),"")</f>
        <v>0</v>
      </c>
      <c r="H1078" s="8">
        <f>_xlfn.IFNA(INDEX('HS Codes'!$D$2:$K3632,MATCH($B1078,'HS Codes'!$A$2:$A3632,0),MATCH(H$1,'HS Codes'!$D$1:$K$1,0)),"")</f>
        <v>0</v>
      </c>
      <c r="I1078" s="8">
        <f>_xlfn.IFNA(INDEX('HS Codes'!$D$2:$K3632,MATCH($B1078,'HS Codes'!$A$2:$A3632,0),MATCH(I$1,'HS Codes'!$D$1:$K$1,0)),"")</f>
        <v>0</v>
      </c>
      <c r="J1078" s="8">
        <f>_xlfn.IFNA(INDEX('HS Codes'!$D$2:$K3632,MATCH($B1078,'HS Codes'!$A$2:$A3632,0),MATCH(J$1,'HS Codes'!$D$1:$K$1,0)),"")</f>
        <v>0</v>
      </c>
      <c r="K1078" s="8">
        <f>_xlfn.IFNA(INDEX('HS Codes'!$D$2:$K3632,MATCH($B1078,'HS Codes'!$A$2:$A3632,0),MATCH(K$1,'HS Codes'!$D$1:$K$1,0)),"")</f>
        <v>0</v>
      </c>
      <c r="L1078" s="8">
        <f>_xlfn.IFNA(INDEX('HS Codes'!$D$2:$K3632,MATCH($B1078,'HS Codes'!$A$2:$A3632,0),MATCH(L$1,'HS Codes'!$D$1:$K$1,0)),"")</f>
        <v>0</v>
      </c>
      <c r="M1078" s="8">
        <f>_xlfn.IFNA(INDEX('HS Codes'!$C$2:$C3632,MATCH($B1078,'HS Codes'!$A$2:$A3632,0)),"")</f>
        <v>0</v>
      </c>
      <c r="N1078" s="9"/>
      <c r="O1078" s="9"/>
      <c r="P1078" s="9"/>
      <c r="Q1078" s="9"/>
    </row>
    <row r="1079" spans="1:17" ht="15.75" customHeight="1">
      <c r="A1079" s="7" t="s">
        <v>1372</v>
      </c>
      <c r="B1079" s="7" t="s">
        <v>181</v>
      </c>
      <c r="C1079" s="7"/>
      <c r="D1079" s="7" t="s">
        <v>182</v>
      </c>
      <c r="E1079" s="7" t="s">
        <v>322</v>
      </c>
      <c r="F1079" s="8">
        <f>_xlfn.IFNA(INDEX('HS Codes'!$D$2:$K3633,MATCH($B1079,'HS Codes'!$A$2:$A3633,0),MATCH(F$1,'HS Codes'!$D$1:$K$1,0)),"")</f>
        <v>0</v>
      </c>
      <c r="G1079" s="8">
        <f>_xlfn.IFNA(INDEX('HS Codes'!$D$2:$K3633,MATCH($B1079,'HS Codes'!$A$2:$A3633,0),MATCH(G$1,'HS Codes'!$D$1:$K$1,0)),"")</f>
        <v>0</v>
      </c>
      <c r="H1079" s="8">
        <f>_xlfn.IFNA(INDEX('HS Codes'!$D$2:$K3633,MATCH($B1079,'HS Codes'!$A$2:$A3633,0),MATCH(H$1,'HS Codes'!$D$1:$K$1,0)),"")</f>
        <v>0</v>
      </c>
      <c r="I1079" s="8">
        <f>_xlfn.IFNA(INDEX('HS Codes'!$D$2:$K3633,MATCH($B1079,'HS Codes'!$A$2:$A3633,0),MATCH(I$1,'HS Codes'!$D$1:$K$1,0)),"")</f>
        <v>0</v>
      </c>
      <c r="J1079" s="8">
        <f>_xlfn.IFNA(INDEX('HS Codes'!$D$2:$K3633,MATCH($B1079,'HS Codes'!$A$2:$A3633,0),MATCH(J$1,'HS Codes'!$D$1:$K$1,0)),"")</f>
        <v>0</v>
      </c>
      <c r="K1079" s="8">
        <f>_xlfn.IFNA(INDEX('HS Codes'!$D$2:$K3633,MATCH($B1079,'HS Codes'!$A$2:$A3633,0),MATCH(K$1,'HS Codes'!$D$1:$K$1,0)),"")</f>
        <v>0</v>
      </c>
      <c r="L1079" s="8">
        <f>_xlfn.IFNA(INDEX('HS Codes'!$D$2:$K3633,MATCH($B1079,'HS Codes'!$A$2:$A3633,0),MATCH(L$1,'HS Codes'!$D$1:$K$1,0)),"")</f>
        <v>0</v>
      </c>
      <c r="M1079" s="8">
        <f>_xlfn.IFNA(INDEX('HS Codes'!$C$2:$C3633,MATCH($B1079,'HS Codes'!$A$2:$A3633,0)),"")</f>
        <v>0</v>
      </c>
      <c r="N1079" s="9"/>
      <c r="O1079" s="9"/>
      <c r="P1079" s="9"/>
      <c r="Q1079" s="9"/>
    </row>
    <row r="1080" spans="1:17" ht="15.75" customHeight="1">
      <c r="A1080" s="7" t="s">
        <v>1373</v>
      </c>
      <c r="B1080" s="7" t="s">
        <v>181</v>
      </c>
      <c r="C1080" s="7"/>
      <c r="D1080" s="7" t="s">
        <v>182</v>
      </c>
      <c r="E1080" s="7" t="s">
        <v>322</v>
      </c>
      <c r="F1080" s="8">
        <f>_xlfn.IFNA(INDEX('HS Codes'!$D$2:$K3634,MATCH($B1080,'HS Codes'!$A$2:$A3634,0),MATCH(F$1,'HS Codes'!$D$1:$K$1,0)),"")</f>
        <v>0</v>
      </c>
      <c r="G1080" s="8">
        <f>_xlfn.IFNA(INDEX('HS Codes'!$D$2:$K3634,MATCH($B1080,'HS Codes'!$A$2:$A3634,0),MATCH(G$1,'HS Codes'!$D$1:$K$1,0)),"")</f>
        <v>0</v>
      </c>
      <c r="H1080" s="8">
        <f>_xlfn.IFNA(INDEX('HS Codes'!$D$2:$K3634,MATCH($B1080,'HS Codes'!$A$2:$A3634,0),MATCH(H$1,'HS Codes'!$D$1:$K$1,0)),"")</f>
        <v>0</v>
      </c>
      <c r="I1080" s="8">
        <f>_xlfn.IFNA(INDEX('HS Codes'!$D$2:$K3634,MATCH($B1080,'HS Codes'!$A$2:$A3634,0),MATCH(I$1,'HS Codes'!$D$1:$K$1,0)),"")</f>
        <v>0</v>
      </c>
      <c r="J1080" s="8">
        <f>_xlfn.IFNA(INDEX('HS Codes'!$D$2:$K3634,MATCH($B1080,'HS Codes'!$A$2:$A3634,0),MATCH(J$1,'HS Codes'!$D$1:$K$1,0)),"")</f>
        <v>0</v>
      </c>
      <c r="K1080" s="8">
        <f>_xlfn.IFNA(INDEX('HS Codes'!$D$2:$K3634,MATCH($B1080,'HS Codes'!$A$2:$A3634,0),MATCH(K$1,'HS Codes'!$D$1:$K$1,0)),"")</f>
        <v>0</v>
      </c>
      <c r="L1080" s="8">
        <f>_xlfn.IFNA(INDEX('HS Codes'!$D$2:$K3634,MATCH($B1080,'HS Codes'!$A$2:$A3634,0),MATCH(L$1,'HS Codes'!$D$1:$K$1,0)),"")</f>
        <v>0</v>
      </c>
      <c r="M1080" s="8">
        <f>_xlfn.IFNA(INDEX('HS Codes'!$C$2:$C3634,MATCH($B1080,'HS Codes'!$A$2:$A3634,0)),"")</f>
        <v>0</v>
      </c>
      <c r="N1080" s="9"/>
      <c r="O1080" s="9"/>
      <c r="P1080" s="9"/>
      <c r="Q1080" s="9"/>
    </row>
    <row r="1081" spans="1:17" ht="15.75" customHeight="1">
      <c r="A1081" s="7" t="s">
        <v>1374</v>
      </c>
      <c r="B1081" s="7" t="s">
        <v>181</v>
      </c>
      <c r="C1081" s="7"/>
      <c r="D1081" s="7" t="s">
        <v>182</v>
      </c>
      <c r="E1081" s="7" t="s">
        <v>322</v>
      </c>
      <c r="F1081" s="8">
        <f>_xlfn.IFNA(INDEX('HS Codes'!$D$2:$K3635,MATCH($B1081,'HS Codes'!$A$2:$A3635,0),MATCH(F$1,'HS Codes'!$D$1:$K$1,0)),"")</f>
        <v>0</v>
      </c>
      <c r="G1081" s="8">
        <f>_xlfn.IFNA(INDEX('HS Codes'!$D$2:$K3635,MATCH($B1081,'HS Codes'!$A$2:$A3635,0),MATCH(G$1,'HS Codes'!$D$1:$K$1,0)),"")</f>
        <v>0</v>
      </c>
      <c r="H1081" s="8">
        <f>_xlfn.IFNA(INDEX('HS Codes'!$D$2:$K3635,MATCH($B1081,'HS Codes'!$A$2:$A3635,0),MATCH(H$1,'HS Codes'!$D$1:$K$1,0)),"")</f>
        <v>0</v>
      </c>
      <c r="I1081" s="8">
        <f>_xlfn.IFNA(INDEX('HS Codes'!$D$2:$K3635,MATCH($B1081,'HS Codes'!$A$2:$A3635,0),MATCH(I$1,'HS Codes'!$D$1:$K$1,0)),"")</f>
        <v>0</v>
      </c>
      <c r="J1081" s="8">
        <f>_xlfn.IFNA(INDEX('HS Codes'!$D$2:$K3635,MATCH($B1081,'HS Codes'!$A$2:$A3635,0),MATCH(J$1,'HS Codes'!$D$1:$K$1,0)),"")</f>
        <v>0</v>
      </c>
      <c r="K1081" s="8">
        <f>_xlfn.IFNA(INDEX('HS Codes'!$D$2:$K3635,MATCH($B1081,'HS Codes'!$A$2:$A3635,0),MATCH(K$1,'HS Codes'!$D$1:$K$1,0)),"")</f>
        <v>0</v>
      </c>
      <c r="L1081" s="8">
        <f>_xlfn.IFNA(INDEX('HS Codes'!$D$2:$K3635,MATCH($B1081,'HS Codes'!$A$2:$A3635,0),MATCH(L$1,'HS Codes'!$D$1:$K$1,0)),"")</f>
        <v>0</v>
      </c>
      <c r="M1081" s="8">
        <f>_xlfn.IFNA(INDEX('HS Codes'!$C$2:$C3635,MATCH($B1081,'HS Codes'!$A$2:$A3635,0)),"")</f>
        <v>0</v>
      </c>
      <c r="N1081" s="9"/>
      <c r="O1081" s="9"/>
      <c r="P1081" s="9"/>
      <c r="Q1081" s="9"/>
    </row>
    <row r="1082" spans="1:17" ht="15.75" customHeight="1">
      <c r="A1082" s="7" t="s">
        <v>1375</v>
      </c>
      <c r="B1082" s="7" t="s">
        <v>181</v>
      </c>
      <c r="C1082" s="7"/>
      <c r="D1082" s="7" t="s">
        <v>182</v>
      </c>
      <c r="E1082" s="7" t="s">
        <v>322</v>
      </c>
      <c r="F1082" s="8">
        <f>_xlfn.IFNA(INDEX('HS Codes'!$D$2:$K3636,MATCH($B1082,'HS Codes'!$A$2:$A3636,0),MATCH(F$1,'HS Codes'!$D$1:$K$1,0)),"")</f>
        <v>0</v>
      </c>
      <c r="G1082" s="8">
        <f>_xlfn.IFNA(INDEX('HS Codes'!$D$2:$K3636,MATCH($B1082,'HS Codes'!$A$2:$A3636,0),MATCH(G$1,'HS Codes'!$D$1:$K$1,0)),"")</f>
        <v>0</v>
      </c>
      <c r="H1082" s="8">
        <f>_xlfn.IFNA(INDEX('HS Codes'!$D$2:$K3636,MATCH($B1082,'HS Codes'!$A$2:$A3636,0),MATCH(H$1,'HS Codes'!$D$1:$K$1,0)),"")</f>
        <v>0</v>
      </c>
      <c r="I1082" s="8">
        <f>_xlfn.IFNA(INDEX('HS Codes'!$D$2:$K3636,MATCH($B1082,'HS Codes'!$A$2:$A3636,0),MATCH(I$1,'HS Codes'!$D$1:$K$1,0)),"")</f>
        <v>0</v>
      </c>
      <c r="J1082" s="8">
        <f>_xlfn.IFNA(INDEX('HS Codes'!$D$2:$K3636,MATCH($B1082,'HS Codes'!$A$2:$A3636,0),MATCH(J$1,'HS Codes'!$D$1:$K$1,0)),"")</f>
        <v>0</v>
      </c>
      <c r="K1082" s="8">
        <f>_xlfn.IFNA(INDEX('HS Codes'!$D$2:$K3636,MATCH($B1082,'HS Codes'!$A$2:$A3636,0),MATCH(K$1,'HS Codes'!$D$1:$K$1,0)),"")</f>
        <v>0</v>
      </c>
      <c r="L1082" s="8">
        <f>_xlfn.IFNA(INDEX('HS Codes'!$D$2:$K3636,MATCH($B1082,'HS Codes'!$A$2:$A3636,0),MATCH(L$1,'HS Codes'!$D$1:$K$1,0)),"")</f>
        <v>0</v>
      </c>
      <c r="M1082" s="8">
        <f>_xlfn.IFNA(INDEX('HS Codes'!$C$2:$C3636,MATCH($B1082,'HS Codes'!$A$2:$A3636,0)),"")</f>
        <v>0</v>
      </c>
      <c r="N1082" s="9"/>
      <c r="O1082" s="9"/>
      <c r="P1082" s="9"/>
      <c r="Q1082" s="9"/>
    </row>
    <row r="1083" spans="1:17" ht="15.75" customHeight="1">
      <c r="A1083" s="7" t="s">
        <v>1376</v>
      </c>
      <c r="B1083" s="7" t="s">
        <v>181</v>
      </c>
      <c r="C1083" s="7"/>
      <c r="D1083" s="7" t="s">
        <v>182</v>
      </c>
      <c r="E1083" s="7" t="s">
        <v>322</v>
      </c>
      <c r="F1083" s="8">
        <f>_xlfn.IFNA(INDEX('HS Codes'!$D$2:$K3637,MATCH($B1083,'HS Codes'!$A$2:$A3637,0),MATCH(F$1,'HS Codes'!$D$1:$K$1,0)),"")</f>
        <v>0</v>
      </c>
      <c r="G1083" s="8">
        <f>_xlfn.IFNA(INDEX('HS Codes'!$D$2:$K3637,MATCH($B1083,'HS Codes'!$A$2:$A3637,0),MATCH(G$1,'HS Codes'!$D$1:$K$1,0)),"")</f>
        <v>0</v>
      </c>
      <c r="H1083" s="8">
        <f>_xlfn.IFNA(INDEX('HS Codes'!$D$2:$K3637,MATCH($B1083,'HS Codes'!$A$2:$A3637,0),MATCH(H$1,'HS Codes'!$D$1:$K$1,0)),"")</f>
        <v>0</v>
      </c>
      <c r="I1083" s="8">
        <f>_xlfn.IFNA(INDEX('HS Codes'!$D$2:$K3637,MATCH($B1083,'HS Codes'!$A$2:$A3637,0),MATCH(I$1,'HS Codes'!$D$1:$K$1,0)),"")</f>
        <v>0</v>
      </c>
      <c r="J1083" s="8">
        <f>_xlfn.IFNA(INDEX('HS Codes'!$D$2:$K3637,MATCH($B1083,'HS Codes'!$A$2:$A3637,0),MATCH(J$1,'HS Codes'!$D$1:$K$1,0)),"")</f>
        <v>0</v>
      </c>
      <c r="K1083" s="8">
        <f>_xlfn.IFNA(INDEX('HS Codes'!$D$2:$K3637,MATCH($B1083,'HS Codes'!$A$2:$A3637,0),MATCH(K$1,'HS Codes'!$D$1:$K$1,0)),"")</f>
        <v>0</v>
      </c>
      <c r="L1083" s="8">
        <f>_xlfn.IFNA(INDEX('HS Codes'!$D$2:$K3637,MATCH($B1083,'HS Codes'!$A$2:$A3637,0),MATCH(L$1,'HS Codes'!$D$1:$K$1,0)),"")</f>
        <v>0</v>
      </c>
      <c r="M1083" s="8">
        <f>_xlfn.IFNA(INDEX('HS Codes'!$C$2:$C3637,MATCH($B1083,'HS Codes'!$A$2:$A3637,0)),"")</f>
        <v>0</v>
      </c>
      <c r="N1083" s="9"/>
      <c r="O1083" s="9"/>
      <c r="P1083" s="9"/>
      <c r="Q1083" s="9"/>
    </row>
    <row r="1084" spans="1:17" ht="15.75" customHeight="1">
      <c r="A1084" s="7" t="s">
        <v>1377</v>
      </c>
      <c r="B1084" s="7" t="s">
        <v>181</v>
      </c>
      <c r="C1084" s="7"/>
      <c r="D1084" s="7" t="s">
        <v>182</v>
      </c>
      <c r="E1084" s="7" t="s">
        <v>322</v>
      </c>
      <c r="F1084" s="8">
        <f>_xlfn.IFNA(INDEX('HS Codes'!$D$2:$K3638,MATCH($B1084,'HS Codes'!$A$2:$A3638,0),MATCH(F$1,'HS Codes'!$D$1:$K$1,0)),"")</f>
        <v>0</v>
      </c>
      <c r="G1084" s="8">
        <f>_xlfn.IFNA(INDEX('HS Codes'!$D$2:$K3638,MATCH($B1084,'HS Codes'!$A$2:$A3638,0),MATCH(G$1,'HS Codes'!$D$1:$K$1,0)),"")</f>
        <v>0</v>
      </c>
      <c r="H1084" s="8">
        <f>_xlfn.IFNA(INDEX('HS Codes'!$D$2:$K3638,MATCH($B1084,'HS Codes'!$A$2:$A3638,0),MATCH(H$1,'HS Codes'!$D$1:$K$1,0)),"")</f>
        <v>0</v>
      </c>
      <c r="I1084" s="8">
        <f>_xlfn.IFNA(INDEX('HS Codes'!$D$2:$K3638,MATCH($B1084,'HS Codes'!$A$2:$A3638,0),MATCH(I$1,'HS Codes'!$D$1:$K$1,0)),"")</f>
        <v>0</v>
      </c>
      <c r="J1084" s="8">
        <f>_xlfn.IFNA(INDEX('HS Codes'!$D$2:$K3638,MATCH($B1084,'HS Codes'!$A$2:$A3638,0),MATCH(J$1,'HS Codes'!$D$1:$K$1,0)),"")</f>
        <v>0</v>
      </c>
      <c r="K1084" s="8">
        <f>_xlfn.IFNA(INDEX('HS Codes'!$D$2:$K3638,MATCH($B1084,'HS Codes'!$A$2:$A3638,0),MATCH(K$1,'HS Codes'!$D$1:$K$1,0)),"")</f>
        <v>0</v>
      </c>
      <c r="L1084" s="8">
        <f>_xlfn.IFNA(INDEX('HS Codes'!$D$2:$K3638,MATCH($B1084,'HS Codes'!$A$2:$A3638,0),MATCH(L$1,'HS Codes'!$D$1:$K$1,0)),"")</f>
        <v>0</v>
      </c>
      <c r="M1084" s="8">
        <f>_xlfn.IFNA(INDEX('HS Codes'!$C$2:$C3638,MATCH($B1084,'HS Codes'!$A$2:$A3638,0)),"")</f>
        <v>0</v>
      </c>
      <c r="N1084" s="9"/>
      <c r="O1084" s="9"/>
      <c r="P1084" s="9"/>
      <c r="Q1084" s="9"/>
    </row>
    <row r="1085" spans="1:17" ht="15.75" customHeight="1">
      <c r="A1085" s="7" t="s">
        <v>1378</v>
      </c>
      <c r="B1085" s="7" t="s">
        <v>181</v>
      </c>
      <c r="C1085" s="7"/>
      <c r="D1085" s="7" t="s">
        <v>182</v>
      </c>
      <c r="E1085" s="7" t="s">
        <v>322</v>
      </c>
      <c r="F1085" s="8">
        <f>_xlfn.IFNA(INDEX('HS Codes'!$D$2:$K3639,MATCH($B1085,'HS Codes'!$A$2:$A3639,0),MATCH(F$1,'HS Codes'!$D$1:$K$1,0)),"")</f>
        <v>0</v>
      </c>
      <c r="G1085" s="8">
        <f>_xlfn.IFNA(INDEX('HS Codes'!$D$2:$K3639,MATCH($B1085,'HS Codes'!$A$2:$A3639,0),MATCH(G$1,'HS Codes'!$D$1:$K$1,0)),"")</f>
        <v>0</v>
      </c>
      <c r="H1085" s="8">
        <f>_xlfn.IFNA(INDEX('HS Codes'!$D$2:$K3639,MATCH($B1085,'HS Codes'!$A$2:$A3639,0),MATCH(H$1,'HS Codes'!$D$1:$K$1,0)),"")</f>
        <v>0</v>
      </c>
      <c r="I1085" s="8">
        <f>_xlfn.IFNA(INDEX('HS Codes'!$D$2:$K3639,MATCH($B1085,'HS Codes'!$A$2:$A3639,0),MATCH(I$1,'HS Codes'!$D$1:$K$1,0)),"")</f>
        <v>0</v>
      </c>
      <c r="J1085" s="8">
        <f>_xlfn.IFNA(INDEX('HS Codes'!$D$2:$K3639,MATCH($B1085,'HS Codes'!$A$2:$A3639,0),MATCH(J$1,'HS Codes'!$D$1:$K$1,0)),"")</f>
        <v>0</v>
      </c>
      <c r="K1085" s="8">
        <f>_xlfn.IFNA(INDEX('HS Codes'!$D$2:$K3639,MATCH($B1085,'HS Codes'!$A$2:$A3639,0),MATCH(K$1,'HS Codes'!$D$1:$K$1,0)),"")</f>
        <v>0</v>
      </c>
      <c r="L1085" s="8">
        <f>_xlfn.IFNA(INDEX('HS Codes'!$D$2:$K3639,MATCH($B1085,'HS Codes'!$A$2:$A3639,0),MATCH(L$1,'HS Codes'!$D$1:$K$1,0)),"")</f>
        <v>0</v>
      </c>
      <c r="M1085" s="8">
        <f>_xlfn.IFNA(INDEX('HS Codes'!$C$2:$C3639,MATCH($B1085,'HS Codes'!$A$2:$A3639,0)),"")</f>
        <v>0</v>
      </c>
      <c r="N1085" s="9"/>
      <c r="O1085" s="9"/>
      <c r="P1085" s="9"/>
      <c r="Q1085" s="9"/>
    </row>
    <row r="1086" spans="1:17" ht="15.75" customHeight="1">
      <c r="A1086" s="7" t="s">
        <v>1379</v>
      </c>
      <c r="B1086" s="7" t="s">
        <v>181</v>
      </c>
      <c r="C1086" s="7"/>
      <c r="D1086" s="7" t="s">
        <v>182</v>
      </c>
      <c r="E1086" s="7" t="s">
        <v>322</v>
      </c>
      <c r="F1086" s="8">
        <f>_xlfn.IFNA(INDEX('HS Codes'!$D$2:$K3640,MATCH($B1086,'HS Codes'!$A$2:$A3640,0),MATCH(F$1,'HS Codes'!$D$1:$K$1,0)),"")</f>
        <v>0</v>
      </c>
      <c r="G1086" s="8">
        <f>_xlfn.IFNA(INDEX('HS Codes'!$D$2:$K3640,MATCH($B1086,'HS Codes'!$A$2:$A3640,0),MATCH(G$1,'HS Codes'!$D$1:$K$1,0)),"")</f>
        <v>0</v>
      </c>
      <c r="H1086" s="8">
        <f>_xlfn.IFNA(INDEX('HS Codes'!$D$2:$K3640,MATCH($B1086,'HS Codes'!$A$2:$A3640,0),MATCH(H$1,'HS Codes'!$D$1:$K$1,0)),"")</f>
        <v>0</v>
      </c>
      <c r="I1086" s="8">
        <f>_xlfn.IFNA(INDEX('HS Codes'!$D$2:$K3640,MATCH($B1086,'HS Codes'!$A$2:$A3640,0),MATCH(I$1,'HS Codes'!$D$1:$K$1,0)),"")</f>
        <v>0</v>
      </c>
      <c r="J1086" s="8">
        <f>_xlfn.IFNA(INDEX('HS Codes'!$D$2:$K3640,MATCH($B1086,'HS Codes'!$A$2:$A3640,0),MATCH(J$1,'HS Codes'!$D$1:$K$1,0)),"")</f>
        <v>0</v>
      </c>
      <c r="K1086" s="8">
        <f>_xlfn.IFNA(INDEX('HS Codes'!$D$2:$K3640,MATCH($B1086,'HS Codes'!$A$2:$A3640,0),MATCH(K$1,'HS Codes'!$D$1:$K$1,0)),"")</f>
        <v>0</v>
      </c>
      <c r="L1086" s="8">
        <f>_xlfn.IFNA(INDEX('HS Codes'!$D$2:$K3640,MATCH($B1086,'HS Codes'!$A$2:$A3640,0),MATCH(L$1,'HS Codes'!$D$1:$K$1,0)),"")</f>
        <v>0</v>
      </c>
      <c r="M1086" s="8">
        <f>_xlfn.IFNA(INDEX('HS Codes'!$C$2:$C3640,MATCH($B1086,'HS Codes'!$A$2:$A3640,0)),"")</f>
        <v>0</v>
      </c>
      <c r="N1086" s="9"/>
      <c r="O1086" s="9"/>
      <c r="P1086" s="9"/>
      <c r="Q1086" s="9"/>
    </row>
    <row r="1087" spans="1:17" ht="15.75" customHeight="1">
      <c r="A1087" s="7" t="s">
        <v>1380</v>
      </c>
      <c r="B1087" s="7" t="s">
        <v>181</v>
      </c>
      <c r="C1087" s="7"/>
      <c r="D1087" s="7" t="s">
        <v>182</v>
      </c>
      <c r="E1087" s="7" t="s">
        <v>322</v>
      </c>
      <c r="F1087" s="8">
        <f>_xlfn.IFNA(INDEX('HS Codes'!$D$2:$K3641,MATCH($B1087,'HS Codes'!$A$2:$A3641,0),MATCH(F$1,'HS Codes'!$D$1:$K$1,0)),"")</f>
        <v>0</v>
      </c>
      <c r="G1087" s="8">
        <f>_xlfn.IFNA(INDEX('HS Codes'!$D$2:$K3641,MATCH($B1087,'HS Codes'!$A$2:$A3641,0),MATCH(G$1,'HS Codes'!$D$1:$K$1,0)),"")</f>
        <v>0</v>
      </c>
      <c r="H1087" s="8">
        <f>_xlfn.IFNA(INDEX('HS Codes'!$D$2:$K3641,MATCH($B1087,'HS Codes'!$A$2:$A3641,0),MATCH(H$1,'HS Codes'!$D$1:$K$1,0)),"")</f>
        <v>0</v>
      </c>
      <c r="I1087" s="8">
        <f>_xlfn.IFNA(INDEX('HS Codes'!$D$2:$K3641,MATCH($B1087,'HS Codes'!$A$2:$A3641,0),MATCH(I$1,'HS Codes'!$D$1:$K$1,0)),"")</f>
        <v>0</v>
      </c>
      <c r="J1087" s="8">
        <f>_xlfn.IFNA(INDEX('HS Codes'!$D$2:$K3641,MATCH($B1087,'HS Codes'!$A$2:$A3641,0),MATCH(J$1,'HS Codes'!$D$1:$K$1,0)),"")</f>
        <v>0</v>
      </c>
      <c r="K1087" s="8">
        <f>_xlfn.IFNA(INDEX('HS Codes'!$D$2:$K3641,MATCH($B1087,'HS Codes'!$A$2:$A3641,0),MATCH(K$1,'HS Codes'!$D$1:$K$1,0)),"")</f>
        <v>0</v>
      </c>
      <c r="L1087" s="8">
        <f>_xlfn.IFNA(INDEX('HS Codes'!$D$2:$K3641,MATCH($B1087,'HS Codes'!$A$2:$A3641,0),MATCH(L$1,'HS Codes'!$D$1:$K$1,0)),"")</f>
        <v>0</v>
      </c>
      <c r="M1087" s="8">
        <f>_xlfn.IFNA(INDEX('HS Codes'!$C$2:$C3641,MATCH($B1087,'HS Codes'!$A$2:$A3641,0)),"")</f>
        <v>0</v>
      </c>
      <c r="N1087" s="9"/>
      <c r="O1087" s="9"/>
      <c r="P1087" s="9"/>
      <c r="Q1087" s="9"/>
    </row>
    <row r="1088" spans="1:17" ht="15.75" customHeight="1">
      <c r="A1088" s="7" t="s">
        <v>1381</v>
      </c>
      <c r="B1088" s="7" t="s">
        <v>181</v>
      </c>
      <c r="C1088" s="7"/>
      <c r="D1088" s="7" t="s">
        <v>182</v>
      </c>
      <c r="E1088" s="7" t="s">
        <v>322</v>
      </c>
      <c r="F1088" s="8">
        <f>_xlfn.IFNA(INDEX('HS Codes'!$D$2:$K3642,MATCH($B1088,'HS Codes'!$A$2:$A3642,0),MATCH(F$1,'HS Codes'!$D$1:$K$1,0)),"")</f>
        <v>0</v>
      </c>
      <c r="G1088" s="8">
        <f>_xlfn.IFNA(INDEX('HS Codes'!$D$2:$K3642,MATCH($B1088,'HS Codes'!$A$2:$A3642,0),MATCH(G$1,'HS Codes'!$D$1:$K$1,0)),"")</f>
        <v>0</v>
      </c>
      <c r="H1088" s="8">
        <f>_xlfn.IFNA(INDEX('HS Codes'!$D$2:$K3642,MATCH($B1088,'HS Codes'!$A$2:$A3642,0),MATCH(H$1,'HS Codes'!$D$1:$K$1,0)),"")</f>
        <v>0</v>
      </c>
      <c r="I1088" s="8">
        <f>_xlfn.IFNA(INDEX('HS Codes'!$D$2:$K3642,MATCH($B1088,'HS Codes'!$A$2:$A3642,0),MATCH(I$1,'HS Codes'!$D$1:$K$1,0)),"")</f>
        <v>0</v>
      </c>
      <c r="J1088" s="8">
        <f>_xlfn.IFNA(INDEX('HS Codes'!$D$2:$K3642,MATCH($B1088,'HS Codes'!$A$2:$A3642,0),MATCH(J$1,'HS Codes'!$D$1:$K$1,0)),"")</f>
        <v>0</v>
      </c>
      <c r="K1088" s="8">
        <f>_xlfn.IFNA(INDEX('HS Codes'!$D$2:$K3642,MATCH($B1088,'HS Codes'!$A$2:$A3642,0),MATCH(K$1,'HS Codes'!$D$1:$K$1,0)),"")</f>
        <v>0</v>
      </c>
      <c r="L1088" s="8">
        <f>_xlfn.IFNA(INDEX('HS Codes'!$D$2:$K3642,MATCH($B1088,'HS Codes'!$A$2:$A3642,0),MATCH(L$1,'HS Codes'!$D$1:$K$1,0)),"")</f>
        <v>0</v>
      </c>
      <c r="M1088" s="8">
        <f>_xlfn.IFNA(INDEX('HS Codes'!$C$2:$C3642,MATCH($B1088,'HS Codes'!$A$2:$A3642,0)),"")</f>
        <v>0</v>
      </c>
      <c r="N1088" s="9"/>
      <c r="O1088" s="9"/>
      <c r="P1088" s="9"/>
      <c r="Q1088" s="9"/>
    </row>
    <row r="1089" spans="1:17" ht="15.75" customHeight="1">
      <c r="A1089" s="7" t="s">
        <v>1382</v>
      </c>
      <c r="B1089" s="7" t="s">
        <v>181</v>
      </c>
      <c r="C1089" s="7"/>
      <c r="D1089" s="7" t="s">
        <v>182</v>
      </c>
      <c r="E1089" s="7" t="s">
        <v>322</v>
      </c>
      <c r="F1089" s="8">
        <f>_xlfn.IFNA(INDEX('HS Codes'!$D$2:$K3643,MATCH($B1089,'HS Codes'!$A$2:$A3643,0),MATCH(F$1,'HS Codes'!$D$1:$K$1,0)),"")</f>
        <v>0</v>
      </c>
      <c r="G1089" s="8">
        <f>_xlfn.IFNA(INDEX('HS Codes'!$D$2:$K3643,MATCH($B1089,'HS Codes'!$A$2:$A3643,0),MATCH(G$1,'HS Codes'!$D$1:$K$1,0)),"")</f>
        <v>0</v>
      </c>
      <c r="H1089" s="8">
        <f>_xlfn.IFNA(INDEX('HS Codes'!$D$2:$K3643,MATCH($B1089,'HS Codes'!$A$2:$A3643,0),MATCH(H$1,'HS Codes'!$D$1:$K$1,0)),"")</f>
        <v>0</v>
      </c>
      <c r="I1089" s="8">
        <f>_xlfn.IFNA(INDEX('HS Codes'!$D$2:$K3643,MATCH($B1089,'HS Codes'!$A$2:$A3643,0),MATCH(I$1,'HS Codes'!$D$1:$K$1,0)),"")</f>
        <v>0</v>
      </c>
      <c r="J1089" s="8">
        <f>_xlfn.IFNA(INDEX('HS Codes'!$D$2:$K3643,MATCH($B1089,'HS Codes'!$A$2:$A3643,0),MATCH(J$1,'HS Codes'!$D$1:$K$1,0)),"")</f>
        <v>0</v>
      </c>
      <c r="K1089" s="8">
        <f>_xlfn.IFNA(INDEX('HS Codes'!$D$2:$K3643,MATCH($B1089,'HS Codes'!$A$2:$A3643,0),MATCH(K$1,'HS Codes'!$D$1:$K$1,0)),"")</f>
        <v>0</v>
      </c>
      <c r="L1089" s="8">
        <f>_xlfn.IFNA(INDEX('HS Codes'!$D$2:$K3643,MATCH($B1089,'HS Codes'!$A$2:$A3643,0),MATCH(L$1,'HS Codes'!$D$1:$K$1,0)),"")</f>
        <v>0</v>
      </c>
      <c r="M1089" s="8">
        <f>_xlfn.IFNA(INDEX('HS Codes'!$C$2:$C3643,MATCH($B1089,'HS Codes'!$A$2:$A3643,0)),"")</f>
        <v>0</v>
      </c>
      <c r="N1089" s="9"/>
      <c r="O1089" s="9"/>
      <c r="P1089" s="9"/>
      <c r="Q1089" s="9"/>
    </row>
    <row r="1090" spans="1:17" ht="15.75" customHeight="1">
      <c r="A1090" s="7" t="s">
        <v>1383</v>
      </c>
      <c r="B1090" s="7" t="s">
        <v>181</v>
      </c>
      <c r="C1090" s="7"/>
      <c r="D1090" s="7" t="s">
        <v>182</v>
      </c>
      <c r="E1090" s="7" t="s">
        <v>322</v>
      </c>
      <c r="F1090" s="8">
        <f>_xlfn.IFNA(INDEX('HS Codes'!$D$2:$K3644,MATCH($B1090,'HS Codes'!$A$2:$A3644,0),MATCH(F$1,'HS Codes'!$D$1:$K$1,0)),"")</f>
        <v>0</v>
      </c>
      <c r="G1090" s="8">
        <f>_xlfn.IFNA(INDEX('HS Codes'!$D$2:$K3644,MATCH($B1090,'HS Codes'!$A$2:$A3644,0),MATCH(G$1,'HS Codes'!$D$1:$K$1,0)),"")</f>
        <v>0</v>
      </c>
      <c r="H1090" s="8">
        <f>_xlfn.IFNA(INDEX('HS Codes'!$D$2:$K3644,MATCH($B1090,'HS Codes'!$A$2:$A3644,0),MATCH(H$1,'HS Codes'!$D$1:$K$1,0)),"")</f>
        <v>0</v>
      </c>
      <c r="I1090" s="8">
        <f>_xlfn.IFNA(INDEX('HS Codes'!$D$2:$K3644,MATCH($B1090,'HS Codes'!$A$2:$A3644,0),MATCH(I$1,'HS Codes'!$D$1:$K$1,0)),"")</f>
        <v>0</v>
      </c>
      <c r="J1090" s="8">
        <f>_xlfn.IFNA(INDEX('HS Codes'!$D$2:$K3644,MATCH($B1090,'HS Codes'!$A$2:$A3644,0),MATCH(J$1,'HS Codes'!$D$1:$K$1,0)),"")</f>
        <v>0</v>
      </c>
      <c r="K1090" s="8">
        <f>_xlfn.IFNA(INDEX('HS Codes'!$D$2:$K3644,MATCH($B1090,'HS Codes'!$A$2:$A3644,0),MATCH(K$1,'HS Codes'!$D$1:$K$1,0)),"")</f>
        <v>0</v>
      </c>
      <c r="L1090" s="8">
        <f>_xlfn.IFNA(INDEX('HS Codes'!$D$2:$K3644,MATCH($B1090,'HS Codes'!$A$2:$A3644,0),MATCH(L$1,'HS Codes'!$D$1:$K$1,0)),"")</f>
        <v>0</v>
      </c>
      <c r="M1090" s="8">
        <f>_xlfn.IFNA(INDEX('HS Codes'!$C$2:$C3644,MATCH($B1090,'HS Codes'!$A$2:$A3644,0)),"")</f>
        <v>0</v>
      </c>
      <c r="N1090" s="9"/>
      <c r="O1090" s="9"/>
      <c r="P1090" s="9"/>
      <c r="Q1090" s="9"/>
    </row>
    <row r="1091" spans="1:17" ht="15.75" customHeight="1">
      <c r="A1091" s="7" t="s">
        <v>1384</v>
      </c>
      <c r="B1091" s="7" t="s">
        <v>181</v>
      </c>
      <c r="C1091" s="7"/>
      <c r="D1091" s="7" t="s">
        <v>182</v>
      </c>
      <c r="E1091" s="7" t="s">
        <v>322</v>
      </c>
      <c r="F1091" s="8">
        <f>_xlfn.IFNA(INDEX('HS Codes'!$D$2:$K3645,MATCH($B1091,'HS Codes'!$A$2:$A3645,0),MATCH(F$1,'HS Codes'!$D$1:$K$1,0)),"")</f>
        <v>0</v>
      </c>
      <c r="G1091" s="8">
        <f>_xlfn.IFNA(INDEX('HS Codes'!$D$2:$K3645,MATCH($B1091,'HS Codes'!$A$2:$A3645,0),MATCH(G$1,'HS Codes'!$D$1:$K$1,0)),"")</f>
        <v>0</v>
      </c>
      <c r="H1091" s="8">
        <f>_xlfn.IFNA(INDEX('HS Codes'!$D$2:$K3645,MATCH($B1091,'HS Codes'!$A$2:$A3645,0),MATCH(H$1,'HS Codes'!$D$1:$K$1,0)),"")</f>
        <v>0</v>
      </c>
      <c r="I1091" s="8">
        <f>_xlfn.IFNA(INDEX('HS Codes'!$D$2:$K3645,MATCH($B1091,'HS Codes'!$A$2:$A3645,0),MATCH(I$1,'HS Codes'!$D$1:$K$1,0)),"")</f>
        <v>0</v>
      </c>
      <c r="J1091" s="8">
        <f>_xlfn.IFNA(INDEX('HS Codes'!$D$2:$K3645,MATCH($B1091,'HS Codes'!$A$2:$A3645,0),MATCH(J$1,'HS Codes'!$D$1:$K$1,0)),"")</f>
        <v>0</v>
      </c>
      <c r="K1091" s="8">
        <f>_xlfn.IFNA(INDEX('HS Codes'!$D$2:$K3645,MATCH($B1091,'HS Codes'!$A$2:$A3645,0),MATCH(K$1,'HS Codes'!$D$1:$K$1,0)),"")</f>
        <v>0</v>
      </c>
      <c r="L1091" s="8">
        <f>_xlfn.IFNA(INDEX('HS Codes'!$D$2:$K3645,MATCH($B1091,'HS Codes'!$A$2:$A3645,0),MATCH(L$1,'HS Codes'!$D$1:$K$1,0)),"")</f>
        <v>0</v>
      </c>
      <c r="M1091" s="8">
        <f>_xlfn.IFNA(INDEX('HS Codes'!$C$2:$C3645,MATCH($B1091,'HS Codes'!$A$2:$A3645,0)),"")</f>
        <v>0</v>
      </c>
      <c r="N1091" s="9"/>
      <c r="O1091" s="9"/>
      <c r="P1091" s="9"/>
      <c r="Q1091" s="9"/>
    </row>
    <row r="1092" spans="1:17" ht="15.75" customHeight="1">
      <c r="A1092" s="7" t="s">
        <v>1385</v>
      </c>
      <c r="B1092" s="7" t="s">
        <v>181</v>
      </c>
      <c r="C1092" s="7"/>
      <c r="D1092" s="7" t="s">
        <v>182</v>
      </c>
      <c r="E1092" s="7" t="s">
        <v>322</v>
      </c>
      <c r="F1092" s="8">
        <f>_xlfn.IFNA(INDEX('HS Codes'!$D$2:$K3646,MATCH($B1092,'HS Codes'!$A$2:$A3646,0),MATCH(F$1,'HS Codes'!$D$1:$K$1,0)),"")</f>
        <v>0</v>
      </c>
      <c r="G1092" s="8">
        <f>_xlfn.IFNA(INDEX('HS Codes'!$D$2:$K3646,MATCH($B1092,'HS Codes'!$A$2:$A3646,0),MATCH(G$1,'HS Codes'!$D$1:$K$1,0)),"")</f>
        <v>0</v>
      </c>
      <c r="H1092" s="8">
        <f>_xlfn.IFNA(INDEX('HS Codes'!$D$2:$K3646,MATCH($B1092,'HS Codes'!$A$2:$A3646,0),MATCH(H$1,'HS Codes'!$D$1:$K$1,0)),"")</f>
        <v>0</v>
      </c>
      <c r="I1092" s="8">
        <f>_xlfn.IFNA(INDEX('HS Codes'!$D$2:$K3646,MATCH($B1092,'HS Codes'!$A$2:$A3646,0),MATCH(I$1,'HS Codes'!$D$1:$K$1,0)),"")</f>
        <v>0</v>
      </c>
      <c r="J1092" s="8">
        <f>_xlfn.IFNA(INDEX('HS Codes'!$D$2:$K3646,MATCH($B1092,'HS Codes'!$A$2:$A3646,0),MATCH(J$1,'HS Codes'!$D$1:$K$1,0)),"")</f>
        <v>0</v>
      </c>
      <c r="K1092" s="8">
        <f>_xlfn.IFNA(INDEX('HS Codes'!$D$2:$K3646,MATCH($B1092,'HS Codes'!$A$2:$A3646,0),MATCH(K$1,'HS Codes'!$D$1:$K$1,0)),"")</f>
        <v>0</v>
      </c>
      <c r="L1092" s="8">
        <f>_xlfn.IFNA(INDEX('HS Codes'!$D$2:$K3646,MATCH($B1092,'HS Codes'!$A$2:$A3646,0),MATCH(L$1,'HS Codes'!$D$1:$K$1,0)),"")</f>
        <v>0</v>
      </c>
      <c r="M1092" s="8">
        <f>_xlfn.IFNA(INDEX('HS Codes'!$C$2:$C3646,MATCH($B1092,'HS Codes'!$A$2:$A3646,0)),"")</f>
        <v>0</v>
      </c>
      <c r="N1092" s="9"/>
      <c r="O1092" s="9"/>
      <c r="P1092" s="9"/>
      <c r="Q1092" s="9"/>
    </row>
    <row r="1093" spans="1:17" ht="15.75" customHeight="1">
      <c r="A1093" s="7" t="s">
        <v>1386</v>
      </c>
      <c r="B1093" s="7" t="s">
        <v>181</v>
      </c>
      <c r="C1093" s="7"/>
      <c r="D1093" s="7" t="s">
        <v>182</v>
      </c>
      <c r="E1093" s="7" t="s">
        <v>322</v>
      </c>
      <c r="F1093" s="8">
        <f>_xlfn.IFNA(INDEX('HS Codes'!$D$2:$K3647,MATCH($B1093,'HS Codes'!$A$2:$A3647,0),MATCH(F$1,'HS Codes'!$D$1:$K$1,0)),"")</f>
        <v>0</v>
      </c>
      <c r="G1093" s="8">
        <f>_xlfn.IFNA(INDEX('HS Codes'!$D$2:$K3647,MATCH($B1093,'HS Codes'!$A$2:$A3647,0),MATCH(G$1,'HS Codes'!$D$1:$K$1,0)),"")</f>
        <v>0</v>
      </c>
      <c r="H1093" s="8">
        <f>_xlfn.IFNA(INDEX('HS Codes'!$D$2:$K3647,MATCH($B1093,'HS Codes'!$A$2:$A3647,0),MATCH(H$1,'HS Codes'!$D$1:$K$1,0)),"")</f>
        <v>0</v>
      </c>
      <c r="I1093" s="8">
        <f>_xlfn.IFNA(INDEX('HS Codes'!$D$2:$K3647,MATCH($B1093,'HS Codes'!$A$2:$A3647,0),MATCH(I$1,'HS Codes'!$D$1:$K$1,0)),"")</f>
        <v>0</v>
      </c>
      <c r="J1093" s="8">
        <f>_xlfn.IFNA(INDEX('HS Codes'!$D$2:$K3647,MATCH($B1093,'HS Codes'!$A$2:$A3647,0),MATCH(J$1,'HS Codes'!$D$1:$K$1,0)),"")</f>
        <v>0</v>
      </c>
      <c r="K1093" s="8">
        <f>_xlfn.IFNA(INDEX('HS Codes'!$D$2:$K3647,MATCH($B1093,'HS Codes'!$A$2:$A3647,0),MATCH(K$1,'HS Codes'!$D$1:$K$1,0)),"")</f>
        <v>0</v>
      </c>
      <c r="L1093" s="8">
        <f>_xlfn.IFNA(INDEX('HS Codes'!$D$2:$K3647,MATCH($B1093,'HS Codes'!$A$2:$A3647,0),MATCH(L$1,'HS Codes'!$D$1:$K$1,0)),"")</f>
        <v>0</v>
      </c>
      <c r="M1093" s="8">
        <f>_xlfn.IFNA(INDEX('HS Codes'!$C$2:$C3647,MATCH($B1093,'HS Codes'!$A$2:$A3647,0)),"")</f>
        <v>0</v>
      </c>
      <c r="N1093" s="9"/>
      <c r="O1093" s="9"/>
      <c r="P1093" s="9"/>
      <c r="Q1093" s="9"/>
    </row>
    <row r="1094" spans="1:17" ht="15.75" customHeight="1">
      <c r="A1094" s="7" t="s">
        <v>1387</v>
      </c>
      <c r="B1094" s="7" t="s">
        <v>181</v>
      </c>
      <c r="C1094" s="7"/>
      <c r="D1094" s="7" t="s">
        <v>182</v>
      </c>
      <c r="E1094" s="7" t="s">
        <v>322</v>
      </c>
      <c r="F1094" s="8">
        <f>_xlfn.IFNA(INDEX('HS Codes'!$D$2:$K3648,MATCH($B1094,'HS Codes'!$A$2:$A3648,0),MATCH(F$1,'HS Codes'!$D$1:$K$1,0)),"")</f>
        <v>0</v>
      </c>
      <c r="G1094" s="8">
        <f>_xlfn.IFNA(INDEX('HS Codes'!$D$2:$K3648,MATCH($B1094,'HS Codes'!$A$2:$A3648,0),MATCH(G$1,'HS Codes'!$D$1:$K$1,0)),"")</f>
        <v>0</v>
      </c>
      <c r="H1094" s="8">
        <f>_xlfn.IFNA(INDEX('HS Codes'!$D$2:$K3648,MATCH($B1094,'HS Codes'!$A$2:$A3648,0),MATCH(H$1,'HS Codes'!$D$1:$K$1,0)),"")</f>
        <v>0</v>
      </c>
      <c r="I1094" s="8">
        <f>_xlfn.IFNA(INDEX('HS Codes'!$D$2:$K3648,MATCH($B1094,'HS Codes'!$A$2:$A3648,0),MATCH(I$1,'HS Codes'!$D$1:$K$1,0)),"")</f>
        <v>0</v>
      </c>
      <c r="J1094" s="8">
        <f>_xlfn.IFNA(INDEX('HS Codes'!$D$2:$K3648,MATCH($B1094,'HS Codes'!$A$2:$A3648,0),MATCH(J$1,'HS Codes'!$D$1:$K$1,0)),"")</f>
        <v>0</v>
      </c>
      <c r="K1094" s="8">
        <f>_xlfn.IFNA(INDEX('HS Codes'!$D$2:$K3648,MATCH($B1094,'HS Codes'!$A$2:$A3648,0),MATCH(K$1,'HS Codes'!$D$1:$K$1,0)),"")</f>
        <v>0</v>
      </c>
      <c r="L1094" s="8">
        <f>_xlfn.IFNA(INDEX('HS Codes'!$D$2:$K3648,MATCH($B1094,'HS Codes'!$A$2:$A3648,0),MATCH(L$1,'HS Codes'!$D$1:$K$1,0)),"")</f>
        <v>0</v>
      </c>
      <c r="M1094" s="8">
        <f>_xlfn.IFNA(INDEX('HS Codes'!$C$2:$C3648,MATCH($B1094,'HS Codes'!$A$2:$A3648,0)),"")</f>
        <v>0</v>
      </c>
      <c r="N1094" s="9"/>
      <c r="O1094" s="9"/>
      <c r="P1094" s="9"/>
      <c r="Q1094" s="9"/>
    </row>
    <row r="1095" spans="1:17" ht="15.75" customHeight="1">
      <c r="A1095" s="7" t="s">
        <v>1388</v>
      </c>
      <c r="B1095" s="7" t="s">
        <v>181</v>
      </c>
      <c r="C1095" s="7"/>
      <c r="D1095" s="7" t="s">
        <v>182</v>
      </c>
      <c r="E1095" s="7" t="s">
        <v>322</v>
      </c>
      <c r="F1095" s="8">
        <f>_xlfn.IFNA(INDEX('HS Codes'!$D$2:$K3649,MATCH($B1095,'HS Codes'!$A$2:$A3649,0),MATCH(F$1,'HS Codes'!$D$1:$K$1,0)),"")</f>
        <v>0</v>
      </c>
      <c r="G1095" s="8">
        <f>_xlfn.IFNA(INDEX('HS Codes'!$D$2:$K3649,MATCH($B1095,'HS Codes'!$A$2:$A3649,0),MATCH(G$1,'HS Codes'!$D$1:$K$1,0)),"")</f>
        <v>0</v>
      </c>
      <c r="H1095" s="8">
        <f>_xlfn.IFNA(INDEX('HS Codes'!$D$2:$K3649,MATCH($B1095,'HS Codes'!$A$2:$A3649,0),MATCH(H$1,'HS Codes'!$D$1:$K$1,0)),"")</f>
        <v>0</v>
      </c>
      <c r="I1095" s="8">
        <f>_xlfn.IFNA(INDEX('HS Codes'!$D$2:$K3649,MATCH($B1095,'HS Codes'!$A$2:$A3649,0),MATCH(I$1,'HS Codes'!$D$1:$K$1,0)),"")</f>
        <v>0</v>
      </c>
      <c r="J1095" s="8">
        <f>_xlfn.IFNA(INDEX('HS Codes'!$D$2:$K3649,MATCH($B1095,'HS Codes'!$A$2:$A3649,0),MATCH(J$1,'HS Codes'!$D$1:$K$1,0)),"")</f>
        <v>0</v>
      </c>
      <c r="K1095" s="8">
        <f>_xlfn.IFNA(INDEX('HS Codes'!$D$2:$K3649,MATCH($B1095,'HS Codes'!$A$2:$A3649,0),MATCH(K$1,'HS Codes'!$D$1:$K$1,0)),"")</f>
        <v>0</v>
      </c>
      <c r="L1095" s="8">
        <f>_xlfn.IFNA(INDEX('HS Codes'!$D$2:$K3649,MATCH($B1095,'HS Codes'!$A$2:$A3649,0),MATCH(L$1,'HS Codes'!$D$1:$K$1,0)),"")</f>
        <v>0</v>
      </c>
      <c r="M1095" s="8">
        <f>_xlfn.IFNA(INDEX('HS Codes'!$C$2:$C3649,MATCH($B1095,'HS Codes'!$A$2:$A3649,0)),"")</f>
        <v>0</v>
      </c>
      <c r="N1095" s="9"/>
      <c r="O1095" s="9"/>
      <c r="P1095" s="9"/>
      <c r="Q1095" s="9"/>
    </row>
    <row r="1096" spans="1:17" ht="15.75" customHeight="1">
      <c r="A1096" s="7" t="s">
        <v>1389</v>
      </c>
      <c r="B1096" s="7" t="s">
        <v>181</v>
      </c>
      <c r="C1096" s="7"/>
      <c r="D1096" s="7" t="s">
        <v>182</v>
      </c>
      <c r="E1096" s="7" t="s">
        <v>322</v>
      </c>
      <c r="F1096" s="8">
        <f>_xlfn.IFNA(INDEX('HS Codes'!$D$2:$K3650,MATCH($B1096,'HS Codes'!$A$2:$A3650,0),MATCH(F$1,'HS Codes'!$D$1:$K$1,0)),"")</f>
        <v>0</v>
      </c>
      <c r="G1096" s="8">
        <f>_xlfn.IFNA(INDEX('HS Codes'!$D$2:$K3650,MATCH($B1096,'HS Codes'!$A$2:$A3650,0),MATCH(G$1,'HS Codes'!$D$1:$K$1,0)),"")</f>
        <v>0</v>
      </c>
      <c r="H1096" s="8">
        <f>_xlfn.IFNA(INDEX('HS Codes'!$D$2:$K3650,MATCH($B1096,'HS Codes'!$A$2:$A3650,0),MATCH(H$1,'HS Codes'!$D$1:$K$1,0)),"")</f>
        <v>0</v>
      </c>
      <c r="I1096" s="8">
        <f>_xlfn.IFNA(INDEX('HS Codes'!$D$2:$K3650,MATCH($B1096,'HS Codes'!$A$2:$A3650,0),MATCH(I$1,'HS Codes'!$D$1:$K$1,0)),"")</f>
        <v>0</v>
      </c>
      <c r="J1096" s="8">
        <f>_xlfn.IFNA(INDEX('HS Codes'!$D$2:$K3650,MATCH($B1096,'HS Codes'!$A$2:$A3650,0),MATCH(J$1,'HS Codes'!$D$1:$K$1,0)),"")</f>
        <v>0</v>
      </c>
      <c r="K1096" s="8">
        <f>_xlfn.IFNA(INDEX('HS Codes'!$D$2:$K3650,MATCH($B1096,'HS Codes'!$A$2:$A3650,0),MATCH(K$1,'HS Codes'!$D$1:$K$1,0)),"")</f>
        <v>0</v>
      </c>
      <c r="L1096" s="8">
        <f>_xlfn.IFNA(INDEX('HS Codes'!$D$2:$K3650,MATCH($B1096,'HS Codes'!$A$2:$A3650,0),MATCH(L$1,'HS Codes'!$D$1:$K$1,0)),"")</f>
        <v>0</v>
      </c>
      <c r="M1096" s="8">
        <f>_xlfn.IFNA(INDEX('HS Codes'!$C$2:$C3650,MATCH($B1096,'HS Codes'!$A$2:$A3650,0)),"")</f>
        <v>0</v>
      </c>
      <c r="N1096" s="9"/>
      <c r="O1096" s="9"/>
      <c r="P1096" s="9"/>
      <c r="Q1096" s="9"/>
    </row>
    <row r="1097" spans="1:17" ht="15.75" customHeight="1">
      <c r="A1097" s="7" t="s">
        <v>1390</v>
      </c>
      <c r="B1097" s="7" t="s">
        <v>181</v>
      </c>
      <c r="C1097" s="7"/>
      <c r="D1097" s="7" t="s">
        <v>182</v>
      </c>
      <c r="E1097" s="7" t="s">
        <v>322</v>
      </c>
      <c r="F1097" s="8">
        <f>_xlfn.IFNA(INDEX('HS Codes'!$D$2:$K3651,MATCH($B1097,'HS Codes'!$A$2:$A3651,0),MATCH(F$1,'HS Codes'!$D$1:$K$1,0)),"")</f>
        <v>0</v>
      </c>
      <c r="G1097" s="8">
        <f>_xlfn.IFNA(INDEX('HS Codes'!$D$2:$K3651,MATCH($B1097,'HS Codes'!$A$2:$A3651,0),MATCH(G$1,'HS Codes'!$D$1:$K$1,0)),"")</f>
        <v>0</v>
      </c>
      <c r="H1097" s="8">
        <f>_xlfn.IFNA(INDEX('HS Codes'!$D$2:$K3651,MATCH($B1097,'HS Codes'!$A$2:$A3651,0),MATCH(H$1,'HS Codes'!$D$1:$K$1,0)),"")</f>
        <v>0</v>
      </c>
      <c r="I1097" s="8">
        <f>_xlfn.IFNA(INDEX('HS Codes'!$D$2:$K3651,MATCH($B1097,'HS Codes'!$A$2:$A3651,0),MATCH(I$1,'HS Codes'!$D$1:$K$1,0)),"")</f>
        <v>0</v>
      </c>
      <c r="J1097" s="8">
        <f>_xlfn.IFNA(INDEX('HS Codes'!$D$2:$K3651,MATCH($B1097,'HS Codes'!$A$2:$A3651,0),MATCH(J$1,'HS Codes'!$D$1:$K$1,0)),"")</f>
        <v>0</v>
      </c>
      <c r="K1097" s="8">
        <f>_xlfn.IFNA(INDEX('HS Codes'!$D$2:$K3651,MATCH($B1097,'HS Codes'!$A$2:$A3651,0),MATCH(K$1,'HS Codes'!$D$1:$K$1,0)),"")</f>
        <v>0</v>
      </c>
      <c r="L1097" s="8">
        <f>_xlfn.IFNA(INDEX('HS Codes'!$D$2:$K3651,MATCH($B1097,'HS Codes'!$A$2:$A3651,0),MATCH(L$1,'HS Codes'!$D$1:$K$1,0)),"")</f>
        <v>0</v>
      </c>
      <c r="M1097" s="8">
        <f>_xlfn.IFNA(INDEX('HS Codes'!$C$2:$C3651,MATCH($B1097,'HS Codes'!$A$2:$A3651,0)),"")</f>
        <v>0</v>
      </c>
      <c r="N1097" s="9"/>
      <c r="O1097" s="9"/>
      <c r="P1097" s="9"/>
      <c r="Q1097" s="9"/>
    </row>
    <row r="1098" spans="1:17" ht="15.75" customHeight="1">
      <c r="A1098" s="7" t="s">
        <v>1391</v>
      </c>
      <c r="B1098" s="7" t="s">
        <v>181</v>
      </c>
      <c r="C1098" s="7"/>
      <c r="D1098" s="7" t="s">
        <v>182</v>
      </c>
      <c r="E1098" s="7" t="s">
        <v>322</v>
      </c>
      <c r="F1098" s="8">
        <f>_xlfn.IFNA(INDEX('HS Codes'!$D$2:$K3652,MATCH($B1098,'HS Codes'!$A$2:$A3652,0),MATCH(F$1,'HS Codes'!$D$1:$K$1,0)),"")</f>
        <v>0</v>
      </c>
      <c r="G1098" s="8">
        <f>_xlfn.IFNA(INDEX('HS Codes'!$D$2:$K3652,MATCH($B1098,'HS Codes'!$A$2:$A3652,0),MATCH(G$1,'HS Codes'!$D$1:$K$1,0)),"")</f>
        <v>0</v>
      </c>
      <c r="H1098" s="8">
        <f>_xlfn.IFNA(INDEX('HS Codes'!$D$2:$K3652,MATCH($B1098,'HS Codes'!$A$2:$A3652,0),MATCH(H$1,'HS Codes'!$D$1:$K$1,0)),"")</f>
        <v>0</v>
      </c>
      <c r="I1098" s="8">
        <f>_xlfn.IFNA(INDEX('HS Codes'!$D$2:$K3652,MATCH($B1098,'HS Codes'!$A$2:$A3652,0),MATCH(I$1,'HS Codes'!$D$1:$K$1,0)),"")</f>
        <v>0</v>
      </c>
      <c r="J1098" s="8">
        <f>_xlfn.IFNA(INDEX('HS Codes'!$D$2:$K3652,MATCH($B1098,'HS Codes'!$A$2:$A3652,0),MATCH(J$1,'HS Codes'!$D$1:$K$1,0)),"")</f>
        <v>0</v>
      </c>
      <c r="K1098" s="8">
        <f>_xlfn.IFNA(INDEX('HS Codes'!$D$2:$K3652,MATCH($B1098,'HS Codes'!$A$2:$A3652,0),MATCH(K$1,'HS Codes'!$D$1:$K$1,0)),"")</f>
        <v>0</v>
      </c>
      <c r="L1098" s="8">
        <f>_xlfn.IFNA(INDEX('HS Codes'!$D$2:$K3652,MATCH($B1098,'HS Codes'!$A$2:$A3652,0),MATCH(L$1,'HS Codes'!$D$1:$K$1,0)),"")</f>
        <v>0</v>
      </c>
      <c r="M1098" s="8">
        <f>_xlfn.IFNA(INDEX('HS Codes'!$C$2:$C3652,MATCH($B1098,'HS Codes'!$A$2:$A3652,0)),"")</f>
        <v>0</v>
      </c>
      <c r="N1098" s="9"/>
      <c r="O1098" s="9"/>
      <c r="P1098" s="9"/>
      <c r="Q1098" s="9"/>
    </row>
    <row r="1099" spans="1:17" ht="15.75" customHeight="1">
      <c r="A1099" s="7" t="s">
        <v>1392</v>
      </c>
      <c r="B1099" s="7" t="s">
        <v>181</v>
      </c>
      <c r="C1099" s="7"/>
      <c r="D1099" s="7" t="s">
        <v>182</v>
      </c>
      <c r="E1099" s="7" t="s">
        <v>322</v>
      </c>
      <c r="F1099" s="8">
        <f>_xlfn.IFNA(INDEX('HS Codes'!$D$2:$K3653,MATCH($B1099,'HS Codes'!$A$2:$A3653,0),MATCH(F$1,'HS Codes'!$D$1:$K$1,0)),"")</f>
        <v>0</v>
      </c>
      <c r="G1099" s="8">
        <f>_xlfn.IFNA(INDEX('HS Codes'!$D$2:$K3653,MATCH($B1099,'HS Codes'!$A$2:$A3653,0),MATCH(G$1,'HS Codes'!$D$1:$K$1,0)),"")</f>
        <v>0</v>
      </c>
      <c r="H1099" s="8">
        <f>_xlfn.IFNA(INDEX('HS Codes'!$D$2:$K3653,MATCH($B1099,'HS Codes'!$A$2:$A3653,0),MATCH(H$1,'HS Codes'!$D$1:$K$1,0)),"")</f>
        <v>0</v>
      </c>
      <c r="I1099" s="8">
        <f>_xlfn.IFNA(INDEX('HS Codes'!$D$2:$K3653,MATCH($B1099,'HS Codes'!$A$2:$A3653,0),MATCH(I$1,'HS Codes'!$D$1:$K$1,0)),"")</f>
        <v>0</v>
      </c>
      <c r="J1099" s="8">
        <f>_xlfn.IFNA(INDEX('HS Codes'!$D$2:$K3653,MATCH($B1099,'HS Codes'!$A$2:$A3653,0),MATCH(J$1,'HS Codes'!$D$1:$K$1,0)),"")</f>
        <v>0</v>
      </c>
      <c r="K1099" s="8">
        <f>_xlfn.IFNA(INDEX('HS Codes'!$D$2:$K3653,MATCH($B1099,'HS Codes'!$A$2:$A3653,0),MATCH(K$1,'HS Codes'!$D$1:$K$1,0)),"")</f>
        <v>0</v>
      </c>
      <c r="L1099" s="8">
        <f>_xlfn.IFNA(INDEX('HS Codes'!$D$2:$K3653,MATCH($B1099,'HS Codes'!$A$2:$A3653,0),MATCH(L$1,'HS Codes'!$D$1:$K$1,0)),"")</f>
        <v>0</v>
      </c>
      <c r="M1099" s="8">
        <f>_xlfn.IFNA(INDEX('HS Codes'!$C$2:$C3653,MATCH($B1099,'HS Codes'!$A$2:$A3653,0)),"")</f>
        <v>0</v>
      </c>
      <c r="N1099" s="9"/>
      <c r="O1099" s="9"/>
      <c r="P1099" s="9"/>
      <c r="Q1099" s="9"/>
    </row>
    <row r="1100" spans="1:17" ht="15.75" customHeight="1">
      <c r="A1100" s="7" t="s">
        <v>1393</v>
      </c>
      <c r="B1100" s="7" t="s">
        <v>181</v>
      </c>
      <c r="C1100" s="7"/>
      <c r="D1100" s="7" t="s">
        <v>182</v>
      </c>
      <c r="E1100" s="7" t="s">
        <v>322</v>
      </c>
      <c r="F1100" s="8">
        <f>_xlfn.IFNA(INDEX('HS Codes'!$D$2:$K3654,MATCH($B1100,'HS Codes'!$A$2:$A3654,0),MATCH(F$1,'HS Codes'!$D$1:$K$1,0)),"")</f>
        <v>0</v>
      </c>
      <c r="G1100" s="8">
        <f>_xlfn.IFNA(INDEX('HS Codes'!$D$2:$K3654,MATCH($B1100,'HS Codes'!$A$2:$A3654,0),MATCH(G$1,'HS Codes'!$D$1:$K$1,0)),"")</f>
        <v>0</v>
      </c>
      <c r="H1100" s="8">
        <f>_xlfn.IFNA(INDEX('HS Codes'!$D$2:$K3654,MATCH($B1100,'HS Codes'!$A$2:$A3654,0),MATCH(H$1,'HS Codes'!$D$1:$K$1,0)),"")</f>
        <v>0</v>
      </c>
      <c r="I1100" s="8">
        <f>_xlfn.IFNA(INDEX('HS Codes'!$D$2:$K3654,MATCH($B1100,'HS Codes'!$A$2:$A3654,0),MATCH(I$1,'HS Codes'!$D$1:$K$1,0)),"")</f>
        <v>0</v>
      </c>
      <c r="J1100" s="8">
        <f>_xlfn.IFNA(INDEX('HS Codes'!$D$2:$K3654,MATCH($B1100,'HS Codes'!$A$2:$A3654,0),MATCH(J$1,'HS Codes'!$D$1:$K$1,0)),"")</f>
        <v>0</v>
      </c>
      <c r="K1100" s="8">
        <f>_xlfn.IFNA(INDEX('HS Codes'!$D$2:$K3654,MATCH($B1100,'HS Codes'!$A$2:$A3654,0),MATCH(K$1,'HS Codes'!$D$1:$K$1,0)),"")</f>
        <v>0</v>
      </c>
      <c r="L1100" s="8">
        <f>_xlfn.IFNA(INDEX('HS Codes'!$D$2:$K3654,MATCH($B1100,'HS Codes'!$A$2:$A3654,0),MATCH(L$1,'HS Codes'!$D$1:$K$1,0)),"")</f>
        <v>0</v>
      </c>
      <c r="M1100" s="8">
        <f>_xlfn.IFNA(INDEX('HS Codes'!$C$2:$C3654,MATCH($B1100,'HS Codes'!$A$2:$A3654,0)),"")</f>
        <v>0</v>
      </c>
      <c r="N1100" s="9"/>
      <c r="O1100" s="9"/>
      <c r="P1100" s="9"/>
      <c r="Q1100" s="9"/>
    </row>
    <row r="1101" spans="1:17" ht="15.75" customHeight="1">
      <c r="A1101" s="7" t="s">
        <v>1394</v>
      </c>
      <c r="B1101" s="7" t="s">
        <v>181</v>
      </c>
      <c r="C1101" s="7"/>
      <c r="D1101" s="7" t="s">
        <v>182</v>
      </c>
      <c r="E1101" s="7" t="s">
        <v>322</v>
      </c>
      <c r="F1101" s="8">
        <f>_xlfn.IFNA(INDEX('HS Codes'!$D$2:$K3655,MATCH($B1101,'HS Codes'!$A$2:$A3655,0),MATCH(F$1,'HS Codes'!$D$1:$K$1,0)),"")</f>
        <v>0</v>
      </c>
      <c r="G1101" s="8">
        <f>_xlfn.IFNA(INDEX('HS Codes'!$D$2:$K3655,MATCH($B1101,'HS Codes'!$A$2:$A3655,0),MATCH(G$1,'HS Codes'!$D$1:$K$1,0)),"")</f>
        <v>0</v>
      </c>
      <c r="H1101" s="8">
        <f>_xlfn.IFNA(INDEX('HS Codes'!$D$2:$K3655,MATCH($B1101,'HS Codes'!$A$2:$A3655,0),MATCH(H$1,'HS Codes'!$D$1:$K$1,0)),"")</f>
        <v>0</v>
      </c>
      <c r="I1101" s="8">
        <f>_xlfn.IFNA(INDEX('HS Codes'!$D$2:$K3655,MATCH($B1101,'HS Codes'!$A$2:$A3655,0),MATCH(I$1,'HS Codes'!$D$1:$K$1,0)),"")</f>
        <v>0</v>
      </c>
      <c r="J1101" s="8">
        <f>_xlfn.IFNA(INDEX('HS Codes'!$D$2:$K3655,MATCH($B1101,'HS Codes'!$A$2:$A3655,0),MATCH(J$1,'HS Codes'!$D$1:$K$1,0)),"")</f>
        <v>0</v>
      </c>
      <c r="K1101" s="8">
        <f>_xlfn.IFNA(INDEX('HS Codes'!$D$2:$K3655,MATCH($B1101,'HS Codes'!$A$2:$A3655,0),MATCH(K$1,'HS Codes'!$D$1:$K$1,0)),"")</f>
        <v>0</v>
      </c>
      <c r="L1101" s="8">
        <f>_xlfn.IFNA(INDEX('HS Codes'!$D$2:$K3655,MATCH($B1101,'HS Codes'!$A$2:$A3655,0),MATCH(L$1,'HS Codes'!$D$1:$K$1,0)),"")</f>
        <v>0</v>
      </c>
      <c r="M1101" s="8">
        <f>_xlfn.IFNA(INDEX('HS Codes'!$C$2:$C3655,MATCH($B1101,'HS Codes'!$A$2:$A3655,0)),"")</f>
        <v>0</v>
      </c>
      <c r="N1101" s="9"/>
      <c r="O1101" s="9"/>
      <c r="P1101" s="9"/>
      <c r="Q1101" s="9"/>
    </row>
    <row r="1102" spans="1:17" ht="15.75" customHeight="1">
      <c r="A1102" s="7" t="s">
        <v>1395</v>
      </c>
      <c r="B1102" s="7" t="s">
        <v>181</v>
      </c>
      <c r="C1102" s="7"/>
      <c r="D1102" s="7" t="s">
        <v>182</v>
      </c>
      <c r="E1102" s="7" t="s">
        <v>322</v>
      </c>
      <c r="F1102" s="8">
        <f>_xlfn.IFNA(INDEX('HS Codes'!$D$2:$K3656,MATCH($B1102,'HS Codes'!$A$2:$A3656,0),MATCH(F$1,'HS Codes'!$D$1:$K$1,0)),"")</f>
        <v>0</v>
      </c>
      <c r="G1102" s="8">
        <f>_xlfn.IFNA(INDEX('HS Codes'!$D$2:$K3656,MATCH($B1102,'HS Codes'!$A$2:$A3656,0),MATCH(G$1,'HS Codes'!$D$1:$K$1,0)),"")</f>
        <v>0</v>
      </c>
      <c r="H1102" s="8">
        <f>_xlfn.IFNA(INDEX('HS Codes'!$D$2:$K3656,MATCH($B1102,'HS Codes'!$A$2:$A3656,0),MATCH(H$1,'HS Codes'!$D$1:$K$1,0)),"")</f>
        <v>0</v>
      </c>
      <c r="I1102" s="8">
        <f>_xlfn.IFNA(INDEX('HS Codes'!$D$2:$K3656,MATCH($B1102,'HS Codes'!$A$2:$A3656,0),MATCH(I$1,'HS Codes'!$D$1:$K$1,0)),"")</f>
        <v>0</v>
      </c>
      <c r="J1102" s="8">
        <f>_xlfn.IFNA(INDEX('HS Codes'!$D$2:$K3656,MATCH($B1102,'HS Codes'!$A$2:$A3656,0),MATCH(J$1,'HS Codes'!$D$1:$K$1,0)),"")</f>
        <v>0</v>
      </c>
      <c r="K1102" s="8">
        <f>_xlfn.IFNA(INDEX('HS Codes'!$D$2:$K3656,MATCH($B1102,'HS Codes'!$A$2:$A3656,0),MATCH(K$1,'HS Codes'!$D$1:$K$1,0)),"")</f>
        <v>0</v>
      </c>
      <c r="L1102" s="8">
        <f>_xlfn.IFNA(INDEX('HS Codes'!$D$2:$K3656,MATCH($B1102,'HS Codes'!$A$2:$A3656,0),MATCH(L$1,'HS Codes'!$D$1:$K$1,0)),"")</f>
        <v>0</v>
      </c>
      <c r="M1102" s="8">
        <f>_xlfn.IFNA(INDEX('HS Codes'!$C$2:$C3656,MATCH($B1102,'HS Codes'!$A$2:$A3656,0)),"")</f>
        <v>0</v>
      </c>
      <c r="N1102" s="9"/>
      <c r="O1102" s="9"/>
      <c r="P1102" s="9"/>
      <c r="Q1102" s="9"/>
    </row>
    <row r="1103" spans="1:17" ht="15.75" customHeight="1">
      <c r="A1103" s="7" t="s">
        <v>1396</v>
      </c>
      <c r="B1103" s="7" t="s">
        <v>181</v>
      </c>
      <c r="C1103" s="7"/>
      <c r="D1103" s="7" t="s">
        <v>182</v>
      </c>
      <c r="E1103" s="7" t="s">
        <v>322</v>
      </c>
      <c r="F1103" s="8">
        <f>_xlfn.IFNA(INDEX('HS Codes'!$D$2:$K3657,MATCH($B1103,'HS Codes'!$A$2:$A3657,0),MATCH(F$1,'HS Codes'!$D$1:$K$1,0)),"")</f>
        <v>0</v>
      </c>
      <c r="G1103" s="8">
        <f>_xlfn.IFNA(INDEX('HS Codes'!$D$2:$K3657,MATCH($B1103,'HS Codes'!$A$2:$A3657,0),MATCH(G$1,'HS Codes'!$D$1:$K$1,0)),"")</f>
        <v>0</v>
      </c>
      <c r="H1103" s="8">
        <f>_xlfn.IFNA(INDEX('HS Codes'!$D$2:$K3657,MATCH($B1103,'HS Codes'!$A$2:$A3657,0),MATCH(H$1,'HS Codes'!$D$1:$K$1,0)),"")</f>
        <v>0</v>
      </c>
      <c r="I1103" s="8">
        <f>_xlfn.IFNA(INDEX('HS Codes'!$D$2:$K3657,MATCH($B1103,'HS Codes'!$A$2:$A3657,0),MATCH(I$1,'HS Codes'!$D$1:$K$1,0)),"")</f>
        <v>0</v>
      </c>
      <c r="J1103" s="8">
        <f>_xlfn.IFNA(INDEX('HS Codes'!$D$2:$K3657,MATCH($B1103,'HS Codes'!$A$2:$A3657,0),MATCH(J$1,'HS Codes'!$D$1:$K$1,0)),"")</f>
        <v>0</v>
      </c>
      <c r="K1103" s="8">
        <f>_xlfn.IFNA(INDEX('HS Codes'!$D$2:$K3657,MATCH($B1103,'HS Codes'!$A$2:$A3657,0),MATCH(K$1,'HS Codes'!$D$1:$K$1,0)),"")</f>
        <v>0</v>
      </c>
      <c r="L1103" s="8">
        <f>_xlfn.IFNA(INDEX('HS Codes'!$D$2:$K3657,MATCH($B1103,'HS Codes'!$A$2:$A3657,0),MATCH(L$1,'HS Codes'!$D$1:$K$1,0)),"")</f>
        <v>0</v>
      </c>
      <c r="M1103" s="8">
        <f>_xlfn.IFNA(INDEX('HS Codes'!$C$2:$C3657,MATCH($B1103,'HS Codes'!$A$2:$A3657,0)),"")</f>
        <v>0</v>
      </c>
      <c r="N1103" s="9"/>
      <c r="O1103" s="9"/>
      <c r="P1103" s="9"/>
      <c r="Q1103" s="9"/>
    </row>
    <row r="1104" spans="1:17" ht="15.75" customHeight="1">
      <c r="A1104" s="7" t="s">
        <v>1397</v>
      </c>
      <c r="B1104" s="7" t="s">
        <v>181</v>
      </c>
      <c r="C1104" s="7"/>
      <c r="D1104" s="7" t="s">
        <v>182</v>
      </c>
      <c r="E1104" s="7" t="s">
        <v>322</v>
      </c>
      <c r="F1104" s="8">
        <f>_xlfn.IFNA(INDEX('HS Codes'!$D$2:$K3658,MATCH($B1104,'HS Codes'!$A$2:$A3658,0),MATCH(F$1,'HS Codes'!$D$1:$K$1,0)),"")</f>
        <v>0</v>
      </c>
      <c r="G1104" s="8">
        <f>_xlfn.IFNA(INDEX('HS Codes'!$D$2:$K3658,MATCH($B1104,'HS Codes'!$A$2:$A3658,0),MATCH(G$1,'HS Codes'!$D$1:$K$1,0)),"")</f>
        <v>0</v>
      </c>
      <c r="H1104" s="8">
        <f>_xlfn.IFNA(INDEX('HS Codes'!$D$2:$K3658,MATCH($B1104,'HS Codes'!$A$2:$A3658,0),MATCH(H$1,'HS Codes'!$D$1:$K$1,0)),"")</f>
        <v>0</v>
      </c>
      <c r="I1104" s="8">
        <f>_xlfn.IFNA(INDEX('HS Codes'!$D$2:$K3658,MATCH($B1104,'HS Codes'!$A$2:$A3658,0),MATCH(I$1,'HS Codes'!$D$1:$K$1,0)),"")</f>
        <v>0</v>
      </c>
      <c r="J1104" s="8">
        <f>_xlfn.IFNA(INDEX('HS Codes'!$D$2:$K3658,MATCH($B1104,'HS Codes'!$A$2:$A3658,0),MATCH(J$1,'HS Codes'!$D$1:$K$1,0)),"")</f>
        <v>0</v>
      </c>
      <c r="K1104" s="8">
        <f>_xlfn.IFNA(INDEX('HS Codes'!$D$2:$K3658,MATCH($B1104,'HS Codes'!$A$2:$A3658,0),MATCH(K$1,'HS Codes'!$D$1:$K$1,0)),"")</f>
        <v>0</v>
      </c>
      <c r="L1104" s="8">
        <f>_xlfn.IFNA(INDEX('HS Codes'!$D$2:$K3658,MATCH($B1104,'HS Codes'!$A$2:$A3658,0),MATCH(L$1,'HS Codes'!$D$1:$K$1,0)),"")</f>
        <v>0</v>
      </c>
      <c r="M1104" s="8">
        <f>_xlfn.IFNA(INDEX('HS Codes'!$C$2:$C3658,MATCH($B1104,'HS Codes'!$A$2:$A3658,0)),"")</f>
        <v>0</v>
      </c>
      <c r="N1104" s="9"/>
      <c r="O1104" s="9"/>
      <c r="P1104" s="9"/>
      <c r="Q1104" s="9"/>
    </row>
    <row r="1105" spans="1:17" ht="15.75" customHeight="1">
      <c r="A1105" s="7" t="s">
        <v>1398</v>
      </c>
      <c r="B1105" s="7" t="s">
        <v>181</v>
      </c>
      <c r="C1105" s="7"/>
      <c r="D1105" s="7" t="s">
        <v>182</v>
      </c>
      <c r="E1105" s="7" t="s">
        <v>322</v>
      </c>
      <c r="F1105" s="8">
        <f>_xlfn.IFNA(INDEX('HS Codes'!$D$2:$K3659,MATCH($B1105,'HS Codes'!$A$2:$A3659,0),MATCH(F$1,'HS Codes'!$D$1:$K$1,0)),"")</f>
        <v>0</v>
      </c>
      <c r="G1105" s="8">
        <f>_xlfn.IFNA(INDEX('HS Codes'!$D$2:$K3659,MATCH($B1105,'HS Codes'!$A$2:$A3659,0),MATCH(G$1,'HS Codes'!$D$1:$K$1,0)),"")</f>
        <v>0</v>
      </c>
      <c r="H1105" s="8">
        <f>_xlfn.IFNA(INDEX('HS Codes'!$D$2:$K3659,MATCH($B1105,'HS Codes'!$A$2:$A3659,0),MATCH(H$1,'HS Codes'!$D$1:$K$1,0)),"")</f>
        <v>0</v>
      </c>
      <c r="I1105" s="8">
        <f>_xlfn.IFNA(INDEX('HS Codes'!$D$2:$K3659,MATCH($B1105,'HS Codes'!$A$2:$A3659,0),MATCH(I$1,'HS Codes'!$D$1:$K$1,0)),"")</f>
        <v>0</v>
      </c>
      <c r="J1105" s="8">
        <f>_xlfn.IFNA(INDEX('HS Codes'!$D$2:$K3659,MATCH($B1105,'HS Codes'!$A$2:$A3659,0),MATCH(J$1,'HS Codes'!$D$1:$K$1,0)),"")</f>
        <v>0</v>
      </c>
      <c r="K1105" s="8">
        <f>_xlfn.IFNA(INDEX('HS Codes'!$D$2:$K3659,MATCH($B1105,'HS Codes'!$A$2:$A3659,0),MATCH(K$1,'HS Codes'!$D$1:$K$1,0)),"")</f>
        <v>0</v>
      </c>
      <c r="L1105" s="8">
        <f>_xlfn.IFNA(INDEX('HS Codes'!$D$2:$K3659,MATCH($B1105,'HS Codes'!$A$2:$A3659,0),MATCH(L$1,'HS Codes'!$D$1:$K$1,0)),"")</f>
        <v>0</v>
      </c>
      <c r="M1105" s="8">
        <f>_xlfn.IFNA(INDEX('HS Codes'!$C$2:$C3659,MATCH($B1105,'HS Codes'!$A$2:$A3659,0)),"")</f>
        <v>0</v>
      </c>
      <c r="N1105" s="9"/>
      <c r="O1105" s="9"/>
      <c r="P1105" s="9"/>
      <c r="Q1105" s="9"/>
    </row>
    <row r="1106" spans="1:17" ht="15.75" customHeight="1">
      <c r="A1106" s="7" t="s">
        <v>1399</v>
      </c>
      <c r="B1106" s="7" t="s">
        <v>181</v>
      </c>
      <c r="C1106" s="7"/>
      <c r="D1106" s="7" t="s">
        <v>182</v>
      </c>
      <c r="E1106" s="7" t="s">
        <v>322</v>
      </c>
      <c r="F1106" s="8">
        <f>_xlfn.IFNA(INDEX('HS Codes'!$D$2:$K3660,MATCH($B1106,'HS Codes'!$A$2:$A3660,0),MATCH(F$1,'HS Codes'!$D$1:$K$1,0)),"")</f>
        <v>0</v>
      </c>
      <c r="G1106" s="8">
        <f>_xlfn.IFNA(INDEX('HS Codes'!$D$2:$K3660,MATCH($B1106,'HS Codes'!$A$2:$A3660,0),MATCH(G$1,'HS Codes'!$D$1:$K$1,0)),"")</f>
        <v>0</v>
      </c>
      <c r="H1106" s="8">
        <f>_xlfn.IFNA(INDEX('HS Codes'!$D$2:$K3660,MATCH($B1106,'HS Codes'!$A$2:$A3660,0),MATCH(H$1,'HS Codes'!$D$1:$K$1,0)),"")</f>
        <v>0</v>
      </c>
      <c r="I1106" s="8">
        <f>_xlfn.IFNA(INDEX('HS Codes'!$D$2:$K3660,MATCH($B1106,'HS Codes'!$A$2:$A3660,0),MATCH(I$1,'HS Codes'!$D$1:$K$1,0)),"")</f>
        <v>0</v>
      </c>
      <c r="J1106" s="8">
        <f>_xlfn.IFNA(INDEX('HS Codes'!$D$2:$K3660,MATCH($B1106,'HS Codes'!$A$2:$A3660,0),MATCH(J$1,'HS Codes'!$D$1:$K$1,0)),"")</f>
        <v>0</v>
      </c>
      <c r="K1106" s="8">
        <f>_xlfn.IFNA(INDEX('HS Codes'!$D$2:$K3660,MATCH($B1106,'HS Codes'!$A$2:$A3660,0),MATCH(K$1,'HS Codes'!$D$1:$K$1,0)),"")</f>
        <v>0</v>
      </c>
      <c r="L1106" s="8">
        <f>_xlfn.IFNA(INDEX('HS Codes'!$D$2:$K3660,MATCH($B1106,'HS Codes'!$A$2:$A3660,0),MATCH(L$1,'HS Codes'!$D$1:$K$1,0)),"")</f>
        <v>0</v>
      </c>
      <c r="M1106" s="8">
        <f>_xlfn.IFNA(INDEX('HS Codes'!$C$2:$C3660,MATCH($B1106,'HS Codes'!$A$2:$A3660,0)),"")</f>
        <v>0</v>
      </c>
      <c r="N1106" s="9"/>
      <c r="O1106" s="9"/>
      <c r="P1106" s="9"/>
      <c r="Q1106" s="9"/>
    </row>
    <row r="1107" spans="1:17" ht="15.75" customHeight="1">
      <c r="A1107" s="7" t="s">
        <v>1400</v>
      </c>
      <c r="B1107" s="7" t="s">
        <v>181</v>
      </c>
      <c r="C1107" s="7"/>
      <c r="D1107" s="7" t="s">
        <v>182</v>
      </c>
      <c r="E1107" s="7" t="s">
        <v>322</v>
      </c>
      <c r="F1107" s="8">
        <f>_xlfn.IFNA(INDEX('HS Codes'!$D$2:$K3661,MATCH($B1107,'HS Codes'!$A$2:$A3661,0),MATCH(F$1,'HS Codes'!$D$1:$K$1,0)),"")</f>
        <v>0</v>
      </c>
      <c r="G1107" s="8">
        <f>_xlfn.IFNA(INDEX('HS Codes'!$D$2:$K3661,MATCH($B1107,'HS Codes'!$A$2:$A3661,0),MATCH(G$1,'HS Codes'!$D$1:$K$1,0)),"")</f>
        <v>0</v>
      </c>
      <c r="H1107" s="8">
        <f>_xlfn.IFNA(INDEX('HS Codes'!$D$2:$K3661,MATCH($B1107,'HS Codes'!$A$2:$A3661,0),MATCH(H$1,'HS Codes'!$D$1:$K$1,0)),"")</f>
        <v>0</v>
      </c>
      <c r="I1107" s="8">
        <f>_xlfn.IFNA(INDEX('HS Codes'!$D$2:$K3661,MATCH($B1107,'HS Codes'!$A$2:$A3661,0),MATCH(I$1,'HS Codes'!$D$1:$K$1,0)),"")</f>
        <v>0</v>
      </c>
      <c r="J1107" s="8">
        <f>_xlfn.IFNA(INDEX('HS Codes'!$D$2:$K3661,MATCH($B1107,'HS Codes'!$A$2:$A3661,0),MATCH(J$1,'HS Codes'!$D$1:$K$1,0)),"")</f>
        <v>0</v>
      </c>
      <c r="K1107" s="8">
        <f>_xlfn.IFNA(INDEX('HS Codes'!$D$2:$K3661,MATCH($B1107,'HS Codes'!$A$2:$A3661,0),MATCH(K$1,'HS Codes'!$D$1:$K$1,0)),"")</f>
        <v>0</v>
      </c>
      <c r="L1107" s="8">
        <f>_xlfn.IFNA(INDEX('HS Codes'!$D$2:$K3661,MATCH($B1107,'HS Codes'!$A$2:$A3661,0),MATCH(L$1,'HS Codes'!$D$1:$K$1,0)),"")</f>
        <v>0</v>
      </c>
      <c r="M1107" s="8">
        <f>_xlfn.IFNA(INDEX('HS Codes'!$C$2:$C3661,MATCH($B1107,'HS Codes'!$A$2:$A3661,0)),"")</f>
        <v>0</v>
      </c>
      <c r="N1107" s="9"/>
      <c r="O1107" s="9"/>
      <c r="P1107" s="9"/>
      <c r="Q1107" s="9"/>
    </row>
    <row r="1108" spans="1:17" ht="15.75" customHeight="1">
      <c r="A1108" s="7" t="s">
        <v>1401</v>
      </c>
      <c r="B1108" s="7" t="s">
        <v>181</v>
      </c>
      <c r="C1108" s="7"/>
      <c r="D1108" s="7" t="s">
        <v>182</v>
      </c>
      <c r="E1108" s="7" t="s">
        <v>322</v>
      </c>
      <c r="F1108" s="8">
        <f>_xlfn.IFNA(INDEX('HS Codes'!$D$2:$K3662,MATCH($B1108,'HS Codes'!$A$2:$A3662,0),MATCH(F$1,'HS Codes'!$D$1:$K$1,0)),"")</f>
        <v>0</v>
      </c>
      <c r="G1108" s="8">
        <f>_xlfn.IFNA(INDEX('HS Codes'!$D$2:$K3662,MATCH($B1108,'HS Codes'!$A$2:$A3662,0),MATCH(G$1,'HS Codes'!$D$1:$K$1,0)),"")</f>
        <v>0</v>
      </c>
      <c r="H1108" s="8">
        <f>_xlfn.IFNA(INDEX('HS Codes'!$D$2:$K3662,MATCH($B1108,'HS Codes'!$A$2:$A3662,0),MATCH(H$1,'HS Codes'!$D$1:$K$1,0)),"")</f>
        <v>0</v>
      </c>
      <c r="I1108" s="8">
        <f>_xlfn.IFNA(INDEX('HS Codes'!$D$2:$K3662,MATCH($B1108,'HS Codes'!$A$2:$A3662,0),MATCH(I$1,'HS Codes'!$D$1:$K$1,0)),"")</f>
        <v>0</v>
      </c>
      <c r="J1108" s="8">
        <f>_xlfn.IFNA(INDEX('HS Codes'!$D$2:$K3662,MATCH($B1108,'HS Codes'!$A$2:$A3662,0),MATCH(J$1,'HS Codes'!$D$1:$K$1,0)),"")</f>
        <v>0</v>
      </c>
      <c r="K1108" s="8">
        <f>_xlfn.IFNA(INDEX('HS Codes'!$D$2:$K3662,MATCH($B1108,'HS Codes'!$A$2:$A3662,0),MATCH(K$1,'HS Codes'!$D$1:$K$1,0)),"")</f>
        <v>0</v>
      </c>
      <c r="L1108" s="8">
        <f>_xlfn.IFNA(INDEX('HS Codes'!$D$2:$K3662,MATCH($B1108,'HS Codes'!$A$2:$A3662,0),MATCH(L$1,'HS Codes'!$D$1:$K$1,0)),"")</f>
        <v>0</v>
      </c>
      <c r="M1108" s="8">
        <f>_xlfn.IFNA(INDEX('HS Codes'!$C$2:$C3662,MATCH($B1108,'HS Codes'!$A$2:$A3662,0)),"")</f>
        <v>0</v>
      </c>
      <c r="N1108" s="9"/>
      <c r="O1108" s="9"/>
      <c r="P1108" s="9"/>
      <c r="Q1108" s="9"/>
    </row>
    <row r="1109" spans="1:17" ht="15.75" customHeight="1">
      <c r="A1109" s="7" t="s">
        <v>1402</v>
      </c>
      <c r="B1109" s="7" t="s">
        <v>181</v>
      </c>
      <c r="C1109" s="7"/>
      <c r="D1109" s="7" t="s">
        <v>182</v>
      </c>
      <c r="E1109" s="7" t="s">
        <v>322</v>
      </c>
      <c r="F1109" s="8">
        <f>_xlfn.IFNA(INDEX('HS Codes'!$D$2:$K3663,MATCH($B1109,'HS Codes'!$A$2:$A3663,0),MATCH(F$1,'HS Codes'!$D$1:$K$1,0)),"")</f>
        <v>0</v>
      </c>
      <c r="G1109" s="8">
        <f>_xlfn.IFNA(INDEX('HS Codes'!$D$2:$K3663,MATCH($B1109,'HS Codes'!$A$2:$A3663,0),MATCH(G$1,'HS Codes'!$D$1:$K$1,0)),"")</f>
        <v>0</v>
      </c>
      <c r="H1109" s="8">
        <f>_xlfn.IFNA(INDEX('HS Codes'!$D$2:$K3663,MATCH($B1109,'HS Codes'!$A$2:$A3663,0),MATCH(H$1,'HS Codes'!$D$1:$K$1,0)),"")</f>
        <v>0</v>
      </c>
      <c r="I1109" s="8">
        <f>_xlfn.IFNA(INDEX('HS Codes'!$D$2:$K3663,MATCH($B1109,'HS Codes'!$A$2:$A3663,0),MATCH(I$1,'HS Codes'!$D$1:$K$1,0)),"")</f>
        <v>0</v>
      </c>
      <c r="J1109" s="8">
        <f>_xlfn.IFNA(INDEX('HS Codes'!$D$2:$K3663,MATCH($B1109,'HS Codes'!$A$2:$A3663,0),MATCH(J$1,'HS Codes'!$D$1:$K$1,0)),"")</f>
        <v>0</v>
      </c>
      <c r="K1109" s="8">
        <f>_xlfn.IFNA(INDEX('HS Codes'!$D$2:$K3663,MATCH($B1109,'HS Codes'!$A$2:$A3663,0),MATCH(K$1,'HS Codes'!$D$1:$K$1,0)),"")</f>
        <v>0</v>
      </c>
      <c r="L1109" s="8">
        <f>_xlfn.IFNA(INDEX('HS Codes'!$D$2:$K3663,MATCH($B1109,'HS Codes'!$A$2:$A3663,0),MATCH(L$1,'HS Codes'!$D$1:$K$1,0)),"")</f>
        <v>0</v>
      </c>
      <c r="M1109" s="8">
        <f>_xlfn.IFNA(INDEX('HS Codes'!$C$2:$C3663,MATCH($B1109,'HS Codes'!$A$2:$A3663,0)),"")</f>
        <v>0</v>
      </c>
      <c r="N1109" s="9"/>
      <c r="O1109" s="9"/>
      <c r="P1109" s="9"/>
      <c r="Q1109" s="9"/>
    </row>
    <row r="1110" spans="1:17" ht="15.75" customHeight="1">
      <c r="A1110" s="7" t="s">
        <v>1403</v>
      </c>
      <c r="B1110" s="7" t="s">
        <v>181</v>
      </c>
      <c r="C1110" s="7"/>
      <c r="D1110" s="7" t="s">
        <v>182</v>
      </c>
      <c r="E1110" s="7" t="s">
        <v>322</v>
      </c>
      <c r="F1110" s="8">
        <f>_xlfn.IFNA(INDEX('HS Codes'!$D$2:$K3664,MATCH($B1110,'HS Codes'!$A$2:$A3664,0),MATCH(F$1,'HS Codes'!$D$1:$K$1,0)),"")</f>
        <v>0</v>
      </c>
      <c r="G1110" s="8">
        <f>_xlfn.IFNA(INDEX('HS Codes'!$D$2:$K3664,MATCH($B1110,'HS Codes'!$A$2:$A3664,0),MATCH(G$1,'HS Codes'!$D$1:$K$1,0)),"")</f>
        <v>0</v>
      </c>
      <c r="H1110" s="8">
        <f>_xlfn.IFNA(INDEX('HS Codes'!$D$2:$K3664,MATCH($B1110,'HS Codes'!$A$2:$A3664,0),MATCH(H$1,'HS Codes'!$D$1:$K$1,0)),"")</f>
        <v>0</v>
      </c>
      <c r="I1110" s="8">
        <f>_xlfn.IFNA(INDEX('HS Codes'!$D$2:$K3664,MATCH($B1110,'HS Codes'!$A$2:$A3664,0),MATCH(I$1,'HS Codes'!$D$1:$K$1,0)),"")</f>
        <v>0</v>
      </c>
      <c r="J1110" s="8">
        <f>_xlfn.IFNA(INDEX('HS Codes'!$D$2:$K3664,MATCH($B1110,'HS Codes'!$A$2:$A3664,0),MATCH(J$1,'HS Codes'!$D$1:$K$1,0)),"")</f>
        <v>0</v>
      </c>
      <c r="K1110" s="8">
        <f>_xlfn.IFNA(INDEX('HS Codes'!$D$2:$K3664,MATCH($B1110,'HS Codes'!$A$2:$A3664,0),MATCH(K$1,'HS Codes'!$D$1:$K$1,0)),"")</f>
        <v>0</v>
      </c>
      <c r="L1110" s="8">
        <f>_xlfn.IFNA(INDEX('HS Codes'!$D$2:$K3664,MATCH($B1110,'HS Codes'!$A$2:$A3664,0),MATCH(L$1,'HS Codes'!$D$1:$K$1,0)),"")</f>
        <v>0</v>
      </c>
      <c r="M1110" s="8">
        <f>_xlfn.IFNA(INDEX('HS Codes'!$C$2:$C3664,MATCH($B1110,'HS Codes'!$A$2:$A3664,0)),"")</f>
        <v>0</v>
      </c>
      <c r="N1110" s="9"/>
      <c r="O1110" s="9"/>
      <c r="P1110" s="9"/>
      <c r="Q1110" s="9"/>
    </row>
    <row r="1111" spans="1:17" ht="15.75" customHeight="1">
      <c r="A1111" s="7" t="s">
        <v>1404</v>
      </c>
      <c r="B1111" s="7" t="s">
        <v>181</v>
      </c>
      <c r="C1111" s="7"/>
      <c r="D1111" s="7" t="s">
        <v>182</v>
      </c>
      <c r="E1111" s="7" t="s">
        <v>322</v>
      </c>
      <c r="F1111" s="8">
        <f>_xlfn.IFNA(INDEX('HS Codes'!$D$2:$K3665,MATCH($B1111,'HS Codes'!$A$2:$A3665,0),MATCH(F$1,'HS Codes'!$D$1:$K$1,0)),"")</f>
        <v>0</v>
      </c>
      <c r="G1111" s="8">
        <f>_xlfn.IFNA(INDEX('HS Codes'!$D$2:$K3665,MATCH($B1111,'HS Codes'!$A$2:$A3665,0),MATCH(G$1,'HS Codes'!$D$1:$K$1,0)),"")</f>
        <v>0</v>
      </c>
      <c r="H1111" s="8">
        <f>_xlfn.IFNA(INDEX('HS Codes'!$D$2:$K3665,MATCH($B1111,'HS Codes'!$A$2:$A3665,0),MATCH(H$1,'HS Codes'!$D$1:$K$1,0)),"")</f>
        <v>0</v>
      </c>
      <c r="I1111" s="8">
        <f>_xlfn.IFNA(INDEX('HS Codes'!$D$2:$K3665,MATCH($B1111,'HS Codes'!$A$2:$A3665,0),MATCH(I$1,'HS Codes'!$D$1:$K$1,0)),"")</f>
        <v>0</v>
      </c>
      <c r="J1111" s="8">
        <f>_xlfn.IFNA(INDEX('HS Codes'!$D$2:$K3665,MATCH($B1111,'HS Codes'!$A$2:$A3665,0),MATCH(J$1,'HS Codes'!$D$1:$K$1,0)),"")</f>
        <v>0</v>
      </c>
      <c r="K1111" s="8">
        <f>_xlfn.IFNA(INDEX('HS Codes'!$D$2:$K3665,MATCH($B1111,'HS Codes'!$A$2:$A3665,0),MATCH(K$1,'HS Codes'!$D$1:$K$1,0)),"")</f>
        <v>0</v>
      </c>
      <c r="L1111" s="8">
        <f>_xlfn.IFNA(INDEX('HS Codes'!$D$2:$K3665,MATCH($B1111,'HS Codes'!$A$2:$A3665,0),MATCH(L$1,'HS Codes'!$D$1:$K$1,0)),"")</f>
        <v>0</v>
      </c>
      <c r="M1111" s="8">
        <f>_xlfn.IFNA(INDEX('HS Codes'!$C$2:$C3665,MATCH($B1111,'HS Codes'!$A$2:$A3665,0)),"")</f>
        <v>0</v>
      </c>
      <c r="N1111" s="9"/>
      <c r="O1111" s="9"/>
      <c r="P1111" s="9"/>
      <c r="Q1111" s="9"/>
    </row>
    <row r="1112" spans="1:17" ht="15.75" customHeight="1">
      <c r="A1112" s="7" t="s">
        <v>1405</v>
      </c>
      <c r="B1112" s="7" t="s">
        <v>181</v>
      </c>
      <c r="C1112" s="7"/>
      <c r="D1112" s="7" t="s">
        <v>182</v>
      </c>
      <c r="E1112" s="7" t="s">
        <v>322</v>
      </c>
      <c r="F1112" s="8">
        <f>_xlfn.IFNA(INDEX('HS Codes'!$D$2:$K3666,MATCH($B1112,'HS Codes'!$A$2:$A3666,0),MATCH(F$1,'HS Codes'!$D$1:$K$1,0)),"")</f>
        <v>0</v>
      </c>
      <c r="G1112" s="8">
        <f>_xlfn.IFNA(INDEX('HS Codes'!$D$2:$K3666,MATCH($B1112,'HS Codes'!$A$2:$A3666,0),MATCH(G$1,'HS Codes'!$D$1:$K$1,0)),"")</f>
        <v>0</v>
      </c>
      <c r="H1112" s="8">
        <f>_xlfn.IFNA(INDEX('HS Codes'!$D$2:$K3666,MATCH($B1112,'HS Codes'!$A$2:$A3666,0),MATCH(H$1,'HS Codes'!$D$1:$K$1,0)),"")</f>
        <v>0</v>
      </c>
      <c r="I1112" s="8">
        <f>_xlfn.IFNA(INDEX('HS Codes'!$D$2:$K3666,MATCH($B1112,'HS Codes'!$A$2:$A3666,0),MATCH(I$1,'HS Codes'!$D$1:$K$1,0)),"")</f>
        <v>0</v>
      </c>
      <c r="J1112" s="8">
        <f>_xlfn.IFNA(INDEX('HS Codes'!$D$2:$K3666,MATCH($B1112,'HS Codes'!$A$2:$A3666,0),MATCH(J$1,'HS Codes'!$D$1:$K$1,0)),"")</f>
        <v>0</v>
      </c>
      <c r="K1112" s="8">
        <f>_xlfn.IFNA(INDEX('HS Codes'!$D$2:$K3666,MATCH($B1112,'HS Codes'!$A$2:$A3666,0),MATCH(K$1,'HS Codes'!$D$1:$K$1,0)),"")</f>
        <v>0</v>
      </c>
      <c r="L1112" s="8">
        <f>_xlfn.IFNA(INDEX('HS Codes'!$D$2:$K3666,MATCH($B1112,'HS Codes'!$A$2:$A3666,0),MATCH(L$1,'HS Codes'!$D$1:$K$1,0)),"")</f>
        <v>0</v>
      </c>
      <c r="M1112" s="8">
        <f>_xlfn.IFNA(INDEX('HS Codes'!$C$2:$C3666,MATCH($B1112,'HS Codes'!$A$2:$A3666,0)),"")</f>
        <v>0</v>
      </c>
      <c r="N1112" s="9"/>
      <c r="O1112" s="9"/>
      <c r="P1112" s="9"/>
      <c r="Q1112" s="9"/>
    </row>
    <row r="1113" spans="1:17" ht="15.75" customHeight="1">
      <c r="A1113" s="7" t="s">
        <v>1406</v>
      </c>
      <c r="B1113" s="7" t="s">
        <v>181</v>
      </c>
      <c r="C1113" s="7"/>
      <c r="D1113" s="7" t="s">
        <v>182</v>
      </c>
      <c r="E1113" s="7" t="s">
        <v>322</v>
      </c>
      <c r="F1113" s="8">
        <f>_xlfn.IFNA(INDEX('HS Codes'!$D$2:$K3667,MATCH($B1113,'HS Codes'!$A$2:$A3667,0),MATCH(F$1,'HS Codes'!$D$1:$K$1,0)),"")</f>
        <v>0</v>
      </c>
      <c r="G1113" s="8">
        <f>_xlfn.IFNA(INDEX('HS Codes'!$D$2:$K3667,MATCH($B1113,'HS Codes'!$A$2:$A3667,0),MATCH(G$1,'HS Codes'!$D$1:$K$1,0)),"")</f>
        <v>0</v>
      </c>
      <c r="H1113" s="8">
        <f>_xlfn.IFNA(INDEX('HS Codes'!$D$2:$K3667,MATCH($B1113,'HS Codes'!$A$2:$A3667,0),MATCH(H$1,'HS Codes'!$D$1:$K$1,0)),"")</f>
        <v>0</v>
      </c>
      <c r="I1113" s="8">
        <f>_xlfn.IFNA(INDEX('HS Codes'!$D$2:$K3667,MATCH($B1113,'HS Codes'!$A$2:$A3667,0),MATCH(I$1,'HS Codes'!$D$1:$K$1,0)),"")</f>
        <v>0</v>
      </c>
      <c r="J1113" s="8">
        <f>_xlfn.IFNA(INDEX('HS Codes'!$D$2:$K3667,MATCH($B1113,'HS Codes'!$A$2:$A3667,0),MATCH(J$1,'HS Codes'!$D$1:$K$1,0)),"")</f>
        <v>0</v>
      </c>
      <c r="K1113" s="8">
        <f>_xlfn.IFNA(INDEX('HS Codes'!$D$2:$K3667,MATCH($B1113,'HS Codes'!$A$2:$A3667,0),MATCH(K$1,'HS Codes'!$D$1:$K$1,0)),"")</f>
        <v>0</v>
      </c>
      <c r="L1113" s="8">
        <f>_xlfn.IFNA(INDEX('HS Codes'!$D$2:$K3667,MATCH($B1113,'HS Codes'!$A$2:$A3667,0),MATCH(L$1,'HS Codes'!$D$1:$K$1,0)),"")</f>
        <v>0</v>
      </c>
      <c r="M1113" s="8">
        <f>_xlfn.IFNA(INDEX('HS Codes'!$C$2:$C3667,MATCH($B1113,'HS Codes'!$A$2:$A3667,0)),"")</f>
        <v>0</v>
      </c>
      <c r="N1113" s="9"/>
      <c r="O1113" s="9"/>
      <c r="P1113" s="9"/>
      <c r="Q1113" s="9"/>
    </row>
    <row r="1114" spans="1:17" ht="15.75" customHeight="1">
      <c r="A1114" s="7" t="s">
        <v>1407</v>
      </c>
      <c r="B1114" s="7" t="s">
        <v>181</v>
      </c>
      <c r="C1114" s="7"/>
      <c r="D1114" s="7" t="s">
        <v>182</v>
      </c>
      <c r="E1114" s="7" t="s">
        <v>322</v>
      </c>
      <c r="F1114" s="8">
        <f>_xlfn.IFNA(INDEX('HS Codes'!$D$2:$K3668,MATCH($B1114,'HS Codes'!$A$2:$A3668,0),MATCH(F$1,'HS Codes'!$D$1:$K$1,0)),"")</f>
        <v>0</v>
      </c>
      <c r="G1114" s="8">
        <f>_xlfn.IFNA(INDEX('HS Codes'!$D$2:$K3668,MATCH($B1114,'HS Codes'!$A$2:$A3668,0),MATCH(G$1,'HS Codes'!$D$1:$K$1,0)),"")</f>
        <v>0</v>
      </c>
      <c r="H1114" s="8">
        <f>_xlfn.IFNA(INDEX('HS Codes'!$D$2:$K3668,MATCH($B1114,'HS Codes'!$A$2:$A3668,0),MATCH(H$1,'HS Codes'!$D$1:$K$1,0)),"")</f>
        <v>0</v>
      </c>
      <c r="I1114" s="8">
        <f>_xlfn.IFNA(INDEX('HS Codes'!$D$2:$K3668,MATCH($B1114,'HS Codes'!$A$2:$A3668,0),MATCH(I$1,'HS Codes'!$D$1:$K$1,0)),"")</f>
        <v>0</v>
      </c>
      <c r="J1114" s="8">
        <f>_xlfn.IFNA(INDEX('HS Codes'!$D$2:$K3668,MATCH($B1114,'HS Codes'!$A$2:$A3668,0),MATCH(J$1,'HS Codes'!$D$1:$K$1,0)),"")</f>
        <v>0</v>
      </c>
      <c r="K1114" s="8">
        <f>_xlfn.IFNA(INDEX('HS Codes'!$D$2:$K3668,MATCH($B1114,'HS Codes'!$A$2:$A3668,0),MATCH(K$1,'HS Codes'!$D$1:$K$1,0)),"")</f>
        <v>0</v>
      </c>
      <c r="L1114" s="8">
        <f>_xlfn.IFNA(INDEX('HS Codes'!$D$2:$K3668,MATCH($B1114,'HS Codes'!$A$2:$A3668,0),MATCH(L$1,'HS Codes'!$D$1:$K$1,0)),"")</f>
        <v>0</v>
      </c>
      <c r="M1114" s="8">
        <f>_xlfn.IFNA(INDEX('HS Codes'!$C$2:$C3668,MATCH($B1114,'HS Codes'!$A$2:$A3668,0)),"")</f>
        <v>0</v>
      </c>
      <c r="N1114" s="9"/>
      <c r="O1114" s="9"/>
      <c r="P1114" s="9"/>
      <c r="Q1114" s="9"/>
    </row>
    <row r="1115" spans="1:17" ht="15.75" customHeight="1">
      <c r="A1115" s="7" t="s">
        <v>1408</v>
      </c>
      <c r="B1115" s="7" t="s">
        <v>181</v>
      </c>
      <c r="C1115" s="7"/>
      <c r="D1115" s="7" t="s">
        <v>182</v>
      </c>
      <c r="E1115" s="7" t="s">
        <v>322</v>
      </c>
      <c r="F1115" s="8">
        <f>_xlfn.IFNA(INDEX('HS Codes'!$D$2:$K3669,MATCH($B1115,'HS Codes'!$A$2:$A3669,0),MATCH(F$1,'HS Codes'!$D$1:$K$1,0)),"")</f>
        <v>0</v>
      </c>
      <c r="G1115" s="8">
        <f>_xlfn.IFNA(INDEX('HS Codes'!$D$2:$K3669,MATCH($B1115,'HS Codes'!$A$2:$A3669,0),MATCH(G$1,'HS Codes'!$D$1:$K$1,0)),"")</f>
        <v>0</v>
      </c>
      <c r="H1115" s="8">
        <f>_xlfn.IFNA(INDEX('HS Codes'!$D$2:$K3669,MATCH($B1115,'HS Codes'!$A$2:$A3669,0),MATCH(H$1,'HS Codes'!$D$1:$K$1,0)),"")</f>
        <v>0</v>
      </c>
      <c r="I1115" s="8">
        <f>_xlfn.IFNA(INDEX('HS Codes'!$D$2:$K3669,MATCH($B1115,'HS Codes'!$A$2:$A3669,0),MATCH(I$1,'HS Codes'!$D$1:$K$1,0)),"")</f>
        <v>0</v>
      </c>
      <c r="J1115" s="8">
        <f>_xlfn.IFNA(INDEX('HS Codes'!$D$2:$K3669,MATCH($B1115,'HS Codes'!$A$2:$A3669,0),MATCH(J$1,'HS Codes'!$D$1:$K$1,0)),"")</f>
        <v>0</v>
      </c>
      <c r="K1115" s="8">
        <f>_xlfn.IFNA(INDEX('HS Codes'!$D$2:$K3669,MATCH($B1115,'HS Codes'!$A$2:$A3669,0),MATCH(K$1,'HS Codes'!$D$1:$K$1,0)),"")</f>
        <v>0</v>
      </c>
      <c r="L1115" s="8">
        <f>_xlfn.IFNA(INDEX('HS Codes'!$D$2:$K3669,MATCH($B1115,'HS Codes'!$A$2:$A3669,0),MATCH(L$1,'HS Codes'!$D$1:$K$1,0)),"")</f>
        <v>0</v>
      </c>
      <c r="M1115" s="8">
        <f>_xlfn.IFNA(INDEX('HS Codes'!$C$2:$C3669,MATCH($B1115,'HS Codes'!$A$2:$A3669,0)),"")</f>
        <v>0</v>
      </c>
      <c r="N1115" s="9"/>
      <c r="O1115" s="9"/>
      <c r="P1115" s="9"/>
      <c r="Q1115" s="9"/>
    </row>
    <row r="1116" spans="1:17" ht="15.75" customHeight="1">
      <c r="A1116" s="7" t="s">
        <v>1409</v>
      </c>
      <c r="B1116" s="7" t="s">
        <v>181</v>
      </c>
      <c r="C1116" s="7"/>
      <c r="D1116" s="7" t="s">
        <v>182</v>
      </c>
      <c r="E1116" s="7" t="s">
        <v>322</v>
      </c>
      <c r="F1116" s="8">
        <f>_xlfn.IFNA(INDEX('HS Codes'!$D$2:$K3670,MATCH($B1116,'HS Codes'!$A$2:$A3670,0),MATCH(F$1,'HS Codes'!$D$1:$K$1,0)),"")</f>
        <v>0</v>
      </c>
      <c r="G1116" s="8">
        <f>_xlfn.IFNA(INDEX('HS Codes'!$D$2:$K3670,MATCH($B1116,'HS Codes'!$A$2:$A3670,0),MATCH(G$1,'HS Codes'!$D$1:$K$1,0)),"")</f>
        <v>0</v>
      </c>
      <c r="H1116" s="8">
        <f>_xlfn.IFNA(INDEX('HS Codes'!$D$2:$K3670,MATCH($B1116,'HS Codes'!$A$2:$A3670,0),MATCH(H$1,'HS Codes'!$D$1:$K$1,0)),"")</f>
        <v>0</v>
      </c>
      <c r="I1116" s="8">
        <f>_xlfn.IFNA(INDEX('HS Codes'!$D$2:$K3670,MATCH($B1116,'HS Codes'!$A$2:$A3670,0),MATCH(I$1,'HS Codes'!$D$1:$K$1,0)),"")</f>
        <v>0</v>
      </c>
      <c r="J1116" s="8">
        <f>_xlfn.IFNA(INDEX('HS Codes'!$D$2:$K3670,MATCH($B1116,'HS Codes'!$A$2:$A3670,0),MATCH(J$1,'HS Codes'!$D$1:$K$1,0)),"")</f>
        <v>0</v>
      </c>
      <c r="K1116" s="8">
        <f>_xlfn.IFNA(INDEX('HS Codes'!$D$2:$K3670,MATCH($B1116,'HS Codes'!$A$2:$A3670,0),MATCH(K$1,'HS Codes'!$D$1:$K$1,0)),"")</f>
        <v>0</v>
      </c>
      <c r="L1116" s="8">
        <f>_xlfn.IFNA(INDEX('HS Codes'!$D$2:$K3670,MATCH($B1116,'HS Codes'!$A$2:$A3670,0),MATCH(L$1,'HS Codes'!$D$1:$K$1,0)),"")</f>
        <v>0</v>
      </c>
      <c r="M1116" s="8">
        <f>_xlfn.IFNA(INDEX('HS Codes'!$C$2:$C3670,MATCH($B1116,'HS Codes'!$A$2:$A3670,0)),"")</f>
        <v>0</v>
      </c>
      <c r="N1116" s="9"/>
      <c r="O1116" s="9"/>
      <c r="P1116" s="9"/>
      <c r="Q1116" s="9"/>
    </row>
    <row r="1117" spans="1:17" ht="15.75" customHeight="1">
      <c r="A1117" s="7" t="s">
        <v>1410</v>
      </c>
      <c r="B1117" s="7" t="s">
        <v>181</v>
      </c>
      <c r="C1117" s="7"/>
      <c r="D1117" s="7" t="s">
        <v>182</v>
      </c>
      <c r="E1117" s="7" t="s">
        <v>322</v>
      </c>
      <c r="F1117" s="8">
        <f>_xlfn.IFNA(INDEX('HS Codes'!$D$2:$K3671,MATCH($B1117,'HS Codes'!$A$2:$A3671,0),MATCH(F$1,'HS Codes'!$D$1:$K$1,0)),"")</f>
        <v>0</v>
      </c>
      <c r="G1117" s="8">
        <f>_xlfn.IFNA(INDEX('HS Codes'!$D$2:$K3671,MATCH($B1117,'HS Codes'!$A$2:$A3671,0),MATCH(G$1,'HS Codes'!$D$1:$K$1,0)),"")</f>
        <v>0</v>
      </c>
      <c r="H1117" s="8">
        <f>_xlfn.IFNA(INDEX('HS Codes'!$D$2:$K3671,MATCH($B1117,'HS Codes'!$A$2:$A3671,0),MATCH(H$1,'HS Codes'!$D$1:$K$1,0)),"")</f>
        <v>0</v>
      </c>
      <c r="I1117" s="8">
        <f>_xlfn.IFNA(INDEX('HS Codes'!$D$2:$K3671,MATCH($B1117,'HS Codes'!$A$2:$A3671,0),MATCH(I$1,'HS Codes'!$D$1:$K$1,0)),"")</f>
        <v>0</v>
      </c>
      <c r="J1117" s="8">
        <f>_xlfn.IFNA(INDEX('HS Codes'!$D$2:$K3671,MATCH($B1117,'HS Codes'!$A$2:$A3671,0),MATCH(J$1,'HS Codes'!$D$1:$K$1,0)),"")</f>
        <v>0</v>
      </c>
      <c r="K1117" s="8">
        <f>_xlfn.IFNA(INDEX('HS Codes'!$D$2:$K3671,MATCH($B1117,'HS Codes'!$A$2:$A3671,0),MATCH(K$1,'HS Codes'!$D$1:$K$1,0)),"")</f>
        <v>0</v>
      </c>
      <c r="L1117" s="8">
        <f>_xlfn.IFNA(INDEX('HS Codes'!$D$2:$K3671,MATCH($B1117,'HS Codes'!$A$2:$A3671,0),MATCH(L$1,'HS Codes'!$D$1:$K$1,0)),"")</f>
        <v>0</v>
      </c>
      <c r="M1117" s="8">
        <f>_xlfn.IFNA(INDEX('HS Codes'!$C$2:$C3671,MATCH($B1117,'HS Codes'!$A$2:$A3671,0)),"")</f>
        <v>0</v>
      </c>
      <c r="N1117" s="9"/>
      <c r="O1117" s="9"/>
      <c r="P1117" s="9"/>
      <c r="Q1117" s="9"/>
    </row>
    <row r="1118" spans="1:17" ht="15.75" customHeight="1">
      <c r="A1118" s="7" t="s">
        <v>1411</v>
      </c>
      <c r="B1118" s="7" t="s">
        <v>181</v>
      </c>
      <c r="C1118" s="7"/>
      <c r="D1118" s="7" t="s">
        <v>182</v>
      </c>
      <c r="E1118" s="7" t="s">
        <v>322</v>
      </c>
      <c r="F1118" s="8">
        <f>_xlfn.IFNA(INDEX('HS Codes'!$D$2:$K3672,MATCH($B1118,'HS Codes'!$A$2:$A3672,0),MATCH(F$1,'HS Codes'!$D$1:$K$1,0)),"")</f>
        <v>0</v>
      </c>
      <c r="G1118" s="8">
        <f>_xlfn.IFNA(INDEX('HS Codes'!$D$2:$K3672,MATCH($B1118,'HS Codes'!$A$2:$A3672,0),MATCH(G$1,'HS Codes'!$D$1:$K$1,0)),"")</f>
        <v>0</v>
      </c>
      <c r="H1118" s="8">
        <f>_xlfn.IFNA(INDEX('HS Codes'!$D$2:$K3672,MATCH($B1118,'HS Codes'!$A$2:$A3672,0),MATCH(H$1,'HS Codes'!$D$1:$K$1,0)),"")</f>
        <v>0</v>
      </c>
      <c r="I1118" s="8">
        <f>_xlfn.IFNA(INDEX('HS Codes'!$D$2:$K3672,MATCH($B1118,'HS Codes'!$A$2:$A3672,0),MATCH(I$1,'HS Codes'!$D$1:$K$1,0)),"")</f>
        <v>0</v>
      </c>
      <c r="J1118" s="8">
        <f>_xlfn.IFNA(INDEX('HS Codes'!$D$2:$K3672,MATCH($B1118,'HS Codes'!$A$2:$A3672,0),MATCH(J$1,'HS Codes'!$D$1:$K$1,0)),"")</f>
        <v>0</v>
      </c>
      <c r="K1118" s="8">
        <f>_xlfn.IFNA(INDEX('HS Codes'!$D$2:$K3672,MATCH($B1118,'HS Codes'!$A$2:$A3672,0),MATCH(K$1,'HS Codes'!$D$1:$K$1,0)),"")</f>
        <v>0</v>
      </c>
      <c r="L1118" s="8">
        <f>_xlfn.IFNA(INDEX('HS Codes'!$D$2:$K3672,MATCH($B1118,'HS Codes'!$A$2:$A3672,0),MATCH(L$1,'HS Codes'!$D$1:$K$1,0)),"")</f>
        <v>0</v>
      </c>
      <c r="M1118" s="8">
        <f>_xlfn.IFNA(INDEX('HS Codes'!$C$2:$C3672,MATCH($B1118,'HS Codes'!$A$2:$A3672,0)),"")</f>
        <v>0</v>
      </c>
      <c r="N1118" s="9"/>
      <c r="O1118" s="9"/>
      <c r="P1118" s="9"/>
      <c r="Q1118" s="9"/>
    </row>
    <row r="1119" spans="1:17" ht="15.75" customHeight="1">
      <c r="A1119" s="7" t="s">
        <v>1412</v>
      </c>
      <c r="B1119" s="7" t="s">
        <v>181</v>
      </c>
      <c r="C1119" s="7"/>
      <c r="D1119" s="7" t="s">
        <v>182</v>
      </c>
      <c r="E1119" s="7" t="s">
        <v>322</v>
      </c>
      <c r="F1119" s="8">
        <f>_xlfn.IFNA(INDEX('HS Codes'!$D$2:$K3673,MATCH($B1119,'HS Codes'!$A$2:$A3673,0),MATCH(F$1,'HS Codes'!$D$1:$K$1,0)),"")</f>
        <v>0</v>
      </c>
      <c r="G1119" s="8">
        <f>_xlfn.IFNA(INDEX('HS Codes'!$D$2:$K3673,MATCH($B1119,'HS Codes'!$A$2:$A3673,0),MATCH(G$1,'HS Codes'!$D$1:$K$1,0)),"")</f>
        <v>0</v>
      </c>
      <c r="H1119" s="8">
        <f>_xlfn.IFNA(INDEX('HS Codes'!$D$2:$K3673,MATCH($B1119,'HS Codes'!$A$2:$A3673,0),MATCH(H$1,'HS Codes'!$D$1:$K$1,0)),"")</f>
        <v>0</v>
      </c>
      <c r="I1119" s="8">
        <f>_xlfn.IFNA(INDEX('HS Codes'!$D$2:$K3673,MATCH($B1119,'HS Codes'!$A$2:$A3673,0),MATCH(I$1,'HS Codes'!$D$1:$K$1,0)),"")</f>
        <v>0</v>
      </c>
      <c r="J1119" s="8">
        <f>_xlfn.IFNA(INDEX('HS Codes'!$D$2:$K3673,MATCH($B1119,'HS Codes'!$A$2:$A3673,0),MATCH(J$1,'HS Codes'!$D$1:$K$1,0)),"")</f>
        <v>0</v>
      </c>
      <c r="K1119" s="8">
        <f>_xlfn.IFNA(INDEX('HS Codes'!$D$2:$K3673,MATCH($B1119,'HS Codes'!$A$2:$A3673,0),MATCH(K$1,'HS Codes'!$D$1:$K$1,0)),"")</f>
        <v>0</v>
      </c>
      <c r="L1119" s="8">
        <f>_xlfn.IFNA(INDEX('HS Codes'!$D$2:$K3673,MATCH($B1119,'HS Codes'!$A$2:$A3673,0),MATCH(L$1,'HS Codes'!$D$1:$K$1,0)),"")</f>
        <v>0</v>
      </c>
      <c r="M1119" s="8">
        <f>_xlfn.IFNA(INDEX('HS Codes'!$C$2:$C3673,MATCH($B1119,'HS Codes'!$A$2:$A3673,0)),"")</f>
        <v>0</v>
      </c>
      <c r="N1119" s="9"/>
      <c r="O1119" s="9"/>
      <c r="P1119" s="9"/>
      <c r="Q1119" s="9"/>
    </row>
    <row r="1120" spans="1:17" ht="15.75" customHeight="1">
      <c r="A1120" s="7" t="s">
        <v>1413</v>
      </c>
      <c r="B1120" s="7" t="s">
        <v>181</v>
      </c>
      <c r="C1120" s="7"/>
      <c r="D1120" s="7" t="s">
        <v>182</v>
      </c>
      <c r="E1120" s="7" t="s">
        <v>322</v>
      </c>
      <c r="F1120" s="8">
        <f>_xlfn.IFNA(INDEX('HS Codes'!$D$2:$K3674,MATCH($B1120,'HS Codes'!$A$2:$A3674,0),MATCH(F$1,'HS Codes'!$D$1:$K$1,0)),"")</f>
        <v>0</v>
      </c>
      <c r="G1120" s="8">
        <f>_xlfn.IFNA(INDEX('HS Codes'!$D$2:$K3674,MATCH($B1120,'HS Codes'!$A$2:$A3674,0),MATCH(G$1,'HS Codes'!$D$1:$K$1,0)),"")</f>
        <v>0</v>
      </c>
      <c r="H1120" s="8">
        <f>_xlfn.IFNA(INDEX('HS Codes'!$D$2:$K3674,MATCH($B1120,'HS Codes'!$A$2:$A3674,0),MATCH(H$1,'HS Codes'!$D$1:$K$1,0)),"")</f>
        <v>0</v>
      </c>
      <c r="I1120" s="8">
        <f>_xlfn.IFNA(INDEX('HS Codes'!$D$2:$K3674,MATCH($B1120,'HS Codes'!$A$2:$A3674,0),MATCH(I$1,'HS Codes'!$D$1:$K$1,0)),"")</f>
        <v>0</v>
      </c>
      <c r="J1120" s="8">
        <f>_xlfn.IFNA(INDEX('HS Codes'!$D$2:$K3674,MATCH($B1120,'HS Codes'!$A$2:$A3674,0),MATCH(J$1,'HS Codes'!$D$1:$K$1,0)),"")</f>
        <v>0</v>
      </c>
      <c r="K1120" s="8">
        <f>_xlfn.IFNA(INDEX('HS Codes'!$D$2:$K3674,MATCH($B1120,'HS Codes'!$A$2:$A3674,0),MATCH(K$1,'HS Codes'!$D$1:$K$1,0)),"")</f>
        <v>0</v>
      </c>
      <c r="L1120" s="8">
        <f>_xlfn.IFNA(INDEX('HS Codes'!$D$2:$K3674,MATCH($B1120,'HS Codes'!$A$2:$A3674,0),MATCH(L$1,'HS Codes'!$D$1:$K$1,0)),"")</f>
        <v>0</v>
      </c>
      <c r="M1120" s="8">
        <f>_xlfn.IFNA(INDEX('HS Codes'!$C$2:$C3674,MATCH($B1120,'HS Codes'!$A$2:$A3674,0)),"")</f>
        <v>0</v>
      </c>
      <c r="N1120" s="9"/>
      <c r="O1120" s="9"/>
      <c r="P1120" s="9"/>
      <c r="Q1120" s="9"/>
    </row>
    <row r="1121" spans="1:17" ht="15.75" customHeight="1">
      <c r="A1121" s="7" t="s">
        <v>1414</v>
      </c>
      <c r="B1121" s="7" t="s">
        <v>181</v>
      </c>
      <c r="C1121" s="7"/>
      <c r="D1121" s="7" t="s">
        <v>182</v>
      </c>
      <c r="E1121" s="7" t="s">
        <v>322</v>
      </c>
      <c r="F1121" s="8">
        <f>_xlfn.IFNA(INDEX('HS Codes'!$D$2:$K3675,MATCH($B1121,'HS Codes'!$A$2:$A3675,0),MATCH(F$1,'HS Codes'!$D$1:$K$1,0)),"")</f>
        <v>0</v>
      </c>
      <c r="G1121" s="8">
        <f>_xlfn.IFNA(INDEX('HS Codes'!$D$2:$K3675,MATCH($B1121,'HS Codes'!$A$2:$A3675,0),MATCH(G$1,'HS Codes'!$D$1:$K$1,0)),"")</f>
        <v>0</v>
      </c>
      <c r="H1121" s="8">
        <f>_xlfn.IFNA(INDEX('HS Codes'!$D$2:$K3675,MATCH($B1121,'HS Codes'!$A$2:$A3675,0),MATCH(H$1,'HS Codes'!$D$1:$K$1,0)),"")</f>
        <v>0</v>
      </c>
      <c r="I1121" s="8">
        <f>_xlfn.IFNA(INDEX('HS Codes'!$D$2:$K3675,MATCH($B1121,'HS Codes'!$A$2:$A3675,0),MATCH(I$1,'HS Codes'!$D$1:$K$1,0)),"")</f>
        <v>0</v>
      </c>
      <c r="J1121" s="8">
        <f>_xlfn.IFNA(INDEX('HS Codes'!$D$2:$K3675,MATCH($B1121,'HS Codes'!$A$2:$A3675,0),MATCH(J$1,'HS Codes'!$D$1:$K$1,0)),"")</f>
        <v>0</v>
      </c>
      <c r="K1121" s="8">
        <f>_xlfn.IFNA(INDEX('HS Codes'!$D$2:$K3675,MATCH($B1121,'HS Codes'!$A$2:$A3675,0),MATCH(K$1,'HS Codes'!$D$1:$K$1,0)),"")</f>
        <v>0</v>
      </c>
      <c r="L1121" s="8">
        <f>_xlfn.IFNA(INDEX('HS Codes'!$D$2:$K3675,MATCH($B1121,'HS Codes'!$A$2:$A3675,0),MATCH(L$1,'HS Codes'!$D$1:$K$1,0)),"")</f>
        <v>0</v>
      </c>
      <c r="M1121" s="8">
        <f>_xlfn.IFNA(INDEX('HS Codes'!$C$2:$C3675,MATCH($B1121,'HS Codes'!$A$2:$A3675,0)),"")</f>
        <v>0</v>
      </c>
      <c r="N1121" s="9"/>
      <c r="O1121" s="9"/>
      <c r="P1121" s="9"/>
      <c r="Q1121" s="9"/>
    </row>
    <row r="1122" spans="1:17" ht="15.75" customHeight="1">
      <c r="A1122" s="7" t="s">
        <v>1415</v>
      </c>
      <c r="B1122" s="7" t="s">
        <v>181</v>
      </c>
      <c r="C1122" s="7"/>
      <c r="D1122" s="7" t="s">
        <v>182</v>
      </c>
      <c r="E1122" s="7" t="s">
        <v>322</v>
      </c>
      <c r="F1122" s="8">
        <f>_xlfn.IFNA(INDEX('HS Codes'!$D$2:$K3676,MATCH($B1122,'HS Codes'!$A$2:$A3676,0),MATCH(F$1,'HS Codes'!$D$1:$K$1,0)),"")</f>
        <v>0</v>
      </c>
      <c r="G1122" s="8">
        <f>_xlfn.IFNA(INDEX('HS Codes'!$D$2:$K3676,MATCH($B1122,'HS Codes'!$A$2:$A3676,0),MATCH(G$1,'HS Codes'!$D$1:$K$1,0)),"")</f>
        <v>0</v>
      </c>
      <c r="H1122" s="8">
        <f>_xlfn.IFNA(INDEX('HS Codes'!$D$2:$K3676,MATCH($B1122,'HS Codes'!$A$2:$A3676,0),MATCH(H$1,'HS Codes'!$D$1:$K$1,0)),"")</f>
        <v>0</v>
      </c>
      <c r="I1122" s="8">
        <f>_xlfn.IFNA(INDEX('HS Codes'!$D$2:$K3676,MATCH($B1122,'HS Codes'!$A$2:$A3676,0),MATCH(I$1,'HS Codes'!$D$1:$K$1,0)),"")</f>
        <v>0</v>
      </c>
      <c r="J1122" s="8">
        <f>_xlfn.IFNA(INDEX('HS Codes'!$D$2:$K3676,MATCH($B1122,'HS Codes'!$A$2:$A3676,0),MATCH(J$1,'HS Codes'!$D$1:$K$1,0)),"")</f>
        <v>0</v>
      </c>
      <c r="K1122" s="8">
        <f>_xlfn.IFNA(INDEX('HS Codes'!$D$2:$K3676,MATCH($B1122,'HS Codes'!$A$2:$A3676,0),MATCH(K$1,'HS Codes'!$D$1:$K$1,0)),"")</f>
        <v>0</v>
      </c>
      <c r="L1122" s="8">
        <f>_xlfn.IFNA(INDEX('HS Codes'!$D$2:$K3676,MATCH($B1122,'HS Codes'!$A$2:$A3676,0),MATCH(L$1,'HS Codes'!$D$1:$K$1,0)),"")</f>
        <v>0</v>
      </c>
      <c r="M1122" s="8">
        <f>_xlfn.IFNA(INDEX('HS Codes'!$C$2:$C3676,MATCH($B1122,'HS Codes'!$A$2:$A3676,0)),"")</f>
        <v>0</v>
      </c>
      <c r="N1122" s="9"/>
      <c r="O1122" s="9"/>
      <c r="P1122" s="9"/>
      <c r="Q1122" s="9"/>
    </row>
    <row r="1123" spans="1:17" ht="15.75" customHeight="1">
      <c r="A1123" s="7" t="s">
        <v>1416</v>
      </c>
      <c r="B1123" s="7" t="s">
        <v>181</v>
      </c>
      <c r="C1123" s="7"/>
      <c r="D1123" s="7" t="s">
        <v>182</v>
      </c>
      <c r="E1123" s="7" t="s">
        <v>322</v>
      </c>
      <c r="F1123" s="8">
        <f>_xlfn.IFNA(INDEX('HS Codes'!$D$2:$K3677,MATCH($B1123,'HS Codes'!$A$2:$A3677,0),MATCH(F$1,'HS Codes'!$D$1:$K$1,0)),"")</f>
        <v>0</v>
      </c>
      <c r="G1123" s="8">
        <f>_xlfn.IFNA(INDEX('HS Codes'!$D$2:$K3677,MATCH($B1123,'HS Codes'!$A$2:$A3677,0),MATCH(G$1,'HS Codes'!$D$1:$K$1,0)),"")</f>
        <v>0</v>
      </c>
      <c r="H1123" s="8">
        <f>_xlfn.IFNA(INDEX('HS Codes'!$D$2:$K3677,MATCH($B1123,'HS Codes'!$A$2:$A3677,0),MATCH(H$1,'HS Codes'!$D$1:$K$1,0)),"")</f>
        <v>0</v>
      </c>
      <c r="I1123" s="8">
        <f>_xlfn.IFNA(INDEX('HS Codes'!$D$2:$K3677,MATCH($B1123,'HS Codes'!$A$2:$A3677,0),MATCH(I$1,'HS Codes'!$D$1:$K$1,0)),"")</f>
        <v>0</v>
      </c>
      <c r="J1123" s="8">
        <f>_xlfn.IFNA(INDEX('HS Codes'!$D$2:$K3677,MATCH($B1123,'HS Codes'!$A$2:$A3677,0),MATCH(J$1,'HS Codes'!$D$1:$K$1,0)),"")</f>
        <v>0</v>
      </c>
      <c r="K1123" s="8">
        <f>_xlfn.IFNA(INDEX('HS Codes'!$D$2:$K3677,MATCH($B1123,'HS Codes'!$A$2:$A3677,0),MATCH(K$1,'HS Codes'!$D$1:$K$1,0)),"")</f>
        <v>0</v>
      </c>
      <c r="L1123" s="8">
        <f>_xlfn.IFNA(INDEX('HS Codes'!$D$2:$K3677,MATCH($B1123,'HS Codes'!$A$2:$A3677,0),MATCH(L$1,'HS Codes'!$D$1:$K$1,0)),"")</f>
        <v>0</v>
      </c>
      <c r="M1123" s="8">
        <f>_xlfn.IFNA(INDEX('HS Codes'!$C$2:$C3677,MATCH($B1123,'HS Codes'!$A$2:$A3677,0)),"")</f>
        <v>0</v>
      </c>
      <c r="N1123" s="9"/>
      <c r="O1123" s="9"/>
      <c r="P1123" s="9"/>
      <c r="Q1123" s="9"/>
    </row>
    <row r="1124" spans="1:17" ht="15.75" customHeight="1">
      <c r="A1124" s="7" t="s">
        <v>1417</v>
      </c>
      <c r="B1124" s="7" t="s">
        <v>181</v>
      </c>
      <c r="C1124" s="7"/>
      <c r="D1124" s="7" t="s">
        <v>182</v>
      </c>
      <c r="E1124" s="7" t="s">
        <v>322</v>
      </c>
      <c r="F1124" s="8">
        <f>_xlfn.IFNA(INDEX('HS Codes'!$D$2:$K3678,MATCH($B1124,'HS Codes'!$A$2:$A3678,0),MATCH(F$1,'HS Codes'!$D$1:$K$1,0)),"")</f>
        <v>0</v>
      </c>
      <c r="G1124" s="8">
        <f>_xlfn.IFNA(INDEX('HS Codes'!$D$2:$K3678,MATCH($B1124,'HS Codes'!$A$2:$A3678,0),MATCH(G$1,'HS Codes'!$D$1:$K$1,0)),"")</f>
        <v>0</v>
      </c>
      <c r="H1124" s="8">
        <f>_xlfn.IFNA(INDEX('HS Codes'!$D$2:$K3678,MATCH($B1124,'HS Codes'!$A$2:$A3678,0),MATCH(H$1,'HS Codes'!$D$1:$K$1,0)),"")</f>
        <v>0</v>
      </c>
      <c r="I1124" s="8">
        <f>_xlfn.IFNA(INDEX('HS Codes'!$D$2:$K3678,MATCH($B1124,'HS Codes'!$A$2:$A3678,0),MATCH(I$1,'HS Codes'!$D$1:$K$1,0)),"")</f>
        <v>0</v>
      </c>
      <c r="J1124" s="8">
        <f>_xlfn.IFNA(INDEX('HS Codes'!$D$2:$K3678,MATCH($B1124,'HS Codes'!$A$2:$A3678,0),MATCH(J$1,'HS Codes'!$D$1:$K$1,0)),"")</f>
        <v>0</v>
      </c>
      <c r="K1124" s="8">
        <f>_xlfn.IFNA(INDEX('HS Codes'!$D$2:$K3678,MATCH($B1124,'HS Codes'!$A$2:$A3678,0),MATCH(K$1,'HS Codes'!$D$1:$K$1,0)),"")</f>
        <v>0</v>
      </c>
      <c r="L1124" s="8">
        <f>_xlfn.IFNA(INDEX('HS Codes'!$D$2:$K3678,MATCH($B1124,'HS Codes'!$A$2:$A3678,0),MATCH(L$1,'HS Codes'!$D$1:$K$1,0)),"")</f>
        <v>0</v>
      </c>
      <c r="M1124" s="8">
        <f>_xlfn.IFNA(INDEX('HS Codes'!$C$2:$C3678,MATCH($B1124,'HS Codes'!$A$2:$A3678,0)),"")</f>
        <v>0</v>
      </c>
      <c r="N1124" s="9"/>
      <c r="O1124" s="9"/>
      <c r="P1124" s="9"/>
      <c r="Q1124" s="9"/>
    </row>
    <row r="1125" spans="1:17" ht="15.75" customHeight="1">
      <c r="A1125" s="7" t="s">
        <v>1418</v>
      </c>
      <c r="B1125" s="7" t="s">
        <v>181</v>
      </c>
      <c r="C1125" s="7"/>
      <c r="D1125" s="7" t="s">
        <v>182</v>
      </c>
      <c r="E1125" s="7" t="s">
        <v>322</v>
      </c>
      <c r="F1125" s="8">
        <f>_xlfn.IFNA(INDEX('HS Codes'!$D$2:$K3679,MATCH($B1125,'HS Codes'!$A$2:$A3679,0),MATCH(F$1,'HS Codes'!$D$1:$K$1,0)),"")</f>
        <v>0</v>
      </c>
      <c r="G1125" s="8">
        <f>_xlfn.IFNA(INDEX('HS Codes'!$D$2:$K3679,MATCH($B1125,'HS Codes'!$A$2:$A3679,0),MATCH(G$1,'HS Codes'!$D$1:$K$1,0)),"")</f>
        <v>0</v>
      </c>
      <c r="H1125" s="8">
        <f>_xlfn.IFNA(INDEX('HS Codes'!$D$2:$K3679,MATCH($B1125,'HS Codes'!$A$2:$A3679,0),MATCH(H$1,'HS Codes'!$D$1:$K$1,0)),"")</f>
        <v>0</v>
      </c>
      <c r="I1125" s="8">
        <f>_xlfn.IFNA(INDEX('HS Codes'!$D$2:$K3679,MATCH($B1125,'HS Codes'!$A$2:$A3679,0),MATCH(I$1,'HS Codes'!$D$1:$K$1,0)),"")</f>
        <v>0</v>
      </c>
      <c r="J1125" s="8">
        <f>_xlfn.IFNA(INDEX('HS Codes'!$D$2:$K3679,MATCH($B1125,'HS Codes'!$A$2:$A3679,0),MATCH(J$1,'HS Codes'!$D$1:$K$1,0)),"")</f>
        <v>0</v>
      </c>
      <c r="K1125" s="8">
        <f>_xlfn.IFNA(INDEX('HS Codes'!$D$2:$K3679,MATCH($B1125,'HS Codes'!$A$2:$A3679,0),MATCH(K$1,'HS Codes'!$D$1:$K$1,0)),"")</f>
        <v>0</v>
      </c>
      <c r="L1125" s="8">
        <f>_xlfn.IFNA(INDEX('HS Codes'!$D$2:$K3679,MATCH($B1125,'HS Codes'!$A$2:$A3679,0),MATCH(L$1,'HS Codes'!$D$1:$K$1,0)),"")</f>
        <v>0</v>
      </c>
      <c r="M1125" s="8">
        <f>_xlfn.IFNA(INDEX('HS Codes'!$C$2:$C3679,MATCH($B1125,'HS Codes'!$A$2:$A3679,0)),"")</f>
        <v>0</v>
      </c>
      <c r="N1125" s="9"/>
      <c r="O1125" s="9"/>
      <c r="P1125" s="9"/>
      <c r="Q1125" s="9"/>
    </row>
    <row r="1126" spans="1:17" ht="15.75" customHeight="1">
      <c r="A1126" s="7" t="s">
        <v>1419</v>
      </c>
      <c r="B1126" s="7" t="s">
        <v>181</v>
      </c>
      <c r="C1126" s="7"/>
      <c r="D1126" s="7" t="s">
        <v>182</v>
      </c>
      <c r="E1126" s="7" t="s">
        <v>322</v>
      </c>
      <c r="F1126" s="8">
        <f>_xlfn.IFNA(INDEX('HS Codes'!$D$2:$K3680,MATCH($B1126,'HS Codes'!$A$2:$A3680,0),MATCH(F$1,'HS Codes'!$D$1:$K$1,0)),"")</f>
        <v>0</v>
      </c>
      <c r="G1126" s="8">
        <f>_xlfn.IFNA(INDEX('HS Codes'!$D$2:$K3680,MATCH($B1126,'HS Codes'!$A$2:$A3680,0),MATCH(G$1,'HS Codes'!$D$1:$K$1,0)),"")</f>
        <v>0</v>
      </c>
      <c r="H1126" s="8">
        <f>_xlfn.IFNA(INDEX('HS Codes'!$D$2:$K3680,MATCH($B1126,'HS Codes'!$A$2:$A3680,0),MATCH(H$1,'HS Codes'!$D$1:$K$1,0)),"")</f>
        <v>0</v>
      </c>
      <c r="I1126" s="8">
        <f>_xlfn.IFNA(INDEX('HS Codes'!$D$2:$K3680,MATCH($B1126,'HS Codes'!$A$2:$A3680,0),MATCH(I$1,'HS Codes'!$D$1:$K$1,0)),"")</f>
        <v>0</v>
      </c>
      <c r="J1126" s="8">
        <f>_xlfn.IFNA(INDEX('HS Codes'!$D$2:$K3680,MATCH($B1126,'HS Codes'!$A$2:$A3680,0),MATCH(J$1,'HS Codes'!$D$1:$K$1,0)),"")</f>
        <v>0</v>
      </c>
      <c r="K1126" s="8">
        <f>_xlfn.IFNA(INDEX('HS Codes'!$D$2:$K3680,MATCH($B1126,'HS Codes'!$A$2:$A3680,0),MATCH(K$1,'HS Codes'!$D$1:$K$1,0)),"")</f>
        <v>0</v>
      </c>
      <c r="L1126" s="8">
        <f>_xlfn.IFNA(INDEX('HS Codes'!$D$2:$K3680,MATCH($B1126,'HS Codes'!$A$2:$A3680,0),MATCH(L$1,'HS Codes'!$D$1:$K$1,0)),"")</f>
        <v>0</v>
      </c>
      <c r="M1126" s="8">
        <f>_xlfn.IFNA(INDEX('HS Codes'!$C$2:$C3680,MATCH($B1126,'HS Codes'!$A$2:$A3680,0)),"")</f>
        <v>0</v>
      </c>
      <c r="N1126" s="9"/>
      <c r="O1126" s="9"/>
      <c r="P1126" s="9"/>
      <c r="Q1126" s="9"/>
    </row>
    <row r="1127" spans="1:17" ht="15.75" customHeight="1">
      <c r="A1127" s="7" t="s">
        <v>1420</v>
      </c>
      <c r="B1127" s="7" t="s">
        <v>181</v>
      </c>
      <c r="C1127" s="7"/>
      <c r="D1127" s="7" t="s">
        <v>182</v>
      </c>
      <c r="E1127" s="7" t="s">
        <v>322</v>
      </c>
      <c r="F1127" s="8">
        <f>_xlfn.IFNA(INDEX('HS Codes'!$D$2:$K3681,MATCH($B1127,'HS Codes'!$A$2:$A3681,0),MATCH(F$1,'HS Codes'!$D$1:$K$1,0)),"")</f>
        <v>0</v>
      </c>
      <c r="G1127" s="8">
        <f>_xlfn.IFNA(INDEX('HS Codes'!$D$2:$K3681,MATCH($B1127,'HS Codes'!$A$2:$A3681,0),MATCH(G$1,'HS Codes'!$D$1:$K$1,0)),"")</f>
        <v>0</v>
      </c>
      <c r="H1127" s="8">
        <f>_xlfn.IFNA(INDEX('HS Codes'!$D$2:$K3681,MATCH($B1127,'HS Codes'!$A$2:$A3681,0),MATCH(H$1,'HS Codes'!$D$1:$K$1,0)),"")</f>
        <v>0</v>
      </c>
      <c r="I1127" s="8">
        <f>_xlfn.IFNA(INDEX('HS Codes'!$D$2:$K3681,MATCH($B1127,'HS Codes'!$A$2:$A3681,0),MATCH(I$1,'HS Codes'!$D$1:$K$1,0)),"")</f>
        <v>0</v>
      </c>
      <c r="J1127" s="8">
        <f>_xlfn.IFNA(INDEX('HS Codes'!$D$2:$K3681,MATCH($B1127,'HS Codes'!$A$2:$A3681,0),MATCH(J$1,'HS Codes'!$D$1:$K$1,0)),"")</f>
        <v>0</v>
      </c>
      <c r="K1127" s="8">
        <f>_xlfn.IFNA(INDEX('HS Codes'!$D$2:$K3681,MATCH($B1127,'HS Codes'!$A$2:$A3681,0),MATCH(K$1,'HS Codes'!$D$1:$K$1,0)),"")</f>
        <v>0</v>
      </c>
      <c r="L1127" s="8">
        <f>_xlfn.IFNA(INDEX('HS Codes'!$D$2:$K3681,MATCH($B1127,'HS Codes'!$A$2:$A3681,0),MATCH(L$1,'HS Codes'!$D$1:$K$1,0)),"")</f>
        <v>0</v>
      </c>
      <c r="M1127" s="8">
        <f>_xlfn.IFNA(INDEX('HS Codes'!$C$2:$C3681,MATCH($B1127,'HS Codes'!$A$2:$A3681,0)),"")</f>
        <v>0</v>
      </c>
      <c r="N1127" s="9"/>
      <c r="O1127" s="9"/>
      <c r="P1127" s="9"/>
      <c r="Q1127" s="9"/>
    </row>
    <row r="1128" spans="1:17" ht="15.75" customHeight="1">
      <c r="A1128" s="7" t="s">
        <v>1421</v>
      </c>
      <c r="B1128" s="7" t="s">
        <v>181</v>
      </c>
      <c r="C1128" s="7"/>
      <c r="D1128" s="7" t="s">
        <v>182</v>
      </c>
      <c r="E1128" s="7" t="s">
        <v>322</v>
      </c>
      <c r="F1128" s="8">
        <f>_xlfn.IFNA(INDEX('HS Codes'!$D$2:$K3682,MATCH($B1128,'HS Codes'!$A$2:$A3682,0),MATCH(F$1,'HS Codes'!$D$1:$K$1,0)),"")</f>
        <v>0</v>
      </c>
      <c r="G1128" s="8">
        <f>_xlfn.IFNA(INDEX('HS Codes'!$D$2:$K3682,MATCH($B1128,'HS Codes'!$A$2:$A3682,0),MATCH(G$1,'HS Codes'!$D$1:$K$1,0)),"")</f>
        <v>0</v>
      </c>
      <c r="H1128" s="8">
        <f>_xlfn.IFNA(INDEX('HS Codes'!$D$2:$K3682,MATCH($B1128,'HS Codes'!$A$2:$A3682,0),MATCH(H$1,'HS Codes'!$D$1:$K$1,0)),"")</f>
        <v>0</v>
      </c>
      <c r="I1128" s="8">
        <f>_xlfn.IFNA(INDEX('HS Codes'!$D$2:$K3682,MATCH($B1128,'HS Codes'!$A$2:$A3682,0),MATCH(I$1,'HS Codes'!$D$1:$K$1,0)),"")</f>
        <v>0</v>
      </c>
      <c r="J1128" s="8">
        <f>_xlfn.IFNA(INDEX('HS Codes'!$D$2:$K3682,MATCH($B1128,'HS Codes'!$A$2:$A3682,0),MATCH(J$1,'HS Codes'!$D$1:$K$1,0)),"")</f>
        <v>0</v>
      </c>
      <c r="K1128" s="8">
        <f>_xlfn.IFNA(INDEX('HS Codes'!$D$2:$K3682,MATCH($B1128,'HS Codes'!$A$2:$A3682,0),MATCH(K$1,'HS Codes'!$D$1:$K$1,0)),"")</f>
        <v>0</v>
      </c>
      <c r="L1128" s="8">
        <f>_xlfn.IFNA(INDEX('HS Codes'!$D$2:$K3682,MATCH($B1128,'HS Codes'!$A$2:$A3682,0),MATCH(L$1,'HS Codes'!$D$1:$K$1,0)),"")</f>
        <v>0</v>
      </c>
      <c r="M1128" s="8">
        <f>_xlfn.IFNA(INDEX('HS Codes'!$C$2:$C3682,MATCH($B1128,'HS Codes'!$A$2:$A3682,0)),"")</f>
        <v>0</v>
      </c>
      <c r="N1128" s="9"/>
      <c r="O1128" s="9"/>
      <c r="P1128" s="9"/>
      <c r="Q1128" s="9"/>
    </row>
    <row r="1129" spans="1:17" ht="15.75" customHeight="1">
      <c r="A1129" s="7" t="s">
        <v>1422</v>
      </c>
      <c r="B1129" s="7" t="s">
        <v>183</v>
      </c>
      <c r="C1129" s="7"/>
      <c r="D1129" s="7" t="s">
        <v>184</v>
      </c>
      <c r="E1129" s="7" t="s">
        <v>322</v>
      </c>
      <c r="F1129" s="8">
        <f>_xlfn.IFNA(INDEX('HS Codes'!$D$2:$K3683,MATCH($B1129,'HS Codes'!$A$2:$A3683,0),MATCH(F$1,'HS Codes'!$D$1:$K$1,0)),"")</f>
        <v>0</v>
      </c>
      <c r="G1129" s="8">
        <f>_xlfn.IFNA(INDEX('HS Codes'!$D$2:$K3683,MATCH($B1129,'HS Codes'!$A$2:$A3683,0),MATCH(G$1,'HS Codes'!$D$1:$K$1,0)),"")</f>
        <v>0</v>
      </c>
      <c r="H1129" s="8">
        <f>_xlfn.IFNA(INDEX('HS Codes'!$D$2:$K3683,MATCH($B1129,'HS Codes'!$A$2:$A3683,0),MATCH(H$1,'HS Codes'!$D$1:$K$1,0)),"")</f>
        <v>0</v>
      </c>
      <c r="I1129" s="8">
        <f>_xlfn.IFNA(INDEX('HS Codes'!$D$2:$K3683,MATCH($B1129,'HS Codes'!$A$2:$A3683,0),MATCH(I$1,'HS Codes'!$D$1:$K$1,0)),"")</f>
        <v>0</v>
      </c>
      <c r="J1129" s="8">
        <f>_xlfn.IFNA(INDEX('HS Codes'!$D$2:$K3683,MATCH($B1129,'HS Codes'!$A$2:$A3683,0),MATCH(J$1,'HS Codes'!$D$1:$K$1,0)),"")</f>
        <v>0</v>
      </c>
      <c r="K1129" s="8">
        <f>_xlfn.IFNA(INDEX('HS Codes'!$D$2:$K3683,MATCH($B1129,'HS Codes'!$A$2:$A3683,0),MATCH(K$1,'HS Codes'!$D$1:$K$1,0)),"")</f>
        <v>0</v>
      </c>
      <c r="L1129" s="8">
        <f>_xlfn.IFNA(INDEX('HS Codes'!$D$2:$K3683,MATCH($B1129,'HS Codes'!$A$2:$A3683,0),MATCH(L$1,'HS Codes'!$D$1:$K$1,0)),"")</f>
        <v>0</v>
      </c>
      <c r="M1129" s="8">
        <f>_xlfn.IFNA(INDEX('HS Codes'!$C$2:$C3683,MATCH($B1129,'HS Codes'!$A$2:$A3683,0)),"")</f>
        <v>0</v>
      </c>
      <c r="N1129" s="9"/>
      <c r="O1129" s="9"/>
      <c r="P1129" s="9"/>
      <c r="Q1129" s="9"/>
    </row>
    <row r="1130" spans="1:17" ht="15.75" customHeight="1">
      <c r="A1130" s="7" t="s">
        <v>1423</v>
      </c>
      <c r="B1130" s="7" t="s">
        <v>183</v>
      </c>
      <c r="C1130" s="7"/>
      <c r="D1130" s="7" t="s">
        <v>184</v>
      </c>
      <c r="E1130" s="7" t="s">
        <v>322</v>
      </c>
      <c r="F1130" s="8">
        <f>_xlfn.IFNA(INDEX('HS Codes'!$D$2:$K3684,MATCH($B1130,'HS Codes'!$A$2:$A3684,0),MATCH(F$1,'HS Codes'!$D$1:$K$1,0)),"")</f>
        <v>0</v>
      </c>
      <c r="G1130" s="8">
        <f>_xlfn.IFNA(INDEX('HS Codes'!$D$2:$K3684,MATCH($B1130,'HS Codes'!$A$2:$A3684,0),MATCH(G$1,'HS Codes'!$D$1:$K$1,0)),"")</f>
        <v>0</v>
      </c>
      <c r="H1130" s="8">
        <f>_xlfn.IFNA(INDEX('HS Codes'!$D$2:$K3684,MATCH($B1130,'HS Codes'!$A$2:$A3684,0),MATCH(H$1,'HS Codes'!$D$1:$K$1,0)),"")</f>
        <v>0</v>
      </c>
      <c r="I1130" s="8">
        <f>_xlfn.IFNA(INDEX('HS Codes'!$D$2:$K3684,MATCH($B1130,'HS Codes'!$A$2:$A3684,0),MATCH(I$1,'HS Codes'!$D$1:$K$1,0)),"")</f>
        <v>0</v>
      </c>
      <c r="J1130" s="8">
        <f>_xlfn.IFNA(INDEX('HS Codes'!$D$2:$K3684,MATCH($B1130,'HS Codes'!$A$2:$A3684,0),MATCH(J$1,'HS Codes'!$D$1:$K$1,0)),"")</f>
        <v>0</v>
      </c>
      <c r="K1130" s="8">
        <f>_xlfn.IFNA(INDEX('HS Codes'!$D$2:$K3684,MATCH($B1130,'HS Codes'!$A$2:$A3684,0),MATCH(K$1,'HS Codes'!$D$1:$K$1,0)),"")</f>
        <v>0</v>
      </c>
      <c r="L1130" s="8">
        <f>_xlfn.IFNA(INDEX('HS Codes'!$D$2:$K3684,MATCH($B1130,'HS Codes'!$A$2:$A3684,0),MATCH(L$1,'HS Codes'!$D$1:$K$1,0)),"")</f>
        <v>0</v>
      </c>
      <c r="M1130" s="8">
        <f>_xlfn.IFNA(INDEX('HS Codes'!$C$2:$C3684,MATCH($B1130,'HS Codes'!$A$2:$A3684,0)),"")</f>
        <v>0</v>
      </c>
      <c r="N1130" s="9"/>
      <c r="O1130" s="9"/>
      <c r="P1130" s="9"/>
      <c r="Q1130" s="9"/>
    </row>
    <row r="1131" spans="1:17" ht="15.75" customHeight="1">
      <c r="A1131" s="7" t="s">
        <v>1424</v>
      </c>
      <c r="B1131" s="7" t="s">
        <v>183</v>
      </c>
      <c r="C1131" s="7"/>
      <c r="D1131" s="7" t="s">
        <v>184</v>
      </c>
      <c r="E1131" s="7" t="s">
        <v>322</v>
      </c>
      <c r="F1131" s="8">
        <f>_xlfn.IFNA(INDEX('HS Codes'!$D$2:$K3685,MATCH($B1131,'HS Codes'!$A$2:$A3685,0),MATCH(F$1,'HS Codes'!$D$1:$K$1,0)),"")</f>
        <v>0</v>
      </c>
      <c r="G1131" s="8">
        <f>_xlfn.IFNA(INDEX('HS Codes'!$D$2:$K3685,MATCH($B1131,'HS Codes'!$A$2:$A3685,0),MATCH(G$1,'HS Codes'!$D$1:$K$1,0)),"")</f>
        <v>0</v>
      </c>
      <c r="H1131" s="8">
        <f>_xlfn.IFNA(INDEX('HS Codes'!$D$2:$K3685,MATCH($B1131,'HS Codes'!$A$2:$A3685,0),MATCH(H$1,'HS Codes'!$D$1:$K$1,0)),"")</f>
        <v>0</v>
      </c>
      <c r="I1131" s="8">
        <f>_xlfn.IFNA(INDEX('HS Codes'!$D$2:$K3685,MATCH($B1131,'HS Codes'!$A$2:$A3685,0),MATCH(I$1,'HS Codes'!$D$1:$K$1,0)),"")</f>
        <v>0</v>
      </c>
      <c r="J1131" s="8">
        <f>_xlfn.IFNA(INDEX('HS Codes'!$D$2:$K3685,MATCH($B1131,'HS Codes'!$A$2:$A3685,0),MATCH(J$1,'HS Codes'!$D$1:$K$1,0)),"")</f>
        <v>0</v>
      </c>
      <c r="K1131" s="8">
        <f>_xlfn.IFNA(INDEX('HS Codes'!$D$2:$K3685,MATCH($B1131,'HS Codes'!$A$2:$A3685,0),MATCH(K$1,'HS Codes'!$D$1:$K$1,0)),"")</f>
        <v>0</v>
      </c>
      <c r="L1131" s="8">
        <f>_xlfn.IFNA(INDEX('HS Codes'!$D$2:$K3685,MATCH($B1131,'HS Codes'!$A$2:$A3685,0),MATCH(L$1,'HS Codes'!$D$1:$K$1,0)),"")</f>
        <v>0</v>
      </c>
      <c r="M1131" s="8">
        <f>_xlfn.IFNA(INDEX('HS Codes'!$C$2:$C3685,MATCH($B1131,'HS Codes'!$A$2:$A3685,0)),"")</f>
        <v>0</v>
      </c>
      <c r="N1131" s="9"/>
      <c r="O1131" s="9"/>
      <c r="P1131" s="9"/>
      <c r="Q1131" s="9"/>
    </row>
    <row r="1132" spans="1:17" ht="15.75" customHeight="1">
      <c r="A1132" s="7" t="s">
        <v>1425</v>
      </c>
      <c r="B1132" s="7" t="s">
        <v>183</v>
      </c>
      <c r="C1132" s="7"/>
      <c r="D1132" s="7" t="s">
        <v>184</v>
      </c>
      <c r="E1132" s="7" t="s">
        <v>322</v>
      </c>
      <c r="F1132" s="8">
        <f>_xlfn.IFNA(INDEX('HS Codes'!$D$2:$K3686,MATCH($B1132,'HS Codes'!$A$2:$A3686,0),MATCH(F$1,'HS Codes'!$D$1:$K$1,0)),"")</f>
        <v>0</v>
      </c>
      <c r="G1132" s="8">
        <f>_xlfn.IFNA(INDEX('HS Codes'!$D$2:$K3686,MATCH($B1132,'HS Codes'!$A$2:$A3686,0),MATCH(G$1,'HS Codes'!$D$1:$K$1,0)),"")</f>
        <v>0</v>
      </c>
      <c r="H1132" s="8">
        <f>_xlfn.IFNA(INDEX('HS Codes'!$D$2:$K3686,MATCH($B1132,'HS Codes'!$A$2:$A3686,0),MATCH(H$1,'HS Codes'!$D$1:$K$1,0)),"")</f>
        <v>0</v>
      </c>
      <c r="I1132" s="8">
        <f>_xlfn.IFNA(INDEX('HS Codes'!$D$2:$K3686,MATCH($B1132,'HS Codes'!$A$2:$A3686,0),MATCH(I$1,'HS Codes'!$D$1:$K$1,0)),"")</f>
        <v>0</v>
      </c>
      <c r="J1132" s="8">
        <f>_xlfn.IFNA(INDEX('HS Codes'!$D$2:$K3686,MATCH($B1132,'HS Codes'!$A$2:$A3686,0),MATCH(J$1,'HS Codes'!$D$1:$K$1,0)),"")</f>
        <v>0</v>
      </c>
      <c r="K1132" s="8">
        <f>_xlfn.IFNA(INDEX('HS Codes'!$D$2:$K3686,MATCH($B1132,'HS Codes'!$A$2:$A3686,0),MATCH(K$1,'HS Codes'!$D$1:$K$1,0)),"")</f>
        <v>0</v>
      </c>
      <c r="L1132" s="8">
        <f>_xlfn.IFNA(INDEX('HS Codes'!$D$2:$K3686,MATCH($B1132,'HS Codes'!$A$2:$A3686,0),MATCH(L$1,'HS Codes'!$D$1:$K$1,0)),"")</f>
        <v>0</v>
      </c>
      <c r="M1132" s="8">
        <f>_xlfn.IFNA(INDEX('HS Codes'!$C$2:$C3686,MATCH($B1132,'HS Codes'!$A$2:$A3686,0)),"")</f>
        <v>0</v>
      </c>
      <c r="N1132" s="9"/>
      <c r="O1132" s="9"/>
      <c r="P1132" s="9"/>
      <c r="Q1132" s="9"/>
    </row>
    <row r="1133" spans="1:17" ht="15.75" customHeight="1">
      <c r="A1133" s="7" t="s">
        <v>1426</v>
      </c>
      <c r="B1133" s="7" t="s">
        <v>183</v>
      </c>
      <c r="C1133" s="7"/>
      <c r="D1133" s="7" t="s">
        <v>184</v>
      </c>
      <c r="E1133" s="7" t="s">
        <v>322</v>
      </c>
      <c r="F1133" s="8">
        <f>_xlfn.IFNA(INDEX('HS Codes'!$D$2:$K3687,MATCH($B1133,'HS Codes'!$A$2:$A3687,0),MATCH(F$1,'HS Codes'!$D$1:$K$1,0)),"")</f>
        <v>0</v>
      </c>
      <c r="G1133" s="8">
        <f>_xlfn.IFNA(INDEX('HS Codes'!$D$2:$K3687,MATCH($B1133,'HS Codes'!$A$2:$A3687,0),MATCH(G$1,'HS Codes'!$D$1:$K$1,0)),"")</f>
        <v>0</v>
      </c>
      <c r="H1133" s="8">
        <f>_xlfn.IFNA(INDEX('HS Codes'!$D$2:$K3687,MATCH($B1133,'HS Codes'!$A$2:$A3687,0),MATCH(H$1,'HS Codes'!$D$1:$K$1,0)),"")</f>
        <v>0</v>
      </c>
      <c r="I1133" s="8">
        <f>_xlfn.IFNA(INDEX('HS Codes'!$D$2:$K3687,MATCH($B1133,'HS Codes'!$A$2:$A3687,0),MATCH(I$1,'HS Codes'!$D$1:$K$1,0)),"")</f>
        <v>0</v>
      </c>
      <c r="J1133" s="8">
        <f>_xlfn.IFNA(INDEX('HS Codes'!$D$2:$K3687,MATCH($B1133,'HS Codes'!$A$2:$A3687,0),MATCH(J$1,'HS Codes'!$D$1:$K$1,0)),"")</f>
        <v>0</v>
      </c>
      <c r="K1133" s="8">
        <f>_xlfn.IFNA(INDEX('HS Codes'!$D$2:$K3687,MATCH($B1133,'HS Codes'!$A$2:$A3687,0),MATCH(K$1,'HS Codes'!$D$1:$K$1,0)),"")</f>
        <v>0</v>
      </c>
      <c r="L1133" s="8">
        <f>_xlfn.IFNA(INDEX('HS Codes'!$D$2:$K3687,MATCH($B1133,'HS Codes'!$A$2:$A3687,0),MATCH(L$1,'HS Codes'!$D$1:$K$1,0)),"")</f>
        <v>0</v>
      </c>
      <c r="M1133" s="8">
        <f>_xlfn.IFNA(INDEX('HS Codes'!$C$2:$C3687,MATCH($B1133,'HS Codes'!$A$2:$A3687,0)),"")</f>
        <v>0</v>
      </c>
      <c r="N1133" s="9"/>
      <c r="O1133" s="9"/>
      <c r="P1133" s="9"/>
      <c r="Q1133" s="9"/>
    </row>
    <row r="1134" spans="1:17" ht="15.75" customHeight="1">
      <c r="A1134" s="7" t="s">
        <v>1427</v>
      </c>
      <c r="B1134" s="7" t="s">
        <v>183</v>
      </c>
      <c r="C1134" s="7"/>
      <c r="D1134" s="7" t="s">
        <v>184</v>
      </c>
      <c r="E1134" s="7" t="s">
        <v>322</v>
      </c>
      <c r="F1134" s="8">
        <f>_xlfn.IFNA(INDEX('HS Codes'!$D$2:$K3688,MATCH($B1134,'HS Codes'!$A$2:$A3688,0),MATCH(F$1,'HS Codes'!$D$1:$K$1,0)),"")</f>
        <v>0</v>
      </c>
      <c r="G1134" s="8">
        <f>_xlfn.IFNA(INDEX('HS Codes'!$D$2:$K3688,MATCH($B1134,'HS Codes'!$A$2:$A3688,0),MATCH(G$1,'HS Codes'!$D$1:$K$1,0)),"")</f>
        <v>0</v>
      </c>
      <c r="H1134" s="8">
        <f>_xlfn.IFNA(INDEX('HS Codes'!$D$2:$K3688,MATCH($B1134,'HS Codes'!$A$2:$A3688,0),MATCH(H$1,'HS Codes'!$D$1:$K$1,0)),"")</f>
        <v>0</v>
      </c>
      <c r="I1134" s="8">
        <f>_xlfn.IFNA(INDEX('HS Codes'!$D$2:$K3688,MATCH($B1134,'HS Codes'!$A$2:$A3688,0),MATCH(I$1,'HS Codes'!$D$1:$K$1,0)),"")</f>
        <v>0</v>
      </c>
      <c r="J1134" s="8">
        <f>_xlfn.IFNA(INDEX('HS Codes'!$D$2:$K3688,MATCH($B1134,'HS Codes'!$A$2:$A3688,0),MATCH(J$1,'HS Codes'!$D$1:$K$1,0)),"")</f>
        <v>0</v>
      </c>
      <c r="K1134" s="8">
        <f>_xlfn.IFNA(INDEX('HS Codes'!$D$2:$K3688,MATCH($B1134,'HS Codes'!$A$2:$A3688,0),MATCH(K$1,'HS Codes'!$D$1:$K$1,0)),"")</f>
        <v>0</v>
      </c>
      <c r="L1134" s="8">
        <f>_xlfn.IFNA(INDEX('HS Codes'!$D$2:$K3688,MATCH($B1134,'HS Codes'!$A$2:$A3688,0),MATCH(L$1,'HS Codes'!$D$1:$K$1,0)),"")</f>
        <v>0</v>
      </c>
      <c r="M1134" s="8">
        <f>_xlfn.IFNA(INDEX('HS Codes'!$C$2:$C3688,MATCH($B1134,'HS Codes'!$A$2:$A3688,0)),"")</f>
        <v>0</v>
      </c>
      <c r="N1134" s="9"/>
      <c r="O1134" s="9"/>
      <c r="P1134" s="9"/>
      <c r="Q1134" s="9"/>
    </row>
    <row r="1135" spans="1:17" ht="15.75" customHeight="1">
      <c r="A1135" s="7" t="s">
        <v>1428</v>
      </c>
      <c r="B1135" s="7" t="s">
        <v>183</v>
      </c>
      <c r="C1135" s="7"/>
      <c r="D1135" s="7" t="s">
        <v>184</v>
      </c>
      <c r="E1135" s="7" t="s">
        <v>322</v>
      </c>
      <c r="F1135" s="8">
        <f>_xlfn.IFNA(INDEX('HS Codes'!$D$2:$K3689,MATCH($B1135,'HS Codes'!$A$2:$A3689,0),MATCH(F$1,'HS Codes'!$D$1:$K$1,0)),"")</f>
        <v>0</v>
      </c>
      <c r="G1135" s="8">
        <f>_xlfn.IFNA(INDEX('HS Codes'!$D$2:$K3689,MATCH($B1135,'HS Codes'!$A$2:$A3689,0),MATCH(G$1,'HS Codes'!$D$1:$K$1,0)),"")</f>
        <v>0</v>
      </c>
      <c r="H1135" s="8">
        <f>_xlfn.IFNA(INDEX('HS Codes'!$D$2:$K3689,MATCH($B1135,'HS Codes'!$A$2:$A3689,0),MATCH(H$1,'HS Codes'!$D$1:$K$1,0)),"")</f>
        <v>0</v>
      </c>
      <c r="I1135" s="8">
        <f>_xlfn.IFNA(INDEX('HS Codes'!$D$2:$K3689,MATCH($B1135,'HS Codes'!$A$2:$A3689,0),MATCH(I$1,'HS Codes'!$D$1:$K$1,0)),"")</f>
        <v>0</v>
      </c>
      <c r="J1135" s="8">
        <f>_xlfn.IFNA(INDEX('HS Codes'!$D$2:$K3689,MATCH($B1135,'HS Codes'!$A$2:$A3689,0),MATCH(J$1,'HS Codes'!$D$1:$K$1,0)),"")</f>
        <v>0</v>
      </c>
      <c r="K1135" s="8">
        <f>_xlfn.IFNA(INDEX('HS Codes'!$D$2:$K3689,MATCH($B1135,'HS Codes'!$A$2:$A3689,0),MATCH(K$1,'HS Codes'!$D$1:$K$1,0)),"")</f>
        <v>0</v>
      </c>
      <c r="L1135" s="8">
        <f>_xlfn.IFNA(INDEX('HS Codes'!$D$2:$K3689,MATCH($B1135,'HS Codes'!$A$2:$A3689,0),MATCH(L$1,'HS Codes'!$D$1:$K$1,0)),"")</f>
        <v>0</v>
      </c>
      <c r="M1135" s="8">
        <f>_xlfn.IFNA(INDEX('HS Codes'!$C$2:$C3689,MATCH($B1135,'HS Codes'!$A$2:$A3689,0)),"")</f>
        <v>0</v>
      </c>
      <c r="N1135" s="9"/>
      <c r="O1135" s="9"/>
      <c r="P1135" s="9"/>
      <c r="Q1135" s="9"/>
    </row>
    <row r="1136" spans="1:17" ht="15.75" customHeight="1">
      <c r="A1136" s="7" t="s">
        <v>1429</v>
      </c>
      <c r="B1136" s="7" t="s">
        <v>183</v>
      </c>
      <c r="C1136" s="7"/>
      <c r="D1136" s="7" t="s">
        <v>184</v>
      </c>
      <c r="E1136" s="7" t="s">
        <v>322</v>
      </c>
      <c r="F1136" s="8">
        <f>_xlfn.IFNA(INDEX('HS Codes'!$D$2:$K3690,MATCH($B1136,'HS Codes'!$A$2:$A3690,0),MATCH(F$1,'HS Codes'!$D$1:$K$1,0)),"")</f>
        <v>0</v>
      </c>
      <c r="G1136" s="8">
        <f>_xlfn.IFNA(INDEX('HS Codes'!$D$2:$K3690,MATCH($B1136,'HS Codes'!$A$2:$A3690,0),MATCH(G$1,'HS Codes'!$D$1:$K$1,0)),"")</f>
        <v>0</v>
      </c>
      <c r="H1136" s="8">
        <f>_xlfn.IFNA(INDEX('HS Codes'!$D$2:$K3690,MATCH($B1136,'HS Codes'!$A$2:$A3690,0),MATCH(H$1,'HS Codes'!$D$1:$K$1,0)),"")</f>
        <v>0</v>
      </c>
      <c r="I1136" s="8">
        <f>_xlfn.IFNA(INDEX('HS Codes'!$D$2:$K3690,MATCH($B1136,'HS Codes'!$A$2:$A3690,0),MATCH(I$1,'HS Codes'!$D$1:$K$1,0)),"")</f>
        <v>0</v>
      </c>
      <c r="J1136" s="8">
        <f>_xlfn.IFNA(INDEX('HS Codes'!$D$2:$K3690,MATCH($B1136,'HS Codes'!$A$2:$A3690,0),MATCH(J$1,'HS Codes'!$D$1:$K$1,0)),"")</f>
        <v>0</v>
      </c>
      <c r="K1136" s="8">
        <f>_xlfn.IFNA(INDEX('HS Codes'!$D$2:$K3690,MATCH($B1136,'HS Codes'!$A$2:$A3690,0),MATCH(K$1,'HS Codes'!$D$1:$K$1,0)),"")</f>
        <v>0</v>
      </c>
      <c r="L1136" s="8">
        <f>_xlfn.IFNA(INDEX('HS Codes'!$D$2:$K3690,MATCH($B1136,'HS Codes'!$A$2:$A3690,0),MATCH(L$1,'HS Codes'!$D$1:$K$1,0)),"")</f>
        <v>0</v>
      </c>
      <c r="M1136" s="8">
        <f>_xlfn.IFNA(INDEX('HS Codes'!$C$2:$C3690,MATCH($B1136,'HS Codes'!$A$2:$A3690,0)),"")</f>
        <v>0</v>
      </c>
      <c r="N1136" s="9"/>
      <c r="O1136" s="9"/>
      <c r="P1136" s="9"/>
      <c r="Q1136" s="9"/>
    </row>
    <row r="1137" spans="1:17" ht="15.75" customHeight="1">
      <c r="A1137" s="7" t="s">
        <v>1430</v>
      </c>
      <c r="B1137" s="7" t="s">
        <v>183</v>
      </c>
      <c r="C1137" s="7"/>
      <c r="D1137" s="7" t="s">
        <v>184</v>
      </c>
      <c r="E1137" s="7" t="s">
        <v>322</v>
      </c>
      <c r="F1137" s="8">
        <f>_xlfn.IFNA(INDEX('HS Codes'!$D$2:$K3691,MATCH($B1137,'HS Codes'!$A$2:$A3691,0),MATCH(F$1,'HS Codes'!$D$1:$K$1,0)),"")</f>
        <v>0</v>
      </c>
      <c r="G1137" s="8">
        <f>_xlfn.IFNA(INDEX('HS Codes'!$D$2:$K3691,MATCH($B1137,'HS Codes'!$A$2:$A3691,0),MATCH(G$1,'HS Codes'!$D$1:$K$1,0)),"")</f>
        <v>0</v>
      </c>
      <c r="H1137" s="8">
        <f>_xlfn.IFNA(INDEX('HS Codes'!$D$2:$K3691,MATCH($B1137,'HS Codes'!$A$2:$A3691,0),MATCH(H$1,'HS Codes'!$D$1:$K$1,0)),"")</f>
        <v>0</v>
      </c>
      <c r="I1137" s="8">
        <f>_xlfn.IFNA(INDEX('HS Codes'!$D$2:$K3691,MATCH($B1137,'HS Codes'!$A$2:$A3691,0),MATCH(I$1,'HS Codes'!$D$1:$K$1,0)),"")</f>
        <v>0</v>
      </c>
      <c r="J1137" s="8">
        <f>_xlfn.IFNA(INDEX('HS Codes'!$D$2:$K3691,MATCH($B1137,'HS Codes'!$A$2:$A3691,0),MATCH(J$1,'HS Codes'!$D$1:$K$1,0)),"")</f>
        <v>0</v>
      </c>
      <c r="K1137" s="8">
        <f>_xlfn.IFNA(INDEX('HS Codes'!$D$2:$K3691,MATCH($B1137,'HS Codes'!$A$2:$A3691,0),MATCH(K$1,'HS Codes'!$D$1:$K$1,0)),"")</f>
        <v>0</v>
      </c>
      <c r="L1137" s="8">
        <f>_xlfn.IFNA(INDEX('HS Codes'!$D$2:$K3691,MATCH($B1137,'HS Codes'!$A$2:$A3691,0),MATCH(L$1,'HS Codes'!$D$1:$K$1,0)),"")</f>
        <v>0</v>
      </c>
      <c r="M1137" s="8">
        <f>_xlfn.IFNA(INDEX('HS Codes'!$C$2:$C3691,MATCH($B1137,'HS Codes'!$A$2:$A3691,0)),"")</f>
        <v>0</v>
      </c>
      <c r="N1137" s="9"/>
      <c r="O1137" s="9"/>
      <c r="P1137" s="9"/>
      <c r="Q1137" s="9"/>
    </row>
    <row r="1138" spans="1:17" ht="15.75" customHeight="1">
      <c r="A1138" s="7" t="s">
        <v>1431</v>
      </c>
      <c r="B1138" s="7" t="s">
        <v>183</v>
      </c>
      <c r="C1138" s="7"/>
      <c r="D1138" s="7" t="s">
        <v>184</v>
      </c>
      <c r="E1138" s="7" t="s">
        <v>322</v>
      </c>
      <c r="F1138" s="8">
        <f>_xlfn.IFNA(INDEX('HS Codes'!$D$2:$K3692,MATCH($B1138,'HS Codes'!$A$2:$A3692,0),MATCH(F$1,'HS Codes'!$D$1:$K$1,0)),"")</f>
        <v>0</v>
      </c>
      <c r="G1138" s="8">
        <f>_xlfn.IFNA(INDEX('HS Codes'!$D$2:$K3692,MATCH($B1138,'HS Codes'!$A$2:$A3692,0),MATCH(G$1,'HS Codes'!$D$1:$K$1,0)),"")</f>
        <v>0</v>
      </c>
      <c r="H1138" s="8">
        <f>_xlfn.IFNA(INDEX('HS Codes'!$D$2:$K3692,MATCH($B1138,'HS Codes'!$A$2:$A3692,0),MATCH(H$1,'HS Codes'!$D$1:$K$1,0)),"")</f>
        <v>0</v>
      </c>
      <c r="I1138" s="8">
        <f>_xlfn.IFNA(INDEX('HS Codes'!$D$2:$K3692,MATCH($B1138,'HS Codes'!$A$2:$A3692,0),MATCH(I$1,'HS Codes'!$D$1:$K$1,0)),"")</f>
        <v>0</v>
      </c>
      <c r="J1138" s="8">
        <f>_xlfn.IFNA(INDEX('HS Codes'!$D$2:$K3692,MATCH($B1138,'HS Codes'!$A$2:$A3692,0),MATCH(J$1,'HS Codes'!$D$1:$K$1,0)),"")</f>
        <v>0</v>
      </c>
      <c r="K1138" s="8">
        <f>_xlfn.IFNA(INDEX('HS Codes'!$D$2:$K3692,MATCH($B1138,'HS Codes'!$A$2:$A3692,0),MATCH(K$1,'HS Codes'!$D$1:$K$1,0)),"")</f>
        <v>0</v>
      </c>
      <c r="L1138" s="8">
        <f>_xlfn.IFNA(INDEX('HS Codes'!$D$2:$K3692,MATCH($B1138,'HS Codes'!$A$2:$A3692,0),MATCH(L$1,'HS Codes'!$D$1:$K$1,0)),"")</f>
        <v>0</v>
      </c>
      <c r="M1138" s="8">
        <f>_xlfn.IFNA(INDEX('HS Codes'!$C$2:$C3692,MATCH($B1138,'HS Codes'!$A$2:$A3692,0)),"")</f>
        <v>0</v>
      </c>
      <c r="N1138" s="9"/>
      <c r="O1138" s="9"/>
      <c r="P1138" s="9"/>
      <c r="Q1138" s="9"/>
    </row>
    <row r="1139" spans="1:17" ht="15.75" customHeight="1">
      <c r="A1139" s="7" t="s">
        <v>1432</v>
      </c>
      <c r="B1139" s="7" t="s">
        <v>183</v>
      </c>
      <c r="C1139" s="7"/>
      <c r="D1139" s="7" t="s">
        <v>184</v>
      </c>
      <c r="E1139" s="7" t="s">
        <v>322</v>
      </c>
      <c r="F1139" s="8">
        <f>_xlfn.IFNA(INDEX('HS Codes'!$D$2:$K3693,MATCH($B1139,'HS Codes'!$A$2:$A3693,0),MATCH(F$1,'HS Codes'!$D$1:$K$1,0)),"")</f>
        <v>0</v>
      </c>
      <c r="G1139" s="8">
        <f>_xlfn.IFNA(INDEX('HS Codes'!$D$2:$K3693,MATCH($B1139,'HS Codes'!$A$2:$A3693,0),MATCH(G$1,'HS Codes'!$D$1:$K$1,0)),"")</f>
        <v>0</v>
      </c>
      <c r="H1139" s="8">
        <f>_xlfn.IFNA(INDEX('HS Codes'!$D$2:$K3693,MATCH($B1139,'HS Codes'!$A$2:$A3693,0),MATCH(H$1,'HS Codes'!$D$1:$K$1,0)),"")</f>
        <v>0</v>
      </c>
      <c r="I1139" s="8">
        <f>_xlfn.IFNA(INDEX('HS Codes'!$D$2:$K3693,MATCH($B1139,'HS Codes'!$A$2:$A3693,0),MATCH(I$1,'HS Codes'!$D$1:$K$1,0)),"")</f>
        <v>0</v>
      </c>
      <c r="J1139" s="8">
        <f>_xlfn.IFNA(INDEX('HS Codes'!$D$2:$K3693,MATCH($B1139,'HS Codes'!$A$2:$A3693,0),MATCH(J$1,'HS Codes'!$D$1:$K$1,0)),"")</f>
        <v>0</v>
      </c>
      <c r="K1139" s="8">
        <f>_xlfn.IFNA(INDEX('HS Codes'!$D$2:$K3693,MATCH($B1139,'HS Codes'!$A$2:$A3693,0),MATCH(K$1,'HS Codes'!$D$1:$K$1,0)),"")</f>
        <v>0</v>
      </c>
      <c r="L1139" s="8">
        <f>_xlfn.IFNA(INDEX('HS Codes'!$D$2:$K3693,MATCH($B1139,'HS Codes'!$A$2:$A3693,0),MATCH(L$1,'HS Codes'!$D$1:$K$1,0)),"")</f>
        <v>0</v>
      </c>
      <c r="M1139" s="8">
        <f>_xlfn.IFNA(INDEX('HS Codes'!$C$2:$C3693,MATCH($B1139,'HS Codes'!$A$2:$A3693,0)),"")</f>
        <v>0</v>
      </c>
      <c r="N1139" s="9"/>
      <c r="O1139" s="9"/>
      <c r="P1139" s="9"/>
      <c r="Q1139" s="9"/>
    </row>
    <row r="1140" spans="1:17" ht="15.75" customHeight="1">
      <c r="A1140" s="7" t="s">
        <v>1433</v>
      </c>
      <c r="B1140" s="7" t="s">
        <v>183</v>
      </c>
      <c r="C1140" s="7"/>
      <c r="D1140" s="7" t="s">
        <v>184</v>
      </c>
      <c r="E1140" s="7" t="s">
        <v>322</v>
      </c>
      <c r="F1140" s="8">
        <f>_xlfn.IFNA(INDEX('HS Codes'!$D$2:$K3694,MATCH($B1140,'HS Codes'!$A$2:$A3694,0),MATCH(F$1,'HS Codes'!$D$1:$K$1,0)),"")</f>
        <v>0</v>
      </c>
      <c r="G1140" s="8">
        <f>_xlfn.IFNA(INDEX('HS Codes'!$D$2:$K3694,MATCH($B1140,'HS Codes'!$A$2:$A3694,0),MATCH(G$1,'HS Codes'!$D$1:$K$1,0)),"")</f>
        <v>0</v>
      </c>
      <c r="H1140" s="8">
        <f>_xlfn.IFNA(INDEX('HS Codes'!$D$2:$K3694,MATCH($B1140,'HS Codes'!$A$2:$A3694,0),MATCH(H$1,'HS Codes'!$D$1:$K$1,0)),"")</f>
        <v>0</v>
      </c>
      <c r="I1140" s="8">
        <f>_xlfn.IFNA(INDEX('HS Codes'!$D$2:$K3694,MATCH($B1140,'HS Codes'!$A$2:$A3694,0),MATCH(I$1,'HS Codes'!$D$1:$K$1,0)),"")</f>
        <v>0</v>
      </c>
      <c r="J1140" s="8">
        <f>_xlfn.IFNA(INDEX('HS Codes'!$D$2:$K3694,MATCH($B1140,'HS Codes'!$A$2:$A3694,0),MATCH(J$1,'HS Codes'!$D$1:$K$1,0)),"")</f>
        <v>0</v>
      </c>
      <c r="K1140" s="8">
        <f>_xlfn.IFNA(INDEX('HS Codes'!$D$2:$K3694,MATCH($B1140,'HS Codes'!$A$2:$A3694,0),MATCH(K$1,'HS Codes'!$D$1:$K$1,0)),"")</f>
        <v>0</v>
      </c>
      <c r="L1140" s="8">
        <f>_xlfn.IFNA(INDEX('HS Codes'!$D$2:$K3694,MATCH($B1140,'HS Codes'!$A$2:$A3694,0),MATCH(L$1,'HS Codes'!$D$1:$K$1,0)),"")</f>
        <v>0</v>
      </c>
      <c r="M1140" s="8">
        <f>_xlfn.IFNA(INDEX('HS Codes'!$C$2:$C3694,MATCH($B1140,'HS Codes'!$A$2:$A3694,0)),"")</f>
        <v>0</v>
      </c>
      <c r="N1140" s="9"/>
      <c r="O1140" s="9"/>
      <c r="P1140" s="9"/>
      <c r="Q1140" s="9"/>
    </row>
    <row r="1141" spans="1:17" ht="15.75" customHeight="1">
      <c r="A1141" s="7" t="s">
        <v>1434</v>
      </c>
      <c r="B1141" s="7" t="s">
        <v>183</v>
      </c>
      <c r="C1141" s="7"/>
      <c r="D1141" s="7" t="s">
        <v>184</v>
      </c>
      <c r="E1141" s="7" t="s">
        <v>322</v>
      </c>
      <c r="F1141" s="8">
        <f>_xlfn.IFNA(INDEX('HS Codes'!$D$2:$K3695,MATCH($B1141,'HS Codes'!$A$2:$A3695,0),MATCH(F$1,'HS Codes'!$D$1:$K$1,0)),"")</f>
        <v>0</v>
      </c>
      <c r="G1141" s="8">
        <f>_xlfn.IFNA(INDEX('HS Codes'!$D$2:$K3695,MATCH($B1141,'HS Codes'!$A$2:$A3695,0),MATCH(G$1,'HS Codes'!$D$1:$K$1,0)),"")</f>
        <v>0</v>
      </c>
      <c r="H1141" s="8">
        <f>_xlfn.IFNA(INDEX('HS Codes'!$D$2:$K3695,MATCH($B1141,'HS Codes'!$A$2:$A3695,0),MATCH(H$1,'HS Codes'!$D$1:$K$1,0)),"")</f>
        <v>0</v>
      </c>
      <c r="I1141" s="8">
        <f>_xlfn.IFNA(INDEX('HS Codes'!$D$2:$K3695,MATCH($B1141,'HS Codes'!$A$2:$A3695,0),MATCH(I$1,'HS Codes'!$D$1:$K$1,0)),"")</f>
        <v>0</v>
      </c>
      <c r="J1141" s="8">
        <f>_xlfn.IFNA(INDEX('HS Codes'!$D$2:$K3695,MATCH($B1141,'HS Codes'!$A$2:$A3695,0),MATCH(J$1,'HS Codes'!$D$1:$K$1,0)),"")</f>
        <v>0</v>
      </c>
      <c r="K1141" s="8">
        <f>_xlfn.IFNA(INDEX('HS Codes'!$D$2:$K3695,MATCH($B1141,'HS Codes'!$A$2:$A3695,0),MATCH(K$1,'HS Codes'!$D$1:$K$1,0)),"")</f>
        <v>0</v>
      </c>
      <c r="L1141" s="8">
        <f>_xlfn.IFNA(INDEX('HS Codes'!$D$2:$K3695,MATCH($B1141,'HS Codes'!$A$2:$A3695,0),MATCH(L$1,'HS Codes'!$D$1:$K$1,0)),"")</f>
        <v>0</v>
      </c>
      <c r="M1141" s="8">
        <f>_xlfn.IFNA(INDEX('HS Codes'!$C$2:$C3695,MATCH($B1141,'HS Codes'!$A$2:$A3695,0)),"")</f>
        <v>0</v>
      </c>
      <c r="N1141" s="9"/>
      <c r="O1141" s="9"/>
      <c r="P1141" s="9"/>
      <c r="Q1141" s="9"/>
    </row>
    <row r="1142" spans="1:17" ht="15.75" customHeight="1">
      <c r="A1142" s="7" t="s">
        <v>1435</v>
      </c>
      <c r="B1142" s="7" t="s">
        <v>183</v>
      </c>
      <c r="C1142" s="7"/>
      <c r="D1142" s="7" t="s">
        <v>184</v>
      </c>
      <c r="E1142" s="7" t="s">
        <v>322</v>
      </c>
      <c r="F1142" s="8">
        <f>_xlfn.IFNA(INDEX('HS Codes'!$D$2:$K3696,MATCH($B1142,'HS Codes'!$A$2:$A3696,0),MATCH(F$1,'HS Codes'!$D$1:$K$1,0)),"")</f>
        <v>0</v>
      </c>
      <c r="G1142" s="8">
        <f>_xlfn.IFNA(INDEX('HS Codes'!$D$2:$K3696,MATCH($B1142,'HS Codes'!$A$2:$A3696,0),MATCH(G$1,'HS Codes'!$D$1:$K$1,0)),"")</f>
        <v>0</v>
      </c>
      <c r="H1142" s="8">
        <f>_xlfn.IFNA(INDEX('HS Codes'!$D$2:$K3696,MATCH($B1142,'HS Codes'!$A$2:$A3696,0),MATCH(H$1,'HS Codes'!$D$1:$K$1,0)),"")</f>
        <v>0</v>
      </c>
      <c r="I1142" s="8">
        <f>_xlfn.IFNA(INDEX('HS Codes'!$D$2:$K3696,MATCH($B1142,'HS Codes'!$A$2:$A3696,0),MATCH(I$1,'HS Codes'!$D$1:$K$1,0)),"")</f>
        <v>0</v>
      </c>
      <c r="J1142" s="8">
        <f>_xlfn.IFNA(INDEX('HS Codes'!$D$2:$K3696,MATCH($B1142,'HS Codes'!$A$2:$A3696,0),MATCH(J$1,'HS Codes'!$D$1:$K$1,0)),"")</f>
        <v>0</v>
      </c>
      <c r="K1142" s="8">
        <f>_xlfn.IFNA(INDEX('HS Codes'!$D$2:$K3696,MATCH($B1142,'HS Codes'!$A$2:$A3696,0),MATCH(K$1,'HS Codes'!$D$1:$K$1,0)),"")</f>
        <v>0</v>
      </c>
      <c r="L1142" s="8">
        <f>_xlfn.IFNA(INDEX('HS Codes'!$D$2:$K3696,MATCH($B1142,'HS Codes'!$A$2:$A3696,0),MATCH(L$1,'HS Codes'!$D$1:$K$1,0)),"")</f>
        <v>0</v>
      </c>
      <c r="M1142" s="8">
        <f>_xlfn.IFNA(INDEX('HS Codes'!$C$2:$C3696,MATCH($B1142,'HS Codes'!$A$2:$A3696,0)),"")</f>
        <v>0</v>
      </c>
      <c r="N1142" s="9"/>
      <c r="O1142" s="9"/>
      <c r="P1142" s="9"/>
      <c r="Q1142" s="9"/>
    </row>
    <row r="1143" spans="1:17" ht="15.75" customHeight="1">
      <c r="A1143" s="7" t="s">
        <v>1436</v>
      </c>
      <c r="B1143" s="7" t="s">
        <v>183</v>
      </c>
      <c r="C1143" s="7"/>
      <c r="D1143" s="7" t="s">
        <v>184</v>
      </c>
      <c r="E1143" s="7" t="s">
        <v>322</v>
      </c>
      <c r="F1143" s="8">
        <f>_xlfn.IFNA(INDEX('HS Codes'!$D$2:$K3697,MATCH($B1143,'HS Codes'!$A$2:$A3697,0),MATCH(F$1,'HS Codes'!$D$1:$K$1,0)),"")</f>
        <v>0</v>
      </c>
      <c r="G1143" s="8">
        <f>_xlfn.IFNA(INDEX('HS Codes'!$D$2:$K3697,MATCH($B1143,'HS Codes'!$A$2:$A3697,0),MATCH(G$1,'HS Codes'!$D$1:$K$1,0)),"")</f>
        <v>0</v>
      </c>
      <c r="H1143" s="8">
        <f>_xlfn.IFNA(INDEX('HS Codes'!$D$2:$K3697,MATCH($B1143,'HS Codes'!$A$2:$A3697,0),MATCH(H$1,'HS Codes'!$D$1:$K$1,0)),"")</f>
        <v>0</v>
      </c>
      <c r="I1143" s="8">
        <f>_xlfn.IFNA(INDEX('HS Codes'!$D$2:$K3697,MATCH($B1143,'HS Codes'!$A$2:$A3697,0),MATCH(I$1,'HS Codes'!$D$1:$K$1,0)),"")</f>
        <v>0</v>
      </c>
      <c r="J1143" s="8">
        <f>_xlfn.IFNA(INDEX('HS Codes'!$D$2:$K3697,MATCH($B1143,'HS Codes'!$A$2:$A3697,0),MATCH(J$1,'HS Codes'!$D$1:$K$1,0)),"")</f>
        <v>0</v>
      </c>
      <c r="K1143" s="8">
        <f>_xlfn.IFNA(INDEX('HS Codes'!$D$2:$K3697,MATCH($B1143,'HS Codes'!$A$2:$A3697,0),MATCH(K$1,'HS Codes'!$D$1:$K$1,0)),"")</f>
        <v>0</v>
      </c>
      <c r="L1143" s="8">
        <f>_xlfn.IFNA(INDEX('HS Codes'!$D$2:$K3697,MATCH($B1143,'HS Codes'!$A$2:$A3697,0),MATCH(L$1,'HS Codes'!$D$1:$K$1,0)),"")</f>
        <v>0</v>
      </c>
      <c r="M1143" s="8">
        <f>_xlfn.IFNA(INDEX('HS Codes'!$C$2:$C3697,MATCH($B1143,'HS Codes'!$A$2:$A3697,0)),"")</f>
        <v>0</v>
      </c>
      <c r="N1143" s="9"/>
      <c r="O1143" s="9"/>
      <c r="P1143" s="9"/>
      <c r="Q1143" s="9"/>
    </row>
    <row r="1144" spans="1:17" ht="15.75" customHeight="1">
      <c r="A1144" s="7" t="s">
        <v>1437</v>
      </c>
      <c r="B1144" s="7" t="s">
        <v>183</v>
      </c>
      <c r="C1144" s="7"/>
      <c r="D1144" s="7" t="s">
        <v>184</v>
      </c>
      <c r="E1144" s="7" t="s">
        <v>322</v>
      </c>
      <c r="F1144" s="8">
        <f>_xlfn.IFNA(INDEX('HS Codes'!$D$2:$K3698,MATCH($B1144,'HS Codes'!$A$2:$A3698,0),MATCH(F$1,'HS Codes'!$D$1:$K$1,0)),"")</f>
        <v>0</v>
      </c>
      <c r="G1144" s="8">
        <f>_xlfn.IFNA(INDEX('HS Codes'!$D$2:$K3698,MATCH($B1144,'HS Codes'!$A$2:$A3698,0),MATCH(G$1,'HS Codes'!$D$1:$K$1,0)),"")</f>
        <v>0</v>
      </c>
      <c r="H1144" s="8">
        <f>_xlfn.IFNA(INDEX('HS Codes'!$D$2:$K3698,MATCH($B1144,'HS Codes'!$A$2:$A3698,0),MATCH(H$1,'HS Codes'!$D$1:$K$1,0)),"")</f>
        <v>0</v>
      </c>
      <c r="I1144" s="8">
        <f>_xlfn.IFNA(INDEX('HS Codes'!$D$2:$K3698,MATCH($B1144,'HS Codes'!$A$2:$A3698,0),MATCH(I$1,'HS Codes'!$D$1:$K$1,0)),"")</f>
        <v>0</v>
      </c>
      <c r="J1144" s="8">
        <f>_xlfn.IFNA(INDEX('HS Codes'!$D$2:$K3698,MATCH($B1144,'HS Codes'!$A$2:$A3698,0),MATCH(J$1,'HS Codes'!$D$1:$K$1,0)),"")</f>
        <v>0</v>
      </c>
      <c r="K1144" s="8">
        <f>_xlfn.IFNA(INDEX('HS Codes'!$D$2:$K3698,MATCH($B1144,'HS Codes'!$A$2:$A3698,0),MATCH(K$1,'HS Codes'!$D$1:$K$1,0)),"")</f>
        <v>0</v>
      </c>
      <c r="L1144" s="8">
        <f>_xlfn.IFNA(INDEX('HS Codes'!$D$2:$K3698,MATCH($B1144,'HS Codes'!$A$2:$A3698,0),MATCH(L$1,'HS Codes'!$D$1:$K$1,0)),"")</f>
        <v>0</v>
      </c>
      <c r="M1144" s="8">
        <f>_xlfn.IFNA(INDEX('HS Codes'!$C$2:$C3698,MATCH($B1144,'HS Codes'!$A$2:$A3698,0)),"")</f>
        <v>0</v>
      </c>
      <c r="N1144" s="9"/>
      <c r="O1144" s="9"/>
      <c r="P1144" s="9"/>
      <c r="Q1144" s="9"/>
    </row>
    <row r="1145" spans="1:17" ht="15.75" customHeight="1">
      <c r="A1145" s="7" t="s">
        <v>1438</v>
      </c>
      <c r="B1145" s="7" t="s">
        <v>183</v>
      </c>
      <c r="C1145" s="7"/>
      <c r="D1145" s="7" t="s">
        <v>184</v>
      </c>
      <c r="E1145" s="7" t="s">
        <v>322</v>
      </c>
      <c r="F1145" s="8">
        <f>_xlfn.IFNA(INDEX('HS Codes'!$D$2:$K3699,MATCH($B1145,'HS Codes'!$A$2:$A3699,0),MATCH(F$1,'HS Codes'!$D$1:$K$1,0)),"")</f>
        <v>0</v>
      </c>
      <c r="G1145" s="8">
        <f>_xlfn.IFNA(INDEX('HS Codes'!$D$2:$K3699,MATCH($B1145,'HS Codes'!$A$2:$A3699,0),MATCH(G$1,'HS Codes'!$D$1:$K$1,0)),"")</f>
        <v>0</v>
      </c>
      <c r="H1145" s="8">
        <f>_xlfn.IFNA(INDEX('HS Codes'!$D$2:$K3699,MATCH($B1145,'HS Codes'!$A$2:$A3699,0),MATCH(H$1,'HS Codes'!$D$1:$K$1,0)),"")</f>
        <v>0</v>
      </c>
      <c r="I1145" s="8">
        <f>_xlfn.IFNA(INDEX('HS Codes'!$D$2:$K3699,MATCH($B1145,'HS Codes'!$A$2:$A3699,0),MATCH(I$1,'HS Codes'!$D$1:$K$1,0)),"")</f>
        <v>0</v>
      </c>
      <c r="J1145" s="8">
        <f>_xlfn.IFNA(INDEX('HS Codes'!$D$2:$K3699,MATCH($B1145,'HS Codes'!$A$2:$A3699,0),MATCH(J$1,'HS Codes'!$D$1:$K$1,0)),"")</f>
        <v>0</v>
      </c>
      <c r="K1145" s="8">
        <f>_xlfn.IFNA(INDEX('HS Codes'!$D$2:$K3699,MATCH($B1145,'HS Codes'!$A$2:$A3699,0),MATCH(K$1,'HS Codes'!$D$1:$K$1,0)),"")</f>
        <v>0</v>
      </c>
      <c r="L1145" s="8">
        <f>_xlfn.IFNA(INDEX('HS Codes'!$D$2:$K3699,MATCH($B1145,'HS Codes'!$A$2:$A3699,0),MATCH(L$1,'HS Codes'!$D$1:$K$1,0)),"")</f>
        <v>0</v>
      </c>
      <c r="M1145" s="8">
        <f>_xlfn.IFNA(INDEX('HS Codes'!$C$2:$C3699,MATCH($B1145,'HS Codes'!$A$2:$A3699,0)),"")</f>
        <v>0</v>
      </c>
      <c r="N1145" s="9"/>
      <c r="O1145" s="9"/>
      <c r="P1145" s="9"/>
      <c r="Q1145" s="9"/>
    </row>
    <row r="1146" spans="1:17" ht="15.75" customHeight="1">
      <c r="A1146" s="7" t="s">
        <v>1439</v>
      </c>
      <c r="B1146" s="7" t="s">
        <v>183</v>
      </c>
      <c r="C1146" s="7"/>
      <c r="D1146" s="7" t="s">
        <v>184</v>
      </c>
      <c r="E1146" s="7" t="s">
        <v>322</v>
      </c>
      <c r="F1146" s="8">
        <f>_xlfn.IFNA(INDEX('HS Codes'!$D$2:$K3700,MATCH($B1146,'HS Codes'!$A$2:$A3700,0),MATCH(F$1,'HS Codes'!$D$1:$K$1,0)),"")</f>
        <v>0</v>
      </c>
      <c r="G1146" s="8">
        <f>_xlfn.IFNA(INDEX('HS Codes'!$D$2:$K3700,MATCH($B1146,'HS Codes'!$A$2:$A3700,0),MATCH(G$1,'HS Codes'!$D$1:$K$1,0)),"")</f>
        <v>0</v>
      </c>
      <c r="H1146" s="8">
        <f>_xlfn.IFNA(INDEX('HS Codes'!$D$2:$K3700,MATCH($B1146,'HS Codes'!$A$2:$A3700,0),MATCH(H$1,'HS Codes'!$D$1:$K$1,0)),"")</f>
        <v>0</v>
      </c>
      <c r="I1146" s="8">
        <f>_xlfn.IFNA(INDEX('HS Codes'!$D$2:$K3700,MATCH($B1146,'HS Codes'!$A$2:$A3700,0),MATCH(I$1,'HS Codes'!$D$1:$K$1,0)),"")</f>
        <v>0</v>
      </c>
      <c r="J1146" s="8">
        <f>_xlfn.IFNA(INDEX('HS Codes'!$D$2:$K3700,MATCH($B1146,'HS Codes'!$A$2:$A3700,0),MATCH(J$1,'HS Codes'!$D$1:$K$1,0)),"")</f>
        <v>0</v>
      </c>
      <c r="K1146" s="8">
        <f>_xlfn.IFNA(INDEX('HS Codes'!$D$2:$K3700,MATCH($B1146,'HS Codes'!$A$2:$A3700,0),MATCH(K$1,'HS Codes'!$D$1:$K$1,0)),"")</f>
        <v>0</v>
      </c>
      <c r="L1146" s="8">
        <f>_xlfn.IFNA(INDEX('HS Codes'!$D$2:$K3700,MATCH($B1146,'HS Codes'!$A$2:$A3700,0),MATCH(L$1,'HS Codes'!$D$1:$K$1,0)),"")</f>
        <v>0</v>
      </c>
      <c r="M1146" s="8">
        <f>_xlfn.IFNA(INDEX('HS Codes'!$C$2:$C3700,MATCH($B1146,'HS Codes'!$A$2:$A3700,0)),"")</f>
        <v>0</v>
      </c>
      <c r="N1146" s="9"/>
      <c r="O1146" s="9"/>
      <c r="P1146" s="9"/>
      <c r="Q1146" s="9"/>
    </row>
    <row r="1147" spans="1:17" ht="15.75" customHeight="1">
      <c r="A1147" s="7" t="s">
        <v>1440</v>
      </c>
      <c r="B1147" s="7" t="s">
        <v>183</v>
      </c>
      <c r="C1147" s="7"/>
      <c r="D1147" s="7" t="s">
        <v>184</v>
      </c>
      <c r="E1147" s="7" t="s">
        <v>322</v>
      </c>
      <c r="F1147" s="8">
        <f>_xlfn.IFNA(INDEX('HS Codes'!$D$2:$K3701,MATCH($B1147,'HS Codes'!$A$2:$A3701,0),MATCH(F$1,'HS Codes'!$D$1:$K$1,0)),"")</f>
        <v>0</v>
      </c>
      <c r="G1147" s="8">
        <f>_xlfn.IFNA(INDEX('HS Codes'!$D$2:$K3701,MATCH($B1147,'HS Codes'!$A$2:$A3701,0),MATCH(G$1,'HS Codes'!$D$1:$K$1,0)),"")</f>
        <v>0</v>
      </c>
      <c r="H1147" s="8">
        <f>_xlfn.IFNA(INDEX('HS Codes'!$D$2:$K3701,MATCH($B1147,'HS Codes'!$A$2:$A3701,0),MATCH(H$1,'HS Codes'!$D$1:$K$1,0)),"")</f>
        <v>0</v>
      </c>
      <c r="I1147" s="8">
        <f>_xlfn.IFNA(INDEX('HS Codes'!$D$2:$K3701,MATCH($B1147,'HS Codes'!$A$2:$A3701,0),MATCH(I$1,'HS Codes'!$D$1:$K$1,0)),"")</f>
        <v>0</v>
      </c>
      <c r="J1147" s="8">
        <f>_xlfn.IFNA(INDEX('HS Codes'!$D$2:$K3701,MATCH($B1147,'HS Codes'!$A$2:$A3701,0),MATCH(J$1,'HS Codes'!$D$1:$K$1,0)),"")</f>
        <v>0</v>
      </c>
      <c r="K1147" s="8">
        <f>_xlfn.IFNA(INDEX('HS Codes'!$D$2:$K3701,MATCH($B1147,'HS Codes'!$A$2:$A3701,0),MATCH(K$1,'HS Codes'!$D$1:$K$1,0)),"")</f>
        <v>0</v>
      </c>
      <c r="L1147" s="8">
        <f>_xlfn.IFNA(INDEX('HS Codes'!$D$2:$K3701,MATCH($B1147,'HS Codes'!$A$2:$A3701,0),MATCH(L$1,'HS Codes'!$D$1:$K$1,0)),"")</f>
        <v>0</v>
      </c>
      <c r="M1147" s="8">
        <f>_xlfn.IFNA(INDEX('HS Codes'!$C$2:$C3701,MATCH($B1147,'HS Codes'!$A$2:$A3701,0)),"")</f>
        <v>0</v>
      </c>
      <c r="N1147" s="9"/>
      <c r="O1147" s="9"/>
      <c r="P1147" s="9"/>
      <c r="Q1147" s="9"/>
    </row>
    <row r="1148" spans="1:17" ht="15.75" customHeight="1">
      <c r="A1148" s="7" t="s">
        <v>1441</v>
      </c>
      <c r="B1148" s="7" t="s">
        <v>183</v>
      </c>
      <c r="C1148" s="7"/>
      <c r="D1148" s="7" t="s">
        <v>184</v>
      </c>
      <c r="E1148" s="7" t="s">
        <v>322</v>
      </c>
      <c r="F1148" s="8">
        <f>_xlfn.IFNA(INDEX('HS Codes'!$D$2:$K3702,MATCH($B1148,'HS Codes'!$A$2:$A3702,0),MATCH(F$1,'HS Codes'!$D$1:$K$1,0)),"")</f>
        <v>0</v>
      </c>
      <c r="G1148" s="8">
        <f>_xlfn.IFNA(INDEX('HS Codes'!$D$2:$K3702,MATCH($B1148,'HS Codes'!$A$2:$A3702,0),MATCH(G$1,'HS Codes'!$D$1:$K$1,0)),"")</f>
        <v>0</v>
      </c>
      <c r="H1148" s="8">
        <f>_xlfn.IFNA(INDEX('HS Codes'!$D$2:$K3702,MATCH($B1148,'HS Codes'!$A$2:$A3702,0),MATCH(H$1,'HS Codes'!$D$1:$K$1,0)),"")</f>
        <v>0</v>
      </c>
      <c r="I1148" s="8">
        <f>_xlfn.IFNA(INDEX('HS Codes'!$D$2:$K3702,MATCH($B1148,'HS Codes'!$A$2:$A3702,0),MATCH(I$1,'HS Codes'!$D$1:$K$1,0)),"")</f>
        <v>0</v>
      </c>
      <c r="J1148" s="8">
        <f>_xlfn.IFNA(INDEX('HS Codes'!$D$2:$K3702,MATCH($B1148,'HS Codes'!$A$2:$A3702,0),MATCH(J$1,'HS Codes'!$D$1:$K$1,0)),"")</f>
        <v>0</v>
      </c>
      <c r="K1148" s="8">
        <f>_xlfn.IFNA(INDEX('HS Codes'!$D$2:$K3702,MATCH($B1148,'HS Codes'!$A$2:$A3702,0),MATCH(K$1,'HS Codes'!$D$1:$K$1,0)),"")</f>
        <v>0</v>
      </c>
      <c r="L1148" s="8">
        <f>_xlfn.IFNA(INDEX('HS Codes'!$D$2:$K3702,MATCH($B1148,'HS Codes'!$A$2:$A3702,0),MATCH(L$1,'HS Codes'!$D$1:$K$1,0)),"")</f>
        <v>0</v>
      </c>
      <c r="M1148" s="8">
        <f>_xlfn.IFNA(INDEX('HS Codes'!$C$2:$C3702,MATCH($B1148,'HS Codes'!$A$2:$A3702,0)),"")</f>
        <v>0</v>
      </c>
      <c r="N1148" s="9"/>
      <c r="O1148" s="9"/>
      <c r="P1148" s="9"/>
      <c r="Q1148" s="9"/>
    </row>
    <row r="1149" spans="1:17" ht="15.75" customHeight="1">
      <c r="A1149" s="7" t="s">
        <v>1442</v>
      </c>
      <c r="B1149" s="7" t="s">
        <v>183</v>
      </c>
      <c r="C1149" s="7"/>
      <c r="D1149" s="7" t="s">
        <v>184</v>
      </c>
      <c r="E1149" s="7" t="s">
        <v>322</v>
      </c>
      <c r="F1149" s="8">
        <f>_xlfn.IFNA(INDEX('HS Codes'!$D$2:$K3703,MATCH($B1149,'HS Codes'!$A$2:$A3703,0),MATCH(F$1,'HS Codes'!$D$1:$K$1,0)),"")</f>
        <v>0</v>
      </c>
      <c r="G1149" s="8">
        <f>_xlfn.IFNA(INDEX('HS Codes'!$D$2:$K3703,MATCH($B1149,'HS Codes'!$A$2:$A3703,0),MATCH(G$1,'HS Codes'!$D$1:$K$1,0)),"")</f>
        <v>0</v>
      </c>
      <c r="H1149" s="8">
        <f>_xlfn.IFNA(INDEX('HS Codes'!$D$2:$K3703,MATCH($B1149,'HS Codes'!$A$2:$A3703,0),MATCH(H$1,'HS Codes'!$D$1:$K$1,0)),"")</f>
        <v>0</v>
      </c>
      <c r="I1149" s="8">
        <f>_xlfn.IFNA(INDEX('HS Codes'!$D$2:$K3703,MATCH($B1149,'HS Codes'!$A$2:$A3703,0),MATCH(I$1,'HS Codes'!$D$1:$K$1,0)),"")</f>
        <v>0</v>
      </c>
      <c r="J1149" s="8">
        <f>_xlfn.IFNA(INDEX('HS Codes'!$D$2:$K3703,MATCH($B1149,'HS Codes'!$A$2:$A3703,0),MATCH(J$1,'HS Codes'!$D$1:$K$1,0)),"")</f>
        <v>0</v>
      </c>
      <c r="K1149" s="8">
        <f>_xlfn.IFNA(INDEX('HS Codes'!$D$2:$K3703,MATCH($B1149,'HS Codes'!$A$2:$A3703,0),MATCH(K$1,'HS Codes'!$D$1:$K$1,0)),"")</f>
        <v>0</v>
      </c>
      <c r="L1149" s="8">
        <f>_xlfn.IFNA(INDEX('HS Codes'!$D$2:$K3703,MATCH($B1149,'HS Codes'!$A$2:$A3703,0),MATCH(L$1,'HS Codes'!$D$1:$K$1,0)),"")</f>
        <v>0</v>
      </c>
      <c r="M1149" s="8">
        <f>_xlfn.IFNA(INDEX('HS Codes'!$C$2:$C3703,MATCH($B1149,'HS Codes'!$A$2:$A3703,0)),"")</f>
        <v>0</v>
      </c>
      <c r="N1149" s="9"/>
      <c r="O1149" s="9"/>
      <c r="P1149" s="9"/>
      <c r="Q1149" s="9"/>
    </row>
    <row r="1150" spans="1:17" ht="15.75" customHeight="1">
      <c r="A1150" s="7" t="s">
        <v>1443</v>
      </c>
      <c r="B1150" s="7" t="s">
        <v>183</v>
      </c>
      <c r="C1150" s="7"/>
      <c r="D1150" s="7" t="s">
        <v>184</v>
      </c>
      <c r="E1150" s="7" t="s">
        <v>322</v>
      </c>
      <c r="F1150" s="8">
        <f>_xlfn.IFNA(INDEX('HS Codes'!$D$2:$K3704,MATCH($B1150,'HS Codes'!$A$2:$A3704,0),MATCH(F$1,'HS Codes'!$D$1:$K$1,0)),"")</f>
        <v>0</v>
      </c>
      <c r="G1150" s="8">
        <f>_xlfn.IFNA(INDEX('HS Codes'!$D$2:$K3704,MATCH($B1150,'HS Codes'!$A$2:$A3704,0),MATCH(G$1,'HS Codes'!$D$1:$K$1,0)),"")</f>
        <v>0</v>
      </c>
      <c r="H1150" s="8">
        <f>_xlfn.IFNA(INDEX('HS Codes'!$D$2:$K3704,MATCH($B1150,'HS Codes'!$A$2:$A3704,0),MATCH(H$1,'HS Codes'!$D$1:$K$1,0)),"")</f>
        <v>0</v>
      </c>
      <c r="I1150" s="8">
        <f>_xlfn.IFNA(INDEX('HS Codes'!$D$2:$K3704,MATCH($B1150,'HS Codes'!$A$2:$A3704,0),MATCH(I$1,'HS Codes'!$D$1:$K$1,0)),"")</f>
        <v>0</v>
      </c>
      <c r="J1150" s="8">
        <f>_xlfn.IFNA(INDEX('HS Codes'!$D$2:$K3704,MATCH($B1150,'HS Codes'!$A$2:$A3704,0),MATCH(J$1,'HS Codes'!$D$1:$K$1,0)),"")</f>
        <v>0</v>
      </c>
      <c r="K1150" s="8">
        <f>_xlfn.IFNA(INDEX('HS Codes'!$D$2:$K3704,MATCH($B1150,'HS Codes'!$A$2:$A3704,0),MATCH(K$1,'HS Codes'!$D$1:$K$1,0)),"")</f>
        <v>0</v>
      </c>
      <c r="L1150" s="8">
        <f>_xlfn.IFNA(INDEX('HS Codes'!$D$2:$K3704,MATCH($B1150,'HS Codes'!$A$2:$A3704,0),MATCH(L$1,'HS Codes'!$D$1:$K$1,0)),"")</f>
        <v>0</v>
      </c>
      <c r="M1150" s="8">
        <f>_xlfn.IFNA(INDEX('HS Codes'!$C$2:$C3704,MATCH($B1150,'HS Codes'!$A$2:$A3704,0)),"")</f>
        <v>0</v>
      </c>
      <c r="N1150" s="9"/>
      <c r="O1150" s="9"/>
      <c r="P1150" s="9"/>
      <c r="Q1150" s="9"/>
    </row>
    <row r="1151" spans="1:17" ht="15.75" customHeight="1">
      <c r="A1151" s="7" t="s">
        <v>1444</v>
      </c>
      <c r="B1151" s="7" t="s">
        <v>183</v>
      </c>
      <c r="C1151" s="7"/>
      <c r="D1151" s="7" t="s">
        <v>184</v>
      </c>
      <c r="E1151" s="7" t="s">
        <v>322</v>
      </c>
      <c r="F1151" s="8">
        <f>_xlfn.IFNA(INDEX('HS Codes'!$D$2:$K3705,MATCH($B1151,'HS Codes'!$A$2:$A3705,0),MATCH(F$1,'HS Codes'!$D$1:$K$1,0)),"")</f>
        <v>0</v>
      </c>
      <c r="G1151" s="8">
        <f>_xlfn.IFNA(INDEX('HS Codes'!$D$2:$K3705,MATCH($B1151,'HS Codes'!$A$2:$A3705,0),MATCH(G$1,'HS Codes'!$D$1:$K$1,0)),"")</f>
        <v>0</v>
      </c>
      <c r="H1151" s="8">
        <f>_xlfn.IFNA(INDEX('HS Codes'!$D$2:$K3705,MATCH($B1151,'HS Codes'!$A$2:$A3705,0),MATCH(H$1,'HS Codes'!$D$1:$K$1,0)),"")</f>
        <v>0</v>
      </c>
      <c r="I1151" s="8">
        <f>_xlfn.IFNA(INDEX('HS Codes'!$D$2:$K3705,MATCH($B1151,'HS Codes'!$A$2:$A3705,0),MATCH(I$1,'HS Codes'!$D$1:$K$1,0)),"")</f>
        <v>0</v>
      </c>
      <c r="J1151" s="8">
        <f>_xlfn.IFNA(INDEX('HS Codes'!$D$2:$K3705,MATCH($B1151,'HS Codes'!$A$2:$A3705,0),MATCH(J$1,'HS Codes'!$D$1:$K$1,0)),"")</f>
        <v>0</v>
      </c>
      <c r="K1151" s="8">
        <f>_xlfn.IFNA(INDEX('HS Codes'!$D$2:$K3705,MATCH($B1151,'HS Codes'!$A$2:$A3705,0),MATCH(K$1,'HS Codes'!$D$1:$K$1,0)),"")</f>
        <v>0</v>
      </c>
      <c r="L1151" s="8">
        <f>_xlfn.IFNA(INDEX('HS Codes'!$D$2:$K3705,MATCH($B1151,'HS Codes'!$A$2:$A3705,0),MATCH(L$1,'HS Codes'!$D$1:$K$1,0)),"")</f>
        <v>0</v>
      </c>
      <c r="M1151" s="8">
        <f>_xlfn.IFNA(INDEX('HS Codes'!$C$2:$C3705,MATCH($B1151,'HS Codes'!$A$2:$A3705,0)),"")</f>
        <v>0</v>
      </c>
      <c r="N1151" s="9"/>
      <c r="O1151" s="9"/>
      <c r="P1151" s="9"/>
      <c r="Q1151" s="9"/>
    </row>
    <row r="1152" spans="1:17" ht="15.75" customHeight="1">
      <c r="A1152" s="7" t="s">
        <v>1445</v>
      </c>
      <c r="B1152" s="7" t="s">
        <v>183</v>
      </c>
      <c r="C1152" s="7"/>
      <c r="D1152" s="7" t="s">
        <v>184</v>
      </c>
      <c r="E1152" s="7" t="s">
        <v>322</v>
      </c>
      <c r="F1152" s="8">
        <f>_xlfn.IFNA(INDEX('HS Codes'!$D$2:$K3706,MATCH($B1152,'HS Codes'!$A$2:$A3706,0),MATCH(F$1,'HS Codes'!$D$1:$K$1,0)),"")</f>
        <v>0</v>
      </c>
      <c r="G1152" s="8">
        <f>_xlfn.IFNA(INDEX('HS Codes'!$D$2:$K3706,MATCH($B1152,'HS Codes'!$A$2:$A3706,0),MATCH(G$1,'HS Codes'!$D$1:$K$1,0)),"")</f>
        <v>0</v>
      </c>
      <c r="H1152" s="8">
        <f>_xlfn.IFNA(INDEX('HS Codes'!$D$2:$K3706,MATCH($B1152,'HS Codes'!$A$2:$A3706,0),MATCH(H$1,'HS Codes'!$D$1:$K$1,0)),"")</f>
        <v>0</v>
      </c>
      <c r="I1152" s="8">
        <f>_xlfn.IFNA(INDEX('HS Codes'!$D$2:$K3706,MATCH($B1152,'HS Codes'!$A$2:$A3706,0),MATCH(I$1,'HS Codes'!$D$1:$K$1,0)),"")</f>
        <v>0</v>
      </c>
      <c r="J1152" s="8">
        <f>_xlfn.IFNA(INDEX('HS Codes'!$D$2:$K3706,MATCH($B1152,'HS Codes'!$A$2:$A3706,0),MATCH(J$1,'HS Codes'!$D$1:$K$1,0)),"")</f>
        <v>0</v>
      </c>
      <c r="K1152" s="8">
        <f>_xlfn.IFNA(INDEX('HS Codes'!$D$2:$K3706,MATCH($B1152,'HS Codes'!$A$2:$A3706,0),MATCH(K$1,'HS Codes'!$D$1:$K$1,0)),"")</f>
        <v>0</v>
      </c>
      <c r="L1152" s="8">
        <f>_xlfn.IFNA(INDEX('HS Codes'!$D$2:$K3706,MATCH($B1152,'HS Codes'!$A$2:$A3706,0),MATCH(L$1,'HS Codes'!$D$1:$K$1,0)),"")</f>
        <v>0</v>
      </c>
      <c r="M1152" s="8">
        <f>_xlfn.IFNA(INDEX('HS Codes'!$C$2:$C3706,MATCH($B1152,'HS Codes'!$A$2:$A3706,0)),"")</f>
        <v>0</v>
      </c>
      <c r="N1152" s="9"/>
      <c r="O1152" s="9"/>
      <c r="P1152" s="9"/>
      <c r="Q1152" s="9"/>
    </row>
    <row r="1153" spans="1:17" ht="15.75" customHeight="1">
      <c r="A1153" s="7" t="s">
        <v>1446</v>
      </c>
      <c r="B1153" s="7" t="s">
        <v>183</v>
      </c>
      <c r="C1153" s="7"/>
      <c r="D1153" s="7" t="s">
        <v>184</v>
      </c>
      <c r="E1153" s="7" t="s">
        <v>322</v>
      </c>
      <c r="F1153" s="8">
        <f>_xlfn.IFNA(INDEX('HS Codes'!$D$2:$K3707,MATCH($B1153,'HS Codes'!$A$2:$A3707,0),MATCH(F$1,'HS Codes'!$D$1:$K$1,0)),"")</f>
        <v>0</v>
      </c>
      <c r="G1153" s="8">
        <f>_xlfn.IFNA(INDEX('HS Codes'!$D$2:$K3707,MATCH($B1153,'HS Codes'!$A$2:$A3707,0),MATCH(G$1,'HS Codes'!$D$1:$K$1,0)),"")</f>
        <v>0</v>
      </c>
      <c r="H1153" s="8">
        <f>_xlfn.IFNA(INDEX('HS Codes'!$D$2:$K3707,MATCH($B1153,'HS Codes'!$A$2:$A3707,0),MATCH(H$1,'HS Codes'!$D$1:$K$1,0)),"")</f>
        <v>0</v>
      </c>
      <c r="I1153" s="8">
        <f>_xlfn.IFNA(INDEX('HS Codes'!$D$2:$K3707,MATCH($B1153,'HS Codes'!$A$2:$A3707,0),MATCH(I$1,'HS Codes'!$D$1:$K$1,0)),"")</f>
        <v>0</v>
      </c>
      <c r="J1153" s="8">
        <f>_xlfn.IFNA(INDEX('HS Codes'!$D$2:$K3707,MATCH($B1153,'HS Codes'!$A$2:$A3707,0),MATCH(J$1,'HS Codes'!$D$1:$K$1,0)),"")</f>
        <v>0</v>
      </c>
      <c r="K1153" s="8">
        <f>_xlfn.IFNA(INDEX('HS Codes'!$D$2:$K3707,MATCH($B1153,'HS Codes'!$A$2:$A3707,0),MATCH(K$1,'HS Codes'!$D$1:$K$1,0)),"")</f>
        <v>0</v>
      </c>
      <c r="L1153" s="8">
        <f>_xlfn.IFNA(INDEX('HS Codes'!$D$2:$K3707,MATCH($B1153,'HS Codes'!$A$2:$A3707,0),MATCH(L$1,'HS Codes'!$D$1:$K$1,0)),"")</f>
        <v>0</v>
      </c>
      <c r="M1153" s="8">
        <f>_xlfn.IFNA(INDEX('HS Codes'!$C$2:$C3707,MATCH($B1153,'HS Codes'!$A$2:$A3707,0)),"")</f>
        <v>0</v>
      </c>
      <c r="N1153" s="9"/>
      <c r="O1153" s="9"/>
      <c r="P1153" s="9"/>
      <c r="Q1153" s="9"/>
    </row>
    <row r="1154" spans="1:17" ht="15.75" customHeight="1">
      <c r="A1154" s="7" t="s">
        <v>1447</v>
      </c>
      <c r="B1154" s="7" t="s">
        <v>183</v>
      </c>
      <c r="C1154" s="7"/>
      <c r="D1154" s="7" t="s">
        <v>184</v>
      </c>
      <c r="E1154" s="7" t="s">
        <v>322</v>
      </c>
      <c r="F1154" s="8">
        <f>_xlfn.IFNA(INDEX('HS Codes'!$D$2:$K3708,MATCH($B1154,'HS Codes'!$A$2:$A3708,0),MATCH(F$1,'HS Codes'!$D$1:$K$1,0)),"")</f>
        <v>0</v>
      </c>
      <c r="G1154" s="8">
        <f>_xlfn.IFNA(INDEX('HS Codes'!$D$2:$K3708,MATCH($B1154,'HS Codes'!$A$2:$A3708,0),MATCH(G$1,'HS Codes'!$D$1:$K$1,0)),"")</f>
        <v>0</v>
      </c>
      <c r="H1154" s="8">
        <f>_xlfn.IFNA(INDEX('HS Codes'!$D$2:$K3708,MATCH($B1154,'HS Codes'!$A$2:$A3708,0),MATCH(H$1,'HS Codes'!$D$1:$K$1,0)),"")</f>
        <v>0</v>
      </c>
      <c r="I1154" s="8">
        <f>_xlfn.IFNA(INDEX('HS Codes'!$D$2:$K3708,MATCH($B1154,'HS Codes'!$A$2:$A3708,0),MATCH(I$1,'HS Codes'!$D$1:$K$1,0)),"")</f>
        <v>0</v>
      </c>
      <c r="J1154" s="8">
        <f>_xlfn.IFNA(INDEX('HS Codes'!$D$2:$K3708,MATCH($B1154,'HS Codes'!$A$2:$A3708,0),MATCH(J$1,'HS Codes'!$D$1:$K$1,0)),"")</f>
        <v>0</v>
      </c>
      <c r="K1154" s="8">
        <f>_xlfn.IFNA(INDEX('HS Codes'!$D$2:$K3708,MATCH($B1154,'HS Codes'!$A$2:$A3708,0),MATCH(K$1,'HS Codes'!$D$1:$K$1,0)),"")</f>
        <v>0</v>
      </c>
      <c r="L1154" s="8">
        <f>_xlfn.IFNA(INDEX('HS Codes'!$D$2:$K3708,MATCH($B1154,'HS Codes'!$A$2:$A3708,0),MATCH(L$1,'HS Codes'!$D$1:$K$1,0)),"")</f>
        <v>0</v>
      </c>
      <c r="M1154" s="8">
        <f>_xlfn.IFNA(INDEX('HS Codes'!$C$2:$C3708,MATCH($B1154,'HS Codes'!$A$2:$A3708,0)),"")</f>
        <v>0</v>
      </c>
      <c r="N1154" s="9"/>
      <c r="O1154" s="9"/>
      <c r="P1154" s="9"/>
      <c r="Q1154" s="9"/>
    </row>
    <row r="1155" spans="1:17" ht="15.75" customHeight="1">
      <c r="A1155" s="7" t="s">
        <v>1448</v>
      </c>
      <c r="B1155" s="7" t="s">
        <v>183</v>
      </c>
      <c r="C1155" s="7"/>
      <c r="D1155" s="7" t="s">
        <v>184</v>
      </c>
      <c r="E1155" s="7" t="s">
        <v>322</v>
      </c>
      <c r="F1155" s="8">
        <f>_xlfn.IFNA(INDEX('HS Codes'!$D$2:$K3709,MATCH($B1155,'HS Codes'!$A$2:$A3709,0),MATCH(F$1,'HS Codes'!$D$1:$K$1,0)),"")</f>
        <v>0</v>
      </c>
      <c r="G1155" s="8">
        <f>_xlfn.IFNA(INDEX('HS Codes'!$D$2:$K3709,MATCH($B1155,'HS Codes'!$A$2:$A3709,0),MATCH(G$1,'HS Codes'!$D$1:$K$1,0)),"")</f>
        <v>0</v>
      </c>
      <c r="H1155" s="8">
        <f>_xlfn.IFNA(INDEX('HS Codes'!$D$2:$K3709,MATCH($B1155,'HS Codes'!$A$2:$A3709,0),MATCH(H$1,'HS Codes'!$D$1:$K$1,0)),"")</f>
        <v>0</v>
      </c>
      <c r="I1155" s="8">
        <f>_xlfn.IFNA(INDEX('HS Codes'!$D$2:$K3709,MATCH($B1155,'HS Codes'!$A$2:$A3709,0),MATCH(I$1,'HS Codes'!$D$1:$K$1,0)),"")</f>
        <v>0</v>
      </c>
      <c r="J1155" s="8">
        <f>_xlfn.IFNA(INDEX('HS Codes'!$D$2:$K3709,MATCH($B1155,'HS Codes'!$A$2:$A3709,0),MATCH(J$1,'HS Codes'!$D$1:$K$1,0)),"")</f>
        <v>0</v>
      </c>
      <c r="K1155" s="8">
        <f>_xlfn.IFNA(INDEX('HS Codes'!$D$2:$K3709,MATCH($B1155,'HS Codes'!$A$2:$A3709,0),MATCH(K$1,'HS Codes'!$D$1:$K$1,0)),"")</f>
        <v>0</v>
      </c>
      <c r="L1155" s="8">
        <f>_xlfn.IFNA(INDEX('HS Codes'!$D$2:$K3709,MATCH($B1155,'HS Codes'!$A$2:$A3709,0),MATCH(L$1,'HS Codes'!$D$1:$K$1,0)),"")</f>
        <v>0</v>
      </c>
      <c r="M1155" s="8">
        <f>_xlfn.IFNA(INDEX('HS Codes'!$C$2:$C3709,MATCH($B1155,'HS Codes'!$A$2:$A3709,0)),"")</f>
        <v>0</v>
      </c>
      <c r="N1155" s="9"/>
      <c r="O1155" s="9"/>
      <c r="P1155" s="9"/>
      <c r="Q1155" s="9"/>
    </row>
    <row r="1156" spans="1:17" ht="15.75" customHeight="1">
      <c r="A1156" s="7" t="s">
        <v>1449</v>
      </c>
      <c r="B1156" s="7" t="s">
        <v>183</v>
      </c>
      <c r="C1156" s="7"/>
      <c r="D1156" s="7" t="s">
        <v>184</v>
      </c>
      <c r="E1156" s="7" t="s">
        <v>322</v>
      </c>
      <c r="F1156" s="8">
        <f>_xlfn.IFNA(INDEX('HS Codes'!$D$2:$K3710,MATCH($B1156,'HS Codes'!$A$2:$A3710,0),MATCH(F$1,'HS Codes'!$D$1:$K$1,0)),"")</f>
        <v>0</v>
      </c>
      <c r="G1156" s="8">
        <f>_xlfn.IFNA(INDEX('HS Codes'!$D$2:$K3710,MATCH($B1156,'HS Codes'!$A$2:$A3710,0),MATCH(G$1,'HS Codes'!$D$1:$K$1,0)),"")</f>
        <v>0</v>
      </c>
      <c r="H1156" s="8">
        <f>_xlfn.IFNA(INDEX('HS Codes'!$D$2:$K3710,MATCH($B1156,'HS Codes'!$A$2:$A3710,0),MATCH(H$1,'HS Codes'!$D$1:$K$1,0)),"")</f>
        <v>0</v>
      </c>
      <c r="I1156" s="8">
        <f>_xlfn.IFNA(INDEX('HS Codes'!$D$2:$K3710,MATCH($B1156,'HS Codes'!$A$2:$A3710,0),MATCH(I$1,'HS Codes'!$D$1:$K$1,0)),"")</f>
        <v>0</v>
      </c>
      <c r="J1156" s="8">
        <f>_xlfn.IFNA(INDEX('HS Codes'!$D$2:$K3710,MATCH($B1156,'HS Codes'!$A$2:$A3710,0),MATCH(J$1,'HS Codes'!$D$1:$K$1,0)),"")</f>
        <v>0</v>
      </c>
      <c r="K1156" s="8">
        <f>_xlfn.IFNA(INDEX('HS Codes'!$D$2:$K3710,MATCH($B1156,'HS Codes'!$A$2:$A3710,0),MATCH(K$1,'HS Codes'!$D$1:$K$1,0)),"")</f>
        <v>0</v>
      </c>
      <c r="L1156" s="8">
        <f>_xlfn.IFNA(INDEX('HS Codes'!$D$2:$K3710,MATCH($B1156,'HS Codes'!$A$2:$A3710,0),MATCH(L$1,'HS Codes'!$D$1:$K$1,0)),"")</f>
        <v>0</v>
      </c>
      <c r="M1156" s="8">
        <f>_xlfn.IFNA(INDEX('HS Codes'!$C$2:$C3710,MATCH($B1156,'HS Codes'!$A$2:$A3710,0)),"")</f>
        <v>0</v>
      </c>
      <c r="N1156" s="9"/>
      <c r="O1156" s="9"/>
      <c r="P1156" s="9"/>
      <c r="Q1156" s="9"/>
    </row>
    <row r="1157" spans="1:17" ht="15.75" customHeight="1">
      <c r="A1157" s="7" t="s">
        <v>1450</v>
      </c>
      <c r="B1157" s="7" t="s">
        <v>183</v>
      </c>
      <c r="C1157" s="7"/>
      <c r="D1157" s="7" t="s">
        <v>184</v>
      </c>
      <c r="E1157" s="7" t="s">
        <v>322</v>
      </c>
      <c r="F1157" s="8">
        <f>_xlfn.IFNA(INDEX('HS Codes'!$D$2:$K3711,MATCH($B1157,'HS Codes'!$A$2:$A3711,0),MATCH(F$1,'HS Codes'!$D$1:$K$1,0)),"")</f>
        <v>0</v>
      </c>
      <c r="G1157" s="8">
        <f>_xlfn.IFNA(INDEX('HS Codes'!$D$2:$K3711,MATCH($B1157,'HS Codes'!$A$2:$A3711,0),MATCH(G$1,'HS Codes'!$D$1:$K$1,0)),"")</f>
        <v>0</v>
      </c>
      <c r="H1157" s="8">
        <f>_xlfn.IFNA(INDEX('HS Codes'!$D$2:$K3711,MATCH($B1157,'HS Codes'!$A$2:$A3711,0),MATCH(H$1,'HS Codes'!$D$1:$K$1,0)),"")</f>
        <v>0</v>
      </c>
      <c r="I1157" s="8">
        <f>_xlfn.IFNA(INDEX('HS Codes'!$D$2:$K3711,MATCH($B1157,'HS Codes'!$A$2:$A3711,0),MATCH(I$1,'HS Codes'!$D$1:$K$1,0)),"")</f>
        <v>0</v>
      </c>
      <c r="J1157" s="8">
        <f>_xlfn.IFNA(INDEX('HS Codes'!$D$2:$K3711,MATCH($B1157,'HS Codes'!$A$2:$A3711,0),MATCH(J$1,'HS Codes'!$D$1:$K$1,0)),"")</f>
        <v>0</v>
      </c>
      <c r="K1157" s="8">
        <f>_xlfn.IFNA(INDEX('HS Codes'!$D$2:$K3711,MATCH($B1157,'HS Codes'!$A$2:$A3711,0),MATCH(K$1,'HS Codes'!$D$1:$K$1,0)),"")</f>
        <v>0</v>
      </c>
      <c r="L1157" s="8">
        <f>_xlfn.IFNA(INDEX('HS Codes'!$D$2:$K3711,MATCH($B1157,'HS Codes'!$A$2:$A3711,0),MATCH(L$1,'HS Codes'!$D$1:$K$1,0)),"")</f>
        <v>0</v>
      </c>
      <c r="M1157" s="8">
        <f>_xlfn.IFNA(INDEX('HS Codes'!$C$2:$C3711,MATCH($B1157,'HS Codes'!$A$2:$A3711,0)),"")</f>
        <v>0</v>
      </c>
      <c r="N1157" s="9"/>
      <c r="O1157" s="9"/>
      <c r="P1157" s="9"/>
      <c r="Q1157" s="9"/>
    </row>
    <row r="1158" spans="1:17" ht="15.75" customHeight="1">
      <c r="A1158" s="7" t="s">
        <v>1451</v>
      </c>
      <c r="B1158" s="7" t="s">
        <v>183</v>
      </c>
      <c r="C1158" s="7"/>
      <c r="D1158" s="7" t="s">
        <v>184</v>
      </c>
      <c r="E1158" s="7" t="s">
        <v>322</v>
      </c>
      <c r="F1158" s="8">
        <f>_xlfn.IFNA(INDEX('HS Codes'!$D$2:$K3712,MATCH($B1158,'HS Codes'!$A$2:$A3712,0),MATCH(F$1,'HS Codes'!$D$1:$K$1,0)),"")</f>
        <v>0</v>
      </c>
      <c r="G1158" s="8">
        <f>_xlfn.IFNA(INDEX('HS Codes'!$D$2:$K3712,MATCH($B1158,'HS Codes'!$A$2:$A3712,0),MATCH(G$1,'HS Codes'!$D$1:$K$1,0)),"")</f>
        <v>0</v>
      </c>
      <c r="H1158" s="8">
        <f>_xlfn.IFNA(INDEX('HS Codes'!$D$2:$K3712,MATCH($B1158,'HS Codes'!$A$2:$A3712,0),MATCH(H$1,'HS Codes'!$D$1:$K$1,0)),"")</f>
        <v>0</v>
      </c>
      <c r="I1158" s="8">
        <f>_xlfn.IFNA(INDEX('HS Codes'!$D$2:$K3712,MATCH($B1158,'HS Codes'!$A$2:$A3712,0),MATCH(I$1,'HS Codes'!$D$1:$K$1,0)),"")</f>
        <v>0</v>
      </c>
      <c r="J1158" s="8">
        <f>_xlfn.IFNA(INDEX('HS Codes'!$D$2:$K3712,MATCH($B1158,'HS Codes'!$A$2:$A3712,0),MATCH(J$1,'HS Codes'!$D$1:$K$1,0)),"")</f>
        <v>0</v>
      </c>
      <c r="K1158" s="8">
        <f>_xlfn.IFNA(INDEX('HS Codes'!$D$2:$K3712,MATCH($B1158,'HS Codes'!$A$2:$A3712,0),MATCH(K$1,'HS Codes'!$D$1:$K$1,0)),"")</f>
        <v>0</v>
      </c>
      <c r="L1158" s="8">
        <f>_xlfn.IFNA(INDEX('HS Codes'!$D$2:$K3712,MATCH($B1158,'HS Codes'!$A$2:$A3712,0),MATCH(L$1,'HS Codes'!$D$1:$K$1,0)),"")</f>
        <v>0</v>
      </c>
      <c r="M1158" s="8">
        <f>_xlfn.IFNA(INDEX('HS Codes'!$C$2:$C3712,MATCH($B1158,'HS Codes'!$A$2:$A3712,0)),"")</f>
        <v>0</v>
      </c>
      <c r="N1158" s="9"/>
      <c r="O1158" s="9"/>
      <c r="P1158" s="9"/>
      <c r="Q1158" s="9"/>
    </row>
    <row r="1159" spans="1:17" ht="15.75" customHeight="1">
      <c r="A1159" s="7" t="s">
        <v>1452</v>
      </c>
      <c r="B1159" s="7" t="s">
        <v>183</v>
      </c>
      <c r="C1159" s="7"/>
      <c r="D1159" s="7" t="s">
        <v>184</v>
      </c>
      <c r="E1159" s="7" t="s">
        <v>322</v>
      </c>
      <c r="F1159" s="8">
        <f>_xlfn.IFNA(INDEX('HS Codes'!$D$2:$K3713,MATCH($B1159,'HS Codes'!$A$2:$A3713,0),MATCH(F$1,'HS Codes'!$D$1:$K$1,0)),"")</f>
        <v>0</v>
      </c>
      <c r="G1159" s="8">
        <f>_xlfn.IFNA(INDEX('HS Codes'!$D$2:$K3713,MATCH($B1159,'HS Codes'!$A$2:$A3713,0),MATCH(G$1,'HS Codes'!$D$1:$K$1,0)),"")</f>
        <v>0</v>
      </c>
      <c r="H1159" s="8">
        <f>_xlfn.IFNA(INDEX('HS Codes'!$D$2:$K3713,MATCH($B1159,'HS Codes'!$A$2:$A3713,0),MATCH(H$1,'HS Codes'!$D$1:$K$1,0)),"")</f>
        <v>0</v>
      </c>
      <c r="I1159" s="8">
        <f>_xlfn.IFNA(INDEX('HS Codes'!$D$2:$K3713,MATCH($B1159,'HS Codes'!$A$2:$A3713,0),MATCH(I$1,'HS Codes'!$D$1:$K$1,0)),"")</f>
        <v>0</v>
      </c>
      <c r="J1159" s="8">
        <f>_xlfn.IFNA(INDEX('HS Codes'!$D$2:$K3713,MATCH($B1159,'HS Codes'!$A$2:$A3713,0),MATCH(J$1,'HS Codes'!$D$1:$K$1,0)),"")</f>
        <v>0</v>
      </c>
      <c r="K1159" s="8">
        <f>_xlfn.IFNA(INDEX('HS Codes'!$D$2:$K3713,MATCH($B1159,'HS Codes'!$A$2:$A3713,0),MATCH(K$1,'HS Codes'!$D$1:$K$1,0)),"")</f>
        <v>0</v>
      </c>
      <c r="L1159" s="8">
        <f>_xlfn.IFNA(INDEX('HS Codes'!$D$2:$K3713,MATCH($B1159,'HS Codes'!$A$2:$A3713,0),MATCH(L$1,'HS Codes'!$D$1:$K$1,0)),"")</f>
        <v>0</v>
      </c>
      <c r="M1159" s="8">
        <f>_xlfn.IFNA(INDEX('HS Codes'!$C$2:$C3713,MATCH($B1159,'HS Codes'!$A$2:$A3713,0)),"")</f>
        <v>0</v>
      </c>
      <c r="N1159" s="9"/>
      <c r="O1159" s="9"/>
      <c r="P1159" s="9"/>
      <c r="Q1159" s="9"/>
    </row>
    <row r="1160" spans="1:17" ht="15.75" customHeight="1">
      <c r="A1160" s="7" t="s">
        <v>1453</v>
      </c>
      <c r="B1160" s="7" t="s">
        <v>183</v>
      </c>
      <c r="C1160" s="7"/>
      <c r="D1160" s="7" t="s">
        <v>184</v>
      </c>
      <c r="E1160" s="7" t="s">
        <v>322</v>
      </c>
      <c r="F1160" s="8">
        <f>_xlfn.IFNA(INDEX('HS Codes'!$D$2:$K3714,MATCH($B1160,'HS Codes'!$A$2:$A3714,0),MATCH(F$1,'HS Codes'!$D$1:$K$1,0)),"")</f>
        <v>0</v>
      </c>
      <c r="G1160" s="8">
        <f>_xlfn.IFNA(INDEX('HS Codes'!$D$2:$K3714,MATCH($B1160,'HS Codes'!$A$2:$A3714,0),MATCH(G$1,'HS Codes'!$D$1:$K$1,0)),"")</f>
        <v>0</v>
      </c>
      <c r="H1160" s="8">
        <f>_xlfn.IFNA(INDEX('HS Codes'!$D$2:$K3714,MATCH($B1160,'HS Codes'!$A$2:$A3714,0),MATCH(H$1,'HS Codes'!$D$1:$K$1,0)),"")</f>
        <v>0</v>
      </c>
      <c r="I1160" s="8">
        <f>_xlfn.IFNA(INDEX('HS Codes'!$D$2:$K3714,MATCH($B1160,'HS Codes'!$A$2:$A3714,0),MATCH(I$1,'HS Codes'!$D$1:$K$1,0)),"")</f>
        <v>0</v>
      </c>
      <c r="J1160" s="8">
        <f>_xlfn.IFNA(INDEX('HS Codes'!$D$2:$K3714,MATCH($B1160,'HS Codes'!$A$2:$A3714,0),MATCH(J$1,'HS Codes'!$D$1:$K$1,0)),"")</f>
        <v>0</v>
      </c>
      <c r="K1160" s="8">
        <f>_xlfn.IFNA(INDEX('HS Codes'!$D$2:$K3714,MATCH($B1160,'HS Codes'!$A$2:$A3714,0),MATCH(K$1,'HS Codes'!$D$1:$K$1,0)),"")</f>
        <v>0</v>
      </c>
      <c r="L1160" s="8">
        <f>_xlfn.IFNA(INDEX('HS Codes'!$D$2:$K3714,MATCH($B1160,'HS Codes'!$A$2:$A3714,0),MATCH(L$1,'HS Codes'!$D$1:$K$1,0)),"")</f>
        <v>0</v>
      </c>
      <c r="M1160" s="8">
        <f>_xlfn.IFNA(INDEX('HS Codes'!$C$2:$C3714,MATCH($B1160,'HS Codes'!$A$2:$A3714,0)),"")</f>
        <v>0</v>
      </c>
      <c r="N1160" s="9"/>
      <c r="O1160" s="9"/>
      <c r="P1160" s="9"/>
      <c r="Q1160" s="9"/>
    </row>
    <row r="1161" spans="1:17" ht="15.75" customHeight="1">
      <c r="A1161" s="7" t="s">
        <v>1454</v>
      </c>
      <c r="B1161" s="7" t="s">
        <v>183</v>
      </c>
      <c r="C1161" s="7"/>
      <c r="D1161" s="7" t="s">
        <v>184</v>
      </c>
      <c r="E1161" s="7" t="s">
        <v>322</v>
      </c>
      <c r="F1161" s="8">
        <f>_xlfn.IFNA(INDEX('HS Codes'!$D$2:$K3715,MATCH($B1161,'HS Codes'!$A$2:$A3715,0),MATCH(F$1,'HS Codes'!$D$1:$K$1,0)),"")</f>
        <v>0</v>
      </c>
      <c r="G1161" s="8">
        <f>_xlfn.IFNA(INDEX('HS Codes'!$D$2:$K3715,MATCH($B1161,'HS Codes'!$A$2:$A3715,0),MATCH(G$1,'HS Codes'!$D$1:$K$1,0)),"")</f>
        <v>0</v>
      </c>
      <c r="H1161" s="8">
        <f>_xlfn.IFNA(INDEX('HS Codes'!$D$2:$K3715,MATCH($B1161,'HS Codes'!$A$2:$A3715,0),MATCH(H$1,'HS Codes'!$D$1:$K$1,0)),"")</f>
        <v>0</v>
      </c>
      <c r="I1161" s="8">
        <f>_xlfn.IFNA(INDEX('HS Codes'!$D$2:$K3715,MATCH($B1161,'HS Codes'!$A$2:$A3715,0),MATCH(I$1,'HS Codes'!$D$1:$K$1,0)),"")</f>
        <v>0</v>
      </c>
      <c r="J1161" s="8">
        <f>_xlfn.IFNA(INDEX('HS Codes'!$D$2:$K3715,MATCH($B1161,'HS Codes'!$A$2:$A3715,0),MATCH(J$1,'HS Codes'!$D$1:$K$1,0)),"")</f>
        <v>0</v>
      </c>
      <c r="K1161" s="8">
        <f>_xlfn.IFNA(INDEX('HS Codes'!$D$2:$K3715,MATCH($B1161,'HS Codes'!$A$2:$A3715,0),MATCH(K$1,'HS Codes'!$D$1:$K$1,0)),"")</f>
        <v>0</v>
      </c>
      <c r="L1161" s="8">
        <f>_xlfn.IFNA(INDEX('HS Codes'!$D$2:$K3715,MATCH($B1161,'HS Codes'!$A$2:$A3715,0),MATCH(L$1,'HS Codes'!$D$1:$K$1,0)),"")</f>
        <v>0</v>
      </c>
      <c r="M1161" s="8">
        <f>_xlfn.IFNA(INDEX('HS Codes'!$C$2:$C3715,MATCH($B1161,'HS Codes'!$A$2:$A3715,0)),"")</f>
        <v>0</v>
      </c>
      <c r="N1161" s="9"/>
      <c r="O1161" s="9"/>
      <c r="P1161" s="9"/>
      <c r="Q1161" s="9"/>
    </row>
    <row r="1162" spans="1:17" ht="15.75" customHeight="1">
      <c r="A1162" s="7" t="s">
        <v>1455</v>
      </c>
      <c r="B1162" s="7" t="s">
        <v>183</v>
      </c>
      <c r="C1162" s="7"/>
      <c r="D1162" s="7" t="s">
        <v>184</v>
      </c>
      <c r="E1162" s="7" t="s">
        <v>322</v>
      </c>
      <c r="F1162" s="8">
        <f>_xlfn.IFNA(INDEX('HS Codes'!$D$2:$K3716,MATCH($B1162,'HS Codes'!$A$2:$A3716,0),MATCH(F$1,'HS Codes'!$D$1:$K$1,0)),"")</f>
        <v>0</v>
      </c>
      <c r="G1162" s="8">
        <f>_xlfn.IFNA(INDEX('HS Codes'!$D$2:$K3716,MATCH($B1162,'HS Codes'!$A$2:$A3716,0),MATCH(G$1,'HS Codes'!$D$1:$K$1,0)),"")</f>
        <v>0</v>
      </c>
      <c r="H1162" s="8">
        <f>_xlfn.IFNA(INDEX('HS Codes'!$D$2:$K3716,MATCH($B1162,'HS Codes'!$A$2:$A3716,0),MATCH(H$1,'HS Codes'!$D$1:$K$1,0)),"")</f>
        <v>0</v>
      </c>
      <c r="I1162" s="8">
        <f>_xlfn.IFNA(INDEX('HS Codes'!$D$2:$K3716,MATCH($B1162,'HS Codes'!$A$2:$A3716,0),MATCH(I$1,'HS Codes'!$D$1:$K$1,0)),"")</f>
        <v>0</v>
      </c>
      <c r="J1162" s="8">
        <f>_xlfn.IFNA(INDEX('HS Codes'!$D$2:$K3716,MATCH($B1162,'HS Codes'!$A$2:$A3716,0),MATCH(J$1,'HS Codes'!$D$1:$K$1,0)),"")</f>
        <v>0</v>
      </c>
      <c r="K1162" s="8">
        <f>_xlfn.IFNA(INDEX('HS Codes'!$D$2:$K3716,MATCH($B1162,'HS Codes'!$A$2:$A3716,0),MATCH(K$1,'HS Codes'!$D$1:$K$1,0)),"")</f>
        <v>0</v>
      </c>
      <c r="L1162" s="8">
        <f>_xlfn.IFNA(INDEX('HS Codes'!$D$2:$K3716,MATCH($B1162,'HS Codes'!$A$2:$A3716,0),MATCH(L$1,'HS Codes'!$D$1:$K$1,0)),"")</f>
        <v>0</v>
      </c>
      <c r="M1162" s="8">
        <f>_xlfn.IFNA(INDEX('HS Codes'!$C$2:$C3716,MATCH($B1162,'HS Codes'!$A$2:$A3716,0)),"")</f>
        <v>0</v>
      </c>
      <c r="N1162" s="9"/>
      <c r="O1162" s="9"/>
      <c r="P1162" s="9"/>
      <c r="Q1162" s="9"/>
    </row>
    <row r="1163" spans="1:17" ht="15.75" customHeight="1">
      <c r="A1163" s="7" t="s">
        <v>1456</v>
      </c>
      <c r="B1163" s="7" t="s">
        <v>169</v>
      </c>
      <c r="C1163" s="7" t="s">
        <v>278</v>
      </c>
      <c r="D1163" s="7" t="s">
        <v>170</v>
      </c>
      <c r="E1163" s="7" t="s">
        <v>348</v>
      </c>
      <c r="F1163" s="8" t="str">
        <f>_xlfn.IFNA(INDEX('HS Codes'!$D$2:$K3717,MATCH($B1163,'HS Codes'!$A$2:$A3717,0),MATCH(F$1,'HS Codes'!$D$1:$K$1,0)),"")</f>
        <v>6302.93.2000</v>
      </c>
      <c r="G1163" s="8">
        <f>_xlfn.IFNA(INDEX('HS Codes'!$D$2:$K3717,MATCH($B1163,'HS Codes'!$A$2:$A3717,0),MATCH(G$1,'HS Codes'!$D$1:$K$1,0)),"")</f>
        <v>6302600090</v>
      </c>
      <c r="H1163" s="8" t="str">
        <f>_xlfn.IFNA(INDEX('HS Codes'!$D$2:$K3717,MATCH($B1163,'HS Codes'!$A$2:$A3717,0),MATCH(H$1,'HS Codes'!$D$1:$K$1,0)),"")</f>
        <v>6302.93.00.00</v>
      </c>
      <c r="I1163" s="8">
        <f>_xlfn.IFNA(INDEX('HS Codes'!$D$2:$K3717,MATCH($B1163,'HS Codes'!$A$2:$A3717,0),MATCH(I$1,'HS Codes'!$D$1:$K$1,0)),"")</f>
        <v>6302939000</v>
      </c>
      <c r="J1163" s="8">
        <f>_xlfn.IFNA(INDEX('HS Codes'!$D$2:$K3717,MATCH($B1163,'HS Codes'!$A$2:$A3717,0),MATCH(J$1,'HS Codes'!$D$1:$K$1,0)),"")</f>
        <v>0</v>
      </c>
      <c r="K1163" s="8" t="str">
        <f>_xlfn.IFNA(INDEX('HS Codes'!$D$2:$K3717,MATCH($B1163,'HS Codes'!$A$2:$A3717,0),MATCH(K$1,'HS Codes'!$D$1:$K$1,0)),"")</f>
        <v>6302.39.00</v>
      </c>
      <c r="L1163" s="8">
        <f>_xlfn.IFNA(INDEX('HS Codes'!$D$2:$K3717,MATCH($B1163,'HS Codes'!$A$2:$A3717,0),MATCH(L$1,'HS Codes'!$D$1:$K$1,0)),"")</f>
        <v>63029120</v>
      </c>
      <c r="M1163" s="8" t="str">
        <f>_xlfn.IFNA(INDEX('HS Codes'!$C$2:$C3717,MATCH($B1163,'HS Codes'!$A$2:$A3717,0)),"")</f>
        <v>Fitness Towels - Toilet Linen 100% recycled 220 GSM/83% polyester/17% polyamide (no cotton)</v>
      </c>
      <c r="N1163" s="9"/>
      <c r="O1163" s="9"/>
      <c r="P1163" s="9"/>
      <c r="Q1163" s="9"/>
    </row>
    <row r="1164" spans="1:17" ht="15.75" customHeight="1">
      <c r="A1164" s="7" t="s">
        <v>1457</v>
      </c>
      <c r="B1164" s="7" t="s">
        <v>169</v>
      </c>
      <c r="C1164" s="7" t="s">
        <v>278</v>
      </c>
      <c r="D1164" s="7" t="s">
        <v>170</v>
      </c>
      <c r="E1164" s="7" t="s">
        <v>348</v>
      </c>
      <c r="F1164" s="8" t="str">
        <f>_xlfn.IFNA(INDEX('HS Codes'!$D$2:$K3718,MATCH($B1164,'HS Codes'!$A$2:$A3718,0),MATCH(F$1,'HS Codes'!$D$1:$K$1,0)),"")</f>
        <v>6302.93.2000</v>
      </c>
      <c r="G1164" s="8">
        <f>_xlfn.IFNA(INDEX('HS Codes'!$D$2:$K3718,MATCH($B1164,'HS Codes'!$A$2:$A3718,0),MATCH(G$1,'HS Codes'!$D$1:$K$1,0)),"")</f>
        <v>6302600090</v>
      </c>
      <c r="H1164" s="8" t="str">
        <f>_xlfn.IFNA(INDEX('HS Codes'!$D$2:$K3718,MATCH($B1164,'HS Codes'!$A$2:$A3718,0),MATCH(H$1,'HS Codes'!$D$1:$K$1,0)),"")</f>
        <v>6302.93.00.00</v>
      </c>
      <c r="I1164" s="8">
        <f>_xlfn.IFNA(INDEX('HS Codes'!$D$2:$K3718,MATCH($B1164,'HS Codes'!$A$2:$A3718,0),MATCH(I$1,'HS Codes'!$D$1:$K$1,0)),"")</f>
        <v>6302939000</v>
      </c>
      <c r="J1164" s="8">
        <f>_xlfn.IFNA(INDEX('HS Codes'!$D$2:$K3718,MATCH($B1164,'HS Codes'!$A$2:$A3718,0),MATCH(J$1,'HS Codes'!$D$1:$K$1,0)),"")</f>
        <v>0</v>
      </c>
      <c r="K1164" s="8" t="str">
        <f>_xlfn.IFNA(INDEX('HS Codes'!$D$2:$K3718,MATCH($B1164,'HS Codes'!$A$2:$A3718,0),MATCH(K$1,'HS Codes'!$D$1:$K$1,0)),"")</f>
        <v>6302.39.00</v>
      </c>
      <c r="L1164" s="8">
        <f>_xlfn.IFNA(INDEX('HS Codes'!$D$2:$K3718,MATCH($B1164,'HS Codes'!$A$2:$A3718,0),MATCH(L$1,'HS Codes'!$D$1:$K$1,0)),"")</f>
        <v>63029120</v>
      </c>
      <c r="M1164" s="8" t="str">
        <f>_xlfn.IFNA(INDEX('HS Codes'!$C$2:$C3718,MATCH($B1164,'HS Codes'!$A$2:$A3718,0)),"")</f>
        <v>Fitness Towels - Toilet Linen 100% recycled 220 GSM/83% polyester/17% polyamide (no cotton)</v>
      </c>
      <c r="N1164" s="9"/>
      <c r="O1164" s="9"/>
      <c r="P1164" s="9"/>
      <c r="Q1164" s="9"/>
    </row>
    <row r="1165" spans="1:17" ht="15.75" customHeight="1">
      <c r="A1165" s="7" t="s">
        <v>1458</v>
      </c>
      <c r="B1165" s="7" t="s">
        <v>169</v>
      </c>
      <c r="C1165" s="7" t="s">
        <v>278</v>
      </c>
      <c r="D1165" s="7" t="s">
        <v>170</v>
      </c>
      <c r="E1165" s="7" t="s">
        <v>348</v>
      </c>
      <c r="F1165" s="8" t="str">
        <f>_xlfn.IFNA(INDEX('HS Codes'!$D$2:$K3719,MATCH($B1165,'HS Codes'!$A$2:$A3719,0),MATCH(F$1,'HS Codes'!$D$1:$K$1,0)),"")</f>
        <v>6302.93.2000</v>
      </c>
      <c r="G1165" s="8">
        <f>_xlfn.IFNA(INDEX('HS Codes'!$D$2:$K3719,MATCH($B1165,'HS Codes'!$A$2:$A3719,0),MATCH(G$1,'HS Codes'!$D$1:$K$1,0)),"")</f>
        <v>6302600090</v>
      </c>
      <c r="H1165" s="8" t="str">
        <f>_xlfn.IFNA(INDEX('HS Codes'!$D$2:$K3719,MATCH($B1165,'HS Codes'!$A$2:$A3719,0),MATCH(H$1,'HS Codes'!$D$1:$K$1,0)),"")</f>
        <v>6302.93.00.00</v>
      </c>
      <c r="I1165" s="8">
        <f>_xlfn.IFNA(INDEX('HS Codes'!$D$2:$K3719,MATCH($B1165,'HS Codes'!$A$2:$A3719,0),MATCH(I$1,'HS Codes'!$D$1:$K$1,0)),"")</f>
        <v>6302939000</v>
      </c>
      <c r="J1165" s="8">
        <f>_xlfn.IFNA(INDEX('HS Codes'!$D$2:$K3719,MATCH($B1165,'HS Codes'!$A$2:$A3719,0),MATCH(J$1,'HS Codes'!$D$1:$K$1,0)),"")</f>
        <v>0</v>
      </c>
      <c r="K1165" s="8" t="str">
        <f>_xlfn.IFNA(INDEX('HS Codes'!$D$2:$K3719,MATCH($B1165,'HS Codes'!$A$2:$A3719,0),MATCH(K$1,'HS Codes'!$D$1:$K$1,0)),"")</f>
        <v>6302.39.00</v>
      </c>
      <c r="L1165" s="8">
        <f>_xlfn.IFNA(INDEX('HS Codes'!$D$2:$K3719,MATCH($B1165,'HS Codes'!$A$2:$A3719,0),MATCH(L$1,'HS Codes'!$D$1:$K$1,0)),"")</f>
        <v>63029120</v>
      </c>
      <c r="M1165" s="8" t="str">
        <f>_xlfn.IFNA(INDEX('HS Codes'!$C$2:$C3719,MATCH($B1165,'HS Codes'!$A$2:$A3719,0)),"")</f>
        <v>Fitness Towels - Toilet Linen 100% recycled 220 GSM/83% polyester/17% polyamide (no cotton)</v>
      </c>
      <c r="N1165" s="9"/>
      <c r="O1165" s="9"/>
      <c r="P1165" s="9"/>
      <c r="Q1165" s="9"/>
    </row>
    <row r="1166" spans="1:17" ht="15.75" customHeight="1">
      <c r="A1166" s="7" t="s">
        <v>1459</v>
      </c>
      <c r="B1166" s="7" t="s">
        <v>199</v>
      </c>
      <c r="C1166" s="7"/>
      <c r="D1166" s="7" t="s">
        <v>200</v>
      </c>
      <c r="E1166" s="7" t="s">
        <v>322</v>
      </c>
      <c r="F1166" s="8" t="str">
        <f>_xlfn.IFNA(INDEX('HS Codes'!$D$2:$K3720,MATCH($B1166,'HS Codes'!$A$2:$A3720,0),MATCH(F$1,'HS Codes'!$D$1:$K$1,0)),"")</f>
        <v>6504.00.90.15</v>
      </c>
      <c r="G1166" s="8">
        <f>_xlfn.IFNA(INDEX('HS Codes'!$D$2:$K3720,MATCH($B1166,'HS Codes'!$A$2:$A3720,0),MATCH(G$1,'HS Codes'!$D$1:$K$1,0)),"")</f>
        <v>6505009090</v>
      </c>
      <c r="H1166" s="8" t="str">
        <f>_xlfn.IFNA(INDEX('HS Codes'!$D$2:$K3720,MATCH($B1166,'HS Codes'!$A$2:$A3720,0),MATCH(H$1,'HS Codes'!$D$1:$K$1,0)),"")</f>
        <v>6505.00.40.00</v>
      </c>
      <c r="I1166" s="8" t="str">
        <f>_xlfn.IFNA(INDEX('HS Codes'!$D$2:$K3720,MATCH($B1166,'HS Codes'!$A$2:$A3720,0),MATCH(I$1,'HS Codes'!$D$1:$K$1,0)),"")</f>
        <v>6505.00.90.90</v>
      </c>
      <c r="J1166" s="8">
        <f>_xlfn.IFNA(INDEX('HS Codes'!$D$2:$K3720,MATCH($B1166,'HS Codes'!$A$2:$A3720,0),MATCH(J$1,'HS Codes'!$D$1:$K$1,0)),"")</f>
        <v>0</v>
      </c>
      <c r="K1166" s="8" t="str">
        <f>_xlfn.IFNA(INDEX('HS Codes'!$D$2:$K3720,MATCH($B1166,'HS Codes'!$A$2:$A3720,0),MATCH(K$1,'HS Codes'!$D$1:$K$1,0)),"")</f>
        <v>6505.00.90</v>
      </c>
      <c r="L1166" s="8">
        <f>_xlfn.IFNA(INDEX('HS Codes'!$D$2:$K3720,MATCH($B1166,'HS Codes'!$A$2:$A3720,0),MATCH(L$1,'HS Codes'!$D$1:$K$1,0)),"")</f>
        <v>0</v>
      </c>
      <c r="M1166" s="8">
        <f>_xlfn.IFNA(INDEX('HS Codes'!$C$2:$C3720,MATCH($B1166,'HS Codes'!$A$2:$A3720,0)),"")</f>
        <v>0</v>
      </c>
      <c r="N1166" s="9"/>
      <c r="O1166" s="9"/>
      <c r="P1166" s="9"/>
      <c r="Q1166" s="9"/>
    </row>
    <row r="1167" spans="1:17" ht="15.75" customHeight="1">
      <c r="A1167" s="7" t="s">
        <v>1460</v>
      </c>
      <c r="B1167" s="7" t="s">
        <v>199</v>
      </c>
      <c r="C1167" s="7"/>
      <c r="D1167" s="7" t="s">
        <v>200</v>
      </c>
      <c r="E1167" s="7" t="s">
        <v>322</v>
      </c>
      <c r="F1167" s="8" t="str">
        <f>_xlfn.IFNA(INDEX('HS Codes'!$D$2:$K3721,MATCH($B1167,'HS Codes'!$A$2:$A3721,0),MATCH(F$1,'HS Codes'!$D$1:$K$1,0)),"")</f>
        <v>6504.00.90.15</v>
      </c>
      <c r="G1167" s="8">
        <f>_xlfn.IFNA(INDEX('HS Codes'!$D$2:$K3721,MATCH($B1167,'HS Codes'!$A$2:$A3721,0),MATCH(G$1,'HS Codes'!$D$1:$K$1,0)),"")</f>
        <v>6505009090</v>
      </c>
      <c r="H1167" s="8" t="str">
        <f>_xlfn.IFNA(INDEX('HS Codes'!$D$2:$K3721,MATCH($B1167,'HS Codes'!$A$2:$A3721,0),MATCH(H$1,'HS Codes'!$D$1:$K$1,0)),"")</f>
        <v>6505.00.40.00</v>
      </c>
      <c r="I1167" s="8" t="str">
        <f>_xlfn.IFNA(INDEX('HS Codes'!$D$2:$K3721,MATCH($B1167,'HS Codes'!$A$2:$A3721,0),MATCH(I$1,'HS Codes'!$D$1:$K$1,0)),"")</f>
        <v>6505.00.90.90</v>
      </c>
      <c r="J1167" s="8">
        <f>_xlfn.IFNA(INDEX('HS Codes'!$D$2:$K3721,MATCH($B1167,'HS Codes'!$A$2:$A3721,0),MATCH(J$1,'HS Codes'!$D$1:$K$1,0)),"")</f>
        <v>0</v>
      </c>
      <c r="K1167" s="8" t="str">
        <f>_xlfn.IFNA(INDEX('HS Codes'!$D$2:$K3721,MATCH($B1167,'HS Codes'!$A$2:$A3721,0),MATCH(K$1,'HS Codes'!$D$1:$K$1,0)),"")</f>
        <v>6505.00.90</v>
      </c>
      <c r="L1167" s="8">
        <f>_xlfn.IFNA(INDEX('HS Codes'!$D$2:$K3721,MATCH($B1167,'HS Codes'!$A$2:$A3721,0),MATCH(L$1,'HS Codes'!$D$1:$K$1,0)),"")</f>
        <v>0</v>
      </c>
      <c r="M1167" s="8">
        <f>_xlfn.IFNA(INDEX('HS Codes'!$C$2:$C3721,MATCH($B1167,'HS Codes'!$A$2:$A3721,0)),"")</f>
        <v>0</v>
      </c>
      <c r="N1167" s="9"/>
      <c r="O1167" s="9"/>
      <c r="P1167" s="9"/>
      <c r="Q1167" s="9"/>
    </row>
    <row r="1168" spans="1:17" ht="15.75" customHeight="1">
      <c r="A1168" s="7" t="s">
        <v>1461</v>
      </c>
      <c r="B1168" s="7" t="s">
        <v>199</v>
      </c>
      <c r="C1168" s="7"/>
      <c r="D1168" s="7" t="s">
        <v>200</v>
      </c>
      <c r="E1168" s="7" t="s">
        <v>322</v>
      </c>
      <c r="F1168" s="8" t="str">
        <f>_xlfn.IFNA(INDEX('HS Codes'!$D$2:$K3722,MATCH($B1168,'HS Codes'!$A$2:$A3722,0),MATCH(F$1,'HS Codes'!$D$1:$K$1,0)),"")</f>
        <v>6504.00.90.15</v>
      </c>
      <c r="G1168" s="8">
        <f>_xlfn.IFNA(INDEX('HS Codes'!$D$2:$K3722,MATCH($B1168,'HS Codes'!$A$2:$A3722,0),MATCH(G$1,'HS Codes'!$D$1:$K$1,0)),"")</f>
        <v>6505009090</v>
      </c>
      <c r="H1168" s="8" t="str">
        <f>_xlfn.IFNA(INDEX('HS Codes'!$D$2:$K3722,MATCH($B1168,'HS Codes'!$A$2:$A3722,0),MATCH(H$1,'HS Codes'!$D$1:$K$1,0)),"")</f>
        <v>6505.00.40.00</v>
      </c>
      <c r="I1168" s="8" t="str">
        <f>_xlfn.IFNA(INDEX('HS Codes'!$D$2:$K3722,MATCH($B1168,'HS Codes'!$A$2:$A3722,0),MATCH(I$1,'HS Codes'!$D$1:$K$1,0)),"")</f>
        <v>6505.00.90.90</v>
      </c>
      <c r="J1168" s="8">
        <f>_xlfn.IFNA(INDEX('HS Codes'!$D$2:$K3722,MATCH($B1168,'HS Codes'!$A$2:$A3722,0),MATCH(J$1,'HS Codes'!$D$1:$K$1,0)),"")</f>
        <v>0</v>
      </c>
      <c r="K1168" s="8" t="str">
        <f>_xlfn.IFNA(INDEX('HS Codes'!$D$2:$K3722,MATCH($B1168,'HS Codes'!$A$2:$A3722,0),MATCH(K$1,'HS Codes'!$D$1:$K$1,0)),"")</f>
        <v>6505.00.90</v>
      </c>
      <c r="L1168" s="8">
        <f>_xlfn.IFNA(INDEX('HS Codes'!$D$2:$K3722,MATCH($B1168,'HS Codes'!$A$2:$A3722,0),MATCH(L$1,'HS Codes'!$D$1:$K$1,0)),"")</f>
        <v>0</v>
      </c>
      <c r="M1168" s="8">
        <f>_xlfn.IFNA(INDEX('HS Codes'!$C$2:$C3722,MATCH($B1168,'HS Codes'!$A$2:$A3722,0)),"")</f>
        <v>0</v>
      </c>
      <c r="N1168" s="9"/>
      <c r="O1168" s="9"/>
      <c r="P1168" s="9"/>
      <c r="Q1168" s="9"/>
    </row>
    <row r="1169" spans="1:17" ht="15.75" customHeight="1">
      <c r="A1169" s="7" t="s">
        <v>1462</v>
      </c>
      <c r="B1169" s="7" t="s">
        <v>169</v>
      </c>
      <c r="C1169" s="7" t="s">
        <v>278</v>
      </c>
      <c r="D1169" s="7" t="s">
        <v>170</v>
      </c>
      <c r="E1169" s="7" t="s">
        <v>348</v>
      </c>
      <c r="F1169" s="8" t="str">
        <f>_xlfn.IFNA(INDEX('HS Codes'!$D$2:$K3723,MATCH($B1169,'HS Codes'!$A$2:$A3723,0),MATCH(F$1,'HS Codes'!$D$1:$K$1,0)),"")</f>
        <v>6302.93.2000</v>
      </c>
      <c r="G1169" s="8">
        <f>_xlfn.IFNA(INDEX('HS Codes'!$D$2:$K3723,MATCH($B1169,'HS Codes'!$A$2:$A3723,0),MATCH(G$1,'HS Codes'!$D$1:$K$1,0)),"")</f>
        <v>6302600090</v>
      </c>
      <c r="H1169" s="8" t="str">
        <f>_xlfn.IFNA(INDEX('HS Codes'!$D$2:$K3723,MATCH($B1169,'HS Codes'!$A$2:$A3723,0),MATCH(H$1,'HS Codes'!$D$1:$K$1,0)),"")</f>
        <v>6302.93.00.00</v>
      </c>
      <c r="I1169" s="8">
        <f>_xlfn.IFNA(INDEX('HS Codes'!$D$2:$K3723,MATCH($B1169,'HS Codes'!$A$2:$A3723,0),MATCH(I$1,'HS Codes'!$D$1:$K$1,0)),"")</f>
        <v>6302939000</v>
      </c>
      <c r="J1169" s="8">
        <f>_xlfn.IFNA(INDEX('HS Codes'!$D$2:$K3723,MATCH($B1169,'HS Codes'!$A$2:$A3723,0),MATCH(J$1,'HS Codes'!$D$1:$K$1,0)),"")</f>
        <v>0</v>
      </c>
      <c r="K1169" s="8" t="str">
        <f>_xlfn.IFNA(INDEX('HS Codes'!$D$2:$K3723,MATCH($B1169,'HS Codes'!$A$2:$A3723,0),MATCH(K$1,'HS Codes'!$D$1:$K$1,0)),"")</f>
        <v>6302.39.00</v>
      </c>
      <c r="L1169" s="8">
        <f>_xlfn.IFNA(INDEX('HS Codes'!$D$2:$K3723,MATCH($B1169,'HS Codes'!$A$2:$A3723,0),MATCH(L$1,'HS Codes'!$D$1:$K$1,0)),"")</f>
        <v>63029120</v>
      </c>
      <c r="M1169" s="8" t="str">
        <f>_xlfn.IFNA(INDEX('HS Codes'!$C$2:$C3723,MATCH($B1169,'HS Codes'!$A$2:$A3723,0)),"")</f>
        <v>Fitness Towels - Toilet Linen 100% recycled 220 GSM/83% polyester/17% polyamide (no cotton)</v>
      </c>
      <c r="N1169" s="9"/>
      <c r="O1169" s="9"/>
      <c r="P1169" s="9"/>
      <c r="Q1169" s="9"/>
    </row>
    <row r="1170" spans="1:17" ht="15.75" customHeight="1">
      <c r="A1170" s="7" t="s">
        <v>1463</v>
      </c>
      <c r="B1170" s="7" t="s">
        <v>169</v>
      </c>
      <c r="C1170" s="7" t="s">
        <v>278</v>
      </c>
      <c r="D1170" s="7" t="s">
        <v>170</v>
      </c>
      <c r="E1170" s="7" t="s">
        <v>348</v>
      </c>
      <c r="F1170" s="8" t="str">
        <f>_xlfn.IFNA(INDEX('HS Codes'!$D$2:$K3724,MATCH($B1170,'HS Codes'!$A$2:$A3724,0),MATCH(F$1,'HS Codes'!$D$1:$K$1,0)),"")</f>
        <v>6302.93.2000</v>
      </c>
      <c r="G1170" s="8">
        <f>_xlfn.IFNA(INDEX('HS Codes'!$D$2:$K3724,MATCH($B1170,'HS Codes'!$A$2:$A3724,0),MATCH(G$1,'HS Codes'!$D$1:$K$1,0)),"")</f>
        <v>6302600090</v>
      </c>
      <c r="H1170" s="8" t="str">
        <f>_xlfn.IFNA(INDEX('HS Codes'!$D$2:$K3724,MATCH($B1170,'HS Codes'!$A$2:$A3724,0),MATCH(H$1,'HS Codes'!$D$1:$K$1,0)),"")</f>
        <v>6302.93.00.00</v>
      </c>
      <c r="I1170" s="8">
        <f>_xlfn.IFNA(INDEX('HS Codes'!$D$2:$K3724,MATCH($B1170,'HS Codes'!$A$2:$A3724,0),MATCH(I$1,'HS Codes'!$D$1:$K$1,0)),"")</f>
        <v>6302939000</v>
      </c>
      <c r="J1170" s="8">
        <f>_xlfn.IFNA(INDEX('HS Codes'!$D$2:$K3724,MATCH($B1170,'HS Codes'!$A$2:$A3724,0),MATCH(J$1,'HS Codes'!$D$1:$K$1,0)),"")</f>
        <v>0</v>
      </c>
      <c r="K1170" s="8" t="str">
        <f>_xlfn.IFNA(INDEX('HS Codes'!$D$2:$K3724,MATCH($B1170,'HS Codes'!$A$2:$A3724,0),MATCH(K$1,'HS Codes'!$D$1:$K$1,0)),"")</f>
        <v>6302.39.00</v>
      </c>
      <c r="L1170" s="8">
        <f>_xlfn.IFNA(INDEX('HS Codes'!$D$2:$K3724,MATCH($B1170,'HS Codes'!$A$2:$A3724,0),MATCH(L$1,'HS Codes'!$D$1:$K$1,0)),"")</f>
        <v>63029120</v>
      </c>
      <c r="M1170" s="8" t="str">
        <f>_xlfn.IFNA(INDEX('HS Codes'!$C$2:$C3724,MATCH($B1170,'HS Codes'!$A$2:$A3724,0)),"")</f>
        <v>Fitness Towels - Toilet Linen 100% recycled 220 GSM/83% polyester/17% polyamide (no cotton)</v>
      </c>
      <c r="N1170" s="9"/>
      <c r="O1170" s="9"/>
      <c r="P1170" s="9"/>
      <c r="Q1170" s="9"/>
    </row>
    <row r="1171" spans="1:17" ht="15.75" customHeight="1">
      <c r="A1171" s="7" t="s">
        <v>1464</v>
      </c>
      <c r="B1171" s="7" t="s">
        <v>169</v>
      </c>
      <c r="C1171" s="7" t="s">
        <v>278</v>
      </c>
      <c r="D1171" s="7" t="s">
        <v>170</v>
      </c>
      <c r="E1171" s="7" t="s">
        <v>348</v>
      </c>
      <c r="F1171" s="8" t="str">
        <f>_xlfn.IFNA(INDEX('HS Codes'!$D$2:$K3725,MATCH($B1171,'HS Codes'!$A$2:$A3725,0),MATCH(F$1,'HS Codes'!$D$1:$K$1,0)),"")</f>
        <v>6302.93.2000</v>
      </c>
      <c r="G1171" s="8">
        <f>_xlfn.IFNA(INDEX('HS Codes'!$D$2:$K3725,MATCH($B1171,'HS Codes'!$A$2:$A3725,0),MATCH(G$1,'HS Codes'!$D$1:$K$1,0)),"")</f>
        <v>6302600090</v>
      </c>
      <c r="H1171" s="8" t="str">
        <f>_xlfn.IFNA(INDEX('HS Codes'!$D$2:$K3725,MATCH($B1171,'HS Codes'!$A$2:$A3725,0),MATCH(H$1,'HS Codes'!$D$1:$K$1,0)),"")</f>
        <v>6302.93.00.00</v>
      </c>
      <c r="I1171" s="8">
        <f>_xlfn.IFNA(INDEX('HS Codes'!$D$2:$K3725,MATCH($B1171,'HS Codes'!$A$2:$A3725,0),MATCH(I$1,'HS Codes'!$D$1:$K$1,0)),"")</f>
        <v>6302939000</v>
      </c>
      <c r="J1171" s="8">
        <f>_xlfn.IFNA(INDEX('HS Codes'!$D$2:$K3725,MATCH($B1171,'HS Codes'!$A$2:$A3725,0),MATCH(J$1,'HS Codes'!$D$1:$K$1,0)),"")</f>
        <v>0</v>
      </c>
      <c r="K1171" s="8" t="str">
        <f>_xlfn.IFNA(INDEX('HS Codes'!$D$2:$K3725,MATCH($B1171,'HS Codes'!$A$2:$A3725,0),MATCH(K$1,'HS Codes'!$D$1:$K$1,0)),"")</f>
        <v>6302.39.00</v>
      </c>
      <c r="L1171" s="8">
        <f>_xlfn.IFNA(INDEX('HS Codes'!$D$2:$K3725,MATCH($B1171,'HS Codes'!$A$2:$A3725,0),MATCH(L$1,'HS Codes'!$D$1:$K$1,0)),"")</f>
        <v>63029120</v>
      </c>
      <c r="M1171" s="8" t="str">
        <f>_xlfn.IFNA(INDEX('HS Codes'!$C$2:$C3725,MATCH($B1171,'HS Codes'!$A$2:$A3725,0)),"")</f>
        <v>Fitness Towels - Toilet Linen 100% recycled 220 GSM/83% polyester/17% polyamide (no cotton)</v>
      </c>
      <c r="N1171" s="9"/>
      <c r="O1171" s="9"/>
      <c r="P1171" s="9"/>
      <c r="Q1171" s="9"/>
    </row>
    <row r="1172" spans="1:17" ht="15.75" customHeight="1">
      <c r="A1172" s="7" t="s">
        <v>1465</v>
      </c>
      <c r="B1172" s="7" t="s">
        <v>164</v>
      </c>
      <c r="C1172" s="7" t="s">
        <v>278</v>
      </c>
      <c r="D1172" s="7" t="s">
        <v>165</v>
      </c>
      <c r="E1172" s="7" t="s">
        <v>348</v>
      </c>
      <c r="F1172" s="8" t="str">
        <f>_xlfn.IFNA(INDEX('HS Codes'!$D$2:$K3726,MATCH($B1172,'HS Codes'!$A$2:$A3726,0),MATCH(F$1,'HS Codes'!$D$1:$K$1,0)),"")</f>
        <v>6302.93.2000</v>
      </c>
      <c r="G1172" s="8">
        <f>_xlfn.IFNA(INDEX('HS Codes'!$D$2:$K3726,MATCH($B1172,'HS Codes'!$A$2:$A3726,0),MATCH(G$1,'HS Codes'!$D$1:$K$1,0)),"")</f>
        <v>6302600090</v>
      </c>
      <c r="H1172" s="8" t="str">
        <f>_xlfn.IFNA(INDEX('HS Codes'!$D$2:$K3726,MATCH($B1172,'HS Codes'!$A$2:$A3726,0),MATCH(H$1,'HS Codes'!$D$1:$K$1,0)),"")</f>
        <v>6302.93.00.00</v>
      </c>
      <c r="I1172" s="8">
        <f>_xlfn.IFNA(INDEX('HS Codes'!$D$2:$K3726,MATCH($B1172,'HS Codes'!$A$2:$A3726,0),MATCH(I$1,'HS Codes'!$D$1:$K$1,0)),"")</f>
        <v>63029390</v>
      </c>
      <c r="J1172" s="8">
        <f>_xlfn.IFNA(INDEX('HS Codes'!$D$2:$K3726,MATCH($B1172,'HS Codes'!$A$2:$A3726,0),MATCH(J$1,'HS Codes'!$D$1:$K$1,0)),"")</f>
        <v>0</v>
      </c>
      <c r="K1172" s="8" t="str">
        <f>_xlfn.IFNA(INDEX('HS Codes'!$D$2:$K3726,MATCH($B1172,'HS Codes'!$A$2:$A3726,0),MATCH(K$1,'HS Codes'!$D$1:$K$1,0)),"")</f>
        <v>6302.39.00</v>
      </c>
      <c r="L1172" s="8">
        <f>_xlfn.IFNA(INDEX('HS Codes'!$D$2:$K3726,MATCH($B1172,'HS Codes'!$A$2:$A3726,0),MATCH(L$1,'HS Codes'!$D$1:$K$1,0)),"")</f>
        <v>63029120</v>
      </c>
      <c r="M1172" s="8" t="str">
        <f>_xlfn.IFNA(INDEX('HS Codes'!$C$2:$C3726,MATCH($B1172,'HS Codes'!$A$2:$A3726,0)),"")</f>
        <v>Beach Towel - Toilet Linen 100% recycled 220 GSM/83% polyester/17% polyamide includes cotton on the packing pouch drawstring</v>
      </c>
      <c r="N1172" s="9"/>
      <c r="O1172" s="9"/>
      <c r="P1172" s="9"/>
      <c r="Q1172" s="9"/>
    </row>
    <row r="1173" spans="1:17" ht="15.75" customHeight="1">
      <c r="A1173" s="7" t="s">
        <v>1466</v>
      </c>
      <c r="B1173" s="7" t="s">
        <v>189</v>
      </c>
      <c r="C1173" s="7"/>
      <c r="D1173" s="7" t="s">
        <v>190</v>
      </c>
      <c r="E1173" s="7" t="s">
        <v>322</v>
      </c>
      <c r="F1173" s="8">
        <f>_xlfn.IFNA(INDEX('HS Codes'!$D$2:$K3727,MATCH($B1173,'HS Codes'!$A$2:$A3727,0),MATCH(F$1,'HS Codes'!$D$1:$K$1,0)),"")</f>
        <v>0</v>
      </c>
      <c r="G1173" s="8">
        <f>_xlfn.IFNA(INDEX('HS Codes'!$D$2:$K3727,MATCH($B1173,'HS Codes'!$A$2:$A3727,0),MATCH(G$1,'HS Codes'!$D$1:$K$1,0)),"")</f>
        <v>0</v>
      </c>
      <c r="H1173" s="8">
        <f>_xlfn.IFNA(INDEX('HS Codes'!$D$2:$K3727,MATCH($B1173,'HS Codes'!$A$2:$A3727,0),MATCH(H$1,'HS Codes'!$D$1:$K$1,0)),"")</f>
        <v>0</v>
      </c>
      <c r="I1173" s="8">
        <f>_xlfn.IFNA(INDEX('HS Codes'!$D$2:$K3727,MATCH($B1173,'HS Codes'!$A$2:$A3727,0),MATCH(I$1,'HS Codes'!$D$1:$K$1,0)),"")</f>
        <v>0</v>
      </c>
      <c r="J1173" s="8">
        <f>_xlfn.IFNA(INDEX('HS Codes'!$D$2:$K3727,MATCH($B1173,'HS Codes'!$A$2:$A3727,0),MATCH(J$1,'HS Codes'!$D$1:$K$1,0)),"")</f>
        <v>0</v>
      </c>
      <c r="K1173" s="8">
        <f>_xlfn.IFNA(INDEX('HS Codes'!$D$2:$K3727,MATCH($B1173,'HS Codes'!$A$2:$A3727,0),MATCH(K$1,'HS Codes'!$D$1:$K$1,0)),"")</f>
        <v>0</v>
      </c>
      <c r="L1173" s="8">
        <f>_xlfn.IFNA(INDEX('HS Codes'!$D$2:$K3727,MATCH($B1173,'HS Codes'!$A$2:$A3727,0),MATCH(L$1,'HS Codes'!$D$1:$K$1,0)),"")</f>
        <v>0</v>
      </c>
      <c r="M1173" s="8">
        <f>_xlfn.IFNA(INDEX('HS Codes'!$C$2:$C3727,MATCH($B1173,'HS Codes'!$A$2:$A3727,0)),"")</f>
        <v>0</v>
      </c>
      <c r="N1173" s="9"/>
      <c r="O1173" s="9"/>
      <c r="P1173" s="9"/>
      <c r="Q1173" s="9"/>
    </row>
    <row r="1174" spans="1:17" ht="15.75" customHeight="1">
      <c r="A1174" s="7" t="s">
        <v>1467</v>
      </c>
      <c r="B1174" s="7" t="s">
        <v>189</v>
      </c>
      <c r="C1174" s="7"/>
      <c r="D1174" s="7" t="s">
        <v>190</v>
      </c>
      <c r="E1174" s="7" t="s">
        <v>322</v>
      </c>
      <c r="F1174" s="8">
        <f>_xlfn.IFNA(INDEX('HS Codes'!$D$2:$K3728,MATCH($B1174,'HS Codes'!$A$2:$A3728,0),MATCH(F$1,'HS Codes'!$D$1:$K$1,0)),"")</f>
        <v>0</v>
      </c>
      <c r="G1174" s="8">
        <f>_xlfn.IFNA(INDEX('HS Codes'!$D$2:$K3728,MATCH($B1174,'HS Codes'!$A$2:$A3728,0),MATCH(G$1,'HS Codes'!$D$1:$K$1,0)),"")</f>
        <v>0</v>
      </c>
      <c r="H1174" s="8">
        <f>_xlfn.IFNA(INDEX('HS Codes'!$D$2:$K3728,MATCH($B1174,'HS Codes'!$A$2:$A3728,0),MATCH(H$1,'HS Codes'!$D$1:$K$1,0)),"")</f>
        <v>0</v>
      </c>
      <c r="I1174" s="8">
        <f>_xlfn.IFNA(INDEX('HS Codes'!$D$2:$K3728,MATCH($B1174,'HS Codes'!$A$2:$A3728,0),MATCH(I$1,'HS Codes'!$D$1:$K$1,0)),"")</f>
        <v>0</v>
      </c>
      <c r="J1174" s="8">
        <f>_xlfn.IFNA(INDEX('HS Codes'!$D$2:$K3728,MATCH($B1174,'HS Codes'!$A$2:$A3728,0),MATCH(J$1,'HS Codes'!$D$1:$K$1,0)),"")</f>
        <v>0</v>
      </c>
      <c r="K1174" s="8">
        <f>_xlfn.IFNA(INDEX('HS Codes'!$D$2:$K3728,MATCH($B1174,'HS Codes'!$A$2:$A3728,0),MATCH(K$1,'HS Codes'!$D$1:$K$1,0)),"")</f>
        <v>0</v>
      </c>
      <c r="L1174" s="8">
        <f>_xlfn.IFNA(INDEX('HS Codes'!$D$2:$K3728,MATCH($B1174,'HS Codes'!$A$2:$A3728,0),MATCH(L$1,'HS Codes'!$D$1:$K$1,0)),"")</f>
        <v>0</v>
      </c>
      <c r="M1174" s="8">
        <f>_xlfn.IFNA(INDEX('HS Codes'!$C$2:$C3728,MATCH($B1174,'HS Codes'!$A$2:$A3728,0)),"")</f>
        <v>0</v>
      </c>
      <c r="N1174" s="9"/>
      <c r="O1174" s="9"/>
      <c r="P1174" s="9"/>
      <c r="Q1174" s="9"/>
    </row>
    <row r="1175" spans="1:17" ht="15.75" customHeight="1">
      <c r="A1175" s="7" t="s">
        <v>1468</v>
      </c>
      <c r="B1175" s="7" t="s">
        <v>164</v>
      </c>
      <c r="C1175" s="7" t="s">
        <v>278</v>
      </c>
      <c r="D1175" s="7" t="s">
        <v>165</v>
      </c>
      <c r="E1175" s="7" t="s">
        <v>348</v>
      </c>
      <c r="F1175" s="8" t="str">
        <f>_xlfn.IFNA(INDEX('HS Codes'!$D$2:$K3729,MATCH($B1175,'HS Codes'!$A$2:$A3729,0),MATCH(F$1,'HS Codes'!$D$1:$K$1,0)),"")</f>
        <v>6302.93.2000</v>
      </c>
      <c r="G1175" s="8">
        <f>_xlfn.IFNA(INDEX('HS Codes'!$D$2:$K3729,MATCH($B1175,'HS Codes'!$A$2:$A3729,0),MATCH(G$1,'HS Codes'!$D$1:$K$1,0)),"")</f>
        <v>6302600090</v>
      </c>
      <c r="H1175" s="8" t="str">
        <f>_xlfn.IFNA(INDEX('HS Codes'!$D$2:$K3729,MATCH($B1175,'HS Codes'!$A$2:$A3729,0),MATCH(H$1,'HS Codes'!$D$1:$K$1,0)),"")</f>
        <v>6302.93.00.00</v>
      </c>
      <c r="I1175" s="8">
        <f>_xlfn.IFNA(INDEX('HS Codes'!$D$2:$K3729,MATCH($B1175,'HS Codes'!$A$2:$A3729,0),MATCH(I$1,'HS Codes'!$D$1:$K$1,0)),"")</f>
        <v>63029390</v>
      </c>
      <c r="J1175" s="8">
        <f>_xlfn.IFNA(INDEX('HS Codes'!$D$2:$K3729,MATCH($B1175,'HS Codes'!$A$2:$A3729,0),MATCH(J$1,'HS Codes'!$D$1:$K$1,0)),"")</f>
        <v>0</v>
      </c>
      <c r="K1175" s="8" t="str">
        <f>_xlfn.IFNA(INDEX('HS Codes'!$D$2:$K3729,MATCH($B1175,'HS Codes'!$A$2:$A3729,0),MATCH(K$1,'HS Codes'!$D$1:$K$1,0)),"")</f>
        <v>6302.39.00</v>
      </c>
      <c r="L1175" s="8">
        <f>_xlfn.IFNA(INDEX('HS Codes'!$D$2:$K3729,MATCH($B1175,'HS Codes'!$A$2:$A3729,0),MATCH(L$1,'HS Codes'!$D$1:$K$1,0)),"")</f>
        <v>63029120</v>
      </c>
      <c r="M1175" s="8" t="str">
        <f>_xlfn.IFNA(INDEX('HS Codes'!$C$2:$C3729,MATCH($B1175,'HS Codes'!$A$2:$A3729,0)),"")</f>
        <v>Beach Towel - Toilet Linen 100% recycled 220 GSM/83% polyester/17% polyamide includes cotton on the packing pouch drawstring</v>
      </c>
      <c r="N1175" s="9"/>
      <c r="O1175" s="9"/>
      <c r="P1175" s="9"/>
      <c r="Q1175" s="9"/>
    </row>
    <row r="1176" spans="1:17" ht="15.75" customHeight="1">
      <c r="A1176" s="7" t="s">
        <v>1469</v>
      </c>
      <c r="B1176" s="7" t="s">
        <v>164</v>
      </c>
      <c r="C1176" s="7" t="s">
        <v>278</v>
      </c>
      <c r="D1176" s="7" t="s">
        <v>165</v>
      </c>
      <c r="E1176" s="7" t="s">
        <v>348</v>
      </c>
      <c r="F1176" s="8" t="str">
        <f>_xlfn.IFNA(INDEX('HS Codes'!$D$2:$K3730,MATCH($B1176,'HS Codes'!$A$2:$A3730,0),MATCH(F$1,'HS Codes'!$D$1:$K$1,0)),"")</f>
        <v>6302.93.2000</v>
      </c>
      <c r="G1176" s="8">
        <f>_xlfn.IFNA(INDEX('HS Codes'!$D$2:$K3730,MATCH($B1176,'HS Codes'!$A$2:$A3730,0),MATCH(G$1,'HS Codes'!$D$1:$K$1,0)),"")</f>
        <v>6302600090</v>
      </c>
      <c r="H1176" s="8" t="str">
        <f>_xlfn.IFNA(INDEX('HS Codes'!$D$2:$K3730,MATCH($B1176,'HS Codes'!$A$2:$A3730,0),MATCH(H$1,'HS Codes'!$D$1:$K$1,0)),"")</f>
        <v>6302.93.00.00</v>
      </c>
      <c r="I1176" s="8">
        <f>_xlfn.IFNA(INDEX('HS Codes'!$D$2:$K3730,MATCH($B1176,'HS Codes'!$A$2:$A3730,0),MATCH(I$1,'HS Codes'!$D$1:$K$1,0)),"")</f>
        <v>63029390</v>
      </c>
      <c r="J1176" s="8">
        <f>_xlfn.IFNA(INDEX('HS Codes'!$D$2:$K3730,MATCH($B1176,'HS Codes'!$A$2:$A3730,0),MATCH(J$1,'HS Codes'!$D$1:$K$1,0)),"")</f>
        <v>0</v>
      </c>
      <c r="K1176" s="8" t="str">
        <f>_xlfn.IFNA(INDEX('HS Codes'!$D$2:$K3730,MATCH($B1176,'HS Codes'!$A$2:$A3730,0),MATCH(K$1,'HS Codes'!$D$1:$K$1,0)),"")</f>
        <v>6302.39.00</v>
      </c>
      <c r="L1176" s="8">
        <f>_xlfn.IFNA(INDEX('HS Codes'!$D$2:$K3730,MATCH($B1176,'HS Codes'!$A$2:$A3730,0),MATCH(L$1,'HS Codes'!$D$1:$K$1,0)),"")</f>
        <v>63029120</v>
      </c>
      <c r="M1176" s="8" t="str">
        <f>_xlfn.IFNA(INDEX('HS Codes'!$C$2:$C3730,MATCH($B1176,'HS Codes'!$A$2:$A3730,0)),"")</f>
        <v>Beach Towel - Toilet Linen 100% recycled 220 GSM/83% polyester/17% polyamide includes cotton on the packing pouch drawstring</v>
      </c>
      <c r="N1176" s="9"/>
      <c r="O1176" s="9"/>
      <c r="P1176" s="9"/>
      <c r="Q1176" s="9"/>
    </row>
    <row r="1177" spans="1:17" ht="15.75" customHeight="1">
      <c r="A1177" s="7" t="s">
        <v>1470</v>
      </c>
      <c r="B1177" s="7" t="s">
        <v>164</v>
      </c>
      <c r="C1177" s="7" t="s">
        <v>278</v>
      </c>
      <c r="D1177" s="7" t="s">
        <v>165</v>
      </c>
      <c r="E1177" s="7" t="s">
        <v>348</v>
      </c>
      <c r="F1177" s="8" t="str">
        <f>_xlfn.IFNA(INDEX('HS Codes'!$D$2:$K3731,MATCH($B1177,'HS Codes'!$A$2:$A3731,0),MATCH(F$1,'HS Codes'!$D$1:$K$1,0)),"")</f>
        <v>6302.93.2000</v>
      </c>
      <c r="G1177" s="8">
        <f>_xlfn.IFNA(INDEX('HS Codes'!$D$2:$K3731,MATCH($B1177,'HS Codes'!$A$2:$A3731,0),MATCH(G$1,'HS Codes'!$D$1:$K$1,0)),"")</f>
        <v>6302600090</v>
      </c>
      <c r="H1177" s="8" t="str">
        <f>_xlfn.IFNA(INDEX('HS Codes'!$D$2:$K3731,MATCH($B1177,'HS Codes'!$A$2:$A3731,0),MATCH(H$1,'HS Codes'!$D$1:$K$1,0)),"")</f>
        <v>6302.93.00.00</v>
      </c>
      <c r="I1177" s="8">
        <f>_xlfn.IFNA(INDEX('HS Codes'!$D$2:$K3731,MATCH($B1177,'HS Codes'!$A$2:$A3731,0),MATCH(I$1,'HS Codes'!$D$1:$K$1,0)),"")</f>
        <v>63029390</v>
      </c>
      <c r="J1177" s="8">
        <f>_xlfn.IFNA(INDEX('HS Codes'!$D$2:$K3731,MATCH($B1177,'HS Codes'!$A$2:$A3731,0),MATCH(J$1,'HS Codes'!$D$1:$K$1,0)),"")</f>
        <v>0</v>
      </c>
      <c r="K1177" s="8" t="str">
        <f>_xlfn.IFNA(INDEX('HS Codes'!$D$2:$K3731,MATCH($B1177,'HS Codes'!$A$2:$A3731,0),MATCH(K$1,'HS Codes'!$D$1:$K$1,0)),"")</f>
        <v>6302.39.00</v>
      </c>
      <c r="L1177" s="8">
        <f>_xlfn.IFNA(INDEX('HS Codes'!$D$2:$K3731,MATCH($B1177,'HS Codes'!$A$2:$A3731,0),MATCH(L$1,'HS Codes'!$D$1:$K$1,0)),"")</f>
        <v>63029120</v>
      </c>
      <c r="M1177" s="8" t="str">
        <f>_xlfn.IFNA(INDEX('HS Codes'!$C$2:$C3731,MATCH($B1177,'HS Codes'!$A$2:$A3731,0)),"")</f>
        <v>Beach Towel - Toilet Linen 100% recycled 220 GSM/83% polyester/17% polyamide includes cotton on the packing pouch drawstring</v>
      </c>
      <c r="N1177" s="9"/>
      <c r="O1177" s="9"/>
      <c r="P1177" s="9"/>
      <c r="Q1177" s="9"/>
    </row>
    <row r="1178" spans="1:17" ht="15.75" customHeight="1">
      <c r="A1178" s="7" t="s">
        <v>1471</v>
      </c>
      <c r="B1178" s="7" t="s">
        <v>164</v>
      </c>
      <c r="C1178" s="7" t="s">
        <v>278</v>
      </c>
      <c r="D1178" s="7" t="s">
        <v>165</v>
      </c>
      <c r="E1178" s="7" t="s">
        <v>348</v>
      </c>
      <c r="F1178" s="8" t="str">
        <f>_xlfn.IFNA(INDEX('HS Codes'!$D$2:$K3732,MATCH($B1178,'HS Codes'!$A$2:$A3732,0),MATCH(F$1,'HS Codes'!$D$1:$K$1,0)),"")</f>
        <v>6302.93.2000</v>
      </c>
      <c r="G1178" s="8">
        <f>_xlfn.IFNA(INDEX('HS Codes'!$D$2:$K3732,MATCH($B1178,'HS Codes'!$A$2:$A3732,0),MATCH(G$1,'HS Codes'!$D$1:$K$1,0)),"")</f>
        <v>6302600090</v>
      </c>
      <c r="H1178" s="8" t="str">
        <f>_xlfn.IFNA(INDEX('HS Codes'!$D$2:$K3732,MATCH($B1178,'HS Codes'!$A$2:$A3732,0),MATCH(H$1,'HS Codes'!$D$1:$K$1,0)),"")</f>
        <v>6302.93.00.00</v>
      </c>
      <c r="I1178" s="8">
        <f>_xlfn.IFNA(INDEX('HS Codes'!$D$2:$K3732,MATCH($B1178,'HS Codes'!$A$2:$A3732,0),MATCH(I$1,'HS Codes'!$D$1:$K$1,0)),"")</f>
        <v>63029390</v>
      </c>
      <c r="J1178" s="8">
        <f>_xlfn.IFNA(INDEX('HS Codes'!$D$2:$K3732,MATCH($B1178,'HS Codes'!$A$2:$A3732,0),MATCH(J$1,'HS Codes'!$D$1:$K$1,0)),"")</f>
        <v>0</v>
      </c>
      <c r="K1178" s="8" t="str">
        <f>_xlfn.IFNA(INDEX('HS Codes'!$D$2:$K3732,MATCH($B1178,'HS Codes'!$A$2:$A3732,0),MATCH(K$1,'HS Codes'!$D$1:$K$1,0)),"")</f>
        <v>6302.39.00</v>
      </c>
      <c r="L1178" s="8">
        <f>_xlfn.IFNA(INDEX('HS Codes'!$D$2:$K3732,MATCH($B1178,'HS Codes'!$A$2:$A3732,0),MATCH(L$1,'HS Codes'!$D$1:$K$1,0)),"")</f>
        <v>63029120</v>
      </c>
      <c r="M1178" s="8" t="str">
        <f>_xlfn.IFNA(INDEX('HS Codes'!$C$2:$C3732,MATCH($B1178,'HS Codes'!$A$2:$A3732,0)),"")</f>
        <v>Beach Towel - Toilet Linen 100% recycled 220 GSM/83% polyester/17% polyamide includes cotton on the packing pouch drawstring</v>
      </c>
      <c r="N1178" s="9"/>
      <c r="O1178" s="9"/>
      <c r="P1178" s="9"/>
      <c r="Q1178" s="9"/>
    </row>
    <row r="1179" spans="1:17" ht="15.75" customHeight="1">
      <c r="A1179" s="7" t="s">
        <v>1472</v>
      </c>
      <c r="B1179" s="7" t="s">
        <v>164</v>
      </c>
      <c r="C1179" s="7" t="s">
        <v>278</v>
      </c>
      <c r="D1179" s="7" t="s">
        <v>165</v>
      </c>
      <c r="E1179" s="7" t="s">
        <v>348</v>
      </c>
      <c r="F1179" s="8" t="str">
        <f>_xlfn.IFNA(INDEX('HS Codes'!$D$2:$K3733,MATCH($B1179,'HS Codes'!$A$2:$A3733,0),MATCH(F$1,'HS Codes'!$D$1:$K$1,0)),"")</f>
        <v>6302.93.2000</v>
      </c>
      <c r="G1179" s="8">
        <f>_xlfn.IFNA(INDEX('HS Codes'!$D$2:$K3733,MATCH($B1179,'HS Codes'!$A$2:$A3733,0),MATCH(G$1,'HS Codes'!$D$1:$K$1,0)),"")</f>
        <v>6302600090</v>
      </c>
      <c r="H1179" s="8" t="str">
        <f>_xlfn.IFNA(INDEX('HS Codes'!$D$2:$K3733,MATCH($B1179,'HS Codes'!$A$2:$A3733,0),MATCH(H$1,'HS Codes'!$D$1:$K$1,0)),"")</f>
        <v>6302.93.00.00</v>
      </c>
      <c r="I1179" s="8">
        <f>_xlfn.IFNA(INDEX('HS Codes'!$D$2:$K3733,MATCH($B1179,'HS Codes'!$A$2:$A3733,0),MATCH(I$1,'HS Codes'!$D$1:$K$1,0)),"")</f>
        <v>63029390</v>
      </c>
      <c r="J1179" s="8">
        <f>_xlfn.IFNA(INDEX('HS Codes'!$D$2:$K3733,MATCH($B1179,'HS Codes'!$A$2:$A3733,0),MATCH(J$1,'HS Codes'!$D$1:$K$1,0)),"")</f>
        <v>0</v>
      </c>
      <c r="K1179" s="8" t="str">
        <f>_xlfn.IFNA(INDEX('HS Codes'!$D$2:$K3733,MATCH($B1179,'HS Codes'!$A$2:$A3733,0),MATCH(K$1,'HS Codes'!$D$1:$K$1,0)),"")</f>
        <v>6302.39.00</v>
      </c>
      <c r="L1179" s="8">
        <f>_xlfn.IFNA(INDEX('HS Codes'!$D$2:$K3733,MATCH($B1179,'HS Codes'!$A$2:$A3733,0),MATCH(L$1,'HS Codes'!$D$1:$K$1,0)),"")</f>
        <v>63029120</v>
      </c>
      <c r="M1179" s="8" t="str">
        <f>_xlfn.IFNA(INDEX('HS Codes'!$C$2:$C3733,MATCH($B1179,'HS Codes'!$A$2:$A3733,0)),"")</f>
        <v>Beach Towel - Toilet Linen 100% recycled 220 GSM/83% polyester/17% polyamide includes cotton on the packing pouch drawstring</v>
      </c>
      <c r="N1179" s="9"/>
      <c r="O1179" s="9"/>
      <c r="P1179" s="9"/>
      <c r="Q1179" s="9"/>
    </row>
    <row r="1180" spans="1:17" ht="15.75" customHeight="1">
      <c r="A1180" s="7" t="s">
        <v>1473</v>
      </c>
      <c r="B1180" s="7" t="s">
        <v>164</v>
      </c>
      <c r="C1180" s="7" t="s">
        <v>278</v>
      </c>
      <c r="D1180" s="7" t="s">
        <v>165</v>
      </c>
      <c r="E1180" s="7" t="s">
        <v>348</v>
      </c>
      <c r="F1180" s="8" t="str">
        <f>_xlfn.IFNA(INDEX('HS Codes'!$D$2:$K3734,MATCH($B1180,'HS Codes'!$A$2:$A3734,0),MATCH(F$1,'HS Codes'!$D$1:$K$1,0)),"")</f>
        <v>6302.93.2000</v>
      </c>
      <c r="G1180" s="8">
        <f>_xlfn.IFNA(INDEX('HS Codes'!$D$2:$K3734,MATCH($B1180,'HS Codes'!$A$2:$A3734,0),MATCH(G$1,'HS Codes'!$D$1:$K$1,0)),"")</f>
        <v>6302600090</v>
      </c>
      <c r="H1180" s="8" t="str">
        <f>_xlfn.IFNA(INDEX('HS Codes'!$D$2:$K3734,MATCH($B1180,'HS Codes'!$A$2:$A3734,0),MATCH(H$1,'HS Codes'!$D$1:$K$1,0)),"")</f>
        <v>6302.93.00.00</v>
      </c>
      <c r="I1180" s="8">
        <f>_xlfn.IFNA(INDEX('HS Codes'!$D$2:$K3734,MATCH($B1180,'HS Codes'!$A$2:$A3734,0),MATCH(I$1,'HS Codes'!$D$1:$K$1,0)),"")</f>
        <v>63029390</v>
      </c>
      <c r="J1180" s="8">
        <f>_xlfn.IFNA(INDEX('HS Codes'!$D$2:$K3734,MATCH($B1180,'HS Codes'!$A$2:$A3734,0),MATCH(J$1,'HS Codes'!$D$1:$K$1,0)),"")</f>
        <v>0</v>
      </c>
      <c r="K1180" s="8" t="str">
        <f>_xlfn.IFNA(INDEX('HS Codes'!$D$2:$K3734,MATCH($B1180,'HS Codes'!$A$2:$A3734,0),MATCH(K$1,'HS Codes'!$D$1:$K$1,0)),"")</f>
        <v>6302.39.00</v>
      </c>
      <c r="L1180" s="8">
        <f>_xlfn.IFNA(INDEX('HS Codes'!$D$2:$K3734,MATCH($B1180,'HS Codes'!$A$2:$A3734,0),MATCH(L$1,'HS Codes'!$D$1:$K$1,0)),"")</f>
        <v>63029120</v>
      </c>
      <c r="M1180" s="8" t="str">
        <f>_xlfn.IFNA(INDEX('HS Codes'!$C$2:$C3734,MATCH($B1180,'HS Codes'!$A$2:$A3734,0)),"")</f>
        <v>Beach Towel - Toilet Linen 100% recycled 220 GSM/83% polyester/17% polyamide includes cotton on the packing pouch drawstring</v>
      </c>
      <c r="N1180" s="9"/>
      <c r="O1180" s="9"/>
      <c r="P1180" s="9"/>
      <c r="Q1180" s="9"/>
    </row>
    <row r="1181" spans="1:17" ht="15.75" customHeight="1">
      <c r="A1181" s="7" t="s">
        <v>1474</v>
      </c>
      <c r="B1181" s="7" t="s">
        <v>193</v>
      </c>
      <c r="C1181" s="7"/>
      <c r="D1181" s="7" t="s">
        <v>194</v>
      </c>
      <c r="E1181" s="7" t="s">
        <v>322</v>
      </c>
      <c r="F1181" s="8">
        <f>_xlfn.IFNA(INDEX('HS Codes'!$D$2:$K3735,MATCH($B1181,'HS Codes'!$A$2:$A3735,0),MATCH(F$1,'HS Codes'!$D$1:$K$1,0)),"")</f>
        <v>0</v>
      </c>
      <c r="G1181" s="8">
        <f>_xlfn.IFNA(INDEX('HS Codes'!$D$2:$K3735,MATCH($B1181,'HS Codes'!$A$2:$A3735,0),MATCH(G$1,'HS Codes'!$D$1:$K$1,0)),"")</f>
        <v>0</v>
      </c>
      <c r="H1181" s="8">
        <f>_xlfn.IFNA(INDEX('HS Codes'!$D$2:$K3735,MATCH($B1181,'HS Codes'!$A$2:$A3735,0),MATCH(H$1,'HS Codes'!$D$1:$K$1,0)),"")</f>
        <v>0</v>
      </c>
      <c r="I1181" s="8">
        <f>_xlfn.IFNA(INDEX('HS Codes'!$D$2:$K3735,MATCH($B1181,'HS Codes'!$A$2:$A3735,0),MATCH(I$1,'HS Codes'!$D$1:$K$1,0)),"")</f>
        <v>0</v>
      </c>
      <c r="J1181" s="8">
        <f>_xlfn.IFNA(INDEX('HS Codes'!$D$2:$K3735,MATCH($B1181,'HS Codes'!$A$2:$A3735,0),MATCH(J$1,'HS Codes'!$D$1:$K$1,0)),"")</f>
        <v>0</v>
      </c>
      <c r="K1181" s="8">
        <f>_xlfn.IFNA(INDEX('HS Codes'!$D$2:$K3735,MATCH($B1181,'HS Codes'!$A$2:$A3735,0),MATCH(K$1,'HS Codes'!$D$1:$K$1,0)),"")</f>
        <v>0</v>
      </c>
      <c r="L1181" s="8">
        <f>_xlfn.IFNA(INDEX('HS Codes'!$D$2:$K3735,MATCH($B1181,'HS Codes'!$A$2:$A3735,0),MATCH(L$1,'HS Codes'!$D$1:$K$1,0)),"")</f>
        <v>0</v>
      </c>
      <c r="M1181" s="8">
        <f>_xlfn.IFNA(INDEX('HS Codes'!$C$2:$C3735,MATCH($B1181,'HS Codes'!$A$2:$A3735,0)),"")</f>
        <v>0</v>
      </c>
      <c r="N1181" s="9"/>
      <c r="O1181" s="9"/>
      <c r="P1181" s="9"/>
      <c r="Q1181" s="9"/>
    </row>
    <row r="1182" spans="1:17" ht="15.75" customHeight="1">
      <c r="A1182" s="7" t="s">
        <v>1475</v>
      </c>
      <c r="B1182" s="7" t="s">
        <v>199</v>
      </c>
      <c r="C1182" s="7"/>
      <c r="D1182" s="7" t="s">
        <v>200</v>
      </c>
      <c r="E1182" s="7" t="s">
        <v>322</v>
      </c>
      <c r="F1182" s="8" t="str">
        <f>_xlfn.IFNA(INDEX('HS Codes'!$D$2:$K3736,MATCH($B1182,'HS Codes'!$A$2:$A3736,0),MATCH(F$1,'HS Codes'!$D$1:$K$1,0)),"")</f>
        <v>6504.00.90.15</v>
      </c>
      <c r="G1182" s="8">
        <f>_xlfn.IFNA(INDEX('HS Codes'!$D$2:$K3736,MATCH($B1182,'HS Codes'!$A$2:$A3736,0),MATCH(G$1,'HS Codes'!$D$1:$K$1,0)),"")</f>
        <v>6505009090</v>
      </c>
      <c r="H1182" s="8" t="str">
        <f>_xlfn.IFNA(INDEX('HS Codes'!$D$2:$K3736,MATCH($B1182,'HS Codes'!$A$2:$A3736,0),MATCH(H$1,'HS Codes'!$D$1:$K$1,0)),"")</f>
        <v>6505.00.40.00</v>
      </c>
      <c r="I1182" s="8" t="str">
        <f>_xlfn.IFNA(INDEX('HS Codes'!$D$2:$K3736,MATCH($B1182,'HS Codes'!$A$2:$A3736,0),MATCH(I$1,'HS Codes'!$D$1:$K$1,0)),"")</f>
        <v>6505.00.90.90</v>
      </c>
      <c r="J1182" s="8">
        <f>_xlfn.IFNA(INDEX('HS Codes'!$D$2:$K3736,MATCH($B1182,'HS Codes'!$A$2:$A3736,0),MATCH(J$1,'HS Codes'!$D$1:$K$1,0)),"")</f>
        <v>0</v>
      </c>
      <c r="K1182" s="8" t="str">
        <f>_xlfn.IFNA(INDEX('HS Codes'!$D$2:$K3736,MATCH($B1182,'HS Codes'!$A$2:$A3736,0),MATCH(K$1,'HS Codes'!$D$1:$K$1,0)),"")</f>
        <v>6505.00.90</v>
      </c>
      <c r="L1182" s="8">
        <f>_xlfn.IFNA(INDEX('HS Codes'!$D$2:$K3736,MATCH($B1182,'HS Codes'!$A$2:$A3736,0),MATCH(L$1,'HS Codes'!$D$1:$K$1,0)),"")</f>
        <v>0</v>
      </c>
      <c r="M1182" s="8">
        <f>_xlfn.IFNA(INDEX('HS Codes'!$C$2:$C3736,MATCH($B1182,'HS Codes'!$A$2:$A3736,0)),"")</f>
        <v>0</v>
      </c>
      <c r="N1182" s="9"/>
      <c r="O1182" s="9"/>
      <c r="P1182" s="9"/>
      <c r="Q1182" s="9"/>
    </row>
    <row r="1183" spans="1:17" ht="15.75" customHeight="1">
      <c r="A1183" s="7" t="s">
        <v>1476</v>
      </c>
      <c r="B1183" s="7" t="s">
        <v>199</v>
      </c>
      <c r="C1183" s="7"/>
      <c r="D1183" s="7" t="s">
        <v>200</v>
      </c>
      <c r="E1183" s="7" t="s">
        <v>322</v>
      </c>
      <c r="F1183" s="8" t="str">
        <f>_xlfn.IFNA(INDEX('HS Codes'!$D$2:$K3737,MATCH($B1183,'HS Codes'!$A$2:$A3737,0),MATCH(F$1,'HS Codes'!$D$1:$K$1,0)),"")</f>
        <v>6504.00.90.15</v>
      </c>
      <c r="G1183" s="8">
        <f>_xlfn.IFNA(INDEX('HS Codes'!$D$2:$K3737,MATCH($B1183,'HS Codes'!$A$2:$A3737,0),MATCH(G$1,'HS Codes'!$D$1:$K$1,0)),"")</f>
        <v>6505009090</v>
      </c>
      <c r="H1183" s="8" t="str">
        <f>_xlfn.IFNA(INDEX('HS Codes'!$D$2:$K3737,MATCH($B1183,'HS Codes'!$A$2:$A3737,0),MATCH(H$1,'HS Codes'!$D$1:$K$1,0)),"")</f>
        <v>6505.00.40.00</v>
      </c>
      <c r="I1183" s="8" t="str">
        <f>_xlfn.IFNA(INDEX('HS Codes'!$D$2:$K3737,MATCH($B1183,'HS Codes'!$A$2:$A3737,0),MATCH(I$1,'HS Codes'!$D$1:$K$1,0)),"")</f>
        <v>6505.00.90.90</v>
      </c>
      <c r="J1183" s="8">
        <f>_xlfn.IFNA(INDEX('HS Codes'!$D$2:$K3737,MATCH($B1183,'HS Codes'!$A$2:$A3737,0),MATCH(J$1,'HS Codes'!$D$1:$K$1,0)),"")</f>
        <v>0</v>
      </c>
      <c r="K1183" s="8" t="str">
        <f>_xlfn.IFNA(INDEX('HS Codes'!$D$2:$K3737,MATCH($B1183,'HS Codes'!$A$2:$A3737,0),MATCH(K$1,'HS Codes'!$D$1:$K$1,0)),"")</f>
        <v>6505.00.90</v>
      </c>
      <c r="L1183" s="8">
        <f>_xlfn.IFNA(INDEX('HS Codes'!$D$2:$K3737,MATCH($B1183,'HS Codes'!$A$2:$A3737,0),MATCH(L$1,'HS Codes'!$D$1:$K$1,0)),"")</f>
        <v>0</v>
      </c>
      <c r="M1183" s="8">
        <f>_xlfn.IFNA(INDEX('HS Codes'!$C$2:$C3737,MATCH($B1183,'HS Codes'!$A$2:$A3737,0)),"")</f>
        <v>0</v>
      </c>
      <c r="N1183" s="9"/>
      <c r="O1183" s="9"/>
      <c r="P1183" s="9"/>
      <c r="Q1183" s="9"/>
    </row>
    <row r="1184" spans="1:17" ht="15.75" customHeight="1">
      <c r="A1184" s="7" t="s">
        <v>1477</v>
      </c>
      <c r="B1184" s="7" t="s">
        <v>199</v>
      </c>
      <c r="C1184" s="7"/>
      <c r="D1184" s="7" t="s">
        <v>200</v>
      </c>
      <c r="E1184" s="7" t="s">
        <v>322</v>
      </c>
      <c r="F1184" s="8" t="str">
        <f>_xlfn.IFNA(INDEX('HS Codes'!$D$2:$K3738,MATCH($B1184,'HS Codes'!$A$2:$A3738,0),MATCH(F$1,'HS Codes'!$D$1:$K$1,0)),"")</f>
        <v>6504.00.90.15</v>
      </c>
      <c r="G1184" s="8">
        <f>_xlfn.IFNA(INDEX('HS Codes'!$D$2:$K3738,MATCH($B1184,'HS Codes'!$A$2:$A3738,0),MATCH(G$1,'HS Codes'!$D$1:$K$1,0)),"")</f>
        <v>6505009090</v>
      </c>
      <c r="H1184" s="8" t="str">
        <f>_xlfn.IFNA(INDEX('HS Codes'!$D$2:$K3738,MATCH($B1184,'HS Codes'!$A$2:$A3738,0),MATCH(H$1,'HS Codes'!$D$1:$K$1,0)),"")</f>
        <v>6505.00.40.00</v>
      </c>
      <c r="I1184" s="8" t="str">
        <f>_xlfn.IFNA(INDEX('HS Codes'!$D$2:$K3738,MATCH($B1184,'HS Codes'!$A$2:$A3738,0),MATCH(I$1,'HS Codes'!$D$1:$K$1,0)),"")</f>
        <v>6505.00.90.90</v>
      </c>
      <c r="J1184" s="8">
        <f>_xlfn.IFNA(INDEX('HS Codes'!$D$2:$K3738,MATCH($B1184,'HS Codes'!$A$2:$A3738,0),MATCH(J$1,'HS Codes'!$D$1:$K$1,0)),"")</f>
        <v>0</v>
      </c>
      <c r="K1184" s="8" t="str">
        <f>_xlfn.IFNA(INDEX('HS Codes'!$D$2:$K3738,MATCH($B1184,'HS Codes'!$A$2:$A3738,0),MATCH(K$1,'HS Codes'!$D$1:$K$1,0)),"")</f>
        <v>6505.00.90</v>
      </c>
      <c r="L1184" s="8">
        <f>_xlfn.IFNA(INDEX('HS Codes'!$D$2:$K3738,MATCH($B1184,'HS Codes'!$A$2:$A3738,0),MATCH(L$1,'HS Codes'!$D$1:$K$1,0)),"")</f>
        <v>0</v>
      </c>
      <c r="M1184" s="8">
        <f>_xlfn.IFNA(INDEX('HS Codes'!$C$2:$C3738,MATCH($B1184,'HS Codes'!$A$2:$A3738,0)),"")</f>
        <v>0</v>
      </c>
      <c r="N1184" s="9"/>
      <c r="O1184" s="9"/>
      <c r="P1184" s="9"/>
      <c r="Q1184" s="9"/>
    </row>
    <row r="1185" spans="1:17" ht="15.75" customHeight="1">
      <c r="A1185" s="7" t="s">
        <v>1478</v>
      </c>
      <c r="B1185" s="7" t="s">
        <v>199</v>
      </c>
      <c r="C1185" s="7"/>
      <c r="D1185" s="7" t="s">
        <v>200</v>
      </c>
      <c r="E1185" s="7" t="s">
        <v>322</v>
      </c>
      <c r="F1185" s="8" t="str">
        <f>_xlfn.IFNA(INDEX('HS Codes'!$D$2:$K3739,MATCH($B1185,'HS Codes'!$A$2:$A3739,0),MATCH(F$1,'HS Codes'!$D$1:$K$1,0)),"")</f>
        <v>6504.00.90.15</v>
      </c>
      <c r="G1185" s="8">
        <f>_xlfn.IFNA(INDEX('HS Codes'!$D$2:$K3739,MATCH($B1185,'HS Codes'!$A$2:$A3739,0),MATCH(G$1,'HS Codes'!$D$1:$K$1,0)),"")</f>
        <v>6505009090</v>
      </c>
      <c r="H1185" s="8" t="str">
        <f>_xlfn.IFNA(INDEX('HS Codes'!$D$2:$K3739,MATCH($B1185,'HS Codes'!$A$2:$A3739,0),MATCH(H$1,'HS Codes'!$D$1:$K$1,0)),"")</f>
        <v>6505.00.40.00</v>
      </c>
      <c r="I1185" s="8" t="str">
        <f>_xlfn.IFNA(INDEX('HS Codes'!$D$2:$K3739,MATCH($B1185,'HS Codes'!$A$2:$A3739,0),MATCH(I$1,'HS Codes'!$D$1:$K$1,0)),"")</f>
        <v>6505.00.90.90</v>
      </c>
      <c r="J1185" s="8">
        <f>_xlfn.IFNA(INDEX('HS Codes'!$D$2:$K3739,MATCH($B1185,'HS Codes'!$A$2:$A3739,0),MATCH(J$1,'HS Codes'!$D$1:$K$1,0)),"")</f>
        <v>0</v>
      </c>
      <c r="K1185" s="8" t="str">
        <f>_xlfn.IFNA(INDEX('HS Codes'!$D$2:$K3739,MATCH($B1185,'HS Codes'!$A$2:$A3739,0),MATCH(K$1,'HS Codes'!$D$1:$K$1,0)),"")</f>
        <v>6505.00.90</v>
      </c>
      <c r="L1185" s="8">
        <f>_xlfn.IFNA(INDEX('HS Codes'!$D$2:$K3739,MATCH($B1185,'HS Codes'!$A$2:$A3739,0),MATCH(L$1,'HS Codes'!$D$1:$K$1,0)),"")</f>
        <v>0</v>
      </c>
      <c r="M1185" s="8">
        <f>_xlfn.IFNA(INDEX('HS Codes'!$C$2:$C3739,MATCH($B1185,'HS Codes'!$A$2:$A3739,0)),"")</f>
        <v>0</v>
      </c>
      <c r="N1185" s="9"/>
      <c r="O1185" s="9"/>
      <c r="P1185" s="9"/>
      <c r="Q1185" s="9"/>
    </row>
    <row r="1186" spans="1:17" ht="15.75" customHeight="1">
      <c r="A1186" s="7" t="s">
        <v>1479</v>
      </c>
      <c r="B1186" s="7" t="s">
        <v>199</v>
      </c>
      <c r="C1186" s="7"/>
      <c r="D1186" s="7" t="s">
        <v>200</v>
      </c>
      <c r="E1186" s="7" t="s">
        <v>322</v>
      </c>
      <c r="F1186" s="8" t="str">
        <f>_xlfn.IFNA(INDEX('HS Codes'!$D$2:$K3740,MATCH($B1186,'HS Codes'!$A$2:$A3740,0),MATCH(F$1,'HS Codes'!$D$1:$K$1,0)),"")</f>
        <v>6504.00.90.15</v>
      </c>
      <c r="G1186" s="8">
        <f>_xlfn.IFNA(INDEX('HS Codes'!$D$2:$K3740,MATCH($B1186,'HS Codes'!$A$2:$A3740,0),MATCH(G$1,'HS Codes'!$D$1:$K$1,0)),"")</f>
        <v>6505009090</v>
      </c>
      <c r="H1186" s="8" t="str">
        <f>_xlfn.IFNA(INDEX('HS Codes'!$D$2:$K3740,MATCH($B1186,'HS Codes'!$A$2:$A3740,0),MATCH(H$1,'HS Codes'!$D$1:$K$1,0)),"")</f>
        <v>6505.00.40.00</v>
      </c>
      <c r="I1186" s="8" t="str">
        <f>_xlfn.IFNA(INDEX('HS Codes'!$D$2:$K3740,MATCH($B1186,'HS Codes'!$A$2:$A3740,0),MATCH(I$1,'HS Codes'!$D$1:$K$1,0)),"")</f>
        <v>6505.00.90.90</v>
      </c>
      <c r="J1186" s="8">
        <f>_xlfn.IFNA(INDEX('HS Codes'!$D$2:$K3740,MATCH($B1186,'HS Codes'!$A$2:$A3740,0),MATCH(J$1,'HS Codes'!$D$1:$K$1,0)),"")</f>
        <v>0</v>
      </c>
      <c r="K1186" s="8" t="str">
        <f>_xlfn.IFNA(INDEX('HS Codes'!$D$2:$K3740,MATCH($B1186,'HS Codes'!$A$2:$A3740,0),MATCH(K$1,'HS Codes'!$D$1:$K$1,0)),"")</f>
        <v>6505.00.90</v>
      </c>
      <c r="L1186" s="8">
        <f>_xlfn.IFNA(INDEX('HS Codes'!$D$2:$K3740,MATCH($B1186,'HS Codes'!$A$2:$A3740,0),MATCH(L$1,'HS Codes'!$D$1:$K$1,0)),"")</f>
        <v>0</v>
      </c>
      <c r="M1186" s="8">
        <f>_xlfn.IFNA(INDEX('HS Codes'!$C$2:$C3740,MATCH($B1186,'HS Codes'!$A$2:$A3740,0)),"")</f>
        <v>0</v>
      </c>
      <c r="N1186" s="9"/>
      <c r="O1186" s="9"/>
      <c r="P1186" s="9"/>
      <c r="Q1186" s="9"/>
    </row>
    <row r="1187" spans="1:17" ht="15.75" customHeight="1">
      <c r="A1187" s="7" t="s">
        <v>1480</v>
      </c>
      <c r="B1187" s="7" t="s">
        <v>199</v>
      </c>
      <c r="C1187" s="7"/>
      <c r="D1187" s="7" t="s">
        <v>200</v>
      </c>
      <c r="E1187" s="7" t="s">
        <v>322</v>
      </c>
      <c r="F1187" s="8" t="str">
        <f>_xlfn.IFNA(INDEX('HS Codes'!$D$2:$K3741,MATCH($B1187,'HS Codes'!$A$2:$A3741,0),MATCH(F$1,'HS Codes'!$D$1:$K$1,0)),"")</f>
        <v>6504.00.90.15</v>
      </c>
      <c r="G1187" s="8">
        <f>_xlfn.IFNA(INDEX('HS Codes'!$D$2:$K3741,MATCH($B1187,'HS Codes'!$A$2:$A3741,0),MATCH(G$1,'HS Codes'!$D$1:$K$1,0)),"")</f>
        <v>6505009090</v>
      </c>
      <c r="H1187" s="8" t="str">
        <f>_xlfn.IFNA(INDEX('HS Codes'!$D$2:$K3741,MATCH($B1187,'HS Codes'!$A$2:$A3741,0),MATCH(H$1,'HS Codes'!$D$1:$K$1,0)),"")</f>
        <v>6505.00.40.00</v>
      </c>
      <c r="I1187" s="8" t="str">
        <f>_xlfn.IFNA(INDEX('HS Codes'!$D$2:$K3741,MATCH($B1187,'HS Codes'!$A$2:$A3741,0),MATCH(I$1,'HS Codes'!$D$1:$K$1,0)),"")</f>
        <v>6505.00.90.90</v>
      </c>
      <c r="J1187" s="8">
        <f>_xlfn.IFNA(INDEX('HS Codes'!$D$2:$K3741,MATCH($B1187,'HS Codes'!$A$2:$A3741,0),MATCH(J$1,'HS Codes'!$D$1:$K$1,0)),"")</f>
        <v>0</v>
      </c>
      <c r="K1187" s="8" t="str">
        <f>_xlfn.IFNA(INDEX('HS Codes'!$D$2:$K3741,MATCH($B1187,'HS Codes'!$A$2:$A3741,0),MATCH(K$1,'HS Codes'!$D$1:$K$1,0)),"")</f>
        <v>6505.00.90</v>
      </c>
      <c r="L1187" s="8">
        <f>_xlfn.IFNA(INDEX('HS Codes'!$D$2:$K3741,MATCH($B1187,'HS Codes'!$A$2:$A3741,0),MATCH(L$1,'HS Codes'!$D$1:$K$1,0)),"")</f>
        <v>0</v>
      </c>
      <c r="M1187" s="8">
        <f>_xlfn.IFNA(INDEX('HS Codes'!$C$2:$C3741,MATCH($B1187,'HS Codes'!$A$2:$A3741,0)),"")</f>
        <v>0</v>
      </c>
      <c r="N1187" s="9"/>
      <c r="O1187" s="9"/>
      <c r="P1187" s="9"/>
      <c r="Q1187" s="9"/>
    </row>
    <row r="1188" spans="1:17" ht="15.75" customHeight="1">
      <c r="A1188" s="7" t="s">
        <v>1481</v>
      </c>
      <c r="B1188" s="7" t="s">
        <v>215</v>
      </c>
      <c r="C1188" s="7"/>
      <c r="D1188" s="7" t="s">
        <v>216</v>
      </c>
      <c r="E1188" s="7" t="s">
        <v>322</v>
      </c>
      <c r="F1188" s="8">
        <f>_xlfn.IFNA(INDEX('HS Codes'!$D$2:$K3742,MATCH($B1188,'HS Codes'!$A$2:$A3742,0),MATCH(F$1,'HS Codes'!$D$1:$K$1,0)),"")</f>
        <v>0</v>
      </c>
      <c r="G1188" s="8">
        <f>_xlfn.IFNA(INDEX('HS Codes'!$D$2:$K3742,MATCH($B1188,'HS Codes'!$A$2:$A3742,0),MATCH(G$1,'HS Codes'!$D$1:$K$1,0)),"")</f>
        <v>0</v>
      </c>
      <c r="H1188" s="8">
        <f>_xlfn.IFNA(INDEX('HS Codes'!$D$2:$K3742,MATCH($B1188,'HS Codes'!$A$2:$A3742,0),MATCH(H$1,'HS Codes'!$D$1:$K$1,0)),"")</f>
        <v>0</v>
      </c>
      <c r="I1188" s="8">
        <f>_xlfn.IFNA(INDEX('HS Codes'!$D$2:$K3742,MATCH($B1188,'HS Codes'!$A$2:$A3742,0),MATCH(I$1,'HS Codes'!$D$1:$K$1,0)),"")</f>
        <v>0</v>
      </c>
      <c r="J1188" s="8">
        <f>_xlfn.IFNA(INDEX('HS Codes'!$D$2:$K3742,MATCH($B1188,'HS Codes'!$A$2:$A3742,0),MATCH(J$1,'HS Codes'!$D$1:$K$1,0)),"")</f>
        <v>0</v>
      </c>
      <c r="K1188" s="8">
        <f>_xlfn.IFNA(INDEX('HS Codes'!$D$2:$K3742,MATCH($B1188,'HS Codes'!$A$2:$A3742,0),MATCH(K$1,'HS Codes'!$D$1:$K$1,0)),"")</f>
        <v>0</v>
      </c>
      <c r="L1188" s="8">
        <f>_xlfn.IFNA(INDEX('HS Codes'!$D$2:$K3742,MATCH($B1188,'HS Codes'!$A$2:$A3742,0),MATCH(L$1,'HS Codes'!$D$1:$K$1,0)),"")</f>
        <v>0</v>
      </c>
      <c r="M1188" s="8">
        <f>_xlfn.IFNA(INDEX('HS Codes'!$C$2:$C3742,MATCH($B1188,'HS Codes'!$A$2:$A3742,0)),"")</f>
        <v>0</v>
      </c>
      <c r="N1188" s="9"/>
      <c r="O1188" s="9"/>
      <c r="P1188" s="9"/>
      <c r="Q1188" s="9"/>
    </row>
    <row r="1189" spans="1:17" ht="15.75" customHeight="1">
      <c r="A1189" s="7" t="s">
        <v>1482</v>
      </c>
      <c r="B1189" s="7" t="s">
        <v>215</v>
      </c>
      <c r="C1189" s="7"/>
      <c r="D1189" s="7" t="s">
        <v>216</v>
      </c>
      <c r="E1189" s="7" t="s">
        <v>322</v>
      </c>
      <c r="F1189" s="8">
        <f>_xlfn.IFNA(INDEX('HS Codes'!$D$2:$K3743,MATCH($B1189,'HS Codes'!$A$2:$A3743,0),MATCH(F$1,'HS Codes'!$D$1:$K$1,0)),"")</f>
        <v>0</v>
      </c>
      <c r="G1189" s="8">
        <f>_xlfn.IFNA(INDEX('HS Codes'!$D$2:$K3743,MATCH($B1189,'HS Codes'!$A$2:$A3743,0),MATCH(G$1,'HS Codes'!$D$1:$K$1,0)),"")</f>
        <v>0</v>
      </c>
      <c r="H1189" s="8">
        <f>_xlfn.IFNA(INDEX('HS Codes'!$D$2:$K3743,MATCH($B1189,'HS Codes'!$A$2:$A3743,0),MATCH(H$1,'HS Codes'!$D$1:$K$1,0)),"")</f>
        <v>0</v>
      </c>
      <c r="I1189" s="8">
        <f>_xlfn.IFNA(INDEX('HS Codes'!$D$2:$K3743,MATCH($B1189,'HS Codes'!$A$2:$A3743,0),MATCH(I$1,'HS Codes'!$D$1:$K$1,0)),"")</f>
        <v>0</v>
      </c>
      <c r="J1189" s="8">
        <f>_xlfn.IFNA(INDEX('HS Codes'!$D$2:$K3743,MATCH($B1189,'HS Codes'!$A$2:$A3743,0),MATCH(J$1,'HS Codes'!$D$1:$K$1,0)),"")</f>
        <v>0</v>
      </c>
      <c r="K1189" s="8">
        <f>_xlfn.IFNA(INDEX('HS Codes'!$D$2:$K3743,MATCH($B1189,'HS Codes'!$A$2:$A3743,0),MATCH(K$1,'HS Codes'!$D$1:$K$1,0)),"")</f>
        <v>0</v>
      </c>
      <c r="L1189" s="8">
        <f>_xlfn.IFNA(INDEX('HS Codes'!$D$2:$K3743,MATCH($B1189,'HS Codes'!$A$2:$A3743,0),MATCH(L$1,'HS Codes'!$D$1:$K$1,0)),"")</f>
        <v>0</v>
      </c>
      <c r="M1189" s="8">
        <f>_xlfn.IFNA(INDEX('HS Codes'!$C$2:$C3743,MATCH($B1189,'HS Codes'!$A$2:$A3743,0)),"")</f>
        <v>0</v>
      </c>
      <c r="N1189" s="9"/>
      <c r="O1189" s="9"/>
      <c r="P1189" s="9"/>
      <c r="Q1189" s="9"/>
    </row>
    <row r="1190" spans="1:17" ht="15.75" customHeight="1">
      <c r="A1190" s="7" t="s">
        <v>1483</v>
      </c>
      <c r="B1190" s="7" t="s">
        <v>215</v>
      </c>
      <c r="C1190" s="7"/>
      <c r="D1190" s="7" t="s">
        <v>216</v>
      </c>
      <c r="E1190" s="7" t="s">
        <v>322</v>
      </c>
      <c r="F1190" s="8">
        <f>_xlfn.IFNA(INDEX('HS Codes'!$D$2:$K3744,MATCH($B1190,'HS Codes'!$A$2:$A3744,0),MATCH(F$1,'HS Codes'!$D$1:$K$1,0)),"")</f>
        <v>0</v>
      </c>
      <c r="G1190" s="8">
        <f>_xlfn.IFNA(INDEX('HS Codes'!$D$2:$K3744,MATCH($B1190,'HS Codes'!$A$2:$A3744,0),MATCH(G$1,'HS Codes'!$D$1:$K$1,0)),"")</f>
        <v>0</v>
      </c>
      <c r="H1190" s="8">
        <f>_xlfn.IFNA(INDEX('HS Codes'!$D$2:$K3744,MATCH($B1190,'HS Codes'!$A$2:$A3744,0),MATCH(H$1,'HS Codes'!$D$1:$K$1,0)),"")</f>
        <v>0</v>
      </c>
      <c r="I1190" s="8">
        <f>_xlfn.IFNA(INDEX('HS Codes'!$D$2:$K3744,MATCH($B1190,'HS Codes'!$A$2:$A3744,0),MATCH(I$1,'HS Codes'!$D$1:$K$1,0)),"")</f>
        <v>0</v>
      </c>
      <c r="J1190" s="8">
        <f>_xlfn.IFNA(INDEX('HS Codes'!$D$2:$K3744,MATCH($B1190,'HS Codes'!$A$2:$A3744,0),MATCH(J$1,'HS Codes'!$D$1:$K$1,0)),"")</f>
        <v>0</v>
      </c>
      <c r="K1190" s="8">
        <f>_xlfn.IFNA(INDEX('HS Codes'!$D$2:$K3744,MATCH($B1190,'HS Codes'!$A$2:$A3744,0),MATCH(K$1,'HS Codes'!$D$1:$K$1,0)),"")</f>
        <v>0</v>
      </c>
      <c r="L1190" s="8">
        <f>_xlfn.IFNA(INDEX('HS Codes'!$D$2:$K3744,MATCH($B1190,'HS Codes'!$A$2:$A3744,0),MATCH(L$1,'HS Codes'!$D$1:$K$1,0)),"")</f>
        <v>0</v>
      </c>
      <c r="M1190" s="8">
        <f>_xlfn.IFNA(INDEX('HS Codes'!$C$2:$C3744,MATCH($B1190,'HS Codes'!$A$2:$A3744,0)),"")</f>
        <v>0</v>
      </c>
      <c r="N1190" s="9"/>
      <c r="O1190" s="9"/>
      <c r="P1190" s="9"/>
      <c r="Q1190" s="9"/>
    </row>
    <row r="1191" spans="1:17" ht="15.75" customHeight="1">
      <c r="A1191" s="7" t="s">
        <v>1484</v>
      </c>
      <c r="B1191" s="7" t="s">
        <v>215</v>
      </c>
      <c r="C1191" s="7"/>
      <c r="D1191" s="7" t="s">
        <v>216</v>
      </c>
      <c r="E1191" s="7" t="s">
        <v>322</v>
      </c>
      <c r="F1191" s="8">
        <f>_xlfn.IFNA(INDEX('HS Codes'!$D$2:$K3745,MATCH($B1191,'HS Codes'!$A$2:$A3745,0),MATCH(F$1,'HS Codes'!$D$1:$K$1,0)),"")</f>
        <v>0</v>
      </c>
      <c r="G1191" s="8">
        <f>_xlfn.IFNA(INDEX('HS Codes'!$D$2:$K3745,MATCH($B1191,'HS Codes'!$A$2:$A3745,0),MATCH(G$1,'HS Codes'!$D$1:$K$1,0)),"")</f>
        <v>0</v>
      </c>
      <c r="H1191" s="8">
        <f>_xlfn.IFNA(INDEX('HS Codes'!$D$2:$K3745,MATCH($B1191,'HS Codes'!$A$2:$A3745,0),MATCH(H$1,'HS Codes'!$D$1:$K$1,0)),"")</f>
        <v>0</v>
      </c>
      <c r="I1191" s="8">
        <f>_xlfn.IFNA(INDEX('HS Codes'!$D$2:$K3745,MATCH($B1191,'HS Codes'!$A$2:$A3745,0),MATCH(I$1,'HS Codes'!$D$1:$K$1,0)),"")</f>
        <v>0</v>
      </c>
      <c r="J1191" s="8">
        <f>_xlfn.IFNA(INDEX('HS Codes'!$D$2:$K3745,MATCH($B1191,'HS Codes'!$A$2:$A3745,0),MATCH(J$1,'HS Codes'!$D$1:$K$1,0)),"")</f>
        <v>0</v>
      </c>
      <c r="K1191" s="8">
        <f>_xlfn.IFNA(INDEX('HS Codes'!$D$2:$K3745,MATCH($B1191,'HS Codes'!$A$2:$A3745,0),MATCH(K$1,'HS Codes'!$D$1:$K$1,0)),"")</f>
        <v>0</v>
      </c>
      <c r="L1191" s="8">
        <f>_xlfn.IFNA(INDEX('HS Codes'!$D$2:$K3745,MATCH($B1191,'HS Codes'!$A$2:$A3745,0),MATCH(L$1,'HS Codes'!$D$1:$K$1,0)),"")</f>
        <v>0</v>
      </c>
      <c r="M1191" s="8">
        <f>_xlfn.IFNA(INDEX('HS Codes'!$C$2:$C3745,MATCH($B1191,'HS Codes'!$A$2:$A3745,0)),"")</f>
        <v>0</v>
      </c>
      <c r="N1191" s="9"/>
      <c r="O1191" s="9"/>
      <c r="P1191" s="9"/>
      <c r="Q1191" s="9"/>
    </row>
    <row r="1192" spans="1:17" ht="15.75" customHeight="1">
      <c r="A1192" s="7" t="s">
        <v>1485</v>
      </c>
      <c r="B1192" s="7" t="s">
        <v>215</v>
      </c>
      <c r="C1192" s="7"/>
      <c r="D1192" s="7" t="s">
        <v>216</v>
      </c>
      <c r="E1192" s="7" t="s">
        <v>322</v>
      </c>
      <c r="F1192" s="8">
        <f>_xlfn.IFNA(INDEX('HS Codes'!$D$2:$K3746,MATCH($B1192,'HS Codes'!$A$2:$A3746,0),MATCH(F$1,'HS Codes'!$D$1:$K$1,0)),"")</f>
        <v>0</v>
      </c>
      <c r="G1192" s="8">
        <f>_xlfn.IFNA(INDEX('HS Codes'!$D$2:$K3746,MATCH($B1192,'HS Codes'!$A$2:$A3746,0),MATCH(G$1,'HS Codes'!$D$1:$K$1,0)),"")</f>
        <v>0</v>
      </c>
      <c r="H1192" s="8">
        <f>_xlfn.IFNA(INDEX('HS Codes'!$D$2:$K3746,MATCH($B1192,'HS Codes'!$A$2:$A3746,0),MATCH(H$1,'HS Codes'!$D$1:$K$1,0)),"")</f>
        <v>0</v>
      </c>
      <c r="I1192" s="8">
        <f>_xlfn.IFNA(INDEX('HS Codes'!$D$2:$K3746,MATCH($B1192,'HS Codes'!$A$2:$A3746,0),MATCH(I$1,'HS Codes'!$D$1:$K$1,0)),"")</f>
        <v>0</v>
      </c>
      <c r="J1192" s="8">
        <f>_xlfn.IFNA(INDEX('HS Codes'!$D$2:$K3746,MATCH($B1192,'HS Codes'!$A$2:$A3746,0),MATCH(J$1,'HS Codes'!$D$1:$K$1,0)),"")</f>
        <v>0</v>
      </c>
      <c r="K1192" s="8">
        <f>_xlfn.IFNA(INDEX('HS Codes'!$D$2:$K3746,MATCH($B1192,'HS Codes'!$A$2:$A3746,0),MATCH(K$1,'HS Codes'!$D$1:$K$1,0)),"")</f>
        <v>0</v>
      </c>
      <c r="L1192" s="8">
        <f>_xlfn.IFNA(INDEX('HS Codes'!$D$2:$K3746,MATCH($B1192,'HS Codes'!$A$2:$A3746,0),MATCH(L$1,'HS Codes'!$D$1:$K$1,0)),"")</f>
        <v>0</v>
      </c>
      <c r="M1192" s="8">
        <f>_xlfn.IFNA(INDEX('HS Codes'!$C$2:$C3746,MATCH($B1192,'HS Codes'!$A$2:$A3746,0)),"")</f>
        <v>0</v>
      </c>
      <c r="N1192" s="9"/>
      <c r="O1192" s="9"/>
      <c r="P1192" s="9"/>
      <c r="Q1192" s="9"/>
    </row>
    <row r="1193" spans="1:17" ht="15.75" customHeight="1">
      <c r="A1193" s="7" t="s">
        <v>1486</v>
      </c>
      <c r="B1193" s="7" t="s">
        <v>215</v>
      </c>
      <c r="C1193" s="7"/>
      <c r="D1193" s="7" t="s">
        <v>216</v>
      </c>
      <c r="E1193" s="7" t="s">
        <v>322</v>
      </c>
      <c r="F1193" s="8">
        <f>_xlfn.IFNA(INDEX('HS Codes'!$D$2:$K3747,MATCH($B1193,'HS Codes'!$A$2:$A3747,0),MATCH(F$1,'HS Codes'!$D$1:$K$1,0)),"")</f>
        <v>0</v>
      </c>
      <c r="G1193" s="8">
        <f>_xlfn.IFNA(INDEX('HS Codes'!$D$2:$K3747,MATCH($B1193,'HS Codes'!$A$2:$A3747,0),MATCH(G$1,'HS Codes'!$D$1:$K$1,0)),"")</f>
        <v>0</v>
      </c>
      <c r="H1193" s="8">
        <f>_xlfn.IFNA(INDEX('HS Codes'!$D$2:$K3747,MATCH($B1193,'HS Codes'!$A$2:$A3747,0),MATCH(H$1,'HS Codes'!$D$1:$K$1,0)),"")</f>
        <v>0</v>
      </c>
      <c r="I1193" s="8">
        <f>_xlfn.IFNA(INDEX('HS Codes'!$D$2:$K3747,MATCH($B1193,'HS Codes'!$A$2:$A3747,0),MATCH(I$1,'HS Codes'!$D$1:$K$1,0)),"")</f>
        <v>0</v>
      </c>
      <c r="J1193" s="8">
        <f>_xlfn.IFNA(INDEX('HS Codes'!$D$2:$K3747,MATCH($B1193,'HS Codes'!$A$2:$A3747,0),MATCH(J$1,'HS Codes'!$D$1:$K$1,0)),"")</f>
        <v>0</v>
      </c>
      <c r="K1193" s="8">
        <f>_xlfn.IFNA(INDEX('HS Codes'!$D$2:$K3747,MATCH($B1193,'HS Codes'!$A$2:$A3747,0),MATCH(K$1,'HS Codes'!$D$1:$K$1,0)),"")</f>
        <v>0</v>
      </c>
      <c r="L1193" s="8">
        <f>_xlfn.IFNA(INDEX('HS Codes'!$D$2:$K3747,MATCH($B1193,'HS Codes'!$A$2:$A3747,0),MATCH(L$1,'HS Codes'!$D$1:$K$1,0)),"")</f>
        <v>0</v>
      </c>
      <c r="M1193" s="8">
        <f>_xlfn.IFNA(INDEX('HS Codes'!$C$2:$C3747,MATCH($B1193,'HS Codes'!$A$2:$A3747,0)),"")</f>
        <v>0</v>
      </c>
      <c r="N1193" s="9"/>
      <c r="O1193" s="9"/>
      <c r="P1193" s="9"/>
      <c r="Q1193" s="9"/>
    </row>
    <row r="1194" spans="1:17" ht="15.75" customHeight="1">
      <c r="A1194" s="7" t="s">
        <v>1487</v>
      </c>
      <c r="B1194" s="7" t="s">
        <v>215</v>
      </c>
      <c r="C1194" s="7"/>
      <c r="D1194" s="7" t="s">
        <v>216</v>
      </c>
      <c r="E1194" s="7" t="s">
        <v>322</v>
      </c>
      <c r="F1194" s="8">
        <f>_xlfn.IFNA(INDEX('HS Codes'!$D$2:$K3748,MATCH($B1194,'HS Codes'!$A$2:$A3748,0),MATCH(F$1,'HS Codes'!$D$1:$K$1,0)),"")</f>
        <v>0</v>
      </c>
      <c r="G1194" s="8">
        <f>_xlfn.IFNA(INDEX('HS Codes'!$D$2:$K3748,MATCH($B1194,'HS Codes'!$A$2:$A3748,0),MATCH(G$1,'HS Codes'!$D$1:$K$1,0)),"")</f>
        <v>0</v>
      </c>
      <c r="H1194" s="8">
        <f>_xlfn.IFNA(INDEX('HS Codes'!$D$2:$K3748,MATCH($B1194,'HS Codes'!$A$2:$A3748,0),MATCH(H$1,'HS Codes'!$D$1:$K$1,0)),"")</f>
        <v>0</v>
      </c>
      <c r="I1194" s="8">
        <f>_xlfn.IFNA(INDEX('HS Codes'!$D$2:$K3748,MATCH($B1194,'HS Codes'!$A$2:$A3748,0),MATCH(I$1,'HS Codes'!$D$1:$K$1,0)),"")</f>
        <v>0</v>
      </c>
      <c r="J1194" s="8">
        <f>_xlfn.IFNA(INDEX('HS Codes'!$D$2:$K3748,MATCH($B1194,'HS Codes'!$A$2:$A3748,0),MATCH(J$1,'HS Codes'!$D$1:$K$1,0)),"")</f>
        <v>0</v>
      </c>
      <c r="K1194" s="8">
        <f>_xlfn.IFNA(INDEX('HS Codes'!$D$2:$K3748,MATCH($B1194,'HS Codes'!$A$2:$A3748,0),MATCH(K$1,'HS Codes'!$D$1:$K$1,0)),"")</f>
        <v>0</v>
      </c>
      <c r="L1194" s="8">
        <f>_xlfn.IFNA(INDEX('HS Codes'!$D$2:$K3748,MATCH($B1194,'HS Codes'!$A$2:$A3748,0),MATCH(L$1,'HS Codes'!$D$1:$K$1,0)),"")</f>
        <v>0</v>
      </c>
      <c r="M1194" s="8">
        <f>_xlfn.IFNA(INDEX('HS Codes'!$C$2:$C3748,MATCH($B1194,'HS Codes'!$A$2:$A3748,0)),"")</f>
        <v>0</v>
      </c>
      <c r="N1194" s="9"/>
      <c r="O1194" s="9"/>
      <c r="P1194" s="9"/>
      <c r="Q1194" s="9"/>
    </row>
    <row r="1195" spans="1:17" ht="15.75" customHeight="1">
      <c r="A1195" s="7" t="s">
        <v>1488</v>
      </c>
      <c r="B1195" s="7" t="s">
        <v>215</v>
      </c>
      <c r="C1195" s="7"/>
      <c r="D1195" s="7" t="s">
        <v>216</v>
      </c>
      <c r="E1195" s="7" t="s">
        <v>322</v>
      </c>
      <c r="F1195" s="8">
        <f>_xlfn.IFNA(INDEX('HS Codes'!$D$2:$K3749,MATCH($B1195,'HS Codes'!$A$2:$A3749,0),MATCH(F$1,'HS Codes'!$D$1:$K$1,0)),"")</f>
        <v>0</v>
      </c>
      <c r="G1195" s="8">
        <f>_xlfn.IFNA(INDEX('HS Codes'!$D$2:$K3749,MATCH($B1195,'HS Codes'!$A$2:$A3749,0),MATCH(G$1,'HS Codes'!$D$1:$K$1,0)),"")</f>
        <v>0</v>
      </c>
      <c r="H1195" s="8">
        <f>_xlfn.IFNA(INDEX('HS Codes'!$D$2:$K3749,MATCH($B1195,'HS Codes'!$A$2:$A3749,0),MATCH(H$1,'HS Codes'!$D$1:$K$1,0)),"")</f>
        <v>0</v>
      </c>
      <c r="I1195" s="8">
        <f>_xlfn.IFNA(INDEX('HS Codes'!$D$2:$K3749,MATCH($B1195,'HS Codes'!$A$2:$A3749,0),MATCH(I$1,'HS Codes'!$D$1:$K$1,0)),"")</f>
        <v>0</v>
      </c>
      <c r="J1195" s="8">
        <f>_xlfn.IFNA(INDEX('HS Codes'!$D$2:$K3749,MATCH($B1195,'HS Codes'!$A$2:$A3749,0),MATCH(J$1,'HS Codes'!$D$1:$K$1,0)),"")</f>
        <v>0</v>
      </c>
      <c r="K1195" s="8">
        <f>_xlfn.IFNA(INDEX('HS Codes'!$D$2:$K3749,MATCH($B1195,'HS Codes'!$A$2:$A3749,0),MATCH(K$1,'HS Codes'!$D$1:$K$1,0)),"")</f>
        <v>0</v>
      </c>
      <c r="L1195" s="8">
        <f>_xlfn.IFNA(INDEX('HS Codes'!$D$2:$K3749,MATCH($B1195,'HS Codes'!$A$2:$A3749,0),MATCH(L$1,'HS Codes'!$D$1:$K$1,0)),"")</f>
        <v>0</v>
      </c>
      <c r="M1195" s="8">
        <f>_xlfn.IFNA(INDEX('HS Codes'!$C$2:$C3749,MATCH($B1195,'HS Codes'!$A$2:$A3749,0)),"")</f>
        <v>0</v>
      </c>
      <c r="N1195" s="9"/>
      <c r="O1195" s="9"/>
      <c r="P1195" s="9"/>
      <c r="Q1195" s="9"/>
    </row>
    <row r="1196" spans="1:17" ht="15.75" customHeight="1">
      <c r="A1196" s="7" t="s">
        <v>1489</v>
      </c>
      <c r="B1196" s="7" t="s">
        <v>215</v>
      </c>
      <c r="C1196" s="7"/>
      <c r="D1196" s="7" t="s">
        <v>216</v>
      </c>
      <c r="E1196" s="7" t="s">
        <v>322</v>
      </c>
      <c r="F1196" s="8">
        <f>_xlfn.IFNA(INDEX('HS Codes'!$D$2:$K3750,MATCH($B1196,'HS Codes'!$A$2:$A3750,0),MATCH(F$1,'HS Codes'!$D$1:$K$1,0)),"")</f>
        <v>0</v>
      </c>
      <c r="G1196" s="8">
        <f>_xlfn.IFNA(INDEX('HS Codes'!$D$2:$K3750,MATCH($B1196,'HS Codes'!$A$2:$A3750,0),MATCH(G$1,'HS Codes'!$D$1:$K$1,0)),"")</f>
        <v>0</v>
      </c>
      <c r="H1196" s="8">
        <f>_xlfn.IFNA(INDEX('HS Codes'!$D$2:$K3750,MATCH($B1196,'HS Codes'!$A$2:$A3750,0),MATCH(H$1,'HS Codes'!$D$1:$K$1,0)),"")</f>
        <v>0</v>
      </c>
      <c r="I1196" s="8">
        <f>_xlfn.IFNA(INDEX('HS Codes'!$D$2:$K3750,MATCH($B1196,'HS Codes'!$A$2:$A3750,0),MATCH(I$1,'HS Codes'!$D$1:$K$1,0)),"")</f>
        <v>0</v>
      </c>
      <c r="J1196" s="8">
        <f>_xlfn.IFNA(INDEX('HS Codes'!$D$2:$K3750,MATCH($B1196,'HS Codes'!$A$2:$A3750,0),MATCH(J$1,'HS Codes'!$D$1:$K$1,0)),"")</f>
        <v>0</v>
      </c>
      <c r="K1196" s="8">
        <f>_xlfn.IFNA(INDEX('HS Codes'!$D$2:$K3750,MATCH($B1196,'HS Codes'!$A$2:$A3750,0),MATCH(K$1,'HS Codes'!$D$1:$K$1,0)),"")</f>
        <v>0</v>
      </c>
      <c r="L1196" s="8">
        <f>_xlfn.IFNA(INDEX('HS Codes'!$D$2:$K3750,MATCH($B1196,'HS Codes'!$A$2:$A3750,0),MATCH(L$1,'HS Codes'!$D$1:$K$1,0)),"")</f>
        <v>0</v>
      </c>
      <c r="M1196" s="8">
        <f>_xlfn.IFNA(INDEX('HS Codes'!$C$2:$C3750,MATCH($B1196,'HS Codes'!$A$2:$A3750,0)),"")</f>
        <v>0</v>
      </c>
      <c r="N1196" s="9"/>
      <c r="O1196" s="9"/>
      <c r="P1196" s="9"/>
      <c r="Q1196" s="9"/>
    </row>
    <row r="1197" spans="1:17" ht="15.75" customHeight="1">
      <c r="A1197" s="7" t="s">
        <v>1490</v>
      </c>
      <c r="B1197" s="7" t="s">
        <v>215</v>
      </c>
      <c r="C1197" s="7"/>
      <c r="D1197" s="7" t="s">
        <v>216</v>
      </c>
      <c r="E1197" s="7" t="s">
        <v>322</v>
      </c>
      <c r="F1197" s="8">
        <f>_xlfn.IFNA(INDEX('HS Codes'!$D$2:$K3751,MATCH($B1197,'HS Codes'!$A$2:$A3751,0),MATCH(F$1,'HS Codes'!$D$1:$K$1,0)),"")</f>
        <v>0</v>
      </c>
      <c r="G1197" s="8">
        <f>_xlfn.IFNA(INDEX('HS Codes'!$D$2:$K3751,MATCH($B1197,'HS Codes'!$A$2:$A3751,0),MATCH(G$1,'HS Codes'!$D$1:$K$1,0)),"")</f>
        <v>0</v>
      </c>
      <c r="H1197" s="8">
        <f>_xlfn.IFNA(INDEX('HS Codes'!$D$2:$K3751,MATCH($B1197,'HS Codes'!$A$2:$A3751,0),MATCH(H$1,'HS Codes'!$D$1:$K$1,0)),"")</f>
        <v>0</v>
      </c>
      <c r="I1197" s="8">
        <f>_xlfn.IFNA(INDEX('HS Codes'!$D$2:$K3751,MATCH($B1197,'HS Codes'!$A$2:$A3751,0),MATCH(I$1,'HS Codes'!$D$1:$K$1,0)),"")</f>
        <v>0</v>
      </c>
      <c r="J1197" s="8">
        <f>_xlfn.IFNA(INDEX('HS Codes'!$D$2:$K3751,MATCH($B1197,'HS Codes'!$A$2:$A3751,0),MATCH(J$1,'HS Codes'!$D$1:$K$1,0)),"")</f>
        <v>0</v>
      </c>
      <c r="K1197" s="8">
        <f>_xlfn.IFNA(INDEX('HS Codes'!$D$2:$K3751,MATCH($B1197,'HS Codes'!$A$2:$A3751,0),MATCH(K$1,'HS Codes'!$D$1:$K$1,0)),"")</f>
        <v>0</v>
      </c>
      <c r="L1197" s="8">
        <f>_xlfn.IFNA(INDEX('HS Codes'!$D$2:$K3751,MATCH($B1197,'HS Codes'!$A$2:$A3751,0),MATCH(L$1,'HS Codes'!$D$1:$K$1,0)),"")</f>
        <v>0</v>
      </c>
      <c r="M1197" s="8">
        <f>_xlfn.IFNA(INDEX('HS Codes'!$C$2:$C3751,MATCH($B1197,'HS Codes'!$A$2:$A3751,0)),"")</f>
        <v>0</v>
      </c>
      <c r="N1197" s="9"/>
      <c r="O1197" s="9"/>
      <c r="P1197" s="9"/>
      <c r="Q1197" s="9"/>
    </row>
    <row r="1198" spans="1:17" ht="15.75" customHeight="1">
      <c r="A1198" s="7" t="s">
        <v>1491</v>
      </c>
      <c r="B1198" s="7" t="s">
        <v>217</v>
      </c>
      <c r="C1198" s="7"/>
      <c r="D1198" s="7" t="s">
        <v>216</v>
      </c>
      <c r="E1198" s="7" t="s">
        <v>322</v>
      </c>
      <c r="F1198" s="8">
        <f>_xlfn.IFNA(INDEX('HS Codes'!$D$2:$K3752,MATCH($B1198,'HS Codes'!$A$2:$A3752,0),MATCH(F$1,'HS Codes'!$D$1:$K$1,0)),"")</f>
        <v>0</v>
      </c>
      <c r="G1198" s="8">
        <f>_xlfn.IFNA(INDEX('HS Codes'!$D$2:$K3752,MATCH($B1198,'HS Codes'!$A$2:$A3752,0),MATCH(G$1,'HS Codes'!$D$1:$K$1,0)),"")</f>
        <v>0</v>
      </c>
      <c r="H1198" s="8">
        <f>_xlfn.IFNA(INDEX('HS Codes'!$D$2:$K3752,MATCH($B1198,'HS Codes'!$A$2:$A3752,0),MATCH(H$1,'HS Codes'!$D$1:$K$1,0)),"")</f>
        <v>0</v>
      </c>
      <c r="I1198" s="8">
        <f>_xlfn.IFNA(INDEX('HS Codes'!$D$2:$K3752,MATCH($B1198,'HS Codes'!$A$2:$A3752,0),MATCH(I$1,'HS Codes'!$D$1:$K$1,0)),"")</f>
        <v>0</v>
      </c>
      <c r="J1198" s="8">
        <f>_xlfn.IFNA(INDEX('HS Codes'!$D$2:$K3752,MATCH($B1198,'HS Codes'!$A$2:$A3752,0),MATCH(J$1,'HS Codes'!$D$1:$K$1,0)),"")</f>
        <v>0</v>
      </c>
      <c r="K1198" s="8">
        <f>_xlfn.IFNA(INDEX('HS Codes'!$D$2:$K3752,MATCH($B1198,'HS Codes'!$A$2:$A3752,0),MATCH(K$1,'HS Codes'!$D$1:$K$1,0)),"")</f>
        <v>0</v>
      </c>
      <c r="L1198" s="8">
        <f>_xlfn.IFNA(INDEX('HS Codes'!$D$2:$K3752,MATCH($B1198,'HS Codes'!$A$2:$A3752,0),MATCH(L$1,'HS Codes'!$D$1:$K$1,0)),"")</f>
        <v>0</v>
      </c>
      <c r="M1198" s="8">
        <f>_xlfn.IFNA(INDEX('HS Codes'!$C$2:$C3752,MATCH($B1198,'HS Codes'!$A$2:$A3752,0)),"")</f>
        <v>0</v>
      </c>
      <c r="N1198" s="9"/>
      <c r="O1198" s="9"/>
      <c r="P1198" s="9"/>
      <c r="Q1198" s="9"/>
    </row>
    <row r="1199" spans="1:17" ht="15.75" customHeight="1">
      <c r="A1199" s="7" t="s">
        <v>1492</v>
      </c>
      <c r="B1199" s="7" t="s">
        <v>217</v>
      </c>
      <c r="C1199" s="7"/>
      <c r="D1199" s="7" t="s">
        <v>216</v>
      </c>
      <c r="E1199" s="7" t="s">
        <v>322</v>
      </c>
      <c r="F1199" s="8">
        <f>_xlfn.IFNA(INDEX('HS Codes'!$D$2:$K3753,MATCH($B1199,'HS Codes'!$A$2:$A3753,0),MATCH(F$1,'HS Codes'!$D$1:$K$1,0)),"")</f>
        <v>0</v>
      </c>
      <c r="G1199" s="8">
        <f>_xlfn.IFNA(INDEX('HS Codes'!$D$2:$K3753,MATCH($B1199,'HS Codes'!$A$2:$A3753,0),MATCH(G$1,'HS Codes'!$D$1:$K$1,0)),"")</f>
        <v>0</v>
      </c>
      <c r="H1199" s="8">
        <f>_xlfn.IFNA(INDEX('HS Codes'!$D$2:$K3753,MATCH($B1199,'HS Codes'!$A$2:$A3753,0),MATCH(H$1,'HS Codes'!$D$1:$K$1,0)),"")</f>
        <v>0</v>
      </c>
      <c r="I1199" s="8">
        <f>_xlfn.IFNA(INDEX('HS Codes'!$D$2:$K3753,MATCH($B1199,'HS Codes'!$A$2:$A3753,0),MATCH(I$1,'HS Codes'!$D$1:$K$1,0)),"")</f>
        <v>0</v>
      </c>
      <c r="J1199" s="8">
        <f>_xlfn.IFNA(INDEX('HS Codes'!$D$2:$K3753,MATCH($B1199,'HS Codes'!$A$2:$A3753,0),MATCH(J$1,'HS Codes'!$D$1:$K$1,0)),"")</f>
        <v>0</v>
      </c>
      <c r="K1199" s="8">
        <f>_xlfn.IFNA(INDEX('HS Codes'!$D$2:$K3753,MATCH($B1199,'HS Codes'!$A$2:$A3753,0),MATCH(K$1,'HS Codes'!$D$1:$K$1,0)),"")</f>
        <v>0</v>
      </c>
      <c r="L1199" s="8">
        <f>_xlfn.IFNA(INDEX('HS Codes'!$D$2:$K3753,MATCH($B1199,'HS Codes'!$A$2:$A3753,0),MATCH(L$1,'HS Codes'!$D$1:$K$1,0)),"")</f>
        <v>0</v>
      </c>
      <c r="M1199" s="8">
        <f>_xlfn.IFNA(INDEX('HS Codes'!$C$2:$C3753,MATCH($B1199,'HS Codes'!$A$2:$A3753,0)),"")</f>
        <v>0</v>
      </c>
      <c r="N1199" s="9"/>
      <c r="O1199" s="9"/>
      <c r="P1199" s="9"/>
      <c r="Q1199" s="9"/>
    </row>
    <row r="1200" spans="1:17" ht="15.75" customHeight="1">
      <c r="A1200" s="7" t="s">
        <v>1493</v>
      </c>
      <c r="B1200" s="7" t="s">
        <v>217</v>
      </c>
      <c r="C1200" s="7"/>
      <c r="D1200" s="7" t="s">
        <v>216</v>
      </c>
      <c r="E1200" s="7" t="s">
        <v>322</v>
      </c>
      <c r="F1200" s="8">
        <f>_xlfn.IFNA(INDEX('HS Codes'!$D$2:$K3754,MATCH($B1200,'HS Codes'!$A$2:$A3754,0),MATCH(F$1,'HS Codes'!$D$1:$K$1,0)),"")</f>
        <v>0</v>
      </c>
      <c r="G1200" s="8">
        <f>_xlfn.IFNA(INDEX('HS Codes'!$D$2:$K3754,MATCH($B1200,'HS Codes'!$A$2:$A3754,0),MATCH(G$1,'HS Codes'!$D$1:$K$1,0)),"")</f>
        <v>0</v>
      </c>
      <c r="H1200" s="8">
        <f>_xlfn.IFNA(INDEX('HS Codes'!$D$2:$K3754,MATCH($B1200,'HS Codes'!$A$2:$A3754,0),MATCH(H$1,'HS Codes'!$D$1:$K$1,0)),"")</f>
        <v>0</v>
      </c>
      <c r="I1200" s="8">
        <f>_xlfn.IFNA(INDEX('HS Codes'!$D$2:$K3754,MATCH($B1200,'HS Codes'!$A$2:$A3754,0),MATCH(I$1,'HS Codes'!$D$1:$K$1,0)),"")</f>
        <v>0</v>
      </c>
      <c r="J1200" s="8">
        <f>_xlfn.IFNA(INDEX('HS Codes'!$D$2:$K3754,MATCH($B1200,'HS Codes'!$A$2:$A3754,0),MATCH(J$1,'HS Codes'!$D$1:$K$1,0)),"")</f>
        <v>0</v>
      </c>
      <c r="K1200" s="8">
        <f>_xlfn.IFNA(INDEX('HS Codes'!$D$2:$K3754,MATCH($B1200,'HS Codes'!$A$2:$A3754,0),MATCH(K$1,'HS Codes'!$D$1:$K$1,0)),"")</f>
        <v>0</v>
      </c>
      <c r="L1200" s="8">
        <f>_xlfn.IFNA(INDEX('HS Codes'!$D$2:$K3754,MATCH($B1200,'HS Codes'!$A$2:$A3754,0),MATCH(L$1,'HS Codes'!$D$1:$K$1,0)),"")</f>
        <v>0</v>
      </c>
      <c r="M1200" s="8">
        <f>_xlfn.IFNA(INDEX('HS Codes'!$C$2:$C3754,MATCH($B1200,'HS Codes'!$A$2:$A3754,0)),"")</f>
        <v>0</v>
      </c>
      <c r="N1200" s="9"/>
      <c r="O1200" s="9"/>
      <c r="P1200" s="9"/>
      <c r="Q1200" s="9"/>
    </row>
    <row r="1201" spans="1:17" ht="15.75" customHeight="1">
      <c r="A1201" s="7" t="s">
        <v>1494</v>
      </c>
      <c r="B1201" s="7" t="s">
        <v>217</v>
      </c>
      <c r="C1201" s="7"/>
      <c r="D1201" s="7" t="s">
        <v>216</v>
      </c>
      <c r="E1201" s="7" t="s">
        <v>322</v>
      </c>
      <c r="F1201" s="8">
        <f>_xlfn.IFNA(INDEX('HS Codes'!$D$2:$K3755,MATCH($B1201,'HS Codes'!$A$2:$A3755,0),MATCH(F$1,'HS Codes'!$D$1:$K$1,0)),"")</f>
        <v>0</v>
      </c>
      <c r="G1201" s="8">
        <f>_xlfn.IFNA(INDEX('HS Codes'!$D$2:$K3755,MATCH($B1201,'HS Codes'!$A$2:$A3755,0),MATCH(G$1,'HS Codes'!$D$1:$K$1,0)),"")</f>
        <v>0</v>
      </c>
      <c r="H1201" s="8">
        <f>_xlfn.IFNA(INDEX('HS Codes'!$D$2:$K3755,MATCH($B1201,'HS Codes'!$A$2:$A3755,0),MATCH(H$1,'HS Codes'!$D$1:$K$1,0)),"")</f>
        <v>0</v>
      </c>
      <c r="I1201" s="8">
        <f>_xlfn.IFNA(INDEX('HS Codes'!$D$2:$K3755,MATCH($B1201,'HS Codes'!$A$2:$A3755,0),MATCH(I$1,'HS Codes'!$D$1:$K$1,0)),"")</f>
        <v>0</v>
      </c>
      <c r="J1201" s="8">
        <f>_xlfn.IFNA(INDEX('HS Codes'!$D$2:$K3755,MATCH($B1201,'HS Codes'!$A$2:$A3755,0),MATCH(J$1,'HS Codes'!$D$1:$K$1,0)),"")</f>
        <v>0</v>
      </c>
      <c r="K1201" s="8">
        <f>_xlfn.IFNA(INDEX('HS Codes'!$D$2:$K3755,MATCH($B1201,'HS Codes'!$A$2:$A3755,0),MATCH(K$1,'HS Codes'!$D$1:$K$1,0)),"")</f>
        <v>0</v>
      </c>
      <c r="L1201" s="8">
        <f>_xlfn.IFNA(INDEX('HS Codes'!$D$2:$K3755,MATCH($B1201,'HS Codes'!$A$2:$A3755,0),MATCH(L$1,'HS Codes'!$D$1:$K$1,0)),"")</f>
        <v>0</v>
      </c>
      <c r="M1201" s="8">
        <f>_xlfn.IFNA(INDEX('HS Codes'!$C$2:$C3755,MATCH($B1201,'HS Codes'!$A$2:$A3755,0)),"")</f>
        <v>0</v>
      </c>
      <c r="N1201" s="9"/>
      <c r="O1201" s="9"/>
      <c r="P1201" s="9"/>
      <c r="Q1201" s="9"/>
    </row>
    <row r="1202" spans="1:17" ht="15.75" customHeight="1">
      <c r="A1202" s="7" t="s">
        <v>1495</v>
      </c>
      <c r="B1202" s="7" t="s">
        <v>217</v>
      </c>
      <c r="C1202" s="7"/>
      <c r="D1202" s="7" t="s">
        <v>216</v>
      </c>
      <c r="E1202" s="7" t="s">
        <v>322</v>
      </c>
      <c r="F1202" s="8">
        <f>_xlfn.IFNA(INDEX('HS Codes'!$D$2:$K3756,MATCH($B1202,'HS Codes'!$A$2:$A3756,0),MATCH(F$1,'HS Codes'!$D$1:$K$1,0)),"")</f>
        <v>0</v>
      </c>
      <c r="G1202" s="8">
        <f>_xlfn.IFNA(INDEX('HS Codes'!$D$2:$K3756,MATCH($B1202,'HS Codes'!$A$2:$A3756,0),MATCH(G$1,'HS Codes'!$D$1:$K$1,0)),"")</f>
        <v>0</v>
      </c>
      <c r="H1202" s="8">
        <f>_xlfn.IFNA(INDEX('HS Codes'!$D$2:$K3756,MATCH($B1202,'HS Codes'!$A$2:$A3756,0),MATCH(H$1,'HS Codes'!$D$1:$K$1,0)),"")</f>
        <v>0</v>
      </c>
      <c r="I1202" s="8">
        <f>_xlfn.IFNA(INDEX('HS Codes'!$D$2:$K3756,MATCH($B1202,'HS Codes'!$A$2:$A3756,0),MATCH(I$1,'HS Codes'!$D$1:$K$1,0)),"")</f>
        <v>0</v>
      </c>
      <c r="J1202" s="8">
        <f>_xlfn.IFNA(INDEX('HS Codes'!$D$2:$K3756,MATCH($B1202,'HS Codes'!$A$2:$A3756,0),MATCH(J$1,'HS Codes'!$D$1:$K$1,0)),"")</f>
        <v>0</v>
      </c>
      <c r="K1202" s="8">
        <f>_xlfn.IFNA(INDEX('HS Codes'!$D$2:$K3756,MATCH($B1202,'HS Codes'!$A$2:$A3756,0),MATCH(K$1,'HS Codes'!$D$1:$K$1,0)),"")</f>
        <v>0</v>
      </c>
      <c r="L1202" s="8">
        <f>_xlfn.IFNA(INDEX('HS Codes'!$D$2:$K3756,MATCH($B1202,'HS Codes'!$A$2:$A3756,0),MATCH(L$1,'HS Codes'!$D$1:$K$1,0)),"")</f>
        <v>0</v>
      </c>
      <c r="M1202" s="8">
        <f>_xlfn.IFNA(INDEX('HS Codes'!$C$2:$C3756,MATCH($B1202,'HS Codes'!$A$2:$A3756,0)),"")</f>
        <v>0</v>
      </c>
      <c r="N1202" s="9"/>
      <c r="O1202" s="9"/>
      <c r="P1202" s="9"/>
      <c r="Q1202" s="9"/>
    </row>
    <row r="1203" spans="1:17" ht="15.75" customHeight="1">
      <c r="A1203" s="7" t="s">
        <v>1496</v>
      </c>
      <c r="B1203" s="7" t="s">
        <v>217</v>
      </c>
      <c r="C1203" s="7"/>
      <c r="D1203" s="7" t="s">
        <v>216</v>
      </c>
      <c r="E1203" s="7" t="s">
        <v>322</v>
      </c>
      <c r="F1203" s="8">
        <f>_xlfn.IFNA(INDEX('HS Codes'!$D$2:$K3757,MATCH($B1203,'HS Codes'!$A$2:$A3757,0),MATCH(F$1,'HS Codes'!$D$1:$K$1,0)),"")</f>
        <v>0</v>
      </c>
      <c r="G1203" s="8">
        <f>_xlfn.IFNA(INDEX('HS Codes'!$D$2:$K3757,MATCH($B1203,'HS Codes'!$A$2:$A3757,0),MATCH(G$1,'HS Codes'!$D$1:$K$1,0)),"")</f>
        <v>0</v>
      </c>
      <c r="H1203" s="8">
        <f>_xlfn.IFNA(INDEX('HS Codes'!$D$2:$K3757,MATCH($B1203,'HS Codes'!$A$2:$A3757,0),MATCH(H$1,'HS Codes'!$D$1:$K$1,0)),"")</f>
        <v>0</v>
      </c>
      <c r="I1203" s="8">
        <f>_xlfn.IFNA(INDEX('HS Codes'!$D$2:$K3757,MATCH($B1203,'HS Codes'!$A$2:$A3757,0),MATCH(I$1,'HS Codes'!$D$1:$K$1,0)),"")</f>
        <v>0</v>
      </c>
      <c r="J1203" s="8">
        <f>_xlfn.IFNA(INDEX('HS Codes'!$D$2:$K3757,MATCH($B1203,'HS Codes'!$A$2:$A3757,0),MATCH(J$1,'HS Codes'!$D$1:$K$1,0)),"")</f>
        <v>0</v>
      </c>
      <c r="K1203" s="8">
        <f>_xlfn.IFNA(INDEX('HS Codes'!$D$2:$K3757,MATCH($B1203,'HS Codes'!$A$2:$A3757,0),MATCH(K$1,'HS Codes'!$D$1:$K$1,0)),"")</f>
        <v>0</v>
      </c>
      <c r="L1203" s="8">
        <f>_xlfn.IFNA(INDEX('HS Codes'!$D$2:$K3757,MATCH($B1203,'HS Codes'!$A$2:$A3757,0),MATCH(L$1,'HS Codes'!$D$1:$K$1,0)),"")</f>
        <v>0</v>
      </c>
      <c r="M1203" s="8">
        <f>_xlfn.IFNA(INDEX('HS Codes'!$C$2:$C3757,MATCH($B1203,'HS Codes'!$A$2:$A3757,0)),"")</f>
        <v>0</v>
      </c>
      <c r="N1203" s="9"/>
      <c r="O1203" s="9"/>
      <c r="P1203" s="9"/>
      <c r="Q1203" s="9"/>
    </row>
    <row r="1204" spans="1:17" ht="15.75" customHeight="1">
      <c r="A1204" s="7" t="s">
        <v>1497</v>
      </c>
      <c r="B1204" s="7" t="s">
        <v>217</v>
      </c>
      <c r="C1204" s="7"/>
      <c r="D1204" s="7" t="s">
        <v>216</v>
      </c>
      <c r="E1204" s="7" t="s">
        <v>322</v>
      </c>
      <c r="F1204" s="8">
        <f>_xlfn.IFNA(INDEX('HS Codes'!$D$2:$K3758,MATCH($B1204,'HS Codes'!$A$2:$A3758,0),MATCH(F$1,'HS Codes'!$D$1:$K$1,0)),"")</f>
        <v>0</v>
      </c>
      <c r="G1204" s="8">
        <f>_xlfn.IFNA(INDEX('HS Codes'!$D$2:$K3758,MATCH($B1204,'HS Codes'!$A$2:$A3758,0),MATCH(G$1,'HS Codes'!$D$1:$K$1,0)),"")</f>
        <v>0</v>
      </c>
      <c r="H1204" s="8">
        <f>_xlfn.IFNA(INDEX('HS Codes'!$D$2:$K3758,MATCH($B1204,'HS Codes'!$A$2:$A3758,0),MATCH(H$1,'HS Codes'!$D$1:$K$1,0)),"")</f>
        <v>0</v>
      </c>
      <c r="I1204" s="8">
        <f>_xlfn.IFNA(INDEX('HS Codes'!$D$2:$K3758,MATCH($B1204,'HS Codes'!$A$2:$A3758,0),MATCH(I$1,'HS Codes'!$D$1:$K$1,0)),"")</f>
        <v>0</v>
      </c>
      <c r="J1204" s="8">
        <f>_xlfn.IFNA(INDEX('HS Codes'!$D$2:$K3758,MATCH($B1204,'HS Codes'!$A$2:$A3758,0),MATCH(J$1,'HS Codes'!$D$1:$K$1,0)),"")</f>
        <v>0</v>
      </c>
      <c r="K1204" s="8">
        <f>_xlfn.IFNA(INDEX('HS Codes'!$D$2:$K3758,MATCH($B1204,'HS Codes'!$A$2:$A3758,0),MATCH(K$1,'HS Codes'!$D$1:$K$1,0)),"")</f>
        <v>0</v>
      </c>
      <c r="L1204" s="8">
        <f>_xlfn.IFNA(INDEX('HS Codes'!$D$2:$K3758,MATCH($B1204,'HS Codes'!$A$2:$A3758,0),MATCH(L$1,'HS Codes'!$D$1:$K$1,0)),"")</f>
        <v>0</v>
      </c>
      <c r="M1204" s="8">
        <f>_xlfn.IFNA(INDEX('HS Codes'!$C$2:$C3758,MATCH($B1204,'HS Codes'!$A$2:$A3758,0)),"")</f>
        <v>0</v>
      </c>
      <c r="N1204" s="9"/>
      <c r="O1204" s="9"/>
      <c r="P1204" s="9"/>
      <c r="Q1204" s="9"/>
    </row>
    <row r="1205" spans="1:17" ht="15.75" customHeight="1">
      <c r="A1205" s="7" t="s">
        <v>1498</v>
      </c>
      <c r="B1205" s="7" t="s">
        <v>217</v>
      </c>
      <c r="C1205" s="7"/>
      <c r="D1205" s="7" t="s">
        <v>216</v>
      </c>
      <c r="E1205" s="7" t="s">
        <v>322</v>
      </c>
      <c r="F1205" s="8">
        <f>_xlfn.IFNA(INDEX('HS Codes'!$D$2:$K3759,MATCH($B1205,'HS Codes'!$A$2:$A3759,0),MATCH(F$1,'HS Codes'!$D$1:$K$1,0)),"")</f>
        <v>0</v>
      </c>
      <c r="G1205" s="8">
        <f>_xlfn.IFNA(INDEX('HS Codes'!$D$2:$K3759,MATCH($B1205,'HS Codes'!$A$2:$A3759,0),MATCH(G$1,'HS Codes'!$D$1:$K$1,0)),"")</f>
        <v>0</v>
      </c>
      <c r="H1205" s="8">
        <f>_xlfn.IFNA(INDEX('HS Codes'!$D$2:$K3759,MATCH($B1205,'HS Codes'!$A$2:$A3759,0),MATCH(H$1,'HS Codes'!$D$1:$K$1,0)),"")</f>
        <v>0</v>
      </c>
      <c r="I1205" s="8">
        <f>_xlfn.IFNA(INDEX('HS Codes'!$D$2:$K3759,MATCH($B1205,'HS Codes'!$A$2:$A3759,0),MATCH(I$1,'HS Codes'!$D$1:$K$1,0)),"")</f>
        <v>0</v>
      </c>
      <c r="J1205" s="8">
        <f>_xlfn.IFNA(INDEX('HS Codes'!$D$2:$K3759,MATCH($B1205,'HS Codes'!$A$2:$A3759,0),MATCH(J$1,'HS Codes'!$D$1:$K$1,0)),"")</f>
        <v>0</v>
      </c>
      <c r="K1205" s="8">
        <f>_xlfn.IFNA(INDEX('HS Codes'!$D$2:$K3759,MATCH($B1205,'HS Codes'!$A$2:$A3759,0),MATCH(K$1,'HS Codes'!$D$1:$K$1,0)),"")</f>
        <v>0</v>
      </c>
      <c r="L1205" s="8">
        <f>_xlfn.IFNA(INDEX('HS Codes'!$D$2:$K3759,MATCH($B1205,'HS Codes'!$A$2:$A3759,0),MATCH(L$1,'HS Codes'!$D$1:$K$1,0)),"")</f>
        <v>0</v>
      </c>
      <c r="M1205" s="8">
        <f>_xlfn.IFNA(INDEX('HS Codes'!$C$2:$C3759,MATCH($B1205,'HS Codes'!$A$2:$A3759,0)),"")</f>
        <v>0</v>
      </c>
      <c r="N1205" s="9"/>
      <c r="O1205" s="9"/>
      <c r="P1205" s="9"/>
      <c r="Q1205" s="9"/>
    </row>
    <row r="1206" spans="1:17" ht="15.75" customHeight="1">
      <c r="A1206" s="7" t="s">
        <v>1499</v>
      </c>
      <c r="B1206" s="7" t="s">
        <v>217</v>
      </c>
      <c r="C1206" s="7"/>
      <c r="D1206" s="7" t="s">
        <v>216</v>
      </c>
      <c r="E1206" s="7" t="s">
        <v>322</v>
      </c>
      <c r="F1206" s="8">
        <f>_xlfn.IFNA(INDEX('HS Codes'!$D$2:$K3760,MATCH($B1206,'HS Codes'!$A$2:$A3760,0),MATCH(F$1,'HS Codes'!$D$1:$K$1,0)),"")</f>
        <v>0</v>
      </c>
      <c r="G1206" s="8">
        <f>_xlfn.IFNA(INDEX('HS Codes'!$D$2:$K3760,MATCH($B1206,'HS Codes'!$A$2:$A3760,0),MATCH(G$1,'HS Codes'!$D$1:$K$1,0)),"")</f>
        <v>0</v>
      </c>
      <c r="H1206" s="8">
        <f>_xlfn.IFNA(INDEX('HS Codes'!$D$2:$K3760,MATCH($B1206,'HS Codes'!$A$2:$A3760,0),MATCH(H$1,'HS Codes'!$D$1:$K$1,0)),"")</f>
        <v>0</v>
      </c>
      <c r="I1206" s="8">
        <f>_xlfn.IFNA(INDEX('HS Codes'!$D$2:$K3760,MATCH($B1206,'HS Codes'!$A$2:$A3760,0),MATCH(I$1,'HS Codes'!$D$1:$K$1,0)),"")</f>
        <v>0</v>
      </c>
      <c r="J1206" s="8">
        <f>_xlfn.IFNA(INDEX('HS Codes'!$D$2:$K3760,MATCH($B1206,'HS Codes'!$A$2:$A3760,0),MATCH(J$1,'HS Codes'!$D$1:$K$1,0)),"")</f>
        <v>0</v>
      </c>
      <c r="K1206" s="8">
        <f>_xlfn.IFNA(INDEX('HS Codes'!$D$2:$K3760,MATCH($B1206,'HS Codes'!$A$2:$A3760,0),MATCH(K$1,'HS Codes'!$D$1:$K$1,0)),"")</f>
        <v>0</v>
      </c>
      <c r="L1206" s="8">
        <f>_xlfn.IFNA(INDEX('HS Codes'!$D$2:$K3760,MATCH($B1206,'HS Codes'!$A$2:$A3760,0),MATCH(L$1,'HS Codes'!$D$1:$K$1,0)),"")</f>
        <v>0</v>
      </c>
      <c r="M1206" s="8">
        <f>_xlfn.IFNA(INDEX('HS Codes'!$C$2:$C3760,MATCH($B1206,'HS Codes'!$A$2:$A3760,0)),"")</f>
        <v>0</v>
      </c>
      <c r="N1206" s="9"/>
      <c r="O1206" s="9"/>
      <c r="P1206" s="9"/>
      <c r="Q1206" s="9"/>
    </row>
    <row r="1207" spans="1:17" ht="15.75" customHeight="1">
      <c r="A1207" s="7" t="s">
        <v>1500</v>
      </c>
      <c r="B1207" s="7" t="s">
        <v>217</v>
      </c>
      <c r="C1207" s="7"/>
      <c r="D1207" s="7" t="s">
        <v>216</v>
      </c>
      <c r="E1207" s="7" t="s">
        <v>322</v>
      </c>
      <c r="F1207" s="8">
        <f>_xlfn.IFNA(INDEX('HS Codes'!$D$2:$K3761,MATCH($B1207,'HS Codes'!$A$2:$A3761,0),MATCH(F$1,'HS Codes'!$D$1:$K$1,0)),"")</f>
        <v>0</v>
      </c>
      <c r="G1207" s="8">
        <f>_xlfn.IFNA(INDEX('HS Codes'!$D$2:$K3761,MATCH($B1207,'HS Codes'!$A$2:$A3761,0),MATCH(G$1,'HS Codes'!$D$1:$K$1,0)),"")</f>
        <v>0</v>
      </c>
      <c r="H1207" s="8">
        <f>_xlfn.IFNA(INDEX('HS Codes'!$D$2:$K3761,MATCH($B1207,'HS Codes'!$A$2:$A3761,0),MATCH(H$1,'HS Codes'!$D$1:$K$1,0)),"")</f>
        <v>0</v>
      </c>
      <c r="I1207" s="8">
        <f>_xlfn.IFNA(INDEX('HS Codes'!$D$2:$K3761,MATCH($B1207,'HS Codes'!$A$2:$A3761,0),MATCH(I$1,'HS Codes'!$D$1:$K$1,0)),"")</f>
        <v>0</v>
      </c>
      <c r="J1207" s="8">
        <f>_xlfn.IFNA(INDEX('HS Codes'!$D$2:$K3761,MATCH($B1207,'HS Codes'!$A$2:$A3761,0),MATCH(J$1,'HS Codes'!$D$1:$K$1,0)),"")</f>
        <v>0</v>
      </c>
      <c r="K1207" s="8">
        <f>_xlfn.IFNA(INDEX('HS Codes'!$D$2:$K3761,MATCH($B1207,'HS Codes'!$A$2:$A3761,0),MATCH(K$1,'HS Codes'!$D$1:$K$1,0)),"")</f>
        <v>0</v>
      </c>
      <c r="L1207" s="8">
        <f>_xlfn.IFNA(INDEX('HS Codes'!$D$2:$K3761,MATCH($B1207,'HS Codes'!$A$2:$A3761,0),MATCH(L$1,'HS Codes'!$D$1:$K$1,0)),"")</f>
        <v>0</v>
      </c>
      <c r="M1207" s="8">
        <f>_xlfn.IFNA(INDEX('HS Codes'!$C$2:$C3761,MATCH($B1207,'HS Codes'!$A$2:$A3761,0)),"")</f>
        <v>0</v>
      </c>
      <c r="N1207" s="9"/>
      <c r="O1207" s="9"/>
      <c r="P1207" s="9"/>
      <c r="Q1207" s="9"/>
    </row>
    <row r="1208" spans="1:17" ht="15.75" customHeight="1">
      <c r="A1208" s="7" t="s">
        <v>1501</v>
      </c>
      <c r="B1208" s="7" t="s">
        <v>217</v>
      </c>
      <c r="C1208" s="7"/>
      <c r="D1208" s="7" t="s">
        <v>216</v>
      </c>
      <c r="E1208" s="7" t="s">
        <v>322</v>
      </c>
      <c r="F1208" s="8">
        <f>_xlfn.IFNA(INDEX('HS Codes'!$D$2:$K3762,MATCH($B1208,'HS Codes'!$A$2:$A3762,0),MATCH(F$1,'HS Codes'!$D$1:$K$1,0)),"")</f>
        <v>0</v>
      </c>
      <c r="G1208" s="8">
        <f>_xlfn.IFNA(INDEX('HS Codes'!$D$2:$K3762,MATCH($B1208,'HS Codes'!$A$2:$A3762,0),MATCH(G$1,'HS Codes'!$D$1:$K$1,0)),"")</f>
        <v>0</v>
      </c>
      <c r="H1208" s="8">
        <f>_xlfn.IFNA(INDEX('HS Codes'!$D$2:$K3762,MATCH($B1208,'HS Codes'!$A$2:$A3762,0),MATCH(H$1,'HS Codes'!$D$1:$K$1,0)),"")</f>
        <v>0</v>
      </c>
      <c r="I1208" s="8">
        <f>_xlfn.IFNA(INDEX('HS Codes'!$D$2:$K3762,MATCH($B1208,'HS Codes'!$A$2:$A3762,0),MATCH(I$1,'HS Codes'!$D$1:$K$1,0)),"")</f>
        <v>0</v>
      </c>
      <c r="J1208" s="8">
        <f>_xlfn.IFNA(INDEX('HS Codes'!$D$2:$K3762,MATCH($B1208,'HS Codes'!$A$2:$A3762,0),MATCH(J$1,'HS Codes'!$D$1:$K$1,0)),"")</f>
        <v>0</v>
      </c>
      <c r="K1208" s="8">
        <f>_xlfn.IFNA(INDEX('HS Codes'!$D$2:$K3762,MATCH($B1208,'HS Codes'!$A$2:$A3762,0),MATCH(K$1,'HS Codes'!$D$1:$K$1,0)),"")</f>
        <v>0</v>
      </c>
      <c r="L1208" s="8">
        <f>_xlfn.IFNA(INDEX('HS Codes'!$D$2:$K3762,MATCH($B1208,'HS Codes'!$A$2:$A3762,0),MATCH(L$1,'HS Codes'!$D$1:$K$1,0)),"")</f>
        <v>0</v>
      </c>
      <c r="M1208" s="8">
        <f>_xlfn.IFNA(INDEX('HS Codes'!$C$2:$C3762,MATCH($B1208,'HS Codes'!$A$2:$A3762,0)),"")</f>
        <v>0</v>
      </c>
      <c r="N1208" s="9"/>
      <c r="O1208" s="9"/>
      <c r="P1208" s="9"/>
      <c r="Q1208" s="9"/>
    </row>
    <row r="1209" spans="1:17" ht="15.75" customHeight="1">
      <c r="A1209" s="7" t="s">
        <v>1502</v>
      </c>
      <c r="B1209" s="7" t="s">
        <v>217</v>
      </c>
      <c r="C1209" s="7"/>
      <c r="D1209" s="7" t="s">
        <v>216</v>
      </c>
      <c r="E1209" s="7" t="s">
        <v>322</v>
      </c>
      <c r="F1209" s="8">
        <f>_xlfn.IFNA(INDEX('HS Codes'!$D$2:$K3763,MATCH($B1209,'HS Codes'!$A$2:$A3763,0),MATCH(F$1,'HS Codes'!$D$1:$K$1,0)),"")</f>
        <v>0</v>
      </c>
      <c r="G1209" s="8">
        <f>_xlfn.IFNA(INDEX('HS Codes'!$D$2:$K3763,MATCH($B1209,'HS Codes'!$A$2:$A3763,0),MATCH(G$1,'HS Codes'!$D$1:$K$1,0)),"")</f>
        <v>0</v>
      </c>
      <c r="H1209" s="8">
        <f>_xlfn.IFNA(INDEX('HS Codes'!$D$2:$K3763,MATCH($B1209,'HS Codes'!$A$2:$A3763,0),MATCH(H$1,'HS Codes'!$D$1:$K$1,0)),"")</f>
        <v>0</v>
      </c>
      <c r="I1209" s="8">
        <f>_xlfn.IFNA(INDEX('HS Codes'!$D$2:$K3763,MATCH($B1209,'HS Codes'!$A$2:$A3763,0),MATCH(I$1,'HS Codes'!$D$1:$K$1,0)),"")</f>
        <v>0</v>
      </c>
      <c r="J1209" s="8">
        <f>_xlfn.IFNA(INDEX('HS Codes'!$D$2:$K3763,MATCH($B1209,'HS Codes'!$A$2:$A3763,0),MATCH(J$1,'HS Codes'!$D$1:$K$1,0)),"")</f>
        <v>0</v>
      </c>
      <c r="K1209" s="8">
        <f>_xlfn.IFNA(INDEX('HS Codes'!$D$2:$K3763,MATCH($B1209,'HS Codes'!$A$2:$A3763,0),MATCH(K$1,'HS Codes'!$D$1:$K$1,0)),"")</f>
        <v>0</v>
      </c>
      <c r="L1209" s="8">
        <f>_xlfn.IFNA(INDEX('HS Codes'!$D$2:$K3763,MATCH($B1209,'HS Codes'!$A$2:$A3763,0),MATCH(L$1,'HS Codes'!$D$1:$K$1,0)),"")</f>
        <v>0</v>
      </c>
      <c r="M1209" s="8">
        <f>_xlfn.IFNA(INDEX('HS Codes'!$C$2:$C3763,MATCH($B1209,'HS Codes'!$A$2:$A3763,0)),"")</f>
        <v>0</v>
      </c>
      <c r="N1209" s="9"/>
      <c r="O1209" s="9"/>
      <c r="P1209" s="9"/>
      <c r="Q1209" s="9"/>
    </row>
    <row r="1210" spans="1:17" ht="15.75" customHeight="1">
      <c r="A1210" s="7" t="s">
        <v>1503</v>
      </c>
      <c r="B1210" s="7" t="s">
        <v>217</v>
      </c>
      <c r="C1210" s="7"/>
      <c r="D1210" s="7" t="s">
        <v>216</v>
      </c>
      <c r="E1210" s="7" t="s">
        <v>322</v>
      </c>
      <c r="F1210" s="8">
        <f>_xlfn.IFNA(INDEX('HS Codes'!$D$2:$K3764,MATCH($B1210,'HS Codes'!$A$2:$A3764,0),MATCH(F$1,'HS Codes'!$D$1:$K$1,0)),"")</f>
        <v>0</v>
      </c>
      <c r="G1210" s="8">
        <f>_xlfn.IFNA(INDEX('HS Codes'!$D$2:$K3764,MATCH($B1210,'HS Codes'!$A$2:$A3764,0),MATCH(G$1,'HS Codes'!$D$1:$K$1,0)),"")</f>
        <v>0</v>
      </c>
      <c r="H1210" s="8">
        <f>_xlfn.IFNA(INDEX('HS Codes'!$D$2:$K3764,MATCH($B1210,'HS Codes'!$A$2:$A3764,0),MATCH(H$1,'HS Codes'!$D$1:$K$1,0)),"")</f>
        <v>0</v>
      </c>
      <c r="I1210" s="8">
        <f>_xlfn.IFNA(INDEX('HS Codes'!$D$2:$K3764,MATCH($B1210,'HS Codes'!$A$2:$A3764,0),MATCH(I$1,'HS Codes'!$D$1:$K$1,0)),"")</f>
        <v>0</v>
      </c>
      <c r="J1210" s="8">
        <f>_xlfn.IFNA(INDEX('HS Codes'!$D$2:$K3764,MATCH($B1210,'HS Codes'!$A$2:$A3764,0),MATCH(J$1,'HS Codes'!$D$1:$K$1,0)),"")</f>
        <v>0</v>
      </c>
      <c r="K1210" s="8">
        <f>_xlfn.IFNA(INDEX('HS Codes'!$D$2:$K3764,MATCH($B1210,'HS Codes'!$A$2:$A3764,0),MATCH(K$1,'HS Codes'!$D$1:$K$1,0)),"")</f>
        <v>0</v>
      </c>
      <c r="L1210" s="8">
        <f>_xlfn.IFNA(INDEX('HS Codes'!$D$2:$K3764,MATCH($B1210,'HS Codes'!$A$2:$A3764,0),MATCH(L$1,'HS Codes'!$D$1:$K$1,0)),"")</f>
        <v>0</v>
      </c>
      <c r="M1210" s="8">
        <f>_xlfn.IFNA(INDEX('HS Codes'!$C$2:$C3764,MATCH($B1210,'HS Codes'!$A$2:$A3764,0)),"")</f>
        <v>0</v>
      </c>
      <c r="N1210" s="9"/>
      <c r="O1210" s="9"/>
      <c r="P1210" s="9"/>
      <c r="Q1210" s="9"/>
    </row>
    <row r="1211" spans="1:17" ht="15.75" customHeight="1">
      <c r="A1211" s="7" t="s">
        <v>1504</v>
      </c>
      <c r="B1211" s="7" t="s">
        <v>218</v>
      </c>
      <c r="C1211" s="7"/>
      <c r="D1211" s="7" t="s">
        <v>219</v>
      </c>
      <c r="E1211" s="7" t="s">
        <v>322</v>
      </c>
      <c r="F1211" s="8">
        <f>_xlfn.IFNA(INDEX('HS Codes'!$D$2:$K3765,MATCH($B1211,'HS Codes'!$A$2:$A3765,0),MATCH(F$1,'HS Codes'!$D$1:$K$1,0)),"")</f>
        <v>0</v>
      </c>
      <c r="G1211" s="8">
        <f>_xlfn.IFNA(INDEX('HS Codes'!$D$2:$K3765,MATCH($B1211,'HS Codes'!$A$2:$A3765,0),MATCH(G$1,'HS Codes'!$D$1:$K$1,0)),"")</f>
        <v>0</v>
      </c>
      <c r="H1211" s="8">
        <f>_xlfn.IFNA(INDEX('HS Codes'!$D$2:$K3765,MATCH($B1211,'HS Codes'!$A$2:$A3765,0),MATCH(H$1,'HS Codes'!$D$1:$K$1,0)),"")</f>
        <v>0</v>
      </c>
      <c r="I1211" s="8">
        <f>_xlfn.IFNA(INDEX('HS Codes'!$D$2:$K3765,MATCH($B1211,'HS Codes'!$A$2:$A3765,0),MATCH(I$1,'HS Codes'!$D$1:$K$1,0)),"")</f>
        <v>0</v>
      </c>
      <c r="J1211" s="8">
        <f>_xlfn.IFNA(INDEX('HS Codes'!$D$2:$K3765,MATCH($B1211,'HS Codes'!$A$2:$A3765,0),MATCH(J$1,'HS Codes'!$D$1:$K$1,0)),"")</f>
        <v>0</v>
      </c>
      <c r="K1211" s="8">
        <f>_xlfn.IFNA(INDEX('HS Codes'!$D$2:$K3765,MATCH($B1211,'HS Codes'!$A$2:$A3765,0),MATCH(K$1,'HS Codes'!$D$1:$K$1,0)),"")</f>
        <v>0</v>
      </c>
      <c r="L1211" s="8">
        <f>_xlfn.IFNA(INDEX('HS Codes'!$D$2:$K3765,MATCH($B1211,'HS Codes'!$A$2:$A3765,0),MATCH(L$1,'HS Codes'!$D$1:$K$1,0)),"")</f>
        <v>0</v>
      </c>
      <c r="M1211" s="8">
        <f>_xlfn.IFNA(INDEX('HS Codes'!$C$2:$C3765,MATCH($B1211,'HS Codes'!$A$2:$A3765,0)),"")</f>
        <v>0</v>
      </c>
      <c r="N1211" s="9"/>
      <c r="O1211" s="9"/>
      <c r="P1211" s="9"/>
      <c r="Q1211" s="9"/>
    </row>
    <row r="1212" spans="1:17" ht="15.75" customHeight="1">
      <c r="A1212" s="7" t="s">
        <v>1505</v>
      </c>
      <c r="B1212" s="7" t="s">
        <v>218</v>
      </c>
      <c r="C1212" s="7"/>
      <c r="D1212" s="7" t="s">
        <v>219</v>
      </c>
      <c r="E1212" s="7" t="s">
        <v>322</v>
      </c>
      <c r="F1212" s="8">
        <f>_xlfn.IFNA(INDEX('HS Codes'!$D$2:$K3766,MATCH($B1212,'HS Codes'!$A$2:$A3766,0),MATCH(F$1,'HS Codes'!$D$1:$K$1,0)),"")</f>
        <v>0</v>
      </c>
      <c r="G1212" s="8">
        <f>_xlfn.IFNA(INDEX('HS Codes'!$D$2:$K3766,MATCH($B1212,'HS Codes'!$A$2:$A3766,0),MATCH(G$1,'HS Codes'!$D$1:$K$1,0)),"")</f>
        <v>0</v>
      </c>
      <c r="H1212" s="8">
        <f>_xlfn.IFNA(INDEX('HS Codes'!$D$2:$K3766,MATCH($B1212,'HS Codes'!$A$2:$A3766,0),MATCH(H$1,'HS Codes'!$D$1:$K$1,0)),"")</f>
        <v>0</v>
      </c>
      <c r="I1212" s="8">
        <f>_xlfn.IFNA(INDEX('HS Codes'!$D$2:$K3766,MATCH($B1212,'HS Codes'!$A$2:$A3766,0),MATCH(I$1,'HS Codes'!$D$1:$K$1,0)),"")</f>
        <v>0</v>
      </c>
      <c r="J1212" s="8">
        <f>_xlfn.IFNA(INDEX('HS Codes'!$D$2:$K3766,MATCH($B1212,'HS Codes'!$A$2:$A3766,0),MATCH(J$1,'HS Codes'!$D$1:$K$1,0)),"")</f>
        <v>0</v>
      </c>
      <c r="K1212" s="8">
        <f>_xlfn.IFNA(INDEX('HS Codes'!$D$2:$K3766,MATCH($B1212,'HS Codes'!$A$2:$A3766,0),MATCH(K$1,'HS Codes'!$D$1:$K$1,0)),"")</f>
        <v>0</v>
      </c>
      <c r="L1212" s="8">
        <f>_xlfn.IFNA(INDEX('HS Codes'!$D$2:$K3766,MATCH($B1212,'HS Codes'!$A$2:$A3766,0),MATCH(L$1,'HS Codes'!$D$1:$K$1,0)),"")</f>
        <v>0</v>
      </c>
      <c r="M1212" s="8">
        <f>_xlfn.IFNA(INDEX('HS Codes'!$C$2:$C3766,MATCH($B1212,'HS Codes'!$A$2:$A3766,0)),"")</f>
        <v>0</v>
      </c>
      <c r="N1212" s="9"/>
      <c r="O1212" s="9"/>
      <c r="P1212" s="9"/>
      <c r="Q1212" s="9"/>
    </row>
    <row r="1213" spans="1:17" ht="15.75" customHeight="1">
      <c r="A1213" s="7" t="s">
        <v>1506</v>
      </c>
      <c r="B1213" s="7" t="s">
        <v>218</v>
      </c>
      <c r="C1213" s="7"/>
      <c r="D1213" s="7" t="s">
        <v>219</v>
      </c>
      <c r="E1213" s="7" t="s">
        <v>322</v>
      </c>
      <c r="F1213" s="8">
        <f>_xlfn.IFNA(INDEX('HS Codes'!$D$2:$K3767,MATCH($B1213,'HS Codes'!$A$2:$A3767,0),MATCH(F$1,'HS Codes'!$D$1:$K$1,0)),"")</f>
        <v>0</v>
      </c>
      <c r="G1213" s="8">
        <f>_xlfn.IFNA(INDEX('HS Codes'!$D$2:$K3767,MATCH($B1213,'HS Codes'!$A$2:$A3767,0),MATCH(G$1,'HS Codes'!$D$1:$K$1,0)),"")</f>
        <v>0</v>
      </c>
      <c r="H1213" s="8">
        <f>_xlfn.IFNA(INDEX('HS Codes'!$D$2:$K3767,MATCH($B1213,'HS Codes'!$A$2:$A3767,0),MATCH(H$1,'HS Codes'!$D$1:$K$1,0)),"")</f>
        <v>0</v>
      </c>
      <c r="I1213" s="8">
        <f>_xlfn.IFNA(INDEX('HS Codes'!$D$2:$K3767,MATCH($B1213,'HS Codes'!$A$2:$A3767,0),MATCH(I$1,'HS Codes'!$D$1:$K$1,0)),"")</f>
        <v>0</v>
      </c>
      <c r="J1213" s="8">
        <f>_xlfn.IFNA(INDEX('HS Codes'!$D$2:$K3767,MATCH($B1213,'HS Codes'!$A$2:$A3767,0),MATCH(J$1,'HS Codes'!$D$1:$K$1,0)),"")</f>
        <v>0</v>
      </c>
      <c r="K1213" s="8">
        <f>_xlfn.IFNA(INDEX('HS Codes'!$D$2:$K3767,MATCH($B1213,'HS Codes'!$A$2:$A3767,0),MATCH(K$1,'HS Codes'!$D$1:$K$1,0)),"")</f>
        <v>0</v>
      </c>
      <c r="L1213" s="8">
        <f>_xlfn.IFNA(INDEX('HS Codes'!$D$2:$K3767,MATCH($B1213,'HS Codes'!$A$2:$A3767,0),MATCH(L$1,'HS Codes'!$D$1:$K$1,0)),"")</f>
        <v>0</v>
      </c>
      <c r="M1213" s="8">
        <f>_xlfn.IFNA(INDEX('HS Codes'!$C$2:$C3767,MATCH($B1213,'HS Codes'!$A$2:$A3767,0)),"")</f>
        <v>0</v>
      </c>
      <c r="N1213" s="9"/>
      <c r="O1213" s="9"/>
      <c r="P1213" s="9"/>
      <c r="Q1213" s="9"/>
    </row>
    <row r="1214" spans="1:17" ht="15.75" customHeight="1">
      <c r="A1214" s="7" t="s">
        <v>1507</v>
      </c>
      <c r="B1214" s="7" t="s">
        <v>218</v>
      </c>
      <c r="C1214" s="7"/>
      <c r="D1214" s="7" t="s">
        <v>219</v>
      </c>
      <c r="E1214" s="7" t="s">
        <v>322</v>
      </c>
      <c r="F1214" s="8">
        <f>_xlfn.IFNA(INDEX('HS Codes'!$D$2:$K3768,MATCH($B1214,'HS Codes'!$A$2:$A3768,0),MATCH(F$1,'HS Codes'!$D$1:$K$1,0)),"")</f>
        <v>0</v>
      </c>
      <c r="G1214" s="8">
        <f>_xlfn.IFNA(INDEX('HS Codes'!$D$2:$K3768,MATCH($B1214,'HS Codes'!$A$2:$A3768,0),MATCH(G$1,'HS Codes'!$D$1:$K$1,0)),"")</f>
        <v>0</v>
      </c>
      <c r="H1214" s="8">
        <f>_xlfn.IFNA(INDEX('HS Codes'!$D$2:$K3768,MATCH($B1214,'HS Codes'!$A$2:$A3768,0),MATCH(H$1,'HS Codes'!$D$1:$K$1,0)),"")</f>
        <v>0</v>
      </c>
      <c r="I1214" s="8">
        <f>_xlfn.IFNA(INDEX('HS Codes'!$D$2:$K3768,MATCH($B1214,'HS Codes'!$A$2:$A3768,0),MATCH(I$1,'HS Codes'!$D$1:$K$1,0)),"")</f>
        <v>0</v>
      </c>
      <c r="J1214" s="8">
        <f>_xlfn.IFNA(INDEX('HS Codes'!$D$2:$K3768,MATCH($B1214,'HS Codes'!$A$2:$A3768,0),MATCH(J$1,'HS Codes'!$D$1:$K$1,0)),"")</f>
        <v>0</v>
      </c>
      <c r="K1214" s="8">
        <f>_xlfn.IFNA(INDEX('HS Codes'!$D$2:$K3768,MATCH($B1214,'HS Codes'!$A$2:$A3768,0),MATCH(K$1,'HS Codes'!$D$1:$K$1,0)),"")</f>
        <v>0</v>
      </c>
      <c r="L1214" s="8">
        <f>_xlfn.IFNA(INDEX('HS Codes'!$D$2:$K3768,MATCH($B1214,'HS Codes'!$A$2:$A3768,0),MATCH(L$1,'HS Codes'!$D$1:$K$1,0)),"")</f>
        <v>0</v>
      </c>
      <c r="M1214" s="8">
        <f>_xlfn.IFNA(INDEX('HS Codes'!$C$2:$C3768,MATCH($B1214,'HS Codes'!$A$2:$A3768,0)),"")</f>
        <v>0</v>
      </c>
      <c r="N1214" s="9"/>
      <c r="O1214" s="9"/>
      <c r="P1214" s="9"/>
      <c r="Q1214" s="9"/>
    </row>
    <row r="1215" spans="1:17" ht="15.75" customHeight="1">
      <c r="A1215" s="7" t="s">
        <v>1508</v>
      </c>
      <c r="B1215" s="7" t="s">
        <v>218</v>
      </c>
      <c r="C1215" s="7"/>
      <c r="D1215" s="7" t="s">
        <v>219</v>
      </c>
      <c r="E1215" s="7" t="s">
        <v>322</v>
      </c>
      <c r="F1215" s="8">
        <f>_xlfn.IFNA(INDEX('HS Codes'!$D$2:$K3769,MATCH($B1215,'HS Codes'!$A$2:$A3769,0),MATCH(F$1,'HS Codes'!$D$1:$K$1,0)),"")</f>
        <v>0</v>
      </c>
      <c r="G1215" s="8">
        <f>_xlfn.IFNA(INDEX('HS Codes'!$D$2:$K3769,MATCH($B1215,'HS Codes'!$A$2:$A3769,0),MATCH(G$1,'HS Codes'!$D$1:$K$1,0)),"")</f>
        <v>0</v>
      </c>
      <c r="H1215" s="8">
        <f>_xlfn.IFNA(INDEX('HS Codes'!$D$2:$K3769,MATCH($B1215,'HS Codes'!$A$2:$A3769,0),MATCH(H$1,'HS Codes'!$D$1:$K$1,0)),"")</f>
        <v>0</v>
      </c>
      <c r="I1215" s="8">
        <f>_xlfn.IFNA(INDEX('HS Codes'!$D$2:$K3769,MATCH($B1215,'HS Codes'!$A$2:$A3769,0),MATCH(I$1,'HS Codes'!$D$1:$K$1,0)),"")</f>
        <v>0</v>
      </c>
      <c r="J1215" s="8">
        <f>_xlfn.IFNA(INDEX('HS Codes'!$D$2:$K3769,MATCH($B1215,'HS Codes'!$A$2:$A3769,0),MATCH(J$1,'HS Codes'!$D$1:$K$1,0)),"")</f>
        <v>0</v>
      </c>
      <c r="K1215" s="8">
        <f>_xlfn.IFNA(INDEX('HS Codes'!$D$2:$K3769,MATCH($B1215,'HS Codes'!$A$2:$A3769,0),MATCH(K$1,'HS Codes'!$D$1:$K$1,0)),"")</f>
        <v>0</v>
      </c>
      <c r="L1215" s="8">
        <f>_xlfn.IFNA(INDEX('HS Codes'!$D$2:$K3769,MATCH($B1215,'HS Codes'!$A$2:$A3769,0),MATCH(L$1,'HS Codes'!$D$1:$K$1,0)),"")</f>
        <v>0</v>
      </c>
      <c r="M1215" s="8">
        <f>_xlfn.IFNA(INDEX('HS Codes'!$C$2:$C3769,MATCH($B1215,'HS Codes'!$A$2:$A3769,0)),"")</f>
        <v>0</v>
      </c>
      <c r="N1215" s="9"/>
      <c r="O1215" s="9"/>
      <c r="P1215" s="9"/>
      <c r="Q1215" s="9"/>
    </row>
    <row r="1216" spans="1:17" ht="15.75" customHeight="1">
      <c r="A1216" s="7" t="s">
        <v>1509</v>
      </c>
      <c r="B1216" s="7" t="s">
        <v>218</v>
      </c>
      <c r="C1216" s="7"/>
      <c r="D1216" s="7" t="s">
        <v>219</v>
      </c>
      <c r="E1216" s="7" t="s">
        <v>322</v>
      </c>
      <c r="F1216" s="8">
        <f>_xlfn.IFNA(INDEX('HS Codes'!$D$2:$K3770,MATCH($B1216,'HS Codes'!$A$2:$A3770,0),MATCH(F$1,'HS Codes'!$D$1:$K$1,0)),"")</f>
        <v>0</v>
      </c>
      <c r="G1216" s="8">
        <f>_xlfn.IFNA(INDEX('HS Codes'!$D$2:$K3770,MATCH($B1216,'HS Codes'!$A$2:$A3770,0),MATCH(G$1,'HS Codes'!$D$1:$K$1,0)),"")</f>
        <v>0</v>
      </c>
      <c r="H1216" s="8">
        <f>_xlfn.IFNA(INDEX('HS Codes'!$D$2:$K3770,MATCH($B1216,'HS Codes'!$A$2:$A3770,0),MATCH(H$1,'HS Codes'!$D$1:$K$1,0)),"")</f>
        <v>0</v>
      </c>
      <c r="I1216" s="8">
        <f>_xlfn.IFNA(INDEX('HS Codes'!$D$2:$K3770,MATCH($B1216,'HS Codes'!$A$2:$A3770,0),MATCH(I$1,'HS Codes'!$D$1:$K$1,0)),"")</f>
        <v>0</v>
      </c>
      <c r="J1216" s="8">
        <f>_xlfn.IFNA(INDEX('HS Codes'!$D$2:$K3770,MATCH($B1216,'HS Codes'!$A$2:$A3770,0),MATCH(J$1,'HS Codes'!$D$1:$K$1,0)),"")</f>
        <v>0</v>
      </c>
      <c r="K1216" s="8">
        <f>_xlfn.IFNA(INDEX('HS Codes'!$D$2:$K3770,MATCH($B1216,'HS Codes'!$A$2:$A3770,0),MATCH(K$1,'HS Codes'!$D$1:$K$1,0)),"")</f>
        <v>0</v>
      </c>
      <c r="L1216" s="8">
        <f>_xlfn.IFNA(INDEX('HS Codes'!$D$2:$K3770,MATCH($B1216,'HS Codes'!$A$2:$A3770,0),MATCH(L$1,'HS Codes'!$D$1:$K$1,0)),"")</f>
        <v>0</v>
      </c>
      <c r="M1216" s="8">
        <f>_xlfn.IFNA(INDEX('HS Codes'!$C$2:$C3770,MATCH($B1216,'HS Codes'!$A$2:$A3770,0)),"")</f>
        <v>0</v>
      </c>
      <c r="N1216" s="9"/>
      <c r="O1216" s="9"/>
      <c r="P1216" s="9"/>
      <c r="Q1216" s="9"/>
    </row>
    <row r="1217" spans="1:17" ht="15.75" customHeight="1">
      <c r="A1217" s="7" t="s">
        <v>1510</v>
      </c>
      <c r="B1217" s="7" t="s">
        <v>218</v>
      </c>
      <c r="C1217" s="7"/>
      <c r="D1217" s="7" t="s">
        <v>219</v>
      </c>
      <c r="E1217" s="7" t="s">
        <v>322</v>
      </c>
      <c r="F1217" s="8">
        <f>_xlfn.IFNA(INDEX('HS Codes'!$D$2:$K3771,MATCH($B1217,'HS Codes'!$A$2:$A3771,0),MATCH(F$1,'HS Codes'!$D$1:$K$1,0)),"")</f>
        <v>0</v>
      </c>
      <c r="G1217" s="8">
        <f>_xlfn.IFNA(INDEX('HS Codes'!$D$2:$K3771,MATCH($B1217,'HS Codes'!$A$2:$A3771,0),MATCH(G$1,'HS Codes'!$D$1:$K$1,0)),"")</f>
        <v>0</v>
      </c>
      <c r="H1217" s="8">
        <f>_xlfn.IFNA(INDEX('HS Codes'!$D$2:$K3771,MATCH($B1217,'HS Codes'!$A$2:$A3771,0),MATCH(H$1,'HS Codes'!$D$1:$K$1,0)),"")</f>
        <v>0</v>
      </c>
      <c r="I1217" s="8">
        <f>_xlfn.IFNA(INDEX('HS Codes'!$D$2:$K3771,MATCH($B1217,'HS Codes'!$A$2:$A3771,0),MATCH(I$1,'HS Codes'!$D$1:$K$1,0)),"")</f>
        <v>0</v>
      </c>
      <c r="J1217" s="8">
        <f>_xlfn.IFNA(INDEX('HS Codes'!$D$2:$K3771,MATCH($B1217,'HS Codes'!$A$2:$A3771,0),MATCH(J$1,'HS Codes'!$D$1:$K$1,0)),"")</f>
        <v>0</v>
      </c>
      <c r="K1217" s="8">
        <f>_xlfn.IFNA(INDEX('HS Codes'!$D$2:$K3771,MATCH($B1217,'HS Codes'!$A$2:$A3771,0),MATCH(K$1,'HS Codes'!$D$1:$K$1,0)),"")</f>
        <v>0</v>
      </c>
      <c r="L1217" s="8">
        <f>_xlfn.IFNA(INDEX('HS Codes'!$D$2:$K3771,MATCH($B1217,'HS Codes'!$A$2:$A3771,0),MATCH(L$1,'HS Codes'!$D$1:$K$1,0)),"")</f>
        <v>0</v>
      </c>
      <c r="M1217" s="8">
        <f>_xlfn.IFNA(INDEX('HS Codes'!$C$2:$C3771,MATCH($B1217,'HS Codes'!$A$2:$A3771,0)),"")</f>
        <v>0</v>
      </c>
      <c r="N1217" s="9"/>
      <c r="O1217" s="9"/>
      <c r="P1217" s="9"/>
      <c r="Q1217" s="9"/>
    </row>
    <row r="1218" spans="1:17" ht="15.75" customHeight="1">
      <c r="A1218" s="7" t="s">
        <v>1511</v>
      </c>
      <c r="B1218" s="7" t="s">
        <v>218</v>
      </c>
      <c r="C1218" s="7"/>
      <c r="D1218" s="7" t="s">
        <v>219</v>
      </c>
      <c r="E1218" s="7" t="s">
        <v>322</v>
      </c>
      <c r="F1218" s="8">
        <f>_xlfn.IFNA(INDEX('HS Codes'!$D$2:$K3772,MATCH($B1218,'HS Codes'!$A$2:$A3772,0),MATCH(F$1,'HS Codes'!$D$1:$K$1,0)),"")</f>
        <v>0</v>
      </c>
      <c r="G1218" s="8">
        <f>_xlfn.IFNA(INDEX('HS Codes'!$D$2:$K3772,MATCH($B1218,'HS Codes'!$A$2:$A3772,0),MATCH(G$1,'HS Codes'!$D$1:$K$1,0)),"")</f>
        <v>0</v>
      </c>
      <c r="H1218" s="8">
        <f>_xlfn.IFNA(INDEX('HS Codes'!$D$2:$K3772,MATCH($B1218,'HS Codes'!$A$2:$A3772,0),MATCH(H$1,'HS Codes'!$D$1:$K$1,0)),"")</f>
        <v>0</v>
      </c>
      <c r="I1218" s="8">
        <f>_xlfn.IFNA(INDEX('HS Codes'!$D$2:$K3772,MATCH($B1218,'HS Codes'!$A$2:$A3772,0),MATCH(I$1,'HS Codes'!$D$1:$K$1,0)),"")</f>
        <v>0</v>
      </c>
      <c r="J1218" s="8">
        <f>_xlfn.IFNA(INDEX('HS Codes'!$D$2:$K3772,MATCH($B1218,'HS Codes'!$A$2:$A3772,0),MATCH(J$1,'HS Codes'!$D$1:$K$1,0)),"")</f>
        <v>0</v>
      </c>
      <c r="K1218" s="8">
        <f>_xlfn.IFNA(INDEX('HS Codes'!$D$2:$K3772,MATCH($B1218,'HS Codes'!$A$2:$A3772,0),MATCH(K$1,'HS Codes'!$D$1:$K$1,0)),"")</f>
        <v>0</v>
      </c>
      <c r="L1218" s="8">
        <f>_xlfn.IFNA(INDEX('HS Codes'!$D$2:$K3772,MATCH($B1218,'HS Codes'!$A$2:$A3772,0),MATCH(L$1,'HS Codes'!$D$1:$K$1,0)),"")</f>
        <v>0</v>
      </c>
      <c r="M1218" s="8">
        <f>_xlfn.IFNA(INDEX('HS Codes'!$C$2:$C3772,MATCH($B1218,'HS Codes'!$A$2:$A3772,0)),"")</f>
        <v>0</v>
      </c>
      <c r="N1218" s="9"/>
      <c r="O1218" s="9"/>
      <c r="P1218" s="9"/>
      <c r="Q1218" s="9"/>
    </row>
    <row r="1219" spans="1:17" ht="15.75" customHeight="1">
      <c r="A1219" s="7" t="s">
        <v>1512</v>
      </c>
      <c r="B1219" s="7" t="s">
        <v>218</v>
      </c>
      <c r="C1219" s="7"/>
      <c r="D1219" s="7" t="s">
        <v>219</v>
      </c>
      <c r="E1219" s="7" t="s">
        <v>322</v>
      </c>
      <c r="F1219" s="8">
        <f>_xlfn.IFNA(INDEX('HS Codes'!$D$2:$K3773,MATCH($B1219,'HS Codes'!$A$2:$A3773,0),MATCH(F$1,'HS Codes'!$D$1:$K$1,0)),"")</f>
        <v>0</v>
      </c>
      <c r="G1219" s="8">
        <f>_xlfn.IFNA(INDEX('HS Codes'!$D$2:$K3773,MATCH($B1219,'HS Codes'!$A$2:$A3773,0),MATCH(G$1,'HS Codes'!$D$1:$K$1,0)),"")</f>
        <v>0</v>
      </c>
      <c r="H1219" s="8">
        <f>_xlfn.IFNA(INDEX('HS Codes'!$D$2:$K3773,MATCH($B1219,'HS Codes'!$A$2:$A3773,0),MATCH(H$1,'HS Codes'!$D$1:$K$1,0)),"")</f>
        <v>0</v>
      </c>
      <c r="I1219" s="8">
        <f>_xlfn.IFNA(INDEX('HS Codes'!$D$2:$K3773,MATCH($B1219,'HS Codes'!$A$2:$A3773,0),MATCH(I$1,'HS Codes'!$D$1:$K$1,0)),"")</f>
        <v>0</v>
      </c>
      <c r="J1219" s="8">
        <f>_xlfn.IFNA(INDEX('HS Codes'!$D$2:$K3773,MATCH($B1219,'HS Codes'!$A$2:$A3773,0),MATCH(J$1,'HS Codes'!$D$1:$K$1,0)),"")</f>
        <v>0</v>
      </c>
      <c r="K1219" s="8">
        <f>_xlfn.IFNA(INDEX('HS Codes'!$D$2:$K3773,MATCH($B1219,'HS Codes'!$A$2:$A3773,0),MATCH(K$1,'HS Codes'!$D$1:$K$1,0)),"")</f>
        <v>0</v>
      </c>
      <c r="L1219" s="8">
        <f>_xlfn.IFNA(INDEX('HS Codes'!$D$2:$K3773,MATCH($B1219,'HS Codes'!$A$2:$A3773,0),MATCH(L$1,'HS Codes'!$D$1:$K$1,0)),"")</f>
        <v>0</v>
      </c>
      <c r="M1219" s="8">
        <f>_xlfn.IFNA(INDEX('HS Codes'!$C$2:$C3773,MATCH($B1219,'HS Codes'!$A$2:$A3773,0)),"")</f>
        <v>0</v>
      </c>
      <c r="N1219" s="9"/>
      <c r="O1219" s="9"/>
      <c r="P1219" s="9"/>
      <c r="Q1219" s="9"/>
    </row>
    <row r="1220" spans="1:17" ht="15.75" customHeight="1">
      <c r="A1220" s="7" t="s">
        <v>1513</v>
      </c>
      <c r="B1220" s="7" t="s">
        <v>218</v>
      </c>
      <c r="C1220" s="7"/>
      <c r="D1220" s="7" t="s">
        <v>219</v>
      </c>
      <c r="E1220" s="7" t="s">
        <v>322</v>
      </c>
      <c r="F1220" s="8">
        <f>_xlfn.IFNA(INDEX('HS Codes'!$D$2:$K3774,MATCH($B1220,'HS Codes'!$A$2:$A3774,0),MATCH(F$1,'HS Codes'!$D$1:$K$1,0)),"")</f>
        <v>0</v>
      </c>
      <c r="G1220" s="8">
        <f>_xlfn.IFNA(INDEX('HS Codes'!$D$2:$K3774,MATCH($B1220,'HS Codes'!$A$2:$A3774,0),MATCH(G$1,'HS Codes'!$D$1:$K$1,0)),"")</f>
        <v>0</v>
      </c>
      <c r="H1220" s="8">
        <f>_xlfn.IFNA(INDEX('HS Codes'!$D$2:$K3774,MATCH($B1220,'HS Codes'!$A$2:$A3774,0),MATCH(H$1,'HS Codes'!$D$1:$K$1,0)),"")</f>
        <v>0</v>
      </c>
      <c r="I1220" s="8">
        <f>_xlfn.IFNA(INDEX('HS Codes'!$D$2:$K3774,MATCH($B1220,'HS Codes'!$A$2:$A3774,0),MATCH(I$1,'HS Codes'!$D$1:$K$1,0)),"")</f>
        <v>0</v>
      </c>
      <c r="J1220" s="8">
        <f>_xlfn.IFNA(INDEX('HS Codes'!$D$2:$K3774,MATCH($B1220,'HS Codes'!$A$2:$A3774,0),MATCH(J$1,'HS Codes'!$D$1:$K$1,0)),"")</f>
        <v>0</v>
      </c>
      <c r="K1220" s="8">
        <f>_xlfn.IFNA(INDEX('HS Codes'!$D$2:$K3774,MATCH($B1220,'HS Codes'!$A$2:$A3774,0),MATCH(K$1,'HS Codes'!$D$1:$K$1,0)),"")</f>
        <v>0</v>
      </c>
      <c r="L1220" s="8">
        <f>_xlfn.IFNA(INDEX('HS Codes'!$D$2:$K3774,MATCH($B1220,'HS Codes'!$A$2:$A3774,0),MATCH(L$1,'HS Codes'!$D$1:$K$1,0)),"")</f>
        <v>0</v>
      </c>
      <c r="M1220" s="8">
        <f>_xlfn.IFNA(INDEX('HS Codes'!$C$2:$C3774,MATCH($B1220,'HS Codes'!$A$2:$A3774,0)),"")</f>
        <v>0</v>
      </c>
      <c r="N1220" s="9"/>
      <c r="O1220" s="9"/>
      <c r="P1220" s="9"/>
      <c r="Q1220" s="9"/>
    </row>
    <row r="1221" spans="1:17" ht="15.75" customHeight="1">
      <c r="A1221" s="7" t="s">
        <v>1514</v>
      </c>
      <c r="B1221" s="7" t="s">
        <v>218</v>
      </c>
      <c r="C1221" s="7"/>
      <c r="D1221" s="7" t="s">
        <v>219</v>
      </c>
      <c r="E1221" s="7" t="s">
        <v>322</v>
      </c>
      <c r="F1221" s="8">
        <f>_xlfn.IFNA(INDEX('HS Codes'!$D$2:$K3775,MATCH($B1221,'HS Codes'!$A$2:$A3775,0),MATCH(F$1,'HS Codes'!$D$1:$K$1,0)),"")</f>
        <v>0</v>
      </c>
      <c r="G1221" s="8">
        <f>_xlfn.IFNA(INDEX('HS Codes'!$D$2:$K3775,MATCH($B1221,'HS Codes'!$A$2:$A3775,0),MATCH(G$1,'HS Codes'!$D$1:$K$1,0)),"")</f>
        <v>0</v>
      </c>
      <c r="H1221" s="8">
        <f>_xlfn.IFNA(INDEX('HS Codes'!$D$2:$K3775,MATCH($B1221,'HS Codes'!$A$2:$A3775,0),MATCH(H$1,'HS Codes'!$D$1:$K$1,0)),"")</f>
        <v>0</v>
      </c>
      <c r="I1221" s="8">
        <f>_xlfn.IFNA(INDEX('HS Codes'!$D$2:$K3775,MATCH($B1221,'HS Codes'!$A$2:$A3775,0),MATCH(I$1,'HS Codes'!$D$1:$K$1,0)),"")</f>
        <v>0</v>
      </c>
      <c r="J1221" s="8">
        <f>_xlfn.IFNA(INDEX('HS Codes'!$D$2:$K3775,MATCH($B1221,'HS Codes'!$A$2:$A3775,0),MATCH(J$1,'HS Codes'!$D$1:$K$1,0)),"")</f>
        <v>0</v>
      </c>
      <c r="K1221" s="8">
        <f>_xlfn.IFNA(INDEX('HS Codes'!$D$2:$K3775,MATCH($B1221,'HS Codes'!$A$2:$A3775,0),MATCH(K$1,'HS Codes'!$D$1:$K$1,0)),"")</f>
        <v>0</v>
      </c>
      <c r="L1221" s="8">
        <f>_xlfn.IFNA(INDEX('HS Codes'!$D$2:$K3775,MATCH($B1221,'HS Codes'!$A$2:$A3775,0),MATCH(L$1,'HS Codes'!$D$1:$K$1,0)),"")</f>
        <v>0</v>
      </c>
      <c r="M1221" s="8">
        <f>_xlfn.IFNA(INDEX('HS Codes'!$C$2:$C3775,MATCH($B1221,'HS Codes'!$A$2:$A3775,0)),"")</f>
        <v>0</v>
      </c>
      <c r="N1221" s="9"/>
      <c r="O1221" s="9"/>
      <c r="P1221" s="9"/>
      <c r="Q1221" s="9"/>
    </row>
    <row r="1222" spans="1:17" ht="15.75" customHeight="1">
      <c r="A1222" s="7" t="s">
        <v>1515</v>
      </c>
      <c r="B1222" s="7" t="s">
        <v>218</v>
      </c>
      <c r="C1222" s="7"/>
      <c r="D1222" s="7" t="s">
        <v>219</v>
      </c>
      <c r="E1222" s="7" t="s">
        <v>322</v>
      </c>
      <c r="F1222" s="8">
        <f>_xlfn.IFNA(INDEX('HS Codes'!$D$2:$K3776,MATCH($B1222,'HS Codes'!$A$2:$A3776,0),MATCH(F$1,'HS Codes'!$D$1:$K$1,0)),"")</f>
        <v>0</v>
      </c>
      <c r="G1222" s="8">
        <f>_xlfn.IFNA(INDEX('HS Codes'!$D$2:$K3776,MATCH($B1222,'HS Codes'!$A$2:$A3776,0),MATCH(G$1,'HS Codes'!$D$1:$K$1,0)),"")</f>
        <v>0</v>
      </c>
      <c r="H1222" s="8">
        <f>_xlfn.IFNA(INDEX('HS Codes'!$D$2:$K3776,MATCH($B1222,'HS Codes'!$A$2:$A3776,0),MATCH(H$1,'HS Codes'!$D$1:$K$1,0)),"")</f>
        <v>0</v>
      </c>
      <c r="I1222" s="8">
        <f>_xlfn.IFNA(INDEX('HS Codes'!$D$2:$K3776,MATCH($B1222,'HS Codes'!$A$2:$A3776,0),MATCH(I$1,'HS Codes'!$D$1:$K$1,0)),"")</f>
        <v>0</v>
      </c>
      <c r="J1222" s="8">
        <f>_xlfn.IFNA(INDEX('HS Codes'!$D$2:$K3776,MATCH($B1222,'HS Codes'!$A$2:$A3776,0),MATCH(J$1,'HS Codes'!$D$1:$K$1,0)),"")</f>
        <v>0</v>
      </c>
      <c r="K1222" s="8">
        <f>_xlfn.IFNA(INDEX('HS Codes'!$D$2:$K3776,MATCH($B1222,'HS Codes'!$A$2:$A3776,0),MATCH(K$1,'HS Codes'!$D$1:$K$1,0)),"")</f>
        <v>0</v>
      </c>
      <c r="L1222" s="8">
        <f>_xlfn.IFNA(INDEX('HS Codes'!$D$2:$K3776,MATCH($B1222,'HS Codes'!$A$2:$A3776,0),MATCH(L$1,'HS Codes'!$D$1:$K$1,0)),"")</f>
        <v>0</v>
      </c>
      <c r="M1222" s="8">
        <f>_xlfn.IFNA(INDEX('HS Codes'!$C$2:$C3776,MATCH($B1222,'HS Codes'!$A$2:$A3776,0)),"")</f>
        <v>0</v>
      </c>
      <c r="N1222" s="9"/>
      <c r="O1222" s="9"/>
      <c r="P1222" s="9"/>
      <c r="Q1222" s="9"/>
    </row>
    <row r="1223" spans="1:17" ht="15.75" customHeight="1">
      <c r="A1223" s="7" t="s">
        <v>1516</v>
      </c>
      <c r="B1223" s="7" t="s">
        <v>218</v>
      </c>
      <c r="C1223" s="7"/>
      <c r="D1223" s="7" t="s">
        <v>219</v>
      </c>
      <c r="E1223" s="7" t="s">
        <v>322</v>
      </c>
      <c r="F1223" s="8">
        <f>_xlfn.IFNA(INDEX('HS Codes'!$D$2:$K3777,MATCH($B1223,'HS Codes'!$A$2:$A3777,0),MATCH(F$1,'HS Codes'!$D$1:$K$1,0)),"")</f>
        <v>0</v>
      </c>
      <c r="G1223" s="8">
        <f>_xlfn.IFNA(INDEX('HS Codes'!$D$2:$K3777,MATCH($B1223,'HS Codes'!$A$2:$A3777,0),MATCH(G$1,'HS Codes'!$D$1:$K$1,0)),"")</f>
        <v>0</v>
      </c>
      <c r="H1223" s="8">
        <f>_xlfn.IFNA(INDEX('HS Codes'!$D$2:$K3777,MATCH($B1223,'HS Codes'!$A$2:$A3777,0),MATCH(H$1,'HS Codes'!$D$1:$K$1,0)),"")</f>
        <v>0</v>
      </c>
      <c r="I1223" s="8">
        <f>_xlfn.IFNA(INDEX('HS Codes'!$D$2:$K3777,MATCH($B1223,'HS Codes'!$A$2:$A3777,0),MATCH(I$1,'HS Codes'!$D$1:$K$1,0)),"")</f>
        <v>0</v>
      </c>
      <c r="J1223" s="8">
        <f>_xlfn.IFNA(INDEX('HS Codes'!$D$2:$K3777,MATCH($B1223,'HS Codes'!$A$2:$A3777,0),MATCH(J$1,'HS Codes'!$D$1:$K$1,0)),"")</f>
        <v>0</v>
      </c>
      <c r="K1223" s="8">
        <f>_xlfn.IFNA(INDEX('HS Codes'!$D$2:$K3777,MATCH($B1223,'HS Codes'!$A$2:$A3777,0),MATCH(K$1,'HS Codes'!$D$1:$K$1,0)),"")</f>
        <v>0</v>
      </c>
      <c r="L1223" s="8">
        <f>_xlfn.IFNA(INDEX('HS Codes'!$D$2:$K3777,MATCH($B1223,'HS Codes'!$A$2:$A3777,0),MATCH(L$1,'HS Codes'!$D$1:$K$1,0)),"")</f>
        <v>0</v>
      </c>
      <c r="M1223" s="8">
        <f>_xlfn.IFNA(INDEX('HS Codes'!$C$2:$C3777,MATCH($B1223,'HS Codes'!$A$2:$A3777,0)),"")</f>
        <v>0</v>
      </c>
      <c r="N1223" s="9"/>
      <c r="O1223" s="9"/>
      <c r="P1223" s="9"/>
      <c r="Q1223" s="9"/>
    </row>
    <row r="1224" spans="1:17" ht="15.75" customHeight="1">
      <c r="A1224" s="7" t="s">
        <v>1517</v>
      </c>
      <c r="B1224" s="7" t="s">
        <v>218</v>
      </c>
      <c r="C1224" s="7"/>
      <c r="D1224" s="7" t="s">
        <v>219</v>
      </c>
      <c r="E1224" s="7" t="s">
        <v>322</v>
      </c>
      <c r="F1224" s="8">
        <f>_xlfn.IFNA(INDEX('HS Codes'!$D$2:$K3778,MATCH($B1224,'HS Codes'!$A$2:$A3778,0),MATCH(F$1,'HS Codes'!$D$1:$K$1,0)),"")</f>
        <v>0</v>
      </c>
      <c r="G1224" s="8">
        <f>_xlfn.IFNA(INDEX('HS Codes'!$D$2:$K3778,MATCH($B1224,'HS Codes'!$A$2:$A3778,0),MATCH(G$1,'HS Codes'!$D$1:$K$1,0)),"")</f>
        <v>0</v>
      </c>
      <c r="H1224" s="8">
        <f>_xlfn.IFNA(INDEX('HS Codes'!$D$2:$K3778,MATCH($B1224,'HS Codes'!$A$2:$A3778,0),MATCH(H$1,'HS Codes'!$D$1:$K$1,0)),"")</f>
        <v>0</v>
      </c>
      <c r="I1224" s="8">
        <f>_xlfn.IFNA(INDEX('HS Codes'!$D$2:$K3778,MATCH($B1224,'HS Codes'!$A$2:$A3778,0),MATCH(I$1,'HS Codes'!$D$1:$K$1,0)),"")</f>
        <v>0</v>
      </c>
      <c r="J1224" s="8">
        <f>_xlfn.IFNA(INDEX('HS Codes'!$D$2:$K3778,MATCH($B1224,'HS Codes'!$A$2:$A3778,0),MATCH(J$1,'HS Codes'!$D$1:$K$1,0)),"")</f>
        <v>0</v>
      </c>
      <c r="K1224" s="8">
        <f>_xlfn.IFNA(INDEX('HS Codes'!$D$2:$K3778,MATCH($B1224,'HS Codes'!$A$2:$A3778,0),MATCH(K$1,'HS Codes'!$D$1:$K$1,0)),"")</f>
        <v>0</v>
      </c>
      <c r="L1224" s="8">
        <f>_xlfn.IFNA(INDEX('HS Codes'!$D$2:$K3778,MATCH($B1224,'HS Codes'!$A$2:$A3778,0),MATCH(L$1,'HS Codes'!$D$1:$K$1,0)),"")</f>
        <v>0</v>
      </c>
      <c r="M1224" s="8">
        <f>_xlfn.IFNA(INDEX('HS Codes'!$C$2:$C3778,MATCH($B1224,'HS Codes'!$A$2:$A3778,0)),"")</f>
        <v>0</v>
      </c>
      <c r="N1224" s="9"/>
      <c r="O1224" s="9"/>
      <c r="P1224" s="9"/>
      <c r="Q1224" s="9"/>
    </row>
    <row r="1225" spans="1:17" ht="15.75" customHeight="1">
      <c r="A1225" s="7" t="s">
        <v>1518</v>
      </c>
      <c r="B1225" s="7" t="s">
        <v>218</v>
      </c>
      <c r="C1225" s="7"/>
      <c r="D1225" s="7" t="s">
        <v>219</v>
      </c>
      <c r="E1225" s="7" t="s">
        <v>322</v>
      </c>
      <c r="F1225" s="8">
        <f>_xlfn.IFNA(INDEX('HS Codes'!$D$2:$K3779,MATCH($B1225,'HS Codes'!$A$2:$A3779,0),MATCH(F$1,'HS Codes'!$D$1:$K$1,0)),"")</f>
        <v>0</v>
      </c>
      <c r="G1225" s="8">
        <f>_xlfn.IFNA(INDEX('HS Codes'!$D$2:$K3779,MATCH($B1225,'HS Codes'!$A$2:$A3779,0),MATCH(G$1,'HS Codes'!$D$1:$K$1,0)),"")</f>
        <v>0</v>
      </c>
      <c r="H1225" s="8">
        <f>_xlfn.IFNA(INDEX('HS Codes'!$D$2:$K3779,MATCH($B1225,'HS Codes'!$A$2:$A3779,0),MATCH(H$1,'HS Codes'!$D$1:$K$1,0)),"")</f>
        <v>0</v>
      </c>
      <c r="I1225" s="8">
        <f>_xlfn.IFNA(INDEX('HS Codes'!$D$2:$K3779,MATCH($B1225,'HS Codes'!$A$2:$A3779,0),MATCH(I$1,'HS Codes'!$D$1:$K$1,0)),"")</f>
        <v>0</v>
      </c>
      <c r="J1225" s="8">
        <f>_xlfn.IFNA(INDEX('HS Codes'!$D$2:$K3779,MATCH($B1225,'HS Codes'!$A$2:$A3779,0),MATCH(J$1,'HS Codes'!$D$1:$K$1,0)),"")</f>
        <v>0</v>
      </c>
      <c r="K1225" s="8">
        <f>_xlfn.IFNA(INDEX('HS Codes'!$D$2:$K3779,MATCH($B1225,'HS Codes'!$A$2:$A3779,0),MATCH(K$1,'HS Codes'!$D$1:$K$1,0)),"")</f>
        <v>0</v>
      </c>
      <c r="L1225" s="8">
        <f>_xlfn.IFNA(INDEX('HS Codes'!$D$2:$K3779,MATCH($B1225,'HS Codes'!$A$2:$A3779,0),MATCH(L$1,'HS Codes'!$D$1:$K$1,0)),"")</f>
        <v>0</v>
      </c>
      <c r="M1225" s="8">
        <f>_xlfn.IFNA(INDEX('HS Codes'!$C$2:$C3779,MATCH($B1225,'HS Codes'!$A$2:$A3779,0)),"")</f>
        <v>0</v>
      </c>
      <c r="N1225" s="9"/>
      <c r="O1225" s="9"/>
      <c r="P1225" s="9"/>
      <c r="Q1225" s="9"/>
    </row>
    <row r="1226" spans="1:17" ht="15.75" customHeight="1">
      <c r="A1226" s="7" t="s">
        <v>1519</v>
      </c>
      <c r="B1226" s="7" t="s">
        <v>197</v>
      </c>
      <c r="C1226" s="7"/>
      <c r="D1226" s="7" t="s">
        <v>198</v>
      </c>
      <c r="E1226" s="7" t="s">
        <v>322</v>
      </c>
      <c r="F1226" s="8">
        <f>_xlfn.IFNA(INDEX('HS Codes'!$D$2:$K3780,MATCH($B1226,'HS Codes'!$A$2:$A3780,0),MATCH(F$1,'HS Codes'!$D$1:$K$1,0)),"")</f>
        <v>0</v>
      </c>
      <c r="G1226" s="8">
        <f>_xlfn.IFNA(INDEX('HS Codes'!$D$2:$K3780,MATCH($B1226,'HS Codes'!$A$2:$A3780,0),MATCH(G$1,'HS Codes'!$D$1:$K$1,0)),"")</f>
        <v>0</v>
      </c>
      <c r="H1226" s="8">
        <f>_xlfn.IFNA(INDEX('HS Codes'!$D$2:$K3780,MATCH($B1226,'HS Codes'!$A$2:$A3780,0),MATCH(H$1,'HS Codes'!$D$1:$K$1,0)),"")</f>
        <v>0</v>
      </c>
      <c r="I1226" s="8">
        <f>_xlfn.IFNA(INDEX('HS Codes'!$D$2:$K3780,MATCH($B1226,'HS Codes'!$A$2:$A3780,0),MATCH(I$1,'HS Codes'!$D$1:$K$1,0)),"")</f>
        <v>0</v>
      </c>
      <c r="J1226" s="8">
        <f>_xlfn.IFNA(INDEX('HS Codes'!$D$2:$K3780,MATCH($B1226,'HS Codes'!$A$2:$A3780,0),MATCH(J$1,'HS Codes'!$D$1:$K$1,0)),"")</f>
        <v>0</v>
      </c>
      <c r="K1226" s="8">
        <f>_xlfn.IFNA(INDEX('HS Codes'!$D$2:$K3780,MATCH($B1226,'HS Codes'!$A$2:$A3780,0),MATCH(K$1,'HS Codes'!$D$1:$K$1,0)),"")</f>
        <v>0</v>
      </c>
      <c r="L1226" s="8">
        <f>_xlfn.IFNA(INDEX('HS Codes'!$D$2:$K3780,MATCH($B1226,'HS Codes'!$A$2:$A3780,0),MATCH(L$1,'HS Codes'!$D$1:$K$1,0)),"")</f>
        <v>0</v>
      </c>
      <c r="M1226" s="8">
        <f>_xlfn.IFNA(INDEX('HS Codes'!$C$2:$C3780,MATCH($B1226,'HS Codes'!$A$2:$A3780,0)),"")</f>
        <v>0</v>
      </c>
      <c r="N1226" s="9"/>
      <c r="O1226" s="9"/>
      <c r="P1226" s="9"/>
      <c r="Q1226" s="9"/>
    </row>
    <row r="1227" spans="1:17" ht="15.75" customHeight="1">
      <c r="A1227" s="7" t="s">
        <v>1520</v>
      </c>
      <c r="B1227" s="7"/>
      <c r="C1227" s="7"/>
      <c r="D1227" s="7"/>
      <c r="E1227" s="7"/>
      <c r="F1227" s="8" t="str">
        <f>_xlfn.IFNA(INDEX('HS Codes'!$D$2:$K3781,MATCH($B1227,'HS Codes'!$A$2:$A3781,0),MATCH(F$1,'HS Codes'!$D$1:$K$1,0)),"")</f>
        <v/>
      </c>
      <c r="G1227" s="8" t="str">
        <f>_xlfn.IFNA(INDEX('HS Codes'!$D$2:$K3781,MATCH($B1227,'HS Codes'!$A$2:$A3781,0),MATCH(G$1,'HS Codes'!$D$1:$K$1,0)),"")</f>
        <v/>
      </c>
      <c r="H1227" s="8" t="str">
        <f>_xlfn.IFNA(INDEX('HS Codes'!$D$2:$K3781,MATCH($B1227,'HS Codes'!$A$2:$A3781,0),MATCH(H$1,'HS Codes'!$D$1:$K$1,0)),"")</f>
        <v/>
      </c>
      <c r="I1227" s="8" t="str">
        <f>_xlfn.IFNA(INDEX('HS Codes'!$D$2:$K3781,MATCH($B1227,'HS Codes'!$A$2:$A3781,0),MATCH(I$1,'HS Codes'!$D$1:$K$1,0)),"")</f>
        <v/>
      </c>
      <c r="J1227" s="8" t="str">
        <f>_xlfn.IFNA(INDEX('HS Codes'!$D$2:$K3781,MATCH($B1227,'HS Codes'!$A$2:$A3781,0),MATCH(J$1,'HS Codes'!$D$1:$K$1,0)),"")</f>
        <v/>
      </c>
      <c r="K1227" s="8" t="str">
        <f>_xlfn.IFNA(INDEX('HS Codes'!$D$2:$K3781,MATCH($B1227,'HS Codes'!$A$2:$A3781,0),MATCH(K$1,'HS Codes'!$D$1:$K$1,0)),"")</f>
        <v/>
      </c>
      <c r="L1227" s="8" t="str">
        <f>_xlfn.IFNA(INDEX('HS Codes'!$D$2:$K3781,MATCH($B1227,'HS Codes'!$A$2:$A3781,0),MATCH(L$1,'HS Codes'!$D$1:$K$1,0)),"")</f>
        <v/>
      </c>
      <c r="M1227" s="8" t="str">
        <f>_xlfn.IFNA(INDEX('HS Codes'!$C$2:$C3781,MATCH($B1227,'HS Codes'!$A$2:$A3781,0)),"")</f>
        <v/>
      </c>
      <c r="N1227" s="9"/>
      <c r="O1227" s="9"/>
      <c r="P1227" s="9"/>
      <c r="Q1227" s="9"/>
    </row>
    <row r="1228" spans="1:17" ht="15.75" customHeight="1">
      <c r="A1228" s="7" t="s">
        <v>1521</v>
      </c>
      <c r="B1228" s="7"/>
      <c r="C1228" s="7"/>
      <c r="D1228" s="7"/>
      <c r="E1228" s="7"/>
      <c r="F1228" s="8" t="str">
        <f>_xlfn.IFNA(INDEX('HS Codes'!$D$2:$K3782,MATCH($B1228,'HS Codes'!$A$2:$A3782,0),MATCH(F$1,'HS Codes'!$D$1:$K$1,0)),"")</f>
        <v/>
      </c>
      <c r="G1228" s="8" t="str">
        <f>_xlfn.IFNA(INDEX('HS Codes'!$D$2:$K3782,MATCH($B1228,'HS Codes'!$A$2:$A3782,0),MATCH(G$1,'HS Codes'!$D$1:$K$1,0)),"")</f>
        <v/>
      </c>
      <c r="H1228" s="8" t="str">
        <f>_xlfn.IFNA(INDEX('HS Codes'!$D$2:$K3782,MATCH($B1228,'HS Codes'!$A$2:$A3782,0),MATCH(H$1,'HS Codes'!$D$1:$K$1,0)),"")</f>
        <v/>
      </c>
      <c r="I1228" s="8" t="str">
        <f>_xlfn.IFNA(INDEX('HS Codes'!$D$2:$K3782,MATCH($B1228,'HS Codes'!$A$2:$A3782,0),MATCH(I$1,'HS Codes'!$D$1:$K$1,0)),"")</f>
        <v/>
      </c>
      <c r="J1228" s="8" t="str">
        <f>_xlfn.IFNA(INDEX('HS Codes'!$D$2:$K3782,MATCH($B1228,'HS Codes'!$A$2:$A3782,0),MATCH(J$1,'HS Codes'!$D$1:$K$1,0)),"")</f>
        <v/>
      </c>
      <c r="K1228" s="8" t="str">
        <f>_xlfn.IFNA(INDEX('HS Codes'!$D$2:$K3782,MATCH($B1228,'HS Codes'!$A$2:$A3782,0),MATCH(K$1,'HS Codes'!$D$1:$K$1,0)),"")</f>
        <v/>
      </c>
      <c r="L1228" s="8" t="str">
        <f>_xlfn.IFNA(INDEX('HS Codes'!$D$2:$K3782,MATCH($B1228,'HS Codes'!$A$2:$A3782,0),MATCH(L$1,'HS Codes'!$D$1:$K$1,0)),"")</f>
        <v/>
      </c>
      <c r="M1228" s="8" t="str">
        <f>_xlfn.IFNA(INDEX('HS Codes'!$C$2:$C3782,MATCH($B1228,'HS Codes'!$A$2:$A3782,0)),"")</f>
        <v/>
      </c>
      <c r="N1228" s="9"/>
      <c r="O1228" s="9"/>
      <c r="P1228" s="9"/>
      <c r="Q1228" s="9"/>
    </row>
    <row r="1229" spans="1:17" ht="15.75" customHeight="1">
      <c r="A1229" s="7" t="s">
        <v>1522</v>
      </c>
      <c r="B1229" s="7"/>
      <c r="C1229" s="7"/>
      <c r="D1229" s="7"/>
      <c r="E1229" s="7"/>
      <c r="F1229" s="8" t="str">
        <f>_xlfn.IFNA(INDEX('HS Codes'!$D$2:$K3783,MATCH($B1229,'HS Codes'!$A$2:$A3783,0),MATCH(F$1,'HS Codes'!$D$1:$K$1,0)),"")</f>
        <v/>
      </c>
      <c r="G1229" s="8" t="str">
        <f>_xlfn.IFNA(INDEX('HS Codes'!$D$2:$K3783,MATCH($B1229,'HS Codes'!$A$2:$A3783,0),MATCH(G$1,'HS Codes'!$D$1:$K$1,0)),"")</f>
        <v/>
      </c>
      <c r="H1229" s="8" t="str">
        <f>_xlfn.IFNA(INDEX('HS Codes'!$D$2:$K3783,MATCH($B1229,'HS Codes'!$A$2:$A3783,0),MATCH(H$1,'HS Codes'!$D$1:$K$1,0)),"")</f>
        <v/>
      </c>
      <c r="I1229" s="8" t="str">
        <f>_xlfn.IFNA(INDEX('HS Codes'!$D$2:$K3783,MATCH($B1229,'HS Codes'!$A$2:$A3783,0),MATCH(I$1,'HS Codes'!$D$1:$K$1,0)),"")</f>
        <v/>
      </c>
      <c r="J1229" s="8" t="str">
        <f>_xlfn.IFNA(INDEX('HS Codes'!$D$2:$K3783,MATCH($B1229,'HS Codes'!$A$2:$A3783,0),MATCH(J$1,'HS Codes'!$D$1:$K$1,0)),"")</f>
        <v/>
      </c>
      <c r="K1229" s="8" t="str">
        <f>_xlfn.IFNA(INDEX('HS Codes'!$D$2:$K3783,MATCH($B1229,'HS Codes'!$A$2:$A3783,0),MATCH(K$1,'HS Codes'!$D$1:$K$1,0)),"")</f>
        <v/>
      </c>
      <c r="L1229" s="8" t="str">
        <f>_xlfn.IFNA(INDEX('HS Codes'!$D$2:$K3783,MATCH($B1229,'HS Codes'!$A$2:$A3783,0),MATCH(L$1,'HS Codes'!$D$1:$K$1,0)),"")</f>
        <v/>
      </c>
      <c r="M1229" s="8" t="str">
        <f>_xlfn.IFNA(INDEX('HS Codes'!$C$2:$C3783,MATCH($B1229,'HS Codes'!$A$2:$A3783,0)),"")</f>
        <v/>
      </c>
      <c r="N1229" s="9"/>
      <c r="O1229" s="9"/>
      <c r="P1229" s="9"/>
      <c r="Q1229" s="9"/>
    </row>
    <row r="1230" spans="1:17" ht="15.75" customHeight="1">
      <c r="A1230" s="7" t="s">
        <v>1523</v>
      </c>
      <c r="B1230" s="7"/>
      <c r="C1230" s="7"/>
      <c r="D1230" s="7"/>
      <c r="E1230" s="7"/>
      <c r="F1230" s="8" t="str">
        <f>_xlfn.IFNA(INDEX('HS Codes'!$D$2:$K3784,MATCH($B1230,'HS Codes'!$A$2:$A3784,0),MATCH(F$1,'HS Codes'!$D$1:$K$1,0)),"")</f>
        <v/>
      </c>
      <c r="G1230" s="8" t="str">
        <f>_xlfn.IFNA(INDEX('HS Codes'!$D$2:$K3784,MATCH($B1230,'HS Codes'!$A$2:$A3784,0),MATCH(G$1,'HS Codes'!$D$1:$K$1,0)),"")</f>
        <v/>
      </c>
      <c r="H1230" s="8" t="str">
        <f>_xlfn.IFNA(INDEX('HS Codes'!$D$2:$K3784,MATCH($B1230,'HS Codes'!$A$2:$A3784,0),MATCH(H$1,'HS Codes'!$D$1:$K$1,0)),"")</f>
        <v/>
      </c>
      <c r="I1230" s="8" t="str">
        <f>_xlfn.IFNA(INDEX('HS Codes'!$D$2:$K3784,MATCH($B1230,'HS Codes'!$A$2:$A3784,0),MATCH(I$1,'HS Codes'!$D$1:$K$1,0)),"")</f>
        <v/>
      </c>
      <c r="J1230" s="8" t="str">
        <f>_xlfn.IFNA(INDEX('HS Codes'!$D$2:$K3784,MATCH($B1230,'HS Codes'!$A$2:$A3784,0),MATCH(J$1,'HS Codes'!$D$1:$K$1,0)),"")</f>
        <v/>
      </c>
      <c r="K1230" s="8" t="str">
        <f>_xlfn.IFNA(INDEX('HS Codes'!$D$2:$K3784,MATCH($B1230,'HS Codes'!$A$2:$A3784,0),MATCH(K$1,'HS Codes'!$D$1:$K$1,0)),"")</f>
        <v/>
      </c>
      <c r="L1230" s="8" t="str">
        <f>_xlfn.IFNA(INDEX('HS Codes'!$D$2:$K3784,MATCH($B1230,'HS Codes'!$A$2:$A3784,0),MATCH(L$1,'HS Codes'!$D$1:$K$1,0)),"")</f>
        <v/>
      </c>
      <c r="M1230" s="8" t="str">
        <f>_xlfn.IFNA(INDEX('HS Codes'!$C$2:$C3784,MATCH($B1230,'HS Codes'!$A$2:$A3784,0)),"")</f>
        <v/>
      </c>
      <c r="N1230" s="9"/>
      <c r="O1230" s="9"/>
      <c r="P1230" s="9"/>
      <c r="Q1230" s="9"/>
    </row>
    <row r="1231" spans="1:17" ht="15.75" customHeight="1">
      <c r="A1231" s="7" t="s">
        <v>1524</v>
      </c>
      <c r="B1231" s="7"/>
      <c r="C1231" s="7"/>
      <c r="D1231" s="7"/>
      <c r="E1231" s="7"/>
      <c r="F1231" s="8" t="str">
        <f>_xlfn.IFNA(INDEX('HS Codes'!$D$2:$K3785,MATCH($B1231,'HS Codes'!$A$2:$A3785,0),MATCH(F$1,'HS Codes'!$D$1:$K$1,0)),"")</f>
        <v/>
      </c>
      <c r="G1231" s="8" t="str">
        <f>_xlfn.IFNA(INDEX('HS Codes'!$D$2:$K3785,MATCH($B1231,'HS Codes'!$A$2:$A3785,0),MATCH(G$1,'HS Codes'!$D$1:$K$1,0)),"")</f>
        <v/>
      </c>
      <c r="H1231" s="8" t="str">
        <f>_xlfn.IFNA(INDEX('HS Codes'!$D$2:$K3785,MATCH($B1231,'HS Codes'!$A$2:$A3785,0),MATCH(H$1,'HS Codes'!$D$1:$K$1,0)),"")</f>
        <v/>
      </c>
      <c r="I1231" s="8" t="str">
        <f>_xlfn.IFNA(INDEX('HS Codes'!$D$2:$K3785,MATCH($B1231,'HS Codes'!$A$2:$A3785,0),MATCH(I$1,'HS Codes'!$D$1:$K$1,0)),"")</f>
        <v/>
      </c>
      <c r="J1231" s="8" t="str">
        <f>_xlfn.IFNA(INDEX('HS Codes'!$D$2:$K3785,MATCH($B1231,'HS Codes'!$A$2:$A3785,0),MATCH(J$1,'HS Codes'!$D$1:$K$1,0)),"")</f>
        <v/>
      </c>
      <c r="K1231" s="8" t="str">
        <f>_xlfn.IFNA(INDEX('HS Codes'!$D$2:$K3785,MATCH($B1231,'HS Codes'!$A$2:$A3785,0),MATCH(K$1,'HS Codes'!$D$1:$K$1,0)),"")</f>
        <v/>
      </c>
      <c r="L1231" s="8" t="str">
        <f>_xlfn.IFNA(INDEX('HS Codes'!$D$2:$K3785,MATCH($B1231,'HS Codes'!$A$2:$A3785,0),MATCH(L$1,'HS Codes'!$D$1:$K$1,0)),"")</f>
        <v/>
      </c>
      <c r="M1231" s="8" t="str">
        <f>_xlfn.IFNA(INDEX('HS Codes'!$C$2:$C3785,MATCH($B1231,'HS Codes'!$A$2:$A3785,0)),"")</f>
        <v/>
      </c>
      <c r="N1231" s="9"/>
      <c r="O1231" s="9"/>
      <c r="P1231" s="9"/>
      <c r="Q1231" s="9"/>
    </row>
    <row r="1232" spans="1:17" ht="15.75" customHeight="1">
      <c r="A1232" s="7" t="s">
        <v>1525</v>
      </c>
      <c r="B1232" s="7" t="s">
        <v>201</v>
      </c>
      <c r="C1232" s="7"/>
      <c r="D1232" s="7" t="s">
        <v>202</v>
      </c>
      <c r="E1232" s="7" t="s">
        <v>322</v>
      </c>
      <c r="F1232" s="8">
        <f>_xlfn.IFNA(INDEX('HS Codes'!$D$2:$K3786,MATCH($B1232,'HS Codes'!$A$2:$A3786,0),MATCH(F$1,'HS Codes'!$D$1:$K$1,0)),"")</f>
        <v>0</v>
      </c>
      <c r="G1232" s="8">
        <f>_xlfn.IFNA(INDEX('HS Codes'!$D$2:$K3786,MATCH($B1232,'HS Codes'!$A$2:$A3786,0),MATCH(G$1,'HS Codes'!$D$1:$K$1,0)),"")</f>
        <v>0</v>
      </c>
      <c r="H1232" s="8">
        <f>_xlfn.IFNA(INDEX('HS Codes'!$D$2:$K3786,MATCH($B1232,'HS Codes'!$A$2:$A3786,0),MATCH(H$1,'HS Codes'!$D$1:$K$1,0)),"")</f>
        <v>0</v>
      </c>
      <c r="I1232" s="8">
        <f>_xlfn.IFNA(INDEX('HS Codes'!$D$2:$K3786,MATCH($B1232,'HS Codes'!$A$2:$A3786,0),MATCH(I$1,'HS Codes'!$D$1:$K$1,0)),"")</f>
        <v>0</v>
      </c>
      <c r="J1232" s="8">
        <f>_xlfn.IFNA(INDEX('HS Codes'!$D$2:$K3786,MATCH($B1232,'HS Codes'!$A$2:$A3786,0),MATCH(J$1,'HS Codes'!$D$1:$K$1,0)),"")</f>
        <v>0</v>
      </c>
      <c r="K1232" s="8">
        <f>_xlfn.IFNA(INDEX('HS Codes'!$D$2:$K3786,MATCH($B1232,'HS Codes'!$A$2:$A3786,0),MATCH(K$1,'HS Codes'!$D$1:$K$1,0)),"")</f>
        <v>0</v>
      </c>
      <c r="L1232" s="8">
        <f>_xlfn.IFNA(INDEX('HS Codes'!$D$2:$K3786,MATCH($B1232,'HS Codes'!$A$2:$A3786,0),MATCH(L$1,'HS Codes'!$D$1:$K$1,0)),"")</f>
        <v>0</v>
      </c>
      <c r="M1232" s="8">
        <f>_xlfn.IFNA(INDEX('HS Codes'!$C$2:$C3786,MATCH($B1232,'HS Codes'!$A$2:$A3786,0)),"")</f>
        <v>0</v>
      </c>
      <c r="N1232" s="9"/>
      <c r="O1232" s="9"/>
      <c r="P1232" s="9"/>
      <c r="Q1232" s="9"/>
    </row>
    <row r="1233" spans="1:17" ht="15.75" customHeight="1">
      <c r="A1233" s="7" t="s">
        <v>1526</v>
      </c>
      <c r="B1233" s="7" t="s">
        <v>205</v>
      </c>
      <c r="C1233" s="7"/>
      <c r="D1233" s="7" t="s">
        <v>206</v>
      </c>
      <c r="E1233" s="7" t="s">
        <v>322</v>
      </c>
      <c r="F1233" s="8">
        <f>_xlfn.IFNA(INDEX('HS Codes'!$D$2:$K3787,MATCH($B1233,'HS Codes'!$A$2:$A3787,0),MATCH(F$1,'HS Codes'!$D$1:$K$1,0)),"")</f>
        <v>0</v>
      </c>
      <c r="G1233" s="8">
        <f>_xlfn.IFNA(INDEX('HS Codes'!$D$2:$K3787,MATCH($B1233,'HS Codes'!$A$2:$A3787,0),MATCH(G$1,'HS Codes'!$D$1:$K$1,0)),"")</f>
        <v>0</v>
      </c>
      <c r="H1233" s="8">
        <f>_xlfn.IFNA(INDEX('HS Codes'!$D$2:$K3787,MATCH($B1233,'HS Codes'!$A$2:$A3787,0),MATCH(H$1,'HS Codes'!$D$1:$K$1,0)),"")</f>
        <v>0</v>
      </c>
      <c r="I1233" s="8">
        <f>_xlfn.IFNA(INDEX('HS Codes'!$D$2:$K3787,MATCH($B1233,'HS Codes'!$A$2:$A3787,0),MATCH(I$1,'HS Codes'!$D$1:$K$1,0)),"")</f>
        <v>0</v>
      </c>
      <c r="J1233" s="8">
        <f>_xlfn.IFNA(INDEX('HS Codes'!$D$2:$K3787,MATCH($B1233,'HS Codes'!$A$2:$A3787,0),MATCH(J$1,'HS Codes'!$D$1:$K$1,0)),"")</f>
        <v>0</v>
      </c>
      <c r="K1233" s="8">
        <f>_xlfn.IFNA(INDEX('HS Codes'!$D$2:$K3787,MATCH($B1233,'HS Codes'!$A$2:$A3787,0),MATCH(K$1,'HS Codes'!$D$1:$K$1,0)),"")</f>
        <v>0</v>
      </c>
      <c r="L1233" s="8">
        <f>_xlfn.IFNA(INDEX('HS Codes'!$D$2:$K3787,MATCH($B1233,'HS Codes'!$A$2:$A3787,0),MATCH(L$1,'HS Codes'!$D$1:$K$1,0)),"")</f>
        <v>0</v>
      </c>
      <c r="M1233" s="8">
        <f>_xlfn.IFNA(INDEX('HS Codes'!$C$2:$C3787,MATCH($B1233,'HS Codes'!$A$2:$A3787,0)),"")</f>
        <v>0</v>
      </c>
      <c r="N1233" s="9"/>
      <c r="O1233" s="9"/>
      <c r="P1233" s="9"/>
      <c r="Q1233" s="9"/>
    </row>
    <row r="1234" spans="1:17" ht="15.75" customHeight="1">
      <c r="A1234" s="7" t="s">
        <v>1527</v>
      </c>
      <c r="B1234" s="7" t="s">
        <v>205</v>
      </c>
      <c r="C1234" s="7"/>
      <c r="D1234" s="7" t="s">
        <v>206</v>
      </c>
      <c r="E1234" s="7" t="s">
        <v>322</v>
      </c>
      <c r="F1234" s="8">
        <f>_xlfn.IFNA(INDEX('HS Codes'!$D$2:$K3788,MATCH($B1234,'HS Codes'!$A$2:$A3788,0),MATCH(F$1,'HS Codes'!$D$1:$K$1,0)),"")</f>
        <v>0</v>
      </c>
      <c r="G1234" s="8">
        <f>_xlfn.IFNA(INDEX('HS Codes'!$D$2:$K3788,MATCH($B1234,'HS Codes'!$A$2:$A3788,0),MATCH(G$1,'HS Codes'!$D$1:$K$1,0)),"")</f>
        <v>0</v>
      </c>
      <c r="H1234" s="8">
        <f>_xlfn.IFNA(INDEX('HS Codes'!$D$2:$K3788,MATCH($B1234,'HS Codes'!$A$2:$A3788,0),MATCH(H$1,'HS Codes'!$D$1:$K$1,0)),"")</f>
        <v>0</v>
      </c>
      <c r="I1234" s="8">
        <f>_xlfn.IFNA(INDEX('HS Codes'!$D$2:$K3788,MATCH($B1234,'HS Codes'!$A$2:$A3788,0),MATCH(I$1,'HS Codes'!$D$1:$K$1,0)),"")</f>
        <v>0</v>
      </c>
      <c r="J1234" s="8">
        <f>_xlfn.IFNA(INDEX('HS Codes'!$D$2:$K3788,MATCH($B1234,'HS Codes'!$A$2:$A3788,0),MATCH(J$1,'HS Codes'!$D$1:$K$1,0)),"")</f>
        <v>0</v>
      </c>
      <c r="K1234" s="8">
        <f>_xlfn.IFNA(INDEX('HS Codes'!$D$2:$K3788,MATCH($B1234,'HS Codes'!$A$2:$A3788,0),MATCH(K$1,'HS Codes'!$D$1:$K$1,0)),"")</f>
        <v>0</v>
      </c>
      <c r="L1234" s="8">
        <f>_xlfn.IFNA(INDEX('HS Codes'!$D$2:$K3788,MATCH($B1234,'HS Codes'!$A$2:$A3788,0),MATCH(L$1,'HS Codes'!$D$1:$K$1,0)),"")</f>
        <v>0</v>
      </c>
      <c r="M1234" s="8">
        <f>_xlfn.IFNA(INDEX('HS Codes'!$C$2:$C3788,MATCH($B1234,'HS Codes'!$A$2:$A3788,0)),"")</f>
        <v>0</v>
      </c>
      <c r="N1234" s="9"/>
      <c r="O1234" s="9"/>
      <c r="P1234" s="9"/>
      <c r="Q1234" s="9"/>
    </row>
    <row r="1235" spans="1:17" ht="15.75" customHeight="1">
      <c r="A1235" s="7" t="s">
        <v>1528</v>
      </c>
      <c r="B1235" s="7" t="s">
        <v>205</v>
      </c>
      <c r="C1235" s="7"/>
      <c r="D1235" s="7" t="s">
        <v>206</v>
      </c>
      <c r="E1235" s="7" t="s">
        <v>322</v>
      </c>
      <c r="F1235" s="8">
        <f>_xlfn.IFNA(INDEX('HS Codes'!$D$2:$K3789,MATCH($B1235,'HS Codes'!$A$2:$A3789,0),MATCH(F$1,'HS Codes'!$D$1:$K$1,0)),"")</f>
        <v>0</v>
      </c>
      <c r="G1235" s="8">
        <f>_xlfn.IFNA(INDEX('HS Codes'!$D$2:$K3789,MATCH($B1235,'HS Codes'!$A$2:$A3789,0),MATCH(G$1,'HS Codes'!$D$1:$K$1,0)),"")</f>
        <v>0</v>
      </c>
      <c r="H1235" s="8">
        <f>_xlfn.IFNA(INDEX('HS Codes'!$D$2:$K3789,MATCH($B1235,'HS Codes'!$A$2:$A3789,0),MATCH(H$1,'HS Codes'!$D$1:$K$1,0)),"")</f>
        <v>0</v>
      </c>
      <c r="I1235" s="8">
        <f>_xlfn.IFNA(INDEX('HS Codes'!$D$2:$K3789,MATCH($B1235,'HS Codes'!$A$2:$A3789,0),MATCH(I$1,'HS Codes'!$D$1:$K$1,0)),"")</f>
        <v>0</v>
      </c>
      <c r="J1235" s="8">
        <f>_xlfn.IFNA(INDEX('HS Codes'!$D$2:$K3789,MATCH($B1235,'HS Codes'!$A$2:$A3789,0),MATCH(J$1,'HS Codes'!$D$1:$K$1,0)),"")</f>
        <v>0</v>
      </c>
      <c r="K1235" s="8">
        <f>_xlfn.IFNA(INDEX('HS Codes'!$D$2:$K3789,MATCH($B1235,'HS Codes'!$A$2:$A3789,0),MATCH(K$1,'HS Codes'!$D$1:$K$1,0)),"")</f>
        <v>0</v>
      </c>
      <c r="L1235" s="8">
        <f>_xlfn.IFNA(INDEX('HS Codes'!$D$2:$K3789,MATCH($B1235,'HS Codes'!$A$2:$A3789,0),MATCH(L$1,'HS Codes'!$D$1:$K$1,0)),"")</f>
        <v>0</v>
      </c>
      <c r="M1235" s="8">
        <f>_xlfn.IFNA(INDEX('HS Codes'!$C$2:$C3789,MATCH($B1235,'HS Codes'!$A$2:$A3789,0)),"")</f>
        <v>0</v>
      </c>
      <c r="N1235" s="9"/>
      <c r="O1235" s="9"/>
      <c r="P1235" s="9"/>
      <c r="Q1235" s="9"/>
    </row>
    <row r="1236" spans="1:17" ht="15.75" customHeight="1">
      <c r="A1236" s="7" t="s">
        <v>1529</v>
      </c>
      <c r="B1236" s="7" t="s">
        <v>205</v>
      </c>
      <c r="C1236" s="7"/>
      <c r="D1236" s="7" t="s">
        <v>206</v>
      </c>
      <c r="E1236" s="7" t="s">
        <v>322</v>
      </c>
      <c r="F1236" s="8">
        <f>_xlfn.IFNA(INDEX('HS Codes'!$D$2:$K3790,MATCH($B1236,'HS Codes'!$A$2:$A3790,0),MATCH(F$1,'HS Codes'!$D$1:$K$1,0)),"")</f>
        <v>0</v>
      </c>
      <c r="G1236" s="8">
        <f>_xlfn.IFNA(INDEX('HS Codes'!$D$2:$K3790,MATCH($B1236,'HS Codes'!$A$2:$A3790,0),MATCH(G$1,'HS Codes'!$D$1:$K$1,0)),"")</f>
        <v>0</v>
      </c>
      <c r="H1236" s="8">
        <f>_xlfn.IFNA(INDEX('HS Codes'!$D$2:$K3790,MATCH($B1236,'HS Codes'!$A$2:$A3790,0),MATCH(H$1,'HS Codes'!$D$1:$K$1,0)),"")</f>
        <v>0</v>
      </c>
      <c r="I1236" s="8">
        <f>_xlfn.IFNA(INDEX('HS Codes'!$D$2:$K3790,MATCH($B1236,'HS Codes'!$A$2:$A3790,0),MATCH(I$1,'HS Codes'!$D$1:$K$1,0)),"")</f>
        <v>0</v>
      </c>
      <c r="J1236" s="8">
        <f>_xlfn.IFNA(INDEX('HS Codes'!$D$2:$K3790,MATCH($B1236,'HS Codes'!$A$2:$A3790,0),MATCH(J$1,'HS Codes'!$D$1:$K$1,0)),"")</f>
        <v>0</v>
      </c>
      <c r="K1236" s="8">
        <f>_xlfn.IFNA(INDEX('HS Codes'!$D$2:$K3790,MATCH($B1236,'HS Codes'!$A$2:$A3790,0),MATCH(K$1,'HS Codes'!$D$1:$K$1,0)),"")</f>
        <v>0</v>
      </c>
      <c r="L1236" s="8">
        <f>_xlfn.IFNA(INDEX('HS Codes'!$D$2:$K3790,MATCH($B1236,'HS Codes'!$A$2:$A3790,0),MATCH(L$1,'HS Codes'!$D$1:$K$1,0)),"")</f>
        <v>0</v>
      </c>
      <c r="M1236" s="8">
        <f>_xlfn.IFNA(INDEX('HS Codes'!$C$2:$C3790,MATCH($B1236,'HS Codes'!$A$2:$A3790,0)),"")</f>
        <v>0</v>
      </c>
      <c r="N1236" s="9"/>
      <c r="O1236" s="9"/>
      <c r="P1236" s="9"/>
      <c r="Q1236" s="9"/>
    </row>
    <row r="1237" spans="1:17" ht="15.75" customHeight="1">
      <c r="A1237" s="7" t="s">
        <v>1530</v>
      </c>
      <c r="B1237" s="7" t="s">
        <v>205</v>
      </c>
      <c r="C1237" s="7"/>
      <c r="D1237" s="7" t="s">
        <v>206</v>
      </c>
      <c r="E1237" s="7" t="s">
        <v>322</v>
      </c>
      <c r="F1237" s="8">
        <f>_xlfn.IFNA(INDEX('HS Codes'!$D$2:$K3791,MATCH($B1237,'HS Codes'!$A$2:$A3791,0),MATCH(F$1,'HS Codes'!$D$1:$K$1,0)),"")</f>
        <v>0</v>
      </c>
      <c r="G1237" s="8">
        <f>_xlfn.IFNA(INDEX('HS Codes'!$D$2:$K3791,MATCH($B1237,'HS Codes'!$A$2:$A3791,0),MATCH(G$1,'HS Codes'!$D$1:$K$1,0)),"")</f>
        <v>0</v>
      </c>
      <c r="H1237" s="8">
        <f>_xlfn.IFNA(INDEX('HS Codes'!$D$2:$K3791,MATCH($B1237,'HS Codes'!$A$2:$A3791,0),MATCH(H$1,'HS Codes'!$D$1:$K$1,0)),"")</f>
        <v>0</v>
      </c>
      <c r="I1237" s="8">
        <f>_xlfn.IFNA(INDEX('HS Codes'!$D$2:$K3791,MATCH($B1237,'HS Codes'!$A$2:$A3791,0),MATCH(I$1,'HS Codes'!$D$1:$K$1,0)),"")</f>
        <v>0</v>
      </c>
      <c r="J1237" s="8">
        <f>_xlfn.IFNA(INDEX('HS Codes'!$D$2:$K3791,MATCH($B1237,'HS Codes'!$A$2:$A3791,0),MATCH(J$1,'HS Codes'!$D$1:$K$1,0)),"")</f>
        <v>0</v>
      </c>
      <c r="K1237" s="8">
        <f>_xlfn.IFNA(INDEX('HS Codes'!$D$2:$K3791,MATCH($B1237,'HS Codes'!$A$2:$A3791,0),MATCH(K$1,'HS Codes'!$D$1:$K$1,0)),"")</f>
        <v>0</v>
      </c>
      <c r="L1237" s="8">
        <f>_xlfn.IFNA(INDEX('HS Codes'!$D$2:$K3791,MATCH($B1237,'HS Codes'!$A$2:$A3791,0),MATCH(L$1,'HS Codes'!$D$1:$K$1,0)),"")</f>
        <v>0</v>
      </c>
      <c r="M1237" s="8">
        <f>_xlfn.IFNA(INDEX('HS Codes'!$C$2:$C3791,MATCH($B1237,'HS Codes'!$A$2:$A3791,0)),"")</f>
        <v>0</v>
      </c>
      <c r="N1237" s="9"/>
      <c r="O1237" s="9"/>
      <c r="P1237" s="9"/>
      <c r="Q1237" s="9"/>
    </row>
    <row r="1238" spans="1:17" ht="15.75" customHeight="1">
      <c r="A1238" s="7" t="s">
        <v>1531</v>
      </c>
      <c r="B1238" s="7" t="s">
        <v>205</v>
      </c>
      <c r="C1238" s="7"/>
      <c r="D1238" s="7" t="s">
        <v>206</v>
      </c>
      <c r="E1238" s="7" t="s">
        <v>322</v>
      </c>
      <c r="F1238" s="8">
        <f>_xlfn.IFNA(INDEX('HS Codes'!$D$2:$K3792,MATCH($B1238,'HS Codes'!$A$2:$A3792,0),MATCH(F$1,'HS Codes'!$D$1:$K$1,0)),"")</f>
        <v>0</v>
      </c>
      <c r="G1238" s="8">
        <f>_xlfn.IFNA(INDEX('HS Codes'!$D$2:$K3792,MATCH($B1238,'HS Codes'!$A$2:$A3792,0),MATCH(G$1,'HS Codes'!$D$1:$K$1,0)),"")</f>
        <v>0</v>
      </c>
      <c r="H1238" s="8">
        <f>_xlfn.IFNA(INDEX('HS Codes'!$D$2:$K3792,MATCH($B1238,'HS Codes'!$A$2:$A3792,0),MATCH(H$1,'HS Codes'!$D$1:$K$1,0)),"")</f>
        <v>0</v>
      </c>
      <c r="I1238" s="8">
        <f>_xlfn.IFNA(INDEX('HS Codes'!$D$2:$K3792,MATCH($B1238,'HS Codes'!$A$2:$A3792,0),MATCH(I$1,'HS Codes'!$D$1:$K$1,0)),"")</f>
        <v>0</v>
      </c>
      <c r="J1238" s="8">
        <f>_xlfn.IFNA(INDEX('HS Codes'!$D$2:$K3792,MATCH($B1238,'HS Codes'!$A$2:$A3792,0),MATCH(J$1,'HS Codes'!$D$1:$K$1,0)),"")</f>
        <v>0</v>
      </c>
      <c r="K1238" s="8">
        <f>_xlfn.IFNA(INDEX('HS Codes'!$D$2:$K3792,MATCH($B1238,'HS Codes'!$A$2:$A3792,0),MATCH(K$1,'HS Codes'!$D$1:$K$1,0)),"")</f>
        <v>0</v>
      </c>
      <c r="L1238" s="8">
        <f>_xlfn.IFNA(INDEX('HS Codes'!$D$2:$K3792,MATCH($B1238,'HS Codes'!$A$2:$A3792,0),MATCH(L$1,'HS Codes'!$D$1:$K$1,0)),"")</f>
        <v>0</v>
      </c>
      <c r="M1238" s="8">
        <f>_xlfn.IFNA(INDEX('HS Codes'!$C$2:$C3792,MATCH($B1238,'HS Codes'!$A$2:$A3792,0)),"")</f>
        <v>0</v>
      </c>
      <c r="N1238" s="9"/>
      <c r="O1238" s="9"/>
      <c r="P1238" s="9"/>
      <c r="Q1238" s="9"/>
    </row>
    <row r="1239" spans="1:17" ht="15.75" customHeight="1">
      <c r="A1239" s="7" t="s">
        <v>1532</v>
      </c>
      <c r="B1239" s="7" t="s">
        <v>205</v>
      </c>
      <c r="C1239" s="7"/>
      <c r="D1239" s="7" t="s">
        <v>206</v>
      </c>
      <c r="E1239" s="7" t="s">
        <v>322</v>
      </c>
      <c r="F1239" s="8">
        <f>_xlfn.IFNA(INDEX('HS Codes'!$D$2:$K3793,MATCH($B1239,'HS Codes'!$A$2:$A3793,0),MATCH(F$1,'HS Codes'!$D$1:$K$1,0)),"")</f>
        <v>0</v>
      </c>
      <c r="G1239" s="8">
        <f>_xlfn.IFNA(INDEX('HS Codes'!$D$2:$K3793,MATCH($B1239,'HS Codes'!$A$2:$A3793,0),MATCH(G$1,'HS Codes'!$D$1:$K$1,0)),"")</f>
        <v>0</v>
      </c>
      <c r="H1239" s="8">
        <f>_xlfn.IFNA(INDEX('HS Codes'!$D$2:$K3793,MATCH($B1239,'HS Codes'!$A$2:$A3793,0),MATCH(H$1,'HS Codes'!$D$1:$K$1,0)),"")</f>
        <v>0</v>
      </c>
      <c r="I1239" s="8">
        <f>_xlfn.IFNA(INDEX('HS Codes'!$D$2:$K3793,MATCH($B1239,'HS Codes'!$A$2:$A3793,0),MATCH(I$1,'HS Codes'!$D$1:$K$1,0)),"")</f>
        <v>0</v>
      </c>
      <c r="J1239" s="8">
        <f>_xlfn.IFNA(INDEX('HS Codes'!$D$2:$K3793,MATCH($B1239,'HS Codes'!$A$2:$A3793,0),MATCH(J$1,'HS Codes'!$D$1:$K$1,0)),"")</f>
        <v>0</v>
      </c>
      <c r="K1239" s="8">
        <f>_xlfn.IFNA(INDEX('HS Codes'!$D$2:$K3793,MATCH($B1239,'HS Codes'!$A$2:$A3793,0),MATCH(K$1,'HS Codes'!$D$1:$K$1,0)),"")</f>
        <v>0</v>
      </c>
      <c r="L1239" s="8">
        <f>_xlfn.IFNA(INDEX('HS Codes'!$D$2:$K3793,MATCH($B1239,'HS Codes'!$A$2:$A3793,0),MATCH(L$1,'HS Codes'!$D$1:$K$1,0)),"")</f>
        <v>0</v>
      </c>
      <c r="M1239" s="8">
        <f>_xlfn.IFNA(INDEX('HS Codes'!$C$2:$C3793,MATCH($B1239,'HS Codes'!$A$2:$A3793,0)),"")</f>
        <v>0</v>
      </c>
      <c r="N1239" s="9"/>
      <c r="O1239" s="9"/>
      <c r="P1239" s="9"/>
      <c r="Q1239" s="9"/>
    </row>
    <row r="1240" spans="1:17" ht="15.75" customHeight="1">
      <c r="A1240" s="7" t="s">
        <v>1533</v>
      </c>
      <c r="B1240" s="7" t="s">
        <v>205</v>
      </c>
      <c r="C1240" s="7"/>
      <c r="D1240" s="7" t="s">
        <v>206</v>
      </c>
      <c r="E1240" s="7" t="s">
        <v>322</v>
      </c>
      <c r="F1240" s="8">
        <f>_xlfn.IFNA(INDEX('HS Codes'!$D$2:$K3794,MATCH($B1240,'HS Codes'!$A$2:$A3794,0),MATCH(F$1,'HS Codes'!$D$1:$K$1,0)),"")</f>
        <v>0</v>
      </c>
      <c r="G1240" s="8">
        <f>_xlfn.IFNA(INDEX('HS Codes'!$D$2:$K3794,MATCH($B1240,'HS Codes'!$A$2:$A3794,0),MATCH(G$1,'HS Codes'!$D$1:$K$1,0)),"")</f>
        <v>0</v>
      </c>
      <c r="H1240" s="8">
        <f>_xlfn.IFNA(INDEX('HS Codes'!$D$2:$K3794,MATCH($B1240,'HS Codes'!$A$2:$A3794,0),MATCH(H$1,'HS Codes'!$D$1:$K$1,0)),"")</f>
        <v>0</v>
      </c>
      <c r="I1240" s="8">
        <f>_xlfn.IFNA(INDEX('HS Codes'!$D$2:$K3794,MATCH($B1240,'HS Codes'!$A$2:$A3794,0),MATCH(I$1,'HS Codes'!$D$1:$K$1,0)),"")</f>
        <v>0</v>
      </c>
      <c r="J1240" s="8">
        <f>_xlfn.IFNA(INDEX('HS Codes'!$D$2:$K3794,MATCH($B1240,'HS Codes'!$A$2:$A3794,0),MATCH(J$1,'HS Codes'!$D$1:$K$1,0)),"")</f>
        <v>0</v>
      </c>
      <c r="K1240" s="8">
        <f>_xlfn.IFNA(INDEX('HS Codes'!$D$2:$K3794,MATCH($B1240,'HS Codes'!$A$2:$A3794,0),MATCH(K$1,'HS Codes'!$D$1:$K$1,0)),"")</f>
        <v>0</v>
      </c>
      <c r="L1240" s="8">
        <f>_xlfn.IFNA(INDEX('HS Codes'!$D$2:$K3794,MATCH($B1240,'HS Codes'!$A$2:$A3794,0),MATCH(L$1,'HS Codes'!$D$1:$K$1,0)),"")</f>
        <v>0</v>
      </c>
      <c r="M1240" s="8">
        <f>_xlfn.IFNA(INDEX('HS Codes'!$C$2:$C3794,MATCH($B1240,'HS Codes'!$A$2:$A3794,0)),"")</f>
        <v>0</v>
      </c>
      <c r="N1240" s="9"/>
      <c r="O1240" s="9"/>
      <c r="P1240" s="9"/>
      <c r="Q1240" s="9"/>
    </row>
    <row r="1241" spans="1:17" ht="15.75" customHeight="1">
      <c r="A1241" s="7" t="s">
        <v>1534</v>
      </c>
      <c r="B1241" s="7" t="s">
        <v>191</v>
      </c>
      <c r="C1241" s="7"/>
      <c r="D1241" s="7" t="s">
        <v>192</v>
      </c>
      <c r="E1241" s="7" t="s">
        <v>322</v>
      </c>
      <c r="F1241" s="8">
        <f>_xlfn.IFNA(INDEX('HS Codes'!$D$2:$K3795,MATCH($B1241,'HS Codes'!$A$2:$A3795,0),MATCH(F$1,'HS Codes'!$D$1:$K$1,0)),"")</f>
        <v>0</v>
      </c>
      <c r="G1241" s="8">
        <f>_xlfn.IFNA(INDEX('HS Codes'!$D$2:$K3795,MATCH($B1241,'HS Codes'!$A$2:$A3795,0),MATCH(G$1,'HS Codes'!$D$1:$K$1,0)),"")</f>
        <v>0</v>
      </c>
      <c r="H1241" s="8">
        <f>_xlfn.IFNA(INDEX('HS Codes'!$D$2:$K3795,MATCH($B1241,'HS Codes'!$A$2:$A3795,0),MATCH(H$1,'HS Codes'!$D$1:$K$1,0)),"")</f>
        <v>0</v>
      </c>
      <c r="I1241" s="8">
        <f>_xlfn.IFNA(INDEX('HS Codes'!$D$2:$K3795,MATCH($B1241,'HS Codes'!$A$2:$A3795,0),MATCH(I$1,'HS Codes'!$D$1:$K$1,0)),"")</f>
        <v>0</v>
      </c>
      <c r="J1241" s="8">
        <f>_xlfn.IFNA(INDEX('HS Codes'!$D$2:$K3795,MATCH($B1241,'HS Codes'!$A$2:$A3795,0),MATCH(J$1,'HS Codes'!$D$1:$K$1,0)),"")</f>
        <v>0</v>
      </c>
      <c r="K1241" s="8">
        <f>_xlfn.IFNA(INDEX('HS Codes'!$D$2:$K3795,MATCH($B1241,'HS Codes'!$A$2:$A3795,0),MATCH(K$1,'HS Codes'!$D$1:$K$1,0)),"")</f>
        <v>0</v>
      </c>
      <c r="L1241" s="8">
        <f>_xlfn.IFNA(INDEX('HS Codes'!$D$2:$K3795,MATCH($B1241,'HS Codes'!$A$2:$A3795,0),MATCH(L$1,'HS Codes'!$D$1:$K$1,0)),"")</f>
        <v>0</v>
      </c>
      <c r="M1241" s="8">
        <f>_xlfn.IFNA(INDEX('HS Codes'!$C$2:$C3795,MATCH($B1241,'HS Codes'!$A$2:$A3795,0)),"")</f>
        <v>0</v>
      </c>
      <c r="N1241" s="9"/>
      <c r="O1241" s="9"/>
      <c r="P1241" s="9"/>
      <c r="Q1241" s="9"/>
    </row>
    <row r="1242" spans="1:17" ht="15.75" customHeight="1">
      <c r="A1242" s="7" t="s">
        <v>1535</v>
      </c>
      <c r="B1242" s="7" t="s">
        <v>191</v>
      </c>
      <c r="C1242" s="7"/>
      <c r="D1242" s="7" t="s">
        <v>192</v>
      </c>
      <c r="E1242" s="7" t="s">
        <v>322</v>
      </c>
      <c r="F1242" s="8">
        <f>_xlfn.IFNA(INDEX('HS Codes'!$D$2:$K3796,MATCH($B1242,'HS Codes'!$A$2:$A3796,0),MATCH(F$1,'HS Codes'!$D$1:$K$1,0)),"")</f>
        <v>0</v>
      </c>
      <c r="G1242" s="8">
        <f>_xlfn.IFNA(INDEX('HS Codes'!$D$2:$K3796,MATCH($B1242,'HS Codes'!$A$2:$A3796,0),MATCH(G$1,'HS Codes'!$D$1:$K$1,0)),"")</f>
        <v>0</v>
      </c>
      <c r="H1242" s="8">
        <f>_xlfn.IFNA(INDEX('HS Codes'!$D$2:$K3796,MATCH($B1242,'HS Codes'!$A$2:$A3796,0),MATCH(H$1,'HS Codes'!$D$1:$K$1,0)),"")</f>
        <v>0</v>
      </c>
      <c r="I1242" s="8">
        <f>_xlfn.IFNA(INDEX('HS Codes'!$D$2:$K3796,MATCH($B1242,'HS Codes'!$A$2:$A3796,0),MATCH(I$1,'HS Codes'!$D$1:$K$1,0)),"")</f>
        <v>0</v>
      </c>
      <c r="J1242" s="8">
        <f>_xlfn.IFNA(INDEX('HS Codes'!$D$2:$K3796,MATCH($B1242,'HS Codes'!$A$2:$A3796,0),MATCH(J$1,'HS Codes'!$D$1:$K$1,0)),"")</f>
        <v>0</v>
      </c>
      <c r="K1242" s="8">
        <f>_xlfn.IFNA(INDEX('HS Codes'!$D$2:$K3796,MATCH($B1242,'HS Codes'!$A$2:$A3796,0),MATCH(K$1,'HS Codes'!$D$1:$K$1,0)),"")</f>
        <v>0</v>
      </c>
      <c r="L1242" s="8">
        <f>_xlfn.IFNA(INDEX('HS Codes'!$D$2:$K3796,MATCH($B1242,'HS Codes'!$A$2:$A3796,0),MATCH(L$1,'HS Codes'!$D$1:$K$1,0)),"")</f>
        <v>0</v>
      </c>
      <c r="M1242" s="8">
        <f>_xlfn.IFNA(INDEX('HS Codes'!$C$2:$C3796,MATCH($B1242,'HS Codes'!$A$2:$A3796,0)),"")</f>
        <v>0</v>
      </c>
      <c r="N1242" s="9"/>
      <c r="O1242" s="9"/>
      <c r="P1242" s="9"/>
      <c r="Q1242" s="9"/>
    </row>
    <row r="1243" spans="1:17" ht="15.75" customHeight="1">
      <c r="A1243" s="7" t="s">
        <v>1536</v>
      </c>
      <c r="B1243" s="7" t="s">
        <v>191</v>
      </c>
      <c r="C1243" s="7"/>
      <c r="D1243" s="7" t="s">
        <v>192</v>
      </c>
      <c r="E1243" s="7" t="s">
        <v>322</v>
      </c>
      <c r="F1243" s="8">
        <f>_xlfn.IFNA(INDEX('HS Codes'!$D$2:$K3797,MATCH($B1243,'HS Codes'!$A$2:$A3797,0),MATCH(F$1,'HS Codes'!$D$1:$K$1,0)),"")</f>
        <v>0</v>
      </c>
      <c r="G1243" s="8">
        <f>_xlfn.IFNA(INDEX('HS Codes'!$D$2:$K3797,MATCH($B1243,'HS Codes'!$A$2:$A3797,0),MATCH(G$1,'HS Codes'!$D$1:$K$1,0)),"")</f>
        <v>0</v>
      </c>
      <c r="H1243" s="8">
        <f>_xlfn.IFNA(INDEX('HS Codes'!$D$2:$K3797,MATCH($B1243,'HS Codes'!$A$2:$A3797,0),MATCH(H$1,'HS Codes'!$D$1:$K$1,0)),"")</f>
        <v>0</v>
      </c>
      <c r="I1243" s="8">
        <f>_xlfn.IFNA(INDEX('HS Codes'!$D$2:$K3797,MATCH($B1243,'HS Codes'!$A$2:$A3797,0),MATCH(I$1,'HS Codes'!$D$1:$K$1,0)),"")</f>
        <v>0</v>
      </c>
      <c r="J1243" s="8">
        <f>_xlfn.IFNA(INDEX('HS Codes'!$D$2:$K3797,MATCH($B1243,'HS Codes'!$A$2:$A3797,0),MATCH(J$1,'HS Codes'!$D$1:$K$1,0)),"")</f>
        <v>0</v>
      </c>
      <c r="K1243" s="8">
        <f>_xlfn.IFNA(INDEX('HS Codes'!$D$2:$K3797,MATCH($B1243,'HS Codes'!$A$2:$A3797,0),MATCH(K$1,'HS Codes'!$D$1:$K$1,0)),"")</f>
        <v>0</v>
      </c>
      <c r="L1243" s="8">
        <f>_xlfn.IFNA(INDEX('HS Codes'!$D$2:$K3797,MATCH($B1243,'HS Codes'!$A$2:$A3797,0),MATCH(L$1,'HS Codes'!$D$1:$K$1,0)),"")</f>
        <v>0</v>
      </c>
      <c r="M1243" s="8">
        <f>_xlfn.IFNA(INDEX('HS Codes'!$C$2:$C3797,MATCH($B1243,'HS Codes'!$A$2:$A3797,0)),"")</f>
        <v>0</v>
      </c>
      <c r="N1243" s="9"/>
      <c r="O1243" s="9"/>
      <c r="P1243" s="9"/>
      <c r="Q1243" s="9"/>
    </row>
    <row r="1244" spans="1:17" ht="15.75" customHeight="1">
      <c r="A1244" s="7" t="s">
        <v>1537</v>
      </c>
      <c r="B1244" s="7" t="s">
        <v>191</v>
      </c>
      <c r="C1244" s="7"/>
      <c r="D1244" s="7" t="s">
        <v>192</v>
      </c>
      <c r="E1244" s="7" t="s">
        <v>322</v>
      </c>
      <c r="F1244" s="8">
        <f>_xlfn.IFNA(INDEX('HS Codes'!$D$2:$K3798,MATCH($B1244,'HS Codes'!$A$2:$A3798,0),MATCH(F$1,'HS Codes'!$D$1:$K$1,0)),"")</f>
        <v>0</v>
      </c>
      <c r="G1244" s="8">
        <f>_xlfn.IFNA(INDEX('HS Codes'!$D$2:$K3798,MATCH($B1244,'HS Codes'!$A$2:$A3798,0),MATCH(G$1,'HS Codes'!$D$1:$K$1,0)),"")</f>
        <v>0</v>
      </c>
      <c r="H1244" s="8">
        <f>_xlfn.IFNA(INDEX('HS Codes'!$D$2:$K3798,MATCH($B1244,'HS Codes'!$A$2:$A3798,0),MATCH(H$1,'HS Codes'!$D$1:$K$1,0)),"")</f>
        <v>0</v>
      </c>
      <c r="I1244" s="8">
        <f>_xlfn.IFNA(INDEX('HS Codes'!$D$2:$K3798,MATCH($B1244,'HS Codes'!$A$2:$A3798,0),MATCH(I$1,'HS Codes'!$D$1:$K$1,0)),"")</f>
        <v>0</v>
      </c>
      <c r="J1244" s="8">
        <f>_xlfn.IFNA(INDEX('HS Codes'!$D$2:$K3798,MATCH($B1244,'HS Codes'!$A$2:$A3798,0),MATCH(J$1,'HS Codes'!$D$1:$K$1,0)),"")</f>
        <v>0</v>
      </c>
      <c r="K1244" s="8">
        <f>_xlfn.IFNA(INDEX('HS Codes'!$D$2:$K3798,MATCH($B1244,'HS Codes'!$A$2:$A3798,0),MATCH(K$1,'HS Codes'!$D$1:$K$1,0)),"")</f>
        <v>0</v>
      </c>
      <c r="L1244" s="8">
        <f>_xlfn.IFNA(INDEX('HS Codes'!$D$2:$K3798,MATCH($B1244,'HS Codes'!$A$2:$A3798,0),MATCH(L$1,'HS Codes'!$D$1:$K$1,0)),"")</f>
        <v>0</v>
      </c>
      <c r="M1244" s="8">
        <f>_xlfn.IFNA(INDEX('HS Codes'!$C$2:$C3798,MATCH($B1244,'HS Codes'!$A$2:$A3798,0)),"")</f>
        <v>0</v>
      </c>
      <c r="N1244" s="9"/>
      <c r="O1244" s="9"/>
      <c r="P1244" s="9"/>
      <c r="Q1244" s="9"/>
    </row>
    <row r="1245" spans="1:17" ht="15.75" customHeight="1">
      <c r="A1245" s="7" t="s">
        <v>1538</v>
      </c>
      <c r="B1245" s="7" t="s">
        <v>191</v>
      </c>
      <c r="C1245" s="7"/>
      <c r="D1245" s="7" t="s">
        <v>192</v>
      </c>
      <c r="E1245" s="7" t="s">
        <v>322</v>
      </c>
      <c r="F1245" s="8">
        <f>_xlfn.IFNA(INDEX('HS Codes'!$D$2:$K3799,MATCH($B1245,'HS Codes'!$A$2:$A3799,0),MATCH(F$1,'HS Codes'!$D$1:$K$1,0)),"")</f>
        <v>0</v>
      </c>
      <c r="G1245" s="8">
        <f>_xlfn.IFNA(INDEX('HS Codes'!$D$2:$K3799,MATCH($B1245,'HS Codes'!$A$2:$A3799,0),MATCH(G$1,'HS Codes'!$D$1:$K$1,0)),"")</f>
        <v>0</v>
      </c>
      <c r="H1245" s="8">
        <f>_xlfn.IFNA(INDEX('HS Codes'!$D$2:$K3799,MATCH($B1245,'HS Codes'!$A$2:$A3799,0),MATCH(H$1,'HS Codes'!$D$1:$K$1,0)),"")</f>
        <v>0</v>
      </c>
      <c r="I1245" s="8">
        <f>_xlfn.IFNA(INDEX('HS Codes'!$D$2:$K3799,MATCH($B1245,'HS Codes'!$A$2:$A3799,0),MATCH(I$1,'HS Codes'!$D$1:$K$1,0)),"")</f>
        <v>0</v>
      </c>
      <c r="J1245" s="8">
        <f>_xlfn.IFNA(INDEX('HS Codes'!$D$2:$K3799,MATCH($B1245,'HS Codes'!$A$2:$A3799,0),MATCH(J$1,'HS Codes'!$D$1:$K$1,0)),"")</f>
        <v>0</v>
      </c>
      <c r="K1245" s="8">
        <f>_xlfn.IFNA(INDEX('HS Codes'!$D$2:$K3799,MATCH($B1245,'HS Codes'!$A$2:$A3799,0),MATCH(K$1,'HS Codes'!$D$1:$K$1,0)),"")</f>
        <v>0</v>
      </c>
      <c r="L1245" s="8">
        <f>_xlfn.IFNA(INDEX('HS Codes'!$D$2:$K3799,MATCH($B1245,'HS Codes'!$A$2:$A3799,0),MATCH(L$1,'HS Codes'!$D$1:$K$1,0)),"")</f>
        <v>0</v>
      </c>
      <c r="M1245" s="8">
        <f>_xlfn.IFNA(INDEX('HS Codes'!$C$2:$C3799,MATCH($B1245,'HS Codes'!$A$2:$A3799,0)),"")</f>
        <v>0</v>
      </c>
      <c r="N1245" s="9"/>
      <c r="O1245" s="9"/>
      <c r="P1245" s="9"/>
      <c r="Q1245" s="9"/>
    </row>
    <row r="1246" spans="1:17" ht="15.75" customHeight="1">
      <c r="A1246" s="7" t="s">
        <v>1539</v>
      </c>
      <c r="B1246" s="7" t="s">
        <v>191</v>
      </c>
      <c r="C1246" s="7"/>
      <c r="D1246" s="7" t="s">
        <v>192</v>
      </c>
      <c r="E1246" s="7" t="s">
        <v>322</v>
      </c>
      <c r="F1246" s="8">
        <f>_xlfn.IFNA(INDEX('HS Codes'!$D$2:$K3800,MATCH($B1246,'HS Codes'!$A$2:$A3800,0),MATCH(F$1,'HS Codes'!$D$1:$K$1,0)),"")</f>
        <v>0</v>
      </c>
      <c r="G1246" s="8">
        <f>_xlfn.IFNA(INDEX('HS Codes'!$D$2:$K3800,MATCH($B1246,'HS Codes'!$A$2:$A3800,0),MATCH(G$1,'HS Codes'!$D$1:$K$1,0)),"")</f>
        <v>0</v>
      </c>
      <c r="H1246" s="8">
        <f>_xlfn.IFNA(INDEX('HS Codes'!$D$2:$K3800,MATCH($B1246,'HS Codes'!$A$2:$A3800,0),MATCH(H$1,'HS Codes'!$D$1:$K$1,0)),"")</f>
        <v>0</v>
      </c>
      <c r="I1246" s="8">
        <f>_xlfn.IFNA(INDEX('HS Codes'!$D$2:$K3800,MATCH($B1246,'HS Codes'!$A$2:$A3800,0),MATCH(I$1,'HS Codes'!$D$1:$K$1,0)),"")</f>
        <v>0</v>
      </c>
      <c r="J1246" s="8">
        <f>_xlfn.IFNA(INDEX('HS Codes'!$D$2:$K3800,MATCH($B1246,'HS Codes'!$A$2:$A3800,0),MATCH(J$1,'HS Codes'!$D$1:$K$1,0)),"")</f>
        <v>0</v>
      </c>
      <c r="K1246" s="8">
        <f>_xlfn.IFNA(INDEX('HS Codes'!$D$2:$K3800,MATCH($B1246,'HS Codes'!$A$2:$A3800,0),MATCH(K$1,'HS Codes'!$D$1:$K$1,0)),"")</f>
        <v>0</v>
      </c>
      <c r="L1246" s="8">
        <f>_xlfn.IFNA(INDEX('HS Codes'!$D$2:$K3800,MATCH($B1246,'HS Codes'!$A$2:$A3800,0),MATCH(L$1,'HS Codes'!$D$1:$K$1,0)),"")</f>
        <v>0</v>
      </c>
      <c r="M1246" s="8">
        <f>_xlfn.IFNA(INDEX('HS Codes'!$C$2:$C3800,MATCH($B1246,'HS Codes'!$A$2:$A3800,0)),"")</f>
        <v>0</v>
      </c>
      <c r="N1246" s="9"/>
      <c r="O1246" s="9"/>
      <c r="P1246" s="9"/>
      <c r="Q1246" s="9"/>
    </row>
    <row r="1247" spans="1:17" ht="15.75" customHeight="1">
      <c r="A1247" s="7" t="s">
        <v>1540</v>
      </c>
      <c r="B1247" s="7" t="s">
        <v>191</v>
      </c>
      <c r="C1247" s="7"/>
      <c r="D1247" s="7" t="s">
        <v>192</v>
      </c>
      <c r="E1247" s="7" t="s">
        <v>322</v>
      </c>
      <c r="F1247" s="8">
        <f>_xlfn.IFNA(INDEX('HS Codes'!$D$2:$K3801,MATCH($B1247,'HS Codes'!$A$2:$A3801,0),MATCH(F$1,'HS Codes'!$D$1:$K$1,0)),"")</f>
        <v>0</v>
      </c>
      <c r="G1247" s="8">
        <f>_xlfn.IFNA(INDEX('HS Codes'!$D$2:$K3801,MATCH($B1247,'HS Codes'!$A$2:$A3801,0),MATCH(G$1,'HS Codes'!$D$1:$K$1,0)),"")</f>
        <v>0</v>
      </c>
      <c r="H1247" s="8">
        <f>_xlfn.IFNA(INDEX('HS Codes'!$D$2:$K3801,MATCH($B1247,'HS Codes'!$A$2:$A3801,0),MATCH(H$1,'HS Codes'!$D$1:$K$1,0)),"")</f>
        <v>0</v>
      </c>
      <c r="I1247" s="8">
        <f>_xlfn.IFNA(INDEX('HS Codes'!$D$2:$K3801,MATCH($B1247,'HS Codes'!$A$2:$A3801,0),MATCH(I$1,'HS Codes'!$D$1:$K$1,0)),"")</f>
        <v>0</v>
      </c>
      <c r="J1247" s="8">
        <f>_xlfn.IFNA(INDEX('HS Codes'!$D$2:$K3801,MATCH($B1247,'HS Codes'!$A$2:$A3801,0),MATCH(J$1,'HS Codes'!$D$1:$K$1,0)),"")</f>
        <v>0</v>
      </c>
      <c r="K1247" s="8">
        <f>_xlfn.IFNA(INDEX('HS Codes'!$D$2:$K3801,MATCH($B1247,'HS Codes'!$A$2:$A3801,0),MATCH(K$1,'HS Codes'!$D$1:$K$1,0)),"")</f>
        <v>0</v>
      </c>
      <c r="L1247" s="8">
        <f>_xlfn.IFNA(INDEX('HS Codes'!$D$2:$K3801,MATCH($B1247,'HS Codes'!$A$2:$A3801,0),MATCH(L$1,'HS Codes'!$D$1:$K$1,0)),"")</f>
        <v>0</v>
      </c>
      <c r="M1247" s="8">
        <f>_xlfn.IFNA(INDEX('HS Codes'!$C$2:$C3801,MATCH($B1247,'HS Codes'!$A$2:$A3801,0)),"")</f>
        <v>0</v>
      </c>
      <c r="N1247" s="9"/>
      <c r="O1247" s="9"/>
      <c r="P1247" s="9"/>
      <c r="Q1247" s="9"/>
    </row>
    <row r="1248" spans="1:17" ht="15.75" customHeight="1">
      <c r="A1248" s="7" t="s">
        <v>1541</v>
      </c>
      <c r="B1248" s="7" t="s">
        <v>191</v>
      </c>
      <c r="C1248" s="7"/>
      <c r="D1248" s="7" t="s">
        <v>192</v>
      </c>
      <c r="E1248" s="7" t="s">
        <v>322</v>
      </c>
      <c r="F1248" s="8">
        <f>_xlfn.IFNA(INDEX('HS Codes'!$D$2:$K3802,MATCH($B1248,'HS Codes'!$A$2:$A3802,0),MATCH(F$1,'HS Codes'!$D$1:$K$1,0)),"")</f>
        <v>0</v>
      </c>
      <c r="G1248" s="8">
        <f>_xlfn.IFNA(INDEX('HS Codes'!$D$2:$K3802,MATCH($B1248,'HS Codes'!$A$2:$A3802,0),MATCH(G$1,'HS Codes'!$D$1:$K$1,0)),"")</f>
        <v>0</v>
      </c>
      <c r="H1248" s="8">
        <f>_xlfn.IFNA(INDEX('HS Codes'!$D$2:$K3802,MATCH($B1248,'HS Codes'!$A$2:$A3802,0),MATCH(H$1,'HS Codes'!$D$1:$K$1,0)),"")</f>
        <v>0</v>
      </c>
      <c r="I1248" s="8">
        <f>_xlfn.IFNA(INDEX('HS Codes'!$D$2:$K3802,MATCH($B1248,'HS Codes'!$A$2:$A3802,0),MATCH(I$1,'HS Codes'!$D$1:$K$1,0)),"")</f>
        <v>0</v>
      </c>
      <c r="J1248" s="8">
        <f>_xlfn.IFNA(INDEX('HS Codes'!$D$2:$K3802,MATCH($B1248,'HS Codes'!$A$2:$A3802,0),MATCH(J$1,'HS Codes'!$D$1:$K$1,0)),"")</f>
        <v>0</v>
      </c>
      <c r="K1248" s="8">
        <f>_xlfn.IFNA(INDEX('HS Codes'!$D$2:$K3802,MATCH($B1248,'HS Codes'!$A$2:$A3802,0),MATCH(K$1,'HS Codes'!$D$1:$K$1,0)),"")</f>
        <v>0</v>
      </c>
      <c r="L1248" s="8">
        <f>_xlfn.IFNA(INDEX('HS Codes'!$D$2:$K3802,MATCH($B1248,'HS Codes'!$A$2:$A3802,0),MATCH(L$1,'HS Codes'!$D$1:$K$1,0)),"")</f>
        <v>0</v>
      </c>
      <c r="M1248" s="8">
        <f>_xlfn.IFNA(INDEX('HS Codes'!$C$2:$C3802,MATCH($B1248,'HS Codes'!$A$2:$A3802,0)),"")</f>
        <v>0</v>
      </c>
      <c r="N1248" s="9"/>
      <c r="O1248" s="9"/>
      <c r="P1248" s="9"/>
      <c r="Q1248" s="9"/>
    </row>
    <row r="1249" spans="1:17" ht="15.75" customHeight="1">
      <c r="A1249" s="7" t="s">
        <v>1542</v>
      </c>
      <c r="B1249" s="7" t="s">
        <v>191</v>
      </c>
      <c r="C1249" s="7"/>
      <c r="D1249" s="7" t="s">
        <v>192</v>
      </c>
      <c r="E1249" s="7" t="s">
        <v>322</v>
      </c>
      <c r="F1249" s="8">
        <f>_xlfn.IFNA(INDEX('HS Codes'!$D$2:$K3803,MATCH($B1249,'HS Codes'!$A$2:$A3803,0),MATCH(F$1,'HS Codes'!$D$1:$K$1,0)),"")</f>
        <v>0</v>
      </c>
      <c r="G1249" s="8">
        <f>_xlfn.IFNA(INDEX('HS Codes'!$D$2:$K3803,MATCH($B1249,'HS Codes'!$A$2:$A3803,0),MATCH(G$1,'HS Codes'!$D$1:$K$1,0)),"")</f>
        <v>0</v>
      </c>
      <c r="H1249" s="8">
        <f>_xlfn.IFNA(INDEX('HS Codes'!$D$2:$K3803,MATCH($B1249,'HS Codes'!$A$2:$A3803,0),MATCH(H$1,'HS Codes'!$D$1:$K$1,0)),"")</f>
        <v>0</v>
      </c>
      <c r="I1249" s="8">
        <f>_xlfn.IFNA(INDEX('HS Codes'!$D$2:$K3803,MATCH($B1249,'HS Codes'!$A$2:$A3803,0),MATCH(I$1,'HS Codes'!$D$1:$K$1,0)),"")</f>
        <v>0</v>
      </c>
      <c r="J1249" s="8">
        <f>_xlfn.IFNA(INDEX('HS Codes'!$D$2:$K3803,MATCH($B1249,'HS Codes'!$A$2:$A3803,0),MATCH(J$1,'HS Codes'!$D$1:$K$1,0)),"")</f>
        <v>0</v>
      </c>
      <c r="K1249" s="8">
        <f>_xlfn.IFNA(INDEX('HS Codes'!$D$2:$K3803,MATCH($B1249,'HS Codes'!$A$2:$A3803,0),MATCH(K$1,'HS Codes'!$D$1:$K$1,0)),"")</f>
        <v>0</v>
      </c>
      <c r="L1249" s="8">
        <f>_xlfn.IFNA(INDEX('HS Codes'!$D$2:$K3803,MATCH($B1249,'HS Codes'!$A$2:$A3803,0),MATCH(L$1,'HS Codes'!$D$1:$K$1,0)),"")</f>
        <v>0</v>
      </c>
      <c r="M1249" s="8">
        <f>_xlfn.IFNA(INDEX('HS Codes'!$C$2:$C3803,MATCH($B1249,'HS Codes'!$A$2:$A3803,0)),"")</f>
        <v>0</v>
      </c>
      <c r="N1249" s="9"/>
      <c r="O1249" s="9"/>
      <c r="P1249" s="9"/>
      <c r="Q1249" s="9"/>
    </row>
    <row r="1250" spans="1:17" ht="15.75" customHeight="1">
      <c r="A1250" s="7" t="s">
        <v>1543</v>
      </c>
      <c r="B1250" s="7" t="s">
        <v>191</v>
      </c>
      <c r="C1250" s="7"/>
      <c r="D1250" s="7" t="s">
        <v>192</v>
      </c>
      <c r="E1250" s="7" t="s">
        <v>322</v>
      </c>
      <c r="F1250" s="8">
        <f>_xlfn.IFNA(INDEX('HS Codes'!$D$2:$K3804,MATCH($B1250,'HS Codes'!$A$2:$A3804,0),MATCH(F$1,'HS Codes'!$D$1:$K$1,0)),"")</f>
        <v>0</v>
      </c>
      <c r="G1250" s="8">
        <f>_xlfn.IFNA(INDEX('HS Codes'!$D$2:$K3804,MATCH($B1250,'HS Codes'!$A$2:$A3804,0),MATCH(G$1,'HS Codes'!$D$1:$K$1,0)),"")</f>
        <v>0</v>
      </c>
      <c r="H1250" s="8">
        <f>_xlfn.IFNA(INDEX('HS Codes'!$D$2:$K3804,MATCH($B1250,'HS Codes'!$A$2:$A3804,0),MATCH(H$1,'HS Codes'!$D$1:$K$1,0)),"")</f>
        <v>0</v>
      </c>
      <c r="I1250" s="8">
        <f>_xlfn.IFNA(INDEX('HS Codes'!$D$2:$K3804,MATCH($B1250,'HS Codes'!$A$2:$A3804,0),MATCH(I$1,'HS Codes'!$D$1:$K$1,0)),"")</f>
        <v>0</v>
      </c>
      <c r="J1250" s="8">
        <f>_xlfn.IFNA(INDEX('HS Codes'!$D$2:$K3804,MATCH($B1250,'HS Codes'!$A$2:$A3804,0),MATCH(J$1,'HS Codes'!$D$1:$K$1,0)),"")</f>
        <v>0</v>
      </c>
      <c r="K1250" s="8">
        <f>_xlfn.IFNA(INDEX('HS Codes'!$D$2:$K3804,MATCH($B1250,'HS Codes'!$A$2:$A3804,0),MATCH(K$1,'HS Codes'!$D$1:$K$1,0)),"")</f>
        <v>0</v>
      </c>
      <c r="L1250" s="8">
        <f>_xlfn.IFNA(INDEX('HS Codes'!$D$2:$K3804,MATCH($B1250,'HS Codes'!$A$2:$A3804,0),MATCH(L$1,'HS Codes'!$D$1:$K$1,0)),"")</f>
        <v>0</v>
      </c>
      <c r="M1250" s="8">
        <f>_xlfn.IFNA(INDEX('HS Codes'!$C$2:$C3804,MATCH($B1250,'HS Codes'!$A$2:$A3804,0)),"")</f>
        <v>0</v>
      </c>
      <c r="N1250" s="9"/>
      <c r="O1250" s="9"/>
      <c r="P1250" s="9"/>
      <c r="Q1250" s="9"/>
    </row>
    <row r="1251" spans="1:17" ht="15.75" customHeight="1">
      <c r="A1251" s="7" t="s">
        <v>1544</v>
      </c>
      <c r="B1251" s="7" t="s">
        <v>191</v>
      </c>
      <c r="C1251" s="7"/>
      <c r="D1251" s="7" t="s">
        <v>192</v>
      </c>
      <c r="E1251" s="7" t="s">
        <v>322</v>
      </c>
      <c r="F1251" s="8">
        <f>_xlfn.IFNA(INDEX('HS Codes'!$D$2:$K3805,MATCH($B1251,'HS Codes'!$A$2:$A3805,0),MATCH(F$1,'HS Codes'!$D$1:$K$1,0)),"")</f>
        <v>0</v>
      </c>
      <c r="G1251" s="8">
        <f>_xlfn.IFNA(INDEX('HS Codes'!$D$2:$K3805,MATCH($B1251,'HS Codes'!$A$2:$A3805,0),MATCH(G$1,'HS Codes'!$D$1:$K$1,0)),"")</f>
        <v>0</v>
      </c>
      <c r="H1251" s="8">
        <f>_xlfn.IFNA(INDEX('HS Codes'!$D$2:$K3805,MATCH($B1251,'HS Codes'!$A$2:$A3805,0),MATCH(H$1,'HS Codes'!$D$1:$K$1,0)),"")</f>
        <v>0</v>
      </c>
      <c r="I1251" s="8">
        <f>_xlfn.IFNA(INDEX('HS Codes'!$D$2:$K3805,MATCH($B1251,'HS Codes'!$A$2:$A3805,0),MATCH(I$1,'HS Codes'!$D$1:$K$1,0)),"")</f>
        <v>0</v>
      </c>
      <c r="J1251" s="8">
        <f>_xlfn.IFNA(INDEX('HS Codes'!$D$2:$K3805,MATCH($B1251,'HS Codes'!$A$2:$A3805,0),MATCH(J$1,'HS Codes'!$D$1:$K$1,0)),"")</f>
        <v>0</v>
      </c>
      <c r="K1251" s="8">
        <f>_xlfn.IFNA(INDEX('HS Codes'!$D$2:$K3805,MATCH($B1251,'HS Codes'!$A$2:$A3805,0),MATCH(K$1,'HS Codes'!$D$1:$K$1,0)),"")</f>
        <v>0</v>
      </c>
      <c r="L1251" s="8">
        <f>_xlfn.IFNA(INDEX('HS Codes'!$D$2:$K3805,MATCH($B1251,'HS Codes'!$A$2:$A3805,0),MATCH(L$1,'HS Codes'!$D$1:$K$1,0)),"")</f>
        <v>0</v>
      </c>
      <c r="M1251" s="8">
        <f>_xlfn.IFNA(INDEX('HS Codes'!$C$2:$C3805,MATCH($B1251,'HS Codes'!$A$2:$A3805,0)),"")</f>
        <v>0</v>
      </c>
      <c r="N1251" s="9"/>
      <c r="O1251" s="9"/>
      <c r="P1251" s="9"/>
      <c r="Q1251" s="9"/>
    </row>
    <row r="1252" spans="1:17" ht="15.75" customHeight="1">
      <c r="A1252" s="7" t="s">
        <v>1545</v>
      </c>
      <c r="B1252" s="7" t="s">
        <v>191</v>
      </c>
      <c r="C1252" s="7"/>
      <c r="D1252" s="7" t="s">
        <v>192</v>
      </c>
      <c r="E1252" s="7" t="s">
        <v>322</v>
      </c>
      <c r="F1252" s="8">
        <f>_xlfn.IFNA(INDEX('HS Codes'!$D$2:$K3806,MATCH($B1252,'HS Codes'!$A$2:$A3806,0),MATCH(F$1,'HS Codes'!$D$1:$K$1,0)),"")</f>
        <v>0</v>
      </c>
      <c r="G1252" s="8">
        <f>_xlfn.IFNA(INDEX('HS Codes'!$D$2:$K3806,MATCH($B1252,'HS Codes'!$A$2:$A3806,0),MATCH(G$1,'HS Codes'!$D$1:$K$1,0)),"")</f>
        <v>0</v>
      </c>
      <c r="H1252" s="8">
        <f>_xlfn.IFNA(INDEX('HS Codes'!$D$2:$K3806,MATCH($B1252,'HS Codes'!$A$2:$A3806,0),MATCH(H$1,'HS Codes'!$D$1:$K$1,0)),"")</f>
        <v>0</v>
      </c>
      <c r="I1252" s="8">
        <f>_xlfn.IFNA(INDEX('HS Codes'!$D$2:$K3806,MATCH($B1252,'HS Codes'!$A$2:$A3806,0),MATCH(I$1,'HS Codes'!$D$1:$K$1,0)),"")</f>
        <v>0</v>
      </c>
      <c r="J1252" s="8">
        <f>_xlfn.IFNA(INDEX('HS Codes'!$D$2:$K3806,MATCH($B1252,'HS Codes'!$A$2:$A3806,0),MATCH(J$1,'HS Codes'!$D$1:$K$1,0)),"")</f>
        <v>0</v>
      </c>
      <c r="K1252" s="8">
        <f>_xlfn.IFNA(INDEX('HS Codes'!$D$2:$K3806,MATCH($B1252,'HS Codes'!$A$2:$A3806,0),MATCH(K$1,'HS Codes'!$D$1:$K$1,0)),"")</f>
        <v>0</v>
      </c>
      <c r="L1252" s="8">
        <f>_xlfn.IFNA(INDEX('HS Codes'!$D$2:$K3806,MATCH($B1252,'HS Codes'!$A$2:$A3806,0),MATCH(L$1,'HS Codes'!$D$1:$K$1,0)),"")</f>
        <v>0</v>
      </c>
      <c r="M1252" s="8">
        <f>_xlfn.IFNA(INDEX('HS Codes'!$C$2:$C3806,MATCH($B1252,'HS Codes'!$A$2:$A3806,0)),"")</f>
        <v>0</v>
      </c>
      <c r="N1252" s="9"/>
      <c r="O1252" s="9"/>
      <c r="P1252" s="9"/>
      <c r="Q1252" s="9"/>
    </row>
    <row r="1253" spans="1:17" ht="15.75" customHeight="1">
      <c r="A1253" s="7" t="s">
        <v>1546</v>
      </c>
      <c r="B1253" s="7" t="s">
        <v>191</v>
      </c>
      <c r="C1253" s="7"/>
      <c r="D1253" s="7" t="s">
        <v>192</v>
      </c>
      <c r="E1253" s="7" t="s">
        <v>322</v>
      </c>
      <c r="F1253" s="8">
        <f>_xlfn.IFNA(INDEX('HS Codes'!$D$2:$K3807,MATCH($B1253,'HS Codes'!$A$2:$A3807,0),MATCH(F$1,'HS Codes'!$D$1:$K$1,0)),"")</f>
        <v>0</v>
      </c>
      <c r="G1253" s="8">
        <f>_xlfn.IFNA(INDEX('HS Codes'!$D$2:$K3807,MATCH($B1253,'HS Codes'!$A$2:$A3807,0),MATCH(G$1,'HS Codes'!$D$1:$K$1,0)),"")</f>
        <v>0</v>
      </c>
      <c r="H1253" s="8">
        <f>_xlfn.IFNA(INDEX('HS Codes'!$D$2:$K3807,MATCH($B1253,'HS Codes'!$A$2:$A3807,0),MATCH(H$1,'HS Codes'!$D$1:$K$1,0)),"")</f>
        <v>0</v>
      </c>
      <c r="I1253" s="8">
        <f>_xlfn.IFNA(INDEX('HS Codes'!$D$2:$K3807,MATCH($B1253,'HS Codes'!$A$2:$A3807,0),MATCH(I$1,'HS Codes'!$D$1:$K$1,0)),"")</f>
        <v>0</v>
      </c>
      <c r="J1253" s="8">
        <f>_xlfn.IFNA(INDEX('HS Codes'!$D$2:$K3807,MATCH($B1253,'HS Codes'!$A$2:$A3807,0),MATCH(J$1,'HS Codes'!$D$1:$K$1,0)),"")</f>
        <v>0</v>
      </c>
      <c r="K1253" s="8">
        <f>_xlfn.IFNA(INDEX('HS Codes'!$D$2:$K3807,MATCH($B1253,'HS Codes'!$A$2:$A3807,0),MATCH(K$1,'HS Codes'!$D$1:$K$1,0)),"")</f>
        <v>0</v>
      </c>
      <c r="L1253" s="8">
        <f>_xlfn.IFNA(INDEX('HS Codes'!$D$2:$K3807,MATCH($B1253,'HS Codes'!$A$2:$A3807,0),MATCH(L$1,'HS Codes'!$D$1:$K$1,0)),"")</f>
        <v>0</v>
      </c>
      <c r="M1253" s="8">
        <f>_xlfn.IFNA(INDEX('HS Codes'!$C$2:$C3807,MATCH($B1253,'HS Codes'!$A$2:$A3807,0)),"")</f>
        <v>0</v>
      </c>
      <c r="N1253" s="9"/>
      <c r="O1253" s="9"/>
      <c r="P1253" s="9"/>
      <c r="Q1253" s="9"/>
    </row>
    <row r="1254" spans="1:17" ht="15.75" customHeight="1">
      <c r="A1254" s="7" t="s">
        <v>1547</v>
      </c>
      <c r="B1254" s="7" t="s">
        <v>191</v>
      </c>
      <c r="C1254" s="7"/>
      <c r="D1254" s="7" t="s">
        <v>192</v>
      </c>
      <c r="E1254" s="7" t="s">
        <v>322</v>
      </c>
      <c r="F1254" s="8">
        <f>_xlfn.IFNA(INDEX('HS Codes'!$D$2:$K3808,MATCH($B1254,'HS Codes'!$A$2:$A3808,0),MATCH(F$1,'HS Codes'!$D$1:$K$1,0)),"")</f>
        <v>0</v>
      </c>
      <c r="G1254" s="8">
        <f>_xlfn.IFNA(INDEX('HS Codes'!$D$2:$K3808,MATCH($B1254,'HS Codes'!$A$2:$A3808,0),MATCH(G$1,'HS Codes'!$D$1:$K$1,0)),"")</f>
        <v>0</v>
      </c>
      <c r="H1254" s="8">
        <f>_xlfn.IFNA(INDEX('HS Codes'!$D$2:$K3808,MATCH($B1254,'HS Codes'!$A$2:$A3808,0),MATCH(H$1,'HS Codes'!$D$1:$K$1,0)),"")</f>
        <v>0</v>
      </c>
      <c r="I1254" s="8">
        <f>_xlfn.IFNA(INDEX('HS Codes'!$D$2:$K3808,MATCH($B1254,'HS Codes'!$A$2:$A3808,0),MATCH(I$1,'HS Codes'!$D$1:$K$1,0)),"")</f>
        <v>0</v>
      </c>
      <c r="J1254" s="8">
        <f>_xlfn.IFNA(INDEX('HS Codes'!$D$2:$K3808,MATCH($B1254,'HS Codes'!$A$2:$A3808,0),MATCH(J$1,'HS Codes'!$D$1:$K$1,0)),"")</f>
        <v>0</v>
      </c>
      <c r="K1254" s="8">
        <f>_xlfn.IFNA(INDEX('HS Codes'!$D$2:$K3808,MATCH($B1254,'HS Codes'!$A$2:$A3808,0),MATCH(K$1,'HS Codes'!$D$1:$K$1,0)),"")</f>
        <v>0</v>
      </c>
      <c r="L1254" s="8">
        <f>_xlfn.IFNA(INDEX('HS Codes'!$D$2:$K3808,MATCH($B1254,'HS Codes'!$A$2:$A3808,0),MATCH(L$1,'HS Codes'!$D$1:$K$1,0)),"")</f>
        <v>0</v>
      </c>
      <c r="M1254" s="8">
        <f>_xlfn.IFNA(INDEX('HS Codes'!$C$2:$C3808,MATCH($B1254,'HS Codes'!$A$2:$A3808,0)),"")</f>
        <v>0</v>
      </c>
      <c r="N1254" s="9"/>
      <c r="O1254" s="9"/>
      <c r="P1254" s="9"/>
      <c r="Q1254" s="9"/>
    </row>
    <row r="1255" spans="1:17" ht="15.75" customHeight="1">
      <c r="A1255" s="7" t="s">
        <v>1548</v>
      </c>
      <c r="B1255" s="7" t="s">
        <v>191</v>
      </c>
      <c r="C1255" s="7"/>
      <c r="D1255" s="7" t="s">
        <v>192</v>
      </c>
      <c r="E1255" s="7" t="s">
        <v>322</v>
      </c>
      <c r="F1255" s="8">
        <f>_xlfn.IFNA(INDEX('HS Codes'!$D$2:$K3809,MATCH($B1255,'HS Codes'!$A$2:$A3809,0),MATCH(F$1,'HS Codes'!$D$1:$K$1,0)),"")</f>
        <v>0</v>
      </c>
      <c r="G1255" s="8">
        <f>_xlfn.IFNA(INDEX('HS Codes'!$D$2:$K3809,MATCH($B1255,'HS Codes'!$A$2:$A3809,0),MATCH(G$1,'HS Codes'!$D$1:$K$1,0)),"")</f>
        <v>0</v>
      </c>
      <c r="H1255" s="8">
        <f>_xlfn.IFNA(INDEX('HS Codes'!$D$2:$K3809,MATCH($B1255,'HS Codes'!$A$2:$A3809,0),MATCH(H$1,'HS Codes'!$D$1:$K$1,0)),"")</f>
        <v>0</v>
      </c>
      <c r="I1255" s="8">
        <f>_xlfn.IFNA(INDEX('HS Codes'!$D$2:$K3809,MATCH($B1255,'HS Codes'!$A$2:$A3809,0),MATCH(I$1,'HS Codes'!$D$1:$K$1,0)),"")</f>
        <v>0</v>
      </c>
      <c r="J1255" s="8">
        <f>_xlfn.IFNA(INDEX('HS Codes'!$D$2:$K3809,MATCH($B1255,'HS Codes'!$A$2:$A3809,0),MATCH(J$1,'HS Codes'!$D$1:$K$1,0)),"")</f>
        <v>0</v>
      </c>
      <c r="K1255" s="8">
        <f>_xlfn.IFNA(INDEX('HS Codes'!$D$2:$K3809,MATCH($B1255,'HS Codes'!$A$2:$A3809,0),MATCH(K$1,'HS Codes'!$D$1:$K$1,0)),"")</f>
        <v>0</v>
      </c>
      <c r="L1255" s="8">
        <f>_xlfn.IFNA(INDEX('HS Codes'!$D$2:$K3809,MATCH($B1255,'HS Codes'!$A$2:$A3809,0),MATCH(L$1,'HS Codes'!$D$1:$K$1,0)),"")</f>
        <v>0</v>
      </c>
      <c r="M1255" s="8">
        <f>_xlfn.IFNA(INDEX('HS Codes'!$C$2:$C3809,MATCH($B1255,'HS Codes'!$A$2:$A3809,0)),"")</f>
        <v>0</v>
      </c>
      <c r="N1255" s="9"/>
      <c r="O1255" s="9"/>
      <c r="P1255" s="9"/>
      <c r="Q1255" s="9"/>
    </row>
    <row r="1256" spans="1:17" ht="15.75" customHeight="1">
      <c r="A1256" s="7" t="s">
        <v>1549</v>
      </c>
      <c r="B1256" s="7" t="s">
        <v>191</v>
      </c>
      <c r="C1256" s="7"/>
      <c r="D1256" s="7" t="s">
        <v>192</v>
      </c>
      <c r="E1256" s="7" t="s">
        <v>322</v>
      </c>
      <c r="F1256" s="8">
        <f>_xlfn.IFNA(INDEX('HS Codes'!$D$2:$K3810,MATCH($B1256,'HS Codes'!$A$2:$A3810,0),MATCH(F$1,'HS Codes'!$D$1:$K$1,0)),"")</f>
        <v>0</v>
      </c>
      <c r="G1256" s="8">
        <f>_xlfn.IFNA(INDEX('HS Codes'!$D$2:$K3810,MATCH($B1256,'HS Codes'!$A$2:$A3810,0),MATCH(G$1,'HS Codes'!$D$1:$K$1,0)),"")</f>
        <v>0</v>
      </c>
      <c r="H1256" s="8">
        <f>_xlfn.IFNA(INDEX('HS Codes'!$D$2:$K3810,MATCH($B1256,'HS Codes'!$A$2:$A3810,0),MATCH(H$1,'HS Codes'!$D$1:$K$1,0)),"")</f>
        <v>0</v>
      </c>
      <c r="I1256" s="8">
        <f>_xlfn.IFNA(INDEX('HS Codes'!$D$2:$K3810,MATCH($B1256,'HS Codes'!$A$2:$A3810,0),MATCH(I$1,'HS Codes'!$D$1:$K$1,0)),"")</f>
        <v>0</v>
      </c>
      <c r="J1256" s="8">
        <f>_xlfn.IFNA(INDEX('HS Codes'!$D$2:$K3810,MATCH($B1256,'HS Codes'!$A$2:$A3810,0),MATCH(J$1,'HS Codes'!$D$1:$K$1,0)),"")</f>
        <v>0</v>
      </c>
      <c r="K1256" s="8">
        <f>_xlfn.IFNA(INDEX('HS Codes'!$D$2:$K3810,MATCH($B1256,'HS Codes'!$A$2:$A3810,0),MATCH(K$1,'HS Codes'!$D$1:$K$1,0)),"")</f>
        <v>0</v>
      </c>
      <c r="L1256" s="8">
        <f>_xlfn.IFNA(INDEX('HS Codes'!$D$2:$K3810,MATCH($B1256,'HS Codes'!$A$2:$A3810,0),MATCH(L$1,'HS Codes'!$D$1:$K$1,0)),"")</f>
        <v>0</v>
      </c>
      <c r="M1256" s="8">
        <f>_xlfn.IFNA(INDEX('HS Codes'!$C$2:$C3810,MATCH($B1256,'HS Codes'!$A$2:$A3810,0)),"")</f>
        <v>0</v>
      </c>
      <c r="N1256" s="9"/>
      <c r="O1256" s="9"/>
      <c r="P1256" s="9"/>
      <c r="Q1256" s="9"/>
    </row>
    <row r="1257" spans="1:17" ht="15.75" customHeight="1">
      <c r="A1257" s="7" t="s">
        <v>1550</v>
      </c>
      <c r="B1257" s="7" t="s">
        <v>191</v>
      </c>
      <c r="C1257" s="7"/>
      <c r="D1257" s="7" t="s">
        <v>192</v>
      </c>
      <c r="E1257" s="7" t="s">
        <v>322</v>
      </c>
      <c r="F1257" s="8">
        <f>_xlfn.IFNA(INDEX('HS Codes'!$D$2:$K3811,MATCH($B1257,'HS Codes'!$A$2:$A3811,0),MATCH(F$1,'HS Codes'!$D$1:$K$1,0)),"")</f>
        <v>0</v>
      </c>
      <c r="G1257" s="8">
        <f>_xlfn.IFNA(INDEX('HS Codes'!$D$2:$K3811,MATCH($B1257,'HS Codes'!$A$2:$A3811,0),MATCH(G$1,'HS Codes'!$D$1:$K$1,0)),"")</f>
        <v>0</v>
      </c>
      <c r="H1257" s="8">
        <f>_xlfn.IFNA(INDEX('HS Codes'!$D$2:$K3811,MATCH($B1257,'HS Codes'!$A$2:$A3811,0),MATCH(H$1,'HS Codes'!$D$1:$K$1,0)),"")</f>
        <v>0</v>
      </c>
      <c r="I1257" s="8">
        <f>_xlfn.IFNA(INDEX('HS Codes'!$D$2:$K3811,MATCH($B1257,'HS Codes'!$A$2:$A3811,0),MATCH(I$1,'HS Codes'!$D$1:$K$1,0)),"")</f>
        <v>0</v>
      </c>
      <c r="J1257" s="8">
        <f>_xlfn.IFNA(INDEX('HS Codes'!$D$2:$K3811,MATCH($B1257,'HS Codes'!$A$2:$A3811,0),MATCH(J$1,'HS Codes'!$D$1:$K$1,0)),"")</f>
        <v>0</v>
      </c>
      <c r="K1257" s="8">
        <f>_xlfn.IFNA(INDEX('HS Codes'!$D$2:$K3811,MATCH($B1257,'HS Codes'!$A$2:$A3811,0),MATCH(K$1,'HS Codes'!$D$1:$K$1,0)),"")</f>
        <v>0</v>
      </c>
      <c r="L1257" s="8">
        <f>_xlfn.IFNA(INDEX('HS Codes'!$D$2:$K3811,MATCH($B1257,'HS Codes'!$A$2:$A3811,0),MATCH(L$1,'HS Codes'!$D$1:$K$1,0)),"")</f>
        <v>0</v>
      </c>
      <c r="M1257" s="8">
        <f>_xlfn.IFNA(INDEX('HS Codes'!$C$2:$C3811,MATCH($B1257,'HS Codes'!$A$2:$A3811,0)),"")</f>
        <v>0</v>
      </c>
      <c r="N1257" s="9"/>
      <c r="O1257" s="9"/>
      <c r="P1257" s="9"/>
      <c r="Q1257" s="9"/>
    </row>
    <row r="1258" spans="1:17" ht="15.75" customHeight="1">
      <c r="A1258" s="7" t="s">
        <v>1551</v>
      </c>
      <c r="B1258" s="7" t="s">
        <v>191</v>
      </c>
      <c r="C1258" s="7"/>
      <c r="D1258" s="7" t="s">
        <v>192</v>
      </c>
      <c r="E1258" s="7" t="s">
        <v>322</v>
      </c>
      <c r="F1258" s="8">
        <f>_xlfn.IFNA(INDEX('HS Codes'!$D$2:$K3812,MATCH($B1258,'HS Codes'!$A$2:$A3812,0),MATCH(F$1,'HS Codes'!$D$1:$K$1,0)),"")</f>
        <v>0</v>
      </c>
      <c r="G1258" s="8">
        <f>_xlfn.IFNA(INDEX('HS Codes'!$D$2:$K3812,MATCH($B1258,'HS Codes'!$A$2:$A3812,0),MATCH(G$1,'HS Codes'!$D$1:$K$1,0)),"")</f>
        <v>0</v>
      </c>
      <c r="H1258" s="8">
        <f>_xlfn.IFNA(INDEX('HS Codes'!$D$2:$K3812,MATCH($B1258,'HS Codes'!$A$2:$A3812,0),MATCH(H$1,'HS Codes'!$D$1:$K$1,0)),"")</f>
        <v>0</v>
      </c>
      <c r="I1258" s="8">
        <f>_xlfn.IFNA(INDEX('HS Codes'!$D$2:$K3812,MATCH($B1258,'HS Codes'!$A$2:$A3812,0),MATCH(I$1,'HS Codes'!$D$1:$K$1,0)),"")</f>
        <v>0</v>
      </c>
      <c r="J1258" s="8">
        <f>_xlfn.IFNA(INDEX('HS Codes'!$D$2:$K3812,MATCH($B1258,'HS Codes'!$A$2:$A3812,0),MATCH(J$1,'HS Codes'!$D$1:$K$1,0)),"")</f>
        <v>0</v>
      </c>
      <c r="K1258" s="8">
        <f>_xlfn.IFNA(INDEX('HS Codes'!$D$2:$K3812,MATCH($B1258,'HS Codes'!$A$2:$A3812,0),MATCH(K$1,'HS Codes'!$D$1:$K$1,0)),"")</f>
        <v>0</v>
      </c>
      <c r="L1258" s="8">
        <f>_xlfn.IFNA(INDEX('HS Codes'!$D$2:$K3812,MATCH($B1258,'HS Codes'!$A$2:$A3812,0),MATCH(L$1,'HS Codes'!$D$1:$K$1,0)),"")</f>
        <v>0</v>
      </c>
      <c r="M1258" s="8">
        <f>_xlfn.IFNA(INDEX('HS Codes'!$C$2:$C3812,MATCH($B1258,'HS Codes'!$A$2:$A3812,0)),"")</f>
        <v>0</v>
      </c>
      <c r="N1258" s="9"/>
      <c r="O1258" s="9"/>
      <c r="P1258" s="9"/>
      <c r="Q1258" s="9"/>
    </row>
    <row r="1259" spans="1:17" ht="15.75" customHeight="1">
      <c r="A1259" s="7" t="s">
        <v>1552</v>
      </c>
      <c r="B1259" s="7" t="s">
        <v>191</v>
      </c>
      <c r="C1259" s="7"/>
      <c r="D1259" s="7" t="s">
        <v>192</v>
      </c>
      <c r="E1259" s="7" t="s">
        <v>322</v>
      </c>
      <c r="F1259" s="8">
        <f>_xlfn.IFNA(INDEX('HS Codes'!$D$2:$K3813,MATCH($B1259,'HS Codes'!$A$2:$A3813,0),MATCH(F$1,'HS Codes'!$D$1:$K$1,0)),"")</f>
        <v>0</v>
      </c>
      <c r="G1259" s="8">
        <f>_xlfn.IFNA(INDEX('HS Codes'!$D$2:$K3813,MATCH($B1259,'HS Codes'!$A$2:$A3813,0),MATCH(G$1,'HS Codes'!$D$1:$K$1,0)),"")</f>
        <v>0</v>
      </c>
      <c r="H1259" s="8">
        <f>_xlfn.IFNA(INDEX('HS Codes'!$D$2:$K3813,MATCH($B1259,'HS Codes'!$A$2:$A3813,0),MATCH(H$1,'HS Codes'!$D$1:$K$1,0)),"")</f>
        <v>0</v>
      </c>
      <c r="I1259" s="8">
        <f>_xlfn.IFNA(INDEX('HS Codes'!$D$2:$K3813,MATCH($B1259,'HS Codes'!$A$2:$A3813,0),MATCH(I$1,'HS Codes'!$D$1:$K$1,0)),"")</f>
        <v>0</v>
      </c>
      <c r="J1259" s="8">
        <f>_xlfn.IFNA(INDEX('HS Codes'!$D$2:$K3813,MATCH($B1259,'HS Codes'!$A$2:$A3813,0),MATCH(J$1,'HS Codes'!$D$1:$K$1,0)),"")</f>
        <v>0</v>
      </c>
      <c r="K1259" s="8">
        <f>_xlfn.IFNA(INDEX('HS Codes'!$D$2:$K3813,MATCH($B1259,'HS Codes'!$A$2:$A3813,0),MATCH(K$1,'HS Codes'!$D$1:$K$1,0)),"")</f>
        <v>0</v>
      </c>
      <c r="L1259" s="8">
        <f>_xlfn.IFNA(INDEX('HS Codes'!$D$2:$K3813,MATCH($B1259,'HS Codes'!$A$2:$A3813,0),MATCH(L$1,'HS Codes'!$D$1:$K$1,0)),"")</f>
        <v>0</v>
      </c>
      <c r="M1259" s="8">
        <f>_xlfn.IFNA(INDEX('HS Codes'!$C$2:$C3813,MATCH($B1259,'HS Codes'!$A$2:$A3813,0)),"")</f>
        <v>0</v>
      </c>
      <c r="N1259" s="9"/>
      <c r="O1259" s="9"/>
      <c r="P1259" s="9"/>
      <c r="Q1259" s="9"/>
    </row>
    <row r="1260" spans="1:17" ht="15.75" customHeight="1">
      <c r="A1260" s="7" t="s">
        <v>1553</v>
      </c>
      <c r="B1260" s="7" t="s">
        <v>191</v>
      </c>
      <c r="C1260" s="7"/>
      <c r="D1260" s="7" t="s">
        <v>192</v>
      </c>
      <c r="E1260" s="7" t="s">
        <v>322</v>
      </c>
      <c r="F1260" s="8">
        <f>_xlfn.IFNA(INDEX('HS Codes'!$D$2:$K3814,MATCH($B1260,'HS Codes'!$A$2:$A3814,0),MATCH(F$1,'HS Codes'!$D$1:$K$1,0)),"")</f>
        <v>0</v>
      </c>
      <c r="G1260" s="8">
        <f>_xlfn.IFNA(INDEX('HS Codes'!$D$2:$K3814,MATCH($B1260,'HS Codes'!$A$2:$A3814,0),MATCH(G$1,'HS Codes'!$D$1:$K$1,0)),"")</f>
        <v>0</v>
      </c>
      <c r="H1260" s="8">
        <f>_xlfn.IFNA(INDEX('HS Codes'!$D$2:$K3814,MATCH($B1260,'HS Codes'!$A$2:$A3814,0),MATCH(H$1,'HS Codes'!$D$1:$K$1,0)),"")</f>
        <v>0</v>
      </c>
      <c r="I1260" s="8">
        <f>_xlfn.IFNA(INDEX('HS Codes'!$D$2:$K3814,MATCH($B1260,'HS Codes'!$A$2:$A3814,0),MATCH(I$1,'HS Codes'!$D$1:$K$1,0)),"")</f>
        <v>0</v>
      </c>
      <c r="J1260" s="8">
        <f>_xlfn.IFNA(INDEX('HS Codes'!$D$2:$K3814,MATCH($B1260,'HS Codes'!$A$2:$A3814,0),MATCH(J$1,'HS Codes'!$D$1:$K$1,0)),"")</f>
        <v>0</v>
      </c>
      <c r="K1260" s="8">
        <f>_xlfn.IFNA(INDEX('HS Codes'!$D$2:$K3814,MATCH($B1260,'HS Codes'!$A$2:$A3814,0),MATCH(K$1,'HS Codes'!$D$1:$K$1,0)),"")</f>
        <v>0</v>
      </c>
      <c r="L1260" s="8">
        <f>_xlfn.IFNA(INDEX('HS Codes'!$D$2:$K3814,MATCH($B1260,'HS Codes'!$A$2:$A3814,0),MATCH(L$1,'HS Codes'!$D$1:$K$1,0)),"")</f>
        <v>0</v>
      </c>
      <c r="M1260" s="8">
        <f>_xlfn.IFNA(INDEX('HS Codes'!$C$2:$C3814,MATCH($B1260,'HS Codes'!$A$2:$A3814,0)),"")</f>
        <v>0</v>
      </c>
      <c r="N1260" s="9"/>
      <c r="O1260" s="9"/>
      <c r="P1260" s="9"/>
      <c r="Q1260" s="9"/>
    </row>
    <row r="1261" spans="1:17" ht="15.75" customHeight="1">
      <c r="A1261" s="7" t="s">
        <v>1554</v>
      </c>
      <c r="B1261" s="7" t="s">
        <v>191</v>
      </c>
      <c r="C1261" s="7"/>
      <c r="D1261" s="7" t="s">
        <v>192</v>
      </c>
      <c r="E1261" s="7" t="s">
        <v>322</v>
      </c>
      <c r="F1261" s="8">
        <f>_xlfn.IFNA(INDEX('HS Codes'!$D$2:$K3815,MATCH($B1261,'HS Codes'!$A$2:$A3815,0),MATCH(F$1,'HS Codes'!$D$1:$K$1,0)),"")</f>
        <v>0</v>
      </c>
      <c r="G1261" s="8">
        <f>_xlfn.IFNA(INDEX('HS Codes'!$D$2:$K3815,MATCH($B1261,'HS Codes'!$A$2:$A3815,0),MATCH(G$1,'HS Codes'!$D$1:$K$1,0)),"")</f>
        <v>0</v>
      </c>
      <c r="H1261" s="8">
        <f>_xlfn.IFNA(INDEX('HS Codes'!$D$2:$K3815,MATCH($B1261,'HS Codes'!$A$2:$A3815,0),MATCH(H$1,'HS Codes'!$D$1:$K$1,0)),"")</f>
        <v>0</v>
      </c>
      <c r="I1261" s="8">
        <f>_xlfn.IFNA(INDEX('HS Codes'!$D$2:$K3815,MATCH($B1261,'HS Codes'!$A$2:$A3815,0),MATCH(I$1,'HS Codes'!$D$1:$K$1,0)),"")</f>
        <v>0</v>
      </c>
      <c r="J1261" s="8">
        <f>_xlfn.IFNA(INDEX('HS Codes'!$D$2:$K3815,MATCH($B1261,'HS Codes'!$A$2:$A3815,0),MATCH(J$1,'HS Codes'!$D$1:$K$1,0)),"")</f>
        <v>0</v>
      </c>
      <c r="K1261" s="8">
        <f>_xlfn.IFNA(INDEX('HS Codes'!$D$2:$K3815,MATCH($B1261,'HS Codes'!$A$2:$A3815,0),MATCH(K$1,'HS Codes'!$D$1:$K$1,0)),"")</f>
        <v>0</v>
      </c>
      <c r="L1261" s="8">
        <f>_xlfn.IFNA(INDEX('HS Codes'!$D$2:$K3815,MATCH($B1261,'HS Codes'!$A$2:$A3815,0),MATCH(L$1,'HS Codes'!$D$1:$K$1,0)),"")</f>
        <v>0</v>
      </c>
      <c r="M1261" s="8">
        <f>_xlfn.IFNA(INDEX('HS Codes'!$C$2:$C3815,MATCH($B1261,'HS Codes'!$A$2:$A3815,0)),"")</f>
        <v>0</v>
      </c>
      <c r="N1261" s="9"/>
      <c r="O1261" s="9"/>
      <c r="P1261" s="9"/>
      <c r="Q1261" s="9"/>
    </row>
    <row r="1262" spans="1:17" ht="15.75" customHeight="1">
      <c r="A1262" s="7" t="s">
        <v>1555</v>
      </c>
      <c r="B1262" s="7" t="s">
        <v>191</v>
      </c>
      <c r="C1262" s="7"/>
      <c r="D1262" s="7" t="s">
        <v>192</v>
      </c>
      <c r="E1262" s="7" t="s">
        <v>322</v>
      </c>
      <c r="F1262" s="8">
        <f>_xlfn.IFNA(INDEX('HS Codes'!$D$2:$K3816,MATCH($B1262,'HS Codes'!$A$2:$A3816,0),MATCH(F$1,'HS Codes'!$D$1:$K$1,0)),"")</f>
        <v>0</v>
      </c>
      <c r="G1262" s="8">
        <f>_xlfn.IFNA(INDEX('HS Codes'!$D$2:$K3816,MATCH($B1262,'HS Codes'!$A$2:$A3816,0),MATCH(G$1,'HS Codes'!$D$1:$K$1,0)),"")</f>
        <v>0</v>
      </c>
      <c r="H1262" s="8">
        <f>_xlfn.IFNA(INDEX('HS Codes'!$D$2:$K3816,MATCH($B1262,'HS Codes'!$A$2:$A3816,0),MATCH(H$1,'HS Codes'!$D$1:$K$1,0)),"")</f>
        <v>0</v>
      </c>
      <c r="I1262" s="8">
        <f>_xlfn.IFNA(INDEX('HS Codes'!$D$2:$K3816,MATCH($B1262,'HS Codes'!$A$2:$A3816,0),MATCH(I$1,'HS Codes'!$D$1:$K$1,0)),"")</f>
        <v>0</v>
      </c>
      <c r="J1262" s="8">
        <f>_xlfn.IFNA(INDEX('HS Codes'!$D$2:$K3816,MATCH($B1262,'HS Codes'!$A$2:$A3816,0),MATCH(J$1,'HS Codes'!$D$1:$K$1,0)),"")</f>
        <v>0</v>
      </c>
      <c r="K1262" s="8">
        <f>_xlfn.IFNA(INDEX('HS Codes'!$D$2:$K3816,MATCH($B1262,'HS Codes'!$A$2:$A3816,0),MATCH(K$1,'HS Codes'!$D$1:$K$1,0)),"")</f>
        <v>0</v>
      </c>
      <c r="L1262" s="8">
        <f>_xlfn.IFNA(INDEX('HS Codes'!$D$2:$K3816,MATCH($B1262,'HS Codes'!$A$2:$A3816,0),MATCH(L$1,'HS Codes'!$D$1:$K$1,0)),"")</f>
        <v>0</v>
      </c>
      <c r="M1262" s="8">
        <f>_xlfn.IFNA(INDEX('HS Codes'!$C$2:$C3816,MATCH($B1262,'HS Codes'!$A$2:$A3816,0)),"")</f>
        <v>0</v>
      </c>
      <c r="N1262" s="9"/>
      <c r="O1262" s="9"/>
      <c r="P1262" s="9"/>
      <c r="Q1262" s="9"/>
    </row>
    <row r="1263" spans="1:17" ht="15.75" customHeight="1">
      <c r="A1263" s="7" t="s">
        <v>1556</v>
      </c>
      <c r="B1263" s="7" t="s">
        <v>191</v>
      </c>
      <c r="C1263" s="7"/>
      <c r="D1263" s="7" t="s">
        <v>192</v>
      </c>
      <c r="E1263" s="7" t="s">
        <v>322</v>
      </c>
      <c r="F1263" s="8">
        <f>_xlfn.IFNA(INDEX('HS Codes'!$D$2:$K3817,MATCH($B1263,'HS Codes'!$A$2:$A3817,0),MATCH(F$1,'HS Codes'!$D$1:$K$1,0)),"")</f>
        <v>0</v>
      </c>
      <c r="G1263" s="8">
        <f>_xlfn.IFNA(INDEX('HS Codes'!$D$2:$K3817,MATCH($B1263,'HS Codes'!$A$2:$A3817,0),MATCH(G$1,'HS Codes'!$D$1:$K$1,0)),"")</f>
        <v>0</v>
      </c>
      <c r="H1263" s="8">
        <f>_xlfn.IFNA(INDEX('HS Codes'!$D$2:$K3817,MATCH($B1263,'HS Codes'!$A$2:$A3817,0),MATCH(H$1,'HS Codes'!$D$1:$K$1,0)),"")</f>
        <v>0</v>
      </c>
      <c r="I1263" s="8">
        <f>_xlfn.IFNA(INDEX('HS Codes'!$D$2:$K3817,MATCH($B1263,'HS Codes'!$A$2:$A3817,0),MATCH(I$1,'HS Codes'!$D$1:$K$1,0)),"")</f>
        <v>0</v>
      </c>
      <c r="J1263" s="8">
        <f>_xlfn.IFNA(INDEX('HS Codes'!$D$2:$K3817,MATCH($B1263,'HS Codes'!$A$2:$A3817,0),MATCH(J$1,'HS Codes'!$D$1:$K$1,0)),"")</f>
        <v>0</v>
      </c>
      <c r="K1263" s="8">
        <f>_xlfn.IFNA(INDEX('HS Codes'!$D$2:$K3817,MATCH($B1263,'HS Codes'!$A$2:$A3817,0),MATCH(K$1,'HS Codes'!$D$1:$K$1,0)),"")</f>
        <v>0</v>
      </c>
      <c r="L1263" s="8">
        <f>_xlfn.IFNA(INDEX('HS Codes'!$D$2:$K3817,MATCH($B1263,'HS Codes'!$A$2:$A3817,0),MATCH(L$1,'HS Codes'!$D$1:$K$1,0)),"")</f>
        <v>0</v>
      </c>
      <c r="M1263" s="8">
        <f>_xlfn.IFNA(INDEX('HS Codes'!$C$2:$C3817,MATCH($B1263,'HS Codes'!$A$2:$A3817,0)),"")</f>
        <v>0</v>
      </c>
      <c r="N1263" s="9"/>
      <c r="O1263" s="9"/>
      <c r="P1263" s="9"/>
      <c r="Q1263" s="9"/>
    </row>
    <row r="1264" spans="1:17" ht="15.75" customHeight="1">
      <c r="A1264" s="7" t="s">
        <v>1557</v>
      </c>
      <c r="B1264" s="7" t="s">
        <v>191</v>
      </c>
      <c r="C1264" s="7"/>
      <c r="D1264" s="7" t="s">
        <v>192</v>
      </c>
      <c r="E1264" s="7" t="s">
        <v>322</v>
      </c>
      <c r="F1264" s="8">
        <f>_xlfn.IFNA(INDEX('HS Codes'!$D$2:$K3818,MATCH($B1264,'HS Codes'!$A$2:$A3818,0),MATCH(F$1,'HS Codes'!$D$1:$K$1,0)),"")</f>
        <v>0</v>
      </c>
      <c r="G1264" s="8">
        <f>_xlfn.IFNA(INDEX('HS Codes'!$D$2:$K3818,MATCH($B1264,'HS Codes'!$A$2:$A3818,0),MATCH(G$1,'HS Codes'!$D$1:$K$1,0)),"")</f>
        <v>0</v>
      </c>
      <c r="H1264" s="8">
        <f>_xlfn.IFNA(INDEX('HS Codes'!$D$2:$K3818,MATCH($B1264,'HS Codes'!$A$2:$A3818,0),MATCH(H$1,'HS Codes'!$D$1:$K$1,0)),"")</f>
        <v>0</v>
      </c>
      <c r="I1264" s="8">
        <f>_xlfn.IFNA(INDEX('HS Codes'!$D$2:$K3818,MATCH($B1264,'HS Codes'!$A$2:$A3818,0),MATCH(I$1,'HS Codes'!$D$1:$K$1,0)),"")</f>
        <v>0</v>
      </c>
      <c r="J1264" s="8">
        <f>_xlfn.IFNA(INDEX('HS Codes'!$D$2:$K3818,MATCH($B1264,'HS Codes'!$A$2:$A3818,0),MATCH(J$1,'HS Codes'!$D$1:$K$1,0)),"")</f>
        <v>0</v>
      </c>
      <c r="K1264" s="8">
        <f>_xlfn.IFNA(INDEX('HS Codes'!$D$2:$K3818,MATCH($B1264,'HS Codes'!$A$2:$A3818,0),MATCH(K$1,'HS Codes'!$D$1:$K$1,0)),"")</f>
        <v>0</v>
      </c>
      <c r="L1264" s="8">
        <f>_xlfn.IFNA(INDEX('HS Codes'!$D$2:$K3818,MATCH($B1264,'HS Codes'!$A$2:$A3818,0),MATCH(L$1,'HS Codes'!$D$1:$K$1,0)),"")</f>
        <v>0</v>
      </c>
      <c r="M1264" s="8">
        <f>_xlfn.IFNA(INDEX('HS Codes'!$C$2:$C3818,MATCH($B1264,'HS Codes'!$A$2:$A3818,0)),"")</f>
        <v>0</v>
      </c>
      <c r="N1264" s="9"/>
      <c r="O1264" s="9"/>
      <c r="P1264" s="9"/>
      <c r="Q1264" s="9"/>
    </row>
    <row r="1265" spans="1:17" ht="15.75" customHeight="1">
      <c r="A1265" s="7" t="s">
        <v>1558</v>
      </c>
      <c r="B1265" s="7" t="s">
        <v>191</v>
      </c>
      <c r="C1265" s="7"/>
      <c r="D1265" s="7" t="s">
        <v>192</v>
      </c>
      <c r="E1265" s="7" t="s">
        <v>322</v>
      </c>
      <c r="F1265" s="8">
        <f>_xlfn.IFNA(INDEX('HS Codes'!$D$2:$K3819,MATCH($B1265,'HS Codes'!$A$2:$A3819,0),MATCH(F$1,'HS Codes'!$D$1:$K$1,0)),"")</f>
        <v>0</v>
      </c>
      <c r="G1265" s="8">
        <f>_xlfn.IFNA(INDEX('HS Codes'!$D$2:$K3819,MATCH($B1265,'HS Codes'!$A$2:$A3819,0),MATCH(G$1,'HS Codes'!$D$1:$K$1,0)),"")</f>
        <v>0</v>
      </c>
      <c r="H1265" s="8">
        <f>_xlfn.IFNA(INDEX('HS Codes'!$D$2:$K3819,MATCH($B1265,'HS Codes'!$A$2:$A3819,0),MATCH(H$1,'HS Codes'!$D$1:$K$1,0)),"")</f>
        <v>0</v>
      </c>
      <c r="I1265" s="8">
        <f>_xlfn.IFNA(INDEX('HS Codes'!$D$2:$K3819,MATCH($B1265,'HS Codes'!$A$2:$A3819,0),MATCH(I$1,'HS Codes'!$D$1:$K$1,0)),"")</f>
        <v>0</v>
      </c>
      <c r="J1265" s="8">
        <f>_xlfn.IFNA(INDEX('HS Codes'!$D$2:$K3819,MATCH($B1265,'HS Codes'!$A$2:$A3819,0),MATCH(J$1,'HS Codes'!$D$1:$K$1,0)),"")</f>
        <v>0</v>
      </c>
      <c r="K1265" s="8">
        <f>_xlfn.IFNA(INDEX('HS Codes'!$D$2:$K3819,MATCH($B1265,'HS Codes'!$A$2:$A3819,0),MATCH(K$1,'HS Codes'!$D$1:$K$1,0)),"")</f>
        <v>0</v>
      </c>
      <c r="L1265" s="8">
        <f>_xlfn.IFNA(INDEX('HS Codes'!$D$2:$K3819,MATCH($B1265,'HS Codes'!$A$2:$A3819,0),MATCH(L$1,'HS Codes'!$D$1:$K$1,0)),"")</f>
        <v>0</v>
      </c>
      <c r="M1265" s="8">
        <f>_xlfn.IFNA(INDEX('HS Codes'!$C$2:$C3819,MATCH($B1265,'HS Codes'!$A$2:$A3819,0)),"")</f>
        <v>0</v>
      </c>
      <c r="N1265" s="9"/>
      <c r="O1265" s="9"/>
      <c r="P1265" s="9"/>
      <c r="Q1265" s="9"/>
    </row>
    <row r="1266" spans="1:17" ht="15.75" customHeight="1">
      <c r="A1266" s="7" t="s">
        <v>1559</v>
      </c>
      <c r="B1266" s="7" t="s">
        <v>191</v>
      </c>
      <c r="C1266" s="7"/>
      <c r="D1266" s="7" t="s">
        <v>192</v>
      </c>
      <c r="E1266" s="7" t="s">
        <v>322</v>
      </c>
      <c r="F1266" s="8">
        <f>_xlfn.IFNA(INDEX('HS Codes'!$D$2:$K3820,MATCH($B1266,'HS Codes'!$A$2:$A3820,0),MATCH(F$1,'HS Codes'!$D$1:$K$1,0)),"")</f>
        <v>0</v>
      </c>
      <c r="G1266" s="8">
        <f>_xlfn.IFNA(INDEX('HS Codes'!$D$2:$K3820,MATCH($B1266,'HS Codes'!$A$2:$A3820,0),MATCH(G$1,'HS Codes'!$D$1:$K$1,0)),"")</f>
        <v>0</v>
      </c>
      <c r="H1266" s="8">
        <f>_xlfn.IFNA(INDEX('HS Codes'!$D$2:$K3820,MATCH($B1266,'HS Codes'!$A$2:$A3820,0),MATCH(H$1,'HS Codes'!$D$1:$K$1,0)),"")</f>
        <v>0</v>
      </c>
      <c r="I1266" s="8">
        <f>_xlfn.IFNA(INDEX('HS Codes'!$D$2:$K3820,MATCH($B1266,'HS Codes'!$A$2:$A3820,0),MATCH(I$1,'HS Codes'!$D$1:$K$1,0)),"")</f>
        <v>0</v>
      </c>
      <c r="J1266" s="8">
        <f>_xlfn.IFNA(INDEX('HS Codes'!$D$2:$K3820,MATCH($B1266,'HS Codes'!$A$2:$A3820,0),MATCH(J$1,'HS Codes'!$D$1:$K$1,0)),"")</f>
        <v>0</v>
      </c>
      <c r="K1266" s="8">
        <f>_xlfn.IFNA(INDEX('HS Codes'!$D$2:$K3820,MATCH($B1266,'HS Codes'!$A$2:$A3820,0),MATCH(K$1,'HS Codes'!$D$1:$K$1,0)),"")</f>
        <v>0</v>
      </c>
      <c r="L1266" s="8">
        <f>_xlfn.IFNA(INDEX('HS Codes'!$D$2:$K3820,MATCH($B1266,'HS Codes'!$A$2:$A3820,0),MATCH(L$1,'HS Codes'!$D$1:$K$1,0)),"")</f>
        <v>0</v>
      </c>
      <c r="M1266" s="8">
        <f>_xlfn.IFNA(INDEX('HS Codes'!$C$2:$C3820,MATCH($B1266,'HS Codes'!$A$2:$A3820,0)),"")</f>
        <v>0</v>
      </c>
      <c r="N1266" s="9"/>
      <c r="O1266" s="9"/>
      <c r="P1266" s="9"/>
      <c r="Q1266" s="9"/>
    </row>
    <row r="1267" spans="1:17" ht="15.75" customHeight="1">
      <c r="A1267" s="7" t="s">
        <v>1560</v>
      </c>
      <c r="B1267" s="7" t="s">
        <v>191</v>
      </c>
      <c r="C1267" s="7"/>
      <c r="D1267" s="7" t="s">
        <v>192</v>
      </c>
      <c r="E1267" s="7" t="s">
        <v>322</v>
      </c>
      <c r="F1267" s="8">
        <f>_xlfn.IFNA(INDEX('HS Codes'!$D$2:$K3821,MATCH($B1267,'HS Codes'!$A$2:$A3821,0),MATCH(F$1,'HS Codes'!$D$1:$K$1,0)),"")</f>
        <v>0</v>
      </c>
      <c r="G1267" s="8">
        <f>_xlfn.IFNA(INDEX('HS Codes'!$D$2:$K3821,MATCH($B1267,'HS Codes'!$A$2:$A3821,0),MATCH(G$1,'HS Codes'!$D$1:$K$1,0)),"")</f>
        <v>0</v>
      </c>
      <c r="H1267" s="8">
        <f>_xlfn.IFNA(INDEX('HS Codes'!$D$2:$K3821,MATCH($B1267,'HS Codes'!$A$2:$A3821,0),MATCH(H$1,'HS Codes'!$D$1:$K$1,0)),"")</f>
        <v>0</v>
      </c>
      <c r="I1267" s="8">
        <f>_xlfn.IFNA(INDEX('HS Codes'!$D$2:$K3821,MATCH($B1267,'HS Codes'!$A$2:$A3821,0),MATCH(I$1,'HS Codes'!$D$1:$K$1,0)),"")</f>
        <v>0</v>
      </c>
      <c r="J1267" s="8">
        <f>_xlfn.IFNA(INDEX('HS Codes'!$D$2:$K3821,MATCH($B1267,'HS Codes'!$A$2:$A3821,0),MATCH(J$1,'HS Codes'!$D$1:$K$1,0)),"")</f>
        <v>0</v>
      </c>
      <c r="K1267" s="8">
        <f>_xlfn.IFNA(INDEX('HS Codes'!$D$2:$K3821,MATCH($B1267,'HS Codes'!$A$2:$A3821,0),MATCH(K$1,'HS Codes'!$D$1:$K$1,0)),"")</f>
        <v>0</v>
      </c>
      <c r="L1267" s="8">
        <f>_xlfn.IFNA(INDEX('HS Codes'!$D$2:$K3821,MATCH($B1267,'HS Codes'!$A$2:$A3821,0),MATCH(L$1,'HS Codes'!$D$1:$K$1,0)),"")</f>
        <v>0</v>
      </c>
      <c r="M1267" s="8">
        <f>_xlfn.IFNA(INDEX('HS Codes'!$C$2:$C3821,MATCH($B1267,'HS Codes'!$A$2:$A3821,0)),"")</f>
        <v>0</v>
      </c>
      <c r="N1267" s="9"/>
      <c r="O1267" s="9"/>
      <c r="P1267" s="9"/>
      <c r="Q1267" s="9"/>
    </row>
    <row r="1268" spans="1:17" ht="15.75" customHeight="1">
      <c r="A1268" s="7" t="s">
        <v>1561</v>
      </c>
      <c r="B1268" s="7" t="s">
        <v>191</v>
      </c>
      <c r="C1268" s="7"/>
      <c r="D1268" s="7" t="s">
        <v>192</v>
      </c>
      <c r="E1268" s="7" t="s">
        <v>322</v>
      </c>
      <c r="F1268" s="8">
        <f>_xlfn.IFNA(INDEX('HS Codes'!$D$2:$K3822,MATCH($B1268,'HS Codes'!$A$2:$A3822,0),MATCH(F$1,'HS Codes'!$D$1:$K$1,0)),"")</f>
        <v>0</v>
      </c>
      <c r="G1268" s="8">
        <f>_xlfn.IFNA(INDEX('HS Codes'!$D$2:$K3822,MATCH($B1268,'HS Codes'!$A$2:$A3822,0),MATCH(G$1,'HS Codes'!$D$1:$K$1,0)),"")</f>
        <v>0</v>
      </c>
      <c r="H1268" s="8">
        <f>_xlfn.IFNA(INDEX('HS Codes'!$D$2:$K3822,MATCH($B1268,'HS Codes'!$A$2:$A3822,0),MATCH(H$1,'HS Codes'!$D$1:$K$1,0)),"")</f>
        <v>0</v>
      </c>
      <c r="I1268" s="8">
        <f>_xlfn.IFNA(INDEX('HS Codes'!$D$2:$K3822,MATCH($B1268,'HS Codes'!$A$2:$A3822,0),MATCH(I$1,'HS Codes'!$D$1:$K$1,0)),"")</f>
        <v>0</v>
      </c>
      <c r="J1268" s="8">
        <f>_xlfn.IFNA(INDEX('HS Codes'!$D$2:$K3822,MATCH($B1268,'HS Codes'!$A$2:$A3822,0),MATCH(J$1,'HS Codes'!$D$1:$K$1,0)),"")</f>
        <v>0</v>
      </c>
      <c r="K1268" s="8">
        <f>_xlfn.IFNA(INDEX('HS Codes'!$D$2:$K3822,MATCH($B1268,'HS Codes'!$A$2:$A3822,0),MATCH(K$1,'HS Codes'!$D$1:$K$1,0)),"")</f>
        <v>0</v>
      </c>
      <c r="L1268" s="8">
        <f>_xlfn.IFNA(INDEX('HS Codes'!$D$2:$K3822,MATCH($B1268,'HS Codes'!$A$2:$A3822,0),MATCH(L$1,'HS Codes'!$D$1:$K$1,0)),"")</f>
        <v>0</v>
      </c>
      <c r="M1268" s="8">
        <f>_xlfn.IFNA(INDEX('HS Codes'!$C$2:$C3822,MATCH($B1268,'HS Codes'!$A$2:$A3822,0)),"")</f>
        <v>0</v>
      </c>
      <c r="N1268" s="9"/>
      <c r="O1268" s="9"/>
      <c r="P1268" s="9"/>
      <c r="Q1268" s="9"/>
    </row>
    <row r="1269" spans="1:17" ht="15.75" customHeight="1">
      <c r="A1269" s="7" t="s">
        <v>1562</v>
      </c>
      <c r="B1269" s="7" t="s">
        <v>191</v>
      </c>
      <c r="C1269" s="7"/>
      <c r="D1269" s="7" t="s">
        <v>192</v>
      </c>
      <c r="E1269" s="7" t="s">
        <v>322</v>
      </c>
      <c r="F1269" s="8">
        <f>_xlfn.IFNA(INDEX('HS Codes'!$D$2:$K3823,MATCH($B1269,'HS Codes'!$A$2:$A3823,0),MATCH(F$1,'HS Codes'!$D$1:$K$1,0)),"")</f>
        <v>0</v>
      </c>
      <c r="G1269" s="8">
        <f>_xlfn.IFNA(INDEX('HS Codes'!$D$2:$K3823,MATCH($B1269,'HS Codes'!$A$2:$A3823,0),MATCH(G$1,'HS Codes'!$D$1:$K$1,0)),"")</f>
        <v>0</v>
      </c>
      <c r="H1269" s="8">
        <f>_xlfn.IFNA(INDEX('HS Codes'!$D$2:$K3823,MATCH($B1269,'HS Codes'!$A$2:$A3823,0),MATCH(H$1,'HS Codes'!$D$1:$K$1,0)),"")</f>
        <v>0</v>
      </c>
      <c r="I1269" s="8">
        <f>_xlfn.IFNA(INDEX('HS Codes'!$D$2:$K3823,MATCH($B1269,'HS Codes'!$A$2:$A3823,0),MATCH(I$1,'HS Codes'!$D$1:$K$1,0)),"")</f>
        <v>0</v>
      </c>
      <c r="J1269" s="8">
        <f>_xlfn.IFNA(INDEX('HS Codes'!$D$2:$K3823,MATCH($B1269,'HS Codes'!$A$2:$A3823,0),MATCH(J$1,'HS Codes'!$D$1:$K$1,0)),"")</f>
        <v>0</v>
      </c>
      <c r="K1269" s="8">
        <f>_xlfn.IFNA(INDEX('HS Codes'!$D$2:$K3823,MATCH($B1269,'HS Codes'!$A$2:$A3823,0),MATCH(K$1,'HS Codes'!$D$1:$K$1,0)),"")</f>
        <v>0</v>
      </c>
      <c r="L1269" s="8">
        <f>_xlfn.IFNA(INDEX('HS Codes'!$D$2:$K3823,MATCH($B1269,'HS Codes'!$A$2:$A3823,0),MATCH(L$1,'HS Codes'!$D$1:$K$1,0)),"")</f>
        <v>0</v>
      </c>
      <c r="M1269" s="8">
        <f>_xlfn.IFNA(INDEX('HS Codes'!$C$2:$C3823,MATCH($B1269,'HS Codes'!$A$2:$A3823,0)),"")</f>
        <v>0</v>
      </c>
      <c r="N1269" s="9"/>
      <c r="O1269" s="9"/>
      <c r="P1269" s="9"/>
      <c r="Q1269" s="9"/>
    </row>
    <row r="1270" spans="1:17" ht="15.75" customHeight="1">
      <c r="A1270" s="7" t="s">
        <v>1563</v>
      </c>
      <c r="B1270" s="7" t="s">
        <v>191</v>
      </c>
      <c r="C1270" s="7"/>
      <c r="D1270" s="7" t="s">
        <v>192</v>
      </c>
      <c r="E1270" s="7" t="s">
        <v>322</v>
      </c>
      <c r="F1270" s="8">
        <f>_xlfn.IFNA(INDEX('HS Codes'!$D$2:$K3824,MATCH($B1270,'HS Codes'!$A$2:$A3824,0),MATCH(F$1,'HS Codes'!$D$1:$K$1,0)),"")</f>
        <v>0</v>
      </c>
      <c r="G1270" s="8">
        <f>_xlfn.IFNA(INDEX('HS Codes'!$D$2:$K3824,MATCH($B1270,'HS Codes'!$A$2:$A3824,0),MATCH(G$1,'HS Codes'!$D$1:$K$1,0)),"")</f>
        <v>0</v>
      </c>
      <c r="H1270" s="8">
        <f>_xlfn.IFNA(INDEX('HS Codes'!$D$2:$K3824,MATCH($B1270,'HS Codes'!$A$2:$A3824,0),MATCH(H$1,'HS Codes'!$D$1:$K$1,0)),"")</f>
        <v>0</v>
      </c>
      <c r="I1270" s="8">
        <f>_xlfn.IFNA(INDEX('HS Codes'!$D$2:$K3824,MATCH($B1270,'HS Codes'!$A$2:$A3824,0),MATCH(I$1,'HS Codes'!$D$1:$K$1,0)),"")</f>
        <v>0</v>
      </c>
      <c r="J1270" s="8">
        <f>_xlfn.IFNA(INDEX('HS Codes'!$D$2:$K3824,MATCH($B1270,'HS Codes'!$A$2:$A3824,0),MATCH(J$1,'HS Codes'!$D$1:$K$1,0)),"")</f>
        <v>0</v>
      </c>
      <c r="K1270" s="8">
        <f>_xlfn.IFNA(INDEX('HS Codes'!$D$2:$K3824,MATCH($B1270,'HS Codes'!$A$2:$A3824,0),MATCH(K$1,'HS Codes'!$D$1:$K$1,0)),"")</f>
        <v>0</v>
      </c>
      <c r="L1270" s="8">
        <f>_xlfn.IFNA(INDEX('HS Codes'!$D$2:$K3824,MATCH($B1270,'HS Codes'!$A$2:$A3824,0),MATCH(L$1,'HS Codes'!$D$1:$K$1,0)),"")</f>
        <v>0</v>
      </c>
      <c r="M1270" s="8">
        <f>_xlfn.IFNA(INDEX('HS Codes'!$C$2:$C3824,MATCH($B1270,'HS Codes'!$A$2:$A3824,0)),"")</f>
        <v>0</v>
      </c>
      <c r="N1270" s="9"/>
      <c r="O1270" s="9"/>
      <c r="P1270" s="9"/>
      <c r="Q1270" s="9"/>
    </row>
    <row r="1271" spans="1:17" ht="15.75" customHeight="1">
      <c r="A1271" s="7" t="s">
        <v>1564</v>
      </c>
      <c r="B1271" s="7" t="s">
        <v>191</v>
      </c>
      <c r="C1271" s="7"/>
      <c r="D1271" s="7" t="s">
        <v>192</v>
      </c>
      <c r="E1271" s="7" t="s">
        <v>322</v>
      </c>
      <c r="F1271" s="8">
        <f>_xlfn.IFNA(INDEX('HS Codes'!$D$2:$K3825,MATCH($B1271,'HS Codes'!$A$2:$A3825,0),MATCH(F$1,'HS Codes'!$D$1:$K$1,0)),"")</f>
        <v>0</v>
      </c>
      <c r="G1271" s="8">
        <f>_xlfn.IFNA(INDEX('HS Codes'!$D$2:$K3825,MATCH($B1271,'HS Codes'!$A$2:$A3825,0),MATCH(G$1,'HS Codes'!$D$1:$K$1,0)),"")</f>
        <v>0</v>
      </c>
      <c r="H1271" s="8">
        <f>_xlfn.IFNA(INDEX('HS Codes'!$D$2:$K3825,MATCH($B1271,'HS Codes'!$A$2:$A3825,0),MATCH(H$1,'HS Codes'!$D$1:$K$1,0)),"")</f>
        <v>0</v>
      </c>
      <c r="I1271" s="8">
        <f>_xlfn.IFNA(INDEX('HS Codes'!$D$2:$K3825,MATCH($B1271,'HS Codes'!$A$2:$A3825,0),MATCH(I$1,'HS Codes'!$D$1:$K$1,0)),"")</f>
        <v>0</v>
      </c>
      <c r="J1271" s="8">
        <f>_xlfn.IFNA(INDEX('HS Codes'!$D$2:$K3825,MATCH($B1271,'HS Codes'!$A$2:$A3825,0),MATCH(J$1,'HS Codes'!$D$1:$K$1,0)),"")</f>
        <v>0</v>
      </c>
      <c r="K1271" s="8">
        <f>_xlfn.IFNA(INDEX('HS Codes'!$D$2:$K3825,MATCH($B1271,'HS Codes'!$A$2:$A3825,0),MATCH(K$1,'HS Codes'!$D$1:$K$1,0)),"")</f>
        <v>0</v>
      </c>
      <c r="L1271" s="8">
        <f>_xlfn.IFNA(INDEX('HS Codes'!$D$2:$K3825,MATCH($B1271,'HS Codes'!$A$2:$A3825,0),MATCH(L$1,'HS Codes'!$D$1:$K$1,0)),"")</f>
        <v>0</v>
      </c>
      <c r="M1271" s="8">
        <f>_xlfn.IFNA(INDEX('HS Codes'!$C$2:$C3825,MATCH($B1271,'HS Codes'!$A$2:$A3825,0)),"")</f>
        <v>0</v>
      </c>
      <c r="N1271" s="9"/>
      <c r="O1271" s="9"/>
      <c r="P1271" s="9"/>
      <c r="Q1271" s="9"/>
    </row>
    <row r="1272" spans="1:17" ht="15.75" customHeight="1">
      <c r="A1272" s="7" t="s">
        <v>1565</v>
      </c>
      <c r="B1272" s="7" t="s">
        <v>205</v>
      </c>
      <c r="C1272" s="7"/>
      <c r="D1272" s="7" t="s">
        <v>206</v>
      </c>
      <c r="E1272" s="7" t="s">
        <v>322</v>
      </c>
      <c r="F1272" s="8">
        <f>_xlfn.IFNA(INDEX('HS Codes'!$D$2:$K3826,MATCH($B1272,'HS Codes'!$A$2:$A3826,0),MATCH(F$1,'HS Codes'!$D$1:$K$1,0)),"")</f>
        <v>0</v>
      </c>
      <c r="G1272" s="8">
        <f>_xlfn.IFNA(INDEX('HS Codes'!$D$2:$K3826,MATCH($B1272,'HS Codes'!$A$2:$A3826,0),MATCH(G$1,'HS Codes'!$D$1:$K$1,0)),"")</f>
        <v>0</v>
      </c>
      <c r="H1272" s="8">
        <f>_xlfn.IFNA(INDEX('HS Codes'!$D$2:$K3826,MATCH($B1272,'HS Codes'!$A$2:$A3826,0),MATCH(H$1,'HS Codes'!$D$1:$K$1,0)),"")</f>
        <v>0</v>
      </c>
      <c r="I1272" s="8">
        <f>_xlfn.IFNA(INDEX('HS Codes'!$D$2:$K3826,MATCH($B1272,'HS Codes'!$A$2:$A3826,0),MATCH(I$1,'HS Codes'!$D$1:$K$1,0)),"")</f>
        <v>0</v>
      </c>
      <c r="J1272" s="8">
        <f>_xlfn.IFNA(INDEX('HS Codes'!$D$2:$K3826,MATCH($B1272,'HS Codes'!$A$2:$A3826,0),MATCH(J$1,'HS Codes'!$D$1:$K$1,0)),"")</f>
        <v>0</v>
      </c>
      <c r="K1272" s="8">
        <f>_xlfn.IFNA(INDEX('HS Codes'!$D$2:$K3826,MATCH($B1272,'HS Codes'!$A$2:$A3826,0),MATCH(K$1,'HS Codes'!$D$1:$K$1,0)),"")</f>
        <v>0</v>
      </c>
      <c r="L1272" s="8">
        <f>_xlfn.IFNA(INDEX('HS Codes'!$D$2:$K3826,MATCH($B1272,'HS Codes'!$A$2:$A3826,0),MATCH(L$1,'HS Codes'!$D$1:$K$1,0)),"")</f>
        <v>0</v>
      </c>
      <c r="M1272" s="8">
        <f>_xlfn.IFNA(INDEX('HS Codes'!$C$2:$C3826,MATCH($B1272,'HS Codes'!$A$2:$A3826,0)),"")</f>
        <v>0</v>
      </c>
      <c r="N1272" s="9"/>
      <c r="O1272" s="9"/>
      <c r="P1272" s="9"/>
      <c r="Q1272" s="9"/>
    </row>
    <row r="1273" spans="1:17" ht="15.75" customHeight="1">
      <c r="A1273" s="7" t="s">
        <v>1566</v>
      </c>
      <c r="B1273" s="7" t="s">
        <v>205</v>
      </c>
      <c r="C1273" s="7"/>
      <c r="D1273" s="7" t="s">
        <v>206</v>
      </c>
      <c r="E1273" s="7" t="s">
        <v>322</v>
      </c>
      <c r="F1273" s="8">
        <f>_xlfn.IFNA(INDEX('HS Codes'!$D$2:$K3827,MATCH($B1273,'HS Codes'!$A$2:$A3827,0),MATCH(F$1,'HS Codes'!$D$1:$K$1,0)),"")</f>
        <v>0</v>
      </c>
      <c r="G1273" s="8">
        <f>_xlfn.IFNA(INDEX('HS Codes'!$D$2:$K3827,MATCH($B1273,'HS Codes'!$A$2:$A3827,0),MATCH(G$1,'HS Codes'!$D$1:$K$1,0)),"")</f>
        <v>0</v>
      </c>
      <c r="H1273" s="8">
        <f>_xlfn.IFNA(INDEX('HS Codes'!$D$2:$K3827,MATCH($B1273,'HS Codes'!$A$2:$A3827,0),MATCH(H$1,'HS Codes'!$D$1:$K$1,0)),"")</f>
        <v>0</v>
      </c>
      <c r="I1273" s="8">
        <f>_xlfn.IFNA(INDEX('HS Codes'!$D$2:$K3827,MATCH($B1273,'HS Codes'!$A$2:$A3827,0),MATCH(I$1,'HS Codes'!$D$1:$K$1,0)),"")</f>
        <v>0</v>
      </c>
      <c r="J1273" s="8">
        <f>_xlfn.IFNA(INDEX('HS Codes'!$D$2:$K3827,MATCH($B1273,'HS Codes'!$A$2:$A3827,0),MATCH(J$1,'HS Codes'!$D$1:$K$1,0)),"")</f>
        <v>0</v>
      </c>
      <c r="K1273" s="8">
        <f>_xlfn.IFNA(INDEX('HS Codes'!$D$2:$K3827,MATCH($B1273,'HS Codes'!$A$2:$A3827,0),MATCH(K$1,'HS Codes'!$D$1:$K$1,0)),"")</f>
        <v>0</v>
      </c>
      <c r="L1273" s="8">
        <f>_xlfn.IFNA(INDEX('HS Codes'!$D$2:$K3827,MATCH($B1273,'HS Codes'!$A$2:$A3827,0),MATCH(L$1,'HS Codes'!$D$1:$K$1,0)),"")</f>
        <v>0</v>
      </c>
      <c r="M1273" s="8">
        <f>_xlfn.IFNA(INDEX('HS Codes'!$C$2:$C3827,MATCH($B1273,'HS Codes'!$A$2:$A3827,0)),"")</f>
        <v>0</v>
      </c>
      <c r="N1273" s="9"/>
      <c r="O1273" s="9"/>
      <c r="P1273" s="9"/>
      <c r="Q1273" s="9"/>
    </row>
    <row r="1274" spans="1:17" ht="15.75" customHeight="1">
      <c r="A1274" s="7" t="s">
        <v>1567</v>
      </c>
      <c r="B1274" s="7" t="s">
        <v>205</v>
      </c>
      <c r="C1274" s="7"/>
      <c r="D1274" s="7" t="s">
        <v>206</v>
      </c>
      <c r="E1274" s="7" t="s">
        <v>322</v>
      </c>
      <c r="F1274" s="8">
        <f>_xlfn.IFNA(INDEX('HS Codes'!$D$2:$K3828,MATCH($B1274,'HS Codes'!$A$2:$A3828,0),MATCH(F$1,'HS Codes'!$D$1:$K$1,0)),"")</f>
        <v>0</v>
      </c>
      <c r="G1274" s="8">
        <f>_xlfn.IFNA(INDEX('HS Codes'!$D$2:$K3828,MATCH($B1274,'HS Codes'!$A$2:$A3828,0),MATCH(G$1,'HS Codes'!$D$1:$K$1,0)),"")</f>
        <v>0</v>
      </c>
      <c r="H1274" s="8">
        <f>_xlfn.IFNA(INDEX('HS Codes'!$D$2:$K3828,MATCH($B1274,'HS Codes'!$A$2:$A3828,0),MATCH(H$1,'HS Codes'!$D$1:$K$1,0)),"")</f>
        <v>0</v>
      </c>
      <c r="I1274" s="8">
        <f>_xlfn.IFNA(INDEX('HS Codes'!$D$2:$K3828,MATCH($B1274,'HS Codes'!$A$2:$A3828,0),MATCH(I$1,'HS Codes'!$D$1:$K$1,0)),"")</f>
        <v>0</v>
      </c>
      <c r="J1274" s="8">
        <f>_xlfn.IFNA(INDEX('HS Codes'!$D$2:$K3828,MATCH($B1274,'HS Codes'!$A$2:$A3828,0),MATCH(J$1,'HS Codes'!$D$1:$K$1,0)),"")</f>
        <v>0</v>
      </c>
      <c r="K1274" s="8">
        <f>_xlfn.IFNA(INDEX('HS Codes'!$D$2:$K3828,MATCH($B1274,'HS Codes'!$A$2:$A3828,0),MATCH(K$1,'HS Codes'!$D$1:$K$1,0)),"")</f>
        <v>0</v>
      </c>
      <c r="L1274" s="8">
        <f>_xlfn.IFNA(INDEX('HS Codes'!$D$2:$K3828,MATCH($B1274,'HS Codes'!$A$2:$A3828,0),MATCH(L$1,'HS Codes'!$D$1:$K$1,0)),"")</f>
        <v>0</v>
      </c>
      <c r="M1274" s="8">
        <f>_xlfn.IFNA(INDEX('HS Codes'!$C$2:$C3828,MATCH($B1274,'HS Codes'!$A$2:$A3828,0)),"")</f>
        <v>0</v>
      </c>
      <c r="N1274" s="9"/>
      <c r="O1274" s="9"/>
      <c r="P1274" s="9"/>
      <c r="Q1274" s="9"/>
    </row>
    <row r="1275" spans="1:17" ht="15.75" customHeight="1">
      <c r="A1275" s="7" t="s">
        <v>1568</v>
      </c>
      <c r="B1275" s="7" t="s">
        <v>205</v>
      </c>
      <c r="C1275" s="7"/>
      <c r="D1275" s="7" t="s">
        <v>206</v>
      </c>
      <c r="E1275" s="7" t="s">
        <v>322</v>
      </c>
      <c r="F1275" s="8">
        <f>_xlfn.IFNA(INDEX('HS Codes'!$D$2:$K3829,MATCH($B1275,'HS Codes'!$A$2:$A3829,0),MATCH(F$1,'HS Codes'!$D$1:$K$1,0)),"")</f>
        <v>0</v>
      </c>
      <c r="G1275" s="8">
        <f>_xlfn.IFNA(INDEX('HS Codes'!$D$2:$K3829,MATCH($B1275,'HS Codes'!$A$2:$A3829,0),MATCH(G$1,'HS Codes'!$D$1:$K$1,0)),"")</f>
        <v>0</v>
      </c>
      <c r="H1275" s="8">
        <f>_xlfn.IFNA(INDEX('HS Codes'!$D$2:$K3829,MATCH($B1275,'HS Codes'!$A$2:$A3829,0),MATCH(H$1,'HS Codes'!$D$1:$K$1,0)),"")</f>
        <v>0</v>
      </c>
      <c r="I1275" s="8">
        <f>_xlfn.IFNA(INDEX('HS Codes'!$D$2:$K3829,MATCH($B1275,'HS Codes'!$A$2:$A3829,0),MATCH(I$1,'HS Codes'!$D$1:$K$1,0)),"")</f>
        <v>0</v>
      </c>
      <c r="J1275" s="8">
        <f>_xlfn.IFNA(INDEX('HS Codes'!$D$2:$K3829,MATCH($B1275,'HS Codes'!$A$2:$A3829,0),MATCH(J$1,'HS Codes'!$D$1:$K$1,0)),"")</f>
        <v>0</v>
      </c>
      <c r="K1275" s="8">
        <f>_xlfn.IFNA(INDEX('HS Codes'!$D$2:$K3829,MATCH($B1275,'HS Codes'!$A$2:$A3829,0),MATCH(K$1,'HS Codes'!$D$1:$K$1,0)),"")</f>
        <v>0</v>
      </c>
      <c r="L1275" s="8">
        <f>_xlfn.IFNA(INDEX('HS Codes'!$D$2:$K3829,MATCH($B1275,'HS Codes'!$A$2:$A3829,0),MATCH(L$1,'HS Codes'!$D$1:$K$1,0)),"")</f>
        <v>0</v>
      </c>
      <c r="M1275" s="8">
        <f>_xlfn.IFNA(INDEX('HS Codes'!$C$2:$C3829,MATCH($B1275,'HS Codes'!$A$2:$A3829,0)),"")</f>
        <v>0</v>
      </c>
      <c r="N1275" s="9"/>
      <c r="O1275" s="9"/>
      <c r="P1275" s="9"/>
      <c r="Q1275" s="9"/>
    </row>
    <row r="1276" spans="1:17" ht="15.75" customHeight="1">
      <c r="A1276" s="7" t="s">
        <v>1569</v>
      </c>
      <c r="B1276" s="7" t="s">
        <v>205</v>
      </c>
      <c r="C1276" s="7"/>
      <c r="D1276" s="7" t="s">
        <v>206</v>
      </c>
      <c r="E1276" s="7" t="s">
        <v>322</v>
      </c>
      <c r="F1276" s="8">
        <f>_xlfn.IFNA(INDEX('HS Codes'!$D$2:$K3830,MATCH($B1276,'HS Codes'!$A$2:$A3830,0),MATCH(F$1,'HS Codes'!$D$1:$K$1,0)),"")</f>
        <v>0</v>
      </c>
      <c r="G1276" s="8">
        <f>_xlfn.IFNA(INDEX('HS Codes'!$D$2:$K3830,MATCH($B1276,'HS Codes'!$A$2:$A3830,0),MATCH(G$1,'HS Codes'!$D$1:$K$1,0)),"")</f>
        <v>0</v>
      </c>
      <c r="H1276" s="8">
        <f>_xlfn.IFNA(INDEX('HS Codes'!$D$2:$K3830,MATCH($B1276,'HS Codes'!$A$2:$A3830,0),MATCH(H$1,'HS Codes'!$D$1:$K$1,0)),"")</f>
        <v>0</v>
      </c>
      <c r="I1276" s="8">
        <f>_xlfn.IFNA(INDEX('HS Codes'!$D$2:$K3830,MATCH($B1276,'HS Codes'!$A$2:$A3830,0),MATCH(I$1,'HS Codes'!$D$1:$K$1,0)),"")</f>
        <v>0</v>
      </c>
      <c r="J1276" s="8">
        <f>_xlfn.IFNA(INDEX('HS Codes'!$D$2:$K3830,MATCH($B1276,'HS Codes'!$A$2:$A3830,0),MATCH(J$1,'HS Codes'!$D$1:$K$1,0)),"")</f>
        <v>0</v>
      </c>
      <c r="K1276" s="8">
        <f>_xlfn.IFNA(INDEX('HS Codes'!$D$2:$K3830,MATCH($B1276,'HS Codes'!$A$2:$A3830,0),MATCH(K$1,'HS Codes'!$D$1:$K$1,0)),"")</f>
        <v>0</v>
      </c>
      <c r="L1276" s="8">
        <f>_xlfn.IFNA(INDEX('HS Codes'!$D$2:$K3830,MATCH($B1276,'HS Codes'!$A$2:$A3830,0),MATCH(L$1,'HS Codes'!$D$1:$K$1,0)),"")</f>
        <v>0</v>
      </c>
      <c r="M1276" s="8">
        <f>_xlfn.IFNA(INDEX('HS Codes'!$C$2:$C3830,MATCH($B1276,'HS Codes'!$A$2:$A3830,0)),"")</f>
        <v>0</v>
      </c>
      <c r="N1276" s="9"/>
      <c r="O1276" s="9"/>
      <c r="P1276" s="9"/>
      <c r="Q1276" s="9"/>
    </row>
    <row r="1277" spans="1:17" ht="15.75" customHeight="1">
      <c r="A1277" s="7" t="s">
        <v>1570</v>
      </c>
      <c r="B1277" s="7" t="s">
        <v>205</v>
      </c>
      <c r="C1277" s="7"/>
      <c r="D1277" s="7" t="s">
        <v>206</v>
      </c>
      <c r="E1277" s="7" t="s">
        <v>322</v>
      </c>
      <c r="F1277" s="8">
        <f>_xlfn.IFNA(INDEX('HS Codes'!$D$2:$K3831,MATCH($B1277,'HS Codes'!$A$2:$A3831,0),MATCH(F$1,'HS Codes'!$D$1:$K$1,0)),"")</f>
        <v>0</v>
      </c>
      <c r="G1277" s="8">
        <f>_xlfn.IFNA(INDEX('HS Codes'!$D$2:$K3831,MATCH($B1277,'HS Codes'!$A$2:$A3831,0),MATCH(G$1,'HS Codes'!$D$1:$K$1,0)),"")</f>
        <v>0</v>
      </c>
      <c r="H1277" s="8">
        <f>_xlfn.IFNA(INDEX('HS Codes'!$D$2:$K3831,MATCH($B1277,'HS Codes'!$A$2:$A3831,0),MATCH(H$1,'HS Codes'!$D$1:$K$1,0)),"")</f>
        <v>0</v>
      </c>
      <c r="I1277" s="8">
        <f>_xlfn.IFNA(INDEX('HS Codes'!$D$2:$K3831,MATCH($B1277,'HS Codes'!$A$2:$A3831,0),MATCH(I$1,'HS Codes'!$D$1:$K$1,0)),"")</f>
        <v>0</v>
      </c>
      <c r="J1277" s="8">
        <f>_xlfn.IFNA(INDEX('HS Codes'!$D$2:$K3831,MATCH($B1277,'HS Codes'!$A$2:$A3831,0),MATCH(J$1,'HS Codes'!$D$1:$K$1,0)),"")</f>
        <v>0</v>
      </c>
      <c r="K1277" s="8">
        <f>_xlfn.IFNA(INDEX('HS Codes'!$D$2:$K3831,MATCH($B1277,'HS Codes'!$A$2:$A3831,0),MATCH(K$1,'HS Codes'!$D$1:$K$1,0)),"")</f>
        <v>0</v>
      </c>
      <c r="L1277" s="8">
        <f>_xlfn.IFNA(INDEX('HS Codes'!$D$2:$K3831,MATCH($B1277,'HS Codes'!$A$2:$A3831,0),MATCH(L$1,'HS Codes'!$D$1:$K$1,0)),"")</f>
        <v>0</v>
      </c>
      <c r="M1277" s="8">
        <f>_xlfn.IFNA(INDEX('HS Codes'!$C$2:$C3831,MATCH($B1277,'HS Codes'!$A$2:$A3831,0)),"")</f>
        <v>0</v>
      </c>
      <c r="N1277" s="9"/>
      <c r="O1277" s="9"/>
      <c r="P1277" s="9"/>
      <c r="Q1277" s="9"/>
    </row>
    <row r="1278" spans="1:17" ht="15.75" customHeight="1">
      <c r="A1278" s="7" t="s">
        <v>1571</v>
      </c>
      <c r="B1278" s="7" t="s">
        <v>205</v>
      </c>
      <c r="C1278" s="7"/>
      <c r="D1278" s="7" t="s">
        <v>206</v>
      </c>
      <c r="E1278" s="7" t="s">
        <v>322</v>
      </c>
      <c r="F1278" s="8">
        <f>_xlfn.IFNA(INDEX('HS Codes'!$D$2:$K3832,MATCH($B1278,'HS Codes'!$A$2:$A3832,0),MATCH(F$1,'HS Codes'!$D$1:$K$1,0)),"")</f>
        <v>0</v>
      </c>
      <c r="G1278" s="8">
        <f>_xlfn.IFNA(INDEX('HS Codes'!$D$2:$K3832,MATCH($B1278,'HS Codes'!$A$2:$A3832,0),MATCH(G$1,'HS Codes'!$D$1:$K$1,0)),"")</f>
        <v>0</v>
      </c>
      <c r="H1278" s="8">
        <f>_xlfn.IFNA(INDEX('HS Codes'!$D$2:$K3832,MATCH($B1278,'HS Codes'!$A$2:$A3832,0),MATCH(H$1,'HS Codes'!$D$1:$K$1,0)),"")</f>
        <v>0</v>
      </c>
      <c r="I1278" s="8">
        <f>_xlfn.IFNA(INDEX('HS Codes'!$D$2:$K3832,MATCH($B1278,'HS Codes'!$A$2:$A3832,0),MATCH(I$1,'HS Codes'!$D$1:$K$1,0)),"")</f>
        <v>0</v>
      </c>
      <c r="J1278" s="8">
        <f>_xlfn.IFNA(INDEX('HS Codes'!$D$2:$K3832,MATCH($B1278,'HS Codes'!$A$2:$A3832,0),MATCH(J$1,'HS Codes'!$D$1:$K$1,0)),"")</f>
        <v>0</v>
      </c>
      <c r="K1278" s="8">
        <f>_xlfn.IFNA(INDEX('HS Codes'!$D$2:$K3832,MATCH($B1278,'HS Codes'!$A$2:$A3832,0),MATCH(K$1,'HS Codes'!$D$1:$K$1,0)),"")</f>
        <v>0</v>
      </c>
      <c r="L1278" s="8">
        <f>_xlfn.IFNA(INDEX('HS Codes'!$D$2:$K3832,MATCH($B1278,'HS Codes'!$A$2:$A3832,0),MATCH(L$1,'HS Codes'!$D$1:$K$1,0)),"")</f>
        <v>0</v>
      </c>
      <c r="M1278" s="8">
        <f>_xlfn.IFNA(INDEX('HS Codes'!$C$2:$C3832,MATCH($B1278,'HS Codes'!$A$2:$A3832,0)),"")</f>
        <v>0</v>
      </c>
      <c r="N1278" s="9"/>
      <c r="O1278" s="9"/>
      <c r="P1278" s="9"/>
      <c r="Q1278" s="9"/>
    </row>
    <row r="1279" spans="1:17" ht="15.75" customHeight="1">
      <c r="A1279" s="7" t="s">
        <v>1572</v>
      </c>
      <c r="B1279" s="7" t="s">
        <v>205</v>
      </c>
      <c r="C1279" s="7"/>
      <c r="D1279" s="7" t="s">
        <v>206</v>
      </c>
      <c r="E1279" s="7" t="s">
        <v>322</v>
      </c>
      <c r="F1279" s="8">
        <f>_xlfn.IFNA(INDEX('HS Codes'!$D$2:$K3833,MATCH($B1279,'HS Codes'!$A$2:$A3833,0),MATCH(F$1,'HS Codes'!$D$1:$K$1,0)),"")</f>
        <v>0</v>
      </c>
      <c r="G1279" s="8">
        <f>_xlfn.IFNA(INDEX('HS Codes'!$D$2:$K3833,MATCH($B1279,'HS Codes'!$A$2:$A3833,0),MATCH(G$1,'HS Codes'!$D$1:$K$1,0)),"")</f>
        <v>0</v>
      </c>
      <c r="H1279" s="8">
        <f>_xlfn.IFNA(INDEX('HS Codes'!$D$2:$K3833,MATCH($B1279,'HS Codes'!$A$2:$A3833,0),MATCH(H$1,'HS Codes'!$D$1:$K$1,0)),"")</f>
        <v>0</v>
      </c>
      <c r="I1279" s="8">
        <f>_xlfn.IFNA(INDEX('HS Codes'!$D$2:$K3833,MATCH($B1279,'HS Codes'!$A$2:$A3833,0),MATCH(I$1,'HS Codes'!$D$1:$K$1,0)),"")</f>
        <v>0</v>
      </c>
      <c r="J1279" s="8">
        <f>_xlfn.IFNA(INDEX('HS Codes'!$D$2:$K3833,MATCH($B1279,'HS Codes'!$A$2:$A3833,0),MATCH(J$1,'HS Codes'!$D$1:$K$1,0)),"")</f>
        <v>0</v>
      </c>
      <c r="K1279" s="8">
        <f>_xlfn.IFNA(INDEX('HS Codes'!$D$2:$K3833,MATCH($B1279,'HS Codes'!$A$2:$A3833,0),MATCH(K$1,'HS Codes'!$D$1:$K$1,0)),"")</f>
        <v>0</v>
      </c>
      <c r="L1279" s="8">
        <f>_xlfn.IFNA(INDEX('HS Codes'!$D$2:$K3833,MATCH($B1279,'HS Codes'!$A$2:$A3833,0),MATCH(L$1,'HS Codes'!$D$1:$K$1,0)),"")</f>
        <v>0</v>
      </c>
      <c r="M1279" s="8">
        <f>_xlfn.IFNA(INDEX('HS Codes'!$C$2:$C3833,MATCH($B1279,'HS Codes'!$A$2:$A3833,0)),"")</f>
        <v>0</v>
      </c>
      <c r="N1279" s="9"/>
      <c r="O1279" s="9"/>
      <c r="P1279" s="9"/>
      <c r="Q1279" s="9"/>
    </row>
    <row r="1280" spans="1:17" ht="15.75" customHeight="1">
      <c r="A1280" s="7" t="s">
        <v>1573</v>
      </c>
      <c r="B1280" s="7" t="s">
        <v>203</v>
      </c>
      <c r="C1280" s="7"/>
      <c r="D1280" s="7" t="s">
        <v>204</v>
      </c>
      <c r="E1280" s="7" t="s">
        <v>322</v>
      </c>
      <c r="F1280" s="8">
        <f>_xlfn.IFNA(INDEX('HS Codes'!$D$2:$K3834,MATCH($B1280,'HS Codes'!$A$2:$A3834,0),MATCH(F$1,'HS Codes'!$D$1:$K$1,0)),"")</f>
        <v>0</v>
      </c>
      <c r="G1280" s="8">
        <f>_xlfn.IFNA(INDEX('HS Codes'!$D$2:$K3834,MATCH($B1280,'HS Codes'!$A$2:$A3834,0),MATCH(G$1,'HS Codes'!$D$1:$K$1,0)),"")</f>
        <v>0</v>
      </c>
      <c r="H1280" s="8">
        <f>_xlfn.IFNA(INDEX('HS Codes'!$D$2:$K3834,MATCH($B1280,'HS Codes'!$A$2:$A3834,0),MATCH(H$1,'HS Codes'!$D$1:$K$1,0)),"")</f>
        <v>0</v>
      </c>
      <c r="I1280" s="8">
        <f>_xlfn.IFNA(INDEX('HS Codes'!$D$2:$K3834,MATCH($B1280,'HS Codes'!$A$2:$A3834,0),MATCH(I$1,'HS Codes'!$D$1:$K$1,0)),"")</f>
        <v>0</v>
      </c>
      <c r="J1280" s="8">
        <f>_xlfn.IFNA(INDEX('HS Codes'!$D$2:$K3834,MATCH($B1280,'HS Codes'!$A$2:$A3834,0),MATCH(J$1,'HS Codes'!$D$1:$K$1,0)),"")</f>
        <v>0</v>
      </c>
      <c r="K1280" s="8">
        <f>_xlfn.IFNA(INDEX('HS Codes'!$D$2:$K3834,MATCH($B1280,'HS Codes'!$A$2:$A3834,0),MATCH(K$1,'HS Codes'!$D$1:$K$1,0)),"")</f>
        <v>0</v>
      </c>
      <c r="L1280" s="8">
        <f>_xlfn.IFNA(INDEX('HS Codes'!$D$2:$K3834,MATCH($B1280,'HS Codes'!$A$2:$A3834,0),MATCH(L$1,'HS Codes'!$D$1:$K$1,0)),"")</f>
        <v>0</v>
      </c>
      <c r="M1280" s="8">
        <f>_xlfn.IFNA(INDEX('HS Codes'!$C$2:$C3834,MATCH($B1280,'HS Codes'!$A$2:$A3834,0)),"")</f>
        <v>0</v>
      </c>
      <c r="N1280" s="9"/>
      <c r="O1280" s="9"/>
      <c r="P1280" s="9"/>
      <c r="Q1280" s="9"/>
    </row>
    <row r="1281" spans="1:17" ht="15.75" customHeight="1">
      <c r="A1281" s="7" t="s">
        <v>1574</v>
      </c>
      <c r="B1281" s="7" t="s">
        <v>203</v>
      </c>
      <c r="C1281" s="7"/>
      <c r="D1281" s="7" t="s">
        <v>204</v>
      </c>
      <c r="E1281" s="7" t="s">
        <v>322</v>
      </c>
      <c r="F1281" s="8">
        <f>_xlfn.IFNA(INDEX('HS Codes'!$D$2:$K3835,MATCH($B1281,'HS Codes'!$A$2:$A3835,0),MATCH(F$1,'HS Codes'!$D$1:$K$1,0)),"")</f>
        <v>0</v>
      </c>
      <c r="G1281" s="8">
        <f>_xlfn.IFNA(INDEX('HS Codes'!$D$2:$K3835,MATCH($B1281,'HS Codes'!$A$2:$A3835,0),MATCH(G$1,'HS Codes'!$D$1:$K$1,0)),"")</f>
        <v>0</v>
      </c>
      <c r="H1281" s="8">
        <f>_xlfn.IFNA(INDEX('HS Codes'!$D$2:$K3835,MATCH($B1281,'HS Codes'!$A$2:$A3835,0),MATCH(H$1,'HS Codes'!$D$1:$K$1,0)),"")</f>
        <v>0</v>
      </c>
      <c r="I1281" s="8">
        <f>_xlfn.IFNA(INDEX('HS Codes'!$D$2:$K3835,MATCH($B1281,'HS Codes'!$A$2:$A3835,0),MATCH(I$1,'HS Codes'!$D$1:$K$1,0)),"")</f>
        <v>0</v>
      </c>
      <c r="J1281" s="8">
        <f>_xlfn.IFNA(INDEX('HS Codes'!$D$2:$K3835,MATCH($B1281,'HS Codes'!$A$2:$A3835,0),MATCH(J$1,'HS Codes'!$D$1:$K$1,0)),"")</f>
        <v>0</v>
      </c>
      <c r="K1281" s="8">
        <f>_xlfn.IFNA(INDEX('HS Codes'!$D$2:$K3835,MATCH($B1281,'HS Codes'!$A$2:$A3835,0),MATCH(K$1,'HS Codes'!$D$1:$K$1,0)),"")</f>
        <v>0</v>
      </c>
      <c r="L1281" s="8">
        <f>_xlfn.IFNA(INDEX('HS Codes'!$D$2:$K3835,MATCH($B1281,'HS Codes'!$A$2:$A3835,0),MATCH(L$1,'HS Codes'!$D$1:$K$1,0)),"")</f>
        <v>0</v>
      </c>
      <c r="M1281" s="8">
        <f>_xlfn.IFNA(INDEX('HS Codes'!$C$2:$C3835,MATCH($B1281,'HS Codes'!$A$2:$A3835,0)),"")</f>
        <v>0</v>
      </c>
      <c r="N1281" s="9"/>
      <c r="O1281" s="9"/>
      <c r="P1281" s="9"/>
      <c r="Q1281" s="9"/>
    </row>
    <row r="1282" spans="1:17" ht="15.75" customHeight="1">
      <c r="A1282" s="7" t="s">
        <v>1575</v>
      </c>
      <c r="B1282" s="7" t="s">
        <v>205</v>
      </c>
      <c r="C1282" s="7"/>
      <c r="D1282" s="7" t="s">
        <v>206</v>
      </c>
      <c r="E1282" s="7" t="s">
        <v>322</v>
      </c>
      <c r="F1282" s="8">
        <f>_xlfn.IFNA(INDEX('HS Codes'!$D$2:$K3836,MATCH($B1282,'HS Codes'!$A$2:$A3836,0),MATCH(F$1,'HS Codes'!$D$1:$K$1,0)),"")</f>
        <v>0</v>
      </c>
      <c r="G1282" s="8">
        <f>_xlfn.IFNA(INDEX('HS Codes'!$D$2:$K3836,MATCH($B1282,'HS Codes'!$A$2:$A3836,0),MATCH(G$1,'HS Codes'!$D$1:$K$1,0)),"")</f>
        <v>0</v>
      </c>
      <c r="H1282" s="8">
        <f>_xlfn.IFNA(INDEX('HS Codes'!$D$2:$K3836,MATCH($B1282,'HS Codes'!$A$2:$A3836,0),MATCH(H$1,'HS Codes'!$D$1:$K$1,0)),"")</f>
        <v>0</v>
      </c>
      <c r="I1282" s="8">
        <f>_xlfn.IFNA(INDEX('HS Codes'!$D$2:$K3836,MATCH($B1282,'HS Codes'!$A$2:$A3836,0),MATCH(I$1,'HS Codes'!$D$1:$K$1,0)),"")</f>
        <v>0</v>
      </c>
      <c r="J1282" s="8">
        <f>_xlfn.IFNA(INDEX('HS Codes'!$D$2:$K3836,MATCH($B1282,'HS Codes'!$A$2:$A3836,0),MATCH(J$1,'HS Codes'!$D$1:$K$1,0)),"")</f>
        <v>0</v>
      </c>
      <c r="K1282" s="8">
        <f>_xlfn.IFNA(INDEX('HS Codes'!$D$2:$K3836,MATCH($B1282,'HS Codes'!$A$2:$A3836,0),MATCH(K$1,'HS Codes'!$D$1:$K$1,0)),"")</f>
        <v>0</v>
      </c>
      <c r="L1282" s="8">
        <f>_xlfn.IFNA(INDEX('HS Codes'!$D$2:$K3836,MATCH($B1282,'HS Codes'!$A$2:$A3836,0),MATCH(L$1,'HS Codes'!$D$1:$K$1,0)),"")</f>
        <v>0</v>
      </c>
      <c r="M1282" s="8">
        <f>_xlfn.IFNA(INDEX('HS Codes'!$C$2:$C3836,MATCH($B1282,'HS Codes'!$A$2:$A3836,0)),"")</f>
        <v>0</v>
      </c>
      <c r="N1282" s="9"/>
      <c r="O1282" s="9"/>
      <c r="P1282" s="9"/>
      <c r="Q1282" s="9"/>
    </row>
    <row r="1283" spans="1:17" ht="15.75" customHeight="1">
      <c r="A1283" s="7" t="s">
        <v>1576</v>
      </c>
      <c r="B1283" s="7" t="s">
        <v>205</v>
      </c>
      <c r="C1283" s="7"/>
      <c r="D1283" s="7" t="s">
        <v>206</v>
      </c>
      <c r="E1283" s="7" t="s">
        <v>322</v>
      </c>
      <c r="F1283" s="8">
        <f>_xlfn.IFNA(INDEX('HS Codes'!$D$2:$K3837,MATCH($B1283,'HS Codes'!$A$2:$A3837,0),MATCH(F$1,'HS Codes'!$D$1:$K$1,0)),"")</f>
        <v>0</v>
      </c>
      <c r="G1283" s="8">
        <f>_xlfn.IFNA(INDEX('HS Codes'!$D$2:$K3837,MATCH($B1283,'HS Codes'!$A$2:$A3837,0),MATCH(G$1,'HS Codes'!$D$1:$K$1,0)),"")</f>
        <v>0</v>
      </c>
      <c r="H1283" s="8">
        <f>_xlfn.IFNA(INDEX('HS Codes'!$D$2:$K3837,MATCH($B1283,'HS Codes'!$A$2:$A3837,0),MATCH(H$1,'HS Codes'!$D$1:$K$1,0)),"")</f>
        <v>0</v>
      </c>
      <c r="I1283" s="8">
        <f>_xlfn.IFNA(INDEX('HS Codes'!$D$2:$K3837,MATCH($B1283,'HS Codes'!$A$2:$A3837,0),MATCH(I$1,'HS Codes'!$D$1:$K$1,0)),"")</f>
        <v>0</v>
      </c>
      <c r="J1283" s="8">
        <f>_xlfn.IFNA(INDEX('HS Codes'!$D$2:$K3837,MATCH($B1283,'HS Codes'!$A$2:$A3837,0),MATCH(J$1,'HS Codes'!$D$1:$K$1,0)),"")</f>
        <v>0</v>
      </c>
      <c r="K1283" s="8">
        <f>_xlfn.IFNA(INDEX('HS Codes'!$D$2:$K3837,MATCH($B1283,'HS Codes'!$A$2:$A3837,0),MATCH(K$1,'HS Codes'!$D$1:$K$1,0)),"")</f>
        <v>0</v>
      </c>
      <c r="L1283" s="8">
        <f>_xlfn.IFNA(INDEX('HS Codes'!$D$2:$K3837,MATCH($B1283,'HS Codes'!$A$2:$A3837,0),MATCH(L$1,'HS Codes'!$D$1:$K$1,0)),"")</f>
        <v>0</v>
      </c>
      <c r="M1283" s="8">
        <f>_xlfn.IFNA(INDEX('HS Codes'!$C$2:$C3837,MATCH($B1283,'HS Codes'!$A$2:$A3837,0)),"")</f>
        <v>0</v>
      </c>
      <c r="N1283" s="9"/>
      <c r="O1283" s="9"/>
      <c r="P1283" s="9"/>
      <c r="Q1283" s="9"/>
    </row>
    <row r="1284" spans="1:17" ht="15.75" customHeight="1">
      <c r="A1284" s="7" t="s">
        <v>1577</v>
      </c>
      <c r="B1284" s="7" t="s">
        <v>205</v>
      </c>
      <c r="C1284" s="7"/>
      <c r="D1284" s="7" t="s">
        <v>206</v>
      </c>
      <c r="E1284" s="7" t="s">
        <v>322</v>
      </c>
      <c r="F1284" s="8">
        <f>_xlfn.IFNA(INDEX('HS Codes'!$D$2:$K3838,MATCH($B1284,'HS Codes'!$A$2:$A3838,0),MATCH(F$1,'HS Codes'!$D$1:$K$1,0)),"")</f>
        <v>0</v>
      </c>
      <c r="G1284" s="8">
        <f>_xlfn.IFNA(INDEX('HS Codes'!$D$2:$K3838,MATCH($B1284,'HS Codes'!$A$2:$A3838,0),MATCH(G$1,'HS Codes'!$D$1:$K$1,0)),"")</f>
        <v>0</v>
      </c>
      <c r="H1284" s="8">
        <f>_xlfn.IFNA(INDEX('HS Codes'!$D$2:$K3838,MATCH($B1284,'HS Codes'!$A$2:$A3838,0),MATCH(H$1,'HS Codes'!$D$1:$K$1,0)),"")</f>
        <v>0</v>
      </c>
      <c r="I1284" s="8">
        <f>_xlfn.IFNA(INDEX('HS Codes'!$D$2:$K3838,MATCH($B1284,'HS Codes'!$A$2:$A3838,0),MATCH(I$1,'HS Codes'!$D$1:$K$1,0)),"")</f>
        <v>0</v>
      </c>
      <c r="J1284" s="8">
        <f>_xlfn.IFNA(INDEX('HS Codes'!$D$2:$K3838,MATCH($B1284,'HS Codes'!$A$2:$A3838,0),MATCH(J$1,'HS Codes'!$D$1:$K$1,0)),"")</f>
        <v>0</v>
      </c>
      <c r="K1284" s="8">
        <f>_xlfn.IFNA(INDEX('HS Codes'!$D$2:$K3838,MATCH($B1284,'HS Codes'!$A$2:$A3838,0),MATCH(K$1,'HS Codes'!$D$1:$K$1,0)),"")</f>
        <v>0</v>
      </c>
      <c r="L1284" s="8">
        <f>_xlfn.IFNA(INDEX('HS Codes'!$D$2:$K3838,MATCH($B1284,'HS Codes'!$A$2:$A3838,0),MATCH(L$1,'HS Codes'!$D$1:$K$1,0)),"")</f>
        <v>0</v>
      </c>
      <c r="M1284" s="8">
        <f>_xlfn.IFNA(INDEX('HS Codes'!$C$2:$C3838,MATCH($B1284,'HS Codes'!$A$2:$A3838,0)),"")</f>
        <v>0</v>
      </c>
      <c r="N1284" s="9"/>
      <c r="O1284" s="9"/>
      <c r="P1284" s="9"/>
      <c r="Q1284" s="9"/>
    </row>
    <row r="1285" spans="1:17" ht="15.75" customHeight="1">
      <c r="A1285" s="7" t="s">
        <v>1578</v>
      </c>
      <c r="B1285" s="7" t="s">
        <v>205</v>
      </c>
      <c r="C1285" s="7"/>
      <c r="D1285" s="7" t="s">
        <v>206</v>
      </c>
      <c r="E1285" s="7" t="s">
        <v>322</v>
      </c>
      <c r="F1285" s="8">
        <f>_xlfn.IFNA(INDEX('HS Codes'!$D$2:$K3839,MATCH($B1285,'HS Codes'!$A$2:$A3839,0),MATCH(F$1,'HS Codes'!$D$1:$K$1,0)),"")</f>
        <v>0</v>
      </c>
      <c r="G1285" s="8">
        <f>_xlfn.IFNA(INDEX('HS Codes'!$D$2:$K3839,MATCH($B1285,'HS Codes'!$A$2:$A3839,0),MATCH(G$1,'HS Codes'!$D$1:$K$1,0)),"")</f>
        <v>0</v>
      </c>
      <c r="H1285" s="8">
        <f>_xlfn.IFNA(INDEX('HS Codes'!$D$2:$K3839,MATCH($B1285,'HS Codes'!$A$2:$A3839,0),MATCH(H$1,'HS Codes'!$D$1:$K$1,0)),"")</f>
        <v>0</v>
      </c>
      <c r="I1285" s="8">
        <f>_xlfn.IFNA(INDEX('HS Codes'!$D$2:$K3839,MATCH($B1285,'HS Codes'!$A$2:$A3839,0),MATCH(I$1,'HS Codes'!$D$1:$K$1,0)),"")</f>
        <v>0</v>
      </c>
      <c r="J1285" s="8">
        <f>_xlfn.IFNA(INDEX('HS Codes'!$D$2:$K3839,MATCH($B1285,'HS Codes'!$A$2:$A3839,0),MATCH(J$1,'HS Codes'!$D$1:$K$1,0)),"")</f>
        <v>0</v>
      </c>
      <c r="K1285" s="8">
        <f>_xlfn.IFNA(INDEX('HS Codes'!$D$2:$K3839,MATCH($B1285,'HS Codes'!$A$2:$A3839,0),MATCH(K$1,'HS Codes'!$D$1:$K$1,0)),"")</f>
        <v>0</v>
      </c>
      <c r="L1285" s="8">
        <f>_xlfn.IFNA(INDEX('HS Codes'!$D$2:$K3839,MATCH($B1285,'HS Codes'!$A$2:$A3839,0),MATCH(L$1,'HS Codes'!$D$1:$K$1,0)),"")</f>
        <v>0</v>
      </c>
      <c r="M1285" s="8">
        <f>_xlfn.IFNA(INDEX('HS Codes'!$C$2:$C3839,MATCH($B1285,'HS Codes'!$A$2:$A3839,0)),"")</f>
        <v>0</v>
      </c>
      <c r="N1285" s="9"/>
      <c r="O1285" s="9"/>
      <c r="P1285" s="9"/>
      <c r="Q1285" s="9"/>
    </row>
    <row r="1286" spans="1:17" ht="15.75" customHeight="1">
      <c r="A1286" s="7" t="s">
        <v>1579</v>
      </c>
      <c r="B1286" s="7" t="s">
        <v>150</v>
      </c>
      <c r="C1286" s="7"/>
      <c r="D1286" s="7" t="s">
        <v>151</v>
      </c>
      <c r="E1286" s="7" t="s">
        <v>151</v>
      </c>
      <c r="F1286" s="8" t="str">
        <f>_xlfn.IFNA(INDEX('HS Codes'!$D$2:$K3840,MATCH($B1286,'HS Codes'!$A$2:$A3840,0),MATCH(F$1,'HS Codes'!$D$1:$K$1,0)),"")</f>
        <v>6208.92.0010</v>
      </c>
      <c r="G1286" s="8">
        <f>_xlfn.IFNA(INDEX('HS Codes'!$D$2:$K3840,MATCH($B1286,'HS Codes'!$A$2:$A3840,0),MATCH(G$1,'HS Codes'!$D$1:$K$1,0)),"")</f>
        <v>6208110000</v>
      </c>
      <c r="H1286" s="8" t="str">
        <f>_xlfn.IFNA(INDEX('HS Codes'!$D$2:$K3840,MATCH($B1286,'HS Codes'!$A$2:$A3840,0),MATCH(H$1,'HS Codes'!$D$1:$K$1,0)),"")</f>
        <v>6208.92.00.00</v>
      </c>
      <c r="I1286" s="8">
        <f>_xlfn.IFNA(INDEX('HS Codes'!$D$2:$K3840,MATCH($B1286,'HS Codes'!$A$2:$A3840,0),MATCH(I$1,'HS Codes'!$D$1:$K$1,0)),"")</f>
        <v>6208990099</v>
      </c>
      <c r="J1286" s="8">
        <f>_xlfn.IFNA(INDEX('HS Codes'!$D$2:$K3840,MATCH($B1286,'HS Codes'!$A$2:$A3840,0),MATCH(J$1,'HS Codes'!$D$1:$K$1,0)),"")</f>
        <v>0</v>
      </c>
      <c r="K1286" s="8" t="str">
        <f>_xlfn.IFNA(INDEX('HS Codes'!$D$2:$K3840,MATCH($B1286,'HS Codes'!$A$2:$A3840,0),MATCH(K$1,'HS Codes'!$D$1:$K$1,0)),"")</f>
        <v>6208.11.00</v>
      </c>
      <c r="L1286" s="8">
        <f>_xlfn.IFNA(INDEX('HS Codes'!$D$2:$K3840,MATCH($B1286,'HS Codes'!$A$2:$A3840,0),MATCH(L$1,'HS Codes'!$D$1:$K$1,0)),"")</f>
        <v>62089200</v>
      </c>
      <c r="M1286" s="8" t="str">
        <f>_xlfn.IFNA(INDEX('HS Codes'!$C$2:$C3840,MATCH($B1286,'HS Codes'!$A$2:$A3840,0)),"")</f>
        <v>Bathrobe 100% recycled 220 GSM/83% polyester/17% polyamide includes cotton on the packing pouch drawstring</v>
      </c>
      <c r="N1286" s="9"/>
      <c r="O1286" s="9"/>
      <c r="P1286" s="9"/>
      <c r="Q1286" s="9"/>
    </row>
    <row r="1287" spans="1:17" ht="15.75" customHeight="1">
      <c r="A1287" s="7" t="s">
        <v>1580</v>
      </c>
      <c r="B1287" s="7" t="s">
        <v>150</v>
      </c>
      <c r="C1287" s="7"/>
      <c r="D1287" s="7" t="s">
        <v>151</v>
      </c>
      <c r="E1287" s="7" t="s">
        <v>151</v>
      </c>
      <c r="F1287" s="8" t="str">
        <f>_xlfn.IFNA(INDEX('HS Codes'!$D$2:$K3841,MATCH($B1287,'HS Codes'!$A$2:$A3841,0),MATCH(F$1,'HS Codes'!$D$1:$K$1,0)),"")</f>
        <v>6208.92.0010</v>
      </c>
      <c r="G1287" s="8">
        <f>_xlfn.IFNA(INDEX('HS Codes'!$D$2:$K3841,MATCH($B1287,'HS Codes'!$A$2:$A3841,0),MATCH(G$1,'HS Codes'!$D$1:$K$1,0)),"")</f>
        <v>6208110000</v>
      </c>
      <c r="H1287" s="8" t="str">
        <f>_xlfn.IFNA(INDEX('HS Codes'!$D$2:$K3841,MATCH($B1287,'HS Codes'!$A$2:$A3841,0),MATCH(H$1,'HS Codes'!$D$1:$K$1,0)),"")</f>
        <v>6208.92.00.00</v>
      </c>
      <c r="I1287" s="8">
        <f>_xlfn.IFNA(INDEX('HS Codes'!$D$2:$K3841,MATCH($B1287,'HS Codes'!$A$2:$A3841,0),MATCH(I$1,'HS Codes'!$D$1:$K$1,0)),"")</f>
        <v>6208990099</v>
      </c>
      <c r="J1287" s="8">
        <f>_xlfn.IFNA(INDEX('HS Codes'!$D$2:$K3841,MATCH($B1287,'HS Codes'!$A$2:$A3841,0),MATCH(J$1,'HS Codes'!$D$1:$K$1,0)),"")</f>
        <v>0</v>
      </c>
      <c r="K1287" s="8" t="str">
        <f>_xlfn.IFNA(INDEX('HS Codes'!$D$2:$K3841,MATCH($B1287,'HS Codes'!$A$2:$A3841,0),MATCH(K$1,'HS Codes'!$D$1:$K$1,0)),"")</f>
        <v>6208.11.00</v>
      </c>
      <c r="L1287" s="8">
        <f>_xlfn.IFNA(INDEX('HS Codes'!$D$2:$K3841,MATCH($B1287,'HS Codes'!$A$2:$A3841,0),MATCH(L$1,'HS Codes'!$D$1:$K$1,0)),"")</f>
        <v>62089200</v>
      </c>
      <c r="M1287" s="8" t="str">
        <f>_xlfn.IFNA(INDEX('HS Codes'!$C$2:$C3841,MATCH($B1287,'HS Codes'!$A$2:$A3841,0)),"")</f>
        <v>Bathrobe 100% recycled 220 GSM/83% polyester/17% polyamide includes cotton on the packing pouch drawstring</v>
      </c>
      <c r="N1287" s="9"/>
      <c r="O1287" s="9"/>
      <c r="P1287" s="9"/>
      <c r="Q1287" s="9"/>
    </row>
    <row r="1288" spans="1:17" ht="15.75" customHeight="1">
      <c r="A1288" s="7" t="s">
        <v>1581</v>
      </c>
      <c r="B1288" s="7" t="s">
        <v>150</v>
      </c>
      <c r="C1288" s="7"/>
      <c r="D1288" s="7" t="s">
        <v>151</v>
      </c>
      <c r="E1288" s="7" t="s">
        <v>151</v>
      </c>
      <c r="F1288" s="8" t="str">
        <f>_xlfn.IFNA(INDEX('HS Codes'!$D$2:$K3842,MATCH($B1288,'HS Codes'!$A$2:$A3842,0),MATCH(F$1,'HS Codes'!$D$1:$K$1,0)),"")</f>
        <v>6208.92.0010</v>
      </c>
      <c r="G1288" s="8">
        <f>_xlfn.IFNA(INDEX('HS Codes'!$D$2:$K3842,MATCH($B1288,'HS Codes'!$A$2:$A3842,0),MATCH(G$1,'HS Codes'!$D$1:$K$1,0)),"")</f>
        <v>6208110000</v>
      </c>
      <c r="H1288" s="8" t="str">
        <f>_xlfn.IFNA(INDEX('HS Codes'!$D$2:$K3842,MATCH($B1288,'HS Codes'!$A$2:$A3842,0),MATCH(H$1,'HS Codes'!$D$1:$K$1,0)),"")</f>
        <v>6208.92.00.00</v>
      </c>
      <c r="I1288" s="8">
        <f>_xlfn.IFNA(INDEX('HS Codes'!$D$2:$K3842,MATCH($B1288,'HS Codes'!$A$2:$A3842,0),MATCH(I$1,'HS Codes'!$D$1:$K$1,0)),"")</f>
        <v>6208990099</v>
      </c>
      <c r="J1288" s="8">
        <f>_xlfn.IFNA(INDEX('HS Codes'!$D$2:$K3842,MATCH($B1288,'HS Codes'!$A$2:$A3842,0),MATCH(J$1,'HS Codes'!$D$1:$K$1,0)),"")</f>
        <v>0</v>
      </c>
      <c r="K1288" s="8" t="str">
        <f>_xlfn.IFNA(INDEX('HS Codes'!$D$2:$K3842,MATCH($B1288,'HS Codes'!$A$2:$A3842,0),MATCH(K$1,'HS Codes'!$D$1:$K$1,0)),"")</f>
        <v>6208.11.00</v>
      </c>
      <c r="L1288" s="8">
        <f>_xlfn.IFNA(INDEX('HS Codes'!$D$2:$K3842,MATCH($B1288,'HS Codes'!$A$2:$A3842,0),MATCH(L$1,'HS Codes'!$D$1:$K$1,0)),"")</f>
        <v>62089200</v>
      </c>
      <c r="M1288" s="8" t="str">
        <f>_xlfn.IFNA(INDEX('HS Codes'!$C$2:$C3842,MATCH($B1288,'HS Codes'!$A$2:$A3842,0)),"")</f>
        <v>Bathrobe 100% recycled 220 GSM/83% polyester/17% polyamide includes cotton on the packing pouch drawstring</v>
      </c>
      <c r="N1288" s="9"/>
      <c r="O1288" s="9"/>
      <c r="P1288" s="9"/>
      <c r="Q1288" s="9"/>
    </row>
    <row r="1289" spans="1:17" ht="15.75" customHeight="1">
      <c r="A1289" s="7" t="s">
        <v>1582</v>
      </c>
      <c r="B1289" s="7" t="s">
        <v>209</v>
      </c>
      <c r="C1289" s="7"/>
      <c r="D1289" s="7" t="s">
        <v>210</v>
      </c>
      <c r="E1289" s="7" t="s">
        <v>322</v>
      </c>
      <c r="F1289" s="8">
        <f>_xlfn.IFNA(INDEX('HS Codes'!$D$2:$K3843,MATCH($B1289,'HS Codes'!$A$2:$A3843,0),MATCH(F$1,'HS Codes'!$D$1:$K$1,0)),"")</f>
        <v>0</v>
      </c>
      <c r="G1289" s="8">
        <f>_xlfn.IFNA(INDEX('HS Codes'!$D$2:$K3843,MATCH($B1289,'HS Codes'!$A$2:$A3843,0),MATCH(G$1,'HS Codes'!$D$1:$K$1,0)),"")</f>
        <v>0</v>
      </c>
      <c r="H1289" s="8">
        <f>_xlfn.IFNA(INDEX('HS Codes'!$D$2:$K3843,MATCH($B1289,'HS Codes'!$A$2:$A3843,0),MATCH(H$1,'HS Codes'!$D$1:$K$1,0)),"")</f>
        <v>0</v>
      </c>
      <c r="I1289" s="8">
        <f>_xlfn.IFNA(INDEX('HS Codes'!$D$2:$K3843,MATCH($B1289,'HS Codes'!$A$2:$A3843,0),MATCH(I$1,'HS Codes'!$D$1:$K$1,0)),"")</f>
        <v>0</v>
      </c>
      <c r="J1289" s="8">
        <f>_xlfn.IFNA(INDEX('HS Codes'!$D$2:$K3843,MATCH($B1289,'HS Codes'!$A$2:$A3843,0),MATCH(J$1,'HS Codes'!$D$1:$K$1,0)),"")</f>
        <v>0</v>
      </c>
      <c r="K1289" s="8">
        <f>_xlfn.IFNA(INDEX('HS Codes'!$D$2:$K3843,MATCH($B1289,'HS Codes'!$A$2:$A3843,0),MATCH(K$1,'HS Codes'!$D$1:$K$1,0)),"")</f>
        <v>0</v>
      </c>
      <c r="L1289" s="8">
        <f>_xlfn.IFNA(INDEX('HS Codes'!$D$2:$K3843,MATCH($B1289,'HS Codes'!$A$2:$A3843,0),MATCH(L$1,'HS Codes'!$D$1:$K$1,0)),"")</f>
        <v>0</v>
      </c>
      <c r="M1289" s="8">
        <f>_xlfn.IFNA(INDEX('HS Codes'!$C$2:$C3843,MATCH($B1289,'HS Codes'!$A$2:$A3843,0)),"")</f>
        <v>0</v>
      </c>
      <c r="N1289" s="9"/>
      <c r="O1289" s="9"/>
      <c r="P1289" s="9"/>
      <c r="Q1289" s="9"/>
    </row>
    <row r="1290" spans="1:17" ht="15.75" customHeight="1">
      <c r="A1290" s="7" t="s">
        <v>1583</v>
      </c>
      <c r="B1290" s="7" t="s">
        <v>209</v>
      </c>
      <c r="C1290" s="7"/>
      <c r="D1290" s="7" t="s">
        <v>210</v>
      </c>
      <c r="E1290" s="7" t="s">
        <v>322</v>
      </c>
      <c r="F1290" s="8">
        <f>_xlfn.IFNA(INDEX('HS Codes'!$D$2:$K3844,MATCH($B1290,'HS Codes'!$A$2:$A3844,0),MATCH(F$1,'HS Codes'!$D$1:$K$1,0)),"")</f>
        <v>0</v>
      </c>
      <c r="G1290" s="8">
        <f>_xlfn.IFNA(INDEX('HS Codes'!$D$2:$K3844,MATCH($B1290,'HS Codes'!$A$2:$A3844,0),MATCH(G$1,'HS Codes'!$D$1:$K$1,0)),"")</f>
        <v>0</v>
      </c>
      <c r="H1290" s="8">
        <f>_xlfn.IFNA(INDEX('HS Codes'!$D$2:$K3844,MATCH($B1290,'HS Codes'!$A$2:$A3844,0),MATCH(H$1,'HS Codes'!$D$1:$K$1,0)),"")</f>
        <v>0</v>
      </c>
      <c r="I1290" s="8">
        <f>_xlfn.IFNA(INDEX('HS Codes'!$D$2:$K3844,MATCH($B1290,'HS Codes'!$A$2:$A3844,0),MATCH(I$1,'HS Codes'!$D$1:$K$1,0)),"")</f>
        <v>0</v>
      </c>
      <c r="J1290" s="8">
        <f>_xlfn.IFNA(INDEX('HS Codes'!$D$2:$K3844,MATCH($B1290,'HS Codes'!$A$2:$A3844,0),MATCH(J$1,'HS Codes'!$D$1:$K$1,0)),"")</f>
        <v>0</v>
      </c>
      <c r="K1290" s="8">
        <f>_xlfn.IFNA(INDEX('HS Codes'!$D$2:$K3844,MATCH($B1290,'HS Codes'!$A$2:$A3844,0),MATCH(K$1,'HS Codes'!$D$1:$K$1,0)),"")</f>
        <v>0</v>
      </c>
      <c r="L1290" s="8">
        <f>_xlfn.IFNA(INDEX('HS Codes'!$D$2:$K3844,MATCH($B1290,'HS Codes'!$A$2:$A3844,0),MATCH(L$1,'HS Codes'!$D$1:$K$1,0)),"")</f>
        <v>0</v>
      </c>
      <c r="M1290" s="8">
        <f>_xlfn.IFNA(INDEX('HS Codes'!$C$2:$C3844,MATCH($B1290,'HS Codes'!$A$2:$A3844,0)),"")</f>
        <v>0</v>
      </c>
      <c r="N1290" s="9"/>
      <c r="O1290" s="9"/>
      <c r="P1290" s="9"/>
      <c r="Q1290" s="9"/>
    </row>
    <row r="1291" spans="1:17" ht="15.75" customHeight="1">
      <c r="A1291" s="7" t="s">
        <v>1584</v>
      </c>
      <c r="B1291" s="7" t="s">
        <v>209</v>
      </c>
      <c r="C1291" s="7"/>
      <c r="D1291" s="7" t="s">
        <v>210</v>
      </c>
      <c r="E1291" s="7" t="s">
        <v>322</v>
      </c>
      <c r="F1291" s="8">
        <f>_xlfn.IFNA(INDEX('HS Codes'!$D$2:$K3845,MATCH($B1291,'HS Codes'!$A$2:$A3845,0),MATCH(F$1,'HS Codes'!$D$1:$K$1,0)),"")</f>
        <v>0</v>
      </c>
      <c r="G1291" s="8">
        <f>_xlfn.IFNA(INDEX('HS Codes'!$D$2:$K3845,MATCH($B1291,'HS Codes'!$A$2:$A3845,0),MATCH(G$1,'HS Codes'!$D$1:$K$1,0)),"")</f>
        <v>0</v>
      </c>
      <c r="H1291" s="8">
        <f>_xlfn.IFNA(INDEX('HS Codes'!$D$2:$K3845,MATCH($B1291,'HS Codes'!$A$2:$A3845,0),MATCH(H$1,'HS Codes'!$D$1:$K$1,0)),"")</f>
        <v>0</v>
      </c>
      <c r="I1291" s="8">
        <f>_xlfn.IFNA(INDEX('HS Codes'!$D$2:$K3845,MATCH($B1291,'HS Codes'!$A$2:$A3845,0),MATCH(I$1,'HS Codes'!$D$1:$K$1,0)),"")</f>
        <v>0</v>
      </c>
      <c r="J1291" s="8">
        <f>_xlfn.IFNA(INDEX('HS Codes'!$D$2:$K3845,MATCH($B1291,'HS Codes'!$A$2:$A3845,0),MATCH(J$1,'HS Codes'!$D$1:$K$1,0)),"")</f>
        <v>0</v>
      </c>
      <c r="K1291" s="8">
        <f>_xlfn.IFNA(INDEX('HS Codes'!$D$2:$K3845,MATCH($B1291,'HS Codes'!$A$2:$A3845,0),MATCH(K$1,'HS Codes'!$D$1:$K$1,0)),"")</f>
        <v>0</v>
      </c>
      <c r="L1291" s="8">
        <f>_xlfn.IFNA(INDEX('HS Codes'!$D$2:$K3845,MATCH($B1291,'HS Codes'!$A$2:$A3845,0),MATCH(L$1,'HS Codes'!$D$1:$K$1,0)),"")</f>
        <v>0</v>
      </c>
      <c r="M1291" s="8">
        <f>_xlfn.IFNA(INDEX('HS Codes'!$C$2:$C3845,MATCH($B1291,'HS Codes'!$A$2:$A3845,0)),"")</f>
        <v>0</v>
      </c>
      <c r="N1291" s="9"/>
      <c r="O1291" s="9"/>
      <c r="P1291" s="9"/>
      <c r="Q1291" s="9"/>
    </row>
    <row r="1292" spans="1:17" ht="15.75" customHeight="1">
      <c r="A1292" s="7" t="s">
        <v>1585</v>
      </c>
      <c r="B1292" s="7" t="s">
        <v>209</v>
      </c>
      <c r="C1292" s="7"/>
      <c r="D1292" s="7" t="s">
        <v>210</v>
      </c>
      <c r="E1292" s="7" t="s">
        <v>322</v>
      </c>
      <c r="F1292" s="8">
        <f>_xlfn.IFNA(INDEX('HS Codes'!$D$2:$K3846,MATCH($B1292,'HS Codes'!$A$2:$A3846,0),MATCH(F$1,'HS Codes'!$D$1:$K$1,0)),"")</f>
        <v>0</v>
      </c>
      <c r="G1292" s="8">
        <f>_xlfn.IFNA(INDEX('HS Codes'!$D$2:$K3846,MATCH($B1292,'HS Codes'!$A$2:$A3846,0),MATCH(G$1,'HS Codes'!$D$1:$K$1,0)),"")</f>
        <v>0</v>
      </c>
      <c r="H1292" s="8">
        <f>_xlfn.IFNA(INDEX('HS Codes'!$D$2:$K3846,MATCH($B1292,'HS Codes'!$A$2:$A3846,0),MATCH(H$1,'HS Codes'!$D$1:$K$1,0)),"")</f>
        <v>0</v>
      </c>
      <c r="I1292" s="8">
        <f>_xlfn.IFNA(INDEX('HS Codes'!$D$2:$K3846,MATCH($B1292,'HS Codes'!$A$2:$A3846,0),MATCH(I$1,'HS Codes'!$D$1:$K$1,0)),"")</f>
        <v>0</v>
      </c>
      <c r="J1292" s="8">
        <f>_xlfn.IFNA(INDEX('HS Codes'!$D$2:$K3846,MATCH($B1292,'HS Codes'!$A$2:$A3846,0),MATCH(J$1,'HS Codes'!$D$1:$K$1,0)),"")</f>
        <v>0</v>
      </c>
      <c r="K1292" s="8">
        <f>_xlfn.IFNA(INDEX('HS Codes'!$D$2:$K3846,MATCH($B1292,'HS Codes'!$A$2:$A3846,0),MATCH(K$1,'HS Codes'!$D$1:$K$1,0)),"")</f>
        <v>0</v>
      </c>
      <c r="L1292" s="8">
        <f>_xlfn.IFNA(INDEX('HS Codes'!$D$2:$K3846,MATCH($B1292,'HS Codes'!$A$2:$A3846,0),MATCH(L$1,'HS Codes'!$D$1:$K$1,0)),"")</f>
        <v>0</v>
      </c>
      <c r="M1292" s="8">
        <f>_xlfn.IFNA(INDEX('HS Codes'!$C$2:$C3846,MATCH($B1292,'HS Codes'!$A$2:$A3846,0)),"")</f>
        <v>0</v>
      </c>
      <c r="N1292" s="9"/>
      <c r="O1292" s="9"/>
      <c r="P1292" s="9"/>
      <c r="Q1292" s="9"/>
    </row>
    <row r="1293" spans="1:17" ht="15.75" customHeight="1">
      <c r="A1293" s="7" t="s">
        <v>1586</v>
      </c>
      <c r="B1293" s="7" t="s">
        <v>164</v>
      </c>
      <c r="C1293" s="7" t="s">
        <v>278</v>
      </c>
      <c r="D1293" s="7" t="s">
        <v>165</v>
      </c>
      <c r="E1293" s="7" t="s">
        <v>348</v>
      </c>
      <c r="F1293" s="8" t="str">
        <f>_xlfn.IFNA(INDEX('HS Codes'!$D$2:$K3847,MATCH($B1293,'HS Codes'!$A$2:$A3847,0),MATCH(F$1,'HS Codes'!$D$1:$K$1,0)),"")</f>
        <v>6302.93.2000</v>
      </c>
      <c r="G1293" s="8">
        <f>_xlfn.IFNA(INDEX('HS Codes'!$D$2:$K3847,MATCH($B1293,'HS Codes'!$A$2:$A3847,0),MATCH(G$1,'HS Codes'!$D$1:$K$1,0)),"")</f>
        <v>6302600090</v>
      </c>
      <c r="H1293" s="8" t="str">
        <f>_xlfn.IFNA(INDEX('HS Codes'!$D$2:$K3847,MATCH($B1293,'HS Codes'!$A$2:$A3847,0),MATCH(H$1,'HS Codes'!$D$1:$K$1,0)),"")</f>
        <v>6302.93.00.00</v>
      </c>
      <c r="I1293" s="8">
        <f>_xlfn.IFNA(INDEX('HS Codes'!$D$2:$K3847,MATCH($B1293,'HS Codes'!$A$2:$A3847,0),MATCH(I$1,'HS Codes'!$D$1:$K$1,0)),"")</f>
        <v>63029390</v>
      </c>
      <c r="J1293" s="8">
        <f>_xlfn.IFNA(INDEX('HS Codes'!$D$2:$K3847,MATCH($B1293,'HS Codes'!$A$2:$A3847,0),MATCH(J$1,'HS Codes'!$D$1:$K$1,0)),"")</f>
        <v>0</v>
      </c>
      <c r="K1293" s="8" t="str">
        <f>_xlfn.IFNA(INDEX('HS Codes'!$D$2:$K3847,MATCH($B1293,'HS Codes'!$A$2:$A3847,0),MATCH(K$1,'HS Codes'!$D$1:$K$1,0)),"")</f>
        <v>6302.39.00</v>
      </c>
      <c r="L1293" s="8">
        <f>_xlfn.IFNA(INDEX('HS Codes'!$D$2:$K3847,MATCH($B1293,'HS Codes'!$A$2:$A3847,0),MATCH(L$1,'HS Codes'!$D$1:$K$1,0)),"")</f>
        <v>63029120</v>
      </c>
      <c r="M1293" s="8" t="str">
        <f>_xlfn.IFNA(INDEX('HS Codes'!$C$2:$C3847,MATCH($B1293,'HS Codes'!$A$2:$A3847,0)),"")</f>
        <v>Beach Towel - Toilet Linen 100% recycled 220 GSM/83% polyester/17% polyamide includes cotton on the packing pouch drawstring</v>
      </c>
      <c r="N1293" s="9"/>
      <c r="O1293" s="9"/>
      <c r="P1293" s="9"/>
      <c r="Q1293" s="9"/>
    </row>
    <row r="1294" spans="1:17" ht="15.75" customHeight="1">
      <c r="A1294" s="7" t="s">
        <v>1587</v>
      </c>
      <c r="B1294" s="7" t="s">
        <v>164</v>
      </c>
      <c r="C1294" s="7" t="s">
        <v>278</v>
      </c>
      <c r="D1294" s="7" t="s">
        <v>165</v>
      </c>
      <c r="E1294" s="7" t="s">
        <v>348</v>
      </c>
      <c r="F1294" s="8" t="str">
        <f>_xlfn.IFNA(INDEX('HS Codes'!$D$2:$K3848,MATCH($B1294,'HS Codes'!$A$2:$A3848,0),MATCH(F$1,'HS Codes'!$D$1:$K$1,0)),"")</f>
        <v>6302.93.2000</v>
      </c>
      <c r="G1294" s="8">
        <f>_xlfn.IFNA(INDEX('HS Codes'!$D$2:$K3848,MATCH($B1294,'HS Codes'!$A$2:$A3848,0),MATCH(G$1,'HS Codes'!$D$1:$K$1,0)),"")</f>
        <v>6302600090</v>
      </c>
      <c r="H1294" s="8" t="str">
        <f>_xlfn.IFNA(INDEX('HS Codes'!$D$2:$K3848,MATCH($B1294,'HS Codes'!$A$2:$A3848,0),MATCH(H$1,'HS Codes'!$D$1:$K$1,0)),"")</f>
        <v>6302.93.00.00</v>
      </c>
      <c r="I1294" s="8">
        <f>_xlfn.IFNA(INDEX('HS Codes'!$D$2:$K3848,MATCH($B1294,'HS Codes'!$A$2:$A3848,0),MATCH(I$1,'HS Codes'!$D$1:$K$1,0)),"")</f>
        <v>63029390</v>
      </c>
      <c r="J1294" s="8">
        <f>_xlfn.IFNA(INDEX('HS Codes'!$D$2:$K3848,MATCH($B1294,'HS Codes'!$A$2:$A3848,0),MATCH(J$1,'HS Codes'!$D$1:$K$1,0)),"")</f>
        <v>0</v>
      </c>
      <c r="K1294" s="8" t="str">
        <f>_xlfn.IFNA(INDEX('HS Codes'!$D$2:$K3848,MATCH($B1294,'HS Codes'!$A$2:$A3848,0),MATCH(K$1,'HS Codes'!$D$1:$K$1,0)),"")</f>
        <v>6302.39.00</v>
      </c>
      <c r="L1294" s="8">
        <f>_xlfn.IFNA(INDEX('HS Codes'!$D$2:$K3848,MATCH($B1294,'HS Codes'!$A$2:$A3848,0),MATCH(L$1,'HS Codes'!$D$1:$K$1,0)),"")</f>
        <v>63029120</v>
      </c>
      <c r="M1294" s="8" t="str">
        <f>_xlfn.IFNA(INDEX('HS Codes'!$C$2:$C3848,MATCH($B1294,'HS Codes'!$A$2:$A3848,0)),"")</f>
        <v>Beach Towel - Toilet Linen 100% recycled 220 GSM/83% polyester/17% polyamide includes cotton on the packing pouch drawstring</v>
      </c>
      <c r="N1294" s="9"/>
      <c r="O1294" s="9"/>
      <c r="P1294" s="9"/>
      <c r="Q1294" s="9"/>
    </row>
    <row r="1295" spans="1:17" ht="15.75" customHeight="1">
      <c r="A1295" s="7" t="s">
        <v>1588</v>
      </c>
      <c r="B1295" s="7" t="s">
        <v>164</v>
      </c>
      <c r="C1295" s="7" t="s">
        <v>278</v>
      </c>
      <c r="D1295" s="7" t="s">
        <v>165</v>
      </c>
      <c r="E1295" s="7" t="s">
        <v>348</v>
      </c>
      <c r="F1295" s="8" t="str">
        <f>_xlfn.IFNA(INDEX('HS Codes'!$D$2:$K3849,MATCH($B1295,'HS Codes'!$A$2:$A3849,0),MATCH(F$1,'HS Codes'!$D$1:$K$1,0)),"")</f>
        <v>6302.93.2000</v>
      </c>
      <c r="G1295" s="8">
        <f>_xlfn.IFNA(INDEX('HS Codes'!$D$2:$K3849,MATCH($B1295,'HS Codes'!$A$2:$A3849,0),MATCH(G$1,'HS Codes'!$D$1:$K$1,0)),"")</f>
        <v>6302600090</v>
      </c>
      <c r="H1295" s="8" t="str">
        <f>_xlfn.IFNA(INDEX('HS Codes'!$D$2:$K3849,MATCH($B1295,'HS Codes'!$A$2:$A3849,0),MATCH(H$1,'HS Codes'!$D$1:$K$1,0)),"")</f>
        <v>6302.93.00.00</v>
      </c>
      <c r="I1295" s="8">
        <f>_xlfn.IFNA(INDEX('HS Codes'!$D$2:$K3849,MATCH($B1295,'HS Codes'!$A$2:$A3849,0),MATCH(I$1,'HS Codes'!$D$1:$K$1,0)),"")</f>
        <v>63029390</v>
      </c>
      <c r="J1295" s="8">
        <f>_xlfn.IFNA(INDEX('HS Codes'!$D$2:$K3849,MATCH($B1295,'HS Codes'!$A$2:$A3849,0),MATCH(J$1,'HS Codes'!$D$1:$K$1,0)),"")</f>
        <v>0</v>
      </c>
      <c r="K1295" s="8" t="str">
        <f>_xlfn.IFNA(INDEX('HS Codes'!$D$2:$K3849,MATCH($B1295,'HS Codes'!$A$2:$A3849,0),MATCH(K$1,'HS Codes'!$D$1:$K$1,0)),"")</f>
        <v>6302.39.00</v>
      </c>
      <c r="L1295" s="8">
        <f>_xlfn.IFNA(INDEX('HS Codes'!$D$2:$K3849,MATCH($B1295,'HS Codes'!$A$2:$A3849,0),MATCH(L$1,'HS Codes'!$D$1:$K$1,0)),"")</f>
        <v>63029120</v>
      </c>
      <c r="M1295" s="8" t="str">
        <f>_xlfn.IFNA(INDEX('HS Codes'!$C$2:$C3849,MATCH($B1295,'HS Codes'!$A$2:$A3849,0)),"")</f>
        <v>Beach Towel - Toilet Linen 100% recycled 220 GSM/83% polyester/17% polyamide includes cotton on the packing pouch drawstring</v>
      </c>
      <c r="N1295" s="9"/>
      <c r="O1295" s="9"/>
      <c r="P1295" s="9"/>
      <c r="Q1295" s="9"/>
    </row>
    <row r="1296" spans="1:17" ht="15.75" customHeight="1">
      <c r="A1296" s="7" t="s">
        <v>1589</v>
      </c>
      <c r="B1296" s="7" t="s">
        <v>164</v>
      </c>
      <c r="C1296" s="7" t="s">
        <v>278</v>
      </c>
      <c r="D1296" s="7" t="s">
        <v>165</v>
      </c>
      <c r="E1296" s="7" t="s">
        <v>348</v>
      </c>
      <c r="F1296" s="8" t="str">
        <f>_xlfn.IFNA(INDEX('HS Codes'!$D$2:$K3850,MATCH($B1296,'HS Codes'!$A$2:$A3850,0),MATCH(F$1,'HS Codes'!$D$1:$K$1,0)),"")</f>
        <v>6302.93.2000</v>
      </c>
      <c r="G1296" s="8">
        <f>_xlfn.IFNA(INDEX('HS Codes'!$D$2:$K3850,MATCH($B1296,'HS Codes'!$A$2:$A3850,0),MATCH(G$1,'HS Codes'!$D$1:$K$1,0)),"")</f>
        <v>6302600090</v>
      </c>
      <c r="H1296" s="8" t="str">
        <f>_xlfn.IFNA(INDEX('HS Codes'!$D$2:$K3850,MATCH($B1296,'HS Codes'!$A$2:$A3850,0),MATCH(H$1,'HS Codes'!$D$1:$K$1,0)),"")</f>
        <v>6302.93.00.00</v>
      </c>
      <c r="I1296" s="8">
        <f>_xlfn.IFNA(INDEX('HS Codes'!$D$2:$K3850,MATCH($B1296,'HS Codes'!$A$2:$A3850,0),MATCH(I$1,'HS Codes'!$D$1:$K$1,0)),"")</f>
        <v>63029390</v>
      </c>
      <c r="J1296" s="8">
        <f>_xlfn.IFNA(INDEX('HS Codes'!$D$2:$K3850,MATCH($B1296,'HS Codes'!$A$2:$A3850,0),MATCH(J$1,'HS Codes'!$D$1:$K$1,0)),"")</f>
        <v>0</v>
      </c>
      <c r="K1296" s="8" t="str">
        <f>_xlfn.IFNA(INDEX('HS Codes'!$D$2:$K3850,MATCH($B1296,'HS Codes'!$A$2:$A3850,0),MATCH(K$1,'HS Codes'!$D$1:$K$1,0)),"")</f>
        <v>6302.39.00</v>
      </c>
      <c r="L1296" s="8">
        <f>_xlfn.IFNA(INDEX('HS Codes'!$D$2:$K3850,MATCH($B1296,'HS Codes'!$A$2:$A3850,0),MATCH(L$1,'HS Codes'!$D$1:$K$1,0)),"")</f>
        <v>63029120</v>
      </c>
      <c r="M1296" s="8" t="str">
        <f>_xlfn.IFNA(INDEX('HS Codes'!$C$2:$C3850,MATCH($B1296,'HS Codes'!$A$2:$A3850,0)),"")</f>
        <v>Beach Towel - Toilet Linen 100% recycled 220 GSM/83% polyester/17% polyamide includes cotton on the packing pouch drawstring</v>
      </c>
      <c r="N1296" s="9"/>
      <c r="O1296" s="9"/>
      <c r="P1296" s="9"/>
      <c r="Q1296" s="9"/>
    </row>
    <row r="1297" spans="1:17" ht="15.75" customHeight="1">
      <c r="A1297" s="7" t="s">
        <v>1590</v>
      </c>
      <c r="B1297" s="7" t="s">
        <v>164</v>
      </c>
      <c r="C1297" s="7" t="s">
        <v>278</v>
      </c>
      <c r="D1297" s="7" t="s">
        <v>165</v>
      </c>
      <c r="E1297" s="7" t="s">
        <v>348</v>
      </c>
      <c r="F1297" s="8" t="str">
        <f>_xlfn.IFNA(INDEX('HS Codes'!$D$2:$K3851,MATCH($B1297,'HS Codes'!$A$2:$A3851,0),MATCH(F$1,'HS Codes'!$D$1:$K$1,0)),"")</f>
        <v>6302.93.2000</v>
      </c>
      <c r="G1297" s="8">
        <f>_xlfn.IFNA(INDEX('HS Codes'!$D$2:$K3851,MATCH($B1297,'HS Codes'!$A$2:$A3851,0),MATCH(G$1,'HS Codes'!$D$1:$K$1,0)),"")</f>
        <v>6302600090</v>
      </c>
      <c r="H1297" s="8" t="str">
        <f>_xlfn.IFNA(INDEX('HS Codes'!$D$2:$K3851,MATCH($B1297,'HS Codes'!$A$2:$A3851,0),MATCH(H$1,'HS Codes'!$D$1:$K$1,0)),"")</f>
        <v>6302.93.00.00</v>
      </c>
      <c r="I1297" s="8">
        <f>_xlfn.IFNA(INDEX('HS Codes'!$D$2:$K3851,MATCH($B1297,'HS Codes'!$A$2:$A3851,0),MATCH(I$1,'HS Codes'!$D$1:$K$1,0)),"")</f>
        <v>63029390</v>
      </c>
      <c r="J1297" s="8">
        <f>_xlfn.IFNA(INDEX('HS Codes'!$D$2:$K3851,MATCH($B1297,'HS Codes'!$A$2:$A3851,0),MATCH(J$1,'HS Codes'!$D$1:$K$1,0)),"")</f>
        <v>0</v>
      </c>
      <c r="K1297" s="8" t="str">
        <f>_xlfn.IFNA(INDEX('HS Codes'!$D$2:$K3851,MATCH($B1297,'HS Codes'!$A$2:$A3851,0),MATCH(K$1,'HS Codes'!$D$1:$K$1,0)),"")</f>
        <v>6302.39.00</v>
      </c>
      <c r="L1297" s="8">
        <f>_xlfn.IFNA(INDEX('HS Codes'!$D$2:$K3851,MATCH($B1297,'HS Codes'!$A$2:$A3851,0),MATCH(L$1,'HS Codes'!$D$1:$K$1,0)),"")</f>
        <v>63029120</v>
      </c>
      <c r="M1297" s="8" t="str">
        <f>_xlfn.IFNA(INDEX('HS Codes'!$C$2:$C3851,MATCH($B1297,'HS Codes'!$A$2:$A3851,0)),"")</f>
        <v>Beach Towel - Toilet Linen 100% recycled 220 GSM/83% polyester/17% polyamide includes cotton on the packing pouch drawstring</v>
      </c>
      <c r="N1297" s="9"/>
      <c r="O1297" s="9"/>
      <c r="P1297" s="9"/>
      <c r="Q1297" s="9"/>
    </row>
    <row r="1298" spans="1:17" ht="15.75" customHeight="1">
      <c r="A1298" s="7" t="s">
        <v>1591</v>
      </c>
      <c r="B1298" s="7" t="s">
        <v>164</v>
      </c>
      <c r="C1298" s="7" t="s">
        <v>278</v>
      </c>
      <c r="D1298" s="7" t="s">
        <v>165</v>
      </c>
      <c r="E1298" s="7" t="s">
        <v>348</v>
      </c>
      <c r="F1298" s="8" t="str">
        <f>_xlfn.IFNA(INDEX('HS Codes'!$D$2:$K3852,MATCH($B1298,'HS Codes'!$A$2:$A3852,0),MATCH(F$1,'HS Codes'!$D$1:$K$1,0)),"")</f>
        <v>6302.93.2000</v>
      </c>
      <c r="G1298" s="8">
        <f>_xlfn.IFNA(INDEX('HS Codes'!$D$2:$K3852,MATCH($B1298,'HS Codes'!$A$2:$A3852,0),MATCH(G$1,'HS Codes'!$D$1:$K$1,0)),"")</f>
        <v>6302600090</v>
      </c>
      <c r="H1298" s="8" t="str">
        <f>_xlfn.IFNA(INDEX('HS Codes'!$D$2:$K3852,MATCH($B1298,'HS Codes'!$A$2:$A3852,0),MATCH(H$1,'HS Codes'!$D$1:$K$1,0)),"")</f>
        <v>6302.93.00.00</v>
      </c>
      <c r="I1298" s="8">
        <f>_xlfn.IFNA(INDEX('HS Codes'!$D$2:$K3852,MATCH($B1298,'HS Codes'!$A$2:$A3852,0),MATCH(I$1,'HS Codes'!$D$1:$K$1,0)),"")</f>
        <v>63029390</v>
      </c>
      <c r="J1298" s="8">
        <f>_xlfn.IFNA(INDEX('HS Codes'!$D$2:$K3852,MATCH($B1298,'HS Codes'!$A$2:$A3852,0),MATCH(J$1,'HS Codes'!$D$1:$K$1,0)),"")</f>
        <v>0</v>
      </c>
      <c r="K1298" s="8" t="str">
        <f>_xlfn.IFNA(INDEX('HS Codes'!$D$2:$K3852,MATCH($B1298,'HS Codes'!$A$2:$A3852,0),MATCH(K$1,'HS Codes'!$D$1:$K$1,0)),"")</f>
        <v>6302.39.00</v>
      </c>
      <c r="L1298" s="8">
        <f>_xlfn.IFNA(INDEX('HS Codes'!$D$2:$K3852,MATCH($B1298,'HS Codes'!$A$2:$A3852,0),MATCH(L$1,'HS Codes'!$D$1:$K$1,0)),"")</f>
        <v>63029120</v>
      </c>
      <c r="M1298" s="8" t="str">
        <f>_xlfn.IFNA(INDEX('HS Codes'!$C$2:$C3852,MATCH($B1298,'HS Codes'!$A$2:$A3852,0)),"")</f>
        <v>Beach Towel - Toilet Linen 100% recycled 220 GSM/83% polyester/17% polyamide includes cotton on the packing pouch drawstring</v>
      </c>
      <c r="N1298" s="9"/>
      <c r="O1298" s="9"/>
      <c r="P1298" s="9"/>
      <c r="Q1298" s="9"/>
    </row>
    <row r="1299" spans="1:17" ht="15.75" customHeight="1">
      <c r="A1299" s="7" t="s">
        <v>1592</v>
      </c>
      <c r="B1299" s="7" t="s">
        <v>164</v>
      </c>
      <c r="C1299" s="7" t="s">
        <v>278</v>
      </c>
      <c r="D1299" s="7" t="s">
        <v>165</v>
      </c>
      <c r="E1299" s="7" t="s">
        <v>348</v>
      </c>
      <c r="F1299" s="8" t="str">
        <f>_xlfn.IFNA(INDEX('HS Codes'!$D$2:$K3853,MATCH($B1299,'HS Codes'!$A$2:$A3853,0),MATCH(F$1,'HS Codes'!$D$1:$K$1,0)),"")</f>
        <v>6302.93.2000</v>
      </c>
      <c r="G1299" s="8">
        <f>_xlfn.IFNA(INDEX('HS Codes'!$D$2:$K3853,MATCH($B1299,'HS Codes'!$A$2:$A3853,0),MATCH(G$1,'HS Codes'!$D$1:$K$1,0)),"")</f>
        <v>6302600090</v>
      </c>
      <c r="H1299" s="8" t="str">
        <f>_xlfn.IFNA(INDEX('HS Codes'!$D$2:$K3853,MATCH($B1299,'HS Codes'!$A$2:$A3853,0),MATCH(H$1,'HS Codes'!$D$1:$K$1,0)),"")</f>
        <v>6302.93.00.00</v>
      </c>
      <c r="I1299" s="8">
        <f>_xlfn.IFNA(INDEX('HS Codes'!$D$2:$K3853,MATCH($B1299,'HS Codes'!$A$2:$A3853,0),MATCH(I$1,'HS Codes'!$D$1:$K$1,0)),"")</f>
        <v>63029390</v>
      </c>
      <c r="J1299" s="8">
        <f>_xlfn.IFNA(INDEX('HS Codes'!$D$2:$K3853,MATCH($B1299,'HS Codes'!$A$2:$A3853,0),MATCH(J$1,'HS Codes'!$D$1:$K$1,0)),"")</f>
        <v>0</v>
      </c>
      <c r="K1299" s="8" t="str">
        <f>_xlfn.IFNA(INDEX('HS Codes'!$D$2:$K3853,MATCH($B1299,'HS Codes'!$A$2:$A3853,0),MATCH(K$1,'HS Codes'!$D$1:$K$1,0)),"")</f>
        <v>6302.39.00</v>
      </c>
      <c r="L1299" s="8">
        <f>_xlfn.IFNA(INDEX('HS Codes'!$D$2:$K3853,MATCH($B1299,'HS Codes'!$A$2:$A3853,0),MATCH(L$1,'HS Codes'!$D$1:$K$1,0)),"")</f>
        <v>63029120</v>
      </c>
      <c r="M1299" s="8" t="str">
        <f>_xlfn.IFNA(INDEX('HS Codes'!$C$2:$C3853,MATCH($B1299,'HS Codes'!$A$2:$A3853,0)),"")</f>
        <v>Beach Towel - Toilet Linen 100% recycled 220 GSM/83% polyester/17% polyamide includes cotton on the packing pouch drawstring</v>
      </c>
      <c r="N1299" s="9"/>
      <c r="O1299" s="9"/>
      <c r="P1299" s="9"/>
      <c r="Q1299" s="9"/>
    </row>
    <row r="1300" spans="1:17" ht="15.75" customHeight="1">
      <c r="A1300" s="7" t="s">
        <v>1593</v>
      </c>
      <c r="B1300" s="7" t="s">
        <v>164</v>
      </c>
      <c r="C1300" s="7" t="s">
        <v>278</v>
      </c>
      <c r="D1300" s="7" t="s">
        <v>165</v>
      </c>
      <c r="E1300" s="7" t="s">
        <v>348</v>
      </c>
      <c r="F1300" s="8" t="str">
        <f>_xlfn.IFNA(INDEX('HS Codes'!$D$2:$K3854,MATCH($B1300,'HS Codes'!$A$2:$A3854,0),MATCH(F$1,'HS Codes'!$D$1:$K$1,0)),"")</f>
        <v>6302.93.2000</v>
      </c>
      <c r="G1300" s="8">
        <f>_xlfn.IFNA(INDEX('HS Codes'!$D$2:$K3854,MATCH($B1300,'HS Codes'!$A$2:$A3854,0),MATCH(G$1,'HS Codes'!$D$1:$K$1,0)),"")</f>
        <v>6302600090</v>
      </c>
      <c r="H1300" s="8" t="str">
        <f>_xlfn.IFNA(INDEX('HS Codes'!$D$2:$K3854,MATCH($B1300,'HS Codes'!$A$2:$A3854,0),MATCH(H$1,'HS Codes'!$D$1:$K$1,0)),"")</f>
        <v>6302.93.00.00</v>
      </c>
      <c r="I1300" s="8">
        <f>_xlfn.IFNA(INDEX('HS Codes'!$D$2:$K3854,MATCH($B1300,'HS Codes'!$A$2:$A3854,0),MATCH(I$1,'HS Codes'!$D$1:$K$1,0)),"")</f>
        <v>63029390</v>
      </c>
      <c r="J1300" s="8">
        <f>_xlfn.IFNA(INDEX('HS Codes'!$D$2:$K3854,MATCH($B1300,'HS Codes'!$A$2:$A3854,0),MATCH(J$1,'HS Codes'!$D$1:$K$1,0)),"")</f>
        <v>0</v>
      </c>
      <c r="K1300" s="8" t="str">
        <f>_xlfn.IFNA(INDEX('HS Codes'!$D$2:$K3854,MATCH($B1300,'HS Codes'!$A$2:$A3854,0),MATCH(K$1,'HS Codes'!$D$1:$K$1,0)),"")</f>
        <v>6302.39.00</v>
      </c>
      <c r="L1300" s="8">
        <f>_xlfn.IFNA(INDEX('HS Codes'!$D$2:$K3854,MATCH($B1300,'HS Codes'!$A$2:$A3854,0),MATCH(L$1,'HS Codes'!$D$1:$K$1,0)),"")</f>
        <v>63029120</v>
      </c>
      <c r="M1300" s="8" t="str">
        <f>_xlfn.IFNA(INDEX('HS Codes'!$C$2:$C3854,MATCH($B1300,'HS Codes'!$A$2:$A3854,0)),"")</f>
        <v>Beach Towel - Toilet Linen 100% recycled 220 GSM/83% polyester/17% polyamide includes cotton on the packing pouch drawstring</v>
      </c>
      <c r="N1300" s="9"/>
      <c r="O1300" s="9"/>
      <c r="P1300" s="9"/>
      <c r="Q1300" s="9"/>
    </row>
    <row r="1301" spans="1:17" ht="15.75" customHeight="1">
      <c r="A1301" s="7" t="s">
        <v>1594</v>
      </c>
      <c r="B1301" s="7" t="s">
        <v>164</v>
      </c>
      <c r="C1301" s="7" t="s">
        <v>278</v>
      </c>
      <c r="D1301" s="7" t="s">
        <v>165</v>
      </c>
      <c r="E1301" s="7" t="s">
        <v>348</v>
      </c>
      <c r="F1301" s="8" t="str">
        <f>_xlfn.IFNA(INDEX('HS Codes'!$D$2:$K3855,MATCH($B1301,'HS Codes'!$A$2:$A3855,0),MATCH(F$1,'HS Codes'!$D$1:$K$1,0)),"")</f>
        <v>6302.93.2000</v>
      </c>
      <c r="G1301" s="8">
        <f>_xlfn.IFNA(INDEX('HS Codes'!$D$2:$K3855,MATCH($B1301,'HS Codes'!$A$2:$A3855,0),MATCH(G$1,'HS Codes'!$D$1:$K$1,0)),"")</f>
        <v>6302600090</v>
      </c>
      <c r="H1301" s="8" t="str">
        <f>_xlfn.IFNA(INDEX('HS Codes'!$D$2:$K3855,MATCH($B1301,'HS Codes'!$A$2:$A3855,0),MATCH(H$1,'HS Codes'!$D$1:$K$1,0)),"")</f>
        <v>6302.93.00.00</v>
      </c>
      <c r="I1301" s="8">
        <f>_xlfn.IFNA(INDEX('HS Codes'!$D$2:$K3855,MATCH($B1301,'HS Codes'!$A$2:$A3855,0),MATCH(I$1,'HS Codes'!$D$1:$K$1,0)),"")</f>
        <v>63029390</v>
      </c>
      <c r="J1301" s="8">
        <f>_xlfn.IFNA(INDEX('HS Codes'!$D$2:$K3855,MATCH($B1301,'HS Codes'!$A$2:$A3855,0),MATCH(J$1,'HS Codes'!$D$1:$K$1,0)),"")</f>
        <v>0</v>
      </c>
      <c r="K1301" s="8" t="str">
        <f>_xlfn.IFNA(INDEX('HS Codes'!$D$2:$K3855,MATCH($B1301,'HS Codes'!$A$2:$A3855,0),MATCH(K$1,'HS Codes'!$D$1:$K$1,0)),"")</f>
        <v>6302.39.00</v>
      </c>
      <c r="L1301" s="8">
        <f>_xlfn.IFNA(INDEX('HS Codes'!$D$2:$K3855,MATCH($B1301,'HS Codes'!$A$2:$A3855,0),MATCH(L$1,'HS Codes'!$D$1:$K$1,0)),"")</f>
        <v>63029120</v>
      </c>
      <c r="M1301" s="8" t="str">
        <f>_xlfn.IFNA(INDEX('HS Codes'!$C$2:$C3855,MATCH($B1301,'HS Codes'!$A$2:$A3855,0)),"")</f>
        <v>Beach Towel - Toilet Linen 100% recycled 220 GSM/83% polyester/17% polyamide includes cotton on the packing pouch drawstring</v>
      </c>
      <c r="N1301" s="9"/>
      <c r="O1301" s="9"/>
      <c r="P1301" s="9"/>
      <c r="Q1301" s="9"/>
    </row>
    <row r="1302" spans="1:17" ht="15.75" customHeight="1">
      <c r="A1302" s="7" t="s">
        <v>1595</v>
      </c>
      <c r="B1302" s="7" t="s">
        <v>164</v>
      </c>
      <c r="C1302" s="7" t="s">
        <v>278</v>
      </c>
      <c r="D1302" s="7" t="s">
        <v>165</v>
      </c>
      <c r="E1302" s="7" t="s">
        <v>348</v>
      </c>
      <c r="F1302" s="8" t="str">
        <f>_xlfn.IFNA(INDEX('HS Codes'!$D$2:$K3856,MATCH($B1302,'HS Codes'!$A$2:$A3856,0),MATCH(F$1,'HS Codes'!$D$1:$K$1,0)),"")</f>
        <v>6302.93.2000</v>
      </c>
      <c r="G1302" s="8">
        <f>_xlfn.IFNA(INDEX('HS Codes'!$D$2:$K3856,MATCH($B1302,'HS Codes'!$A$2:$A3856,0),MATCH(G$1,'HS Codes'!$D$1:$K$1,0)),"")</f>
        <v>6302600090</v>
      </c>
      <c r="H1302" s="8" t="str">
        <f>_xlfn.IFNA(INDEX('HS Codes'!$D$2:$K3856,MATCH($B1302,'HS Codes'!$A$2:$A3856,0),MATCH(H$1,'HS Codes'!$D$1:$K$1,0)),"")</f>
        <v>6302.93.00.00</v>
      </c>
      <c r="I1302" s="8">
        <f>_xlfn.IFNA(INDEX('HS Codes'!$D$2:$K3856,MATCH($B1302,'HS Codes'!$A$2:$A3856,0),MATCH(I$1,'HS Codes'!$D$1:$K$1,0)),"")</f>
        <v>63029390</v>
      </c>
      <c r="J1302" s="8">
        <f>_xlfn.IFNA(INDEX('HS Codes'!$D$2:$K3856,MATCH($B1302,'HS Codes'!$A$2:$A3856,0),MATCH(J$1,'HS Codes'!$D$1:$K$1,0)),"")</f>
        <v>0</v>
      </c>
      <c r="K1302" s="8" t="str">
        <f>_xlfn.IFNA(INDEX('HS Codes'!$D$2:$K3856,MATCH($B1302,'HS Codes'!$A$2:$A3856,0),MATCH(K$1,'HS Codes'!$D$1:$K$1,0)),"")</f>
        <v>6302.39.00</v>
      </c>
      <c r="L1302" s="8">
        <f>_xlfn.IFNA(INDEX('HS Codes'!$D$2:$K3856,MATCH($B1302,'HS Codes'!$A$2:$A3856,0),MATCH(L$1,'HS Codes'!$D$1:$K$1,0)),"")</f>
        <v>63029120</v>
      </c>
      <c r="M1302" s="8" t="str">
        <f>_xlfn.IFNA(INDEX('HS Codes'!$C$2:$C3856,MATCH($B1302,'HS Codes'!$A$2:$A3856,0)),"")</f>
        <v>Beach Towel - Toilet Linen 100% recycled 220 GSM/83% polyester/17% polyamide includes cotton on the packing pouch drawstring</v>
      </c>
      <c r="N1302" s="9"/>
      <c r="O1302" s="9"/>
      <c r="P1302" s="9"/>
      <c r="Q1302" s="9"/>
    </row>
    <row r="1303" spans="1:17" ht="15.75" customHeight="1">
      <c r="A1303" s="7" t="s">
        <v>1596</v>
      </c>
      <c r="B1303" s="7"/>
      <c r="C1303" s="7"/>
      <c r="D1303" s="7"/>
      <c r="E1303" s="7"/>
      <c r="F1303" s="8" t="str">
        <f>_xlfn.IFNA(INDEX('HS Codes'!$D$2:$K3857,MATCH($B1303,'HS Codes'!$A$2:$A3857,0),MATCH(F$1,'HS Codes'!$D$1:$K$1,0)),"")</f>
        <v/>
      </c>
      <c r="G1303" s="8" t="str">
        <f>_xlfn.IFNA(INDEX('HS Codes'!$D$2:$K3857,MATCH($B1303,'HS Codes'!$A$2:$A3857,0),MATCH(G$1,'HS Codes'!$D$1:$K$1,0)),"")</f>
        <v/>
      </c>
      <c r="H1303" s="8" t="str">
        <f>_xlfn.IFNA(INDEX('HS Codes'!$D$2:$K3857,MATCH($B1303,'HS Codes'!$A$2:$A3857,0),MATCH(H$1,'HS Codes'!$D$1:$K$1,0)),"")</f>
        <v/>
      </c>
      <c r="I1303" s="8" t="str">
        <f>_xlfn.IFNA(INDEX('HS Codes'!$D$2:$K3857,MATCH($B1303,'HS Codes'!$A$2:$A3857,0),MATCH(I$1,'HS Codes'!$D$1:$K$1,0)),"")</f>
        <v/>
      </c>
      <c r="J1303" s="8" t="str">
        <f>_xlfn.IFNA(INDEX('HS Codes'!$D$2:$K3857,MATCH($B1303,'HS Codes'!$A$2:$A3857,0),MATCH(J$1,'HS Codes'!$D$1:$K$1,0)),"")</f>
        <v/>
      </c>
      <c r="K1303" s="8" t="str">
        <f>_xlfn.IFNA(INDEX('HS Codes'!$D$2:$K3857,MATCH($B1303,'HS Codes'!$A$2:$A3857,0),MATCH(K$1,'HS Codes'!$D$1:$K$1,0)),"")</f>
        <v/>
      </c>
      <c r="L1303" s="8" t="str">
        <f>_xlfn.IFNA(INDEX('HS Codes'!$D$2:$K3857,MATCH($B1303,'HS Codes'!$A$2:$A3857,0),MATCH(L$1,'HS Codes'!$D$1:$K$1,0)),"")</f>
        <v/>
      </c>
      <c r="M1303" s="8" t="str">
        <f>_xlfn.IFNA(INDEX('HS Codes'!$C$2:$C3857,MATCH($B1303,'HS Codes'!$A$2:$A3857,0)),"")</f>
        <v/>
      </c>
      <c r="N1303" s="9"/>
      <c r="O1303" s="9"/>
      <c r="P1303" s="9"/>
      <c r="Q1303" s="9"/>
    </row>
    <row r="1304" spans="1:17" ht="15.75" customHeight="1">
      <c r="A1304" s="7" t="s">
        <v>1597</v>
      </c>
      <c r="B1304" s="7"/>
      <c r="C1304" s="7"/>
      <c r="D1304" s="7"/>
      <c r="E1304" s="7"/>
      <c r="F1304" s="8" t="str">
        <f>_xlfn.IFNA(INDEX('HS Codes'!$D$2:$K3858,MATCH($B1304,'HS Codes'!$A$2:$A3858,0),MATCH(F$1,'HS Codes'!$D$1:$K$1,0)),"")</f>
        <v/>
      </c>
      <c r="G1304" s="8" t="str">
        <f>_xlfn.IFNA(INDEX('HS Codes'!$D$2:$K3858,MATCH($B1304,'HS Codes'!$A$2:$A3858,0),MATCH(G$1,'HS Codes'!$D$1:$K$1,0)),"")</f>
        <v/>
      </c>
      <c r="H1304" s="8" t="str">
        <f>_xlfn.IFNA(INDEX('HS Codes'!$D$2:$K3858,MATCH($B1304,'HS Codes'!$A$2:$A3858,0),MATCH(H$1,'HS Codes'!$D$1:$K$1,0)),"")</f>
        <v/>
      </c>
      <c r="I1304" s="8" t="str">
        <f>_xlfn.IFNA(INDEX('HS Codes'!$D$2:$K3858,MATCH($B1304,'HS Codes'!$A$2:$A3858,0),MATCH(I$1,'HS Codes'!$D$1:$K$1,0)),"")</f>
        <v/>
      </c>
      <c r="J1304" s="8" t="str">
        <f>_xlfn.IFNA(INDEX('HS Codes'!$D$2:$K3858,MATCH($B1304,'HS Codes'!$A$2:$A3858,0),MATCH(J$1,'HS Codes'!$D$1:$K$1,0)),"")</f>
        <v/>
      </c>
      <c r="K1304" s="8" t="str">
        <f>_xlfn.IFNA(INDEX('HS Codes'!$D$2:$K3858,MATCH($B1304,'HS Codes'!$A$2:$A3858,0),MATCH(K$1,'HS Codes'!$D$1:$K$1,0)),"")</f>
        <v/>
      </c>
      <c r="L1304" s="8" t="str">
        <f>_xlfn.IFNA(INDEX('HS Codes'!$D$2:$K3858,MATCH($B1304,'HS Codes'!$A$2:$A3858,0),MATCH(L$1,'HS Codes'!$D$1:$K$1,0)),"")</f>
        <v/>
      </c>
      <c r="M1304" s="8" t="str">
        <f>_xlfn.IFNA(INDEX('HS Codes'!$C$2:$C3858,MATCH($B1304,'HS Codes'!$A$2:$A3858,0)),"")</f>
        <v/>
      </c>
      <c r="N1304" s="9"/>
      <c r="O1304" s="9"/>
      <c r="P1304" s="9"/>
      <c r="Q1304" s="9"/>
    </row>
    <row r="1305" spans="1:17" ht="15.75" customHeight="1">
      <c r="A1305" s="7" t="s">
        <v>1598</v>
      </c>
      <c r="B1305" s="7"/>
      <c r="C1305" s="7"/>
      <c r="D1305" s="7"/>
      <c r="E1305" s="7"/>
      <c r="F1305" s="8" t="str">
        <f>_xlfn.IFNA(INDEX('HS Codes'!$D$2:$K3859,MATCH($B1305,'HS Codes'!$A$2:$A3859,0),MATCH(F$1,'HS Codes'!$D$1:$K$1,0)),"")</f>
        <v/>
      </c>
      <c r="G1305" s="8" t="str">
        <f>_xlfn.IFNA(INDEX('HS Codes'!$D$2:$K3859,MATCH($B1305,'HS Codes'!$A$2:$A3859,0),MATCH(G$1,'HS Codes'!$D$1:$K$1,0)),"")</f>
        <v/>
      </c>
      <c r="H1305" s="8" t="str">
        <f>_xlfn.IFNA(INDEX('HS Codes'!$D$2:$K3859,MATCH($B1305,'HS Codes'!$A$2:$A3859,0),MATCH(H$1,'HS Codes'!$D$1:$K$1,0)),"")</f>
        <v/>
      </c>
      <c r="I1305" s="8" t="str">
        <f>_xlfn.IFNA(INDEX('HS Codes'!$D$2:$K3859,MATCH($B1305,'HS Codes'!$A$2:$A3859,0),MATCH(I$1,'HS Codes'!$D$1:$K$1,0)),"")</f>
        <v/>
      </c>
      <c r="J1305" s="8" t="str">
        <f>_xlfn.IFNA(INDEX('HS Codes'!$D$2:$K3859,MATCH($B1305,'HS Codes'!$A$2:$A3859,0),MATCH(J$1,'HS Codes'!$D$1:$K$1,0)),"")</f>
        <v/>
      </c>
      <c r="K1305" s="8" t="str">
        <f>_xlfn.IFNA(INDEX('HS Codes'!$D$2:$K3859,MATCH($B1305,'HS Codes'!$A$2:$A3859,0),MATCH(K$1,'HS Codes'!$D$1:$K$1,0)),"")</f>
        <v/>
      </c>
      <c r="L1305" s="8" t="str">
        <f>_xlfn.IFNA(INDEX('HS Codes'!$D$2:$K3859,MATCH($B1305,'HS Codes'!$A$2:$A3859,0),MATCH(L$1,'HS Codes'!$D$1:$K$1,0)),"")</f>
        <v/>
      </c>
      <c r="M1305" s="8" t="str">
        <f>_xlfn.IFNA(INDEX('HS Codes'!$C$2:$C3859,MATCH($B1305,'HS Codes'!$A$2:$A3859,0)),"")</f>
        <v/>
      </c>
      <c r="N1305" s="9"/>
      <c r="O1305" s="9"/>
      <c r="P1305" s="9"/>
      <c r="Q1305" s="9"/>
    </row>
    <row r="1306" spans="1:17" ht="15.75" customHeight="1">
      <c r="A1306" s="7" t="s">
        <v>1599</v>
      </c>
      <c r="B1306" s="7"/>
      <c r="C1306" s="7"/>
      <c r="D1306" s="7"/>
      <c r="E1306" s="7"/>
      <c r="F1306" s="8" t="str">
        <f>_xlfn.IFNA(INDEX('HS Codes'!$D$2:$K3860,MATCH($B1306,'HS Codes'!$A$2:$A3860,0),MATCH(F$1,'HS Codes'!$D$1:$K$1,0)),"")</f>
        <v/>
      </c>
      <c r="G1306" s="8" t="str">
        <f>_xlfn.IFNA(INDEX('HS Codes'!$D$2:$K3860,MATCH($B1306,'HS Codes'!$A$2:$A3860,0),MATCH(G$1,'HS Codes'!$D$1:$K$1,0)),"")</f>
        <v/>
      </c>
      <c r="H1306" s="8" t="str">
        <f>_xlfn.IFNA(INDEX('HS Codes'!$D$2:$K3860,MATCH($B1306,'HS Codes'!$A$2:$A3860,0),MATCH(H$1,'HS Codes'!$D$1:$K$1,0)),"")</f>
        <v/>
      </c>
      <c r="I1306" s="8" t="str">
        <f>_xlfn.IFNA(INDEX('HS Codes'!$D$2:$K3860,MATCH($B1306,'HS Codes'!$A$2:$A3860,0),MATCH(I$1,'HS Codes'!$D$1:$K$1,0)),"")</f>
        <v/>
      </c>
      <c r="J1306" s="8" t="str">
        <f>_xlfn.IFNA(INDEX('HS Codes'!$D$2:$K3860,MATCH($B1306,'HS Codes'!$A$2:$A3860,0),MATCH(J$1,'HS Codes'!$D$1:$K$1,0)),"")</f>
        <v/>
      </c>
      <c r="K1306" s="8" t="str">
        <f>_xlfn.IFNA(INDEX('HS Codes'!$D$2:$K3860,MATCH($B1306,'HS Codes'!$A$2:$A3860,0),MATCH(K$1,'HS Codes'!$D$1:$K$1,0)),"")</f>
        <v/>
      </c>
      <c r="L1306" s="8" t="str">
        <f>_xlfn.IFNA(INDEX('HS Codes'!$D$2:$K3860,MATCH($B1306,'HS Codes'!$A$2:$A3860,0),MATCH(L$1,'HS Codes'!$D$1:$K$1,0)),"")</f>
        <v/>
      </c>
      <c r="M1306" s="8" t="str">
        <f>_xlfn.IFNA(INDEX('HS Codes'!$C$2:$C3860,MATCH($B1306,'HS Codes'!$A$2:$A3860,0)),"")</f>
        <v/>
      </c>
      <c r="N1306" s="9"/>
      <c r="O1306" s="9"/>
      <c r="P1306" s="9"/>
      <c r="Q1306" s="9"/>
    </row>
    <row r="1307" spans="1:17" ht="15.75" customHeight="1">
      <c r="A1307" s="7" t="s">
        <v>1600</v>
      </c>
      <c r="B1307" s="7"/>
      <c r="C1307" s="7"/>
      <c r="D1307" s="7"/>
      <c r="E1307" s="7"/>
      <c r="F1307" s="8" t="str">
        <f>_xlfn.IFNA(INDEX('HS Codes'!$D$2:$K3861,MATCH($B1307,'HS Codes'!$A$2:$A3861,0),MATCH(F$1,'HS Codes'!$D$1:$K$1,0)),"")</f>
        <v/>
      </c>
      <c r="G1307" s="8" t="str">
        <f>_xlfn.IFNA(INDEX('HS Codes'!$D$2:$K3861,MATCH($B1307,'HS Codes'!$A$2:$A3861,0),MATCH(G$1,'HS Codes'!$D$1:$K$1,0)),"")</f>
        <v/>
      </c>
      <c r="H1307" s="8" t="str">
        <f>_xlfn.IFNA(INDEX('HS Codes'!$D$2:$K3861,MATCH($B1307,'HS Codes'!$A$2:$A3861,0),MATCH(H$1,'HS Codes'!$D$1:$K$1,0)),"")</f>
        <v/>
      </c>
      <c r="I1307" s="8" t="str">
        <f>_xlfn.IFNA(INDEX('HS Codes'!$D$2:$K3861,MATCH($B1307,'HS Codes'!$A$2:$A3861,0),MATCH(I$1,'HS Codes'!$D$1:$K$1,0)),"")</f>
        <v/>
      </c>
      <c r="J1307" s="8" t="str">
        <f>_xlfn.IFNA(INDEX('HS Codes'!$D$2:$K3861,MATCH($B1307,'HS Codes'!$A$2:$A3861,0),MATCH(J$1,'HS Codes'!$D$1:$K$1,0)),"")</f>
        <v/>
      </c>
      <c r="K1307" s="8" t="str">
        <f>_xlfn.IFNA(INDEX('HS Codes'!$D$2:$K3861,MATCH($B1307,'HS Codes'!$A$2:$A3861,0),MATCH(K$1,'HS Codes'!$D$1:$K$1,0)),"")</f>
        <v/>
      </c>
      <c r="L1307" s="8" t="str">
        <f>_xlfn.IFNA(INDEX('HS Codes'!$D$2:$K3861,MATCH($B1307,'HS Codes'!$A$2:$A3861,0),MATCH(L$1,'HS Codes'!$D$1:$K$1,0)),"")</f>
        <v/>
      </c>
      <c r="M1307" s="8" t="str">
        <f>_xlfn.IFNA(INDEX('HS Codes'!$C$2:$C3861,MATCH($B1307,'HS Codes'!$A$2:$A3861,0)),"")</f>
        <v/>
      </c>
      <c r="N1307" s="9"/>
      <c r="O1307" s="9"/>
      <c r="P1307" s="9"/>
      <c r="Q1307" s="9"/>
    </row>
    <row r="1308" spans="1:17" ht="15.75" customHeight="1">
      <c r="A1308" s="7" t="s">
        <v>1601</v>
      </c>
      <c r="B1308" s="7"/>
      <c r="C1308" s="7"/>
      <c r="D1308" s="7"/>
      <c r="E1308" s="7"/>
      <c r="F1308" s="8" t="str">
        <f>_xlfn.IFNA(INDEX('HS Codes'!$D$2:$K3862,MATCH($B1308,'HS Codes'!$A$2:$A3862,0),MATCH(F$1,'HS Codes'!$D$1:$K$1,0)),"")</f>
        <v/>
      </c>
      <c r="G1308" s="8" t="str">
        <f>_xlfn.IFNA(INDEX('HS Codes'!$D$2:$K3862,MATCH($B1308,'HS Codes'!$A$2:$A3862,0),MATCH(G$1,'HS Codes'!$D$1:$K$1,0)),"")</f>
        <v/>
      </c>
      <c r="H1308" s="8" t="str">
        <f>_xlfn.IFNA(INDEX('HS Codes'!$D$2:$K3862,MATCH($B1308,'HS Codes'!$A$2:$A3862,0),MATCH(H$1,'HS Codes'!$D$1:$K$1,0)),"")</f>
        <v/>
      </c>
      <c r="I1308" s="8" t="str">
        <f>_xlfn.IFNA(INDEX('HS Codes'!$D$2:$K3862,MATCH($B1308,'HS Codes'!$A$2:$A3862,0),MATCH(I$1,'HS Codes'!$D$1:$K$1,0)),"")</f>
        <v/>
      </c>
      <c r="J1308" s="8" t="str">
        <f>_xlfn.IFNA(INDEX('HS Codes'!$D$2:$K3862,MATCH($B1308,'HS Codes'!$A$2:$A3862,0),MATCH(J$1,'HS Codes'!$D$1:$K$1,0)),"")</f>
        <v/>
      </c>
      <c r="K1308" s="8" t="str">
        <f>_xlfn.IFNA(INDEX('HS Codes'!$D$2:$K3862,MATCH($B1308,'HS Codes'!$A$2:$A3862,0),MATCH(K$1,'HS Codes'!$D$1:$K$1,0)),"")</f>
        <v/>
      </c>
      <c r="L1308" s="8" t="str">
        <f>_xlfn.IFNA(INDEX('HS Codes'!$D$2:$K3862,MATCH($B1308,'HS Codes'!$A$2:$A3862,0),MATCH(L$1,'HS Codes'!$D$1:$K$1,0)),"")</f>
        <v/>
      </c>
      <c r="M1308" s="8" t="str">
        <f>_xlfn.IFNA(INDEX('HS Codes'!$C$2:$C3862,MATCH($B1308,'HS Codes'!$A$2:$A3862,0)),"")</f>
        <v/>
      </c>
      <c r="N1308" s="9"/>
      <c r="O1308" s="9"/>
      <c r="P1308" s="9"/>
      <c r="Q1308" s="9"/>
    </row>
    <row r="1309" spans="1:17" ht="15.75" customHeight="1">
      <c r="A1309" s="7" t="s">
        <v>1602</v>
      </c>
      <c r="B1309" s="7"/>
      <c r="C1309" s="7"/>
      <c r="D1309" s="7"/>
      <c r="E1309" s="7"/>
      <c r="F1309" s="8" t="str">
        <f>_xlfn.IFNA(INDEX('HS Codes'!$D$2:$K3863,MATCH($B1309,'HS Codes'!$A$2:$A3863,0),MATCH(F$1,'HS Codes'!$D$1:$K$1,0)),"")</f>
        <v/>
      </c>
      <c r="G1309" s="8" t="str">
        <f>_xlfn.IFNA(INDEX('HS Codes'!$D$2:$K3863,MATCH($B1309,'HS Codes'!$A$2:$A3863,0),MATCH(G$1,'HS Codes'!$D$1:$K$1,0)),"")</f>
        <v/>
      </c>
      <c r="H1309" s="8" t="str">
        <f>_xlfn.IFNA(INDEX('HS Codes'!$D$2:$K3863,MATCH($B1309,'HS Codes'!$A$2:$A3863,0),MATCH(H$1,'HS Codes'!$D$1:$K$1,0)),"")</f>
        <v/>
      </c>
      <c r="I1309" s="8" t="str">
        <f>_xlfn.IFNA(INDEX('HS Codes'!$D$2:$K3863,MATCH($B1309,'HS Codes'!$A$2:$A3863,0),MATCH(I$1,'HS Codes'!$D$1:$K$1,0)),"")</f>
        <v/>
      </c>
      <c r="J1309" s="8" t="str">
        <f>_xlfn.IFNA(INDEX('HS Codes'!$D$2:$K3863,MATCH($B1309,'HS Codes'!$A$2:$A3863,0),MATCH(J$1,'HS Codes'!$D$1:$K$1,0)),"")</f>
        <v/>
      </c>
      <c r="K1309" s="8" t="str">
        <f>_xlfn.IFNA(INDEX('HS Codes'!$D$2:$K3863,MATCH($B1309,'HS Codes'!$A$2:$A3863,0),MATCH(K$1,'HS Codes'!$D$1:$K$1,0)),"")</f>
        <v/>
      </c>
      <c r="L1309" s="8" t="str">
        <f>_xlfn.IFNA(INDEX('HS Codes'!$D$2:$K3863,MATCH($B1309,'HS Codes'!$A$2:$A3863,0),MATCH(L$1,'HS Codes'!$D$1:$K$1,0)),"")</f>
        <v/>
      </c>
      <c r="M1309" s="8" t="str">
        <f>_xlfn.IFNA(INDEX('HS Codes'!$C$2:$C3863,MATCH($B1309,'HS Codes'!$A$2:$A3863,0)),"")</f>
        <v/>
      </c>
      <c r="N1309" s="9"/>
      <c r="O1309" s="9"/>
      <c r="P1309" s="9"/>
      <c r="Q1309" s="9"/>
    </row>
    <row r="1310" spans="1:17" ht="15.75" customHeight="1">
      <c r="A1310" s="7" t="s">
        <v>1603</v>
      </c>
      <c r="B1310" s="7"/>
      <c r="C1310" s="7"/>
      <c r="D1310" s="7"/>
      <c r="E1310" s="7"/>
      <c r="F1310" s="8" t="str">
        <f>_xlfn.IFNA(INDEX('HS Codes'!$D$2:$K3864,MATCH($B1310,'HS Codes'!$A$2:$A3864,0),MATCH(F$1,'HS Codes'!$D$1:$K$1,0)),"")</f>
        <v/>
      </c>
      <c r="G1310" s="8" t="str">
        <f>_xlfn.IFNA(INDEX('HS Codes'!$D$2:$K3864,MATCH($B1310,'HS Codes'!$A$2:$A3864,0),MATCH(G$1,'HS Codes'!$D$1:$K$1,0)),"")</f>
        <v/>
      </c>
      <c r="H1310" s="8" t="str">
        <f>_xlfn.IFNA(INDEX('HS Codes'!$D$2:$K3864,MATCH($B1310,'HS Codes'!$A$2:$A3864,0),MATCH(H$1,'HS Codes'!$D$1:$K$1,0)),"")</f>
        <v/>
      </c>
      <c r="I1310" s="8" t="str">
        <f>_xlfn.IFNA(INDEX('HS Codes'!$D$2:$K3864,MATCH($B1310,'HS Codes'!$A$2:$A3864,0),MATCH(I$1,'HS Codes'!$D$1:$K$1,0)),"")</f>
        <v/>
      </c>
      <c r="J1310" s="8" t="str">
        <f>_xlfn.IFNA(INDEX('HS Codes'!$D$2:$K3864,MATCH($B1310,'HS Codes'!$A$2:$A3864,0),MATCH(J$1,'HS Codes'!$D$1:$K$1,0)),"")</f>
        <v/>
      </c>
      <c r="K1310" s="8" t="str">
        <f>_xlfn.IFNA(INDEX('HS Codes'!$D$2:$K3864,MATCH($B1310,'HS Codes'!$A$2:$A3864,0),MATCH(K$1,'HS Codes'!$D$1:$K$1,0)),"")</f>
        <v/>
      </c>
      <c r="L1310" s="8" t="str">
        <f>_xlfn.IFNA(INDEX('HS Codes'!$D$2:$K3864,MATCH($B1310,'HS Codes'!$A$2:$A3864,0),MATCH(L$1,'HS Codes'!$D$1:$K$1,0)),"")</f>
        <v/>
      </c>
      <c r="M1310" s="8" t="str">
        <f>_xlfn.IFNA(INDEX('HS Codes'!$C$2:$C3864,MATCH($B1310,'HS Codes'!$A$2:$A3864,0)),"")</f>
        <v/>
      </c>
      <c r="N1310" s="9"/>
      <c r="O1310" s="9"/>
      <c r="P1310" s="9"/>
      <c r="Q1310" s="9"/>
    </row>
    <row r="1311" spans="1:17" ht="15.75" customHeight="1">
      <c r="A1311" s="7" t="s">
        <v>1604</v>
      </c>
      <c r="B1311" s="7"/>
      <c r="C1311" s="7"/>
      <c r="D1311" s="7"/>
      <c r="E1311" s="7"/>
      <c r="F1311" s="8" t="str">
        <f>_xlfn.IFNA(INDEX('HS Codes'!$D$2:$K3865,MATCH($B1311,'HS Codes'!$A$2:$A3865,0),MATCH(F$1,'HS Codes'!$D$1:$K$1,0)),"")</f>
        <v/>
      </c>
      <c r="G1311" s="8" t="str">
        <f>_xlfn.IFNA(INDEX('HS Codes'!$D$2:$K3865,MATCH($B1311,'HS Codes'!$A$2:$A3865,0),MATCH(G$1,'HS Codes'!$D$1:$K$1,0)),"")</f>
        <v/>
      </c>
      <c r="H1311" s="8" t="str">
        <f>_xlfn.IFNA(INDEX('HS Codes'!$D$2:$K3865,MATCH($B1311,'HS Codes'!$A$2:$A3865,0),MATCH(H$1,'HS Codes'!$D$1:$K$1,0)),"")</f>
        <v/>
      </c>
      <c r="I1311" s="8" t="str">
        <f>_xlfn.IFNA(INDEX('HS Codes'!$D$2:$K3865,MATCH($B1311,'HS Codes'!$A$2:$A3865,0),MATCH(I$1,'HS Codes'!$D$1:$K$1,0)),"")</f>
        <v/>
      </c>
      <c r="J1311" s="8" t="str">
        <f>_xlfn.IFNA(INDEX('HS Codes'!$D$2:$K3865,MATCH($B1311,'HS Codes'!$A$2:$A3865,0),MATCH(J$1,'HS Codes'!$D$1:$K$1,0)),"")</f>
        <v/>
      </c>
      <c r="K1311" s="8" t="str">
        <f>_xlfn.IFNA(INDEX('HS Codes'!$D$2:$K3865,MATCH($B1311,'HS Codes'!$A$2:$A3865,0),MATCH(K$1,'HS Codes'!$D$1:$K$1,0)),"")</f>
        <v/>
      </c>
      <c r="L1311" s="8" t="str">
        <f>_xlfn.IFNA(INDEX('HS Codes'!$D$2:$K3865,MATCH($B1311,'HS Codes'!$A$2:$A3865,0),MATCH(L$1,'HS Codes'!$D$1:$K$1,0)),"")</f>
        <v/>
      </c>
      <c r="M1311" s="8" t="str">
        <f>_xlfn.IFNA(INDEX('HS Codes'!$C$2:$C3865,MATCH($B1311,'HS Codes'!$A$2:$A3865,0)),"")</f>
        <v/>
      </c>
      <c r="N1311" s="9"/>
      <c r="O1311" s="9"/>
      <c r="P1311" s="9"/>
      <c r="Q1311" s="9"/>
    </row>
    <row r="1312" spans="1:17" ht="15.75" customHeight="1">
      <c r="A1312" s="7" t="s">
        <v>1605</v>
      </c>
      <c r="B1312" s="7"/>
      <c r="C1312" s="7"/>
      <c r="D1312" s="7"/>
      <c r="E1312" s="7"/>
      <c r="F1312" s="8" t="str">
        <f>_xlfn.IFNA(INDEX('HS Codes'!$D$2:$K3866,MATCH($B1312,'HS Codes'!$A$2:$A3866,0),MATCH(F$1,'HS Codes'!$D$1:$K$1,0)),"")</f>
        <v/>
      </c>
      <c r="G1312" s="8" t="str">
        <f>_xlfn.IFNA(INDEX('HS Codes'!$D$2:$K3866,MATCH($B1312,'HS Codes'!$A$2:$A3866,0),MATCH(G$1,'HS Codes'!$D$1:$K$1,0)),"")</f>
        <v/>
      </c>
      <c r="H1312" s="8" t="str">
        <f>_xlfn.IFNA(INDEX('HS Codes'!$D$2:$K3866,MATCH($B1312,'HS Codes'!$A$2:$A3866,0),MATCH(H$1,'HS Codes'!$D$1:$K$1,0)),"")</f>
        <v/>
      </c>
      <c r="I1312" s="8" t="str">
        <f>_xlfn.IFNA(INDEX('HS Codes'!$D$2:$K3866,MATCH($B1312,'HS Codes'!$A$2:$A3866,0),MATCH(I$1,'HS Codes'!$D$1:$K$1,0)),"")</f>
        <v/>
      </c>
      <c r="J1312" s="8" t="str">
        <f>_xlfn.IFNA(INDEX('HS Codes'!$D$2:$K3866,MATCH($B1312,'HS Codes'!$A$2:$A3866,0),MATCH(J$1,'HS Codes'!$D$1:$K$1,0)),"")</f>
        <v/>
      </c>
      <c r="K1312" s="8" t="str">
        <f>_xlfn.IFNA(INDEX('HS Codes'!$D$2:$K3866,MATCH($B1312,'HS Codes'!$A$2:$A3866,0),MATCH(K$1,'HS Codes'!$D$1:$K$1,0)),"")</f>
        <v/>
      </c>
      <c r="L1312" s="8" t="str">
        <f>_xlfn.IFNA(INDEX('HS Codes'!$D$2:$K3866,MATCH($B1312,'HS Codes'!$A$2:$A3866,0),MATCH(L$1,'HS Codes'!$D$1:$K$1,0)),"")</f>
        <v/>
      </c>
      <c r="M1312" s="8" t="str">
        <f>_xlfn.IFNA(INDEX('HS Codes'!$C$2:$C3866,MATCH($B1312,'HS Codes'!$A$2:$A3866,0)),"")</f>
        <v/>
      </c>
      <c r="N1312" s="9"/>
      <c r="O1312" s="9"/>
      <c r="P1312" s="9"/>
      <c r="Q1312" s="9"/>
    </row>
    <row r="1313" spans="1:17" ht="15.75" customHeight="1">
      <c r="A1313" s="7" t="s">
        <v>1606</v>
      </c>
      <c r="B1313" s="7"/>
      <c r="C1313" s="7"/>
      <c r="D1313" s="7"/>
      <c r="E1313" s="7"/>
      <c r="F1313" s="8" t="str">
        <f>_xlfn.IFNA(INDEX('HS Codes'!$D$2:$K3867,MATCH($B1313,'HS Codes'!$A$2:$A3867,0),MATCH(F$1,'HS Codes'!$D$1:$K$1,0)),"")</f>
        <v/>
      </c>
      <c r="G1313" s="8" t="str">
        <f>_xlfn.IFNA(INDEX('HS Codes'!$D$2:$K3867,MATCH($B1313,'HS Codes'!$A$2:$A3867,0),MATCH(G$1,'HS Codes'!$D$1:$K$1,0)),"")</f>
        <v/>
      </c>
      <c r="H1313" s="8" t="str">
        <f>_xlfn.IFNA(INDEX('HS Codes'!$D$2:$K3867,MATCH($B1313,'HS Codes'!$A$2:$A3867,0),MATCH(H$1,'HS Codes'!$D$1:$K$1,0)),"")</f>
        <v/>
      </c>
      <c r="I1313" s="8" t="str">
        <f>_xlfn.IFNA(INDEX('HS Codes'!$D$2:$K3867,MATCH($B1313,'HS Codes'!$A$2:$A3867,0),MATCH(I$1,'HS Codes'!$D$1:$K$1,0)),"")</f>
        <v/>
      </c>
      <c r="J1313" s="8" t="str">
        <f>_xlfn.IFNA(INDEX('HS Codes'!$D$2:$K3867,MATCH($B1313,'HS Codes'!$A$2:$A3867,0),MATCH(J$1,'HS Codes'!$D$1:$K$1,0)),"")</f>
        <v/>
      </c>
      <c r="K1313" s="8" t="str">
        <f>_xlfn.IFNA(INDEX('HS Codes'!$D$2:$K3867,MATCH($B1313,'HS Codes'!$A$2:$A3867,0),MATCH(K$1,'HS Codes'!$D$1:$K$1,0)),"")</f>
        <v/>
      </c>
      <c r="L1313" s="8" t="str">
        <f>_xlfn.IFNA(INDEX('HS Codes'!$D$2:$K3867,MATCH($B1313,'HS Codes'!$A$2:$A3867,0),MATCH(L$1,'HS Codes'!$D$1:$K$1,0)),"")</f>
        <v/>
      </c>
      <c r="M1313" s="8" t="str">
        <f>_xlfn.IFNA(INDEX('HS Codes'!$C$2:$C3867,MATCH($B1313,'HS Codes'!$A$2:$A3867,0)),"")</f>
        <v/>
      </c>
      <c r="N1313" s="9"/>
      <c r="O1313" s="9"/>
      <c r="P1313" s="9"/>
      <c r="Q1313" s="9"/>
    </row>
    <row r="1314" spans="1:17" ht="15.75" customHeight="1">
      <c r="A1314" s="7" t="s">
        <v>1607</v>
      </c>
      <c r="B1314" s="7"/>
      <c r="C1314" s="7"/>
      <c r="D1314" s="7"/>
      <c r="E1314" s="7"/>
      <c r="F1314" s="8" t="str">
        <f>_xlfn.IFNA(INDEX('HS Codes'!$D$2:$K3868,MATCH($B1314,'HS Codes'!$A$2:$A3868,0),MATCH(F$1,'HS Codes'!$D$1:$K$1,0)),"")</f>
        <v/>
      </c>
      <c r="G1314" s="8" t="str">
        <f>_xlfn.IFNA(INDEX('HS Codes'!$D$2:$K3868,MATCH($B1314,'HS Codes'!$A$2:$A3868,0),MATCH(G$1,'HS Codes'!$D$1:$K$1,0)),"")</f>
        <v/>
      </c>
      <c r="H1314" s="8" t="str">
        <f>_xlfn.IFNA(INDEX('HS Codes'!$D$2:$K3868,MATCH($B1314,'HS Codes'!$A$2:$A3868,0),MATCH(H$1,'HS Codes'!$D$1:$K$1,0)),"")</f>
        <v/>
      </c>
      <c r="I1314" s="8" t="str">
        <f>_xlfn.IFNA(INDEX('HS Codes'!$D$2:$K3868,MATCH($B1314,'HS Codes'!$A$2:$A3868,0),MATCH(I$1,'HS Codes'!$D$1:$K$1,0)),"")</f>
        <v/>
      </c>
      <c r="J1314" s="8" t="str">
        <f>_xlfn.IFNA(INDEX('HS Codes'!$D$2:$K3868,MATCH($B1314,'HS Codes'!$A$2:$A3868,0),MATCH(J$1,'HS Codes'!$D$1:$K$1,0)),"")</f>
        <v/>
      </c>
      <c r="K1314" s="8" t="str">
        <f>_xlfn.IFNA(INDEX('HS Codes'!$D$2:$K3868,MATCH($B1314,'HS Codes'!$A$2:$A3868,0),MATCH(K$1,'HS Codes'!$D$1:$K$1,0)),"")</f>
        <v/>
      </c>
      <c r="L1314" s="8" t="str">
        <f>_xlfn.IFNA(INDEX('HS Codes'!$D$2:$K3868,MATCH($B1314,'HS Codes'!$A$2:$A3868,0),MATCH(L$1,'HS Codes'!$D$1:$K$1,0)),"")</f>
        <v/>
      </c>
      <c r="M1314" s="8" t="str">
        <f>_xlfn.IFNA(INDEX('HS Codes'!$C$2:$C3868,MATCH($B1314,'HS Codes'!$A$2:$A3868,0)),"")</f>
        <v/>
      </c>
      <c r="N1314" s="9"/>
      <c r="O1314" s="9"/>
      <c r="P1314" s="9"/>
      <c r="Q1314" s="9"/>
    </row>
    <row r="1315" spans="1:17" ht="15.75" customHeight="1">
      <c r="A1315" s="7" t="s">
        <v>1608</v>
      </c>
      <c r="B1315" s="7"/>
      <c r="C1315" s="7"/>
      <c r="D1315" s="7"/>
      <c r="E1315" s="7"/>
      <c r="F1315" s="8" t="str">
        <f>_xlfn.IFNA(INDEX('HS Codes'!$D$2:$K3869,MATCH($B1315,'HS Codes'!$A$2:$A3869,0),MATCH(F$1,'HS Codes'!$D$1:$K$1,0)),"")</f>
        <v/>
      </c>
      <c r="G1315" s="8" t="str">
        <f>_xlfn.IFNA(INDEX('HS Codes'!$D$2:$K3869,MATCH($B1315,'HS Codes'!$A$2:$A3869,0),MATCH(G$1,'HS Codes'!$D$1:$K$1,0)),"")</f>
        <v/>
      </c>
      <c r="H1315" s="8" t="str">
        <f>_xlfn.IFNA(INDEX('HS Codes'!$D$2:$K3869,MATCH($B1315,'HS Codes'!$A$2:$A3869,0),MATCH(H$1,'HS Codes'!$D$1:$K$1,0)),"")</f>
        <v/>
      </c>
      <c r="I1315" s="8" t="str">
        <f>_xlfn.IFNA(INDEX('HS Codes'!$D$2:$K3869,MATCH($B1315,'HS Codes'!$A$2:$A3869,0),MATCH(I$1,'HS Codes'!$D$1:$K$1,0)),"")</f>
        <v/>
      </c>
      <c r="J1315" s="8" t="str">
        <f>_xlfn.IFNA(INDEX('HS Codes'!$D$2:$K3869,MATCH($B1315,'HS Codes'!$A$2:$A3869,0),MATCH(J$1,'HS Codes'!$D$1:$K$1,0)),"")</f>
        <v/>
      </c>
      <c r="K1315" s="8" t="str">
        <f>_xlfn.IFNA(INDEX('HS Codes'!$D$2:$K3869,MATCH($B1315,'HS Codes'!$A$2:$A3869,0),MATCH(K$1,'HS Codes'!$D$1:$K$1,0)),"")</f>
        <v/>
      </c>
      <c r="L1315" s="8" t="str">
        <f>_xlfn.IFNA(INDEX('HS Codes'!$D$2:$K3869,MATCH($B1315,'HS Codes'!$A$2:$A3869,0),MATCH(L$1,'HS Codes'!$D$1:$K$1,0)),"")</f>
        <v/>
      </c>
      <c r="M1315" s="8" t="str">
        <f>_xlfn.IFNA(INDEX('HS Codes'!$C$2:$C3869,MATCH($B1315,'HS Codes'!$A$2:$A3869,0)),"")</f>
        <v/>
      </c>
      <c r="N1315" s="9"/>
      <c r="O1315" s="9"/>
      <c r="P1315" s="9"/>
      <c r="Q1315" s="9"/>
    </row>
    <row r="1316" spans="1:17" ht="15.75" customHeight="1">
      <c r="A1316" s="7" t="s">
        <v>1609</v>
      </c>
      <c r="B1316" s="7"/>
      <c r="C1316" s="7"/>
      <c r="D1316" s="7"/>
      <c r="E1316" s="7"/>
      <c r="F1316" s="8" t="str">
        <f>_xlfn.IFNA(INDEX('HS Codes'!$D$2:$K3870,MATCH($B1316,'HS Codes'!$A$2:$A3870,0),MATCH(F$1,'HS Codes'!$D$1:$K$1,0)),"")</f>
        <v/>
      </c>
      <c r="G1316" s="8" t="str">
        <f>_xlfn.IFNA(INDEX('HS Codes'!$D$2:$K3870,MATCH($B1316,'HS Codes'!$A$2:$A3870,0),MATCH(G$1,'HS Codes'!$D$1:$K$1,0)),"")</f>
        <v/>
      </c>
      <c r="H1316" s="8" t="str">
        <f>_xlfn.IFNA(INDEX('HS Codes'!$D$2:$K3870,MATCH($B1316,'HS Codes'!$A$2:$A3870,0),MATCH(H$1,'HS Codes'!$D$1:$K$1,0)),"")</f>
        <v/>
      </c>
      <c r="I1316" s="8" t="str">
        <f>_xlfn.IFNA(INDEX('HS Codes'!$D$2:$K3870,MATCH($B1316,'HS Codes'!$A$2:$A3870,0),MATCH(I$1,'HS Codes'!$D$1:$K$1,0)),"")</f>
        <v/>
      </c>
      <c r="J1316" s="8" t="str">
        <f>_xlfn.IFNA(INDEX('HS Codes'!$D$2:$K3870,MATCH($B1316,'HS Codes'!$A$2:$A3870,0),MATCH(J$1,'HS Codes'!$D$1:$K$1,0)),"")</f>
        <v/>
      </c>
      <c r="K1316" s="8" t="str">
        <f>_xlfn.IFNA(INDEX('HS Codes'!$D$2:$K3870,MATCH($B1316,'HS Codes'!$A$2:$A3870,0),MATCH(K$1,'HS Codes'!$D$1:$K$1,0)),"")</f>
        <v/>
      </c>
      <c r="L1316" s="8" t="str">
        <f>_xlfn.IFNA(INDEX('HS Codes'!$D$2:$K3870,MATCH($B1316,'HS Codes'!$A$2:$A3870,0),MATCH(L$1,'HS Codes'!$D$1:$K$1,0)),"")</f>
        <v/>
      </c>
      <c r="M1316" s="8" t="str">
        <f>_xlfn.IFNA(INDEX('HS Codes'!$C$2:$C3870,MATCH($B1316,'HS Codes'!$A$2:$A3870,0)),"")</f>
        <v/>
      </c>
      <c r="N1316" s="9"/>
      <c r="O1316" s="9"/>
      <c r="P1316" s="9"/>
      <c r="Q1316" s="9"/>
    </row>
    <row r="1317" spans="1:17" ht="15.75" customHeight="1">
      <c r="A1317" s="7" t="s">
        <v>1610</v>
      </c>
      <c r="B1317" s="7"/>
      <c r="C1317" s="7"/>
      <c r="D1317" s="7"/>
      <c r="E1317" s="7"/>
      <c r="F1317" s="8" t="str">
        <f>_xlfn.IFNA(INDEX('HS Codes'!$D$2:$K3871,MATCH($B1317,'HS Codes'!$A$2:$A3871,0),MATCH(F$1,'HS Codes'!$D$1:$K$1,0)),"")</f>
        <v/>
      </c>
      <c r="G1317" s="8" t="str">
        <f>_xlfn.IFNA(INDEX('HS Codes'!$D$2:$K3871,MATCH($B1317,'HS Codes'!$A$2:$A3871,0),MATCH(G$1,'HS Codes'!$D$1:$K$1,0)),"")</f>
        <v/>
      </c>
      <c r="H1317" s="8" t="str">
        <f>_xlfn.IFNA(INDEX('HS Codes'!$D$2:$K3871,MATCH($B1317,'HS Codes'!$A$2:$A3871,0),MATCH(H$1,'HS Codes'!$D$1:$K$1,0)),"")</f>
        <v/>
      </c>
      <c r="I1317" s="8" t="str">
        <f>_xlfn.IFNA(INDEX('HS Codes'!$D$2:$K3871,MATCH($B1317,'HS Codes'!$A$2:$A3871,0),MATCH(I$1,'HS Codes'!$D$1:$K$1,0)),"")</f>
        <v/>
      </c>
      <c r="J1317" s="8" t="str">
        <f>_xlfn.IFNA(INDEX('HS Codes'!$D$2:$K3871,MATCH($B1317,'HS Codes'!$A$2:$A3871,0),MATCH(J$1,'HS Codes'!$D$1:$K$1,0)),"")</f>
        <v/>
      </c>
      <c r="K1317" s="8" t="str">
        <f>_xlfn.IFNA(INDEX('HS Codes'!$D$2:$K3871,MATCH($B1317,'HS Codes'!$A$2:$A3871,0),MATCH(K$1,'HS Codes'!$D$1:$K$1,0)),"")</f>
        <v/>
      </c>
      <c r="L1317" s="8" t="str">
        <f>_xlfn.IFNA(INDEX('HS Codes'!$D$2:$K3871,MATCH($B1317,'HS Codes'!$A$2:$A3871,0),MATCH(L$1,'HS Codes'!$D$1:$K$1,0)),"")</f>
        <v/>
      </c>
      <c r="M1317" s="8" t="str">
        <f>_xlfn.IFNA(INDEX('HS Codes'!$C$2:$C3871,MATCH($B1317,'HS Codes'!$A$2:$A3871,0)),"")</f>
        <v/>
      </c>
      <c r="N1317" s="9"/>
      <c r="O1317" s="9"/>
      <c r="P1317" s="9"/>
      <c r="Q1317" s="9"/>
    </row>
    <row r="1318" spans="1:17" ht="15.75" customHeight="1">
      <c r="A1318" s="7" t="s">
        <v>1611</v>
      </c>
      <c r="B1318" s="7" t="s">
        <v>220</v>
      </c>
      <c r="C1318" s="7"/>
      <c r="D1318" s="7" t="s">
        <v>221</v>
      </c>
      <c r="E1318" s="7" t="s">
        <v>322</v>
      </c>
      <c r="F1318" s="8">
        <f>_xlfn.IFNA(INDEX('HS Codes'!$D$2:$K3872,MATCH($B1318,'HS Codes'!$A$2:$A3872,0),MATCH(F$1,'HS Codes'!$D$1:$K$1,0)),"")</f>
        <v>0</v>
      </c>
      <c r="G1318" s="8">
        <f>_xlfn.IFNA(INDEX('HS Codes'!$D$2:$K3872,MATCH($B1318,'HS Codes'!$A$2:$A3872,0),MATCH(G$1,'HS Codes'!$D$1:$K$1,0)),"")</f>
        <v>0</v>
      </c>
      <c r="H1318" s="8">
        <f>_xlfn.IFNA(INDEX('HS Codes'!$D$2:$K3872,MATCH($B1318,'HS Codes'!$A$2:$A3872,0),MATCH(H$1,'HS Codes'!$D$1:$K$1,0)),"")</f>
        <v>0</v>
      </c>
      <c r="I1318" s="8">
        <f>_xlfn.IFNA(INDEX('HS Codes'!$D$2:$K3872,MATCH($B1318,'HS Codes'!$A$2:$A3872,0),MATCH(I$1,'HS Codes'!$D$1:$K$1,0)),"")</f>
        <v>0</v>
      </c>
      <c r="J1318" s="8">
        <f>_xlfn.IFNA(INDEX('HS Codes'!$D$2:$K3872,MATCH($B1318,'HS Codes'!$A$2:$A3872,0),MATCH(J$1,'HS Codes'!$D$1:$K$1,0)),"")</f>
        <v>0</v>
      </c>
      <c r="K1318" s="8">
        <f>_xlfn.IFNA(INDEX('HS Codes'!$D$2:$K3872,MATCH($B1318,'HS Codes'!$A$2:$A3872,0),MATCH(K$1,'HS Codes'!$D$1:$K$1,0)),"")</f>
        <v>0</v>
      </c>
      <c r="L1318" s="8">
        <f>_xlfn.IFNA(INDEX('HS Codes'!$D$2:$K3872,MATCH($B1318,'HS Codes'!$A$2:$A3872,0),MATCH(L$1,'HS Codes'!$D$1:$K$1,0)),"")</f>
        <v>0</v>
      </c>
      <c r="M1318" s="8">
        <f>_xlfn.IFNA(INDEX('HS Codes'!$C$2:$C3872,MATCH($B1318,'HS Codes'!$A$2:$A3872,0)),"")</f>
        <v>0</v>
      </c>
      <c r="N1318" s="9"/>
      <c r="O1318" s="9"/>
      <c r="P1318" s="9"/>
      <c r="Q1318" s="9"/>
    </row>
    <row r="1319" spans="1:17" ht="15.75" customHeight="1">
      <c r="A1319" s="7" t="s">
        <v>1612</v>
      </c>
      <c r="B1319" s="7" t="s">
        <v>220</v>
      </c>
      <c r="C1319" s="7"/>
      <c r="D1319" s="7" t="s">
        <v>221</v>
      </c>
      <c r="E1319" s="7" t="s">
        <v>322</v>
      </c>
      <c r="F1319" s="8">
        <f>_xlfn.IFNA(INDEX('HS Codes'!$D$2:$K3873,MATCH($B1319,'HS Codes'!$A$2:$A3873,0),MATCH(F$1,'HS Codes'!$D$1:$K$1,0)),"")</f>
        <v>0</v>
      </c>
      <c r="G1319" s="8">
        <f>_xlfn.IFNA(INDEX('HS Codes'!$D$2:$K3873,MATCH($B1319,'HS Codes'!$A$2:$A3873,0),MATCH(G$1,'HS Codes'!$D$1:$K$1,0)),"")</f>
        <v>0</v>
      </c>
      <c r="H1319" s="8">
        <f>_xlfn.IFNA(INDEX('HS Codes'!$D$2:$K3873,MATCH($B1319,'HS Codes'!$A$2:$A3873,0),MATCH(H$1,'HS Codes'!$D$1:$K$1,0)),"")</f>
        <v>0</v>
      </c>
      <c r="I1319" s="8">
        <f>_xlfn.IFNA(INDEX('HS Codes'!$D$2:$K3873,MATCH($B1319,'HS Codes'!$A$2:$A3873,0),MATCH(I$1,'HS Codes'!$D$1:$K$1,0)),"")</f>
        <v>0</v>
      </c>
      <c r="J1319" s="8">
        <f>_xlfn.IFNA(INDEX('HS Codes'!$D$2:$K3873,MATCH($B1319,'HS Codes'!$A$2:$A3873,0),MATCH(J$1,'HS Codes'!$D$1:$K$1,0)),"")</f>
        <v>0</v>
      </c>
      <c r="K1319" s="8">
        <f>_xlfn.IFNA(INDEX('HS Codes'!$D$2:$K3873,MATCH($B1319,'HS Codes'!$A$2:$A3873,0),MATCH(K$1,'HS Codes'!$D$1:$K$1,0)),"")</f>
        <v>0</v>
      </c>
      <c r="L1319" s="8">
        <f>_xlfn.IFNA(INDEX('HS Codes'!$D$2:$K3873,MATCH($B1319,'HS Codes'!$A$2:$A3873,0),MATCH(L$1,'HS Codes'!$D$1:$K$1,0)),"")</f>
        <v>0</v>
      </c>
      <c r="M1319" s="8">
        <f>_xlfn.IFNA(INDEX('HS Codes'!$C$2:$C3873,MATCH($B1319,'HS Codes'!$A$2:$A3873,0)),"")</f>
        <v>0</v>
      </c>
      <c r="N1319" s="9"/>
      <c r="O1319" s="9"/>
      <c r="P1319" s="9"/>
      <c r="Q1319" s="9"/>
    </row>
    <row r="1320" spans="1:17" ht="15.75" customHeight="1">
      <c r="A1320" s="7" t="s">
        <v>1613</v>
      </c>
      <c r="B1320" s="7" t="s">
        <v>220</v>
      </c>
      <c r="C1320" s="7"/>
      <c r="D1320" s="7" t="s">
        <v>221</v>
      </c>
      <c r="E1320" s="7" t="s">
        <v>322</v>
      </c>
      <c r="F1320" s="8">
        <f>_xlfn.IFNA(INDEX('HS Codes'!$D$2:$K3874,MATCH($B1320,'HS Codes'!$A$2:$A3874,0),MATCH(F$1,'HS Codes'!$D$1:$K$1,0)),"")</f>
        <v>0</v>
      </c>
      <c r="G1320" s="8">
        <f>_xlfn.IFNA(INDEX('HS Codes'!$D$2:$K3874,MATCH($B1320,'HS Codes'!$A$2:$A3874,0),MATCH(G$1,'HS Codes'!$D$1:$K$1,0)),"")</f>
        <v>0</v>
      </c>
      <c r="H1320" s="8">
        <f>_xlfn.IFNA(INDEX('HS Codes'!$D$2:$K3874,MATCH($B1320,'HS Codes'!$A$2:$A3874,0),MATCH(H$1,'HS Codes'!$D$1:$K$1,0)),"")</f>
        <v>0</v>
      </c>
      <c r="I1320" s="8">
        <f>_xlfn.IFNA(INDEX('HS Codes'!$D$2:$K3874,MATCH($B1320,'HS Codes'!$A$2:$A3874,0),MATCH(I$1,'HS Codes'!$D$1:$K$1,0)),"")</f>
        <v>0</v>
      </c>
      <c r="J1320" s="8">
        <f>_xlfn.IFNA(INDEX('HS Codes'!$D$2:$K3874,MATCH($B1320,'HS Codes'!$A$2:$A3874,0),MATCH(J$1,'HS Codes'!$D$1:$K$1,0)),"")</f>
        <v>0</v>
      </c>
      <c r="K1320" s="8">
        <f>_xlfn.IFNA(INDEX('HS Codes'!$D$2:$K3874,MATCH($B1320,'HS Codes'!$A$2:$A3874,0),MATCH(K$1,'HS Codes'!$D$1:$K$1,0)),"")</f>
        <v>0</v>
      </c>
      <c r="L1320" s="8">
        <f>_xlfn.IFNA(INDEX('HS Codes'!$D$2:$K3874,MATCH($B1320,'HS Codes'!$A$2:$A3874,0),MATCH(L$1,'HS Codes'!$D$1:$K$1,0)),"")</f>
        <v>0</v>
      </c>
      <c r="M1320" s="8">
        <f>_xlfn.IFNA(INDEX('HS Codes'!$C$2:$C3874,MATCH($B1320,'HS Codes'!$A$2:$A3874,0)),"")</f>
        <v>0</v>
      </c>
      <c r="N1320" s="9"/>
      <c r="O1320" s="9"/>
      <c r="P1320" s="9"/>
      <c r="Q1320" s="9"/>
    </row>
    <row r="1321" spans="1:17" ht="15.75" customHeight="1">
      <c r="A1321" s="7" t="s">
        <v>1614</v>
      </c>
      <c r="B1321" s="7" t="s">
        <v>220</v>
      </c>
      <c r="C1321" s="7"/>
      <c r="D1321" s="7" t="s">
        <v>221</v>
      </c>
      <c r="E1321" s="7" t="s">
        <v>322</v>
      </c>
      <c r="F1321" s="8">
        <f>_xlfn.IFNA(INDEX('HS Codes'!$D$2:$K3875,MATCH($B1321,'HS Codes'!$A$2:$A3875,0),MATCH(F$1,'HS Codes'!$D$1:$K$1,0)),"")</f>
        <v>0</v>
      </c>
      <c r="G1321" s="8">
        <f>_xlfn.IFNA(INDEX('HS Codes'!$D$2:$K3875,MATCH($B1321,'HS Codes'!$A$2:$A3875,0),MATCH(G$1,'HS Codes'!$D$1:$K$1,0)),"")</f>
        <v>0</v>
      </c>
      <c r="H1321" s="8">
        <f>_xlfn.IFNA(INDEX('HS Codes'!$D$2:$K3875,MATCH($B1321,'HS Codes'!$A$2:$A3875,0),MATCH(H$1,'HS Codes'!$D$1:$K$1,0)),"")</f>
        <v>0</v>
      </c>
      <c r="I1321" s="8">
        <f>_xlfn.IFNA(INDEX('HS Codes'!$D$2:$K3875,MATCH($B1321,'HS Codes'!$A$2:$A3875,0),MATCH(I$1,'HS Codes'!$D$1:$K$1,0)),"")</f>
        <v>0</v>
      </c>
      <c r="J1321" s="8">
        <f>_xlfn.IFNA(INDEX('HS Codes'!$D$2:$K3875,MATCH($B1321,'HS Codes'!$A$2:$A3875,0),MATCH(J$1,'HS Codes'!$D$1:$K$1,0)),"")</f>
        <v>0</v>
      </c>
      <c r="K1321" s="8">
        <f>_xlfn.IFNA(INDEX('HS Codes'!$D$2:$K3875,MATCH($B1321,'HS Codes'!$A$2:$A3875,0),MATCH(K$1,'HS Codes'!$D$1:$K$1,0)),"")</f>
        <v>0</v>
      </c>
      <c r="L1321" s="8">
        <f>_xlfn.IFNA(INDEX('HS Codes'!$D$2:$K3875,MATCH($B1321,'HS Codes'!$A$2:$A3875,0),MATCH(L$1,'HS Codes'!$D$1:$K$1,0)),"")</f>
        <v>0</v>
      </c>
      <c r="M1321" s="8">
        <f>_xlfn.IFNA(INDEX('HS Codes'!$C$2:$C3875,MATCH($B1321,'HS Codes'!$A$2:$A3875,0)),"")</f>
        <v>0</v>
      </c>
      <c r="N1321" s="9"/>
      <c r="O1321" s="9"/>
      <c r="P1321" s="9"/>
      <c r="Q1321" s="9"/>
    </row>
    <row r="1322" spans="1:17" ht="15.75" customHeight="1">
      <c r="A1322" s="7" t="s">
        <v>1615</v>
      </c>
      <c r="B1322" s="7" t="s">
        <v>220</v>
      </c>
      <c r="C1322" s="7"/>
      <c r="D1322" s="7" t="s">
        <v>221</v>
      </c>
      <c r="E1322" s="7" t="s">
        <v>322</v>
      </c>
      <c r="F1322" s="8">
        <f>_xlfn.IFNA(INDEX('HS Codes'!$D$2:$K3876,MATCH($B1322,'HS Codes'!$A$2:$A3876,0),MATCH(F$1,'HS Codes'!$D$1:$K$1,0)),"")</f>
        <v>0</v>
      </c>
      <c r="G1322" s="8">
        <f>_xlfn.IFNA(INDEX('HS Codes'!$D$2:$K3876,MATCH($B1322,'HS Codes'!$A$2:$A3876,0),MATCH(G$1,'HS Codes'!$D$1:$K$1,0)),"")</f>
        <v>0</v>
      </c>
      <c r="H1322" s="8">
        <f>_xlfn.IFNA(INDEX('HS Codes'!$D$2:$K3876,MATCH($B1322,'HS Codes'!$A$2:$A3876,0),MATCH(H$1,'HS Codes'!$D$1:$K$1,0)),"")</f>
        <v>0</v>
      </c>
      <c r="I1322" s="8">
        <f>_xlfn.IFNA(INDEX('HS Codes'!$D$2:$K3876,MATCH($B1322,'HS Codes'!$A$2:$A3876,0),MATCH(I$1,'HS Codes'!$D$1:$K$1,0)),"")</f>
        <v>0</v>
      </c>
      <c r="J1322" s="8">
        <f>_xlfn.IFNA(INDEX('HS Codes'!$D$2:$K3876,MATCH($B1322,'HS Codes'!$A$2:$A3876,0),MATCH(J$1,'HS Codes'!$D$1:$K$1,0)),"")</f>
        <v>0</v>
      </c>
      <c r="K1322" s="8">
        <f>_xlfn.IFNA(INDEX('HS Codes'!$D$2:$K3876,MATCH($B1322,'HS Codes'!$A$2:$A3876,0),MATCH(K$1,'HS Codes'!$D$1:$K$1,0)),"")</f>
        <v>0</v>
      </c>
      <c r="L1322" s="8">
        <f>_xlfn.IFNA(INDEX('HS Codes'!$D$2:$K3876,MATCH($B1322,'HS Codes'!$A$2:$A3876,0),MATCH(L$1,'HS Codes'!$D$1:$K$1,0)),"")</f>
        <v>0</v>
      </c>
      <c r="M1322" s="8">
        <f>_xlfn.IFNA(INDEX('HS Codes'!$C$2:$C3876,MATCH($B1322,'HS Codes'!$A$2:$A3876,0)),"")</f>
        <v>0</v>
      </c>
      <c r="N1322" s="9"/>
      <c r="O1322" s="9"/>
      <c r="P1322" s="9"/>
      <c r="Q1322" s="9"/>
    </row>
    <row r="1323" spans="1:17" ht="15.75" customHeight="1">
      <c r="A1323" s="7" t="s">
        <v>1616</v>
      </c>
      <c r="B1323" s="7" t="s">
        <v>224</v>
      </c>
      <c r="C1323" s="7"/>
      <c r="D1323" s="7" t="s">
        <v>225</v>
      </c>
      <c r="E1323" s="7" t="s">
        <v>322</v>
      </c>
      <c r="F1323" s="8">
        <f>_xlfn.IFNA(INDEX('HS Codes'!$D$2:$K3877,MATCH($B1323,'HS Codes'!$A$2:$A3877,0),MATCH(F$1,'HS Codes'!$D$1:$K$1,0)),"")</f>
        <v>0</v>
      </c>
      <c r="G1323" s="8">
        <f>_xlfn.IFNA(INDEX('HS Codes'!$D$2:$K3877,MATCH($B1323,'HS Codes'!$A$2:$A3877,0),MATCH(G$1,'HS Codes'!$D$1:$K$1,0)),"")</f>
        <v>0</v>
      </c>
      <c r="H1323" s="8">
        <f>_xlfn.IFNA(INDEX('HS Codes'!$D$2:$K3877,MATCH($B1323,'HS Codes'!$A$2:$A3877,0),MATCH(H$1,'HS Codes'!$D$1:$K$1,0)),"")</f>
        <v>0</v>
      </c>
      <c r="I1323" s="8">
        <f>_xlfn.IFNA(INDEX('HS Codes'!$D$2:$K3877,MATCH($B1323,'HS Codes'!$A$2:$A3877,0),MATCH(I$1,'HS Codes'!$D$1:$K$1,0)),"")</f>
        <v>0</v>
      </c>
      <c r="J1323" s="8">
        <f>_xlfn.IFNA(INDEX('HS Codes'!$D$2:$K3877,MATCH($B1323,'HS Codes'!$A$2:$A3877,0),MATCH(J$1,'HS Codes'!$D$1:$K$1,0)),"")</f>
        <v>0</v>
      </c>
      <c r="K1323" s="8">
        <f>_xlfn.IFNA(INDEX('HS Codes'!$D$2:$K3877,MATCH($B1323,'HS Codes'!$A$2:$A3877,0),MATCH(K$1,'HS Codes'!$D$1:$K$1,0)),"")</f>
        <v>0</v>
      </c>
      <c r="L1323" s="8">
        <f>_xlfn.IFNA(INDEX('HS Codes'!$D$2:$K3877,MATCH($B1323,'HS Codes'!$A$2:$A3877,0),MATCH(L$1,'HS Codes'!$D$1:$K$1,0)),"")</f>
        <v>0</v>
      </c>
      <c r="M1323" s="8">
        <f>_xlfn.IFNA(INDEX('HS Codes'!$C$2:$C3877,MATCH($B1323,'HS Codes'!$A$2:$A3877,0)),"")</f>
        <v>0</v>
      </c>
      <c r="N1323" s="9"/>
      <c r="O1323" s="9"/>
      <c r="P1323" s="9"/>
      <c r="Q1323" s="9"/>
    </row>
    <row r="1324" spans="1:17" ht="15.75" customHeight="1">
      <c r="A1324" s="7" t="s">
        <v>1617</v>
      </c>
      <c r="B1324" s="7" t="s">
        <v>224</v>
      </c>
      <c r="C1324" s="7"/>
      <c r="D1324" s="7" t="s">
        <v>225</v>
      </c>
      <c r="E1324" s="7" t="s">
        <v>322</v>
      </c>
      <c r="F1324" s="8">
        <f>_xlfn.IFNA(INDEX('HS Codes'!$D$2:$K3878,MATCH($B1324,'HS Codes'!$A$2:$A3878,0),MATCH(F$1,'HS Codes'!$D$1:$K$1,0)),"")</f>
        <v>0</v>
      </c>
      <c r="G1324" s="8">
        <f>_xlfn.IFNA(INDEX('HS Codes'!$D$2:$K3878,MATCH($B1324,'HS Codes'!$A$2:$A3878,0),MATCH(G$1,'HS Codes'!$D$1:$K$1,0)),"")</f>
        <v>0</v>
      </c>
      <c r="H1324" s="8">
        <f>_xlfn.IFNA(INDEX('HS Codes'!$D$2:$K3878,MATCH($B1324,'HS Codes'!$A$2:$A3878,0),MATCH(H$1,'HS Codes'!$D$1:$K$1,0)),"")</f>
        <v>0</v>
      </c>
      <c r="I1324" s="8">
        <f>_xlfn.IFNA(INDEX('HS Codes'!$D$2:$K3878,MATCH($B1324,'HS Codes'!$A$2:$A3878,0),MATCH(I$1,'HS Codes'!$D$1:$K$1,0)),"")</f>
        <v>0</v>
      </c>
      <c r="J1324" s="8">
        <f>_xlfn.IFNA(INDEX('HS Codes'!$D$2:$K3878,MATCH($B1324,'HS Codes'!$A$2:$A3878,0),MATCH(J$1,'HS Codes'!$D$1:$K$1,0)),"")</f>
        <v>0</v>
      </c>
      <c r="K1324" s="8">
        <f>_xlfn.IFNA(INDEX('HS Codes'!$D$2:$K3878,MATCH($B1324,'HS Codes'!$A$2:$A3878,0),MATCH(K$1,'HS Codes'!$D$1:$K$1,0)),"")</f>
        <v>0</v>
      </c>
      <c r="L1324" s="8">
        <f>_xlfn.IFNA(INDEX('HS Codes'!$D$2:$K3878,MATCH($B1324,'HS Codes'!$A$2:$A3878,0),MATCH(L$1,'HS Codes'!$D$1:$K$1,0)),"")</f>
        <v>0</v>
      </c>
      <c r="M1324" s="8">
        <f>_xlfn.IFNA(INDEX('HS Codes'!$C$2:$C3878,MATCH($B1324,'HS Codes'!$A$2:$A3878,0)),"")</f>
        <v>0</v>
      </c>
      <c r="N1324" s="9"/>
      <c r="O1324" s="9"/>
      <c r="P1324" s="9"/>
      <c r="Q1324" s="9"/>
    </row>
    <row r="1325" spans="1:17" ht="15.75" customHeight="1">
      <c r="A1325" s="7" t="s">
        <v>1618</v>
      </c>
      <c r="B1325" s="7" t="s">
        <v>224</v>
      </c>
      <c r="C1325" s="7"/>
      <c r="D1325" s="7" t="s">
        <v>225</v>
      </c>
      <c r="E1325" s="7" t="s">
        <v>322</v>
      </c>
      <c r="F1325" s="8">
        <f>_xlfn.IFNA(INDEX('HS Codes'!$D$2:$K3879,MATCH($B1325,'HS Codes'!$A$2:$A3879,0),MATCH(F$1,'HS Codes'!$D$1:$K$1,0)),"")</f>
        <v>0</v>
      </c>
      <c r="G1325" s="8">
        <f>_xlfn.IFNA(INDEX('HS Codes'!$D$2:$K3879,MATCH($B1325,'HS Codes'!$A$2:$A3879,0),MATCH(G$1,'HS Codes'!$D$1:$K$1,0)),"")</f>
        <v>0</v>
      </c>
      <c r="H1325" s="8">
        <f>_xlfn.IFNA(INDEX('HS Codes'!$D$2:$K3879,MATCH($B1325,'HS Codes'!$A$2:$A3879,0),MATCH(H$1,'HS Codes'!$D$1:$K$1,0)),"")</f>
        <v>0</v>
      </c>
      <c r="I1325" s="8">
        <f>_xlfn.IFNA(INDEX('HS Codes'!$D$2:$K3879,MATCH($B1325,'HS Codes'!$A$2:$A3879,0),MATCH(I$1,'HS Codes'!$D$1:$K$1,0)),"")</f>
        <v>0</v>
      </c>
      <c r="J1325" s="8">
        <f>_xlfn.IFNA(INDEX('HS Codes'!$D$2:$K3879,MATCH($B1325,'HS Codes'!$A$2:$A3879,0),MATCH(J$1,'HS Codes'!$D$1:$K$1,0)),"")</f>
        <v>0</v>
      </c>
      <c r="K1325" s="8">
        <f>_xlfn.IFNA(INDEX('HS Codes'!$D$2:$K3879,MATCH($B1325,'HS Codes'!$A$2:$A3879,0),MATCH(K$1,'HS Codes'!$D$1:$K$1,0)),"")</f>
        <v>0</v>
      </c>
      <c r="L1325" s="8">
        <f>_xlfn.IFNA(INDEX('HS Codes'!$D$2:$K3879,MATCH($B1325,'HS Codes'!$A$2:$A3879,0),MATCH(L$1,'HS Codes'!$D$1:$K$1,0)),"")</f>
        <v>0</v>
      </c>
      <c r="M1325" s="8">
        <f>_xlfn.IFNA(INDEX('HS Codes'!$C$2:$C3879,MATCH($B1325,'HS Codes'!$A$2:$A3879,0)),"")</f>
        <v>0</v>
      </c>
      <c r="N1325" s="9"/>
      <c r="O1325" s="9"/>
      <c r="P1325" s="9"/>
      <c r="Q1325" s="9"/>
    </row>
    <row r="1326" spans="1:17" ht="15.75" customHeight="1">
      <c r="A1326" s="7" t="s">
        <v>1619</v>
      </c>
      <c r="B1326" s="7" t="s">
        <v>224</v>
      </c>
      <c r="C1326" s="7"/>
      <c r="D1326" s="7" t="s">
        <v>225</v>
      </c>
      <c r="E1326" s="7" t="s">
        <v>322</v>
      </c>
      <c r="F1326" s="8">
        <f>_xlfn.IFNA(INDEX('HS Codes'!$D$2:$K3880,MATCH($B1326,'HS Codes'!$A$2:$A3880,0),MATCH(F$1,'HS Codes'!$D$1:$K$1,0)),"")</f>
        <v>0</v>
      </c>
      <c r="G1326" s="8">
        <f>_xlfn.IFNA(INDEX('HS Codes'!$D$2:$K3880,MATCH($B1326,'HS Codes'!$A$2:$A3880,0),MATCH(G$1,'HS Codes'!$D$1:$K$1,0)),"")</f>
        <v>0</v>
      </c>
      <c r="H1326" s="8">
        <f>_xlfn.IFNA(INDEX('HS Codes'!$D$2:$K3880,MATCH($B1326,'HS Codes'!$A$2:$A3880,0),MATCH(H$1,'HS Codes'!$D$1:$K$1,0)),"")</f>
        <v>0</v>
      </c>
      <c r="I1326" s="8">
        <f>_xlfn.IFNA(INDEX('HS Codes'!$D$2:$K3880,MATCH($B1326,'HS Codes'!$A$2:$A3880,0),MATCH(I$1,'HS Codes'!$D$1:$K$1,0)),"")</f>
        <v>0</v>
      </c>
      <c r="J1326" s="8">
        <f>_xlfn.IFNA(INDEX('HS Codes'!$D$2:$K3880,MATCH($B1326,'HS Codes'!$A$2:$A3880,0),MATCH(J$1,'HS Codes'!$D$1:$K$1,0)),"")</f>
        <v>0</v>
      </c>
      <c r="K1326" s="8">
        <f>_xlfn.IFNA(INDEX('HS Codes'!$D$2:$K3880,MATCH($B1326,'HS Codes'!$A$2:$A3880,0),MATCH(K$1,'HS Codes'!$D$1:$K$1,0)),"")</f>
        <v>0</v>
      </c>
      <c r="L1326" s="8">
        <f>_xlfn.IFNA(INDEX('HS Codes'!$D$2:$K3880,MATCH($B1326,'HS Codes'!$A$2:$A3880,0),MATCH(L$1,'HS Codes'!$D$1:$K$1,0)),"")</f>
        <v>0</v>
      </c>
      <c r="M1326" s="8">
        <f>_xlfn.IFNA(INDEX('HS Codes'!$C$2:$C3880,MATCH($B1326,'HS Codes'!$A$2:$A3880,0)),"")</f>
        <v>0</v>
      </c>
      <c r="N1326" s="9"/>
      <c r="O1326" s="9"/>
      <c r="P1326" s="9"/>
      <c r="Q1326" s="9"/>
    </row>
    <row r="1327" spans="1:17" ht="15.75" customHeight="1">
      <c r="A1327" s="7" t="s">
        <v>1620</v>
      </c>
      <c r="B1327" s="7" t="s">
        <v>224</v>
      </c>
      <c r="C1327" s="7"/>
      <c r="D1327" s="7" t="s">
        <v>225</v>
      </c>
      <c r="E1327" s="7" t="s">
        <v>322</v>
      </c>
      <c r="F1327" s="8">
        <f>_xlfn.IFNA(INDEX('HS Codes'!$D$2:$K3881,MATCH($B1327,'HS Codes'!$A$2:$A3881,0),MATCH(F$1,'HS Codes'!$D$1:$K$1,0)),"")</f>
        <v>0</v>
      </c>
      <c r="G1327" s="8">
        <f>_xlfn.IFNA(INDEX('HS Codes'!$D$2:$K3881,MATCH($B1327,'HS Codes'!$A$2:$A3881,0),MATCH(G$1,'HS Codes'!$D$1:$K$1,0)),"")</f>
        <v>0</v>
      </c>
      <c r="H1327" s="8">
        <f>_xlfn.IFNA(INDEX('HS Codes'!$D$2:$K3881,MATCH($B1327,'HS Codes'!$A$2:$A3881,0),MATCH(H$1,'HS Codes'!$D$1:$K$1,0)),"")</f>
        <v>0</v>
      </c>
      <c r="I1327" s="8">
        <f>_xlfn.IFNA(INDEX('HS Codes'!$D$2:$K3881,MATCH($B1327,'HS Codes'!$A$2:$A3881,0),MATCH(I$1,'HS Codes'!$D$1:$K$1,0)),"")</f>
        <v>0</v>
      </c>
      <c r="J1327" s="8">
        <f>_xlfn.IFNA(INDEX('HS Codes'!$D$2:$K3881,MATCH($B1327,'HS Codes'!$A$2:$A3881,0),MATCH(J$1,'HS Codes'!$D$1:$K$1,0)),"")</f>
        <v>0</v>
      </c>
      <c r="K1327" s="8">
        <f>_xlfn.IFNA(INDEX('HS Codes'!$D$2:$K3881,MATCH($B1327,'HS Codes'!$A$2:$A3881,0),MATCH(K$1,'HS Codes'!$D$1:$K$1,0)),"")</f>
        <v>0</v>
      </c>
      <c r="L1327" s="8">
        <f>_xlfn.IFNA(INDEX('HS Codes'!$D$2:$K3881,MATCH($B1327,'HS Codes'!$A$2:$A3881,0),MATCH(L$1,'HS Codes'!$D$1:$K$1,0)),"")</f>
        <v>0</v>
      </c>
      <c r="M1327" s="8">
        <f>_xlfn.IFNA(INDEX('HS Codes'!$C$2:$C3881,MATCH($B1327,'HS Codes'!$A$2:$A3881,0)),"")</f>
        <v>0</v>
      </c>
      <c r="N1327" s="9"/>
      <c r="O1327" s="9"/>
      <c r="P1327" s="9"/>
      <c r="Q1327" s="9"/>
    </row>
    <row r="1328" spans="1:17" ht="15.75" customHeight="1">
      <c r="A1328" s="7" t="s">
        <v>1621</v>
      </c>
      <c r="B1328" s="7" t="s">
        <v>224</v>
      </c>
      <c r="C1328" s="7"/>
      <c r="D1328" s="7" t="s">
        <v>225</v>
      </c>
      <c r="E1328" s="7" t="s">
        <v>322</v>
      </c>
      <c r="F1328" s="8">
        <f>_xlfn.IFNA(INDEX('HS Codes'!$D$2:$K3882,MATCH($B1328,'HS Codes'!$A$2:$A3882,0),MATCH(F$1,'HS Codes'!$D$1:$K$1,0)),"")</f>
        <v>0</v>
      </c>
      <c r="G1328" s="8">
        <f>_xlfn.IFNA(INDEX('HS Codes'!$D$2:$K3882,MATCH($B1328,'HS Codes'!$A$2:$A3882,0),MATCH(G$1,'HS Codes'!$D$1:$K$1,0)),"")</f>
        <v>0</v>
      </c>
      <c r="H1328" s="8">
        <f>_xlfn.IFNA(INDEX('HS Codes'!$D$2:$K3882,MATCH($B1328,'HS Codes'!$A$2:$A3882,0),MATCH(H$1,'HS Codes'!$D$1:$K$1,0)),"")</f>
        <v>0</v>
      </c>
      <c r="I1328" s="8">
        <f>_xlfn.IFNA(INDEX('HS Codes'!$D$2:$K3882,MATCH($B1328,'HS Codes'!$A$2:$A3882,0),MATCH(I$1,'HS Codes'!$D$1:$K$1,0)),"")</f>
        <v>0</v>
      </c>
      <c r="J1328" s="8">
        <f>_xlfn.IFNA(INDEX('HS Codes'!$D$2:$K3882,MATCH($B1328,'HS Codes'!$A$2:$A3882,0),MATCH(J$1,'HS Codes'!$D$1:$K$1,0)),"")</f>
        <v>0</v>
      </c>
      <c r="K1328" s="8">
        <f>_xlfn.IFNA(INDEX('HS Codes'!$D$2:$K3882,MATCH($B1328,'HS Codes'!$A$2:$A3882,0),MATCH(K$1,'HS Codes'!$D$1:$K$1,0)),"")</f>
        <v>0</v>
      </c>
      <c r="L1328" s="8">
        <f>_xlfn.IFNA(INDEX('HS Codes'!$D$2:$K3882,MATCH($B1328,'HS Codes'!$A$2:$A3882,0),MATCH(L$1,'HS Codes'!$D$1:$K$1,0)),"")</f>
        <v>0</v>
      </c>
      <c r="M1328" s="8">
        <f>_xlfn.IFNA(INDEX('HS Codes'!$C$2:$C3882,MATCH($B1328,'HS Codes'!$A$2:$A3882,0)),"")</f>
        <v>0</v>
      </c>
      <c r="N1328" s="9"/>
      <c r="O1328" s="9"/>
      <c r="P1328" s="9"/>
      <c r="Q1328" s="9"/>
    </row>
    <row r="1329" spans="1:17" ht="15.75" customHeight="1">
      <c r="A1329" s="7" t="s">
        <v>1622</v>
      </c>
      <c r="B1329" s="7" t="s">
        <v>224</v>
      </c>
      <c r="C1329" s="7"/>
      <c r="D1329" s="7" t="s">
        <v>225</v>
      </c>
      <c r="E1329" s="7" t="s">
        <v>322</v>
      </c>
      <c r="F1329" s="8">
        <f>_xlfn.IFNA(INDEX('HS Codes'!$D$2:$K3883,MATCH($B1329,'HS Codes'!$A$2:$A3883,0),MATCH(F$1,'HS Codes'!$D$1:$K$1,0)),"")</f>
        <v>0</v>
      </c>
      <c r="G1329" s="8">
        <f>_xlfn.IFNA(INDEX('HS Codes'!$D$2:$K3883,MATCH($B1329,'HS Codes'!$A$2:$A3883,0),MATCH(G$1,'HS Codes'!$D$1:$K$1,0)),"")</f>
        <v>0</v>
      </c>
      <c r="H1329" s="8">
        <f>_xlfn.IFNA(INDEX('HS Codes'!$D$2:$K3883,MATCH($B1329,'HS Codes'!$A$2:$A3883,0),MATCH(H$1,'HS Codes'!$D$1:$K$1,0)),"")</f>
        <v>0</v>
      </c>
      <c r="I1329" s="8">
        <f>_xlfn.IFNA(INDEX('HS Codes'!$D$2:$K3883,MATCH($B1329,'HS Codes'!$A$2:$A3883,0),MATCH(I$1,'HS Codes'!$D$1:$K$1,0)),"")</f>
        <v>0</v>
      </c>
      <c r="J1329" s="8">
        <f>_xlfn.IFNA(INDEX('HS Codes'!$D$2:$K3883,MATCH($B1329,'HS Codes'!$A$2:$A3883,0),MATCH(J$1,'HS Codes'!$D$1:$K$1,0)),"")</f>
        <v>0</v>
      </c>
      <c r="K1329" s="8">
        <f>_xlfn.IFNA(INDEX('HS Codes'!$D$2:$K3883,MATCH($B1329,'HS Codes'!$A$2:$A3883,0),MATCH(K$1,'HS Codes'!$D$1:$K$1,0)),"")</f>
        <v>0</v>
      </c>
      <c r="L1329" s="8">
        <f>_xlfn.IFNA(INDEX('HS Codes'!$D$2:$K3883,MATCH($B1329,'HS Codes'!$A$2:$A3883,0),MATCH(L$1,'HS Codes'!$D$1:$K$1,0)),"")</f>
        <v>0</v>
      </c>
      <c r="M1329" s="8">
        <f>_xlfn.IFNA(INDEX('HS Codes'!$C$2:$C3883,MATCH($B1329,'HS Codes'!$A$2:$A3883,0)),"")</f>
        <v>0</v>
      </c>
      <c r="N1329" s="9"/>
      <c r="O1329" s="9"/>
      <c r="P1329" s="9"/>
      <c r="Q1329" s="9"/>
    </row>
    <row r="1330" spans="1:17" ht="15.75" customHeight="1">
      <c r="A1330" s="7" t="s">
        <v>1623</v>
      </c>
      <c r="B1330" s="7" t="s">
        <v>224</v>
      </c>
      <c r="C1330" s="7"/>
      <c r="D1330" s="7" t="s">
        <v>225</v>
      </c>
      <c r="E1330" s="7" t="s">
        <v>322</v>
      </c>
      <c r="F1330" s="8">
        <f>_xlfn.IFNA(INDEX('HS Codes'!$D$2:$K3884,MATCH($B1330,'HS Codes'!$A$2:$A3884,0),MATCH(F$1,'HS Codes'!$D$1:$K$1,0)),"")</f>
        <v>0</v>
      </c>
      <c r="G1330" s="8">
        <f>_xlfn.IFNA(INDEX('HS Codes'!$D$2:$K3884,MATCH($B1330,'HS Codes'!$A$2:$A3884,0),MATCH(G$1,'HS Codes'!$D$1:$K$1,0)),"")</f>
        <v>0</v>
      </c>
      <c r="H1330" s="8">
        <f>_xlfn.IFNA(INDEX('HS Codes'!$D$2:$K3884,MATCH($B1330,'HS Codes'!$A$2:$A3884,0),MATCH(H$1,'HS Codes'!$D$1:$K$1,0)),"")</f>
        <v>0</v>
      </c>
      <c r="I1330" s="8">
        <f>_xlfn.IFNA(INDEX('HS Codes'!$D$2:$K3884,MATCH($B1330,'HS Codes'!$A$2:$A3884,0),MATCH(I$1,'HS Codes'!$D$1:$K$1,0)),"")</f>
        <v>0</v>
      </c>
      <c r="J1330" s="8">
        <f>_xlfn.IFNA(INDEX('HS Codes'!$D$2:$K3884,MATCH($B1330,'HS Codes'!$A$2:$A3884,0),MATCH(J$1,'HS Codes'!$D$1:$K$1,0)),"")</f>
        <v>0</v>
      </c>
      <c r="K1330" s="8">
        <f>_xlfn.IFNA(INDEX('HS Codes'!$D$2:$K3884,MATCH($B1330,'HS Codes'!$A$2:$A3884,0),MATCH(K$1,'HS Codes'!$D$1:$K$1,0)),"")</f>
        <v>0</v>
      </c>
      <c r="L1330" s="8">
        <f>_xlfn.IFNA(INDEX('HS Codes'!$D$2:$K3884,MATCH($B1330,'HS Codes'!$A$2:$A3884,0),MATCH(L$1,'HS Codes'!$D$1:$K$1,0)),"")</f>
        <v>0</v>
      </c>
      <c r="M1330" s="8">
        <f>_xlfn.IFNA(INDEX('HS Codes'!$C$2:$C3884,MATCH($B1330,'HS Codes'!$A$2:$A3884,0)),"")</f>
        <v>0</v>
      </c>
      <c r="N1330" s="9"/>
      <c r="O1330" s="9"/>
      <c r="P1330" s="9"/>
      <c r="Q1330" s="9"/>
    </row>
    <row r="1331" spans="1:17" ht="15.75" customHeight="1">
      <c r="A1331" s="7" t="s">
        <v>1624</v>
      </c>
      <c r="B1331" s="7" t="s">
        <v>224</v>
      </c>
      <c r="C1331" s="7"/>
      <c r="D1331" s="7" t="s">
        <v>225</v>
      </c>
      <c r="E1331" s="7" t="s">
        <v>322</v>
      </c>
      <c r="F1331" s="8">
        <f>_xlfn.IFNA(INDEX('HS Codes'!$D$2:$K3885,MATCH($B1331,'HS Codes'!$A$2:$A3885,0),MATCH(F$1,'HS Codes'!$D$1:$K$1,0)),"")</f>
        <v>0</v>
      </c>
      <c r="G1331" s="8">
        <f>_xlfn.IFNA(INDEX('HS Codes'!$D$2:$K3885,MATCH($B1331,'HS Codes'!$A$2:$A3885,0),MATCH(G$1,'HS Codes'!$D$1:$K$1,0)),"")</f>
        <v>0</v>
      </c>
      <c r="H1331" s="8">
        <f>_xlfn.IFNA(INDEX('HS Codes'!$D$2:$K3885,MATCH($B1331,'HS Codes'!$A$2:$A3885,0),MATCH(H$1,'HS Codes'!$D$1:$K$1,0)),"")</f>
        <v>0</v>
      </c>
      <c r="I1331" s="8">
        <f>_xlfn.IFNA(INDEX('HS Codes'!$D$2:$K3885,MATCH($B1331,'HS Codes'!$A$2:$A3885,0),MATCH(I$1,'HS Codes'!$D$1:$K$1,0)),"")</f>
        <v>0</v>
      </c>
      <c r="J1331" s="8">
        <f>_xlfn.IFNA(INDEX('HS Codes'!$D$2:$K3885,MATCH($B1331,'HS Codes'!$A$2:$A3885,0),MATCH(J$1,'HS Codes'!$D$1:$K$1,0)),"")</f>
        <v>0</v>
      </c>
      <c r="K1331" s="8">
        <f>_xlfn.IFNA(INDEX('HS Codes'!$D$2:$K3885,MATCH($B1331,'HS Codes'!$A$2:$A3885,0),MATCH(K$1,'HS Codes'!$D$1:$K$1,0)),"")</f>
        <v>0</v>
      </c>
      <c r="L1331" s="8">
        <f>_xlfn.IFNA(INDEX('HS Codes'!$D$2:$K3885,MATCH($B1331,'HS Codes'!$A$2:$A3885,0),MATCH(L$1,'HS Codes'!$D$1:$K$1,0)),"")</f>
        <v>0</v>
      </c>
      <c r="M1331" s="8">
        <f>_xlfn.IFNA(INDEX('HS Codes'!$C$2:$C3885,MATCH($B1331,'HS Codes'!$A$2:$A3885,0)),"")</f>
        <v>0</v>
      </c>
      <c r="N1331" s="9"/>
      <c r="O1331" s="9"/>
      <c r="P1331" s="9"/>
      <c r="Q1331" s="9"/>
    </row>
    <row r="1332" spans="1:17" ht="15.75" customHeight="1">
      <c r="A1332" s="7" t="s">
        <v>1625</v>
      </c>
      <c r="B1332" s="7" t="s">
        <v>224</v>
      </c>
      <c r="C1332" s="7"/>
      <c r="D1332" s="7" t="s">
        <v>225</v>
      </c>
      <c r="E1332" s="7" t="s">
        <v>322</v>
      </c>
      <c r="F1332" s="8">
        <f>_xlfn.IFNA(INDEX('HS Codes'!$D$2:$K3886,MATCH($B1332,'HS Codes'!$A$2:$A3886,0),MATCH(F$1,'HS Codes'!$D$1:$K$1,0)),"")</f>
        <v>0</v>
      </c>
      <c r="G1332" s="8">
        <f>_xlfn.IFNA(INDEX('HS Codes'!$D$2:$K3886,MATCH($B1332,'HS Codes'!$A$2:$A3886,0),MATCH(G$1,'HS Codes'!$D$1:$K$1,0)),"")</f>
        <v>0</v>
      </c>
      <c r="H1332" s="8">
        <f>_xlfn.IFNA(INDEX('HS Codes'!$D$2:$K3886,MATCH($B1332,'HS Codes'!$A$2:$A3886,0),MATCH(H$1,'HS Codes'!$D$1:$K$1,0)),"")</f>
        <v>0</v>
      </c>
      <c r="I1332" s="8">
        <f>_xlfn.IFNA(INDEX('HS Codes'!$D$2:$K3886,MATCH($B1332,'HS Codes'!$A$2:$A3886,0),MATCH(I$1,'HS Codes'!$D$1:$K$1,0)),"")</f>
        <v>0</v>
      </c>
      <c r="J1332" s="8">
        <f>_xlfn.IFNA(INDEX('HS Codes'!$D$2:$K3886,MATCH($B1332,'HS Codes'!$A$2:$A3886,0),MATCH(J$1,'HS Codes'!$D$1:$K$1,0)),"")</f>
        <v>0</v>
      </c>
      <c r="K1332" s="8">
        <f>_xlfn.IFNA(INDEX('HS Codes'!$D$2:$K3886,MATCH($B1332,'HS Codes'!$A$2:$A3886,0),MATCH(K$1,'HS Codes'!$D$1:$K$1,0)),"")</f>
        <v>0</v>
      </c>
      <c r="L1332" s="8">
        <f>_xlfn.IFNA(INDEX('HS Codes'!$D$2:$K3886,MATCH($B1332,'HS Codes'!$A$2:$A3886,0),MATCH(L$1,'HS Codes'!$D$1:$K$1,0)),"")</f>
        <v>0</v>
      </c>
      <c r="M1332" s="8">
        <f>_xlfn.IFNA(INDEX('HS Codes'!$C$2:$C3886,MATCH($B1332,'HS Codes'!$A$2:$A3886,0)),"")</f>
        <v>0</v>
      </c>
      <c r="N1332" s="9"/>
      <c r="O1332" s="9"/>
      <c r="P1332" s="9"/>
      <c r="Q1332" s="9"/>
    </row>
    <row r="1333" spans="1:17" ht="15.75" customHeight="1">
      <c r="A1333" s="7" t="s">
        <v>1626</v>
      </c>
      <c r="B1333" s="7" t="s">
        <v>224</v>
      </c>
      <c r="C1333" s="7"/>
      <c r="D1333" s="7" t="s">
        <v>225</v>
      </c>
      <c r="E1333" s="7" t="s">
        <v>322</v>
      </c>
      <c r="F1333" s="8">
        <f>_xlfn.IFNA(INDEX('HS Codes'!$D$2:$K3887,MATCH($B1333,'HS Codes'!$A$2:$A3887,0),MATCH(F$1,'HS Codes'!$D$1:$K$1,0)),"")</f>
        <v>0</v>
      </c>
      <c r="G1333" s="8">
        <f>_xlfn.IFNA(INDEX('HS Codes'!$D$2:$K3887,MATCH($B1333,'HS Codes'!$A$2:$A3887,0),MATCH(G$1,'HS Codes'!$D$1:$K$1,0)),"")</f>
        <v>0</v>
      </c>
      <c r="H1333" s="8">
        <f>_xlfn.IFNA(INDEX('HS Codes'!$D$2:$K3887,MATCH($B1333,'HS Codes'!$A$2:$A3887,0),MATCH(H$1,'HS Codes'!$D$1:$K$1,0)),"")</f>
        <v>0</v>
      </c>
      <c r="I1333" s="8">
        <f>_xlfn.IFNA(INDEX('HS Codes'!$D$2:$K3887,MATCH($B1333,'HS Codes'!$A$2:$A3887,0),MATCH(I$1,'HS Codes'!$D$1:$K$1,0)),"")</f>
        <v>0</v>
      </c>
      <c r="J1333" s="8">
        <f>_xlfn.IFNA(INDEX('HS Codes'!$D$2:$K3887,MATCH($B1333,'HS Codes'!$A$2:$A3887,0),MATCH(J$1,'HS Codes'!$D$1:$K$1,0)),"")</f>
        <v>0</v>
      </c>
      <c r="K1333" s="8">
        <f>_xlfn.IFNA(INDEX('HS Codes'!$D$2:$K3887,MATCH($B1333,'HS Codes'!$A$2:$A3887,0),MATCH(K$1,'HS Codes'!$D$1:$K$1,0)),"")</f>
        <v>0</v>
      </c>
      <c r="L1333" s="8">
        <f>_xlfn.IFNA(INDEX('HS Codes'!$D$2:$K3887,MATCH($B1333,'HS Codes'!$A$2:$A3887,0),MATCH(L$1,'HS Codes'!$D$1:$K$1,0)),"")</f>
        <v>0</v>
      </c>
      <c r="M1333" s="8">
        <f>_xlfn.IFNA(INDEX('HS Codes'!$C$2:$C3887,MATCH($B1333,'HS Codes'!$A$2:$A3887,0)),"")</f>
        <v>0</v>
      </c>
      <c r="N1333" s="9"/>
      <c r="O1333" s="9"/>
      <c r="P1333" s="9"/>
      <c r="Q1333" s="9"/>
    </row>
    <row r="1334" spans="1:17" ht="15.75" customHeight="1">
      <c r="A1334" s="7" t="s">
        <v>1627</v>
      </c>
      <c r="B1334" s="7" t="s">
        <v>224</v>
      </c>
      <c r="C1334" s="7"/>
      <c r="D1334" s="7" t="s">
        <v>225</v>
      </c>
      <c r="E1334" s="7" t="s">
        <v>322</v>
      </c>
      <c r="F1334" s="8">
        <f>_xlfn.IFNA(INDEX('HS Codes'!$D$2:$K3888,MATCH($B1334,'HS Codes'!$A$2:$A3888,0),MATCH(F$1,'HS Codes'!$D$1:$K$1,0)),"")</f>
        <v>0</v>
      </c>
      <c r="G1334" s="8">
        <f>_xlfn.IFNA(INDEX('HS Codes'!$D$2:$K3888,MATCH($B1334,'HS Codes'!$A$2:$A3888,0),MATCH(G$1,'HS Codes'!$D$1:$K$1,0)),"")</f>
        <v>0</v>
      </c>
      <c r="H1334" s="8">
        <f>_xlfn.IFNA(INDEX('HS Codes'!$D$2:$K3888,MATCH($B1334,'HS Codes'!$A$2:$A3888,0),MATCH(H$1,'HS Codes'!$D$1:$K$1,0)),"")</f>
        <v>0</v>
      </c>
      <c r="I1334" s="8">
        <f>_xlfn.IFNA(INDEX('HS Codes'!$D$2:$K3888,MATCH($B1334,'HS Codes'!$A$2:$A3888,0),MATCH(I$1,'HS Codes'!$D$1:$K$1,0)),"")</f>
        <v>0</v>
      </c>
      <c r="J1334" s="8">
        <f>_xlfn.IFNA(INDEX('HS Codes'!$D$2:$K3888,MATCH($B1334,'HS Codes'!$A$2:$A3888,0),MATCH(J$1,'HS Codes'!$D$1:$K$1,0)),"")</f>
        <v>0</v>
      </c>
      <c r="K1334" s="8">
        <f>_xlfn.IFNA(INDEX('HS Codes'!$D$2:$K3888,MATCH($B1334,'HS Codes'!$A$2:$A3888,0),MATCH(K$1,'HS Codes'!$D$1:$K$1,0)),"")</f>
        <v>0</v>
      </c>
      <c r="L1334" s="8">
        <f>_xlfn.IFNA(INDEX('HS Codes'!$D$2:$K3888,MATCH($B1334,'HS Codes'!$A$2:$A3888,0),MATCH(L$1,'HS Codes'!$D$1:$K$1,0)),"")</f>
        <v>0</v>
      </c>
      <c r="M1334" s="8">
        <f>_xlfn.IFNA(INDEX('HS Codes'!$C$2:$C3888,MATCH($B1334,'HS Codes'!$A$2:$A3888,0)),"")</f>
        <v>0</v>
      </c>
      <c r="N1334" s="9"/>
      <c r="O1334" s="9"/>
      <c r="P1334" s="9"/>
      <c r="Q1334" s="9"/>
    </row>
    <row r="1335" spans="1:17" ht="15.75" customHeight="1">
      <c r="A1335" s="7" t="s">
        <v>1628</v>
      </c>
      <c r="B1335" s="7" t="s">
        <v>224</v>
      </c>
      <c r="C1335" s="7"/>
      <c r="D1335" s="7" t="s">
        <v>225</v>
      </c>
      <c r="E1335" s="7" t="s">
        <v>322</v>
      </c>
      <c r="F1335" s="8">
        <f>_xlfn.IFNA(INDEX('HS Codes'!$D$2:$K3889,MATCH($B1335,'HS Codes'!$A$2:$A3889,0),MATCH(F$1,'HS Codes'!$D$1:$K$1,0)),"")</f>
        <v>0</v>
      </c>
      <c r="G1335" s="8">
        <f>_xlfn.IFNA(INDEX('HS Codes'!$D$2:$K3889,MATCH($B1335,'HS Codes'!$A$2:$A3889,0),MATCH(G$1,'HS Codes'!$D$1:$K$1,0)),"")</f>
        <v>0</v>
      </c>
      <c r="H1335" s="8">
        <f>_xlfn.IFNA(INDEX('HS Codes'!$D$2:$K3889,MATCH($B1335,'HS Codes'!$A$2:$A3889,0),MATCH(H$1,'HS Codes'!$D$1:$K$1,0)),"")</f>
        <v>0</v>
      </c>
      <c r="I1335" s="8">
        <f>_xlfn.IFNA(INDEX('HS Codes'!$D$2:$K3889,MATCH($B1335,'HS Codes'!$A$2:$A3889,0),MATCH(I$1,'HS Codes'!$D$1:$K$1,0)),"")</f>
        <v>0</v>
      </c>
      <c r="J1335" s="8">
        <f>_xlfn.IFNA(INDEX('HS Codes'!$D$2:$K3889,MATCH($B1335,'HS Codes'!$A$2:$A3889,0),MATCH(J$1,'HS Codes'!$D$1:$K$1,0)),"")</f>
        <v>0</v>
      </c>
      <c r="K1335" s="8">
        <f>_xlfn.IFNA(INDEX('HS Codes'!$D$2:$K3889,MATCH($B1335,'HS Codes'!$A$2:$A3889,0),MATCH(K$1,'HS Codes'!$D$1:$K$1,0)),"")</f>
        <v>0</v>
      </c>
      <c r="L1335" s="8">
        <f>_xlfn.IFNA(INDEX('HS Codes'!$D$2:$K3889,MATCH($B1335,'HS Codes'!$A$2:$A3889,0),MATCH(L$1,'HS Codes'!$D$1:$K$1,0)),"")</f>
        <v>0</v>
      </c>
      <c r="M1335" s="8">
        <f>_xlfn.IFNA(INDEX('HS Codes'!$C$2:$C3889,MATCH($B1335,'HS Codes'!$A$2:$A3889,0)),"")</f>
        <v>0</v>
      </c>
      <c r="N1335" s="9"/>
      <c r="O1335" s="9"/>
      <c r="P1335" s="9"/>
      <c r="Q1335" s="9"/>
    </row>
    <row r="1336" spans="1:17" ht="15.75" customHeight="1">
      <c r="A1336" s="7" t="s">
        <v>1629</v>
      </c>
      <c r="B1336" s="7" t="s">
        <v>224</v>
      </c>
      <c r="C1336" s="7"/>
      <c r="D1336" s="7" t="s">
        <v>225</v>
      </c>
      <c r="E1336" s="7" t="s">
        <v>322</v>
      </c>
      <c r="F1336" s="8">
        <f>_xlfn.IFNA(INDEX('HS Codes'!$D$2:$K3890,MATCH($B1336,'HS Codes'!$A$2:$A3890,0),MATCH(F$1,'HS Codes'!$D$1:$K$1,0)),"")</f>
        <v>0</v>
      </c>
      <c r="G1336" s="8">
        <f>_xlfn.IFNA(INDEX('HS Codes'!$D$2:$K3890,MATCH($B1336,'HS Codes'!$A$2:$A3890,0),MATCH(G$1,'HS Codes'!$D$1:$K$1,0)),"")</f>
        <v>0</v>
      </c>
      <c r="H1336" s="8">
        <f>_xlfn.IFNA(INDEX('HS Codes'!$D$2:$K3890,MATCH($B1336,'HS Codes'!$A$2:$A3890,0),MATCH(H$1,'HS Codes'!$D$1:$K$1,0)),"")</f>
        <v>0</v>
      </c>
      <c r="I1336" s="8">
        <f>_xlfn.IFNA(INDEX('HS Codes'!$D$2:$K3890,MATCH($B1336,'HS Codes'!$A$2:$A3890,0),MATCH(I$1,'HS Codes'!$D$1:$K$1,0)),"")</f>
        <v>0</v>
      </c>
      <c r="J1336" s="8">
        <f>_xlfn.IFNA(INDEX('HS Codes'!$D$2:$K3890,MATCH($B1336,'HS Codes'!$A$2:$A3890,0),MATCH(J$1,'HS Codes'!$D$1:$K$1,0)),"")</f>
        <v>0</v>
      </c>
      <c r="K1336" s="8">
        <f>_xlfn.IFNA(INDEX('HS Codes'!$D$2:$K3890,MATCH($B1336,'HS Codes'!$A$2:$A3890,0),MATCH(K$1,'HS Codes'!$D$1:$K$1,0)),"")</f>
        <v>0</v>
      </c>
      <c r="L1336" s="8">
        <f>_xlfn.IFNA(INDEX('HS Codes'!$D$2:$K3890,MATCH($B1336,'HS Codes'!$A$2:$A3890,0),MATCH(L$1,'HS Codes'!$D$1:$K$1,0)),"")</f>
        <v>0</v>
      </c>
      <c r="M1336" s="8">
        <f>_xlfn.IFNA(INDEX('HS Codes'!$C$2:$C3890,MATCH($B1336,'HS Codes'!$A$2:$A3890,0)),"")</f>
        <v>0</v>
      </c>
      <c r="N1336" s="9"/>
      <c r="O1336" s="9"/>
      <c r="P1336" s="9"/>
      <c r="Q1336" s="9"/>
    </row>
    <row r="1337" spans="1:17" ht="15.75" customHeight="1">
      <c r="A1337" s="7" t="s">
        <v>1630</v>
      </c>
      <c r="B1337" s="7" t="s">
        <v>224</v>
      </c>
      <c r="C1337" s="7"/>
      <c r="D1337" s="7" t="s">
        <v>225</v>
      </c>
      <c r="E1337" s="7" t="s">
        <v>322</v>
      </c>
      <c r="F1337" s="8">
        <f>_xlfn.IFNA(INDEX('HS Codes'!$D$2:$K3891,MATCH($B1337,'HS Codes'!$A$2:$A3891,0),MATCH(F$1,'HS Codes'!$D$1:$K$1,0)),"")</f>
        <v>0</v>
      </c>
      <c r="G1337" s="8">
        <f>_xlfn.IFNA(INDEX('HS Codes'!$D$2:$K3891,MATCH($B1337,'HS Codes'!$A$2:$A3891,0),MATCH(G$1,'HS Codes'!$D$1:$K$1,0)),"")</f>
        <v>0</v>
      </c>
      <c r="H1337" s="8">
        <f>_xlfn.IFNA(INDEX('HS Codes'!$D$2:$K3891,MATCH($B1337,'HS Codes'!$A$2:$A3891,0),MATCH(H$1,'HS Codes'!$D$1:$K$1,0)),"")</f>
        <v>0</v>
      </c>
      <c r="I1337" s="8">
        <f>_xlfn.IFNA(INDEX('HS Codes'!$D$2:$K3891,MATCH($B1337,'HS Codes'!$A$2:$A3891,0),MATCH(I$1,'HS Codes'!$D$1:$K$1,0)),"")</f>
        <v>0</v>
      </c>
      <c r="J1337" s="8">
        <f>_xlfn.IFNA(INDEX('HS Codes'!$D$2:$K3891,MATCH($B1337,'HS Codes'!$A$2:$A3891,0),MATCH(J$1,'HS Codes'!$D$1:$K$1,0)),"")</f>
        <v>0</v>
      </c>
      <c r="K1337" s="8">
        <f>_xlfn.IFNA(INDEX('HS Codes'!$D$2:$K3891,MATCH($B1337,'HS Codes'!$A$2:$A3891,0),MATCH(K$1,'HS Codes'!$D$1:$K$1,0)),"")</f>
        <v>0</v>
      </c>
      <c r="L1337" s="8">
        <f>_xlfn.IFNA(INDEX('HS Codes'!$D$2:$K3891,MATCH($B1337,'HS Codes'!$A$2:$A3891,0),MATCH(L$1,'HS Codes'!$D$1:$K$1,0)),"")</f>
        <v>0</v>
      </c>
      <c r="M1337" s="8">
        <f>_xlfn.IFNA(INDEX('HS Codes'!$C$2:$C3891,MATCH($B1337,'HS Codes'!$A$2:$A3891,0)),"")</f>
        <v>0</v>
      </c>
      <c r="N1337" s="9"/>
      <c r="O1337" s="9"/>
      <c r="P1337" s="9"/>
      <c r="Q1337" s="9"/>
    </row>
    <row r="1338" spans="1:17" ht="15.75" customHeight="1">
      <c r="A1338" s="7" t="s">
        <v>1631</v>
      </c>
      <c r="B1338" s="7" t="s">
        <v>224</v>
      </c>
      <c r="C1338" s="7"/>
      <c r="D1338" s="7" t="s">
        <v>225</v>
      </c>
      <c r="E1338" s="7" t="s">
        <v>322</v>
      </c>
      <c r="F1338" s="8">
        <f>_xlfn.IFNA(INDEX('HS Codes'!$D$2:$K3892,MATCH($B1338,'HS Codes'!$A$2:$A3892,0),MATCH(F$1,'HS Codes'!$D$1:$K$1,0)),"")</f>
        <v>0</v>
      </c>
      <c r="G1338" s="8">
        <f>_xlfn.IFNA(INDEX('HS Codes'!$D$2:$K3892,MATCH($B1338,'HS Codes'!$A$2:$A3892,0),MATCH(G$1,'HS Codes'!$D$1:$K$1,0)),"")</f>
        <v>0</v>
      </c>
      <c r="H1338" s="8">
        <f>_xlfn.IFNA(INDEX('HS Codes'!$D$2:$K3892,MATCH($B1338,'HS Codes'!$A$2:$A3892,0),MATCH(H$1,'HS Codes'!$D$1:$K$1,0)),"")</f>
        <v>0</v>
      </c>
      <c r="I1338" s="8">
        <f>_xlfn.IFNA(INDEX('HS Codes'!$D$2:$K3892,MATCH($B1338,'HS Codes'!$A$2:$A3892,0),MATCH(I$1,'HS Codes'!$D$1:$K$1,0)),"")</f>
        <v>0</v>
      </c>
      <c r="J1338" s="8">
        <f>_xlfn.IFNA(INDEX('HS Codes'!$D$2:$K3892,MATCH($B1338,'HS Codes'!$A$2:$A3892,0),MATCH(J$1,'HS Codes'!$D$1:$K$1,0)),"")</f>
        <v>0</v>
      </c>
      <c r="K1338" s="8">
        <f>_xlfn.IFNA(INDEX('HS Codes'!$D$2:$K3892,MATCH($B1338,'HS Codes'!$A$2:$A3892,0),MATCH(K$1,'HS Codes'!$D$1:$K$1,0)),"")</f>
        <v>0</v>
      </c>
      <c r="L1338" s="8">
        <f>_xlfn.IFNA(INDEX('HS Codes'!$D$2:$K3892,MATCH($B1338,'HS Codes'!$A$2:$A3892,0),MATCH(L$1,'HS Codes'!$D$1:$K$1,0)),"")</f>
        <v>0</v>
      </c>
      <c r="M1338" s="8">
        <f>_xlfn.IFNA(INDEX('HS Codes'!$C$2:$C3892,MATCH($B1338,'HS Codes'!$A$2:$A3892,0)),"")</f>
        <v>0</v>
      </c>
      <c r="N1338" s="9"/>
      <c r="O1338" s="9"/>
      <c r="P1338" s="9"/>
      <c r="Q1338" s="9"/>
    </row>
    <row r="1339" spans="1:17" ht="15.75" customHeight="1">
      <c r="A1339" s="7" t="s">
        <v>1632</v>
      </c>
      <c r="B1339" s="7" t="s">
        <v>224</v>
      </c>
      <c r="C1339" s="7"/>
      <c r="D1339" s="7" t="s">
        <v>225</v>
      </c>
      <c r="E1339" s="7" t="s">
        <v>322</v>
      </c>
      <c r="F1339" s="8">
        <f>_xlfn.IFNA(INDEX('HS Codes'!$D$2:$K3893,MATCH($B1339,'HS Codes'!$A$2:$A3893,0),MATCH(F$1,'HS Codes'!$D$1:$K$1,0)),"")</f>
        <v>0</v>
      </c>
      <c r="G1339" s="8">
        <f>_xlfn.IFNA(INDEX('HS Codes'!$D$2:$K3893,MATCH($B1339,'HS Codes'!$A$2:$A3893,0),MATCH(G$1,'HS Codes'!$D$1:$K$1,0)),"")</f>
        <v>0</v>
      </c>
      <c r="H1339" s="8">
        <f>_xlfn.IFNA(INDEX('HS Codes'!$D$2:$K3893,MATCH($B1339,'HS Codes'!$A$2:$A3893,0),MATCH(H$1,'HS Codes'!$D$1:$K$1,0)),"")</f>
        <v>0</v>
      </c>
      <c r="I1339" s="8">
        <f>_xlfn.IFNA(INDEX('HS Codes'!$D$2:$K3893,MATCH($B1339,'HS Codes'!$A$2:$A3893,0),MATCH(I$1,'HS Codes'!$D$1:$K$1,0)),"")</f>
        <v>0</v>
      </c>
      <c r="J1339" s="8">
        <f>_xlfn.IFNA(INDEX('HS Codes'!$D$2:$K3893,MATCH($B1339,'HS Codes'!$A$2:$A3893,0),MATCH(J$1,'HS Codes'!$D$1:$K$1,0)),"")</f>
        <v>0</v>
      </c>
      <c r="K1339" s="8">
        <f>_xlfn.IFNA(INDEX('HS Codes'!$D$2:$K3893,MATCH($B1339,'HS Codes'!$A$2:$A3893,0),MATCH(K$1,'HS Codes'!$D$1:$K$1,0)),"")</f>
        <v>0</v>
      </c>
      <c r="L1339" s="8">
        <f>_xlfn.IFNA(INDEX('HS Codes'!$D$2:$K3893,MATCH($B1339,'HS Codes'!$A$2:$A3893,0),MATCH(L$1,'HS Codes'!$D$1:$K$1,0)),"")</f>
        <v>0</v>
      </c>
      <c r="M1339" s="8">
        <f>_xlfn.IFNA(INDEX('HS Codes'!$C$2:$C3893,MATCH($B1339,'HS Codes'!$A$2:$A3893,0)),"")</f>
        <v>0</v>
      </c>
      <c r="N1339" s="9"/>
      <c r="O1339" s="9"/>
      <c r="P1339" s="9"/>
      <c r="Q1339" s="9"/>
    </row>
    <row r="1340" spans="1:17" ht="15.75" customHeight="1">
      <c r="A1340" s="7" t="s">
        <v>1633</v>
      </c>
      <c r="B1340" s="7" t="s">
        <v>224</v>
      </c>
      <c r="C1340" s="7"/>
      <c r="D1340" s="7" t="s">
        <v>225</v>
      </c>
      <c r="E1340" s="7" t="s">
        <v>322</v>
      </c>
      <c r="F1340" s="8">
        <f>_xlfn.IFNA(INDEX('HS Codes'!$D$2:$K3894,MATCH($B1340,'HS Codes'!$A$2:$A3894,0),MATCH(F$1,'HS Codes'!$D$1:$K$1,0)),"")</f>
        <v>0</v>
      </c>
      <c r="G1340" s="8">
        <f>_xlfn.IFNA(INDEX('HS Codes'!$D$2:$K3894,MATCH($B1340,'HS Codes'!$A$2:$A3894,0),MATCH(G$1,'HS Codes'!$D$1:$K$1,0)),"")</f>
        <v>0</v>
      </c>
      <c r="H1340" s="8">
        <f>_xlfn.IFNA(INDEX('HS Codes'!$D$2:$K3894,MATCH($B1340,'HS Codes'!$A$2:$A3894,0),MATCH(H$1,'HS Codes'!$D$1:$K$1,0)),"")</f>
        <v>0</v>
      </c>
      <c r="I1340" s="8">
        <f>_xlfn.IFNA(INDEX('HS Codes'!$D$2:$K3894,MATCH($B1340,'HS Codes'!$A$2:$A3894,0),MATCH(I$1,'HS Codes'!$D$1:$K$1,0)),"")</f>
        <v>0</v>
      </c>
      <c r="J1340" s="8">
        <f>_xlfn.IFNA(INDEX('HS Codes'!$D$2:$K3894,MATCH($B1340,'HS Codes'!$A$2:$A3894,0),MATCH(J$1,'HS Codes'!$D$1:$K$1,0)),"")</f>
        <v>0</v>
      </c>
      <c r="K1340" s="8">
        <f>_xlfn.IFNA(INDEX('HS Codes'!$D$2:$K3894,MATCH($B1340,'HS Codes'!$A$2:$A3894,0),MATCH(K$1,'HS Codes'!$D$1:$K$1,0)),"")</f>
        <v>0</v>
      </c>
      <c r="L1340" s="8">
        <f>_xlfn.IFNA(INDEX('HS Codes'!$D$2:$K3894,MATCH($B1340,'HS Codes'!$A$2:$A3894,0),MATCH(L$1,'HS Codes'!$D$1:$K$1,0)),"")</f>
        <v>0</v>
      </c>
      <c r="M1340" s="8">
        <f>_xlfn.IFNA(INDEX('HS Codes'!$C$2:$C3894,MATCH($B1340,'HS Codes'!$A$2:$A3894,0)),"")</f>
        <v>0</v>
      </c>
      <c r="N1340" s="9"/>
      <c r="O1340" s="9"/>
      <c r="P1340" s="9"/>
      <c r="Q1340" s="9"/>
    </row>
    <row r="1341" spans="1:17" ht="15.75" customHeight="1">
      <c r="A1341" s="7" t="s">
        <v>1634</v>
      </c>
      <c r="B1341" s="7" t="s">
        <v>224</v>
      </c>
      <c r="C1341" s="7"/>
      <c r="D1341" s="7" t="s">
        <v>225</v>
      </c>
      <c r="E1341" s="7" t="s">
        <v>322</v>
      </c>
      <c r="F1341" s="8">
        <f>_xlfn.IFNA(INDEX('HS Codes'!$D$2:$K3895,MATCH($B1341,'HS Codes'!$A$2:$A3895,0),MATCH(F$1,'HS Codes'!$D$1:$K$1,0)),"")</f>
        <v>0</v>
      </c>
      <c r="G1341" s="8">
        <f>_xlfn.IFNA(INDEX('HS Codes'!$D$2:$K3895,MATCH($B1341,'HS Codes'!$A$2:$A3895,0),MATCH(G$1,'HS Codes'!$D$1:$K$1,0)),"")</f>
        <v>0</v>
      </c>
      <c r="H1341" s="8">
        <f>_xlfn.IFNA(INDEX('HS Codes'!$D$2:$K3895,MATCH($B1341,'HS Codes'!$A$2:$A3895,0),MATCH(H$1,'HS Codes'!$D$1:$K$1,0)),"")</f>
        <v>0</v>
      </c>
      <c r="I1341" s="8">
        <f>_xlfn.IFNA(INDEX('HS Codes'!$D$2:$K3895,MATCH($B1341,'HS Codes'!$A$2:$A3895,0),MATCH(I$1,'HS Codes'!$D$1:$K$1,0)),"")</f>
        <v>0</v>
      </c>
      <c r="J1341" s="8">
        <f>_xlfn.IFNA(INDEX('HS Codes'!$D$2:$K3895,MATCH($B1341,'HS Codes'!$A$2:$A3895,0),MATCH(J$1,'HS Codes'!$D$1:$K$1,0)),"")</f>
        <v>0</v>
      </c>
      <c r="K1341" s="8">
        <f>_xlfn.IFNA(INDEX('HS Codes'!$D$2:$K3895,MATCH($B1341,'HS Codes'!$A$2:$A3895,0),MATCH(K$1,'HS Codes'!$D$1:$K$1,0)),"")</f>
        <v>0</v>
      </c>
      <c r="L1341" s="8">
        <f>_xlfn.IFNA(INDEX('HS Codes'!$D$2:$K3895,MATCH($B1341,'HS Codes'!$A$2:$A3895,0),MATCH(L$1,'HS Codes'!$D$1:$K$1,0)),"")</f>
        <v>0</v>
      </c>
      <c r="M1341" s="8">
        <f>_xlfn.IFNA(INDEX('HS Codes'!$C$2:$C3895,MATCH($B1341,'HS Codes'!$A$2:$A3895,0)),"")</f>
        <v>0</v>
      </c>
      <c r="N1341" s="9"/>
      <c r="O1341" s="9"/>
      <c r="P1341" s="9"/>
      <c r="Q1341" s="9"/>
    </row>
    <row r="1342" spans="1:17" ht="15.75" customHeight="1">
      <c r="A1342" s="7" t="s">
        <v>1635</v>
      </c>
      <c r="B1342" s="7" t="s">
        <v>224</v>
      </c>
      <c r="C1342" s="7"/>
      <c r="D1342" s="7" t="s">
        <v>225</v>
      </c>
      <c r="E1342" s="7" t="s">
        <v>322</v>
      </c>
      <c r="F1342" s="8">
        <f>_xlfn.IFNA(INDEX('HS Codes'!$D$2:$K3896,MATCH($B1342,'HS Codes'!$A$2:$A3896,0),MATCH(F$1,'HS Codes'!$D$1:$K$1,0)),"")</f>
        <v>0</v>
      </c>
      <c r="G1342" s="8">
        <f>_xlfn.IFNA(INDEX('HS Codes'!$D$2:$K3896,MATCH($B1342,'HS Codes'!$A$2:$A3896,0),MATCH(G$1,'HS Codes'!$D$1:$K$1,0)),"")</f>
        <v>0</v>
      </c>
      <c r="H1342" s="8">
        <f>_xlfn.IFNA(INDEX('HS Codes'!$D$2:$K3896,MATCH($B1342,'HS Codes'!$A$2:$A3896,0),MATCH(H$1,'HS Codes'!$D$1:$K$1,0)),"")</f>
        <v>0</v>
      </c>
      <c r="I1342" s="8">
        <f>_xlfn.IFNA(INDEX('HS Codes'!$D$2:$K3896,MATCH($B1342,'HS Codes'!$A$2:$A3896,0),MATCH(I$1,'HS Codes'!$D$1:$K$1,0)),"")</f>
        <v>0</v>
      </c>
      <c r="J1342" s="8">
        <f>_xlfn.IFNA(INDEX('HS Codes'!$D$2:$K3896,MATCH($B1342,'HS Codes'!$A$2:$A3896,0),MATCH(J$1,'HS Codes'!$D$1:$K$1,0)),"")</f>
        <v>0</v>
      </c>
      <c r="K1342" s="8">
        <f>_xlfn.IFNA(INDEX('HS Codes'!$D$2:$K3896,MATCH($B1342,'HS Codes'!$A$2:$A3896,0),MATCH(K$1,'HS Codes'!$D$1:$K$1,0)),"")</f>
        <v>0</v>
      </c>
      <c r="L1342" s="8">
        <f>_xlfn.IFNA(INDEX('HS Codes'!$D$2:$K3896,MATCH($B1342,'HS Codes'!$A$2:$A3896,0),MATCH(L$1,'HS Codes'!$D$1:$K$1,0)),"")</f>
        <v>0</v>
      </c>
      <c r="M1342" s="8">
        <f>_xlfn.IFNA(INDEX('HS Codes'!$C$2:$C3896,MATCH($B1342,'HS Codes'!$A$2:$A3896,0)),"")</f>
        <v>0</v>
      </c>
      <c r="N1342" s="9"/>
      <c r="O1342" s="9"/>
      <c r="P1342" s="9"/>
      <c r="Q1342" s="9"/>
    </row>
    <row r="1343" spans="1:17" ht="15.75" customHeight="1">
      <c r="A1343" s="7" t="s">
        <v>1636</v>
      </c>
      <c r="B1343" s="7" t="s">
        <v>224</v>
      </c>
      <c r="C1343" s="7"/>
      <c r="D1343" s="7" t="s">
        <v>225</v>
      </c>
      <c r="E1343" s="7" t="s">
        <v>322</v>
      </c>
      <c r="F1343" s="8">
        <f>_xlfn.IFNA(INDEX('HS Codes'!$D$2:$K3897,MATCH($B1343,'HS Codes'!$A$2:$A3897,0),MATCH(F$1,'HS Codes'!$D$1:$K$1,0)),"")</f>
        <v>0</v>
      </c>
      <c r="G1343" s="8">
        <f>_xlfn.IFNA(INDEX('HS Codes'!$D$2:$K3897,MATCH($B1343,'HS Codes'!$A$2:$A3897,0),MATCH(G$1,'HS Codes'!$D$1:$K$1,0)),"")</f>
        <v>0</v>
      </c>
      <c r="H1343" s="8">
        <f>_xlfn.IFNA(INDEX('HS Codes'!$D$2:$K3897,MATCH($B1343,'HS Codes'!$A$2:$A3897,0),MATCH(H$1,'HS Codes'!$D$1:$K$1,0)),"")</f>
        <v>0</v>
      </c>
      <c r="I1343" s="8">
        <f>_xlfn.IFNA(INDEX('HS Codes'!$D$2:$K3897,MATCH($B1343,'HS Codes'!$A$2:$A3897,0),MATCH(I$1,'HS Codes'!$D$1:$K$1,0)),"")</f>
        <v>0</v>
      </c>
      <c r="J1343" s="8">
        <f>_xlfn.IFNA(INDEX('HS Codes'!$D$2:$K3897,MATCH($B1343,'HS Codes'!$A$2:$A3897,0),MATCH(J$1,'HS Codes'!$D$1:$K$1,0)),"")</f>
        <v>0</v>
      </c>
      <c r="K1343" s="8">
        <f>_xlfn.IFNA(INDEX('HS Codes'!$D$2:$K3897,MATCH($B1343,'HS Codes'!$A$2:$A3897,0),MATCH(K$1,'HS Codes'!$D$1:$K$1,0)),"")</f>
        <v>0</v>
      </c>
      <c r="L1343" s="8">
        <f>_xlfn.IFNA(INDEX('HS Codes'!$D$2:$K3897,MATCH($B1343,'HS Codes'!$A$2:$A3897,0),MATCH(L$1,'HS Codes'!$D$1:$K$1,0)),"")</f>
        <v>0</v>
      </c>
      <c r="M1343" s="8">
        <f>_xlfn.IFNA(INDEX('HS Codes'!$C$2:$C3897,MATCH($B1343,'HS Codes'!$A$2:$A3897,0)),"")</f>
        <v>0</v>
      </c>
      <c r="N1343" s="9"/>
      <c r="O1343" s="9"/>
      <c r="P1343" s="9"/>
      <c r="Q1343" s="9"/>
    </row>
    <row r="1344" spans="1:17" ht="15.75" customHeight="1">
      <c r="A1344" s="7" t="s">
        <v>1637</v>
      </c>
      <c r="B1344" s="7" t="s">
        <v>224</v>
      </c>
      <c r="C1344" s="7"/>
      <c r="D1344" s="7" t="s">
        <v>225</v>
      </c>
      <c r="E1344" s="7" t="s">
        <v>322</v>
      </c>
      <c r="F1344" s="8">
        <f>_xlfn.IFNA(INDEX('HS Codes'!$D$2:$K3898,MATCH($B1344,'HS Codes'!$A$2:$A3898,0),MATCH(F$1,'HS Codes'!$D$1:$K$1,0)),"")</f>
        <v>0</v>
      </c>
      <c r="G1344" s="8">
        <f>_xlfn.IFNA(INDEX('HS Codes'!$D$2:$K3898,MATCH($B1344,'HS Codes'!$A$2:$A3898,0),MATCH(G$1,'HS Codes'!$D$1:$K$1,0)),"")</f>
        <v>0</v>
      </c>
      <c r="H1344" s="8">
        <f>_xlfn.IFNA(INDEX('HS Codes'!$D$2:$K3898,MATCH($B1344,'HS Codes'!$A$2:$A3898,0),MATCH(H$1,'HS Codes'!$D$1:$K$1,0)),"")</f>
        <v>0</v>
      </c>
      <c r="I1344" s="8">
        <f>_xlfn.IFNA(INDEX('HS Codes'!$D$2:$K3898,MATCH($B1344,'HS Codes'!$A$2:$A3898,0),MATCH(I$1,'HS Codes'!$D$1:$K$1,0)),"")</f>
        <v>0</v>
      </c>
      <c r="J1344" s="8">
        <f>_xlfn.IFNA(INDEX('HS Codes'!$D$2:$K3898,MATCH($B1344,'HS Codes'!$A$2:$A3898,0),MATCH(J$1,'HS Codes'!$D$1:$K$1,0)),"")</f>
        <v>0</v>
      </c>
      <c r="K1344" s="8">
        <f>_xlfn.IFNA(INDEX('HS Codes'!$D$2:$K3898,MATCH($B1344,'HS Codes'!$A$2:$A3898,0),MATCH(K$1,'HS Codes'!$D$1:$K$1,0)),"")</f>
        <v>0</v>
      </c>
      <c r="L1344" s="8">
        <f>_xlfn.IFNA(INDEX('HS Codes'!$D$2:$K3898,MATCH($B1344,'HS Codes'!$A$2:$A3898,0),MATCH(L$1,'HS Codes'!$D$1:$K$1,0)),"")</f>
        <v>0</v>
      </c>
      <c r="M1344" s="8">
        <f>_xlfn.IFNA(INDEX('HS Codes'!$C$2:$C3898,MATCH($B1344,'HS Codes'!$A$2:$A3898,0)),"")</f>
        <v>0</v>
      </c>
      <c r="N1344" s="9"/>
      <c r="O1344" s="9"/>
      <c r="P1344" s="9"/>
      <c r="Q1344" s="9"/>
    </row>
    <row r="1345" spans="1:17" ht="15.75" customHeight="1">
      <c r="A1345" s="7" t="s">
        <v>1638</v>
      </c>
      <c r="B1345" s="7" t="s">
        <v>224</v>
      </c>
      <c r="C1345" s="7"/>
      <c r="D1345" s="7" t="s">
        <v>225</v>
      </c>
      <c r="E1345" s="7" t="s">
        <v>322</v>
      </c>
      <c r="F1345" s="8">
        <f>_xlfn.IFNA(INDEX('HS Codes'!$D$2:$K3899,MATCH($B1345,'HS Codes'!$A$2:$A3899,0),MATCH(F$1,'HS Codes'!$D$1:$K$1,0)),"")</f>
        <v>0</v>
      </c>
      <c r="G1345" s="8">
        <f>_xlfn.IFNA(INDEX('HS Codes'!$D$2:$K3899,MATCH($B1345,'HS Codes'!$A$2:$A3899,0),MATCH(G$1,'HS Codes'!$D$1:$K$1,0)),"")</f>
        <v>0</v>
      </c>
      <c r="H1345" s="8">
        <f>_xlfn.IFNA(INDEX('HS Codes'!$D$2:$K3899,MATCH($B1345,'HS Codes'!$A$2:$A3899,0),MATCH(H$1,'HS Codes'!$D$1:$K$1,0)),"")</f>
        <v>0</v>
      </c>
      <c r="I1345" s="8">
        <f>_xlfn.IFNA(INDEX('HS Codes'!$D$2:$K3899,MATCH($B1345,'HS Codes'!$A$2:$A3899,0),MATCH(I$1,'HS Codes'!$D$1:$K$1,0)),"")</f>
        <v>0</v>
      </c>
      <c r="J1345" s="8">
        <f>_xlfn.IFNA(INDEX('HS Codes'!$D$2:$K3899,MATCH($B1345,'HS Codes'!$A$2:$A3899,0),MATCH(J$1,'HS Codes'!$D$1:$K$1,0)),"")</f>
        <v>0</v>
      </c>
      <c r="K1345" s="8">
        <f>_xlfn.IFNA(INDEX('HS Codes'!$D$2:$K3899,MATCH($B1345,'HS Codes'!$A$2:$A3899,0),MATCH(K$1,'HS Codes'!$D$1:$K$1,0)),"")</f>
        <v>0</v>
      </c>
      <c r="L1345" s="8">
        <f>_xlfn.IFNA(INDEX('HS Codes'!$D$2:$K3899,MATCH($B1345,'HS Codes'!$A$2:$A3899,0),MATCH(L$1,'HS Codes'!$D$1:$K$1,0)),"")</f>
        <v>0</v>
      </c>
      <c r="M1345" s="8">
        <f>_xlfn.IFNA(INDEX('HS Codes'!$C$2:$C3899,MATCH($B1345,'HS Codes'!$A$2:$A3899,0)),"")</f>
        <v>0</v>
      </c>
      <c r="N1345" s="9"/>
      <c r="O1345" s="9"/>
      <c r="P1345" s="9"/>
      <c r="Q1345" s="9"/>
    </row>
    <row r="1346" spans="1:17" ht="15.75" customHeight="1">
      <c r="A1346" s="7" t="s">
        <v>1639</v>
      </c>
      <c r="B1346" s="7" t="s">
        <v>224</v>
      </c>
      <c r="C1346" s="7"/>
      <c r="D1346" s="7" t="s">
        <v>225</v>
      </c>
      <c r="E1346" s="7" t="s">
        <v>322</v>
      </c>
      <c r="F1346" s="8">
        <f>_xlfn.IFNA(INDEX('HS Codes'!$D$2:$K3900,MATCH($B1346,'HS Codes'!$A$2:$A3900,0),MATCH(F$1,'HS Codes'!$D$1:$K$1,0)),"")</f>
        <v>0</v>
      </c>
      <c r="G1346" s="8">
        <f>_xlfn.IFNA(INDEX('HS Codes'!$D$2:$K3900,MATCH($B1346,'HS Codes'!$A$2:$A3900,0),MATCH(G$1,'HS Codes'!$D$1:$K$1,0)),"")</f>
        <v>0</v>
      </c>
      <c r="H1346" s="8">
        <f>_xlfn.IFNA(INDEX('HS Codes'!$D$2:$K3900,MATCH($B1346,'HS Codes'!$A$2:$A3900,0),MATCH(H$1,'HS Codes'!$D$1:$K$1,0)),"")</f>
        <v>0</v>
      </c>
      <c r="I1346" s="8">
        <f>_xlfn.IFNA(INDEX('HS Codes'!$D$2:$K3900,MATCH($B1346,'HS Codes'!$A$2:$A3900,0),MATCH(I$1,'HS Codes'!$D$1:$K$1,0)),"")</f>
        <v>0</v>
      </c>
      <c r="J1346" s="8">
        <f>_xlfn.IFNA(INDEX('HS Codes'!$D$2:$K3900,MATCH($B1346,'HS Codes'!$A$2:$A3900,0),MATCH(J$1,'HS Codes'!$D$1:$K$1,0)),"")</f>
        <v>0</v>
      </c>
      <c r="K1346" s="8">
        <f>_xlfn.IFNA(INDEX('HS Codes'!$D$2:$K3900,MATCH($B1346,'HS Codes'!$A$2:$A3900,0),MATCH(K$1,'HS Codes'!$D$1:$K$1,0)),"")</f>
        <v>0</v>
      </c>
      <c r="L1346" s="8">
        <f>_xlfn.IFNA(INDEX('HS Codes'!$D$2:$K3900,MATCH($B1346,'HS Codes'!$A$2:$A3900,0),MATCH(L$1,'HS Codes'!$D$1:$K$1,0)),"")</f>
        <v>0</v>
      </c>
      <c r="M1346" s="8">
        <f>_xlfn.IFNA(INDEX('HS Codes'!$C$2:$C3900,MATCH($B1346,'HS Codes'!$A$2:$A3900,0)),"")</f>
        <v>0</v>
      </c>
      <c r="N1346" s="9"/>
      <c r="O1346" s="9"/>
      <c r="P1346" s="9"/>
      <c r="Q1346" s="9"/>
    </row>
    <row r="1347" spans="1:17" ht="15.75" customHeight="1">
      <c r="A1347" s="7" t="s">
        <v>1640</v>
      </c>
      <c r="B1347" s="7" t="s">
        <v>224</v>
      </c>
      <c r="C1347" s="7"/>
      <c r="D1347" s="7" t="s">
        <v>225</v>
      </c>
      <c r="E1347" s="7" t="s">
        <v>322</v>
      </c>
      <c r="F1347" s="8">
        <f>_xlfn.IFNA(INDEX('HS Codes'!$D$2:$K3901,MATCH($B1347,'HS Codes'!$A$2:$A3901,0),MATCH(F$1,'HS Codes'!$D$1:$K$1,0)),"")</f>
        <v>0</v>
      </c>
      <c r="G1347" s="8">
        <f>_xlfn.IFNA(INDEX('HS Codes'!$D$2:$K3901,MATCH($B1347,'HS Codes'!$A$2:$A3901,0),MATCH(G$1,'HS Codes'!$D$1:$K$1,0)),"")</f>
        <v>0</v>
      </c>
      <c r="H1347" s="8">
        <f>_xlfn.IFNA(INDEX('HS Codes'!$D$2:$K3901,MATCH($B1347,'HS Codes'!$A$2:$A3901,0),MATCH(H$1,'HS Codes'!$D$1:$K$1,0)),"")</f>
        <v>0</v>
      </c>
      <c r="I1347" s="8">
        <f>_xlfn.IFNA(INDEX('HS Codes'!$D$2:$K3901,MATCH($B1347,'HS Codes'!$A$2:$A3901,0),MATCH(I$1,'HS Codes'!$D$1:$K$1,0)),"")</f>
        <v>0</v>
      </c>
      <c r="J1347" s="8">
        <f>_xlfn.IFNA(INDEX('HS Codes'!$D$2:$K3901,MATCH($B1347,'HS Codes'!$A$2:$A3901,0),MATCH(J$1,'HS Codes'!$D$1:$K$1,0)),"")</f>
        <v>0</v>
      </c>
      <c r="K1347" s="8">
        <f>_xlfn.IFNA(INDEX('HS Codes'!$D$2:$K3901,MATCH($B1347,'HS Codes'!$A$2:$A3901,0),MATCH(K$1,'HS Codes'!$D$1:$K$1,0)),"")</f>
        <v>0</v>
      </c>
      <c r="L1347" s="8">
        <f>_xlfn.IFNA(INDEX('HS Codes'!$D$2:$K3901,MATCH($B1347,'HS Codes'!$A$2:$A3901,0),MATCH(L$1,'HS Codes'!$D$1:$K$1,0)),"")</f>
        <v>0</v>
      </c>
      <c r="M1347" s="8">
        <f>_xlfn.IFNA(INDEX('HS Codes'!$C$2:$C3901,MATCH($B1347,'HS Codes'!$A$2:$A3901,0)),"")</f>
        <v>0</v>
      </c>
      <c r="N1347" s="9"/>
      <c r="O1347" s="9"/>
      <c r="P1347" s="9"/>
      <c r="Q1347" s="9"/>
    </row>
    <row r="1348" spans="1:17" ht="15.75" customHeight="1">
      <c r="A1348" s="7" t="s">
        <v>1641</v>
      </c>
      <c r="B1348" s="7" t="s">
        <v>224</v>
      </c>
      <c r="C1348" s="7"/>
      <c r="D1348" s="7" t="s">
        <v>225</v>
      </c>
      <c r="E1348" s="7" t="s">
        <v>322</v>
      </c>
      <c r="F1348" s="8">
        <f>_xlfn.IFNA(INDEX('HS Codes'!$D$2:$K3902,MATCH($B1348,'HS Codes'!$A$2:$A3902,0),MATCH(F$1,'HS Codes'!$D$1:$K$1,0)),"")</f>
        <v>0</v>
      </c>
      <c r="G1348" s="8">
        <f>_xlfn.IFNA(INDEX('HS Codes'!$D$2:$K3902,MATCH($B1348,'HS Codes'!$A$2:$A3902,0),MATCH(G$1,'HS Codes'!$D$1:$K$1,0)),"")</f>
        <v>0</v>
      </c>
      <c r="H1348" s="8">
        <f>_xlfn.IFNA(INDEX('HS Codes'!$D$2:$K3902,MATCH($B1348,'HS Codes'!$A$2:$A3902,0),MATCH(H$1,'HS Codes'!$D$1:$K$1,0)),"")</f>
        <v>0</v>
      </c>
      <c r="I1348" s="8">
        <f>_xlfn.IFNA(INDEX('HS Codes'!$D$2:$K3902,MATCH($B1348,'HS Codes'!$A$2:$A3902,0),MATCH(I$1,'HS Codes'!$D$1:$K$1,0)),"")</f>
        <v>0</v>
      </c>
      <c r="J1348" s="8">
        <f>_xlfn.IFNA(INDEX('HS Codes'!$D$2:$K3902,MATCH($B1348,'HS Codes'!$A$2:$A3902,0),MATCH(J$1,'HS Codes'!$D$1:$K$1,0)),"")</f>
        <v>0</v>
      </c>
      <c r="K1348" s="8">
        <f>_xlfn.IFNA(INDEX('HS Codes'!$D$2:$K3902,MATCH($B1348,'HS Codes'!$A$2:$A3902,0),MATCH(K$1,'HS Codes'!$D$1:$K$1,0)),"")</f>
        <v>0</v>
      </c>
      <c r="L1348" s="8">
        <f>_xlfn.IFNA(INDEX('HS Codes'!$D$2:$K3902,MATCH($B1348,'HS Codes'!$A$2:$A3902,0),MATCH(L$1,'HS Codes'!$D$1:$K$1,0)),"")</f>
        <v>0</v>
      </c>
      <c r="M1348" s="8">
        <f>_xlfn.IFNA(INDEX('HS Codes'!$C$2:$C3902,MATCH($B1348,'HS Codes'!$A$2:$A3902,0)),"")</f>
        <v>0</v>
      </c>
      <c r="N1348" s="9"/>
      <c r="O1348" s="9"/>
      <c r="P1348" s="9"/>
      <c r="Q1348" s="9"/>
    </row>
    <row r="1349" spans="1:17" ht="15.75" customHeight="1">
      <c r="A1349" s="7" t="s">
        <v>1642</v>
      </c>
      <c r="B1349" s="7" t="s">
        <v>224</v>
      </c>
      <c r="C1349" s="7"/>
      <c r="D1349" s="7" t="s">
        <v>225</v>
      </c>
      <c r="E1349" s="7" t="s">
        <v>322</v>
      </c>
      <c r="F1349" s="8">
        <f>_xlfn.IFNA(INDEX('HS Codes'!$D$2:$K3903,MATCH($B1349,'HS Codes'!$A$2:$A3903,0),MATCH(F$1,'HS Codes'!$D$1:$K$1,0)),"")</f>
        <v>0</v>
      </c>
      <c r="G1349" s="8">
        <f>_xlfn.IFNA(INDEX('HS Codes'!$D$2:$K3903,MATCH($B1349,'HS Codes'!$A$2:$A3903,0),MATCH(G$1,'HS Codes'!$D$1:$K$1,0)),"")</f>
        <v>0</v>
      </c>
      <c r="H1349" s="8">
        <f>_xlfn.IFNA(INDEX('HS Codes'!$D$2:$K3903,MATCH($B1349,'HS Codes'!$A$2:$A3903,0),MATCH(H$1,'HS Codes'!$D$1:$K$1,0)),"")</f>
        <v>0</v>
      </c>
      <c r="I1349" s="8">
        <f>_xlfn.IFNA(INDEX('HS Codes'!$D$2:$K3903,MATCH($B1349,'HS Codes'!$A$2:$A3903,0),MATCH(I$1,'HS Codes'!$D$1:$K$1,0)),"")</f>
        <v>0</v>
      </c>
      <c r="J1349" s="8">
        <f>_xlfn.IFNA(INDEX('HS Codes'!$D$2:$K3903,MATCH($B1349,'HS Codes'!$A$2:$A3903,0),MATCH(J$1,'HS Codes'!$D$1:$K$1,0)),"")</f>
        <v>0</v>
      </c>
      <c r="K1349" s="8">
        <f>_xlfn.IFNA(INDEX('HS Codes'!$D$2:$K3903,MATCH($B1349,'HS Codes'!$A$2:$A3903,0),MATCH(K$1,'HS Codes'!$D$1:$K$1,0)),"")</f>
        <v>0</v>
      </c>
      <c r="L1349" s="8">
        <f>_xlfn.IFNA(INDEX('HS Codes'!$D$2:$K3903,MATCH($B1349,'HS Codes'!$A$2:$A3903,0),MATCH(L$1,'HS Codes'!$D$1:$K$1,0)),"")</f>
        <v>0</v>
      </c>
      <c r="M1349" s="8">
        <f>_xlfn.IFNA(INDEX('HS Codes'!$C$2:$C3903,MATCH($B1349,'HS Codes'!$A$2:$A3903,0)),"")</f>
        <v>0</v>
      </c>
      <c r="N1349" s="9"/>
      <c r="O1349" s="9"/>
      <c r="P1349" s="9"/>
      <c r="Q1349" s="9"/>
    </row>
    <row r="1350" spans="1:17" ht="15.75" customHeight="1">
      <c r="A1350" s="7" t="s">
        <v>1643</v>
      </c>
      <c r="B1350" s="7" t="s">
        <v>224</v>
      </c>
      <c r="C1350" s="7"/>
      <c r="D1350" s="7" t="s">
        <v>225</v>
      </c>
      <c r="E1350" s="7" t="s">
        <v>322</v>
      </c>
      <c r="F1350" s="8">
        <f>_xlfn.IFNA(INDEX('HS Codes'!$D$2:$K3904,MATCH($B1350,'HS Codes'!$A$2:$A3904,0),MATCH(F$1,'HS Codes'!$D$1:$K$1,0)),"")</f>
        <v>0</v>
      </c>
      <c r="G1350" s="8">
        <f>_xlfn.IFNA(INDEX('HS Codes'!$D$2:$K3904,MATCH($B1350,'HS Codes'!$A$2:$A3904,0),MATCH(G$1,'HS Codes'!$D$1:$K$1,0)),"")</f>
        <v>0</v>
      </c>
      <c r="H1350" s="8">
        <f>_xlfn.IFNA(INDEX('HS Codes'!$D$2:$K3904,MATCH($B1350,'HS Codes'!$A$2:$A3904,0),MATCH(H$1,'HS Codes'!$D$1:$K$1,0)),"")</f>
        <v>0</v>
      </c>
      <c r="I1350" s="8">
        <f>_xlfn.IFNA(INDEX('HS Codes'!$D$2:$K3904,MATCH($B1350,'HS Codes'!$A$2:$A3904,0),MATCH(I$1,'HS Codes'!$D$1:$K$1,0)),"")</f>
        <v>0</v>
      </c>
      <c r="J1350" s="8">
        <f>_xlfn.IFNA(INDEX('HS Codes'!$D$2:$K3904,MATCH($B1350,'HS Codes'!$A$2:$A3904,0),MATCH(J$1,'HS Codes'!$D$1:$K$1,0)),"")</f>
        <v>0</v>
      </c>
      <c r="K1350" s="8">
        <f>_xlfn.IFNA(INDEX('HS Codes'!$D$2:$K3904,MATCH($B1350,'HS Codes'!$A$2:$A3904,0),MATCH(K$1,'HS Codes'!$D$1:$K$1,0)),"")</f>
        <v>0</v>
      </c>
      <c r="L1350" s="8">
        <f>_xlfn.IFNA(INDEX('HS Codes'!$D$2:$K3904,MATCH($B1350,'HS Codes'!$A$2:$A3904,0),MATCH(L$1,'HS Codes'!$D$1:$K$1,0)),"")</f>
        <v>0</v>
      </c>
      <c r="M1350" s="8">
        <f>_xlfn.IFNA(INDEX('HS Codes'!$C$2:$C3904,MATCH($B1350,'HS Codes'!$A$2:$A3904,0)),"")</f>
        <v>0</v>
      </c>
      <c r="N1350" s="9"/>
      <c r="O1350" s="9"/>
      <c r="P1350" s="9"/>
      <c r="Q1350" s="9"/>
    </row>
    <row r="1351" spans="1:17" ht="15.75" customHeight="1">
      <c r="A1351" s="7" t="s">
        <v>1644</v>
      </c>
      <c r="B1351" s="7" t="s">
        <v>224</v>
      </c>
      <c r="C1351" s="7"/>
      <c r="D1351" s="7" t="s">
        <v>225</v>
      </c>
      <c r="E1351" s="7" t="s">
        <v>322</v>
      </c>
      <c r="F1351" s="8">
        <f>_xlfn.IFNA(INDEX('HS Codes'!$D$2:$K3905,MATCH($B1351,'HS Codes'!$A$2:$A3905,0),MATCH(F$1,'HS Codes'!$D$1:$K$1,0)),"")</f>
        <v>0</v>
      </c>
      <c r="G1351" s="8">
        <f>_xlfn.IFNA(INDEX('HS Codes'!$D$2:$K3905,MATCH($B1351,'HS Codes'!$A$2:$A3905,0),MATCH(G$1,'HS Codes'!$D$1:$K$1,0)),"")</f>
        <v>0</v>
      </c>
      <c r="H1351" s="8">
        <f>_xlfn.IFNA(INDEX('HS Codes'!$D$2:$K3905,MATCH($B1351,'HS Codes'!$A$2:$A3905,0),MATCH(H$1,'HS Codes'!$D$1:$K$1,0)),"")</f>
        <v>0</v>
      </c>
      <c r="I1351" s="8">
        <f>_xlfn.IFNA(INDEX('HS Codes'!$D$2:$K3905,MATCH($B1351,'HS Codes'!$A$2:$A3905,0),MATCH(I$1,'HS Codes'!$D$1:$K$1,0)),"")</f>
        <v>0</v>
      </c>
      <c r="J1351" s="8">
        <f>_xlfn.IFNA(INDEX('HS Codes'!$D$2:$K3905,MATCH($B1351,'HS Codes'!$A$2:$A3905,0),MATCH(J$1,'HS Codes'!$D$1:$K$1,0)),"")</f>
        <v>0</v>
      </c>
      <c r="K1351" s="8">
        <f>_xlfn.IFNA(INDEX('HS Codes'!$D$2:$K3905,MATCH($B1351,'HS Codes'!$A$2:$A3905,0),MATCH(K$1,'HS Codes'!$D$1:$K$1,0)),"")</f>
        <v>0</v>
      </c>
      <c r="L1351" s="8">
        <f>_xlfn.IFNA(INDEX('HS Codes'!$D$2:$K3905,MATCH($B1351,'HS Codes'!$A$2:$A3905,0),MATCH(L$1,'HS Codes'!$D$1:$K$1,0)),"")</f>
        <v>0</v>
      </c>
      <c r="M1351" s="8">
        <f>_xlfn.IFNA(INDEX('HS Codes'!$C$2:$C3905,MATCH($B1351,'HS Codes'!$A$2:$A3905,0)),"")</f>
        <v>0</v>
      </c>
      <c r="N1351" s="9"/>
      <c r="O1351" s="9"/>
      <c r="P1351" s="9"/>
      <c r="Q1351" s="9"/>
    </row>
    <row r="1352" spans="1:17" ht="15.75" customHeight="1">
      <c r="A1352" s="7" t="s">
        <v>1645</v>
      </c>
      <c r="B1352" s="7" t="s">
        <v>224</v>
      </c>
      <c r="C1352" s="7"/>
      <c r="D1352" s="7" t="s">
        <v>225</v>
      </c>
      <c r="E1352" s="7" t="s">
        <v>322</v>
      </c>
      <c r="F1352" s="8">
        <f>_xlfn.IFNA(INDEX('HS Codes'!$D$2:$K3906,MATCH($B1352,'HS Codes'!$A$2:$A3906,0),MATCH(F$1,'HS Codes'!$D$1:$K$1,0)),"")</f>
        <v>0</v>
      </c>
      <c r="G1352" s="8">
        <f>_xlfn.IFNA(INDEX('HS Codes'!$D$2:$K3906,MATCH($B1352,'HS Codes'!$A$2:$A3906,0),MATCH(G$1,'HS Codes'!$D$1:$K$1,0)),"")</f>
        <v>0</v>
      </c>
      <c r="H1352" s="8">
        <f>_xlfn.IFNA(INDEX('HS Codes'!$D$2:$K3906,MATCH($B1352,'HS Codes'!$A$2:$A3906,0),MATCH(H$1,'HS Codes'!$D$1:$K$1,0)),"")</f>
        <v>0</v>
      </c>
      <c r="I1352" s="8">
        <f>_xlfn.IFNA(INDEX('HS Codes'!$D$2:$K3906,MATCH($B1352,'HS Codes'!$A$2:$A3906,0),MATCH(I$1,'HS Codes'!$D$1:$K$1,0)),"")</f>
        <v>0</v>
      </c>
      <c r="J1352" s="8">
        <f>_xlfn.IFNA(INDEX('HS Codes'!$D$2:$K3906,MATCH($B1352,'HS Codes'!$A$2:$A3906,0),MATCH(J$1,'HS Codes'!$D$1:$K$1,0)),"")</f>
        <v>0</v>
      </c>
      <c r="K1352" s="8">
        <f>_xlfn.IFNA(INDEX('HS Codes'!$D$2:$K3906,MATCH($B1352,'HS Codes'!$A$2:$A3906,0),MATCH(K$1,'HS Codes'!$D$1:$K$1,0)),"")</f>
        <v>0</v>
      </c>
      <c r="L1352" s="8">
        <f>_xlfn.IFNA(INDEX('HS Codes'!$D$2:$K3906,MATCH($B1352,'HS Codes'!$A$2:$A3906,0),MATCH(L$1,'HS Codes'!$D$1:$K$1,0)),"")</f>
        <v>0</v>
      </c>
      <c r="M1352" s="8">
        <f>_xlfn.IFNA(INDEX('HS Codes'!$C$2:$C3906,MATCH($B1352,'HS Codes'!$A$2:$A3906,0)),"")</f>
        <v>0</v>
      </c>
      <c r="N1352" s="9"/>
      <c r="O1352" s="9"/>
      <c r="P1352" s="9"/>
      <c r="Q1352" s="9"/>
    </row>
    <row r="1353" spans="1:17" ht="15.75" customHeight="1">
      <c r="A1353" s="7" t="s">
        <v>1646</v>
      </c>
      <c r="B1353" s="7" t="s">
        <v>224</v>
      </c>
      <c r="C1353" s="7"/>
      <c r="D1353" s="7" t="s">
        <v>225</v>
      </c>
      <c r="E1353" s="7" t="s">
        <v>322</v>
      </c>
      <c r="F1353" s="8">
        <f>_xlfn.IFNA(INDEX('HS Codes'!$D$2:$K3907,MATCH($B1353,'HS Codes'!$A$2:$A3907,0),MATCH(F$1,'HS Codes'!$D$1:$K$1,0)),"")</f>
        <v>0</v>
      </c>
      <c r="G1353" s="8">
        <f>_xlfn.IFNA(INDEX('HS Codes'!$D$2:$K3907,MATCH($B1353,'HS Codes'!$A$2:$A3907,0),MATCH(G$1,'HS Codes'!$D$1:$K$1,0)),"")</f>
        <v>0</v>
      </c>
      <c r="H1353" s="8">
        <f>_xlfn.IFNA(INDEX('HS Codes'!$D$2:$K3907,MATCH($B1353,'HS Codes'!$A$2:$A3907,0),MATCH(H$1,'HS Codes'!$D$1:$K$1,0)),"")</f>
        <v>0</v>
      </c>
      <c r="I1353" s="8">
        <f>_xlfn.IFNA(INDEX('HS Codes'!$D$2:$K3907,MATCH($B1353,'HS Codes'!$A$2:$A3907,0),MATCH(I$1,'HS Codes'!$D$1:$K$1,0)),"")</f>
        <v>0</v>
      </c>
      <c r="J1353" s="8">
        <f>_xlfn.IFNA(INDEX('HS Codes'!$D$2:$K3907,MATCH($B1353,'HS Codes'!$A$2:$A3907,0),MATCH(J$1,'HS Codes'!$D$1:$K$1,0)),"")</f>
        <v>0</v>
      </c>
      <c r="K1353" s="8">
        <f>_xlfn.IFNA(INDEX('HS Codes'!$D$2:$K3907,MATCH($B1353,'HS Codes'!$A$2:$A3907,0),MATCH(K$1,'HS Codes'!$D$1:$K$1,0)),"")</f>
        <v>0</v>
      </c>
      <c r="L1353" s="8">
        <f>_xlfn.IFNA(INDEX('HS Codes'!$D$2:$K3907,MATCH($B1353,'HS Codes'!$A$2:$A3907,0),MATCH(L$1,'HS Codes'!$D$1:$K$1,0)),"")</f>
        <v>0</v>
      </c>
      <c r="M1353" s="8">
        <f>_xlfn.IFNA(INDEX('HS Codes'!$C$2:$C3907,MATCH($B1353,'HS Codes'!$A$2:$A3907,0)),"")</f>
        <v>0</v>
      </c>
      <c r="N1353" s="9"/>
      <c r="O1353" s="9"/>
      <c r="P1353" s="9"/>
      <c r="Q1353" s="9"/>
    </row>
    <row r="1354" spans="1:17" ht="15.75" customHeight="1">
      <c r="A1354" s="7" t="s">
        <v>1647</v>
      </c>
      <c r="B1354" s="7" t="s">
        <v>224</v>
      </c>
      <c r="C1354" s="7"/>
      <c r="D1354" s="7" t="s">
        <v>225</v>
      </c>
      <c r="E1354" s="7" t="s">
        <v>322</v>
      </c>
      <c r="F1354" s="8">
        <f>_xlfn.IFNA(INDEX('HS Codes'!$D$2:$K3908,MATCH($B1354,'HS Codes'!$A$2:$A3908,0),MATCH(F$1,'HS Codes'!$D$1:$K$1,0)),"")</f>
        <v>0</v>
      </c>
      <c r="G1354" s="8">
        <f>_xlfn.IFNA(INDEX('HS Codes'!$D$2:$K3908,MATCH($B1354,'HS Codes'!$A$2:$A3908,0),MATCH(G$1,'HS Codes'!$D$1:$K$1,0)),"")</f>
        <v>0</v>
      </c>
      <c r="H1354" s="8">
        <f>_xlfn.IFNA(INDEX('HS Codes'!$D$2:$K3908,MATCH($B1354,'HS Codes'!$A$2:$A3908,0),MATCH(H$1,'HS Codes'!$D$1:$K$1,0)),"")</f>
        <v>0</v>
      </c>
      <c r="I1354" s="8">
        <f>_xlfn.IFNA(INDEX('HS Codes'!$D$2:$K3908,MATCH($B1354,'HS Codes'!$A$2:$A3908,0),MATCH(I$1,'HS Codes'!$D$1:$K$1,0)),"")</f>
        <v>0</v>
      </c>
      <c r="J1354" s="8">
        <f>_xlfn.IFNA(INDEX('HS Codes'!$D$2:$K3908,MATCH($B1354,'HS Codes'!$A$2:$A3908,0),MATCH(J$1,'HS Codes'!$D$1:$K$1,0)),"")</f>
        <v>0</v>
      </c>
      <c r="K1354" s="8">
        <f>_xlfn.IFNA(INDEX('HS Codes'!$D$2:$K3908,MATCH($B1354,'HS Codes'!$A$2:$A3908,0),MATCH(K$1,'HS Codes'!$D$1:$K$1,0)),"")</f>
        <v>0</v>
      </c>
      <c r="L1354" s="8">
        <f>_xlfn.IFNA(INDEX('HS Codes'!$D$2:$K3908,MATCH($B1354,'HS Codes'!$A$2:$A3908,0),MATCH(L$1,'HS Codes'!$D$1:$K$1,0)),"")</f>
        <v>0</v>
      </c>
      <c r="M1354" s="8">
        <f>_xlfn.IFNA(INDEX('HS Codes'!$C$2:$C3908,MATCH($B1354,'HS Codes'!$A$2:$A3908,0)),"")</f>
        <v>0</v>
      </c>
      <c r="N1354" s="9"/>
      <c r="O1354" s="9"/>
      <c r="P1354" s="9"/>
      <c r="Q1354" s="9"/>
    </row>
    <row r="1355" spans="1:17" ht="15.75" customHeight="1">
      <c r="A1355" s="7" t="s">
        <v>1648</v>
      </c>
      <c r="B1355" s="7" t="s">
        <v>224</v>
      </c>
      <c r="C1355" s="7"/>
      <c r="D1355" s="7" t="s">
        <v>225</v>
      </c>
      <c r="E1355" s="7" t="s">
        <v>322</v>
      </c>
      <c r="F1355" s="8">
        <f>_xlfn.IFNA(INDEX('HS Codes'!$D$2:$K3909,MATCH($B1355,'HS Codes'!$A$2:$A3909,0),MATCH(F$1,'HS Codes'!$D$1:$K$1,0)),"")</f>
        <v>0</v>
      </c>
      <c r="G1355" s="8">
        <f>_xlfn.IFNA(INDEX('HS Codes'!$D$2:$K3909,MATCH($B1355,'HS Codes'!$A$2:$A3909,0),MATCH(G$1,'HS Codes'!$D$1:$K$1,0)),"")</f>
        <v>0</v>
      </c>
      <c r="H1355" s="8">
        <f>_xlfn.IFNA(INDEX('HS Codes'!$D$2:$K3909,MATCH($B1355,'HS Codes'!$A$2:$A3909,0),MATCH(H$1,'HS Codes'!$D$1:$K$1,0)),"")</f>
        <v>0</v>
      </c>
      <c r="I1355" s="8">
        <f>_xlfn.IFNA(INDEX('HS Codes'!$D$2:$K3909,MATCH($B1355,'HS Codes'!$A$2:$A3909,0),MATCH(I$1,'HS Codes'!$D$1:$K$1,0)),"")</f>
        <v>0</v>
      </c>
      <c r="J1355" s="8">
        <f>_xlfn.IFNA(INDEX('HS Codes'!$D$2:$K3909,MATCH($B1355,'HS Codes'!$A$2:$A3909,0),MATCH(J$1,'HS Codes'!$D$1:$K$1,0)),"")</f>
        <v>0</v>
      </c>
      <c r="K1355" s="8">
        <f>_xlfn.IFNA(INDEX('HS Codes'!$D$2:$K3909,MATCH($B1355,'HS Codes'!$A$2:$A3909,0),MATCH(K$1,'HS Codes'!$D$1:$K$1,0)),"")</f>
        <v>0</v>
      </c>
      <c r="L1355" s="8">
        <f>_xlfn.IFNA(INDEX('HS Codes'!$D$2:$K3909,MATCH($B1355,'HS Codes'!$A$2:$A3909,0),MATCH(L$1,'HS Codes'!$D$1:$K$1,0)),"")</f>
        <v>0</v>
      </c>
      <c r="M1355" s="8">
        <f>_xlfn.IFNA(INDEX('HS Codes'!$C$2:$C3909,MATCH($B1355,'HS Codes'!$A$2:$A3909,0)),"")</f>
        <v>0</v>
      </c>
      <c r="N1355" s="9"/>
      <c r="O1355" s="9"/>
      <c r="P1355" s="9"/>
      <c r="Q1355" s="9"/>
    </row>
    <row r="1356" spans="1:17" ht="15.75" customHeight="1">
      <c r="A1356" s="7" t="s">
        <v>1649</v>
      </c>
      <c r="B1356" s="7" t="s">
        <v>224</v>
      </c>
      <c r="C1356" s="7"/>
      <c r="D1356" s="7" t="s">
        <v>225</v>
      </c>
      <c r="E1356" s="7" t="s">
        <v>322</v>
      </c>
      <c r="F1356" s="8">
        <f>_xlfn.IFNA(INDEX('HS Codes'!$D$2:$K3910,MATCH($B1356,'HS Codes'!$A$2:$A3910,0),MATCH(F$1,'HS Codes'!$D$1:$K$1,0)),"")</f>
        <v>0</v>
      </c>
      <c r="G1356" s="8">
        <f>_xlfn.IFNA(INDEX('HS Codes'!$D$2:$K3910,MATCH($B1356,'HS Codes'!$A$2:$A3910,0),MATCH(G$1,'HS Codes'!$D$1:$K$1,0)),"")</f>
        <v>0</v>
      </c>
      <c r="H1356" s="8">
        <f>_xlfn.IFNA(INDEX('HS Codes'!$D$2:$K3910,MATCH($B1356,'HS Codes'!$A$2:$A3910,0),MATCH(H$1,'HS Codes'!$D$1:$K$1,0)),"")</f>
        <v>0</v>
      </c>
      <c r="I1356" s="8">
        <f>_xlfn.IFNA(INDEX('HS Codes'!$D$2:$K3910,MATCH($B1356,'HS Codes'!$A$2:$A3910,0),MATCH(I$1,'HS Codes'!$D$1:$K$1,0)),"")</f>
        <v>0</v>
      </c>
      <c r="J1356" s="8">
        <f>_xlfn.IFNA(INDEX('HS Codes'!$D$2:$K3910,MATCH($B1356,'HS Codes'!$A$2:$A3910,0),MATCH(J$1,'HS Codes'!$D$1:$K$1,0)),"")</f>
        <v>0</v>
      </c>
      <c r="K1356" s="8">
        <f>_xlfn.IFNA(INDEX('HS Codes'!$D$2:$K3910,MATCH($B1356,'HS Codes'!$A$2:$A3910,0),MATCH(K$1,'HS Codes'!$D$1:$K$1,0)),"")</f>
        <v>0</v>
      </c>
      <c r="L1356" s="8">
        <f>_xlfn.IFNA(INDEX('HS Codes'!$D$2:$K3910,MATCH($B1356,'HS Codes'!$A$2:$A3910,0),MATCH(L$1,'HS Codes'!$D$1:$K$1,0)),"")</f>
        <v>0</v>
      </c>
      <c r="M1356" s="8">
        <f>_xlfn.IFNA(INDEX('HS Codes'!$C$2:$C3910,MATCH($B1356,'HS Codes'!$A$2:$A3910,0)),"")</f>
        <v>0</v>
      </c>
      <c r="N1356" s="9"/>
      <c r="O1356" s="9"/>
      <c r="P1356" s="9"/>
      <c r="Q1356" s="9"/>
    </row>
    <row r="1357" spans="1:17" ht="15.75" customHeight="1">
      <c r="A1357" s="7" t="s">
        <v>1650</v>
      </c>
      <c r="B1357" s="7" t="s">
        <v>224</v>
      </c>
      <c r="C1357" s="7"/>
      <c r="D1357" s="7" t="s">
        <v>225</v>
      </c>
      <c r="E1357" s="7" t="s">
        <v>322</v>
      </c>
      <c r="F1357" s="8">
        <f>_xlfn.IFNA(INDEX('HS Codes'!$D$2:$K3911,MATCH($B1357,'HS Codes'!$A$2:$A3911,0),MATCH(F$1,'HS Codes'!$D$1:$K$1,0)),"")</f>
        <v>0</v>
      </c>
      <c r="G1357" s="8">
        <f>_xlfn.IFNA(INDEX('HS Codes'!$D$2:$K3911,MATCH($B1357,'HS Codes'!$A$2:$A3911,0),MATCH(G$1,'HS Codes'!$D$1:$K$1,0)),"")</f>
        <v>0</v>
      </c>
      <c r="H1357" s="8">
        <f>_xlfn.IFNA(INDEX('HS Codes'!$D$2:$K3911,MATCH($B1357,'HS Codes'!$A$2:$A3911,0),MATCH(H$1,'HS Codes'!$D$1:$K$1,0)),"")</f>
        <v>0</v>
      </c>
      <c r="I1357" s="8">
        <f>_xlfn.IFNA(INDEX('HS Codes'!$D$2:$K3911,MATCH($B1357,'HS Codes'!$A$2:$A3911,0),MATCH(I$1,'HS Codes'!$D$1:$K$1,0)),"")</f>
        <v>0</v>
      </c>
      <c r="J1357" s="8">
        <f>_xlfn.IFNA(INDEX('HS Codes'!$D$2:$K3911,MATCH($B1357,'HS Codes'!$A$2:$A3911,0),MATCH(J$1,'HS Codes'!$D$1:$K$1,0)),"")</f>
        <v>0</v>
      </c>
      <c r="K1357" s="8">
        <f>_xlfn.IFNA(INDEX('HS Codes'!$D$2:$K3911,MATCH($B1357,'HS Codes'!$A$2:$A3911,0),MATCH(K$1,'HS Codes'!$D$1:$K$1,0)),"")</f>
        <v>0</v>
      </c>
      <c r="L1357" s="8">
        <f>_xlfn.IFNA(INDEX('HS Codes'!$D$2:$K3911,MATCH($B1357,'HS Codes'!$A$2:$A3911,0),MATCH(L$1,'HS Codes'!$D$1:$K$1,0)),"")</f>
        <v>0</v>
      </c>
      <c r="M1357" s="8">
        <f>_xlfn.IFNA(INDEX('HS Codes'!$C$2:$C3911,MATCH($B1357,'HS Codes'!$A$2:$A3911,0)),"")</f>
        <v>0</v>
      </c>
      <c r="N1357" s="9"/>
      <c r="O1357" s="9"/>
      <c r="P1357" s="9"/>
      <c r="Q1357" s="9"/>
    </row>
    <row r="1358" spans="1:17" ht="15.75" customHeight="1">
      <c r="A1358" s="7" t="s">
        <v>1651</v>
      </c>
      <c r="B1358" s="7" t="s">
        <v>224</v>
      </c>
      <c r="C1358" s="7"/>
      <c r="D1358" s="7" t="s">
        <v>225</v>
      </c>
      <c r="E1358" s="7" t="s">
        <v>322</v>
      </c>
      <c r="F1358" s="8">
        <f>_xlfn.IFNA(INDEX('HS Codes'!$D$2:$K3912,MATCH($B1358,'HS Codes'!$A$2:$A3912,0),MATCH(F$1,'HS Codes'!$D$1:$K$1,0)),"")</f>
        <v>0</v>
      </c>
      <c r="G1358" s="8">
        <f>_xlfn.IFNA(INDEX('HS Codes'!$D$2:$K3912,MATCH($B1358,'HS Codes'!$A$2:$A3912,0),MATCH(G$1,'HS Codes'!$D$1:$K$1,0)),"")</f>
        <v>0</v>
      </c>
      <c r="H1358" s="8">
        <f>_xlfn.IFNA(INDEX('HS Codes'!$D$2:$K3912,MATCH($B1358,'HS Codes'!$A$2:$A3912,0),MATCH(H$1,'HS Codes'!$D$1:$K$1,0)),"")</f>
        <v>0</v>
      </c>
      <c r="I1358" s="8">
        <f>_xlfn.IFNA(INDEX('HS Codes'!$D$2:$K3912,MATCH($B1358,'HS Codes'!$A$2:$A3912,0),MATCH(I$1,'HS Codes'!$D$1:$K$1,0)),"")</f>
        <v>0</v>
      </c>
      <c r="J1358" s="8">
        <f>_xlfn.IFNA(INDEX('HS Codes'!$D$2:$K3912,MATCH($B1358,'HS Codes'!$A$2:$A3912,0),MATCH(J$1,'HS Codes'!$D$1:$K$1,0)),"")</f>
        <v>0</v>
      </c>
      <c r="K1358" s="8">
        <f>_xlfn.IFNA(INDEX('HS Codes'!$D$2:$K3912,MATCH($B1358,'HS Codes'!$A$2:$A3912,0),MATCH(K$1,'HS Codes'!$D$1:$K$1,0)),"")</f>
        <v>0</v>
      </c>
      <c r="L1358" s="8">
        <f>_xlfn.IFNA(INDEX('HS Codes'!$D$2:$K3912,MATCH($B1358,'HS Codes'!$A$2:$A3912,0),MATCH(L$1,'HS Codes'!$D$1:$K$1,0)),"")</f>
        <v>0</v>
      </c>
      <c r="M1358" s="8">
        <f>_xlfn.IFNA(INDEX('HS Codes'!$C$2:$C3912,MATCH($B1358,'HS Codes'!$A$2:$A3912,0)),"")</f>
        <v>0</v>
      </c>
      <c r="N1358" s="9"/>
      <c r="O1358" s="9"/>
      <c r="P1358" s="9"/>
      <c r="Q1358" s="9"/>
    </row>
    <row r="1359" spans="1:17" ht="15.75" customHeight="1">
      <c r="A1359" s="7" t="s">
        <v>1652</v>
      </c>
      <c r="B1359" s="7" t="s">
        <v>224</v>
      </c>
      <c r="C1359" s="7"/>
      <c r="D1359" s="7" t="s">
        <v>225</v>
      </c>
      <c r="E1359" s="7" t="s">
        <v>322</v>
      </c>
      <c r="F1359" s="8">
        <f>_xlfn.IFNA(INDEX('HS Codes'!$D$2:$K3913,MATCH($B1359,'HS Codes'!$A$2:$A3913,0),MATCH(F$1,'HS Codes'!$D$1:$K$1,0)),"")</f>
        <v>0</v>
      </c>
      <c r="G1359" s="8">
        <f>_xlfn.IFNA(INDEX('HS Codes'!$D$2:$K3913,MATCH($B1359,'HS Codes'!$A$2:$A3913,0),MATCH(G$1,'HS Codes'!$D$1:$K$1,0)),"")</f>
        <v>0</v>
      </c>
      <c r="H1359" s="8">
        <f>_xlfn.IFNA(INDEX('HS Codes'!$D$2:$K3913,MATCH($B1359,'HS Codes'!$A$2:$A3913,0),MATCH(H$1,'HS Codes'!$D$1:$K$1,0)),"")</f>
        <v>0</v>
      </c>
      <c r="I1359" s="8">
        <f>_xlfn.IFNA(INDEX('HS Codes'!$D$2:$K3913,MATCH($B1359,'HS Codes'!$A$2:$A3913,0),MATCH(I$1,'HS Codes'!$D$1:$K$1,0)),"")</f>
        <v>0</v>
      </c>
      <c r="J1359" s="8">
        <f>_xlfn.IFNA(INDEX('HS Codes'!$D$2:$K3913,MATCH($B1359,'HS Codes'!$A$2:$A3913,0),MATCH(J$1,'HS Codes'!$D$1:$K$1,0)),"")</f>
        <v>0</v>
      </c>
      <c r="K1359" s="8">
        <f>_xlfn.IFNA(INDEX('HS Codes'!$D$2:$K3913,MATCH($B1359,'HS Codes'!$A$2:$A3913,0),MATCH(K$1,'HS Codes'!$D$1:$K$1,0)),"")</f>
        <v>0</v>
      </c>
      <c r="L1359" s="8">
        <f>_xlfn.IFNA(INDEX('HS Codes'!$D$2:$K3913,MATCH($B1359,'HS Codes'!$A$2:$A3913,0),MATCH(L$1,'HS Codes'!$D$1:$K$1,0)),"")</f>
        <v>0</v>
      </c>
      <c r="M1359" s="8">
        <f>_xlfn.IFNA(INDEX('HS Codes'!$C$2:$C3913,MATCH($B1359,'HS Codes'!$A$2:$A3913,0)),"")</f>
        <v>0</v>
      </c>
      <c r="N1359" s="9"/>
      <c r="O1359" s="9"/>
      <c r="P1359" s="9"/>
      <c r="Q1359" s="9"/>
    </row>
    <row r="1360" spans="1:17" ht="15.75" customHeight="1">
      <c r="A1360" s="7" t="s">
        <v>1653</v>
      </c>
      <c r="B1360" s="7" t="s">
        <v>224</v>
      </c>
      <c r="C1360" s="7"/>
      <c r="D1360" s="7" t="s">
        <v>225</v>
      </c>
      <c r="E1360" s="7" t="s">
        <v>322</v>
      </c>
      <c r="F1360" s="8">
        <f>_xlfn.IFNA(INDEX('HS Codes'!$D$2:$K3914,MATCH($B1360,'HS Codes'!$A$2:$A3914,0),MATCH(F$1,'HS Codes'!$D$1:$K$1,0)),"")</f>
        <v>0</v>
      </c>
      <c r="G1360" s="8">
        <f>_xlfn.IFNA(INDEX('HS Codes'!$D$2:$K3914,MATCH($B1360,'HS Codes'!$A$2:$A3914,0),MATCH(G$1,'HS Codes'!$D$1:$K$1,0)),"")</f>
        <v>0</v>
      </c>
      <c r="H1360" s="8">
        <f>_xlfn.IFNA(INDEX('HS Codes'!$D$2:$K3914,MATCH($B1360,'HS Codes'!$A$2:$A3914,0),MATCH(H$1,'HS Codes'!$D$1:$K$1,0)),"")</f>
        <v>0</v>
      </c>
      <c r="I1360" s="8">
        <f>_xlfn.IFNA(INDEX('HS Codes'!$D$2:$K3914,MATCH($B1360,'HS Codes'!$A$2:$A3914,0),MATCH(I$1,'HS Codes'!$D$1:$K$1,0)),"")</f>
        <v>0</v>
      </c>
      <c r="J1360" s="8">
        <f>_xlfn.IFNA(INDEX('HS Codes'!$D$2:$K3914,MATCH($B1360,'HS Codes'!$A$2:$A3914,0),MATCH(J$1,'HS Codes'!$D$1:$K$1,0)),"")</f>
        <v>0</v>
      </c>
      <c r="K1360" s="8">
        <f>_xlfn.IFNA(INDEX('HS Codes'!$D$2:$K3914,MATCH($B1360,'HS Codes'!$A$2:$A3914,0),MATCH(K$1,'HS Codes'!$D$1:$K$1,0)),"")</f>
        <v>0</v>
      </c>
      <c r="L1360" s="8">
        <f>_xlfn.IFNA(INDEX('HS Codes'!$D$2:$K3914,MATCH($B1360,'HS Codes'!$A$2:$A3914,0),MATCH(L$1,'HS Codes'!$D$1:$K$1,0)),"")</f>
        <v>0</v>
      </c>
      <c r="M1360" s="8">
        <f>_xlfn.IFNA(INDEX('HS Codes'!$C$2:$C3914,MATCH($B1360,'HS Codes'!$A$2:$A3914,0)),"")</f>
        <v>0</v>
      </c>
      <c r="N1360" s="9"/>
      <c r="O1360" s="9"/>
      <c r="P1360" s="9"/>
      <c r="Q1360" s="9"/>
    </row>
    <row r="1361" spans="1:17" ht="15.75" customHeight="1">
      <c r="A1361" s="7" t="s">
        <v>1654</v>
      </c>
      <c r="B1361" s="7" t="s">
        <v>224</v>
      </c>
      <c r="C1361" s="7"/>
      <c r="D1361" s="7" t="s">
        <v>225</v>
      </c>
      <c r="E1361" s="7" t="s">
        <v>322</v>
      </c>
      <c r="F1361" s="8">
        <f>_xlfn.IFNA(INDEX('HS Codes'!$D$2:$K3915,MATCH($B1361,'HS Codes'!$A$2:$A3915,0),MATCH(F$1,'HS Codes'!$D$1:$K$1,0)),"")</f>
        <v>0</v>
      </c>
      <c r="G1361" s="8">
        <f>_xlfn.IFNA(INDEX('HS Codes'!$D$2:$K3915,MATCH($B1361,'HS Codes'!$A$2:$A3915,0),MATCH(G$1,'HS Codes'!$D$1:$K$1,0)),"")</f>
        <v>0</v>
      </c>
      <c r="H1361" s="8">
        <f>_xlfn.IFNA(INDEX('HS Codes'!$D$2:$K3915,MATCH($B1361,'HS Codes'!$A$2:$A3915,0),MATCH(H$1,'HS Codes'!$D$1:$K$1,0)),"")</f>
        <v>0</v>
      </c>
      <c r="I1361" s="8">
        <f>_xlfn.IFNA(INDEX('HS Codes'!$D$2:$K3915,MATCH($B1361,'HS Codes'!$A$2:$A3915,0),MATCH(I$1,'HS Codes'!$D$1:$K$1,0)),"")</f>
        <v>0</v>
      </c>
      <c r="J1361" s="8">
        <f>_xlfn.IFNA(INDEX('HS Codes'!$D$2:$K3915,MATCH($B1361,'HS Codes'!$A$2:$A3915,0),MATCH(J$1,'HS Codes'!$D$1:$K$1,0)),"")</f>
        <v>0</v>
      </c>
      <c r="K1361" s="8">
        <f>_xlfn.IFNA(INDEX('HS Codes'!$D$2:$K3915,MATCH($B1361,'HS Codes'!$A$2:$A3915,0),MATCH(K$1,'HS Codes'!$D$1:$K$1,0)),"")</f>
        <v>0</v>
      </c>
      <c r="L1361" s="8">
        <f>_xlfn.IFNA(INDEX('HS Codes'!$D$2:$K3915,MATCH($B1361,'HS Codes'!$A$2:$A3915,0),MATCH(L$1,'HS Codes'!$D$1:$K$1,0)),"")</f>
        <v>0</v>
      </c>
      <c r="M1361" s="8">
        <f>_xlfn.IFNA(INDEX('HS Codes'!$C$2:$C3915,MATCH($B1361,'HS Codes'!$A$2:$A3915,0)),"")</f>
        <v>0</v>
      </c>
      <c r="N1361" s="9"/>
      <c r="O1361" s="9"/>
      <c r="P1361" s="9"/>
      <c r="Q1361" s="9"/>
    </row>
    <row r="1362" spans="1:17" ht="15.75" customHeight="1">
      <c r="A1362" s="7" t="s">
        <v>1655</v>
      </c>
      <c r="B1362" s="7" t="s">
        <v>224</v>
      </c>
      <c r="C1362" s="7"/>
      <c r="D1362" s="7" t="s">
        <v>225</v>
      </c>
      <c r="E1362" s="7" t="s">
        <v>322</v>
      </c>
      <c r="F1362" s="8">
        <f>_xlfn.IFNA(INDEX('HS Codes'!$D$2:$K3916,MATCH($B1362,'HS Codes'!$A$2:$A3916,0),MATCH(F$1,'HS Codes'!$D$1:$K$1,0)),"")</f>
        <v>0</v>
      </c>
      <c r="G1362" s="8">
        <f>_xlfn.IFNA(INDEX('HS Codes'!$D$2:$K3916,MATCH($B1362,'HS Codes'!$A$2:$A3916,0),MATCH(G$1,'HS Codes'!$D$1:$K$1,0)),"")</f>
        <v>0</v>
      </c>
      <c r="H1362" s="8">
        <f>_xlfn.IFNA(INDEX('HS Codes'!$D$2:$K3916,MATCH($B1362,'HS Codes'!$A$2:$A3916,0),MATCH(H$1,'HS Codes'!$D$1:$K$1,0)),"")</f>
        <v>0</v>
      </c>
      <c r="I1362" s="8">
        <f>_xlfn.IFNA(INDEX('HS Codes'!$D$2:$K3916,MATCH($B1362,'HS Codes'!$A$2:$A3916,0),MATCH(I$1,'HS Codes'!$D$1:$K$1,0)),"")</f>
        <v>0</v>
      </c>
      <c r="J1362" s="8">
        <f>_xlfn.IFNA(INDEX('HS Codes'!$D$2:$K3916,MATCH($B1362,'HS Codes'!$A$2:$A3916,0),MATCH(J$1,'HS Codes'!$D$1:$K$1,0)),"")</f>
        <v>0</v>
      </c>
      <c r="K1362" s="8">
        <f>_xlfn.IFNA(INDEX('HS Codes'!$D$2:$K3916,MATCH($B1362,'HS Codes'!$A$2:$A3916,0),MATCH(K$1,'HS Codes'!$D$1:$K$1,0)),"")</f>
        <v>0</v>
      </c>
      <c r="L1362" s="8">
        <f>_xlfn.IFNA(INDEX('HS Codes'!$D$2:$K3916,MATCH($B1362,'HS Codes'!$A$2:$A3916,0),MATCH(L$1,'HS Codes'!$D$1:$K$1,0)),"")</f>
        <v>0</v>
      </c>
      <c r="M1362" s="8">
        <f>_xlfn.IFNA(INDEX('HS Codes'!$C$2:$C3916,MATCH($B1362,'HS Codes'!$A$2:$A3916,0)),"")</f>
        <v>0</v>
      </c>
      <c r="N1362" s="9"/>
      <c r="O1362" s="9"/>
      <c r="P1362" s="9"/>
      <c r="Q1362" s="9"/>
    </row>
    <row r="1363" spans="1:17" ht="15.75" customHeight="1">
      <c r="A1363" s="7" t="s">
        <v>1656</v>
      </c>
      <c r="B1363" s="7" t="s">
        <v>224</v>
      </c>
      <c r="C1363" s="7"/>
      <c r="D1363" s="7" t="s">
        <v>225</v>
      </c>
      <c r="E1363" s="7" t="s">
        <v>322</v>
      </c>
      <c r="F1363" s="8">
        <f>_xlfn.IFNA(INDEX('HS Codes'!$D$2:$K3917,MATCH($B1363,'HS Codes'!$A$2:$A3917,0),MATCH(F$1,'HS Codes'!$D$1:$K$1,0)),"")</f>
        <v>0</v>
      </c>
      <c r="G1363" s="8">
        <f>_xlfn.IFNA(INDEX('HS Codes'!$D$2:$K3917,MATCH($B1363,'HS Codes'!$A$2:$A3917,0),MATCH(G$1,'HS Codes'!$D$1:$K$1,0)),"")</f>
        <v>0</v>
      </c>
      <c r="H1363" s="8">
        <f>_xlfn.IFNA(INDEX('HS Codes'!$D$2:$K3917,MATCH($B1363,'HS Codes'!$A$2:$A3917,0),MATCH(H$1,'HS Codes'!$D$1:$K$1,0)),"")</f>
        <v>0</v>
      </c>
      <c r="I1363" s="8">
        <f>_xlfn.IFNA(INDEX('HS Codes'!$D$2:$K3917,MATCH($B1363,'HS Codes'!$A$2:$A3917,0),MATCH(I$1,'HS Codes'!$D$1:$K$1,0)),"")</f>
        <v>0</v>
      </c>
      <c r="J1363" s="8">
        <f>_xlfn.IFNA(INDEX('HS Codes'!$D$2:$K3917,MATCH($B1363,'HS Codes'!$A$2:$A3917,0),MATCH(J$1,'HS Codes'!$D$1:$K$1,0)),"")</f>
        <v>0</v>
      </c>
      <c r="K1363" s="8">
        <f>_xlfn.IFNA(INDEX('HS Codes'!$D$2:$K3917,MATCH($B1363,'HS Codes'!$A$2:$A3917,0),MATCH(K$1,'HS Codes'!$D$1:$K$1,0)),"")</f>
        <v>0</v>
      </c>
      <c r="L1363" s="8">
        <f>_xlfn.IFNA(INDEX('HS Codes'!$D$2:$K3917,MATCH($B1363,'HS Codes'!$A$2:$A3917,0),MATCH(L$1,'HS Codes'!$D$1:$K$1,0)),"")</f>
        <v>0</v>
      </c>
      <c r="M1363" s="8">
        <f>_xlfn.IFNA(INDEX('HS Codes'!$C$2:$C3917,MATCH($B1363,'HS Codes'!$A$2:$A3917,0)),"")</f>
        <v>0</v>
      </c>
      <c r="N1363" s="9"/>
      <c r="O1363" s="9"/>
      <c r="P1363" s="9"/>
      <c r="Q1363" s="9"/>
    </row>
    <row r="1364" spans="1:17" ht="15.75" customHeight="1">
      <c r="A1364" s="7" t="s">
        <v>1657</v>
      </c>
      <c r="B1364" s="7" t="s">
        <v>224</v>
      </c>
      <c r="C1364" s="7"/>
      <c r="D1364" s="7" t="s">
        <v>225</v>
      </c>
      <c r="E1364" s="7" t="s">
        <v>322</v>
      </c>
      <c r="F1364" s="8">
        <f>_xlfn.IFNA(INDEX('HS Codes'!$D$2:$K3918,MATCH($B1364,'HS Codes'!$A$2:$A3918,0),MATCH(F$1,'HS Codes'!$D$1:$K$1,0)),"")</f>
        <v>0</v>
      </c>
      <c r="G1364" s="8">
        <f>_xlfn.IFNA(INDEX('HS Codes'!$D$2:$K3918,MATCH($B1364,'HS Codes'!$A$2:$A3918,0),MATCH(G$1,'HS Codes'!$D$1:$K$1,0)),"")</f>
        <v>0</v>
      </c>
      <c r="H1364" s="8">
        <f>_xlfn.IFNA(INDEX('HS Codes'!$D$2:$K3918,MATCH($B1364,'HS Codes'!$A$2:$A3918,0),MATCH(H$1,'HS Codes'!$D$1:$K$1,0)),"")</f>
        <v>0</v>
      </c>
      <c r="I1364" s="8">
        <f>_xlfn.IFNA(INDEX('HS Codes'!$D$2:$K3918,MATCH($B1364,'HS Codes'!$A$2:$A3918,0),MATCH(I$1,'HS Codes'!$D$1:$K$1,0)),"")</f>
        <v>0</v>
      </c>
      <c r="J1364" s="8">
        <f>_xlfn.IFNA(INDEX('HS Codes'!$D$2:$K3918,MATCH($B1364,'HS Codes'!$A$2:$A3918,0),MATCH(J$1,'HS Codes'!$D$1:$K$1,0)),"")</f>
        <v>0</v>
      </c>
      <c r="K1364" s="8">
        <f>_xlfn.IFNA(INDEX('HS Codes'!$D$2:$K3918,MATCH($B1364,'HS Codes'!$A$2:$A3918,0),MATCH(K$1,'HS Codes'!$D$1:$K$1,0)),"")</f>
        <v>0</v>
      </c>
      <c r="L1364" s="8">
        <f>_xlfn.IFNA(INDEX('HS Codes'!$D$2:$K3918,MATCH($B1364,'HS Codes'!$A$2:$A3918,0),MATCH(L$1,'HS Codes'!$D$1:$K$1,0)),"")</f>
        <v>0</v>
      </c>
      <c r="M1364" s="8">
        <f>_xlfn.IFNA(INDEX('HS Codes'!$C$2:$C3918,MATCH($B1364,'HS Codes'!$A$2:$A3918,0)),"")</f>
        <v>0</v>
      </c>
      <c r="N1364" s="9"/>
      <c r="O1364" s="9"/>
      <c r="P1364" s="9"/>
      <c r="Q1364" s="9"/>
    </row>
    <row r="1365" spans="1:17" ht="15.75" customHeight="1">
      <c r="A1365" s="7" t="s">
        <v>1658</v>
      </c>
      <c r="B1365" s="7" t="s">
        <v>224</v>
      </c>
      <c r="C1365" s="7"/>
      <c r="D1365" s="7" t="s">
        <v>225</v>
      </c>
      <c r="E1365" s="7" t="s">
        <v>322</v>
      </c>
      <c r="F1365" s="8">
        <f>_xlfn.IFNA(INDEX('HS Codes'!$D$2:$K3919,MATCH($B1365,'HS Codes'!$A$2:$A3919,0),MATCH(F$1,'HS Codes'!$D$1:$K$1,0)),"")</f>
        <v>0</v>
      </c>
      <c r="G1365" s="8">
        <f>_xlfn.IFNA(INDEX('HS Codes'!$D$2:$K3919,MATCH($B1365,'HS Codes'!$A$2:$A3919,0),MATCH(G$1,'HS Codes'!$D$1:$K$1,0)),"")</f>
        <v>0</v>
      </c>
      <c r="H1365" s="8">
        <f>_xlfn.IFNA(INDEX('HS Codes'!$D$2:$K3919,MATCH($B1365,'HS Codes'!$A$2:$A3919,0),MATCH(H$1,'HS Codes'!$D$1:$K$1,0)),"")</f>
        <v>0</v>
      </c>
      <c r="I1365" s="8">
        <f>_xlfn.IFNA(INDEX('HS Codes'!$D$2:$K3919,MATCH($B1365,'HS Codes'!$A$2:$A3919,0),MATCH(I$1,'HS Codes'!$D$1:$K$1,0)),"")</f>
        <v>0</v>
      </c>
      <c r="J1365" s="8">
        <f>_xlfn.IFNA(INDEX('HS Codes'!$D$2:$K3919,MATCH($B1365,'HS Codes'!$A$2:$A3919,0),MATCH(J$1,'HS Codes'!$D$1:$K$1,0)),"")</f>
        <v>0</v>
      </c>
      <c r="K1365" s="8">
        <f>_xlfn.IFNA(INDEX('HS Codes'!$D$2:$K3919,MATCH($B1365,'HS Codes'!$A$2:$A3919,0),MATCH(K$1,'HS Codes'!$D$1:$K$1,0)),"")</f>
        <v>0</v>
      </c>
      <c r="L1365" s="8">
        <f>_xlfn.IFNA(INDEX('HS Codes'!$D$2:$K3919,MATCH($B1365,'HS Codes'!$A$2:$A3919,0),MATCH(L$1,'HS Codes'!$D$1:$K$1,0)),"")</f>
        <v>0</v>
      </c>
      <c r="M1365" s="8">
        <f>_xlfn.IFNA(INDEX('HS Codes'!$C$2:$C3919,MATCH($B1365,'HS Codes'!$A$2:$A3919,0)),"")</f>
        <v>0</v>
      </c>
      <c r="N1365" s="9"/>
      <c r="O1365" s="9"/>
      <c r="P1365" s="9"/>
      <c r="Q1365" s="9"/>
    </row>
    <row r="1366" spans="1:17" ht="15.75" customHeight="1">
      <c r="A1366" s="7" t="s">
        <v>1659</v>
      </c>
      <c r="B1366" s="7" t="s">
        <v>224</v>
      </c>
      <c r="C1366" s="7"/>
      <c r="D1366" s="7" t="s">
        <v>225</v>
      </c>
      <c r="E1366" s="7" t="s">
        <v>322</v>
      </c>
      <c r="F1366" s="8">
        <f>_xlfn.IFNA(INDEX('HS Codes'!$D$2:$K3920,MATCH($B1366,'HS Codes'!$A$2:$A3920,0),MATCH(F$1,'HS Codes'!$D$1:$K$1,0)),"")</f>
        <v>0</v>
      </c>
      <c r="G1366" s="8">
        <f>_xlfn.IFNA(INDEX('HS Codes'!$D$2:$K3920,MATCH($B1366,'HS Codes'!$A$2:$A3920,0),MATCH(G$1,'HS Codes'!$D$1:$K$1,0)),"")</f>
        <v>0</v>
      </c>
      <c r="H1366" s="8">
        <f>_xlfn.IFNA(INDEX('HS Codes'!$D$2:$K3920,MATCH($B1366,'HS Codes'!$A$2:$A3920,0),MATCH(H$1,'HS Codes'!$D$1:$K$1,0)),"")</f>
        <v>0</v>
      </c>
      <c r="I1366" s="8">
        <f>_xlfn.IFNA(INDEX('HS Codes'!$D$2:$K3920,MATCH($B1366,'HS Codes'!$A$2:$A3920,0),MATCH(I$1,'HS Codes'!$D$1:$K$1,0)),"")</f>
        <v>0</v>
      </c>
      <c r="J1366" s="8">
        <f>_xlfn.IFNA(INDEX('HS Codes'!$D$2:$K3920,MATCH($B1366,'HS Codes'!$A$2:$A3920,0),MATCH(J$1,'HS Codes'!$D$1:$K$1,0)),"")</f>
        <v>0</v>
      </c>
      <c r="K1366" s="8">
        <f>_xlfn.IFNA(INDEX('HS Codes'!$D$2:$K3920,MATCH($B1366,'HS Codes'!$A$2:$A3920,0),MATCH(K$1,'HS Codes'!$D$1:$K$1,0)),"")</f>
        <v>0</v>
      </c>
      <c r="L1366" s="8">
        <f>_xlfn.IFNA(INDEX('HS Codes'!$D$2:$K3920,MATCH($B1366,'HS Codes'!$A$2:$A3920,0),MATCH(L$1,'HS Codes'!$D$1:$K$1,0)),"")</f>
        <v>0</v>
      </c>
      <c r="M1366" s="8">
        <f>_xlfn.IFNA(INDEX('HS Codes'!$C$2:$C3920,MATCH($B1366,'HS Codes'!$A$2:$A3920,0)),"")</f>
        <v>0</v>
      </c>
      <c r="N1366" s="9"/>
      <c r="O1366" s="9"/>
      <c r="P1366" s="9"/>
      <c r="Q1366" s="9"/>
    </row>
    <row r="1367" spans="1:17" ht="15.75" customHeight="1">
      <c r="A1367" s="7" t="s">
        <v>1660</v>
      </c>
      <c r="B1367" s="7" t="s">
        <v>224</v>
      </c>
      <c r="C1367" s="7"/>
      <c r="D1367" s="7" t="s">
        <v>225</v>
      </c>
      <c r="E1367" s="7" t="s">
        <v>322</v>
      </c>
      <c r="F1367" s="8">
        <f>_xlfn.IFNA(INDEX('HS Codes'!$D$2:$K3921,MATCH($B1367,'HS Codes'!$A$2:$A3921,0),MATCH(F$1,'HS Codes'!$D$1:$K$1,0)),"")</f>
        <v>0</v>
      </c>
      <c r="G1367" s="8">
        <f>_xlfn.IFNA(INDEX('HS Codes'!$D$2:$K3921,MATCH($B1367,'HS Codes'!$A$2:$A3921,0),MATCH(G$1,'HS Codes'!$D$1:$K$1,0)),"")</f>
        <v>0</v>
      </c>
      <c r="H1367" s="8">
        <f>_xlfn.IFNA(INDEX('HS Codes'!$D$2:$K3921,MATCH($B1367,'HS Codes'!$A$2:$A3921,0),MATCH(H$1,'HS Codes'!$D$1:$K$1,0)),"")</f>
        <v>0</v>
      </c>
      <c r="I1367" s="8">
        <f>_xlfn.IFNA(INDEX('HS Codes'!$D$2:$K3921,MATCH($B1367,'HS Codes'!$A$2:$A3921,0),MATCH(I$1,'HS Codes'!$D$1:$K$1,0)),"")</f>
        <v>0</v>
      </c>
      <c r="J1367" s="8">
        <f>_xlfn.IFNA(INDEX('HS Codes'!$D$2:$K3921,MATCH($B1367,'HS Codes'!$A$2:$A3921,0),MATCH(J$1,'HS Codes'!$D$1:$K$1,0)),"")</f>
        <v>0</v>
      </c>
      <c r="K1367" s="8">
        <f>_xlfn.IFNA(INDEX('HS Codes'!$D$2:$K3921,MATCH($B1367,'HS Codes'!$A$2:$A3921,0),MATCH(K$1,'HS Codes'!$D$1:$K$1,0)),"")</f>
        <v>0</v>
      </c>
      <c r="L1367" s="8">
        <f>_xlfn.IFNA(INDEX('HS Codes'!$D$2:$K3921,MATCH($B1367,'HS Codes'!$A$2:$A3921,0),MATCH(L$1,'HS Codes'!$D$1:$K$1,0)),"")</f>
        <v>0</v>
      </c>
      <c r="M1367" s="8">
        <f>_xlfn.IFNA(INDEX('HS Codes'!$C$2:$C3921,MATCH($B1367,'HS Codes'!$A$2:$A3921,0)),"")</f>
        <v>0</v>
      </c>
      <c r="N1367" s="9"/>
      <c r="O1367" s="9"/>
      <c r="P1367" s="9"/>
      <c r="Q1367" s="9"/>
    </row>
    <row r="1368" spans="1:17" ht="15.75" customHeight="1">
      <c r="A1368" s="7" t="s">
        <v>1661</v>
      </c>
      <c r="B1368" s="7" t="s">
        <v>224</v>
      </c>
      <c r="C1368" s="7"/>
      <c r="D1368" s="7" t="s">
        <v>225</v>
      </c>
      <c r="E1368" s="7" t="s">
        <v>322</v>
      </c>
      <c r="F1368" s="8">
        <f>_xlfn.IFNA(INDEX('HS Codes'!$D$2:$K3922,MATCH($B1368,'HS Codes'!$A$2:$A3922,0),MATCH(F$1,'HS Codes'!$D$1:$K$1,0)),"")</f>
        <v>0</v>
      </c>
      <c r="G1368" s="8">
        <f>_xlfn.IFNA(INDEX('HS Codes'!$D$2:$K3922,MATCH($B1368,'HS Codes'!$A$2:$A3922,0),MATCH(G$1,'HS Codes'!$D$1:$K$1,0)),"")</f>
        <v>0</v>
      </c>
      <c r="H1368" s="8">
        <f>_xlfn.IFNA(INDEX('HS Codes'!$D$2:$K3922,MATCH($B1368,'HS Codes'!$A$2:$A3922,0),MATCH(H$1,'HS Codes'!$D$1:$K$1,0)),"")</f>
        <v>0</v>
      </c>
      <c r="I1368" s="8">
        <f>_xlfn.IFNA(INDEX('HS Codes'!$D$2:$K3922,MATCH($B1368,'HS Codes'!$A$2:$A3922,0),MATCH(I$1,'HS Codes'!$D$1:$K$1,0)),"")</f>
        <v>0</v>
      </c>
      <c r="J1368" s="8">
        <f>_xlfn.IFNA(INDEX('HS Codes'!$D$2:$K3922,MATCH($B1368,'HS Codes'!$A$2:$A3922,0),MATCH(J$1,'HS Codes'!$D$1:$K$1,0)),"")</f>
        <v>0</v>
      </c>
      <c r="K1368" s="8">
        <f>_xlfn.IFNA(INDEX('HS Codes'!$D$2:$K3922,MATCH($B1368,'HS Codes'!$A$2:$A3922,0),MATCH(K$1,'HS Codes'!$D$1:$K$1,0)),"")</f>
        <v>0</v>
      </c>
      <c r="L1368" s="8">
        <f>_xlfn.IFNA(INDEX('HS Codes'!$D$2:$K3922,MATCH($B1368,'HS Codes'!$A$2:$A3922,0),MATCH(L$1,'HS Codes'!$D$1:$K$1,0)),"")</f>
        <v>0</v>
      </c>
      <c r="M1368" s="8">
        <f>_xlfn.IFNA(INDEX('HS Codes'!$C$2:$C3922,MATCH($B1368,'HS Codes'!$A$2:$A3922,0)),"")</f>
        <v>0</v>
      </c>
      <c r="N1368" s="9"/>
      <c r="O1368" s="9"/>
      <c r="P1368" s="9"/>
      <c r="Q1368" s="9"/>
    </row>
    <row r="1369" spans="1:17" ht="15.75" customHeight="1">
      <c r="A1369" s="7" t="s">
        <v>1662</v>
      </c>
      <c r="B1369" s="7" t="s">
        <v>224</v>
      </c>
      <c r="C1369" s="7"/>
      <c r="D1369" s="7" t="s">
        <v>225</v>
      </c>
      <c r="E1369" s="7" t="s">
        <v>322</v>
      </c>
      <c r="F1369" s="8">
        <f>_xlfn.IFNA(INDEX('HS Codes'!$D$2:$K3923,MATCH($B1369,'HS Codes'!$A$2:$A3923,0),MATCH(F$1,'HS Codes'!$D$1:$K$1,0)),"")</f>
        <v>0</v>
      </c>
      <c r="G1369" s="8">
        <f>_xlfn.IFNA(INDEX('HS Codes'!$D$2:$K3923,MATCH($B1369,'HS Codes'!$A$2:$A3923,0),MATCH(G$1,'HS Codes'!$D$1:$K$1,0)),"")</f>
        <v>0</v>
      </c>
      <c r="H1369" s="8">
        <f>_xlfn.IFNA(INDEX('HS Codes'!$D$2:$K3923,MATCH($B1369,'HS Codes'!$A$2:$A3923,0),MATCH(H$1,'HS Codes'!$D$1:$K$1,0)),"")</f>
        <v>0</v>
      </c>
      <c r="I1369" s="8">
        <f>_xlfn.IFNA(INDEX('HS Codes'!$D$2:$K3923,MATCH($B1369,'HS Codes'!$A$2:$A3923,0),MATCH(I$1,'HS Codes'!$D$1:$K$1,0)),"")</f>
        <v>0</v>
      </c>
      <c r="J1369" s="8">
        <f>_xlfn.IFNA(INDEX('HS Codes'!$D$2:$K3923,MATCH($B1369,'HS Codes'!$A$2:$A3923,0),MATCH(J$1,'HS Codes'!$D$1:$K$1,0)),"")</f>
        <v>0</v>
      </c>
      <c r="K1369" s="8">
        <f>_xlfn.IFNA(INDEX('HS Codes'!$D$2:$K3923,MATCH($B1369,'HS Codes'!$A$2:$A3923,0),MATCH(K$1,'HS Codes'!$D$1:$K$1,0)),"")</f>
        <v>0</v>
      </c>
      <c r="L1369" s="8">
        <f>_xlfn.IFNA(INDEX('HS Codes'!$D$2:$K3923,MATCH($B1369,'HS Codes'!$A$2:$A3923,0),MATCH(L$1,'HS Codes'!$D$1:$K$1,0)),"")</f>
        <v>0</v>
      </c>
      <c r="M1369" s="8">
        <f>_xlfn.IFNA(INDEX('HS Codes'!$C$2:$C3923,MATCH($B1369,'HS Codes'!$A$2:$A3923,0)),"")</f>
        <v>0</v>
      </c>
      <c r="N1369" s="9"/>
      <c r="O1369" s="9"/>
      <c r="P1369" s="9"/>
      <c r="Q1369" s="9"/>
    </row>
    <row r="1370" spans="1:17" ht="15.75" customHeight="1">
      <c r="A1370" s="7" t="s">
        <v>1663</v>
      </c>
      <c r="B1370" s="7" t="s">
        <v>224</v>
      </c>
      <c r="C1370" s="7"/>
      <c r="D1370" s="7" t="s">
        <v>225</v>
      </c>
      <c r="E1370" s="7" t="s">
        <v>322</v>
      </c>
      <c r="F1370" s="8">
        <f>_xlfn.IFNA(INDEX('HS Codes'!$D$2:$K3924,MATCH($B1370,'HS Codes'!$A$2:$A3924,0),MATCH(F$1,'HS Codes'!$D$1:$K$1,0)),"")</f>
        <v>0</v>
      </c>
      <c r="G1370" s="8">
        <f>_xlfn.IFNA(INDEX('HS Codes'!$D$2:$K3924,MATCH($B1370,'HS Codes'!$A$2:$A3924,0),MATCH(G$1,'HS Codes'!$D$1:$K$1,0)),"")</f>
        <v>0</v>
      </c>
      <c r="H1370" s="8">
        <f>_xlfn.IFNA(INDEX('HS Codes'!$D$2:$K3924,MATCH($B1370,'HS Codes'!$A$2:$A3924,0),MATCH(H$1,'HS Codes'!$D$1:$K$1,0)),"")</f>
        <v>0</v>
      </c>
      <c r="I1370" s="8">
        <f>_xlfn.IFNA(INDEX('HS Codes'!$D$2:$K3924,MATCH($B1370,'HS Codes'!$A$2:$A3924,0),MATCH(I$1,'HS Codes'!$D$1:$K$1,0)),"")</f>
        <v>0</v>
      </c>
      <c r="J1370" s="8">
        <f>_xlfn.IFNA(INDEX('HS Codes'!$D$2:$K3924,MATCH($B1370,'HS Codes'!$A$2:$A3924,0),MATCH(J$1,'HS Codes'!$D$1:$K$1,0)),"")</f>
        <v>0</v>
      </c>
      <c r="K1370" s="8">
        <f>_xlfn.IFNA(INDEX('HS Codes'!$D$2:$K3924,MATCH($B1370,'HS Codes'!$A$2:$A3924,0),MATCH(K$1,'HS Codes'!$D$1:$K$1,0)),"")</f>
        <v>0</v>
      </c>
      <c r="L1370" s="8">
        <f>_xlfn.IFNA(INDEX('HS Codes'!$D$2:$K3924,MATCH($B1370,'HS Codes'!$A$2:$A3924,0),MATCH(L$1,'HS Codes'!$D$1:$K$1,0)),"")</f>
        <v>0</v>
      </c>
      <c r="M1370" s="8">
        <f>_xlfn.IFNA(INDEX('HS Codes'!$C$2:$C3924,MATCH($B1370,'HS Codes'!$A$2:$A3924,0)),"")</f>
        <v>0</v>
      </c>
      <c r="N1370" s="9"/>
      <c r="O1370" s="9"/>
      <c r="P1370" s="9"/>
      <c r="Q1370" s="9"/>
    </row>
    <row r="1371" spans="1:17" ht="15.75" customHeight="1">
      <c r="A1371" s="7" t="s">
        <v>1664</v>
      </c>
      <c r="B1371" s="7" t="s">
        <v>224</v>
      </c>
      <c r="C1371" s="7"/>
      <c r="D1371" s="7" t="s">
        <v>225</v>
      </c>
      <c r="E1371" s="7" t="s">
        <v>322</v>
      </c>
      <c r="F1371" s="8">
        <f>_xlfn.IFNA(INDEX('HS Codes'!$D$2:$K3925,MATCH($B1371,'HS Codes'!$A$2:$A3925,0),MATCH(F$1,'HS Codes'!$D$1:$K$1,0)),"")</f>
        <v>0</v>
      </c>
      <c r="G1371" s="8">
        <f>_xlfn.IFNA(INDEX('HS Codes'!$D$2:$K3925,MATCH($B1371,'HS Codes'!$A$2:$A3925,0),MATCH(G$1,'HS Codes'!$D$1:$K$1,0)),"")</f>
        <v>0</v>
      </c>
      <c r="H1371" s="8">
        <f>_xlfn.IFNA(INDEX('HS Codes'!$D$2:$K3925,MATCH($B1371,'HS Codes'!$A$2:$A3925,0),MATCH(H$1,'HS Codes'!$D$1:$K$1,0)),"")</f>
        <v>0</v>
      </c>
      <c r="I1371" s="8">
        <f>_xlfn.IFNA(INDEX('HS Codes'!$D$2:$K3925,MATCH($B1371,'HS Codes'!$A$2:$A3925,0),MATCH(I$1,'HS Codes'!$D$1:$K$1,0)),"")</f>
        <v>0</v>
      </c>
      <c r="J1371" s="8">
        <f>_xlfn.IFNA(INDEX('HS Codes'!$D$2:$K3925,MATCH($B1371,'HS Codes'!$A$2:$A3925,0),MATCH(J$1,'HS Codes'!$D$1:$K$1,0)),"")</f>
        <v>0</v>
      </c>
      <c r="K1371" s="8">
        <f>_xlfn.IFNA(INDEX('HS Codes'!$D$2:$K3925,MATCH($B1371,'HS Codes'!$A$2:$A3925,0),MATCH(K$1,'HS Codes'!$D$1:$K$1,0)),"")</f>
        <v>0</v>
      </c>
      <c r="L1371" s="8">
        <f>_xlfn.IFNA(INDEX('HS Codes'!$D$2:$K3925,MATCH($B1371,'HS Codes'!$A$2:$A3925,0),MATCH(L$1,'HS Codes'!$D$1:$K$1,0)),"")</f>
        <v>0</v>
      </c>
      <c r="M1371" s="8">
        <f>_xlfn.IFNA(INDEX('HS Codes'!$C$2:$C3925,MATCH($B1371,'HS Codes'!$A$2:$A3925,0)),"")</f>
        <v>0</v>
      </c>
      <c r="N1371" s="9"/>
      <c r="O1371" s="9"/>
      <c r="P1371" s="9"/>
      <c r="Q1371" s="9"/>
    </row>
    <row r="1372" spans="1:17" ht="15.75" customHeight="1">
      <c r="A1372" s="7" t="s">
        <v>1665</v>
      </c>
      <c r="B1372" s="7" t="s">
        <v>224</v>
      </c>
      <c r="C1372" s="7"/>
      <c r="D1372" s="7" t="s">
        <v>225</v>
      </c>
      <c r="E1372" s="7" t="s">
        <v>322</v>
      </c>
      <c r="F1372" s="8">
        <f>_xlfn.IFNA(INDEX('HS Codes'!$D$2:$K3926,MATCH($B1372,'HS Codes'!$A$2:$A3926,0),MATCH(F$1,'HS Codes'!$D$1:$K$1,0)),"")</f>
        <v>0</v>
      </c>
      <c r="G1372" s="8">
        <f>_xlfn.IFNA(INDEX('HS Codes'!$D$2:$K3926,MATCH($B1372,'HS Codes'!$A$2:$A3926,0),MATCH(G$1,'HS Codes'!$D$1:$K$1,0)),"")</f>
        <v>0</v>
      </c>
      <c r="H1372" s="8">
        <f>_xlfn.IFNA(INDEX('HS Codes'!$D$2:$K3926,MATCH($B1372,'HS Codes'!$A$2:$A3926,0),MATCH(H$1,'HS Codes'!$D$1:$K$1,0)),"")</f>
        <v>0</v>
      </c>
      <c r="I1372" s="8">
        <f>_xlfn.IFNA(INDEX('HS Codes'!$D$2:$K3926,MATCH($B1372,'HS Codes'!$A$2:$A3926,0),MATCH(I$1,'HS Codes'!$D$1:$K$1,0)),"")</f>
        <v>0</v>
      </c>
      <c r="J1372" s="8">
        <f>_xlfn.IFNA(INDEX('HS Codes'!$D$2:$K3926,MATCH($B1372,'HS Codes'!$A$2:$A3926,0),MATCH(J$1,'HS Codes'!$D$1:$K$1,0)),"")</f>
        <v>0</v>
      </c>
      <c r="K1372" s="8">
        <f>_xlfn.IFNA(INDEX('HS Codes'!$D$2:$K3926,MATCH($B1372,'HS Codes'!$A$2:$A3926,0),MATCH(K$1,'HS Codes'!$D$1:$K$1,0)),"")</f>
        <v>0</v>
      </c>
      <c r="L1372" s="8">
        <f>_xlfn.IFNA(INDEX('HS Codes'!$D$2:$K3926,MATCH($B1372,'HS Codes'!$A$2:$A3926,0),MATCH(L$1,'HS Codes'!$D$1:$K$1,0)),"")</f>
        <v>0</v>
      </c>
      <c r="M1372" s="8">
        <f>_xlfn.IFNA(INDEX('HS Codes'!$C$2:$C3926,MATCH($B1372,'HS Codes'!$A$2:$A3926,0)),"")</f>
        <v>0</v>
      </c>
      <c r="N1372" s="9"/>
      <c r="O1372" s="9"/>
      <c r="P1372" s="9"/>
      <c r="Q1372" s="9"/>
    </row>
    <row r="1373" spans="1:17" ht="15.75" customHeight="1">
      <c r="A1373" s="7" t="s">
        <v>1666</v>
      </c>
      <c r="B1373" s="7" t="s">
        <v>224</v>
      </c>
      <c r="C1373" s="7"/>
      <c r="D1373" s="7" t="s">
        <v>225</v>
      </c>
      <c r="E1373" s="7" t="s">
        <v>322</v>
      </c>
      <c r="F1373" s="8">
        <f>_xlfn.IFNA(INDEX('HS Codes'!$D$2:$K3927,MATCH($B1373,'HS Codes'!$A$2:$A3927,0),MATCH(F$1,'HS Codes'!$D$1:$K$1,0)),"")</f>
        <v>0</v>
      </c>
      <c r="G1373" s="8">
        <f>_xlfn.IFNA(INDEX('HS Codes'!$D$2:$K3927,MATCH($B1373,'HS Codes'!$A$2:$A3927,0),MATCH(G$1,'HS Codes'!$D$1:$K$1,0)),"")</f>
        <v>0</v>
      </c>
      <c r="H1373" s="8">
        <f>_xlfn.IFNA(INDEX('HS Codes'!$D$2:$K3927,MATCH($B1373,'HS Codes'!$A$2:$A3927,0),MATCH(H$1,'HS Codes'!$D$1:$K$1,0)),"")</f>
        <v>0</v>
      </c>
      <c r="I1373" s="8">
        <f>_xlfn.IFNA(INDEX('HS Codes'!$D$2:$K3927,MATCH($B1373,'HS Codes'!$A$2:$A3927,0),MATCH(I$1,'HS Codes'!$D$1:$K$1,0)),"")</f>
        <v>0</v>
      </c>
      <c r="J1373" s="8">
        <f>_xlfn.IFNA(INDEX('HS Codes'!$D$2:$K3927,MATCH($B1373,'HS Codes'!$A$2:$A3927,0),MATCH(J$1,'HS Codes'!$D$1:$K$1,0)),"")</f>
        <v>0</v>
      </c>
      <c r="K1373" s="8">
        <f>_xlfn.IFNA(INDEX('HS Codes'!$D$2:$K3927,MATCH($B1373,'HS Codes'!$A$2:$A3927,0),MATCH(K$1,'HS Codes'!$D$1:$K$1,0)),"")</f>
        <v>0</v>
      </c>
      <c r="L1373" s="8">
        <f>_xlfn.IFNA(INDEX('HS Codes'!$D$2:$K3927,MATCH($B1373,'HS Codes'!$A$2:$A3927,0),MATCH(L$1,'HS Codes'!$D$1:$K$1,0)),"")</f>
        <v>0</v>
      </c>
      <c r="M1373" s="8">
        <f>_xlfn.IFNA(INDEX('HS Codes'!$C$2:$C3927,MATCH($B1373,'HS Codes'!$A$2:$A3927,0)),"")</f>
        <v>0</v>
      </c>
      <c r="N1373" s="9"/>
      <c r="O1373" s="9"/>
      <c r="P1373" s="9"/>
      <c r="Q1373" s="9"/>
    </row>
    <row r="1374" spans="1:17" ht="15.75" customHeight="1">
      <c r="A1374" s="7" t="s">
        <v>1667</v>
      </c>
      <c r="B1374" s="7" t="s">
        <v>224</v>
      </c>
      <c r="C1374" s="7"/>
      <c r="D1374" s="7" t="s">
        <v>225</v>
      </c>
      <c r="E1374" s="7" t="s">
        <v>322</v>
      </c>
      <c r="F1374" s="8">
        <f>_xlfn.IFNA(INDEX('HS Codes'!$D$2:$K3928,MATCH($B1374,'HS Codes'!$A$2:$A3928,0),MATCH(F$1,'HS Codes'!$D$1:$K$1,0)),"")</f>
        <v>0</v>
      </c>
      <c r="G1374" s="8">
        <f>_xlfn.IFNA(INDEX('HS Codes'!$D$2:$K3928,MATCH($B1374,'HS Codes'!$A$2:$A3928,0),MATCH(G$1,'HS Codes'!$D$1:$K$1,0)),"")</f>
        <v>0</v>
      </c>
      <c r="H1374" s="8">
        <f>_xlfn.IFNA(INDEX('HS Codes'!$D$2:$K3928,MATCH($B1374,'HS Codes'!$A$2:$A3928,0),MATCH(H$1,'HS Codes'!$D$1:$K$1,0)),"")</f>
        <v>0</v>
      </c>
      <c r="I1374" s="8">
        <f>_xlfn.IFNA(INDEX('HS Codes'!$D$2:$K3928,MATCH($B1374,'HS Codes'!$A$2:$A3928,0),MATCH(I$1,'HS Codes'!$D$1:$K$1,0)),"")</f>
        <v>0</v>
      </c>
      <c r="J1374" s="8">
        <f>_xlfn.IFNA(INDEX('HS Codes'!$D$2:$K3928,MATCH($B1374,'HS Codes'!$A$2:$A3928,0),MATCH(J$1,'HS Codes'!$D$1:$K$1,0)),"")</f>
        <v>0</v>
      </c>
      <c r="K1374" s="8">
        <f>_xlfn.IFNA(INDEX('HS Codes'!$D$2:$K3928,MATCH($B1374,'HS Codes'!$A$2:$A3928,0),MATCH(K$1,'HS Codes'!$D$1:$K$1,0)),"")</f>
        <v>0</v>
      </c>
      <c r="L1374" s="8">
        <f>_xlfn.IFNA(INDEX('HS Codes'!$D$2:$K3928,MATCH($B1374,'HS Codes'!$A$2:$A3928,0),MATCH(L$1,'HS Codes'!$D$1:$K$1,0)),"")</f>
        <v>0</v>
      </c>
      <c r="M1374" s="8">
        <f>_xlfn.IFNA(INDEX('HS Codes'!$C$2:$C3928,MATCH($B1374,'HS Codes'!$A$2:$A3928,0)),"")</f>
        <v>0</v>
      </c>
      <c r="N1374" s="9"/>
      <c r="O1374" s="9"/>
      <c r="P1374" s="9"/>
      <c r="Q1374" s="9"/>
    </row>
    <row r="1375" spans="1:17" ht="15.75" customHeight="1">
      <c r="A1375" s="7" t="s">
        <v>1668</v>
      </c>
      <c r="B1375" s="7" t="s">
        <v>224</v>
      </c>
      <c r="C1375" s="7"/>
      <c r="D1375" s="7" t="s">
        <v>225</v>
      </c>
      <c r="E1375" s="7" t="s">
        <v>322</v>
      </c>
      <c r="F1375" s="8">
        <f>_xlfn.IFNA(INDEX('HS Codes'!$D$2:$K3929,MATCH($B1375,'HS Codes'!$A$2:$A3929,0),MATCH(F$1,'HS Codes'!$D$1:$K$1,0)),"")</f>
        <v>0</v>
      </c>
      <c r="G1375" s="8">
        <f>_xlfn.IFNA(INDEX('HS Codes'!$D$2:$K3929,MATCH($B1375,'HS Codes'!$A$2:$A3929,0),MATCH(G$1,'HS Codes'!$D$1:$K$1,0)),"")</f>
        <v>0</v>
      </c>
      <c r="H1375" s="8">
        <f>_xlfn.IFNA(INDEX('HS Codes'!$D$2:$K3929,MATCH($B1375,'HS Codes'!$A$2:$A3929,0),MATCH(H$1,'HS Codes'!$D$1:$K$1,0)),"")</f>
        <v>0</v>
      </c>
      <c r="I1375" s="8">
        <f>_xlfn.IFNA(INDEX('HS Codes'!$D$2:$K3929,MATCH($B1375,'HS Codes'!$A$2:$A3929,0),MATCH(I$1,'HS Codes'!$D$1:$K$1,0)),"")</f>
        <v>0</v>
      </c>
      <c r="J1375" s="8">
        <f>_xlfn.IFNA(INDEX('HS Codes'!$D$2:$K3929,MATCH($B1375,'HS Codes'!$A$2:$A3929,0),MATCH(J$1,'HS Codes'!$D$1:$K$1,0)),"")</f>
        <v>0</v>
      </c>
      <c r="K1375" s="8">
        <f>_xlfn.IFNA(INDEX('HS Codes'!$D$2:$K3929,MATCH($B1375,'HS Codes'!$A$2:$A3929,0),MATCH(K$1,'HS Codes'!$D$1:$K$1,0)),"")</f>
        <v>0</v>
      </c>
      <c r="L1375" s="8">
        <f>_xlfn.IFNA(INDEX('HS Codes'!$D$2:$K3929,MATCH($B1375,'HS Codes'!$A$2:$A3929,0),MATCH(L$1,'HS Codes'!$D$1:$K$1,0)),"")</f>
        <v>0</v>
      </c>
      <c r="M1375" s="8">
        <f>_xlfn.IFNA(INDEX('HS Codes'!$C$2:$C3929,MATCH($B1375,'HS Codes'!$A$2:$A3929,0)),"")</f>
        <v>0</v>
      </c>
      <c r="N1375" s="9"/>
      <c r="O1375" s="9"/>
      <c r="P1375" s="9"/>
      <c r="Q1375" s="9"/>
    </row>
    <row r="1376" spans="1:17" ht="15.75" customHeight="1">
      <c r="A1376" s="7" t="s">
        <v>1669</v>
      </c>
      <c r="B1376" s="7" t="s">
        <v>224</v>
      </c>
      <c r="C1376" s="7"/>
      <c r="D1376" s="7" t="s">
        <v>225</v>
      </c>
      <c r="E1376" s="7" t="s">
        <v>322</v>
      </c>
      <c r="F1376" s="8">
        <f>_xlfn.IFNA(INDEX('HS Codes'!$D$2:$K3930,MATCH($B1376,'HS Codes'!$A$2:$A3930,0),MATCH(F$1,'HS Codes'!$D$1:$K$1,0)),"")</f>
        <v>0</v>
      </c>
      <c r="G1376" s="8">
        <f>_xlfn.IFNA(INDEX('HS Codes'!$D$2:$K3930,MATCH($B1376,'HS Codes'!$A$2:$A3930,0),MATCH(G$1,'HS Codes'!$D$1:$K$1,0)),"")</f>
        <v>0</v>
      </c>
      <c r="H1376" s="8">
        <f>_xlfn.IFNA(INDEX('HS Codes'!$D$2:$K3930,MATCH($B1376,'HS Codes'!$A$2:$A3930,0),MATCH(H$1,'HS Codes'!$D$1:$K$1,0)),"")</f>
        <v>0</v>
      </c>
      <c r="I1376" s="8">
        <f>_xlfn.IFNA(INDEX('HS Codes'!$D$2:$K3930,MATCH($B1376,'HS Codes'!$A$2:$A3930,0),MATCH(I$1,'HS Codes'!$D$1:$K$1,0)),"")</f>
        <v>0</v>
      </c>
      <c r="J1376" s="8">
        <f>_xlfn.IFNA(INDEX('HS Codes'!$D$2:$K3930,MATCH($B1376,'HS Codes'!$A$2:$A3930,0),MATCH(J$1,'HS Codes'!$D$1:$K$1,0)),"")</f>
        <v>0</v>
      </c>
      <c r="K1376" s="8">
        <f>_xlfn.IFNA(INDEX('HS Codes'!$D$2:$K3930,MATCH($B1376,'HS Codes'!$A$2:$A3930,0),MATCH(K$1,'HS Codes'!$D$1:$K$1,0)),"")</f>
        <v>0</v>
      </c>
      <c r="L1376" s="8">
        <f>_xlfn.IFNA(INDEX('HS Codes'!$D$2:$K3930,MATCH($B1376,'HS Codes'!$A$2:$A3930,0),MATCH(L$1,'HS Codes'!$D$1:$K$1,0)),"")</f>
        <v>0</v>
      </c>
      <c r="M1376" s="8">
        <f>_xlfn.IFNA(INDEX('HS Codes'!$C$2:$C3930,MATCH($B1376,'HS Codes'!$A$2:$A3930,0)),"")</f>
        <v>0</v>
      </c>
      <c r="N1376" s="9"/>
      <c r="O1376" s="9"/>
      <c r="P1376" s="9"/>
      <c r="Q1376" s="9"/>
    </row>
    <row r="1377" spans="1:17" ht="15.75" customHeight="1">
      <c r="A1377" s="7" t="s">
        <v>1670</v>
      </c>
      <c r="B1377" s="7" t="s">
        <v>224</v>
      </c>
      <c r="C1377" s="7"/>
      <c r="D1377" s="7" t="s">
        <v>225</v>
      </c>
      <c r="E1377" s="7" t="s">
        <v>322</v>
      </c>
      <c r="F1377" s="8">
        <f>_xlfn.IFNA(INDEX('HS Codes'!$D$2:$K3931,MATCH($B1377,'HS Codes'!$A$2:$A3931,0),MATCH(F$1,'HS Codes'!$D$1:$K$1,0)),"")</f>
        <v>0</v>
      </c>
      <c r="G1377" s="8">
        <f>_xlfn.IFNA(INDEX('HS Codes'!$D$2:$K3931,MATCH($B1377,'HS Codes'!$A$2:$A3931,0),MATCH(G$1,'HS Codes'!$D$1:$K$1,0)),"")</f>
        <v>0</v>
      </c>
      <c r="H1377" s="8">
        <f>_xlfn.IFNA(INDEX('HS Codes'!$D$2:$K3931,MATCH($B1377,'HS Codes'!$A$2:$A3931,0),MATCH(H$1,'HS Codes'!$D$1:$K$1,0)),"")</f>
        <v>0</v>
      </c>
      <c r="I1377" s="8">
        <f>_xlfn.IFNA(INDEX('HS Codes'!$D$2:$K3931,MATCH($B1377,'HS Codes'!$A$2:$A3931,0),MATCH(I$1,'HS Codes'!$D$1:$K$1,0)),"")</f>
        <v>0</v>
      </c>
      <c r="J1377" s="8">
        <f>_xlfn.IFNA(INDEX('HS Codes'!$D$2:$K3931,MATCH($B1377,'HS Codes'!$A$2:$A3931,0),MATCH(J$1,'HS Codes'!$D$1:$K$1,0)),"")</f>
        <v>0</v>
      </c>
      <c r="K1377" s="8">
        <f>_xlfn.IFNA(INDEX('HS Codes'!$D$2:$K3931,MATCH($B1377,'HS Codes'!$A$2:$A3931,0),MATCH(K$1,'HS Codes'!$D$1:$K$1,0)),"")</f>
        <v>0</v>
      </c>
      <c r="L1377" s="8">
        <f>_xlfn.IFNA(INDEX('HS Codes'!$D$2:$K3931,MATCH($B1377,'HS Codes'!$A$2:$A3931,0),MATCH(L$1,'HS Codes'!$D$1:$K$1,0)),"")</f>
        <v>0</v>
      </c>
      <c r="M1377" s="8">
        <f>_xlfn.IFNA(INDEX('HS Codes'!$C$2:$C3931,MATCH($B1377,'HS Codes'!$A$2:$A3931,0)),"")</f>
        <v>0</v>
      </c>
      <c r="N1377" s="9"/>
      <c r="O1377" s="9"/>
      <c r="P1377" s="9"/>
      <c r="Q1377" s="9"/>
    </row>
    <row r="1378" spans="1:17" ht="15.75" customHeight="1">
      <c r="A1378" s="7" t="s">
        <v>1671</v>
      </c>
      <c r="B1378" s="7" t="s">
        <v>224</v>
      </c>
      <c r="C1378" s="7"/>
      <c r="D1378" s="7" t="s">
        <v>225</v>
      </c>
      <c r="E1378" s="7" t="s">
        <v>322</v>
      </c>
      <c r="F1378" s="8">
        <f>_xlfn.IFNA(INDEX('HS Codes'!$D$2:$K3932,MATCH($B1378,'HS Codes'!$A$2:$A3932,0),MATCH(F$1,'HS Codes'!$D$1:$K$1,0)),"")</f>
        <v>0</v>
      </c>
      <c r="G1378" s="8">
        <f>_xlfn.IFNA(INDEX('HS Codes'!$D$2:$K3932,MATCH($B1378,'HS Codes'!$A$2:$A3932,0),MATCH(G$1,'HS Codes'!$D$1:$K$1,0)),"")</f>
        <v>0</v>
      </c>
      <c r="H1378" s="8">
        <f>_xlfn.IFNA(INDEX('HS Codes'!$D$2:$K3932,MATCH($B1378,'HS Codes'!$A$2:$A3932,0),MATCH(H$1,'HS Codes'!$D$1:$K$1,0)),"")</f>
        <v>0</v>
      </c>
      <c r="I1378" s="8">
        <f>_xlfn.IFNA(INDEX('HS Codes'!$D$2:$K3932,MATCH($B1378,'HS Codes'!$A$2:$A3932,0),MATCH(I$1,'HS Codes'!$D$1:$K$1,0)),"")</f>
        <v>0</v>
      </c>
      <c r="J1378" s="8">
        <f>_xlfn.IFNA(INDEX('HS Codes'!$D$2:$K3932,MATCH($B1378,'HS Codes'!$A$2:$A3932,0),MATCH(J$1,'HS Codes'!$D$1:$K$1,0)),"")</f>
        <v>0</v>
      </c>
      <c r="K1378" s="8">
        <f>_xlfn.IFNA(INDEX('HS Codes'!$D$2:$K3932,MATCH($B1378,'HS Codes'!$A$2:$A3932,0),MATCH(K$1,'HS Codes'!$D$1:$K$1,0)),"")</f>
        <v>0</v>
      </c>
      <c r="L1378" s="8">
        <f>_xlfn.IFNA(INDEX('HS Codes'!$D$2:$K3932,MATCH($B1378,'HS Codes'!$A$2:$A3932,0),MATCH(L$1,'HS Codes'!$D$1:$K$1,0)),"")</f>
        <v>0</v>
      </c>
      <c r="M1378" s="8">
        <f>_xlfn.IFNA(INDEX('HS Codes'!$C$2:$C3932,MATCH($B1378,'HS Codes'!$A$2:$A3932,0)),"")</f>
        <v>0</v>
      </c>
      <c r="N1378" s="9"/>
      <c r="O1378" s="9"/>
      <c r="P1378" s="9"/>
      <c r="Q1378" s="9"/>
    </row>
    <row r="1379" spans="1:17" ht="15.75" customHeight="1">
      <c r="A1379" s="7" t="s">
        <v>1672</v>
      </c>
      <c r="B1379" s="7" t="s">
        <v>224</v>
      </c>
      <c r="C1379" s="7"/>
      <c r="D1379" s="7" t="s">
        <v>225</v>
      </c>
      <c r="E1379" s="7" t="s">
        <v>322</v>
      </c>
      <c r="F1379" s="8">
        <f>_xlfn.IFNA(INDEX('HS Codes'!$D$2:$K3933,MATCH($B1379,'HS Codes'!$A$2:$A3933,0),MATCH(F$1,'HS Codes'!$D$1:$K$1,0)),"")</f>
        <v>0</v>
      </c>
      <c r="G1379" s="8">
        <f>_xlfn.IFNA(INDEX('HS Codes'!$D$2:$K3933,MATCH($B1379,'HS Codes'!$A$2:$A3933,0),MATCH(G$1,'HS Codes'!$D$1:$K$1,0)),"")</f>
        <v>0</v>
      </c>
      <c r="H1379" s="8">
        <f>_xlfn.IFNA(INDEX('HS Codes'!$D$2:$K3933,MATCH($B1379,'HS Codes'!$A$2:$A3933,0),MATCH(H$1,'HS Codes'!$D$1:$K$1,0)),"")</f>
        <v>0</v>
      </c>
      <c r="I1379" s="8">
        <f>_xlfn.IFNA(INDEX('HS Codes'!$D$2:$K3933,MATCH($B1379,'HS Codes'!$A$2:$A3933,0),MATCH(I$1,'HS Codes'!$D$1:$K$1,0)),"")</f>
        <v>0</v>
      </c>
      <c r="J1379" s="8">
        <f>_xlfn.IFNA(INDEX('HS Codes'!$D$2:$K3933,MATCH($B1379,'HS Codes'!$A$2:$A3933,0),MATCH(J$1,'HS Codes'!$D$1:$K$1,0)),"")</f>
        <v>0</v>
      </c>
      <c r="K1379" s="8">
        <f>_xlfn.IFNA(INDEX('HS Codes'!$D$2:$K3933,MATCH($B1379,'HS Codes'!$A$2:$A3933,0),MATCH(K$1,'HS Codes'!$D$1:$K$1,0)),"")</f>
        <v>0</v>
      </c>
      <c r="L1379" s="8">
        <f>_xlfn.IFNA(INDEX('HS Codes'!$D$2:$K3933,MATCH($B1379,'HS Codes'!$A$2:$A3933,0),MATCH(L$1,'HS Codes'!$D$1:$K$1,0)),"")</f>
        <v>0</v>
      </c>
      <c r="M1379" s="8">
        <f>_xlfn.IFNA(INDEX('HS Codes'!$C$2:$C3933,MATCH($B1379,'HS Codes'!$A$2:$A3933,0)),"")</f>
        <v>0</v>
      </c>
      <c r="N1379" s="9"/>
      <c r="O1379" s="9"/>
      <c r="P1379" s="9"/>
      <c r="Q1379" s="9"/>
    </row>
    <row r="1380" spans="1:17" ht="15.75" customHeight="1">
      <c r="A1380" s="7" t="s">
        <v>1673</v>
      </c>
      <c r="B1380" s="7" t="s">
        <v>224</v>
      </c>
      <c r="C1380" s="7"/>
      <c r="D1380" s="7" t="s">
        <v>225</v>
      </c>
      <c r="E1380" s="7" t="s">
        <v>322</v>
      </c>
      <c r="F1380" s="8">
        <f>_xlfn.IFNA(INDEX('HS Codes'!$D$2:$K3934,MATCH($B1380,'HS Codes'!$A$2:$A3934,0),MATCH(F$1,'HS Codes'!$D$1:$K$1,0)),"")</f>
        <v>0</v>
      </c>
      <c r="G1380" s="8">
        <f>_xlfn.IFNA(INDEX('HS Codes'!$D$2:$K3934,MATCH($B1380,'HS Codes'!$A$2:$A3934,0),MATCH(G$1,'HS Codes'!$D$1:$K$1,0)),"")</f>
        <v>0</v>
      </c>
      <c r="H1380" s="8">
        <f>_xlfn.IFNA(INDEX('HS Codes'!$D$2:$K3934,MATCH($B1380,'HS Codes'!$A$2:$A3934,0),MATCH(H$1,'HS Codes'!$D$1:$K$1,0)),"")</f>
        <v>0</v>
      </c>
      <c r="I1380" s="8">
        <f>_xlfn.IFNA(INDEX('HS Codes'!$D$2:$K3934,MATCH($B1380,'HS Codes'!$A$2:$A3934,0),MATCH(I$1,'HS Codes'!$D$1:$K$1,0)),"")</f>
        <v>0</v>
      </c>
      <c r="J1380" s="8">
        <f>_xlfn.IFNA(INDEX('HS Codes'!$D$2:$K3934,MATCH($B1380,'HS Codes'!$A$2:$A3934,0),MATCH(J$1,'HS Codes'!$D$1:$K$1,0)),"")</f>
        <v>0</v>
      </c>
      <c r="K1380" s="8">
        <f>_xlfn.IFNA(INDEX('HS Codes'!$D$2:$K3934,MATCH($B1380,'HS Codes'!$A$2:$A3934,0),MATCH(K$1,'HS Codes'!$D$1:$K$1,0)),"")</f>
        <v>0</v>
      </c>
      <c r="L1380" s="8">
        <f>_xlfn.IFNA(INDEX('HS Codes'!$D$2:$K3934,MATCH($B1380,'HS Codes'!$A$2:$A3934,0),MATCH(L$1,'HS Codes'!$D$1:$K$1,0)),"")</f>
        <v>0</v>
      </c>
      <c r="M1380" s="8">
        <f>_xlfn.IFNA(INDEX('HS Codes'!$C$2:$C3934,MATCH($B1380,'HS Codes'!$A$2:$A3934,0)),"")</f>
        <v>0</v>
      </c>
      <c r="N1380" s="9"/>
      <c r="O1380" s="9"/>
      <c r="P1380" s="9"/>
      <c r="Q1380" s="9"/>
    </row>
    <row r="1381" spans="1:17" ht="15.75" customHeight="1">
      <c r="A1381" s="7" t="s">
        <v>1674</v>
      </c>
      <c r="B1381" s="7" t="s">
        <v>224</v>
      </c>
      <c r="C1381" s="7"/>
      <c r="D1381" s="7" t="s">
        <v>225</v>
      </c>
      <c r="E1381" s="7" t="s">
        <v>322</v>
      </c>
      <c r="F1381" s="8">
        <f>_xlfn.IFNA(INDEX('HS Codes'!$D$2:$K3935,MATCH($B1381,'HS Codes'!$A$2:$A3935,0),MATCH(F$1,'HS Codes'!$D$1:$K$1,0)),"")</f>
        <v>0</v>
      </c>
      <c r="G1381" s="8">
        <f>_xlfn.IFNA(INDEX('HS Codes'!$D$2:$K3935,MATCH($B1381,'HS Codes'!$A$2:$A3935,0),MATCH(G$1,'HS Codes'!$D$1:$K$1,0)),"")</f>
        <v>0</v>
      </c>
      <c r="H1381" s="8">
        <f>_xlfn.IFNA(INDEX('HS Codes'!$D$2:$K3935,MATCH($B1381,'HS Codes'!$A$2:$A3935,0),MATCH(H$1,'HS Codes'!$D$1:$K$1,0)),"")</f>
        <v>0</v>
      </c>
      <c r="I1381" s="8">
        <f>_xlfn.IFNA(INDEX('HS Codes'!$D$2:$K3935,MATCH($B1381,'HS Codes'!$A$2:$A3935,0),MATCH(I$1,'HS Codes'!$D$1:$K$1,0)),"")</f>
        <v>0</v>
      </c>
      <c r="J1381" s="8">
        <f>_xlfn.IFNA(INDEX('HS Codes'!$D$2:$K3935,MATCH($B1381,'HS Codes'!$A$2:$A3935,0),MATCH(J$1,'HS Codes'!$D$1:$K$1,0)),"")</f>
        <v>0</v>
      </c>
      <c r="K1381" s="8">
        <f>_xlfn.IFNA(INDEX('HS Codes'!$D$2:$K3935,MATCH($B1381,'HS Codes'!$A$2:$A3935,0),MATCH(K$1,'HS Codes'!$D$1:$K$1,0)),"")</f>
        <v>0</v>
      </c>
      <c r="L1381" s="8">
        <f>_xlfn.IFNA(INDEX('HS Codes'!$D$2:$K3935,MATCH($B1381,'HS Codes'!$A$2:$A3935,0),MATCH(L$1,'HS Codes'!$D$1:$K$1,0)),"")</f>
        <v>0</v>
      </c>
      <c r="M1381" s="8">
        <f>_xlfn.IFNA(INDEX('HS Codes'!$C$2:$C3935,MATCH($B1381,'HS Codes'!$A$2:$A3935,0)),"")</f>
        <v>0</v>
      </c>
      <c r="N1381" s="9"/>
      <c r="O1381" s="9"/>
      <c r="P1381" s="9"/>
      <c r="Q1381" s="9"/>
    </row>
    <row r="1382" spans="1:17" ht="15.75" customHeight="1">
      <c r="A1382" s="7" t="s">
        <v>1675</v>
      </c>
      <c r="B1382" s="7" t="s">
        <v>224</v>
      </c>
      <c r="C1382" s="7"/>
      <c r="D1382" s="7" t="s">
        <v>225</v>
      </c>
      <c r="E1382" s="7" t="s">
        <v>322</v>
      </c>
      <c r="F1382" s="8">
        <f>_xlfn.IFNA(INDEX('HS Codes'!$D$2:$K3936,MATCH($B1382,'HS Codes'!$A$2:$A3936,0),MATCH(F$1,'HS Codes'!$D$1:$K$1,0)),"")</f>
        <v>0</v>
      </c>
      <c r="G1382" s="8">
        <f>_xlfn.IFNA(INDEX('HS Codes'!$D$2:$K3936,MATCH($B1382,'HS Codes'!$A$2:$A3936,0),MATCH(G$1,'HS Codes'!$D$1:$K$1,0)),"")</f>
        <v>0</v>
      </c>
      <c r="H1382" s="8">
        <f>_xlfn.IFNA(INDEX('HS Codes'!$D$2:$K3936,MATCH($B1382,'HS Codes'!$A$2:$A3936,0),MATCH(H$1,'HS Codes'!$D$1:$K$1,0)),"")</f>
        <v>0</v>
      </c>
      <c r="I1382" s="8">
        <f>_xlfn.IFNA(INDEX('HS Codes'!$D$2:$K3936,MATCH($B1382,'HS Codes'!$A$2:$A3936,0),MATCH(I$1,'HS Codes'!$D$1:$K$1,0)),"")</f>
        <v>0</v>
      </c>
      <c r="J1382" s="8">
        <f>_xlfn.IFNA(INDEX('HS Codes'!$D$2:$K3936,MATCH($B1382,'HS Codes'!$A$2:$A3936,0),MATCH(J$1,'HS Codes'!$D$1:$K$1,0)),"")</f>
        <v>0</v>
      </c>
      <c r="K1382" s="8">
        <f>_xlfn.IFNA(INDEX('HS Codes'!$D$2:$K3936,MATCH($B1382,'HS Codes'!$A$2:$A3936,0),MATCH(K$1,'HS Codes'!$D$1:$K$1,0)),"")</f>
        <v>0</v>
      </c>
      <c r="L1382" s="8">
        <f>_xlfn.IFNA(INDEX('HS Codes'!$D$2:$K3936,MATCH($B1382,'HS Codes'!$A$2:$A3936,0),MATCH(L$1,'HS Codes'!$D$1:$K$1,0)),"")</f>
        <v>0</v>
      </c>
      <c r="M1382" s="8">
        <f>_xlfn.IFNA(INDEX('HS Codes'!$C$2:$C3936,MATCH($B1382,'HS Codes'!$A$2:$A3936,0)),"")</f>
        <v>0</v>
      </c>
      <c r="N1382" s="9"/>
      <c r="O1382" s="9"/>
      <c r="P1382" s="9"/>
      <c r="Q1382" s="9"/>
    </row>
    <row r="1383" spans="1:17" ht="15.75" customHeight="1">
      <c r="A1383" s="7" t="s">
        <v>1676</v>
      </c>
      <c r="B1383" s="7" t="s">
        <v>224</v>
      </c>
      <c r="C1383" s="7"/>
      <c r="D1383" s="7" t="s">
        <v>225</v>
      </c>
      <c r="E1383" s="7" t="s">
        <v>322</v>
      </c>
      <c r="F1383" s="8">
        <f>_xlfn.IFNA(INDEX('HS Codes'!$D$2:$K3937,MATCH($B1383,'HS Codes'!$A$2:$A3937,0),MATCH(F$1,'HS Codes'!$D$1:$K$1,0)),"")</f>
        <v>0</v>
      </c>
      <c r="G1383" s="8">
        <f>_xlfn.IFNA(INDEX('HS Codes'!$D$2:$K3937,MATCH($B1383,'HS Codes'!$A$2:$A3937,0),MATCH(G$1,'HS Codes'!$D$1:$K$1,0)),"")</f>
        <v>0</v>
      </c>
      <c r="H1383" s="8">
        <f>_xlfn.IFNA(INDEX('HS Codes'!$D$2:$K3937,MATCH($B1383,'HS Codes'!$A$2:$A3937,0),MATCH(H$1,'HS Codes'!$D$1:$K$1,0)),"")</f>
        <v>0</v>
      </c>
      <c r="I1383" s="8">
        <f>_xlfn.IFNA(INDEX('HS Codes'!$D$2:$K3937,MATCH($B1383,'HS Codes'!$A$2:$A3937,0),MATCH(I$1,'HS Codes'!$D$1:$K$1,0)),"")</f>
        <v>0</v>
      </c>
      <c r="J1383" s="8">
        <f>_xlfn.IFNA(INDEX('HS Codes'!$D$2:$K3937,MATCH($B1383,'HS Codes'!$A$2:$A3937,0),MATCH(J$1,'HS Codes'!$D$1:$K$1,0)),"")</f>
        <v>0</v>
      </c>
      <c r="K1383" s="8">
        <f>_xlfn.IFNA(INDEX('HS Codes'!$D$2:$K3937,MATCH($B1383,'HS Codes'!$A$2:$A3937,0),MATCH(K$1,'HS Codes'!$D$1:$K$1,0)),"")</f>
        <v>0</v>
      </c>
      <c r="L1383" s="8">
        <f>_xlfn.IFNA(INDEX('HS Codes'!$D$2:$K3937,MATCH($B1383,'HS Codes'!$A$2:$A3937,0),MATCH(L$1,'HS Codes'!$D$1:$K$1,0)),"")</f>
        <v>0</v>
      </c>
      <c r="M1383" s="8">
        <f>_xlfn.IFNA(INDEX('HS Codes'!$C$2:$C3937,MATCH($B1383,'HS Codes'!$A$2:$A3937,0)),"")</f>
        <v>0</v>
      </c>
      <c r="N1383" s="9"/>
      <c r="O1383" s="9"/>
      <c r="P1383" s="9"/>
      <c r="Q1383" s="9"/>
    </row>
    <row r="1384" spans="1:17" ht="15.75" customHeight="1">
      <c r="A1384" s="7" t="s">
        <v>1677</v>
      </c>
      <c r="B1384" s="7" t="s">
        <v>224</v>
      </c>
      <c r="C1384" s="7"/>
      <c r="D1384" s="7" t="s">
        <v>225</v>
      </c>
      <c r="E1384" s="7" t="s">
        <v>322</v>
      </c>
      <c r="F1384" s="8">
        <f>_xlfn.IFNA(INDEX('HS Codes'!$D$2:$K3938,MATCH($B1384,'HS Codes'!$A$2:$A3938,0),MATCH(F$1,'HS Codes'!$D$1:$K$1,0)),"")</f>
        <v>0</v>
      </c>
      <c r="G1384" s="8">
        <f>_xlfn.IFNA(INDEX('HS Codes'!$D$2:$K3938,MATCH($B1384,'HS Codes'!$A$2:$A3938,0),MATCH(G$1,'HS Codes'!$D$1:$K$1,0)),"")</f>
        <v>0</v>
      </c>
      <c r="H1384" s="8">
        <f>_xlfn.IFNA(INDEX('HS Codes'!$D$2:$K3938,MATCH($B1384,'HS Codes'!$A$2:$A3938,0),MATCH(H$1,'HS Codes'!$D$1:$K$1,0)),"")</f>
        <v>0</v>
      </c>
      <c r="I1384" s="8">
        <f>_xlfn.IFNA(INDEX('HS Codes'!$D$2:$K3938,MATCH($B1384,'HS Codes'!$A$2:$A3938,0),MATCH(I$1,'HS Codes'!$D$1:$K$1,0)),"")</f>
        <v>0</v>
      </c>
      <c r="J1384" s="8">
        <f>_xlfn.IFNA(INDEX('HS Codes'!$D$2:$K3938,MATCH($B1384,'HS Codes'!$A$2:$A3938,0),MATCH(J$1,'HS Codes'!$D$1:$K$1,0)),"")</f>
        <v>0</v>
      </c>
      <c r="K1384" s="8">
        <f>_xlfn.IFNA(INDEX('HS Codes'!$D$2:$K3938,MATCH($B1384,'HS Codes'!$A$2:$A3938,0),MATCH(K$1,'HS Codes'!$D$1:$K$1,0)),"")</f>
        <v>0</v>
      </c>
      <c r="L1384" s="8">
        <f>_xlfn.IFNA(INDEX('HS Codes'!$D$2:$K3938,MATCH($B1384,'HS Codes'!$A$2:$A3938,0),MATCH(L$1,'HS Codes'!$D$1:$K$1,0)),"")</f>
        <v>0</v>
      </c>
      <c r="M1384" s="8">
        <f>_xlfn.IFNA(INDEX('HS Codes'!$C$2:$C3938,MATCH($B1384,'HS Codes'!$A$2:$A3938,0)),"")</f>
        <v>0</v>
      </c>
      <c r="N1384" s="9"/>
      <c r="O1384" s="9"/>
      <c r="P1384" s="9"/>
      <c r="Q1384" s="9"/>
    </row>
    <row r="1385" spans="1:17" ht="15.75" customHeight="1">
      <c r="A1385" s="7" t="s">
        <v>1678</v>
      </c>
      <c r="B1385" s="7" t="s">
        <v>224</v>
      </c>
      <c r="C1385" s="7"/>
      <c r="D1385" s="7" t="s">
        <v>225</v>
      </c>
      <c r="E1385" s="7" t="s">
        <v>322</v>
      </c>
      <c r="F1385" s="8">
        <f>_xlfn.IFNA(INDEX('HS Codes'!$D$2:$K3939,MATCH($B1385,'HS Codes'!$A$2:$A3939,0),MATCH(F$1,'HS Codes'!$D$1:$K$1,0)),"")</f>
        <v>0</v>
      </c>
      <c r="G1385" s="8">
        <f>_xlfn.IFNA(INDEX('HS Codes'!$D$2:$K3939,MATCH($B1385,'HS Codes'!$A$2:$A3939,0),MATCH(G$1,'HS Codes'!$D$1:$K$1,0)),"")</f>
        <v>0</v>
      </c>
      <c r="H1385" s="8">
        <f>_xlfn.IFNA(INDEX('HS Codes'!$D$2:$K3939,MATCH($B1385,'HS Codes'!$A$2:$A3939,0),MATCH(H$1,'HS Codes'!$D$1:$K$1,0)),"")</f>
        <v>0</v>
      </c>
      <c r="I1385" s="8">
        <f>_xlfn.IFNA(INDEX('HS Codes'!$D$2:$K3939,MATCH($B1385,'HS Codes'!$A$2:$A3939,0),MATCH(I$1,'HS Codes'!$D$1:$K$1,0)),"")</f>
        <v>0</v>
      </c>
      <c r="J1385" s="8">
        <f>_xlfn.IFNA(INDEX('HS Codes'!$D$2:$K3939,MATCH($B1385,'HS Codes'!$A$2:$A3939,0),MATCH(J$1,'HS Codes'!$D$1:$K$1,0)),"")</f>
        <v>0</v>
      </c>
      <c r="K1385" s="8">
        <f>_xlfn.IFNA(INDEX('HS Codes'!$D$2:$K3939,MATCH($B1385,'HS Codes'!$A$2:$A3939,0),MATCH(K$1,'HS Codes'!$D$1:$K$1,0)),"")</f>
        <v>0</v>
      </c>
      <c r="L1385" s="8">
        <f>_xlfn.IFNA(INDEX('HS Codes'!$D$2:$K3939,MATCH($B1385,'HS Codes'!$A$2:$A3939,0),MATCH(L$1,'HS Codes'!$D$1:$K$1,0)),"")</f>
        <v>0</v>
      </c>
      <c r="M1385" s="8">
        <f>_xlfn.IFNA(INDEX('HS Codes'!$C$2:$C3939,MATCH($B1385,'HS Codes'!$A$2:$A3939,0)),"")</f>
        <v>0</v>
      </c>
      <c r="N1385" s="9"/>
      <c r="O1385" s="9"/>
      <c r="P1385" s="9"/>
      <c r="Q1385" s="9"/>
    </row>
    <row r="1386" spans="1:17" ht="15.75" customHeight="1">
      <c r="A1386" s="7" t="s">
        <v>1679</v>
      </c>
      <c r="B1386" s="7" t="s">
        <v>224</v>
      </c>
      <c r="C1386" s="7"/>
      <c r="D1386" s="7" t="s">
        <v>225</v>
      </c>
      <c r="E1386" s="7" t="s">
        <v>322</v>
      </c>
      <c r="F1386" s="8">
        <f>_xlfn.IFNA(INDEX('HS Codes'!$D$2:$K3940,MATCH($B1386,'HS Codes'!$A$2:$A3940,0),MATCH(F$1,'HS Codes'!$D$1:$K$1,0)),"")</f>
        <v>0</v>
      </c>
      <c r="G1386" s="8">
        <f>_xlfn.IFNA(INDEX('HS Codes'!$D$2:$K3940,MATCH($B1386,'HS Codes'!$A$2:$A3940,0),MATCH(G$1,'HS Codes'!$D$1:$K$1,0)),"")</f>
        <v>0</v>
      </c>
      <c r="H1386" s="8">
        <f>_xlfn.IFNA(INDEX('HS Codes'!$D$2:$K3940,MATCH($B1386,'HS Codes'!$A$2:$A3940,0),MATCH(H$1,'HS Codes'!$D$1:$K$1,0)),"")</f>
        <v>0</v>
      </c>
      <c r="I1386" s="8">
        <f>_xlfn.IFNA(INDEX('HS Codes'!$D$2:$K3940,MATCH($B1386,'HS Codes'!$A$2:$A3940,0),MATCH(I$1,'HS Codes'!$D$1:$K$1,0)),"")</f>
        <v>0</v>
      </c>
      <c r="J1386" s="8">
        <f>_xlfn.IFNA(INDEX('HS Codes'!$D$2:$K3940,MATCH($B1386,'HS Codes'!$A$2:$A3940,0),MATCH(J$1,'HS Codes'!$D$1:$K$1,0)),"")</f>
        <v>0</v>
      </c>
      <c r="K1386" s="8">
        <f>_xlfn.IFNA(INDEX('HS Codes'!$D$2:$K3940,MATCH($B1386,'HS Codes'!$A$2:$A3940,0),MATCH(K$1,'HS Codes'!$D$1:$K$1,0)),"")</f>
        <v>0</v>
      </c>
      <c r="L1386" s="8">
        <f>_xlfn.IFNA(INDEX('HS Codes'!$D$2:$K3940,MATCH($B1386,'HS Codes'!$A$2:$A3940,0),MATCH(L$1,'HS Codes'!$D$1:$K$1,0)),"")</f>
        <v>0</v>
      </c>
      <c r="M1386" s="8">
        <f>_xlfn.IFNA(INDEX('HS Codes'!$C$2:$C3940,MATCH($B1386,'HS Codes'!$A$2:$A3940,0)),"")</f>
        <v>0</v>
      </c>
      <c r="N1386" s="9"/>
      <c r="O1386" s="9"/>
      <c r="P1386" s="9"/>
      <c r="Q1386" s="9"/>
    </row>
    <row r="1387" spans="1:17" ht="15.75" customHeight="1">
      <c r="A1387" s="7" t="s">
        <v>1680</v>
      </c>
      <c r="B1387" s="7" t="s">
        <v>224</v>
      </c>
      <c r="C1387" s="7"/>
      <c r="D1387" s="7" t="s">
        <v>225</v>
      </c>
      <c r="E1387" s="7" t="s">
        <v>322</v>
      </c>
      <c r="F1387" s="8">
        <f>_xlfn.IFNA(INDEX('HS Codes'!$D$2:$K3941,MATCH($B1387,'HS Codes'!$A$2:$A3941,0),MATCH(F$1,'HS Codes'!$D$1:$K$1,0)),"")</f>
        <v>0</v>
      </c>
      <c r="G1387" s="8">
        <f>_xlfn.IFNA(INDEX('HS Codes'!$D$2:$K3941,MATCH($B1387,'HS Codes'!$A$2:$A3941,0),MATCH(G$1,'HS Codes'!$D$1:$K$1,0)),"")</f>
        <v>0</v>
      </c>
      <c r="H1387" s="8">
        <f>_xlfn.IFNA(INDEX('HS Codes'!$D$2:$K3941,MATCH($B1387,'HS Codes'!$A$2:$A3941,0),MATCH(H$1,'HS Codes'!$D$1:$K$1,0)),"")</f>
        <v>0</v>
      </c>
      <c r="I1387" s="8">
        <f>_xlfn.IFNA(INDEX('HS Codes'!$D$2:$K3941,MATCH($B1387,'HS Codes'!$A$2:$A3941,0),MATCH(I$1,'HS Codes'!$D$1:$K$1,0)),"")</f>
        <v>0</v>
      </c>
      <c r="J1387" s="8">
        <f>_xlfn.IFNA(INDEX('HS Codes'!$D$2:$K3941,MATCH($B1387,'HS Codes'!$A$2:$A3941,0),MATCH(J$1,'HS Codes'!$D$1:$K$1,0)),"")</f>
        <v>0</v>
      </c>
      <c r="K1387" s="8">
        <f>_xlfn.IFNA(INDEX('HS Codes'!$D$2:$K3941,MATCH($B1387,'HS Codes'!$A$2:$A3941,0),MATCH(K$1,'HS Codes'!$D$1:$K$1,0)),"")</f>
        <v>0</v>
      </c>
      <c r="L1387" s="8">
        <f>_xlfn.IFNA(INDEX('HS Codes'!$D$2:$K3941,MATCH($B1387,'HS Codes'!$A$2:$A3941,0),MATCH(L$1,'HS Codes'!$D$1:$K$1,0)),"")</f>
        <v>0</v>
      </c>
      <c r="M1387" s="8">
        <f>_xlfn.IFNA(INDEX('HS Codes'!$C$2:$C3941,MATCH($B1387,'HS Codes'!$A$2:$A3941,0)),"")</f>
        <v>0</v>
      </c>
      <c r="N1387" s="9"/>
      <c r="O1387" s="9"/>
      <c r="P1387" s="9"/>
      <c r="Q1387" s="9"/>
    </row>
    <row r="1388" spans="1:17" ht="15.75" customHeight="1">
      <c r="A1388" s="7" t="s">
        <v>1681</v>
      </c>
      <c r="B1388" s="7" t="s">
        <v>224</v>
      </c>
      <c r="C1388" s="7"/>
      <c r="D1388" s="7" t="s">
        <v>225</v>
      </c>
      <c r="E1388" s="7" t="s">
        <v>322</v>
      </c>
      <c r="F1388" s="8">
        <f>_xlfn.IFNA(INDEX('HS Codes'!$D$2:$K3942,MATCH($B1388,'HS Codes'!$A$2:$A3942,0),MATCH(F$1,'HS Codes'!$D$1:$K$1,0)),"")</f>
        <v>0</v>
      </c>
      <c r="G1388" s="8">
        <f>_xlfn.IFNA(INDEX('HS Codes'!$D$2:$K3942,MATCH($B1388,'HS Codes'!$A$2:$A3942,0),MATCH(G$1,'HS Codes'!$D$1:$K$1,0)),"")</f>
        <v>0</v>
      </c>
      <c r="H1388" s="8">
        <f>_xlfn.IFNA(INDEX('HS Codes'!$D$2:$K3942,MATCH($B1388,'HS Codes'!$A$2:$A3942,0),MATCH(H$1,'HS Codes'!$D$1:$K$1,0)),"")</f>
        <v>0</v>
      </c>
      <c r="I1388" s="8">
        <f>_xlfn.IFNA(INDEX('HS Codes'!$D$2:$K3942,MATCH($B1388,'HS Codes'!$A$2:$A3942,0),MATCH(I$1,'HS Codes'!$D$1:$K$1,0)),"")</f>
        <v>0</v>
      </c>
      <c r="J1388" s="8">
        <f>_xlfn.IFNA(INDEX('HS Codes'!$D$2:$K3942,MATCH($B1388,'HS Codes'!$A$2:$A3942,0),MATCH(J$1,'HS Codes'!$D$1:$K$1,0)),"")</f>
        <v>0</v>
      </c>
      <c r="K1388" s="8">
        <f>_xlfn.IFNA(INDEX('HS Codes'!$D$2:$K3942,MATCH($B1388,'HS Codes'!$A$2:$A3942,0),MATCH(K$1,'HS Codes'!$D$1:$K$1,0)),"")</f>
        <v>0</v>
      </c>
      <c r="L1388" s="8">
        <f>_xlfn.IFNA(INDEX('HS Codes'!$D$2:$K3942,MATCH($B1388,'HS Codes'!$A$2:$A3942,0),MATCH(L$1,'HS Codes'!$D$1:$K$1,0)),"")</f>
        <v>0</v>
      </c>
      <c r="M1388" s="8">
        <f>_xlfn.IFNA(INDEX('HS Codes'!$C$2:$C3942,MATCH($B1388,'HS Codes'!$A$2:$A3942,0)),"")</f>
        <v>0</v>
      </c>
      <c r="N1388" s="9"/>
      <c r="O1388" s="9"/>
      <c r="P1388" s="9"/>
      <c r="Q1388" s="9"/>
    </row>
    <row r="1389" spans="1:17" ht="15.75" customHeight="1">
      <c r="A1389" s="7" t="s">
        <v>1682</v>
      </c>
      <c r="B1389" s="7" t="s">
        <v>224</v>
      </c>
      <c r="C1389" s="7"/>
      <c r="D1389" s="7" t="s">
        <v>225</v>
      </c>
      <c r="E1389" s="7" t="s">
        <v>322</v>
      </c>
      <c r="F1389" s="8">
        <f>_xlfn.IFNA(INDEX('HS Codes'!$D$2:$K3943,MATCH($B1389,'HS Codes'!$A$2:$A3943,0),MATCH(F$1,'HS Codes'!$D$1:$K$1,0)),"")</f>
        <v>0</v>
      </c>
      <c r="G1389" s="8">
        <f>_xlfn.IFNA(INDEX('HS Codes'!$D$2:$K3943,MATCH($B1389,'HS Codes'!$A$2:$A3943,0),MATCH(G$1,'HS Codes'!$D$1:$K$1,0)),"")</f>
        <v>0</v>
      </c>
      <c r="H1389" s="8">
        <f>_xlfn.IFNA(INDEX('HS Codes'!$D$2:$K3943,MATCH($B1389,'HS Codes'!$A$2:$A3943,0),MATCH(H$1,'HS Codes'!$D$1:$K$1,0)),"")</f>
        <v>0</v>
      </c>
      <c r="I1389" s="8">
        <f>_xlfn.IFNA(INDEX('HS Codes'!$D$2:$K3943,MATCH($B1389,'HS Codes'!$A$2:$A3943,0),MATCH(I$1,'HS Codes'!$D$1:$K$1,0)),"")</f>
        <v>0</v>
      </c>
      <c r="J1389" s="8">
        <f>_xlfn.IFNA(INDEX('HS Codes'!$D$2:$K3943,MATCH($B1389,'HS Codes'!$A$2:$A3943,0),MATCH(J$1,'HS Codes'!$D$1:$K$1,0)),"")</f>
        <v>0</v>
      </c>
      <c r="K1389" s="8">
        <f>_xlfn.IFNA(INDEX('HS Codes'!$D$2:$K3943,MATCH($B1389,'HS Codes'!$A$2:$A3943,0),MATCH(K$1,'HS Codes'!$D$1:$K$1,0)),"")</f>
        <v>0</v>
      </c>
      <c r="L1389" s="8">
        <f>_xlfn.IFNA(INDEX('HS Codes'!$D$2:$K3943,MATCH($B1389,'HS Codes'!$A$2:$A3943,0),MATCH(L$1,'HS Codes'!$D$1:$K$1,0)),"")</f>
        <v>0</v>
      </c>
      <c r="M1389" s="8">
        <f>_xlfn.IFNA(INDEX('HS Codes'!$C$2:$C3943,MATCH($B1389,'HS Codes'!$A$2:$A3943,0)),"")</f>
        <v>0</v>
      </c>
      <c r="N1389" s="9"/>
      <c r="O1389" s="9"/>
      <c r="P1389" s="9"/>
      <c r="Q1389" s="9"/>
    </row>
    <row r="1390" spans="1:17" ht="15.75" customHeight="1">
      <c r="A1390" s="7" t="s">
        <v>1683</v>
      </c>
      <c r="B1390" s="7" t="s">
        <v>224</v>
      </c>
      <c r="C1390" s="7"/>
      <c r="D1390" s="7" t="s">
        <v>225</v>
      </c>
      <c r="E1390" s="7" t="s">
        <v>322</v>
      </c>
      <c r="F1390" s="8">
        <f>_xlfn.IFNA(INDEX('HS Codes'!$D$2:$K3944,MATCH($B1390,'HS Codes'!$A$2:$A3944,0),MATCH(F$1,'HS Codes'!$D$1:$K$1,0)),"")</f>
        <v>0</v>
      </c>
      <c r="G1390" s="8">
        <f>_xlfn.IFNA(INDEX('HS Codes'!$D$2:$K3944,MATCH($B1390,'HS Codes'!$A$2:$A3944,0),MATCH(G$1,'HS Codes'!$D$1:$K$1,0)),"")</f>
        <v>0</v>
      </c>
      <c r="H1390" s="8">
        <f>_xlfn.IFNA(INDEX('HS Codes'!$D$2:$K3944,MATCH($B1390,'HS Codes'!$A$2:$A3944,0),MATCH(H$1,'HS Codes'!$D$1:$K$1,0)),"")</f>
        <v>0</v>
      </c>
      <c r="I1390" s="8">
        <f>_xlfn.IFNA(INDEX('HS Codes'!$D$2:$K3944,MATCH($B1390,'HS Codes'!$A$2:$A3944,0),MATCH(I$1,'HS Codes'!$D$1:$K$1,0)),"")</f>
        <v>0</v>
      </c>
      <c r="J1390" s="8">
        <f>_xlfn.IFNA(INDEX('HS Codes'!$D$2:$K3944,MATCH($B1390,'HS Codes'!$A$2:$A3944,0),MATCH(J$1,'HS Codes'!$D$1:$K$1,0)),"")</f>
        <v>0</v>
      </c>
      <c r="K1390" s="8">
        <f>_xlfn.IFNA(INDEX('HS Codes'!$D$2:$K3944,MATCH($B1390,'HS Codes'!$A$2:$A3944,0),MATCH(K$1,'HS Codes'!$D$1:$K$1,0)),"")</f>
        <v>0</v>
      </c>
      <c r="L1390" s="8">
        <f>_xlfn.IFNA(INDEX('HS Codes'!$D$2:$K3944,MATCH($B1390,'HS Codes'!$A$2:$A3944,0),MATCH(L$1,'HS Codes'!$D$1:$K$1,0)),"")</f>
        <v>0</v>
      </c>
      <c r="M1390" s="8">
        <f>_xlfn.IFNA(INDEX('HS Codes'!$C$2:$C3944,MATCH($B1390,'HS Codes'!$A$2:$A3944,0)),"")</f>
        <v>0</v>
      </c>
      <c r="N1390" s="9"/>
      <c r="O1390" s="9"/>
      <c r="P1390" s="9"/>
      <c r="Q1390" s="9"/>
    </row>
    <row r="1391" spans="1:17" ht="15.75" customHeight="1">
      <c r="A1391" s="7" t="s">
        <v>1684</v>
      </c>
      <c r="B1391" s="7" t="s">
        <v>224</v>
      </c>
      <c r="C1391" s="7"/>
      <c r="D1391" s="7" t="s">
        <v>225</v>
      </c>
      <c r="E1391" s="7" t="s">
        <v>322</v>
      </c>
      <c r="F1391" s="8">
        <f>_xlfn.IFNA(INDEX('HS Codes'!$D$2:$K3945,MATCH($B1391,'HS Codes'!$A$2:$A3945,0),MATCH(F$1,'HS Codes'!$D$1:$K$1,0)),"")</f>
        <v>0</v>
      </c>
      <c r="G1391" s="8">
        <f>_xlfn.IFNA(INDEX('HS Codes'!$D$2:$K3945,MATCH($B1391,'HS Codes'!$A$2:$A3945,0),MATCH(G$1,'HS Codes'!$D$1:$K$1,0)),"")</f>
        <v>0</v>
      </c>
      <c r="H1391" s="8">
        <f>_xlfn.IFNA(INDEX('HS Codes'!$D$2:$K3945,MATCH($B1391,'HS Codes'!$A$2:$A3945,0),MATCH(H$1,'HS Codes'!$D$1:$K$1,0)),"")</f>
        <v>0</v>
      </c>
      <c r="I1391" s="8">
        <f>_xlfn.IFNA(INDEX('HS Codes'!$D$2:$K3945,MATCH($B1391,'HS Codes'!$A$2:$A3945,0),MATCH(I$1,'HS Codes'!$D$1:$K$1,0)),"")</f>
        <v>0</v>
      </c>
      <c r="J1391" s="8">
        <f>_xlfn.IFNA(INDEX('HS Codes'!$D$2:$K3945,MATCH($B1391,'HS Codes'!$A$2:$A3945,0),MATCH(J$1,'HS Codes'!$D$1:$K$1,0)),"")</f>
        <v>0</v>
      </c>
      <c r="K1391" s="8">
        <f>_xlfn.IFNA(INDEX('HS Codes'!$D$2:$K3945,MATCH($B1391,'HS Codes'!$A$2:$A3945,0),MATCH(K$1,'HS Codes'!$D$1:$K$1,0)),"")</f>
        <v>0</v>
      </c>
      <c r="L1391" s="8">
        <f>_xlfn.IFNA(INDEX('HS Codes'!$D$2:$K3945,MATCH($B1391,'HS Codes'!$A$2:$A3945,0),MATCH(L$1,'HS Codes'!$D$1:$K$1,0)),"")</f>
        <v>0</v>
      </c>
      <c r="M1391" s="8">
        <f>_xlfn.IFNA(INDEX('HS Codes'!$C$2:$C3945,MATCH($B1391,'HS Codes'!$A$2:$A3945,0)),"")</f>
        <v>0</v>
      </c>
      <c r="N1391" s="9"/>
      <c r="O1391" s="9"/>
      <c r="P1391" s="9"/>
      <c r="Q1391" s="9"/>
    </row>
    <row r="1392" spans="1:17" ht="15.75" customHeight="1">
      <c r="A1392" s="7" t="s">
        <v>1685</v>
      </c>
      <c r="B1392" s="7" t="s">
        <v>224</v>
      </c>
      <c r="C1392" s="7"/>
      <c r="D1392" s="7" t="s">
        <v>225</v>
      </c>
      <c r="E1392" s="7" t="s">
        <v>322</v>
      </c>
      <c r="F1392" s="8">
        <f>_xlfn.IFNA(INDEX('HS Codes'!$D$2:$K3946,MATCH($B1392,'HS Codes'!$A$2:$A3946,0),MATCH(F$1,'HS Codes'!$D$1:$K$1,0)),"")</f>
        <v>0</v>
      </c>
      <c r="G1392" s="8">
        <f>_xlfn.IFNA(INDEX('HS Codes'!$D$2:$K3946,MATCH($B1392,'HS Codes'!$A$2:$A3946,0),MATCH(G$1,'HS Codes'!$D$1:$K$1,0)),"")</f>
        <v>0</v>
      </c>
      <c r="H1392" s="8">
        <f>_xlfn.IFNA(INDEX('HS Codes'!$D$2:$K3946,MATCH($B1392,'HS Codes'!$A$2:$A3946,0),MATCH(H$1,'HS Codes'!$D$1:$K$1,0)),"")</f>
        <v>0</v>
      </c>
      <c r="I1392" s="8">
        <f>_xlfn.IFNA(INDEX('HS Codes'!$D$2:$K3946,MATCH($B1392,'HS Codes'!$A$2:$A3946,0),MATCH(I$1,'HS Codes'!$D$1:$K$1,0)),"")</f>
        <v>0</v>
      </c>
      <c r="J1392" s="8">
        <f>_xlfn.IFNA(INDEX('HS Codes'!$D$2:$K3946,MATCH($B1392,'HS Codes'!$A$2:$A3946,0),MATCH(J$1,'HS Codes'!$D$1:$K$1,0)),"")</f>
        <v>0</v>
      </c>
      <c r="K1392" s="8">
        <f>_xlfn.IFNA(INDEX('HS Codes'!$D$2:$K3946,MATCH($B1392,'HS Codes'!$A$2:$A3946,0),MATCH(K$1,'HS Codes'!$D$1:$K$1,0)),"")</f>
        <v>0</v>
      </c>
      <c r="L1392" s="8">
        <f>_xlfn.IFNA(INDEX('HS Codes'!$D$2:$K3946,MATCH($B1392,'HS Codes'!$A$2:$A3946,0),MATCH(L$1,'HS Codes'!$D$1:$K$1,0)),"")</f>
        <v>0</v>
      </c>
      <c r="M1392" s="8">
        <f>_xlfn.IFNA(INDEX('HS Codes'!$C$2:$C3946,MATCH($B1392,'HS Codes'!$A$2:$A3946,0)),"")</f>
        <v>0</v>
      </c>
      <c r="N1392" s="9"/>
      <c r="O1392" s="9"/>
      <c r="P1392" s="9"/>
      <c r="Q1392" s="9"/>
    </row>
    <row r="1393" spans="1:17" ht="15.75" customHeight="1">
      <c r="A1393" s="7" t="s">
        <v>1686</v>
      </c>
      <c r="B1393" s="7" t="s">
        <v>224</v>
      </c>
      <c r="C1393" s="7"/>
      <c r="D1393" s="7" t="s">
        <v>225</v>
      </c>
      <c r="E1393" s="7" t="s">
        <v>322</v>
      </c>
      <c r="F1393" s="8">
        <f>_xlfn.IFNA(INDEX('HS Codes'!$D$2:$K3947,MATCH($B1393,'HS Codes'!$A$2:$A3947,0),MATCH(F$1,'HS Codes'!$D$1:$K$1,0)),"")</f>
        <v>0</v>
      </c>
      <c r="G1393" s="8">
        <f>_xlfn.IFNA(INDEX('HS Codes'!$D$2:$K3947,MATCH($B1393,'HS Codes'!$A$2:$A3947,0),MATCH(G$1,'HS Codes'!$D$1:$K$1,0)),"")</f>
        <v>0</v>
      </c>
      <c r="H1393" s="8">
        <f>_xlfn.IFNA(INDEX('HS Codes'!$D$2:$K3947,MATCH($B1393,'HS Codes'!$A$2:$A3947,0),MATCH(H$1,'HS Codes'!$D$1:$K$1,0)),"")</f>
        <v>0</v>
      </c>
      <c r="I1393" s="8">
        <f>_xlfn.IFNA(INDEX('HS Codes'!$D$2:$K3947,MATCH($B1393,'HS Codes'!$A$2:$A3947,0),MATCH(I$1,'HS Codes'!$D$1:$K$1,0)),"")</f>
        <v>0</v>
      </c>
      <c r="J1393" s="8">
        <f>_xlfn.IFNA(INDEX('HS Codes'!$D$2:$K3947,MATCH($B1393,'HS Codes'!$A$2:$A3947,0),MATCH(J$1,'HS Codes'!$D$1:$K$1,0)),"")</f>
        <v>0</v>
      </c>
      <c r="K1393" s="8">
        <f>_xlfn.IFNA(INDEX('HS Codes'!$D$2:$K3947,MATCH($B1393,'HS Codes'!$A$2:$A3947,0),MATCH(K$1,'HS Codes'!$D$1:$K$1,0)),"")</f>
        <v>0</v>
      </c>
      <c r="L1393" s="8">
        <f>_xlfn.IFNA(INDEX('HS Codes'!$D$2:$K3947,MATCH($B1393,'HS Codes'!$A$2:$A3947,0),MATCH(L$1,'HS Codes'!$D$1:$K$1,0)),"")</f>
        <v>0</v>
      </c>
      <c r="M1393" s="8">
        <f>_xlfn.IFNA(INDEX('HS Codes'!$C$2:$C3947,MATCH($B1393,'HS Codes'!$A$2:$A3947,0)),"")</f>
        <v>0</v>
      </c>
      <c r="N1393" s="9"/>
      <c r="O1393" s="9"/>
      <c r="P1393" s="9"/>
      <c r="Q1393" s="9"/>
    </row>
    <row r="1394" spans="1:17" ht="15.75" customHeight="1">
      <c r="A1394" s="7" t="s">
        <v>1687</v>
      </c>
      <c r="B1394" s="7" t="s">
        <v>224</v>
      </c>
      <c r="C1394" s="7"/>
      <c r="D1394" s="7" t="s">
        <v>225</v>
      </c>
      <c r="E1394" s="7" t="s">
        <v>322</v>
      </c>
      <c r="F1394" s="8">
        <f>_xlfn.IFNA(INDEX('HS Codes'!$D$2:$K3948,MATCH($B1394,'HS Codes'!$A$2:$A3948,0),MATCH(F$1,'HS Codes'!$D$1:$K$1,0)),"")</f>
        <v>0</v>
      </c>
      <c r="G1394" s="8">
        <f>_xlfn.IFNA(INDEX('HS Codes'!$D$2:$K3948,MATCH($B1394,'HS Codes'!$A$2:$A3948,0),MATCH(G$1,'HS Codes'!$D$1:$K$1,0)),"")</f>
        <v>0</v>
      </c>
      <c r="H1394" s="8">
        <f>_xlfn.IFNA(INDEX('HS Codes'!$D$2:$K3948,MATCH($B1394,'HS Codes'!$A$2:$A3948,0),MATCH(H$1,'HS Codes'!$D$1:$K$1,0)),"")</f>
        <v>0</v>
      </c>
      <c r="I1394" s="8">
        <f>_xlfn.IFNA(INDEX('HS Codes'!$D$2:$K3948,MATCH($B1394,'HS Codes'!$A$2:$A3948,0),MATCH(I$1,'HS Codes'!$D$1:$K$1,0)),"")</f>
        <v>0</v>
      </c>
      <c r="J1394" s="8">
        <f>_xlfn.IFNA(INDEX('HS Codes'!$D$2:$K3948,MATCH($B1394,'HS Codes'!$A$2:$A3948,0),MATCH(J$1,'HS Codes'!$D$1:$K$1,0)),"")</f>
        <v>0</v>
      </c>
      <c r="K1394" s="8">
        <f>_xlfn.IFNA(INDEX('HS Codes'!$D$2:$K3948,MATCH($B1394,'HS Codes'!$A$2:$A3948,0),MATCH(K$1,'HS Codes'!$D$1:$K$1,0)),"")</f>
        <v>0</v>
      </c>
      <c r="L1394" s="8">
        <f>_xlfn.IFNA(INDEX('HS Codes'!$D$2:$K3948,MATCH($B1394,'HS Codes'!$A$2:$A3948,0),MATCH(L$1,'HS Codes'!$D$1:$K$1,0)),"")</f>
        <v>0</v>
      </c>
      <c r="M1394" s="8">
        <f>_xlfn.IFNA(INDEX('HS Codes'!$C$2:$C3948,MATCH($B1394,'HS Codes'!$A$2:$A3948,0)),"")</f>
        <v>0</v>
      </c>
      <c r="N1394" s="9"/>
      <c r="O1394" s="9"/>
      <c r="P1394" s="9"/>
      <c r="Q1394" s="9"/>
    </row>
    <row r="1395" spans="1:17" ht="15.75" customHeight="1">
      <c r="A1395" s="7" t="s">
        <v>1688</v>
      </c>
      <c r="B1395" s="7" t="s">
        <v>164</v>
      </c>
      <c r="C1395" s="7" t="s">
        <v>278</v>
      </c>
      <c r="D1395" s="7" t="s">
        <v>165</v>
      </c>
      <c r="E1395" s="7" t="s">
        <v>348</v>
      </c>
      <c r="F1395" s="8" t="str">
        <f>_xlfn.IFNA(INDEX('HS Codes'!$D$2:$K3949,MATCH($B1395,'HS Codes'!$A$2:$A3949,0),MATCH(F$1,'HS Codes'!$D$1:$K$1,0)),"")</f>
        <v>6302.93.2000</v>
      </c>
      <c r="G1395" s="8">
        <f>_xlfn.IFNA(INDEX('HS Codes'!$D$2:$K3949,MATCH($B1395,'HS Codes'!$A$2:$A3949,0),MATCH(G$1,'HS Codes'!$D$1:$K$1,0)),"")</f>
        <v>6302600090</v>
      </c>
      <c r="H1395" s="8" t="str">
        <f>_xlfn.IFNA(INDEX('HS Codes'!$D$2:$K3949,MATCH($B1395,'HS Codes'!$A$2:$A3949,0),MATCH(H$1,'HS Codes'!$D$1:$K$1,0)),"")</f>
        <v>6302.93.00.00</v>
      </c>
      <c r="I1395" s="8">
        <f>_xlfn.IFNA(INDEX('HS Codes'!$D$2:$K3949,MATCH($B1395,'HS Codes'!$A$2:$A3949,0),MATCH(I$1,'HS Codes'!$D$1:$K$1,0)),"")</f>
        <v>63029390</v>
      </c>
      <c r="J1395" s="8">
        <f>_xlfn.IFNA(INDEX('HS Codes'!$D$2:$K3949,MATCH($B1395,'HS Codes'!$A$2:$A3949,0),MATCH(J$1,'HS Codes'!$D$1:$K$1,0)),"")</f>
        <v>0</v>
      </c>
      <c r="K1395" s="8" t="str">
        <f>_xlfn.IFNA(INDEX('HS Codes'!$D$2:$K3949,MATCH($B1395,'HS Codes'!$A$2:$A3949,0),MATCH(K$1,'HS Codes'!$D$1:$K$1,0)),"")</f>
        <v>6302.39.00</v>
      </c>
      <c r="L1395" s="8">
        <f>_xlfn.IFNA(INDEX('HS Codes'!$D$2:$K3949,MATCH($B1395,'HS Codes'!$A$2:$A3949,0),MATCH(L$1,'HS Codes'!$D$1:$K$1,0)),"")</f>
        <v>63029120</v>
      </c>
      <c r="M1395" s="8" t="str">
        <f>_xlfn.IFNA(INDEX('HS Codes'!$C$2:$C3949,MATCH($B1395,'HS Codes'!$A$2:$A3949,0)),"")</f>
        <v>Beach Towel - Toilet Linen 100% recycled 220 GSM/83% polyester/17% polyamide includes cotton on the packing pouch drawstring</v>
      </c>
      <c r="N1395" s="9"/>
      <c r="O1395" s="9"/>
      <c r="P1395" s="9"/>
      <c r="Q1395" s="9"/>
    </row>
    <row r="1396" spans="1:17" ht="15.75" customHeight="1">
      <c r="A1396" s="7" t="s">
        <v>1689</v>
      </c>
      <c r="B1396" s="7" t="s">
        <v>164</v>
      </c>
      <c r="C1396" s="7" t="s">
        <v>278</v>
      </c>
      <c r="D1396" s="7" t="s">
        <v>165</v>
      </c>
      <c r="E1396" s="7" t="s">
        <v>348</v>
      </c>
      <c r="F1396" s="8" t="str">
        <f>_xlfn.IFNA(INDEX('HS Codes'!$D$2:$K3950,MATCH($B1396,'HS Codes'!$A$2:$A3950,0),MATCH(F$1,'HS Codes'!$D$1:$K$1,0)),"")</f>
        <v>6302.93.2000</v>
      </c>
      <c r="G1396" s="8">
        <f>_xlfn.IFNA(INDEX('HS Codes'!$D$2:$K3950,MATCH($B1396,'HS Codes'!$A$2:$A3950,0),MATCH(G$1,'HS Codes'!$D$1:$K$1,0)),"")</f>
        <v>6302600090</v>
      </c>
      <c r="H1396" s="8" t="str">
        <f>_xlfn.IFNA(INDEX('HS Codes'!$D$2:$K3950,MATCH($B1396,'HS Codes'!$A$2:$A3950,0),MATCH(H$1,'HS Codes'!$D$1:$K$1,0)),"")</f>
        <v>6302.93.00.00</v>
      </c>
      <c r="I1396" s="8">
        <f>_xlfn.IFNA(INDEX('HS Codes'!$D$2:$K3950,MATCH($B1396,'HS Codes'!$A$2:$A3950,0),MATCH(I$1,'HS Codes'!$D$1:$K$1,0)),"")</f>
        <v>63029390</v>
      </c>
      <c r="J1396" s="8">
        <f>_xlfn.IFNA(INDEX('HS Codes'!$D$2:$K3950,MATCH($B1396,'HS Codes'!$A$2:$A3950,0),MATCH(J$1,'HS Codes'!$D$1:$K$1,0)),"")</f>
        <v>0</v>
      </c>
      <c r="K1396" s="8" t="str">
        <f>_xlfn.IFNA(INDEX('HS Codes'!$D$2:$K3950,MATCH($B1396,'HS Codes'!$A$2:$A3950,0),MATCH(K$1,'HS Codes'!$D$1:$K$1,0)),"")</f>
        <v>6302.39.00</v>
      </c>
      <c r="L1396" s="8">
        <f>_xlfn.IFNA(INDEX('HS Codes'!$D$2:$K3950,MATCH($B1396,'HS Codes'!$A$2:$A3950,0),MATCH(L$1,'HS Codes'!$D$1:$K$1,0)),"")</f>
        <v>63029120</v>
      </c>
      <c r="M1396" s="8" t="str">
        <f>_xlfn.IFNA(INDEX('HS Codes'!$C$2:$C3950,MATCH($B1396,'HS Codes'!$A$2:$A3950,0)),"")</f>
        <v>Beach Towel - Toilet Linen 100% recycled 220 GSM/83% polyester/17% polyamide includes cotton on the packing pouch drawstring</v>
      </c>
      <c r="N1396" s="9"/>
      <c r="O1396" s="9"/>
      <c r="P1396" s="9"/>
      <c r="Q1396" s="9"/>
    </row>
    <row r="1397" spans="1:17" ht="15.75" customHeight="1">
      <c r="A1397" s="7" t="s">
        <v>1690</v>
      </c>
      <c r="B1397" s="7" t="s">
        <v>164</v>
      </c>
      <c r="C1397" s="7" t="s">
        <v>278</v>
      </c>
      <c r="D1397" s="7" t="s">
        <v>165</v>
      </c>
      <c r="E1397" s="7" t="s">
        <v>348</v>
      </c>
      <c r="F1397" s="8" t="str">
        <f>_xlfn.IFNA(INDEX('HS Codes'!$D$2:$K3951,MATCH($B1397,'HS Codes'!$A$2:$A3951,0),MATCH(F$1,'HS Codes'!$D$1:$K$1,0)),"")</f>
        <v>6302.93.2000</v>
      </c>
      <c r="G1397" s="8">
        <f>_xlfn.IFNA(INDEX('HS Codes'!$D$2:$K3951,MATCH($B1397,'HS Codes'!$A$2:$A3951,0),MATCH(G$1,'HS Codes'!$D$1:$K$1,0)),"")</f>
        <v>6302600090</v>
      </c>
      <c r="H1397" s="8" t="str">
        <f>_xlfn.IFNA(INDEX('HS Codes'!$D$2:$K3951,MATCH($B1397,'HS Codes'!$A$2:$A3951,0),MATCH(H$1,'HS Codes'!$D$1:$K$1,0)),"")</f>
        <v>6302.93.00.00</v>
      </c>
      <c r="I1397" s="8">
        <f>_xlfn.IFNA(INDEX('HS Codes'!$D$2:$K3951,MATCH($B1397,'HS Codes'!$A$2:$A3951,0),MATCH(I$1,'HS Codes'!$D$1:$K$1,0)),"")</f>
        <v>63029390</v>
      </c>
      <c r="J1397" s="8">
        <f>_xlfn.IFNA(INDEX('HS Codes'!$D$2:$K3951,MATCH($B1397,'HS Codes'!$A$2:$A3951,0),MATCH(J$1,'HS Codes'!$D$1:$K$1,0)),"")</f>
        <v>0</v>
      </c>
      <c r="K1397" s="8" t="str">
        <f>_xlfn.IFNA(INDEX('HS Codes'!$D$2:$K3951,MATCH($B1397,'HS Codes'!$A$2:$A3951,0),MATCH(K$1,'HS Codes'!$D$1:$K$1,0)),"")</f>
        <v>6302.39.00</v>
      </c>
      <c r="L1397" s="8">
        <f>_xlfn.IFNA(INDEX('HS Codes'!$D$2:$K3951,MATCH($B1397,'HS Codes'!$A$2:$A3951,0),MATCH(L$1,'HS Codes'!$D$1:$K$1,0)),"")</f>
        <v>63029120</v>
      </c>
      <c r="M1397" s="8" t="str">
        <f>_xlfn.IFNA(INDEX('HS Codes'!$C$2:$C3951,MATCH($B1397,'HS Codes'!$A$2:$A3951,0)),"")</f>
        <v>Beach Towel - Toilet Linen 100% recycled 220 GSM/83% polyester/17% polyamide includes cotton on the packing pouch drawstring</v>
      </c>
      <c r="N1397" s="9"/>
      <c r="O1397" s="9"/>
      <c r="P1397" s="9"/>
      <c r="Q1397" s="9"/>
    </row>
    <row r="1398" spans="1:17" ht="15.75" customHeight="1">
      <c r="A1398" s="7" t="s">
        <v>1691</v>
      </c>
      <c r="B1398" s="7" t="s">
        <v>226</v>
      </c>
      <c r="C1398" s="7"/>
      <c r="D1398" s="7" t="s">
        <v>227</v>
      </c>
      <c r="E1398" s="7" t="s">
        <v>322</v>
      </c>
      <c r="F1398" s="8">
        <f>_xlfn.IFNA(INDEX('HS Codes'!$D$2:$K3952,MATCH($B1398,'HS Codes'!$A$2:$A3952,0),MATCH(F$1,'HS Codes'!$D$1:$K$1,0)),"")</f>
        <v>0</v>
      </c>
      <c r="G1398" s="8">
        <f>_xlfn.IFNA(INDEX('HS Codes'!$D$2:$K3952,MATCH($B1398,'HS Codes'!$A$2:$A3952,0),MATCH(G$1,'HS Codes'!$D$1:$K$1,0)),"")</f>
        <v>0</v>
      </c>
      <c r="H1398" s="8">
        <f>_xlfn.IFNA(INDEX('HS Codes'!$D$2:$K3952,MATCH($B1398,'HS Codes'!$A$2:$A3952,0),MATCH(H$1,'HS Codes'!$D$1:$K$1,0)),"")</f>
        <v>0</v>
      </c>
      <c r="I1398" s="8">
        <f>_xlfn.IFNA(INDEX('HS Codes'!$D$2:$K3952,MATCH($B1398,'HS Codes'!$A$2:$A3952,0),MATCH(I$1,'HS Codes'!$D$1:$K$1,0)),"")</f>
        <v>0</v>
      </c>
      <c r="J1398" s="8">
        <f>_xlfn.IFNA(INDEX('HS Codes'!$D$2:$K3952,MATCH($B1398,'HS Codes'!$A$2:$A3952,0),MATCH(J$1,'HS Codes'!$D$1:$K$1,0)),"")</f>
        <v>0</v>
      </c>
      <c r="K1398" s="8">
        <f>_xlfn.IFNA(INDEX('HS Codes'!$D$2:$K3952,MATCH($B1398,'HS Codes'!$A$2:$A3952,0),MATCH(K$1,'HS Codes'!$D$1:$K$1,0)),"")</f>
        <v>0</v>
      </c>
      <c r="L1398" s="8">
        <f>_xlfn.IFNA(INDEX('HS Codes'!$D$2:$K3952,MATCH($B1398,'HS Codes'!$A$2:$A3952,0),MATCH(L$1,'HS Codes'!$D$1:$K$1,0)),"")</f>
        <v>0</v>
      </c>
      <c r="M1398" s="8">
        <f>_xlfn.IFNA(INDEX('HS Codes'!$C$2:$C3952,MATCH($B1398,'HS Codes'!$A$2:$A3952,0)),"")</f>
        <v>0</v>
      </c>
      <c r="N1398" s="9"/>
      <c r="O1398" s="9"/>
      <c r="P1398" s="9"/>
      <c r="Q1398" s="9"/>
    </row>
    <row r="1399" spans="1:17" ht="15.75" customHeight="1">
      <c r="A1399" s="7" t="s">
        <v>1692</v>
      </c>
      <c r="B1399" s="7" t="s">
        <v>226</v>
      </c>
      <c r="C1399" s="7"/>
      <c r="D1399" s="7" t="s">
        <v>227</v>
      </c>
      <c r="E1399" s="7" t="s">
        <v>322</v>
      </c>
      <c r="F1399" s="8">
        <f>_xlfn.IFNA(INDEX('HS Codes'!$D$2:$K3953,MATCH($B1399,'HS Codes'!$A$2:$A3953,0),MATCH(F$1,'HS Codes'!$D$1:$K$1,0)),"")</f>
        <v>0</v>
      </c>
      <c r="G1399" s="8">
        <f>_xlfn.IFNA(INDEX('HS Codes'!$D$2:$K3953,MATCH($B1399,'HS Codes'!$A$2:$A3953,0),MATCH(G$1,'HS Codes'!$D$1:$K$1,0)),"")</f>
        <v>0</v>
      </c>
      <c r="H1399" s="8">
        <f>_xlfn.IFNA(INDEX('HS Codes'!$D$2:$K3953,MATCH($B1399,'HS Codes'!$A$2:$A3953,0),MATCH(H$1,'HS Codes'!$D$1:$K$1,0)),"")</f>
        <v>0</v>
      </c>
      <c r="I1399" s="8">
        <f>_xlfn.IFNA(INDEX('HS Codes'!$D$2:$K3953,MATCH($B1399,'HS Codes'!$A$2:$A3953,0),MATCH(I$1,'HS Codes'!$D$1:$K$1,0)),"")</f>
        <v>0</v>
      </c>
      <c r="J1399" s="8">
        <f>_xlfn.IFNA(INDEX('HS Codes'!$D$2:$K3953,MATCH($B1399,'HS Codes'!$A$2:$A3953,0),MATCH(J$1,'HS Codes'!$D$1:$K$1,0)),"")</f>
        <v>0</v>
      </c>
      <c r="K1399" s="8">
        <f>_xlfn.IFNA(INDEX('HS Codes'!$D$2:$K3953,MATCH($B1399,'HS Codes'!$A$2:$A3953,0),MATCH(K$1,'HS Codes'!$D$1:$K$1,0)),"")</f>
        <v>0</v>
      </c>
      <c r="L1399" s="8">
        <f>_xlfn.IFNA(INDEX('HS Codes'!$D$2:$K3953,MATCH($B1399,'HS Codes'!$A$2:$A3953,0),MATCH(L$1,'HS Codes'!$D$1:$K$1,0)),"")</f>
        <v>0</v>
      </c>
      <c r="M1399" s="8">
        <f>_xlfn.IFNA(INDEX('HS Codes'!$C$2:$C3953,MATCH($B1399,'HS Codes'!$A$2:$A3953,0)),"")</f>
        <v>0</v>
      </c>
      <c r="N1399" s="9"/>
      <c r="O1399" s="9"/>
      <c r="P1399" s="9"/>
      <c r="Q1399" s="9"/>
    </row>
    <row r="1400" spans="1:17" ht="15.75" customHeight="1">
      <c r="A1400" s="7" t="s">
        <v>1693</v>
      </c>
      <c r="B1400" s="7" t="s">
        <v>226</v>
      </c>
      <c r="C1400" s="7"/>
      <c r="D1400" s="7" t="s">
        <v>227</v>
      </c>
      <c r="E1400" s="7" t="s">
        <v>322</v>
      </c>
      <c r="F1400" s="8">
        <f>_xlfn.IFNA(INDEX('HS Codes'!$D$2:$K3954,MATCH($B1400,'HS Codes'!$A$2:$A3954,0),MATCH(F$1,'HS Codes'!$D$1:$K$1,0)),"")</f>
        <v>0</v>
      </c>
      <c r="G1400" s="8">
        <f>_xlfn.IFNA(INDEX('HS Codes'!$D$2:$K3954,MATCH($B1400,'HS Codes'!$A$2:$A3954,0),MATCH(G$1,'HS Codes'!$D$1:$K$1,0)),"")</f>
        <v>0</v>
      </c>
      <c r="H1400" s="8">
        <f>_xlfn.IFNA(INDEX('HS Codes'!$D$2:$K3954,MATCH($B1400,'HS Codes'!$A$2:$A3954,0),MATCH(H$1,'HS Codes'!$D$1:$K$1,0)),"")</f>
        <v>0</v>
      </c>
      <c r="I1400" s="8">
        <f>_xlfn.IFNA(INDEX('HS Codes'!$D$2:$K3954,MATCH($B1400,'HS Codes'!$A$2:$A3954,0),MATCH(I$1,'HS Codes'!$D$1:$K$1,0)),"")</f>
        <v>0</v>
      </c>
      <c r="J1400" s="8">
        <f>_xlfn.IFNA(INDEX('HS Codes'!$D$2:$K3954,MATCH($B1400,'HS Codes'!$A$2:$A3954,0),MATCH(J$1,'HS Codes'!$D$1:$K$1,0)),"")</f>
        <v>0</v>
      </c>
      <c r="K1400" s="8">
        <f>_xlfn.IFNA(INDEX('HS Codes'!$D$2:$K3954,MATCH($B1400,'HS Codes'!$A$2:$A3954,0),MATCH(K$1,'HS Codes'!$D$1:$K$1,0)),"")</f>
        <v>0</v>
      </c>
      <c r="L1400" s="8">
        <f>_xlfn.IFNA(INDEX('HS Codes'!$D$2:$K3954,MATCH($B1400,'HS Codes'!$A$2:$A3954,0),MATCH(L$1,'HS Codes'!$D$1:$K$1,0)),"")</f>
        <v>0</v>
      </c>
      <c r="M1400" s="8">
        <f>_xlfn.IFNA(INDEX('HS Codes'!$C$2:$C3954,MATCH($B1400,'HS Codes'!$A$2:$A3954,0)),"")</f>
        <v>0</v>
      </c>
      <c r="N1400" s="9"/>
      <c r="O1400" s="9"/>
      <c r="P1400" s="9"/>
      <c r="Q1400" s="9"/>
    </row>
    <row r="1401" spans="1:17" ht="15.75" customHeight="1">
      <c r="A1401" s="7" t="s">
        <v>1694</v>
      </c>
      <c r="B1401" s="7" t="s">
        <v>164</v>
      </c>
      <c r="C1401" s="7" t="s">
        <v>278</v>
      </c>
      <c r="D1401" s="7" t="s">
        <v>165</v>
      </c>
      <c r="E1401" s="7" t="s">
        <v>348</v>
      </c>
      <c r="F1401" s="8" t="str">
        <f>_xlfn.IFNA(INDEX('HS Codes'!$D$2:$K3955,MATCH($B1401,'HS Codes'!$A$2:$A3955,0),MATCH(F$1,'HS Codes'!$D$1:$K$1,0)),"")</f>
        <v>6302.93.2000</v>
      </c>
      <c r="G1401" s="8">
        <f>_xlfn.IFNA(INDEX('HS Codes'!$D$2:$K3955,MATCH($B1401,'HS Codes'!$A$2:$A3955,0),MATCH(G$1,'HS Codes'!$D$1:$K$1,0)),"")</f>
        <v>6302600090</v>
      </c>
      <c r="H1401" s="8" t="str">
        <f>_xlfn.IFNA(INDEX('HS Codes'!$D$2:$K3955,MATCH($B1401,'HS Codes'!$A$2:$A3955,0),MATCH(H$1,'HS Codes'!$D$1:$K$1,0)),"")</f>
        <v>6302.93.00.00</v>
      </c>
      <c r="I1401" s="8">
        <f>_xlfn.IFNA(INDEX('HS Codes'!$D$2:$K3955,MATCH($B1401,'HS Codes'!$A$2:$A3955,0),MATCH(I$1,'HS Codes'!$D$1:$K$1,0)),"")</f>
        <v>63029390</v>
      </c>
      <c r="J1401" s="8">
        <f>_xlfn.IFNA(INDEX('HS Codes'!$D$2:$K3955,MATCH($B1401,'HS Codes'!$A$2:$A3955,0),MATCH(J$1,'HS Codes'!$D$1:$K$1,0)),"")</f>
        <v>0</v>
      </c>
      <c r="K1401" s="8" t="str">
        <f>_xlfn.IFNA(INDEX('HS Codes'!$D$2:$K3955,MATCH($B1401,'HS Codes'!$A$2:$A3955,0),MATCH(K$1,'HS Codes'!$D$1:$K$1,0)),"")</f>
        <v>6302.39.00</v>
      </c>
      <c r="L1401" s="8">
        <f>_xlfn.IFNA(INDEX('HS Codes'!$D$2:$K3955,MATCH($B1401,'HS Codes'!$A$2:$A3955,0),MATCH(L$1,'HS Codes'!$D$1:$K$1,0)),"")</f>
        <v>63029120</v>
      </c>
      <c r="M1401" s="8" t="str">
        <f>_xlfn.IFNA(INDEX('HS Codes'!$C$2:$C3955,MATCH($B1401,'HS Codes'!$A$2:$A3955,0)),"")</f>
        <v>Beach Towel - Toilet Linen 100% recycled 220 GSM/83% polyester/17% polyamide includes cotton on the packing pouch drawstring</v>
      </c>
      <c r="N1401" s="9"/>
      <c r="O1401" s="9"/>
      <c r="P1401" s="9"/>
      <c r="Q1401" s="9"/>
    </row>
    <row r="1402" spans="1:17" ht="15.75" customHeight="1">
      <c r="A1402" s="7" t="s">
        <v>1695</v>
      </c>
      <c r="B1402" s="7" t="s">
        <v>164</v>
      </c>
      <c r="C1402" s="7" t="s">
        <v>278</v>
      </c>
      <c r="D1402" s="7" t="s">
        <v>165</v>
      </c>
      <c r="E1402" s="7" t="s">
        <v>348</v>
      </c>
      <c r="F1402" s="8" t="str">
        <f>_xlfn.IFNA(INDEX('HS Codes'!$D$2:$K3956,MATCH($B1402,'HS Codes'!$A$2:$A3956,0),MATCH(F$1,'HS Codes'!$D$1:$K$1,0)),"")</f>
        <v>6302.93.2000</v>
      </c>
      <c r="G1402" s="8">
        <f>_xlfn.IFNA(INDEX('HS Codes'!$D$2:$K3956,MATCH($B1402,'HS Codes'!$A$2:$A3956,0),MATCH(G$1,'HS Codes'!$D$1:$K$1,0)),"")</f>
        <v>6302600090</v>
      </c>
      <c r="H1402" s="8" t="str">
        <f>_xlfn.IFNA(INDEX('HS Codes'!$D$2:$K3956,MATCH($B1402,'HS Codes'!$A$2:$A3956,0),MATCH(H$1,'HS Codes'!$D$1:$K$1,0)),"")</f>
        <v>6302.93.00.00</v>
      </c>
      <c r="I1402" s="8">
        <f>_xlfn.IFNA(INDEX('HS Codes'!$D$2:$K3956,MATCH($B1402,'HS Codes'!$A$2:$A3956,0),MATCH(I$1,'HS Codes'!$D$1:$K$1,0)),"")</f>
        <v>63029390</v>
      </c>
      <c r="J1402" s="8">
        <f>_xlfn.IFNA(INDEX('HS Codes'!$D$2:$K3956,MATCH($B1402,'HS Codes'!$A$2:$A3956,0),MATCH(J$1,'HS Codes'!$D$1:$K$1,0)),"")</f>
        <v>0</v>
      </c>
      <c r="K1402" s="8" t="str">
        <f>_xlfn.IFNA(INDEX('HS Codes'!$D$2:$K3956,MATCH($B1402,'HS Codes'!$A$2:$A3956,0),MATCH(K$1,'HS Codes'!$D$1:$K$1,0)),"")</f>
        <v>6302.39.00</v>
      </c>
      <c r="L1402" s="8">
        <f>_xlfn.IFNA(INDEX('HS Codes'!$D$2:$K3956,MATCH($B1402,'HS Codes'!$A$2:$A3956,0),MATCH(L$1,'HS Codes'!$D$1:$K$1,0)),"")</f>
        <v>63029120</v>
      </c>
      <c r="M1402" s="8" t="str">
        <f>_xlfn.IFNA(INDEX('HS Codes'!$C$2:$C3956,MATCH($B1402,'HS Codes'!$A$2:$A3956,0)),"")</f>
        <v>Beach Towel - Toilet Linen 100% recycled 220 GSM/83% polyester/17% polyamide includes cotton on the packing pouch drawstring</v>
      </c>
      <c r="N1402" s="9"/>
      <c r="O1402" s="9"/>
      <c r="P1402" s="9"/>
      <c r="Q1402" s="9"/>
    </row>
    <row r="1403" spans="1:17" ht="15.75" customHeight="1">
      <c r="A1403" s="7" t="s">
        <v>1696</v>
      </c>
      <c r="B1403" s="7" t="s">
        <v>164</v>
      </c>
      <c r="C1403" s="7" t="s">
        <v>278</v>
      </c>
      <c r="D1403" s="7" t="s">
        <v>165</v>
      </c>
      <c r="E1403" s="7" t="s">
        <v>348</v>
      </c>
      <c r="F1403" s="8" t="str">
        <f>_xlfn.IFNA(INDEX('HS Codes'!$D$2:$K3957,MATCH($B1403,'HS Codes'!$A$2:$A3957,0),MATCH(F$1,'HS Codes'!$D$1:$K$1,0)),"")</f>
        <v>6302.93.2000</v>
      </c>
      <c r="G1403" s="8">
        <f>_xlfn.IFNA(INDEX('HS Codes'!$D$2:$K3957,MATCH($B1403,'HS Codes'!$A$2:$A3957,0),MATCH(G$1,'HS Codes'!$D$1:$K$1,0)),"")</f>
        <v>6302600090</v>
      </c>
      <c r="H1403" s="8" t="str">
        <f>_xlfn.IFNA(INDEX('HS Codes'!$D$2:$K3957,MATCH($B1403,'HS Codes'!$A$2:$A3957,0),MATCH(H$1,'HS Codes'!$D$1:$K$1,0)),"")</f>
        <v>6302.93.00.00</v>
      </c>
      <c r="I1403" s="8">
        <f>_xlfn.IFNA(INDEX('HS Codes'!$D$2:$K3957,MATCH($B1403,'HS Codes'!$A$2:$A3957,0),MATCH(I$1,'HS Codes'!$D$1:$K$1,0)),"")</f>
        <v>63029390</v>
      </c>
      <c r="J1403" s="8">
        <f>_xlfn.IFNA(INDEX('HS Codes'!$D$2:$K3957,MATCH($B1403,'HS Codes'!$A$2:$A3957,0),MATCH(J$1,'HS Codes'!$D$1:$K$1,0)),"")</f>
        <v>0</v>
      </c>
      <c r="K1403" s="8" t="str">
        <f>_xlfn.IFNA(INDEX('HS Codes'!$D$2:$K3957,MATCH($B1403,'HS Codes'!$A$2:$A3957,0),MATCH(K$1,'HS Codes'!$D$1:$K$1,0)),"")</f>
        <v>6302.39.00</v>
      </c>
      <c r="L1403" s="8">
        <f>_xlfn.IFNA(INDEX('HS Codes'!$D$2:$K3957,MATCH($B1403,'HS Codes'!$A$2:$A3957,0),MATCH(L$1,'HS Codes'!$D$1:$K$1,0)),"")</f>
        <v>63029120</v>
      </c>
      <c r="M1403" s="8" t="str">
        <f>_xlfn.IFNA(INDEX('HS Codes'!$C$2:$C3957,MATCH($B1403,'HS Codes'!$A$2:$A3957,0)),"")</f>
        <v>Beach Towel - Toilet Linen 100% recycled 220 GSM/83% polyester/17% polyamide includes cotton on the packing pouch drawstring</v>
      </c>
      <c r="N1403" s="9"/>
      <c r="O1403" s="9"/>
      <c r="P1403" s="9"/>
      <c r="Q1403" s="9"/>
    </row>
    <row r="1404" spans="1:17" ht="15.75" customHeight="1">
      <c r="A1404" s="7" t="s">
        <v>1697</v>
      </c>
      <c r="B1404" s="7" t="s">
        <v>164</v>
      </c>
      <c r="C1404" s="7" t="s">
        <v>278</v>
      </c>
      <c r="D1404" s="7" t="s">
        <v>165</v>
      </c>
      <c r="E1404" s="7" t="s">
        <v>348</v>
      </c>
      <c r="F1404" s="8" t="str">
        <f>_xlfn.IFNA(INDEX('HS Codes'!$D$2:$K3958,MATCH($B1404,'HS Codes'!$A$2:$A3958,0),MATCH(F$1,'HS Codes'!$D$1:$K$1,0)),"")</f>
        <v>6302.93.2000</v>
      </c>
      <c r="G1404" s="8">
        <f>_xlfn.IFNA(INDEX('HS Codes'!$D$2:$K3958,MATCH($B1404,'HS Codes'!$A$2:$A3958,0),MATCH(G$1,'HS Codes'!$D$1:$K$1,0)),"")</f>
        <v>6302600090</v>
      </c>
      <c r="H1404" s="8" t="str">
        <f>_xlfn.IFNA(INDEX('HS Codes'!$D$2:$K3958,MATCH($B1404,'HS Codes'!$A$2:$A3958,0),MATCH(H$1,'HS Codes'!$D$1:$K$1,0)),"")</f>
        <v>6302.93.00.00</v>
      </c>
      <c r="I1404" s="8">
        <f>_xlfn.IFNA(INDEX('HS Codes'!$D$2:$K3958,MATCH($B1404,'HS Codes'!$A$2:$A3958,0),MATCH(I$1,'HS Codes'!$D$1:$K$1,0)),"")</f>
        <v>63029390</v>
      </c>
      <c r="J1404" s="8">
        <f>_xlfn.IFNA(INDEX('HS Codes'!$D$2:$K3958,MATCH($B1404,'HS Codes'!$A$2:$A3958,0),MATCH(J$1,'HS Codes'!$D$1:$K$1,0)),"")</f>
        <v>0</v>
      </c>
      <c r="K1404" s="8" t="str">
        <f>_xlfn.IFNA(INDEX('HS Codes'!$D$2:$K3958,MATCH($B1404,'HS Codes'!$A$2:$A3958,0),MATCH(K$1,'HS Codes'!$D$1:$K$1,0)),"")</f>
        <v>6302.39.00</v>
      </c>
      <c r="L1404" s="8">
        <f>_xlfn.IFNA(INDEX('HS Codes'!$D$2:$K3958,MATCH($B1404,'HS Codes'!$A$2:$A3958,0),MATCH(L$1,'HS Codes'!$D$1:$K$1,0)),"")</f>
        <v>63029120</v>
      </c>
      <c r="M1404" s="8" t="str">
        <f>_xlfn.IFNA(INDEX('HS Codes'!$C$2:$C3958,MATCH($B1404,'HS Codes'!$A$2:$A3958,0)),"")</f>
        <v>Beach Towel - Toilet Linen 100% recycled 220 GSM/83% polyester/17% polyamide includes cotton on the packing pouch drawstring</v>
      </c>
      <c r="N1404" s="9"/>
      <c r="O1404" s="9"/>
      <c r="P1404" s="9"/>
      <c r="Q1404" s="9"/>
    </row>
    <row r="1405" spans="1:17" ht="15.75" customHeight="1">
      <c r="A1405" s="7" t="s">
        <v>1698</v>
      </c>
      <c r="B1405" s="7" t="s">
        <v>164</v>
      </c>
      <c r="C1405" s="7" t="s">
        <v>278</v>
      </c>
      <c r="D1405" s="7" t="s">
        <v>165</v>
      </c>
      <c r="E1405" s="7" t="s">
        <v>348</v>
      </c>
      <c r="F1405" s="8" t="str">
        <f>_xlfn.IFNA(INDEX('HS Codes'!$D$2:$K3959,MATCH($B1405,'HS Codes'!$A$2:$A3959,0),MATCH(F$1,'HS Codes'!$D$1:$K$1,0)),"")</f>
        <v>6302.93.2000</v>
      </c>
      <c r="G1405" s="8">
        <f>_xlfn.IFNA(INDEX('HS Codes'!$D$2:$K3959,MATCH($B1405,'HS Codes'!$A$2:$A3959,0),MATCH(G$1,'HS Codes'!$D$1:$K$1,0)),"")</f>
        <v>6302600090</v>
      </c>
      <c r="H1405" s="8" t="str">
        <f>_xlfn.IFNA(INDEX('HS Codes'!$D$2:$K3959,MATCH($B1405,'HS Codes'!$A$2:$A3959,0),MATCH(H$1,'HS Codes'!$D$1:$K$1,0)),"")</f>
        <v>6302.93.00.00</v>
      </c>
      <c r="I1405" s="8">
        <f>_xlfn.IFNA(INDEX('HS Codes'!$D$2:$K3959,MATCH($B1405,'HS Codes'!$A$2:$A3959,0),MATCH(I$1,'HS Codes'!$D$1:$K$1,0)),"")</f>
        <v>63029390</v>
      </c>
      <c r="J1405" s="8">
        <f>_xlfn.IFNA(INDEX('HS Codes'!$D$2:$K3959,MATCH($B1405,'HS Codes'!$A$2:$A3959,0),MATCH(J$1,'HS Codes'!$D$1:$K$1,0)),"")</f>
        <v>0</v>
      </c>
      <c r="K1405" s="8" t="str">
        <f>_xlfn.IFNA(INDEX('HS Codes'!$D$2:$K3959,MATCH($B1405,'HS Codes'!$A$2:$A3959,0),MATCH(K$1,'HS Codes'!$D$1:$K$1,0)),"")</f>
        <v>6302.39.00</v>
      </c>
      <c r="L1405" s="8">
        <f>_xlfn.IFNA(INDEX('HS Codes'!$D$2:$K3959,MATCH($B1405,'HS Codes'!$A$2:$A3959,0),MATCH(L$1,'HS Codes'!$D$1:$K$1,0)),"")</f>
        <v>63029120</v>
      </c>
      <c r="M1405" s="8" t="str">
        <f>_xlfn.IFNA(INDEX('HS Codes'!$C$2:$C3959,MATCH($B1405,'HS Codes'!$A$2:$A3959,0)),"")</f>
        <v>Beach Towel - Toilet Linen 100% recycled 220 GSM/83% polyester/17% polyamide includes cotton on the packing pouch drawstring</v>
      </c>
      <c r="N1405" s="9"/>
      <c r="O1405" s="9"/>
      <c r="P1405" s="9"/>
      <c r="Q1405" s="9"/>
    </row>
    <row r="1406" spans="1:17" ht="15.75" customHeight="1">
      <c r="A1406" s="7" t="s">
        <v>1699</v>
      </c>
      <c r="B1406" s="7" t="s">
        <v>164</v>
      </c>
      <c r="C1406" s="7" t="s">
        <v>278</v>
      </c>
      <c r="D1406" s="7" t="s">
        <v>165</v>
      </c>
      <c r="E1406" s="7" t="s">
        <v>348</v>
      </c>
      <c r="F1406" s="8" t="str">
        <f>_xlfn.IFNA(INDEX('HS Codes'!$D$2:$K3960,MATCH($B1406,'HS Codes'!$A$2:$A3960,0),MATCH(F$1,'HS Codes'!$D$1:$K$1,0)),"")</f>
        <v>6302.93.2000</v>
      </c>
      <c r="G1406" s="8">
        <f>_xlfn.IFNA(INDEX('HS Codes'!$D$2:$K3960,MATCH($B1406,'HS Codes'!$A$2:$A3960,0),MATCH(G$1,'HS Codes'!$D$1:$K$1,0)),"")</f>
        <v>6302600090</v>
      </c>
      <c r="H1406" s="8" t="str">
        <f>_xlfn.IFNA(INDEX('HS Codes'!$D$2:$K3960,MATCH($B1406,'HS Codes'!$A$2:$A3960,0),MATCH(H$1,'HS Codes'!$D$1:$K$1,0)),"")</f>
        <v>6302.93.00.00</v>
      </c>
      <c r="I1406" s="8">
        <f>_xlfn.IFNA(INDEX('HS Codes'!$D$2:$K3960,MATCH($B1406,'HS Codes'!$A$2:$A3960,0),MATCH(I$1,'HS Codes'!$D$1:$K$1,0)),"")</f>
        <v>63029390</v>
      </c>
      <c r="J1406" s="8">
        <f>_xlfn.IFNA(INDEX('HS Codes'!$D$2:$K3960,MATCH($B1406,'HS Codes'!$A$2:$A3960,0),MATCH(J$1,'HS Codes'!$D$1:$K$1,0)),"")</f>
        <v>0</v>
      </c>
      <c r="K1406" s="8" t="str">
        <f>_xlfn.IFNA(INDEX('HS Codes'!$D$2:$K3960,MATCH($B1406,'HS Codes'!$A$2:$A3960,0),MATCH(K$1,'HS Codes'!$D$1:$K$1,0)),"")</f>
        <v>6302.39.00</v>
      </c>
      <c r="L1406" s="8">
        <f>_xlfn.IFNA(INDEX('HS Codes'!$D$2:$K3960,MATCH($B1406,'HS Codes'!$A$2:$A3960,0),MATCH(L$1,'HS Codes'!$D$1:$K$1,0)),"")</f>
        <v>63029120</v>
      </c>
      <c r="M1406" s="8" t="str">
        <f>_xlfn.IFNA(INDEX('HS Codes'!$C$2:$C3960,MATCH($B1406,'HS Codes'!$A$2:$A3960,0)),"")</f>
        <v>Beach Towel - Toilet Linen 100% recycled 220 GSM/83% polyester/17% polyamide includes cotton on the packing pouch drawstring</v>
      </c>
      <c r="N1406" s="9"/>
      <c r="O1406" s="9"/>
      <c r="P1406" s="9"/>
      <c r="Q1406" s="9"/>
    </row>
    <row r="1407" spans="1:17" ht="15.75" customHeight="1">
      <c r="A1407" s="7" t="s">
        <v>1700</v>
      </c>
      <c r="B1407" s="7" t="s">
        <v>164</v>
      </c>
      <c r="C1407" s="7" t="s">
        <v>278</v>
      </c>
      <c r="D1407" s="7" t="s">
        <v>165</v>
      </c>
      <c r="E1407" s="7" t="s">
        <v>348</v>
      </c>
      <c r="F1407" s="8" t="str">
        <f>_xlfn.IFNA(INDEX('HS Codes'!$D$2:$K3961,MATCH($B1407,'HS Codes'!$A$2:$A3961,0),MATCH(F$1,'HS Codes'!$D$1:$K$1,0)),"")</f>
        <v>6302.93.2000</v>
      </c>
      <c r="G1407" s="8">
        <f>_xlfn.IFNA(INDEX('HS Codes'!$D$2:$K3961,MATCH($B1407,'HS Codes'!$A$2:$A3961,0),MATCH(G$1,'HS Codes'!$D$1:$K$1,0)),"")</f>
        <v>6302600090</v>
      </c>
      <c r="H1407" s="8" t="str">
        <f>_xlfn.IFNA(INDEX('HS Codes'!$D$2:$K3961,MATCH($B1407,'HS Codes'!$A$2:$A3961,0),MATCH(H$1,'HS Codes'!$D$1:$K$1,0)),"")</f>
        <v>6302.93.00.00</v>
      </c>
      <c r="I1407" s="8">
        <f>_xlfn.IFNA(INDEX('HS Codes'!$D$2:$K3961,MATCH($B1407,'HS Codes'!$A$2:$A3961,0),MATCH(I$1,'HS Codes'!$D$1:$K$1,0)),"")</f>
        <v>63029390</v>
      </c>
      <c r="J1407" s="8">
        <f>_xlfn.IFNA(INDEX('HS Codes'!$D$2:$K3961,MATCH($B1407,'HS Codes'!$A$2:$A3961,0),MATCH(J$1,'HS Codes'!$D$1:$K$1,0)),"")</f>
        <v>0</v>
      </c>
      <c r="K1407" s="8" t="str">
        <f>_xlfn.IFNA(INDEX('HS Codes'!$D$2:$K3961,MATCH($B1407,'HS Codes'!$A$2:$A3961,0),MATCH(K$1,'HS Codes'!$D$1:$K$1,0)),"")</f>
        <v>6302.39.00</v>
      </c>
      <c r="L1407" s="8">
        <f>_xlfn.IFNA(INDEX('HS Codes'!$D$2:$K3961,MATCH($B1407,'HS Codes'!$A$2:$A3961,0),MATCH(L$1,'HS Codes'!$D$1:$K$1,0)),"")</f>
        <v>63029120</v>
      </c>
      <c r="M1407" s="8" t="str">
        <f>_xlfn.IFNA(INDEX('HS Codes'!$C$2:$C3961,MATCH($B1407,'HS Codes'!$A$2:$A3961,0)),"")</f>
        <v>Beach Towel - Toilet Linen 100% recycled 220 GSM/83% polyester/17% polyamide includes cotton on the packing pouch drawstring</v>
      </c>
      <c r="N1407" s="9"/>
      <c r="O1407" s="9"/>
      <c r="P1407" s="9"/>
      <c r="Q1407" s="9"/>
    </row>
    <row r="1408" spans="1:17" ht="15.75" customHeight="1">
      <c r="A1408" s="7" t="s">
        <v>1701</v>
      </c>
      <c r="B1408" s="7" t="s">
        <v>164</v>
      </c>
      <c r="C1408" s="7" t="s">
        <v>278</v>
      </c>
      <c r="D1408" s="7" t="s">
        <v>165</v>
      </c>
      <c r="E1408" s="7" t="s">
        <v>348</v>
      </c>
      <c r="F1408" s="8" t="str">
        <f>_xlfn.IFNA(INDEX('HS Codes'!$D$2:$K3962,MATCH($B1408,'HS Codes'!$A$2:$A3962,0),MATCH(F$1,'HS Codes'!$D$1:$K$1,0)),"")</f>
        <v>6302.93.2000</v>
      </c>
      <c r="G1408" s="8">
        <f>_xlfn.IFNA(INDEX('HS Codes'!$D$2:$K3962,MATCH($B1408,'HS Codes'!$A$2:$A3962,0),MATCH(G$1,'HS Codes'!$D$1:$K$1,0)),"")</f>
        <v>6302600090</v>
      </c>
      <c r="H1408" s="8" t="str">
        <f>_xlfn.IFNA(INDEX('HS Codes'!$D$2:$K3962,MATCH($B1408,'HS Codes'!$A$2:$A3962,0),MATCH(H$1,'HS Codes'!$D$1:$K$1,0)),"")</f>
        <v>6302.93.00.00</v>
      </c>
      <c r="I1408" s="8">
        <f>_xlfn.IFNA(INDEX('HS Codes'!$D$2:$K3962,MATCH($B1408,'HS Codes'!$A$2:$A3962,0),MATCH(I$1,'HS Codes'!$D$1:$K$1,0)),"")</f>
        <v>63029390</v>
      </c>
      <c r="J1408" s="8">
        <f>_xlfn.IFNA(INDEX('HS Codes'!$D$2:$K3962,MATCH($B1408,'HS Codes'!$A$2:$A3962,0),MATCH(J$1,'HS Codes'!$D$1:$K$1,0)),"")</f>
        <v>0</v>
      </c>
      <c r="K1408" s="8" t="str">
        <f>_xlfn.IFNA(INDEX('HS Codes'!$D$2:$K3962,MATCH($B1408,'HS Codes'!$A$2:$A3962,0),MATCH(K$1,'HS Codes'!$D$1:$K$1,0)),"")</f>
        <v>6302.39.00</v>
      </c>
      <c r="L1408" s="8">
        <f>_xlfn.IFNA(INDEX('HS Codes'!$D$2:$K3962,MATCH($B1408,'HS Codes'!$A$2:$A3962,0),MATCH(L$1,'HS Codes'!$D$1:$K$1,0)),"")</f>
        <v>63029120</v>
      </c>
      <c r="M1408" s="8" t="str">
        <f>_xlfn.IFNA(INDEX('HS Codes'!$C$2:$C3962,MATCH($B1408,'HS Codes'!$A$2:$A3962,0)),"")</f>
        <v>Beach Towel - Toilet Linen 100% recycled 220 GSM/83% polyester/17% polyamide includes cotton on the packing pouch drawstring</v>
      </c>
      <c r="N1408" s="9"/>
      <c r="O1408" s="9"/>
      <c r="P1408" s="9"/>
      <c r="Q1408" s="9"/>
    </row>
    <row r="1409" spans="1:17" ht="15.75" customHeight="1">
      <c r="A1409" s="7" t="s">
        <v>1702</v>
      </c>
      <c r="B1409" s="7" t="s">
        <v>164</v>
      </c>
      <c r="C1409" s="7" t="s">
        <v>278</v>
      </c>
      <c r="D1409" s="7" t="s">
        <v>165</v>
      </c>
      <c r="E1409" s="7" t="s">
        <v>348</v>
      </c>
      <c r="F1409" s="8" t="str">
        <f>_xlfn.IFNA(INDEX('HS Codes'!$D$2:$K3963,MATCH($B1409,'HS Codes'!$A$2:$A3963,0),MATCH(F$1,'HS Codes'!$D$1:$K$1,0)),"")</f>
        <v>6302.93.2000</v>
      </c>
      <c r="G1409" s="8">
        <f>_xlfn.IFNA(INDEX('HS Codes'!$D$2:$K3963,MATCH($B1409,'HS Codes'!$A$2:$A3963,0),MATCH(G$1,'HS Codes'!$D$1:$K$1,0)),"")</f>
        <v>6302600090</v>
      </c>
      <c r="H1409" s="8" t="str">
        <f>_xlfn.IFNA(INDEX('HS Codes'!$D$2:$K3963,MATCH($B1409,'HS Codes'!$A$2:$A3963,0),MATCH(H$1,'HS Codes'!$D$1:$K$1,0)),"")</f>
        <v>6302.93.00.00</v>
      </c>
      <c r="I1409" s="8">
        <f>_xlfn.IFNA(INDEX('HS Codes'!$D$2:$K3963,MATCH($B1409,'HS Codes'!$A$2:$A3963,0),MATCH(I$1,'HS Codes'!$D$1:$K$1,0)),"")</f>
        <v>63029390</v>
      </c>
      <c r="J1409" s="8">
        <f>_xlfn.IFNA(INDEX('HS Codes'!$D$2:$K3963,MATCH($B1409,'HS Codes'!$A$2:$A3963,0),MATCH(J$1,'HS Codes'!$D$1:$K$1,0)),"")</f>
        <v>0</v>
      </c>
      <c r="K1409" s="8" t="str">
        <f>_xlfn.IFNA(INDEX('HS Codes'!$D$2:$K3963,MATCH($B1409,'HS Codes'!$A$2:$A3963,0),MATCH(K$1,'HS Codes'!$D$1:$K$1,0)),"")</f>
        <v>6302.39.00</v>
      </c>
      <c r="L1409" s="8">
        <f>_xlfn.IFNA(INDEX('HS Codes'!$D$2:$K3963,MATCH($B1409,'HS Codes'!$A$2:$A3963,0),MATCH(L$1,'HS Codes'!$D$1:$K$1,0)),"")</f>
        <v>63029120</v>
      </c>
      <c r="M1409" s="8" t="str">
        <f>_xlfn.IFNA(INDEX('HS Codes'!$C$2:$C3963,MATCH($B1409,'HS Codes'!$A$2:$A3963,0)),"")</f>
        <v>Beach Towel - Toilet Linen 100% recycled 220 GSM/83% polyester/17% polyamide includes cotton on the packing pouch drawstring</v>
      </c>
      <c r="N1409" s="9"/>
      <c r="O1409" s="9"/>
      <c r="P1409" s="9"/>
      <c r="Q1409" s="9"/>
    </row>
    <row r="1410" spans="1:17" ht="15.75" customHeight="1">
      <c r="A1410" s="7" t="s">
        <v>1703</v>
      </c>
      <c r="B1410" s="7" t="s">
        <v>164</v>
      </c>
      <c r="C1410" s="7" t="s">
        <v>278</v>
      </c>
      <c r="D1410" s="7" t="s">
        <v>165</v>
      </c>
      <c r="E1410" s="7" t="s">
        <v>348</v>
      </c>
      <c r="F1410" s="8" t="str">
        <f>_xlfn.IFNA(INDEX('HS Codes'!$D$2:$K3964,MATCH($B1410,'HS Codes'!$A$2:$A3964,0),MATCH(F$1,'HS Codes'!$D$1:$K$1,0)),"")</f>
        <v>6302.93.2000</v>
      </c>
      <c r="G1410" s="8">
        <f>_xlfn.IFNA(INDEX('HS Codes'!$D$2:$K3964,MATCH($B1410,'HS Codes'!$A$2:$A3964,0),MATCH(G$1,'HS Codes'!$D$1:$K$1,0)),"")</f>
        <v>6302600090</v>
      </c>
      <c r="H1410" s="8" t="str">
        <f>_xlfn.IFNA(INDEX('HS Codes'!$D$2:$K3964,MATCH($B1410,'HS Codes'!$A$2:$A3964,0),MATCH(H$1,'HS Codes'!$D$1:$K$1,0)),"")</f>
        <v>6302.93.00.00</v>
      </c>
      <c r="I1410" s="8">
        <f>_xlfn.IFNA(INDEX('HS Codes'!$D$2:$K3964,MATCH($B1410,'HS Codes'!$A$2:$A3964,0),MATCH(I$1,'HS Codes'!$D$1:$K$1,0)),"")</f>
        <v>63029390</v>
      </c>
      <c r="J1410" s="8">
        <f>_xlfn.IFNA(INDEX('HS Codes'!$D$2:$K3964,MATCH($B1410,'HS Codes'!$A$2:$A3964,0),MATCH(J$1,'HS Codes'!$D$1:$K$1,0)),"")</f>
        <v>0</v>
      </c>
      <c r="K1410" s="8" t="str">
        <f>_xlfn.IFNA(INDEX('HS Codes'!$D$2:$K3964,MATCH($B1410,'HS Codes'!$A$2:$A3964,0),MATCH(K$1,'HS Codes'!$D$1:$K$1,0)),"")</f>
        <v>6302.39.00</v>
      </c>
      <c r="L1410" s="8">
        <f>_xlfn.IFNA(INDEX('HS Codes'!$D$2:$K3964,MATCH($B1410,'HS Codes'!$A$2:$A3964,0),MATCH(L$1,'HS Codes'!$D$1:$K$1,0)),"")</f>
        <v>63029120</v>
      </c>
      <c r="M1410" s="8" t="str">
        <f>_xlfn.IFNA(INDEX('HS Codes'!$C$2:$C3964,MATCH($B1410,'HS Codes'!$A$2:$A3964,0)),"")</f>
        <v>Beach Towel - Toilet Linen 100% recycled 220 GSM/83% polyester/17% polyamide includes cotton on the packing pouch drawstring</v>
      </c>
      <c r="N1410" s="9"/>
      <c r="O1410" s="9"/>
      <c r="P1410" s="9"/>
      <c r="Q1410" s="9"/>
    </row>
    <row r="1411" spans="1:17" ht="15.75" customHeight="1">
      <c r="A1411" s="7" t="s">
        <v>1704</v>
      </c>
      <c r="B1411" s="7" t="s">
        <v>164</v>
      </c>
      <c r="C1411" s="7" t="s">
        <v>278</v>
      </c>
      <c r="D1411" s="7" t="s">
        <v>165</v>
      </c>
      <c r="E1411" s="7" t="s">
        <v>348</v>
      </c>
      <c r="F1411" s="8" t="str">
        <f>_xlfn.IFNA(INDEX('HS Codes'!$D$2:$K3965,MATCH($B1411,'HS Codes'!$A$2:$A3965,0),MATCH(F$1,'HS Codes'!$D$1:$K$1,0)),"")</f>
        <v>6302.93.2000</v>
      </c>
      <c r="G1411" s="8">
        <f>_xlfn.IFNA(INDEX('HS Codes'!$D$2:$K3965,MATCH($B1411,'HS Codes'!$A$2:$A3965,0),MATCH(G$1,'HS Codes'!$D$1:$K$1,0)),"")</f>
        <v>6302600090</v>
      </c>
      <c r="H1411" s="8" t="str">
        <f>_xlfn.IFNA(INDEX('HS Codes'!$D$2:$K3965,MATCH($B1411,'HS Codes'!$A$2:$A3965,0),MATCH(H$1,'HS Codes'!$D$1:$K$1,0)),"")</f>
        <v>6302.93.00.00</v>
      </c>
      <c r="I1411" s="8">
        <f>_xlfn.IFNA(INDEX('HS Codes'!$D$2:$K3965,MATCH($B1411,'HS Codes'!$A$2:$A3965,0),MATCH(I$1,'HS Codes'!$D$1:$K$1,0)),"")</f>
        <v>63029390</v>
      </c>
      <c r="J1411" s="8">
        <f>_xlfn.IFNA(INDEX('HS Codes'!$D$2:$K3965,MATCH($B1411,'HS Codes'!$A$2:$A3965,0),MATCH(J$1,'HS Codes'!$D$1:$K$1,0)),"")</f>
        <v>0</v>
      </c>
      <c r="K1411" s="8" t="str">
        <f>_xlfn.IFNA(INDEX('HS Codes'!$D$2:$K3965,MATCH($B1411,'HS Codes'!$A$2:$A3965,0),MATCH(K$1,'HS Codes'!$D$1:$K$1,0)),"")</f>
        <v>6302.39.00</v>
      </c>
      <c r="L1411" s="8">
        <f>_xlfn.IFNA(INDEX('HS Codes'!$D$2:$K3965,MATCH($B1411,'HS Codes'!$A$2:$A3965,0),MATCH(L$1,'HS Codes'!$D$1:$K$1,0)),"")</f>
        <v>63029120</v>
      </c>
      <c r="M1411" s="8" t="str">
        <f>_xlfn.IFNA(INDEX('HS Codes'!$C$2:$C3965,MATCH($B1411,'HS Codes'!$A$2:$A3965,0)),"")</f>
        <v>Beach Towel - Toilet Linen 100% recycled 220 GSM/83% polyester/17% polyamide includes cotton on the packing pouch drawstring</v>
      </c>
      <c r="N1411" s="9"/>
      <c r="O1411" s="9"/>
      <c r="P1411" s="9"/>
      <c r="Q1411" s="9"/>
    </row>
    <row r="1412" spans="1:17" ht="15.75" customHeight="1">
      <c r="A1412" s="7" t="s">
        <v>1705</v>
      </c>
      <c r="B1412" s="7" t="s">
        <v>164</v>
      </c>
      <c r="C1412" s="7" t="s">
        <v>278</v>
      </c>
      <c r="D1412" s="7" t="s">
        <v>165</v>
      </c>
      <c r="E1412" s="7" t="s">
        <v>348</v>
      </c>
      <c r="F1412" s="8" t="str">
        <f>_xlfn.IFNA(INDEX('HS Codes'!$D$2:$K3966,MATCH($B1412,'HS Codes'!$A$2:$A3966,0),MATCH(F$1,'HS Codes'!$D$1:$K$1,0)),"")</f>
        <v>6302.93.2000</v>
      </c>
      <c r="G1412" s="8">
        <f>_xlfn.IFNA(INDEX('HS Codes'!$D$2:$K3966,MATCH($B1412,'HS Codes'!$A$2:$A3966,0),MATCH(G$1,'HS Codes'!$D$1:$K$1,0)),"")</f>
        <v>6302600090</v>
      </c>
      <c r="H1412" s="8" t="str">
        <f>_xlfn.IFNA(INDEX('HS Codes'!$D$2:$K3966,MATCH($B1412,'HS Codes'!$A$2:$A3966,0),MATCH(H$1,'HS Codes'!$D$1:$K$1,0)),"")</f>
        <v>6302.93.00.00</v>
      </c>
      <c r="I1412" s="8">
        <f>_xlfn.IFNA(INDEX('HS Codes'!$D$2:$K3966,MATCH($B1412,'HS Codes'!$A$2:$A3966,0),MATCH(I$1,'HS Codes'!$D$1:$K$1,0)),"")</f>
        <v>63029390</v>
      </c>
      <c r="J1412" s="8">
        <f>_xlfn.IFNA(INDEX('HS Codes'!$D$2:$K3966,MATCH($B1412,'HS Codes'!$A$2:$A3966,0),MATCH(J$1,'HS Codes'!$D$1:$K$1,0)),"")</f>
        <v>0</v>
      </c>
      <c r="K1412" s="8" t="str">
        <f>_xlfn.IFNA(INDEX('HS Codes'!$D$2:$K3966,MATCH($B1412,'HS Codes'!$A$2:$A3966,0),MATCH(K$1,'HS Codes'!$D$1:$K$1,0)),"")</f>
        <v>6302.39.00</v>
      </c>
      <c r="L1412" s="8">
        <f>_xlfn.IFNA(INDEX('HS Codes'!$D$2:$K3966,MATCH($B1412,'HS Codes'!$A$2:$A3966,0),MATCH(L$1,'HS Codes'!$D$1:$K$1,0)),"")</f>
        <v>63029120</v>
      </c>
      <c r="M1412" s="8" t="str">
        <f>_xlfn.IFNA(INDEX('HS Codes'!$C$2:$C3966,MATCH($B1412,'HS Codes'!$A$2:$A3966,0)),"")</f>
        <v>Beach Towel - Toilet Linen 100% recycled 220 GSM/83% polyester/17% polyamide includes cotton on the packing pouch drawstring</v>
      </c>
      <c r="N1412" s="9"/>
      <c r="O1412" s="9"/>
      <c r="P1412" s="9"/>
      <c r="Q1412" s="9"/>
    </row>
    <row r="1413" spans="1:17" ht="15.75" customHeight="1">
      <c r="A1413" s="7" t="s">
        <v>1706</v>
      </c>
      <c r="B1413" s="7" t="s">
        <v>164</v>
      </c>
      <c r="C1413" s="7" t="s">
        <v>278</v>
      </c>
      <c r="D1413" s="7" t="s">
        <v>165</v>
      </c>
      <c r="E1413" s="7" t="s">
        <v>348</v>
      </c>
      <c r="F1413" s="8" t="str">
        <f>_xlfn.IFNA(INDEX('HS Codes'!$D$2:$K3967,MATCH($B1413,'HS Codes'!$A$2:$A3967,0),MATCH(F$1,'HS Codes'!$D$1:$K$1,0)),"")</f>
        <v>6302.93.2000</v>
      </c>
      <c r="G1413" s="8">
        <f>_xlfn.IFNA(INDEX('HS Codes'!$D$2:$K3967,MATCH($B1413,'HS Codes'!$A$2:$A3967,0),MATCH(G$1,'HS Codes'!$D$1:$K$1,0)),"")</f>
        <v>6302600090</v>
      </c>
      <c r="H1413" s="8" t="str">
        <f>_xlfn.IFNA(INDEX('HS Codes'!$D$2:$K3967,MATCH($B1413,'HS Codes'!$A$2:$A3967,0),MATCH(H$1,'HS Codes'!$D$1:$K$1,0)),"")</f>
        <v>6302.93.00.00</v>
      </c>
      <c r="I1413" s="8">
        <f>_xlfn.IFNA(INDEX('HS Codes'!$D$2:$K3967,MATCH($B1413,'HS Codes'!$A$2:$A3967,0),MATCH(I$1,'HS Codes'!$D$1:$K$1,0)),"")</f>
        <v>63029390</v>
      </c>
      <c r="J1413" s="8">
        <f>_xlfn.IFNA(INDEX('HS Codes'!$D$2:$K3967,MATCH($B1413,'HS Codes'!$A$2:$A3967,0),MATCH(J$1,'HS Codes'!$D$1:$K$1,0)),"")</f>
        <v>0</v>
      </c>
      <c r="K1413" s="8" t="str">
        <f>_xlfn.IFNA(INDEX('HS Codes'!$D$2:$K3967,MATCH($B1413,'HS Codes'!$A$2:$A3967,0),MATCH(K$1,'HS Codes'!$D$1:$K$1,0)),"")</f>
        <v>6302.39.00</v>
      </c>
      <c r="L1413" s="8">
        <f>_xlfn.IFNA(INDEX('HS Codes'!$D$2:$K3967,MATCH($B1413,'HS Codes'!$A$2:$A3967,0),MATCH(L$1,'HS Codes'!$D$1:$K$1,0)),"")</f>
        <v>63029120</v>
      </c>
      <c r="M1413" s="8" t="str">
        <f>_xlfn.IFNA(INDEX('HS Codes'!$C$2:$C3967,MATCH($B1413,'HS Codes'!$A$2:$A3967,0)),"")</f>
        <v>Beach Towel - Toilet Linen 100% recycled 220 GSM/83% polyester/17% polyamide includes cotton on the packing pouch drawstring</v>
      </c>
      <c r="N1413" s="9"/>
      <c r="O1413" s="9"/>
      <c r="P1413" s="9"/>
      <c r="Q1413" s="9"/>
    </row>
    <row r="1414" spans="1:17" ht="15.75" customHeight="1">
      <c r="A1414" s="7" t="s">
        <v>1707</v>
      </c>
      <c r="B1414" s="7" t="s">
        <v>164</v>
      </c>
      <c r="C1414" s="7" t="s">
        <v>278</v>
      </c>
      <c r="D1414" s="7" t="s">
        <v>165</v>
      </c>
      <c r="E1414" s="7" t="s">
        <v>348</v>
      </c>
      <c r="F1414" s="8" t="str">
        <f>_xlfn.IFNA(INDEX('HS Codes'!$D$2:$K3968,MATCH($B1414,'HS Codes'!$A$2:$A3968,0),MATCH(F$1,'HS Codes'!$D$1:$K$1,0)),"")</f>
        <v>6302.93.2000</v>
      </c>
      <c r="G1414" s="8">
        <f>_xlfn.IFNA(INDEX('HS Codes'!$D$2:$K3968,MATCH($B1414,'HS Codes'!$A$2:$A3968,0),MATCH(G$1,'HS Codes'!$D$1:$K$1,0)),"")</f>
        <v>6302600090</v>
      </c>
      <c r="H1414" s="8" t="str">
        <f>_xlfn.IFNA(INDEX('HS Codes'!$D$2:$K3968,MATCH($B1414,'HS Codes'!$A$2:$A3968,0),MATCH(H$1,'HS Codes'!$D$1:$K$1,0)),"")</f>
        <v>6302.93.00.00</v>
      </c>
      <c r="I1414" s="8">
        <f>_xlfn.IFNA(INDEX('HS Codes'!$D$2:$K3968,MATCH($B1414,'HS Codes'!$A$2:$A3968,0),MATCH(I$1,'HS Codes'!$D$1:$K$1,0)),"")</f>
        <v>63029390</v>
      </c>
      <c r="J1414" s="8">
        <f>_xlfn.IFNA(INDEX('HS Codes'!$D$2:$K3968,MATCH($B1414,'HS Codes'!$A$2:$A3968,0),MATCH(J$1,'HS Codes'!$D$1:$K$1,0)),"")</f>
        <v>0</v>
      </c>
      <c r="K1414" s="8" t="str">
        <f>_xlfn.IFNA(INDEX('HS Codes'!$D$2:$K3968,MATCH($B1414,'HS Codes'!$A$2:$A3968,0),MATCH(K$1,'HS Codes'!$D$1:$K$1,0)),"")</f>
        <v>6302.39.00</v>
      </c>
      <c r="L1414" s="8">
        <f>_xlfn.IFNA(INDEX('HS Codes'!$D$2:$K3968,MATCH($B1414,'HS Codes'!$A$2:$A3968,0),MATCH(L$1,'HS Codes'!$D$1:$K$1,0)),"")</f>
        <v>63029120</v>
      </c>
      <c r="M1414" s="8" t="str">
        <f>_xlfn.IFNA(INDEX('HS Codes'!$C$2:$C3968,MATCH($B1414,'HS Codes'!$A$2:$A3968,0)),"")</f>
        <v>Beach Towel - Toilet Linen 100% recycled 220 GSM/83% polyester/17% polyamide includes cotton on the packing pouch drawstring</v>
      </c>
      <c r="N1414" s="9"/>
      <c r="O1414" s="9"/>
      <c r="P1414" s="9"/>
      <c r="Q1414" s="9"/>
    </row>
    <row r="1415" spans="1:17" ht="15.75" customHeight="1">
      <c r="A1415" s="7" t="s">
        <v>1708</v>
      </c>
      <c r="B1415" s="7" t="s">
        <v>164</v>
      </c>
      <c r="C1415" s="7" t="s">
        <v>278</v>
      </c>
      <c r="D1415" s="7" t="s">
        <v>165</v>
      </c>
      <c r="E1415" s="7" t="s">
        <v>348</v>
      </c>
      <c r="F1415" s="8" t="str">
        <f>_xlfn.IFNA(INDEX('HS Codes'!$D$2:$K3969,MATCH($B1415,'HS Codes'!$A$2:$A3969,0),MATCH(F$1,'HS Codes'!$D$1:$K$1,0)),"")</f>
        <v>6302.93.2000</v>
      </c>
      <c r="G1415" s="8">
        <f>_xlfn.IFNA(INDEX('HS Codes'!$D$2:$K3969,MATCH($B1415,'HS Codes'!$A$2:$A3969,0),MATCH(G$1,'HS Codes'!$D$1:$K$1,0)),"")</f>
        <v>6302600090</v>
      </c>
      <c r="H1415" s="8" t="str">
        <f>_xlfn.IFNA(INDEX('HS Codes'!$D$2:$K3969,MATCH($B1415,'HS Codes'!$A$2:$A3969,0),MATCH(H$1,'HS Codes'!$D$1:$K$1,0)),"")</f>
        <v>6302.93.00.00</v>
      </c>
      <c r="I1415" s="8">
        <f>_xlfn.IFNA(INDEX('HS Codes'!$D$2:$K3969,MATCH($B1415,'HS Codes'!$A$2:$A3969,0),MATCH(I$1,'HS Codes'!$D$1:$K$1,0)),"")</f>
        <v>63029390</v>
      </c>
      <c r="J1415" s="8">
        <f>_xlfn.IFNA(INDEX('HS Codes'!$D$2:$K3969,MATCH($B1415,'HS Codes'!$A$2:$A3969,0),MATCH(J$1,'HS Codes'!$D$1:$K$1,0)),"")</f>
        <v>0</v>
      </c>
      <c r="K1415" s="8" t="str">
        <f>_xlfn.IFNA(INDEX('HS Codes'!$D$2:$K3969,MATCH($B1415,'HS Codes'!$A$2:$A3969,0),MATCH(K$1,'HS Codes'!$D$1:$K$1,0)),"")</f>
        <v>6302.39.00</v>
      </c>
      <c r="L1415" s="8">
        <f>_xlfn.IFNA(INDEX('HS Codes'!$D$2:$K3969,MATCH($B1415,'HS Codes'!$A$2:$A3969,0),MATCH(L$1,'HS Codes'!$D$1:$K$1,0)),"")</f>
        <v>63029120</v>
      </c>
      <c r="M1415" s="8" t="str">
        <f>_xlfn.IFNA(INDEX('HS Codes'!$C$2:$C3969,MATCH($B1415,'HS Codes'!$A$2:$A3969,0)),"")</f>
        <v>Beach Towel - Toilet Linen 100% recycled 220 GSM/83% polyester/17% polyamide includes cotton on the packing pouch drawstring</v>
      </c>
      <c r="N1415" s="9"/>
      <c r="O1415" s="9"/>
      <c r="P1415" s="9"/>
      <c r="Q1415" s="9"/>
    </row>
    <row r="1416" spans="1:17" ht="15.75" customHeight="1">
      <c r="A1416" s="7" t="s">
        <v>1709</v>
      </c>
      <c r="B1416" s="7" t="s">
        <v>164</v>
      </c>
      <c r="C1416" s="7" t="s">
        <v>278</v>
      </c>
      <c r="D1416" s="7" t="s">
        <v>165</v>
      </c>
      <c r="E1416" s="7" t="s">
        <v>348</v>
      </c>
      <c r="F1416" s="8" t="str">
        <f>_xlfn.IFNA(INDEX('HS Codes'!$D$2:$K3970,MATCH($B1416,'HS Codes'!$A$2:$A3970,0),MATCH(F$1,'HS Codes'!$D$1:$K$1,0)),"")</f>
        <v>6302.93.2000</v>
      </c>
      <c r="G1416" s="8">
        <f>_xlfn.IFNA(INDEX('HS Codes'!$D$2:$K3970,MATCH($B1416,'HS Codes'!$A$2:$A3970,0),MATCH(G$1,'HS Codes'!$D$1:$K$1,0)),"")</f>
        <v>6302600090</v>
      </c>
      <c r="H1416" s="8" t="str">
        <f>_xlfn.IFNA(INDEX('HS Codes'!$D$2:$K3970,MATCH($B1416,'HS Codes'!$A$2:$A3970,0),MATCH(H$1,'HS Codes'!$D$1:$K$1,0)),"")</f>
        <v>6302.93.00.00</v>
      </c>
      <c r="I1416" s="8">
        <f>_xlfn.IFNA(INDEX('HS Codes'!$D$2:$K3970,MATCH($B1416,'HS Codes'!$A$2:$A3970,0),MATCH(I$1,'HS Codes'!$D$1:$K$1,0)),"")</f>
        <v>63029390</v>
      </c>
      <c r="J1416" s="8">
        <f>_xlfn.IFNA(INDEX('HS Codes'!$D$2:$K3970,MATCH($B1416,'HS Codes'!$A$2:$A3970,0),MATCH(J$1,'HS Codes'!$D$1:$K$1,0)),"")</f>
        <v>0</v>
      </c>
      <c r="K1416" s="8" t="str">
        <f>_xlfn.IFNA(INDEX('HS Codes'!$D$2:$K3970,MATCH($B1416,'HS Codes'!$A$2:$A3970,0),MATCH(K$1,'HS Codes'!$D$1:$K$1,0)),"")</f>
        <v>6302.39.00</v>
      </c>
      <c r="L1416" s="8">
        <f>_xlfn.IFNA(INDEX('HS Codes'!$D$2:$K3970,MATCH($B1416,'HS Codes'!$A$2:$A3970,0),MATCH(L$1,'HS Codes'!$D$1:$K$1,0)),"")</f>
        <v>63029120</v>
      </c>
      <c r="M1416" s="8" t="str">
        <f>_xlfn.IFNA(INDEX('HS Codes'!$C$2:$C3970,MATCH($B1416,'HS Codes'!$A$2:$A3970,0)),"")</f>
        <v>Beach Towel - Toilet Linen 100% recycled 220 GSM/83% polyester/17% polyamide includes cotton on the packing pouch drawstring</v>
      </c>
      <c r="N1416" s="9"/>
      <c r="O1416" s="9"/>
      <c r="P1416" s="9"/>
      <c r="Q1416" s="9"/>
    </row>
    <row r="1417" spans="1:17" ht="15.75" customHeight="1">
      <c r="A1417" s="7" t="s">
        <v>1710</v>
      </c>
      <c r="B1417" s="7" t="s">
        <v>164</v>
      </c>
      <c r="C1417" s="7" t="s">
        <v>278</v>
      </c>
      <c r="D1417" s="7" t="s">
        <v>165</v>
      </c>
      <c r="E1417" s="7" t="s">
        <v>348</v>
      </c>
      <c r="F1417" s="8" t="str">
        <f>_xlfn.IFNA(INDEX('HS Codes'!$D$2:$K3971,MATCH($B1417,'HS Codes'!$A$2:$A3971,0),MATCH(F$1,'HS Codes'!$D$1:$K$1,0)),"")</f>
        <v>6302.93.2000</v>
      </c>
      <c r="G1417" s="8">
        <f>_xlfn.IFNA(INDEX('HS Codes'!$D$2:$K3971,MATCH($B1417,'HS Codes'!$A$2:$A3971,0),MATCH(G$1,'HS Codes'!$D$1:$K$1,0)),"")</f>
        <v>6302600090</v>
      </c>
      <c r="H1417" s="8" t="str">
        <f>_xlfn.IFNA(INDEX('HS Codes'!$D$2:$K3971,MATCH($B1417,'HS Codes'!$A$2:$A3971,0),MATCH(H$1,'HS Codes'!$D$1:$K$1,0)),"")</f>
        <v>6302.93.00.00</v>
      </c>
      <c r="I1417" s="8">
        <f>_xlfn.IFNA(INDEX('HS Codes'!$D$2:$K3971,MATCH($B1417,'HS Codes'!$A$2:$A3971,0),MATCH(I$1,'HS Codes'!$D$1:$K$1,0)),"")</f>
        <v>63029390</v>
      </c>
      <c r="J1417" s="8">
        <f>_xlfn.IFNA(INDEX('HS Codes'!$D$2:$K3971,MATCH($B1417,'HS Codes'!$A$2:$A3971,0),MATCH(J$1,'HS Codes'!$D$1:$K$1,0)),"")</f>
        <v>0</v>
      </c>
      <c r="K1417" s="8" t="str">
        <f>_xlfn.IFNA(INDEX('HS Codes'!$D$2:$K3971,MATCH($B1417,'HS Codes'!$A$2:$A3971,0),MATCH(K$1,'HS Codes'!$D$1:$K$1,0)),"")</f>
        <v>6302.39.00</v>
      </c>
      <c r="L1417" s="8">
        <f>_xlfn.IFNA(INDEX('HS Codes'!$D$2:$K3971,MATCH($B1417,'HS Codes'!$A$2:$A3971,0),MATCH(L$1,'HS Codes'!$D$1:$K$1,0)),"")</f>
        <v>63029120</v>
      </c>
      <c r="M1417" s="8" t="str">
        <f>_xlfn.IFNA(INDEX('HS Codes'!$C$2:$C3971,MATCH($B1417,'HS Codes'!$A$2:$A3971,0)),"")</f>
        <v>Beach Towel - Toilet Linen 100% recycled 220 GSM/83% polyester/17% polyamide includes cotton on the packing pouch drawstring</v>
      </c>
      <c r="N1417" s="9"/>
      <c r="O1417" s="9"/>
      <c r="P1417" s="9"/>
      <c r="Q1417" s="9"/>
    </row>
    <row r="1418" spans="1:17" ht="15.75" customHeight="1">
      <c r="A1418" s="7" t="s">
        <v>1711</v>
      </c>
      <c r="B1418" s="7" t="s">
        <v>164</v>
      </c>
      <c r="C1418" s="7" t="s">
        <v>278</v>
      </c>
      <c r="D1418" s="7" t="s">
        <v>165</v>
      </c>
      <c r="E1418" s="7" t="s">
        <v>348</v>
      </c>
      <c r="F1418" s="8" t="str">
        <f>_xlfn.IFNA(INDEX('HS Codes'!$D$2:$K3972,MATCH($B1418,'HS Codes'!$A$2:$A3972,0),MATCH(F$1,'HS Codes'!$D$1:$K$1,0)),"")</f>
        <v>6302.93.2000</v>
      </c>
      <c r="G1418" s="8">
        <f>_xlfn.IFNA(INDEX('HS Codes'!$D$2:$K3972,MATCH($B1418,'HS Codes'!$A$2:$A3972,0),MATCH(G$1,'HS Codes'!$D$1:$K$1,0)),"")</f>
        <v>6302600090</v>
      </c>
      <c r="H1418" s="8" t="str">
        <f>_xlfn.IFNA(INDEX('HS Codes'!$D$2:$K3972,MATCH($B1418,'HS Codes'!$A$2:$A3972,0),MATCH(H$1,'HS Codes'!$D$1:$K$1,0)),"")</f>
        <v>6302.93.00.00</v>
      </c>
      <c r="I1418" s="8">
        <f>_xlfn.IFNA(INDEX('HS Codes'!$D$2:$K3972,MATCH($B1418,'HS Codes'!$A$2:$A3972,0),MATCH(I$1,'HS Codes'!$D$1:$K$1,0)),"")</f>
        <v>63029390</v>
      </c>
      <c r="J1418" s="8">
        <f>_xlfn.IFNA(INDEX('HS Codes'!$D$2:$K3972,MATCH($B1418,'HS Codes'!$A$2:$A3972,0),MATCH(J$1,'HS Codes'!$D$1:$K$1,0)),"")</f>
        <v>0</v>
      </c>
      <c r="K1418" s="8" t="str">
        <f>_xlfn.IFNA(INDEX('HS Codes'!$D$2:$K3972,MATCH($B1418,'HS Codes'!$A$2:$A3972,0),MATCH(K$1,'HS Codes'!$D$1:$K$1,0)),"")</f>
        <v>6302.39.00</v>
      </c>
      <c r="L1418" s="8">
        <f>_xlfn.IFNA(INDEX('HS Codes'!$D$2:$K3972,MATCH($B1418,'HS Codes'!$A$2:$A3972,0),MATCH(L$1,'HS Codes'!$D$1:$K$1,0)),"")</f>
        <v>63029120</v>
      </c>
      <c r="M1418" s="8" t="str">
        <f>_xlfn.IFNA(INDEX('HS Codes'!$C$2:$C3972,MATCH($B1418,'HS Codes'!$A$2:$A3972,0)),"")</f>
        <v>Beach Towel - Toilet Linen 100% recycled 220 GSM/83% polyester/17% polyamide includes cotton on the packing pouch drawstring</v>
      </c>
      <c r="N1418" s="9"/>
      <c r="O1418" s="9"/>
      <c r="P1418" s="9"/>
      <c r="Q1418" s="9"/>
    </row>
    <row r="1419" spans="1:17" ht="15.75" customHeight="1">
      <c r="A1419" s="7" t="s">
        <v>1712</v>
      </c>
      <c r="B1419" s="7" t="s">
        <v>164</v>
      </c>
      <c r="C1419" s="7" t="s">
        <v>278</v>
      </c>
      <c r="D1419" s="7" t="s">
        <v>165</v>
      </c>
      <c r="E1419" s="7" t="s">
        <v>348</v>
      </c>
      <c r="F1419" s="8" t="str">
        <f>_xlfn.IFNA(INDEX('HS Codes'!$D$2:$K3973,MATCH($B1419,'HS Codes'!$A$2:$A3973,0),MATCH(F$1,'HS Codes'!$D$1:$K$1,0)),"")</f>
        <v>6302.93.2000</v>
      </c>
      <c r="G1419" s="8">
        <f>_xlfn.IFNA(INDEX('HS Codes'!$D$2:$K3973,MATCH($B1419,'HS Codes'!$A$2:$A3973,0),MATCH(G$1,'HS Codes'!$D$1:$K$1,0)),"")</f>
        <v>6302600090</v>
      </c>
      <c r="H1419" s="8" t="str">
        <f>_xlfn.IFNA(INDEX('HS Codes'!$D$2:$K3973,MATCH($B1419,'HS Codes'!$A$2:$A3973,0),MATCH(H$1,'HS Codes'!$D$1:$K$1,0)),"")</f>
        <v>6302.93.00.00</v>
      </c>
      <c r="I1419" s="8">
        <f>_xlfn.IFNA(INDEX('HS Codes'!$D$2:$K3973,MATCH($B1419,'HS Codes'!$A$2:$A3973,0),MATCH(I$1,'HS Codes'!$D$1:$K$1,0)),"")</f>
        <v>63029390</v>
      </c>
      <c r="J1419" s="8">
        <f>_xlfn.IFNA(INDEX('HS Codes'!$D$2:$K3973,MATCH($B1419,'HS Codes'!$A$2:$A3973,0),MATCH(J$1,'HS Codes'!$D$1:$K$1,0)),"")</f>
        <v>0</v>
      </c>
      <c r="K1419" s="8" t="str">
        <f>_xlfn.IFNA(INDEX('HS Codes'!$D$2:$K3973,MATCH($B1419,'HS Codes'!$A$2:$A3973,0),MATCH(K$1,'HS Codes'!$D$1:$K$1,0)),"")</f>
        <v>6302.39.00</v>
      </c>
      <c r="L1419" s="8">
        <f>_xlfn.IFNA(INDEX('HS Codes'!$D$2:$K3973,MATCH($B1419,'HS Codes'!$A$2:$A3973,0),MATCH(L$1,'HS Codes'!$D$1:$K$1,0)),"")</f>
        <v>63029120</v>
      </c>
      <c r="M1419" s="8" t="str">
        <f>_xlfn.IFNA(INDEX('HS Codes'!$C$2:$C3973,MATCH($B1419,'HS Codes'!$A$2:$A3973,0)),"")</f>
        <v>Beach Towel - Toilet Linen 100% recycled 220 GSM/83% polyester/17% polyamide includes cotton on the packing pouch drawstring</v>
      </c>
      <c r="N1419" s="9"/>
      <c r="O1419" s="9"/>
      <c r="P1419" s="9"/>
      <c r="Q1419" s="9"/>
    </row>
    <row r="1420" spans="1:17" ht="15.75" customHeight="1">
      <c r="A1420" s="7" t="s">
        <v>1713</v>
      </c>
      <c r="B1420" s="7" t="s">
        <v>164</v>
      </c>
      <c r="C1420" s="7" t="s">
        <v>278</v>
      </c>
      <c r="D1420" s="7" t="s">
        <v>165</v>
      </c>
      <c r="E1420" s="7" t="s">
        <v>348</v>
      </c>
      <c r="F1420" s="8" t="str">
        <f>_xlfn.IFNA(INDEX('HS Codes'!$D$2:$K3974,MATCH($B1420,'HS Codes'!$A$2:$A3974,0),MATCH(F$1,'HS Codes'!$D$1:$K$1,0)),"")</f>
        <v>6302.93.2000</v>
      </c>
      <c r="G1420" s="8">
        <f>_xlfn.IFNA(INDEX('HS Codes'!$D$2:$K3974,MATCH($B1420,'HS Codes'!$A$2:$A3974,0),MATCH(G$1,'HS Codes'!$D$1:$K$1,0)),"")</f>
        <v>6302600090</v>
      </c>
      <c r="H1420" s="8" t="str">
        <f>_xlfn.IFNA(INDEX('HS Codes'!$D$2:$K3974,MATCH($B1420,'HS Codes'!$A$2:$A3974,0),MATCH(H$1,'HS Codes'!$D$1:$K$1,0)),"")</f>
        <v>6302.93.00.00</v>
      </c>
      <c r="I1420" s="8">
        <f>_xlfn.IFNA(INDEX('HS Codes'!$D$2:$K3974,MATCH($B1420,'HS Codes'!$A$2:$A3974,0),MATCH(I$1,'HS Codes'!$D$1:$K$1,0)),"")</f>
        <v>63029390</v>
      </c>
      <c r="J1420" s="8">
        <f>_xlfn.IFNA(INDEX('HS Codes'!$D$2:$K3974,MATCH($B1420,'HS Codes'!$A$2:$A3974,0),MATCH(J$1,'HS Codes'!$D$1:$K$1,0)),"")</f>
        <v>0</v>
      </c>
      <c r="K1420" s="8" t="str">
        <f>_xlfn.IFNA(INDEX('HS Codes'!$D$2:$K3974,MATCH($B1420,'HS Codes'!$A$2:$A3974,0),MATCH(K$1,'HS Codes'!$D$1:$K$1,0)),"")</f>
        <v>6302.39.00</v>
      </c>
      <c r="L1420" s="8">
        <f>_xlfn.IFNA(INDEX('HS Codes'!$D$2:$K3974,MATCH($B1420,'HS Codes'!$A$2:$A3974,0),MATCH(L$1,'HS Codes'!$D$1:$K$1,0)),"")</f>
        <v>63029120</v>
      </c>
      <c r="M1420" s="8" t="str">
        <f>_xlfn.IFNA(INDEX('HS Codes'!$C$2:$C3974,MATCH($B1420,'HS Codes'!$A$2:$A3974,0)),"")</f>
        <v>Beach Towel - Toilet Linen 100% recycled 220 GSM/83% polyester/17% polyamide includes cotton on the packing pouch drawstring</v>
      </c>
      <c r="N1420" s="9"/>
      <c r="O1420" s="9"/>
      <c r="P1420" s="9"/>
      <c r="Q1420" s="9"/>
    </row>
    <row r="1421" spans="1:17" ht="15.75" customHeight="1">
      <c r="A1421" s="7" t="s">
        <v>1714</v>
      </c>
      <c r="B1421" s="7" t="s">
        <v>164</v>
      </c>
      <c r="C1421" s="7" t="s">
        <v>278</v>
      </c>
      <c r="D1421" s="7" t="s">
        <v>165</v>
      </c>
      <c r="E1421" s="7" t="s">
        <v>348</v>
      </c>
      <c r="F1421" s="8" t="str">
        <f>_xlfn.IFNA(INDEX('HS Codes'!$D$2:$K3975,MATCH($B1421,'HS Codes'!$A$2:$A3975,0),MATCH(F$1,'HS Codes'!$D$1:$K$1,0)),"")</f>
        <v>6302.93.2000</v>
      </c>
      <c r="G1421" s="8">
        <f>_xlfn.IFNA(INDEX('HS Codes'!$D$2:$K3975,MATCH($B1421,'HS Codes'!$A$2:$A3975,0),MATCH(G$1,'HS Codes'!$D$1:$K$1,0)),"")</f>
        <v>6302600090</v>
      </c>
      <c r="H1421" s="8" t="str">
        <f>_xlfn.IFNA(INDEX('HS Codes'!$D$2:$K3975,MATCH($B1421,'HS Codes'!$A$2:$A3975,0),MATCH(H$1,'HS Codes'!$D$1:$K$1,0)),"")</f>
        <v>6302.93.00.00</v>
      </c>
      <c r="I1421" s="8">
        <f>_xlfn.IFNA(INDEX('HS Codes'!$D$2:$K3975,MATCH($B1421,'HS Codes'!$A$2:$A3975,0),MATCH(I$1,'HS Codes'!$D$1:$K$1,0)),"")</f>
        <v>63029390</v>
      </c>
      <c r="J1421" s="8">
        <f>_xlfn.IFNA(INDEX('HS Codes'!$D$2:$K3975,MATCH($B1421,'HS Codes'!$A$2:$A3975,0),MATCH(J$1,'HS Codes'!$D$1:$K$1,0)),"")</f>
        <v>0</v>
      </c>
      <c r="K1421" s="8" t="str">
        <f>_xlfn.IFNA(INDEX('HS Codes'!$D$2:$K3975,MATCH($B1421,'HS Codes'!$A$2:$A3975,0),MATCH(K$1,'HS Codes'!$D$1:$K$1,0)),"")</f>
        <v>6302.39.00</v>
      </c>
      <c r="L1421" s="8">
        <f>_xlfn.IFNA(INDEX('HS Codes'!$D$2:$K3975,MATCH($B1421,'HS Codes'!$A$2:$A3975,0),MATCH(L$1,'HS Codes'!$D$1:$K$1,0)),"")</f>
        <v>63029120</v>
      </c>
      <c r="M1421" s="8" t="str">
        <f>_xlfn.IFNA(INDEX('HS Codes'!$C$2:$C3975,MATCH($B1421,'HS Codes'!$A$2:$A3975,0)),"")</f>
        <v>Beach Towel - Toilet Linen 100% recycled 220 GSM/83% polyester/17% polyamide includes cotton on the packing pouch drawstring</v>
      </c>
      <c r="N1421" s="9"/>
      <c r="O1421" s="9"/>
      <c r="P1421" s="9"/>
      <c r="Q1421" s="9"/>
    </row>
    <row r="1422" spans="1:17" ht="15.75" customHeight="1">
      <c r="A1422" s="7" t="s">
        <v>1715</v>
      </c>
      <c r="B1422" s="7" t="s">
        <v>164</v>
      </c>
      <c r="C1422" s="7" t="s">
        <v>278</v>
      </c>
      <c r="D1422" s="7" t="s">
        <v>165</v>
      </c>
      <c r="E1422" s="7" t="s">
        <v>348</v>
      </c>
      <c r="F1422" s="8" t="str">
        <f>_xlfn.IFNA(INDEX('HS Codes'!$D$2:$K3976,MATCH($B1422,'HS Codes'!$A$2:$A3976,0),MATCH(F$1,'HS Codes'!$D$1:$K$1,0)),"")</f>
        <v>6302.93.2000</v>
      </c>
      <c r="G1422" s="8">
        <f>_xlfn.IFNA(INDEX('HS Codes'!$D$2:$K3976,MATCH($B1422,'HS Codes'!$A$2:$A3976,0),MATCH(G$1,'HS Codes'!$D$1:$K$1,0)),"")</f>
        <v>6302600090</v>
      </c>
      <c r="H1422" s="8" t="str">
        <f>_xlfn.IFNA(INDEX('HS Codes'!$D$2:$K3976,MATCH($B1422,'HS Codes'!$A$2:$A3976,0),MATCH(H$1,'HS Codes'!$D$1:$K$1,0)),"")</f>
        <v>6302.93.00.00</v>
      </c>
      <c r="I1422" s="8">
        <f>_xlfn.IFNA(INDEX('HS Codes'!$D$2:$K3976,MATCH($B1422,'HS Codes'!$A$2:$A3976,0),MATCH(I$1,'HS Codes'!$D$1:$K$1,0)),"")</f>
        <v>63029390</v>
      </c>
      <c r="J1422" s="8">
        <f>_xlfn.IFNA(INDEX('HS Codes'!$D$2:$K3976,MATCH($B1422,'HS Codes'!$A$2:$A3976,0),MATCH(J$1,'HS Codes'!$D$1:$K$1,0)),"")</f>
        <v>0</v>
      </c>
      <c r="K1422" s="8" t="str">
        <f>_xlfn.IFNA(INDEX('HS Codes'!$D$2:$K3976,MATCH($B1422,'HS Codes'!$A$2:$A3976,0),MATCH(K$1,'HS Codes'!$D$1:$K$1,0)),"")</f>
        <v>6302.39.00</v>
      </c>
      <c r="L1422" s="8">
        <f>_xlfn.IFNA(INDEX('HS Codes'!$D$2:$K3976,MATCH($B1422,'HS Codes'!$A$2:$A3976,0),MATCH(L$1,'HS Codes'!$D$1:$K$1,0)),"")</f>
        <v>63029120</v>
      </c>
      <c r="M1422" s="8" t="str">
        <f>_xlfn.IFNA(INDEX('HS Codes'!$C$2:$C3976,MATCH($B1422,'HS Codes'!$A$2:$A3976,0)),"")</f>
        <v>Beach Towel - Toilet Linen 100% recycled 220 GSM/83% polyester/17% polyamide includes cotton on the packing pouch drawstring</v>
      </c>
      <c r="N1422" s="9"/>
      <c r="O1422" s="9"/>
      <c r="P1422" s="9"/>
      <c r="Q1422" s="9"/>
    </row>
    <row r="1423" spans="1:17" ht="15.75" customHeight="1">
      <c r="A1423" s="7" t="s">
        <v>1716</v>
      </c>
      <c r="B1423" s="7" t="s">
        <v>164</v>
      </c>
      <c r="C1423" s="7" t="s">
        <v>278</v>
      </c>
      <c r="D1423" s="7" t="s">
        <v>165</v>
      </c>
      <c r="E1423" s="7" t="s">
        <v>348</v>
      </c>
      <c r="F1423" s="8" t="str">
        <f>_xlfn.IFNA(INDEX('HS Codes'!$D$2:$K3977,MATCH($B1423,'HS Codes'!$A$2:$A3977,0),MATCH(F$1,'HS Codes'!$D$1:$K$1,0)),"")</f>
        <v>6302.93.2000</v>
      </c>
      <c r="G1423" s="8">
        <f>_xlfn.IFNA(INDEX('HS Codes'!$D$2:$K3977,MATCH($B1423,'HS Codes'!$A$2:$A3977,0),MATCH(G$1,'HS Codes'!$D$1:$K$1,0)),"")</f>
        <v>6302600090</v>
      </c>
      <c r="H1423" s="8" t="str">
        <f>_xlfn.IFNA(INDEX('HS Codes'!$D$2:$K3977,MATCH($B1423,'HS Codes'!$A$2:$A3977,0),MATCH(H$1,'HS Codes'!$D$1:$K$1,0)),"")</f>
        <v>6302.93.00.00</v>
      </c>
      <c r="I1423" s="8">
        <f>_xlfn.IFNA(INDEX('HS Codes'!$D$2:$K3977,MATCH($B1423,'HS Codes'!$A$2:$A3977,0),MATCH(I$1,'HS Codes'!$D$1:$K$1,0)),"")</f>
        <v>63029390</v>
      </c>
      <c r="J1423" s="8">
        <f>_xlfn.IFNA(INDEX('HS Codes'!$D$2:$K3977,MATCH($B1423,'HS Codes'!$A$2:$A3977,0),MATCH(J$1,'HS Codes'!$D$1:$K$1,0)),"")</f>
        <v>0</v>
      </c>
      <c r="K1423" s="8" t="str">
        <f>_xlfn.IFNA(INDEX('HS Codes'!$D$2:$K3977,MATCH($B1423,'HS Codes'!$A$2:$A3977,0),MATCH(K$1,'HS Codes'!$D$1:$K$1,0)),"")</f>
        <v>6302.39.00</v>
      </c>
      <c r="L1423" s="8">
        <f>_xlfn.IFNA(INDEX('HS Codes'!$D$2:$K3977,MATCH($B1423,'HS Codes'!$A$2:$A3977,0),MATCH(L$1,'HS Codes'!$D$1:$K$1,0)),"")</f>
        <v>63029120</v>
      </c>
      <c r="M1423" s="8" t="str">
        <f>_xlfn.IFNA(INDEX('HS Codes'!$C$2:$C3977,MATCH($B1423,'HS Codes'!$A$2:$A3977,0)),"")</f>
        <v>Beach Towel - Toilet Linen 100% recycled 220 GSM/83% polyester/17% polyamide includes cotton on the packing pouch drawstring</v>
      </c>
      <c r="N1423" s="9"/>
      <c r="O1423" s="9"/>
      <c r="P1423" s="9"/>
      <c r="Q1423" s="9"/>
    </row>
    <row r="1424" spans="1:17" ht="15.75" customHeight="1">
      <c r="A1424" s="7" t="s">
        <v>1717</v>
      </c>
      <c r="B1424" s="7" t="s">
        <v>164</v>
      </c>
      <c r="C1424" s="7" t="s">
        <v>278</v>
      </c>
      <c r="D1424" s="7" t="s">
        <v>165</v>
      </c>
      <c r="E1424" s="7" t="s">
        <v>348</v>
      </c>
      <c r="F1424" s="8" t="str">
        <f>_xlfn.IFNA(INDEX('HS Codes'!$D$2:$K3978,MATCH($B1424,'HS Codes'!$A$2:$A3978,0),MATCH(F$1,'HS Codes'!$D$1:$K$1,0)),"")</f>
        <v>6302.93.2000</v>
      </c>
      <c r="G1424" s="8">
        <f>_xlfn.IFNA(INDEX('HS Codes'!$D$2:$K3978,MATCH($B1424,'HS Codes'!$A$2:$A3978,0),MATCH(G$1,'HS Codes'!$D$1:$K$1,0)),"")</f>
        <v>6302600090</v>
      </c>
      <c r="H1424" s="8" t="str">
        <f>_xlfn.IFNA(INDEX('HS Codes'!$D$2:$K3978,MATCH($B1424,'HS Codes'!$A$2:$A3978,0),MATCH(H$1,'HS Codes'!$D$1:$K$1,0)),"")</f>
        <v>6302.93.00.00</v>
      </c>
      <c r="I1424" s="8">
        <f>_xlfn.IFNA(INDEX('HS Codes'!$D$2:$K3978,MATCH($B1424,'HS Codes'!$A$2:$A3978,0),MATCH(I$1,'HS Codes'!$D$1:$K$1,0)),"")</f>
        <v>63029390</v>
      </c>
      <c r="J1424" s="8">
        <f>_xlfn.IFNA(INDEX('HS Codes'!$D$2:$K3978,MATCH($B1424,'HS Codes'!$A$2:$A3978,0),MATCH(J$1,'HS Codes'!$D$1:$K$1,0)),"")</f>
        <v>0</v>
      </c>
      <c r="K1424" s="8" t="str">
        <f>_xlfn.IFNA(INDEX('HS Codes'!$D$2:$K3978,MATCH($B1424,'HS Codes'!$A$2:$A3978,0),MATCH(K$1,'HS Codes'!$D$1:$K$1,0)),"")</f>
        <v>6302.39.00</v>
      </c>
      <c r="L1424" s="8">
        <f>_xlfn.IFNA(INDEX('HS Codes'!$D$2:$K3978,MATCH($B1424,'HS Codes'!$A$2:$A3978,0),MATCH(L$1,'HS Codes'!$D$1:$K$1,0)),"")</f>
        <v>63029120</v>
      </c>
      <c r="M1424" s="8" t="str">
        <f>_xlfn.IFNA(INDEX('HS Codes'!$C$2:$C3978,MATCH($B1424,'HS Codes'!$A$2:$A3978,0)),"")</f>
        <v>Beach Towel - Toilet Linen 100% recycled 220 GSM/83% polyester/17% polyamide includes cotton on the packing pouch drawstring</v>
      </c>
      <c r="N1424" s="9"/>
      <c r="O1424" s="9"/>
      <c r="P1424" s="9"/>
      <c r="Q1424" s="9"/>
    </row>
    <row r="1425" spans="1:17" ht="15.75" customHeight="1">
      <c r="A1425" s="7" t="s">
        <v>1718</v>
      </c>
      <c r="B1425" s="7" t="s">
        <v>164</v>
      </c>
      <c r="C1425" s="7" t="s">
        <v>278</v>
      </c>
      <c r="D1425" s="7" t="s">
        <v>165</v>
      </c>
      <c r="E1425" s="7" t="s">
        <v>348</v>
      </c>
      <c r="F1425" s="8" t="str">
        <f>_xlfn.IFNA(INDEX('HS Codes'!$D$2:$K3979,MATCH($B1425,'HS Codes'!$A$2:$A3979,0),MATCH(F$1,'HS Codes'!$D$1:$K$1,0)),"")</f>
        <v>6302.93.2000</v>
      </c>
      <c r="G1425" s="8">
        <f>_xlfn.IFNA(INDEX('HS Codes'!$D$2:$K3979,MATCH($B1425,'HS Codes'!$A$2:$A3979,0),MATCH(G$1,'HS Codes'!$D$1:$K$1,0)),"")</f>
        <v>6302600090</v>
      </c>
      <c r="H1425" s="8" t="str">
        <f>_xlfn.IFNA(INDEX('HS Codes'!$D$2:$K3979,MATCH($B1425,'HS Codes'!$A$2:$A3979,0),MATCH(H$1,'HS Codes'!$D$1:$K$1,0)),"")</f>
        <v>6302.93.00.00</v>
      </c>
      <c r="I1425" s="8">
        <f>_xlfn.IFNA(INDEX('HS Codes'!$D$2:$K3979,MATCH($B1425,'HS Codes'!$A$2:$A3979,0),MATCH(I$1,'HS Codes'!$D$1:$K$1,0)),"")</f>
        <v>63029390</v>
      </c>
      <c r="J1425" s="8">
        <f>_xlfn.IFNA(INDEX('HS Codes'!$D$2:$K3979,MATCH($B1425,'HS Codes'!$A$2:$A3979,0),MATCH(J$1,'HS Codes'!$D$1:$K$1,0)),"")</f>
        <v>0</v>
      </c>
      <c r="K1425" s="8" t="str">
        <f>_xlfn.IFNA(INDEX('HS Codes'!$D$2:$K3979,MATCH($B1425,'HS Codes'!$A$2:$A3979,0),MATCH(K$1,'HS Codes'!$D$1:$K$1,0)),"")</f>
        <v>6302.39.00</v>
      </c>
      <c r="L1425" s="8">
        <f>_xlfn.IFNA(INDEX('HS Codes'!$D$2:$K3979,MATCH($B1425,'HS Codes'!$A$2:$A3979,0),MATCH(L$1,'HS Codes'!$D$1:$K$1,0)),"")</f>
        <v>63029120</v>
      </c>
      <c r="M1425" s="8" t="str">
        <f>_xlfn.IFNA(INDEX('HS Codes'!$C$2:$C3979,MATCH($B1425,'HS Codes'!$A$2:$A3979,0)),"")</f>
        <v>Beach Towel - Toilet Linen 100% recycled 220 GSM/83% polyester/17% polyamide includes cotton on the packing pouch drawstring</v>
      </c>
      <c r="N1425" s="9"/>
      <c r="O1425" s="9"/>
      <c r="P1425" s="9"/>
      <c r="Q1425" s="9"/>
    </row>
    <row r="1426" spans="1:17" ht="15.75" customHeight="1">
      <c r="A1426" s="7" t="s">
        <v>1719</v>
      </c>
      <c r="B1426" s="7" t="s">
        <v>164</v>
      </c>
      <c r="C1426" s="7" t="s">
        <v>278</v>
      </c>
      <c r="D1426" s="7" t="s">
        <v>165</v>
      </c>
      <c r="E1426" s="7" t="s">
        <v>348</v>
      </c>
      <c r="F1426" s="8" t="str">
        <f>_xlfn.IFNA(INDEX('HS Codes'!$D$2:$K3980,MATCH($B1426,'HS Codes'!$A$2:$A3980,0),MATCH(F$1,'HS Codes'!$D$1:$K$1,0)),"")</f>
        <v>6302.93.2000</v>
      </c>
      <c r="G1426" s="8">
        <f>_xlfn.IFNA(INDEX('HS Codes'!$D$2:$K3980,MATCH($B1426,'HS Codes'!$A$2:$A3980,0),MATCH(G$1,'HS Codes'!$D$1:$K$1,0)),"")</f>
        <v>6302600090</v>
      </c>
      <c r="H1426" s="8" t="str">
        <f>_xlfn.IFNA(INDEX('HS Codes'!$D$2:$K3980,MATCH($B1426,'HS Codes'!$A$2:$A3980,0),MATCH(H$1,'HS Codes'!$D$1:$K$1,0)),"")</f>
        <v>6302.93.00.00</v>
      </c>
      <c r="I1426" s="8">
        <f>_xlfn.IFNA(INDEX('HS Codes'!$D$2:$K3980,MATCH($B1426,'HS Codes'!$A$2:$A3980,0),MATCH(I$1,'HS Codes'!$D$1:$K$1,0)),"")</f>
        <v>63029390</v>
      </c>
      <c r="J1426" s="8">
        <f>_xlfn.IFNA(INDEX('HS Codes'!$D$2:$K3980,MATCH($B1426,'HS Codes'!$A$2:$A3980,0),MATCH(J$1,'HS Codes'!$D$1:$K$1,0)),"")</f>
        <v>0</v>
      </c>
      <c r="K1426" s="8" t="str">
        <f>_xlfn.IFNA(INDEX('HS Codes'!$D$2:$K3980,MATCH($B1426,'HS Codes'!$A$2:$A3980,0),MATCH(K$1,'HS Codes'!$D$1:$K$1,0)),"")</f>
        <v>6302.39.00</v>
      </c>
      <c r="L1426" s="8">
        <f>_xlfn.IFNA(INDEX('HS Codes'!$D$2:$K3980,MATCH($B1426,'HS Codes'!$A$2:$A3980,0),MATCH(L$1,'HS Codes'!$D$1:$K$1,0)),"")</f>
        <v>63029120</v>
      </c>
      <c r="M1426" s="8" t="str">
        <f>_xlfn.IFNA(INDEX('HS Codes'!$C$2:$C3980,MATCH($B1426,'HS Codes'!$A$2:$A3980,0)),"")</f>
        <v>Beach Towel - Toilet Linen 100% recycled 220 GSM/83% polyester/17% polyamide includes cotton on the packing pouch drawstring</v>
      </c>
      <c r="N1426" s="9"/>
      <c r="O1426" s="9"/>
      <c r="P1426" s="9"/>
      <c r="Q1426" s="9"/>
    </row>
    <row r="1427" spans="1:17" ht="15.75" customHeight="1">
      <c r="A1427" s="7" t="s">
        <v>1720</v>
      </c>
      <c r="B1427" s="7" t="s">
        <v>164</v>
      </c>
      <c r="C1427" s="7" t="s">
        <v>278</v>
      </c>
      <c r="D1427" s="7" t="s">
        <v>165</v>
      </c>
      <c r="E1427" s="7" t="s">
        <v>348</v>
      </c>
      <c r="F1427" s="8" t="str">
        <f>_xlfn.IFNA(INDEX('HS Codes'!$D$2:$K3981,MATCH($B1427,'HS Codes'!$A$2:$A3981,0),MATCH(F$1,'HS Codes'!$D$1:$K$1,0)),"")</f>
        <v>6302.93.2000</v>
      </c>
      <c r="G1427" s="8">
        <f>_xlfn.IFNA(INDEX('HS Codes'!$D$2:$K3981,MATCH($B1427,'HS Codes'!$A$2:$A3981,0),MATCH(G$1,'HS Codes'!$D$1:$K$1,0)),"")</f>
        <v>6302600090</v>
      </c>
      <c r="H1427" s="8" t="str">
        <f>_xlfn.IFNA(INDEX('HS Codes'!$D$2:$K3981,MATCH($B1427,'HS Codes'!$A$2:$A3981,0),MATCH(H$1,'HS Codes'!$D$1:$K$1,0)),"")</f>
        <v>6302.93.00.00</v>
      </c>
      <c r="I1427" s="8">
        <f>_xlfn.IFNA(INDEX('HS Codes'!$D$2:$K3981,MATCH($B1427,'HS Codes'!$A$2:$A3981,0),MATCH(I$1,'HS Codes'!$D$1:$K$1,0)),"")</f>
        <v>63029390</v>
      </c>
      <c r="J1427" s="8">
        <f>_xlfn.IFNA(INDEX('HS Codes'!$D$2:$K3981,MATCH($B1427,'HS Codes'!$A$2:$A3981,0),MATCH(J$1,'HS Codes'!$D$1:$K$1,0)),"")</f>
        <v>0</v>
      </c>
      <c r="K1427" s="8" t="str">
        <f>_xlfn.IFNA(INDEX('HS Codes'!$D$2:$K3981,MATCH($B1427,'HS Codes'!$A$2:$A3981,0),MATCH(K$1,'HS Codes'!$D$1:$K$1,0)),"")</f>
        <v>6302.39.00</v>
      </c>
      <c r="L1427" s="8">
        <f>_xlfn.IFNA(INDEX('HS Codes'!$D$2:$K3981,MATCH($B1427,'HS Codes'!$A$2:$A3981,0),MATCH(L$1,'HS Codes'!$D$1:$K$1,0)),"")</f>
        <v>63029120</v>
      </c>
      <c r="M1427" s="8" t="str">
        <f>_xlfn.IFNA(INDEX('HS Codes'!$C$2:$C3981,MATCH($B1427,'HS Codes'!$A$2:$A3981,0)),"")</f>
        <v>Beach Towel - Toilet Linen 100% recycled 220 GSM/83% polyester/17% polyamide includes cotton on the packing pouch drawstring</v>
      </c>
      <c r="N1427" s="9"/>
      <c r="O1427" s="9"/>
      <c r="P1427" s="9"/>
      <c r="Q1427" s="9"/>
    </row>
    <row r="1428" spans="1:17" ht="15.75" customHeight="1">
      <c r="A1428" s="7" t="s">
        <v>1721</v>
      </c>
      <c r="B1428" s="7" t="s">
        <v>164</v>
      </c>
      <c r="C1428" s="7" t="s">
        <v>278</v>
      </c>
      <c r="D1428" s="7" t="s">
        <v>165</v>
      </c>
      <c r="E1428" s="7" t="s">
        <v>348</v>
      </c>
      <c r="F1428" s="8" t="str">
        <f>_xlfn.IFNA(INDEX('HS Codes'!$D$2:$K3982,MATCH($B1428,'HS Codes'!$A$2:$A3982,0),MATCH(F$1,'HS Codes'!$D$1:$K$1,0)),"")</f>
        <v>6302.93.2000</v>
      </c>
      <c r="G1428" s="8">
        <f>_xlfn.IFNA(INDEX('HS Codes'!$D$2:$K3982,MATCH($B1428,'HS Codes'!$A$2:$A3982,0),MATCH(G$1,'HS Codes'!$D$1:$K$1,0)),"")</f>
        <v>6302600090</v>
      </c>
      <c r="H1428" s="8" t="str">
        <f>_xlfn.IFNA(INDEX('HS Codes'!$D$2:$K3982,MATCH($B1428,'HS Codes'!$A$2:$A3982,0),MATCH(H$1,'HS Codes'!$D$1:$K$1,0)),"")</f>
        <v>6302.93.00.00</v>
      </c>
      <c r="I1428" s="8">
        <f>_xlfn.IFNA(INDEX('HS Codes'!$D$2:$K3982,MATCH($B1428,'HS Codes'!$A$2:$A3982,0),MATCH(I$1,'HS Codes'!$D$1:$K$1,0)),"")</f>
        <v>63029390</v>
      </c>
      <c r="J1428" s="8">
        <f>_xlfn.IFNA(INDEX('HS Codes'!$D$2:$K3982,MATCH($B1428,'HS Codes'!$A$2:$A3982,0),MATCH(J$1,'HS Codes'!$D$1:$K$1,0)),"")</f>
        <v>0</v>
      </c>
      <c r="K1428" s="8" t="str">
        <f>_xlfn.IFNA(INDEX('HS Codes'!$D$2:$K3982,MATCH($B1428,'HS Codes'!$A$2:$A3982,0),MATCH(K$1,'HS Codes'!$D$1:$K$1,0)),"")</f>
        <v>6302.39.00</v>
      </c>
      <c r="L1428" s="8">
        <f>_xlfn.IFNA(INDEX('HS Codes'!$D$2:$K3982,MATCH($B1428,'HS Codes'!$A$2:$A3982,0),MATCH(L$1,'HS Codes'!$D$1:$K$1,0)),"")</f>
        <v>63029120</v>
      </c>
      <c r="M1428" s="8" t="str">
        <f>_xlfn.IFNA(INDEX('HS Codes'!$C$2:$C3982,MATCH($B1428,'HS Codes'!$A$2:$A3982,0)),"")</f>
        <v>Beach Towel - Toilet Linen 100% recycled 220 GSM/83% polyester/17% polyamide includes cotton on the packing pouch drawstring</v>
      </c>
      <c r="N1428" s="9"/>
      <c r="O1428" s="9"/>
      <c r="P1428" s="9"/>
      <c r="Q1428" s="9"/>
    </row>
    <row r="1429" spans="1:17" ht="15.75" customHeight="1">
      <c r="A1429" s="7" t="s">
        <v>1722</v>
      </c>
      <c r="B1429" s="7" t="s">
        <v>164</v>
      </c>
      <c r="C1429" s="7" t="s">
        <v>278</v>
      </c>
      <c r="D1429" s="7" t="s">
        <v>165</v>
      </c>
      <c r="E1429" s="7" t="s">
        <v>348</v>
      </c>
      <c r="F1429" s="8" t="str">
        <f>_xlfn.IFNA(INDEX('HS Codes'!$D$2:$K3983,MATCH($B1429,'HS Codes'!$A$2:$A3983,0),MATCH(F$1,'HS Codes'!$D$1:$K$1,0)),"")</f>
        <v>6302.93.2000</v>
      </c>
      <c r="G1429" s="8">
        <f>_xlfn.IFNA(INDEX('HS Codes'!$D$2:$K3983,MATCH($B1429,'HS Codes'!$A$2:$A3983,0),MATCH(G$1,'HS Codes'!$D$1:$K$1,0)),"")</f>
        <v>6302600090</v>
      </c>
      <c r="H1429" s="8" t="str">
        <f>_xlfn.IFNA(INDEX('HS Codes'!$D$2:$K3983,MATCH($B1429,'HS Codes'!$A$2:$A3983,0),MATCH(H$1,'HS Codes'!$D$1:$K$1,0)),"")</f>
        <v>6302.93.00.00</v>
      </c>
      <c r="I1429" s="8">
        <f>_xlfn.IFNA(INDEX('HS Codes'!$D$2:$K3983,MATCH($B1429,'HS Codes'!$A$2:$A3983,0),MATCH(I$1,'HS Codes'!$D$1:$K$1,0)),"")</f>
        <v>63029390</v>
      </c>
      <c r="J1429" s="8">
        <f>_xlfn.IFNA(INDEX('HS Codes'!$D$2:$K3983,MATCH($B1429,'HS Codes'!$A$2:$A3983,0),MATCH(J$1,'HS Codes'!$D$1:$K$1,0)),"")</f>
        <v>0</v>
      </c>
      <c r="K1429" s="8" t="str">
        <f>_xlfn.IFNA(INDEX('HS Codes'!$D$2:$K3983,MATCH($B1429,'HS Codes'!$A$2:$A3983,0),MATCH(K$1,'HS Codes'!$D$1:$K$1,0)),"")</f>
        <v>6302.39.00</v>
      </c>
      <c r="L1429" s="8">
        <f>_xlfn.IFNA(INDEX('HS Codes'!$D$2:$K3983,MATCH($B1429,'HS Codes'!$A$2:$A3983,0),MATCH(L$1,'HS Codes'!$D$1:$K$1,0)),"")</f>
        <v>63029120</v>
      </c>
      <c r="M1429" s="8" t="str">
        <f>_xlfn.IFNA(INDEX('HS Codes'!$C$2:$C3983,MATCH($B1429,'HS Codes'!$A$2:$A3983,0)),"")</f>
        <v>Beach Towel - Toilet Linen 100% recycled 220 GSM/83% polyester/17% polyamide includes cotton on the packing pouch drawstring</v>
      </c>
      <c r="N1429" s="9"/>
      <c r="O1429" s="9"/>
      <c r="P1429" s="9"/>
      <c r="Q1429" s="9"/>
    </row>
    <row r="1430" spans="1:17" ht="15.75" customHeight="1">
      <c r="A1430" s="7" t="s">
        <v>1723</v>
      </c>
      <c r="B1430" s="7" t="s">
        <v>164</v>
      </c>
      <c r="C1430" s="7" t="s">
        <v>278</v>
      </c>
      <c r="D1430" s="7" t="s">
        <v>165</v>
      </c>
      <c r="E1430" s="7" t="s">
        <v>348</v>
      </c>
      <c r="F1430" s="8" t="str">
        <f>_xlfn.IFNA(INDEX('HS Codes'!$D$2:$K3984,MATCH($B1430,'HS Codes'!$A$2:$A3984,0),MATCH(F$1,'HS Codes'!$D$1:$K$1,0)),"")</f>
        <v>6302.93.2000</v>
      </c>
      <c r="G1430" s="8">
        <f>_xlfn.IFNA(INDEX('HS Codes'!$D$2:$K3984,MATCH($B1430,'HS Codes'!$A$2:$A3984,0),MATCH(G$1,'HS Codes'!$D$1:$K$1,0)),"")</f>
        <v>6302600090</v>
      </c>
      <c r="H1430" s="8" t="str">
        <f>_xlfn.IFNA(INDEX('HS Codes'!$D$2:$K3984,MATCH($B1430,'HS Codes'!$A$2:$A3984,0),MATCH(H$1,'HS Codes'!$D$1:$K$1,0)),"")</f>
        <v>6302.93.00.00</v>
      </c>
      <c r="I1430" s="8">
        <f>_xlfn.IFNA(INDEX('HS Codes'!$D$2:$K3984,MATCH($B1430,'HS Codes'!$A$2:$A3984,0),MATCH(I$1,'HS Codes'!$D$1:$K$1,0)),"")</f>
        <v>63029390</v>
      </c>
      <c r="J1430" s="8">
        <f>_xlfn.IFNA(INDEX('HS Codes'!$D$2:$K3984,MATCH($B1430,'HS Codes'!$A$2:$A3984,0),MATCH(J$1,'HS Codes'!$D$1:$K$1,0)),"")</f>
        <v>0</v>
      </c>
      <c r="K1430" s="8" t="str">
        <f>_xlfn.IFNA(INDEX('HS Codes'!$D$2:$K3984,MATCH($B1430,'HS Codes'!$A$2:$A3984,0),MATCH(K$1,'HS Codes'!$D$1:$K$1,0)),"")</f>
        <v>6302.39.00</v>
      </c>
      <c r="L1430" s="8">
        <f>_xlfn.IFNA(INDEX('HS Codes'!$D$2:$K3984,MATCH($B1430,'HS Codes'!$A$2:$A3984,0),MATCH(L$1,'HS Codes'!$D$1:$K$1,0)),"")</f>
        <v>63029120</v>
      </c>
      <c r="M1430" s="8" t="str">
        <f>_xlfn.IFNA(INDEX('HS Codes'!$C$2:$C3984,MATCH($B1430,'HS Codes'!$A$2:$A3984,0)),"")</f>
        <v>Beach Towel - Toilet Linen 100% recycled 220 GSM/83% polyester/17% polyamide includes cotton on the packing pouch drawstring</v>
      </c>
      <c r="N1430" s="9"/>
      <c r="O1430" s="9"/>
      <c r="P1430" s="9"/>
      <c r="Q1430" s="9"/>
    </row>
    <row r="1431" spans="1:17" ht="15.75" customHeight="1">
      <c r="A1431" s="7" t="s">
        <v>1724</v>
      </c>
      <c r="B1431" s="7" t="s">
        <v>164</v>
      </c>
      <c r="C1431" s="7" t="s">
        <v>278</v>
      </c>
      <c r="D1431" s="7" t="s">
        <v>165</v>
      </c>
      <c r="E1431" s="7" t="s">
        <v>348</v>
      </c>
      <c r="F1431" s="8" t="str">
        <f>_xlfn.IFNA(INDEX('HS Codes'!$D$2:$K3985,MATCH($B1431,'HS Codes'!$A$2:$A3985,0),MATCH(F$1,'HS Codes'!$D$1:$K$1,0)),"")</f>
        <v>6302.93.2000</v>
      </c>
      <c r="G1431" s="8">
        <f>_xlfn.IFNA(INDEX('HS Codes'!$D$2:$K3985,MATCH($B1431,'HS Codes'!$A$2:$A3985,0),MATCH(G$1,'HS Codes'!$D$1:$K$1,0)),"")</f>
        <v>6302600090</v>
      </c>
      <c r="H1431" s="8" t="str">
        <f>_xlfn.IFNA(INDEX('HS Codes'!$D$2:$K3985,MATCH($B1431,'HS Codes'!$A$2:$A3985,0),MATCH(H$1,'HS Codes'!$D$1:$K$1,0)),"")</f>
        <v>6302.93.00.00</v>
      </c>
      <c r="I1431" s="8">
        <f>_xlfn.IFNA(INDEX('HS Codes'!$D$2:$K3985,MATCH($B1431,'HS Codes'!$A$2:$A3985,0),MATCH(I$1,'HS Codes'!$D$1:$K$1,0)),"")</f>
        <v>63029390</v>
      </c>
      <c r="J1431" s="8">
        <f>_xlfn.IFNA(INDEX('HS Codes'!$D$2:$K3985,MATCH($B1431,'HS Codes'!$A$2:$A3985,0),MATCH(J$1,'HS Codes'!$D$1:$K$1,0)),"")</f>
        <v>0</v>
      </c>
      <c r="K1431" s="8" t="str">
        <f>_xlfn.IFNA(INDEX('HS Codes'!$D$2:$K3985,MATCH($B1431,'HS Codes'!$A$2:$A3985,0),MATCH(K$1,'HS Codes'!$D$1:$K$1,0)),"")</f>
        <v>6302.39.00</v>
      </c>
      <c r="L1431" s="8">
        <f>_xlfn.IFNA(INDEX('HS Codes'!$D$2:$K3985,MATCH($B1431,'HS Codes'!$A$2:$A3985,0),MATCH(L$1,'HS Codes'!$D$1:$K$1,0)),"")</f>
        <v>63029120</v>
      </c>
      <c r="M1431" s="8" t="str">
        <f>_xlfn.IFNA(INDEX('HS Codes'!$C$2:$C3985,MATCH($B1431,'HS Codes'!$A$2:$A3985,0)),"")</f>
        <v>Beach Towel - Toilet Linen 100% recycled 220 GSM/83% polyester/17% polyamide includes cotton on the packing pouch drawstring</v>
      </c>
      <c r="N1431" s="9"/>
      <c r="O1431" s="9"/>
      <c r="P1431" s="9"/>
      <c r="Q1431" s="9"/>
    </row>
    <row r="1432" spans="1:17" ht="15.75" customHeight="1">
      <c r="A1432" s="7" t="s">
        <v>1725</v>
      </c>
      <c r="B1432" s="7" t="s">
        <v>164</v>
      </c>
      <c r="C1432" s="7" t="s">
        <v>278</v>
      </c>
      <c r="D1432" s="7" t="s">
        <v>165</v>
      </c>
      <c r="E1432" s="7" t="s">
        <v>348</v>
      </c>
      <c r="F1432" s="8" t="str">
        <f>_xlfn.IFNA(INDEX('HS Codes'!$D$2:$K3986,MATCH($B1432,'HS Codes'!$A$2:$A3986,0),MATCH(F$1,'HS Codes'!$D$1:$K$1,0)),"")</f>
        <v>6302.93.2000</v>
      </c>
      <c r="G1432" s="8">
        <f>_xlfn.IFNA(INDEX('HS Codes'!$D$2:$K3986,MATCH($B1432,'HS Codes'!$A$2:$A3986,0),MATCH(G$1,'HS Codes'!$D$1:$K$1,0)),"")</f>
        <v>6302600090</v>
      </c>
      <c r="H1432" s="8" t="str">
        <f>_xlfn.IFNA(INDEX('HS Codes'!$D$2:$K3986,MATCH($B1432,'HS Codes'!$A$2:$A3986,0),MATCH(H$1,'HS Codes'!$D$1:$K$1,0)),"")</f>
        <v>6302.93.00.00</v>
      </c>
      <c r="I1432" s="8">
        <f>_xlfn.IFNA(INDEX('HS Codes'!$D$2:$K3986,MATCH($B1432,'HS Codes'!$A$2:$A3986,0),MATCH(I$1,'HS Codes'!$D$1:$K$1,0)),"")</f>
        <v>63029390</v>
      </c>
      <c r="J1432" s="8">
        <f>_xlfn.IFNA(INDEX('HS Codes'!$D$2:$K3986,MATCH($B1432,'HS Codes'!$A$2:$A3986,0),MATCH(J$1,'HS Codes'!$D$1:$K$1,0)),"")</f>
        <v>0</v>
      </c>
      <c r="K1432" s="8" t="str">
        <f>_xlfn.IFNA(INDEX('HS Codes'!$D$2:$K3986,MATCH($B1432,'HS Codes'!$A$2:$A3986,0),MATCH(K$1,'HS Codes'!$D$1:$K$1,0)),"")</f>
        <v>6302.39.00</v>
      </c>
      <c r="L1432" s="8">
        <f>_xlfn.IFNA(INDEX('HS Codes'!$D$2:$K3986,MATCH($B1432,'HS Codes'!$A$2:$A3986,0),MATCH(L$1,'HS Codes'!$D$1:$K$1,0)),"")</f>
        <v>63029120</v>
      </c>
      <c r="M1432" s="8" t="str">
        <f>_xlfn.IFNA(INDEX('HS Codes'!$C$2:$C3986,MATCH($B1432,'HS Codes'!$A$2:$A3986,0)),"")</f>
        <v>Beach Towel - Toilet Linen 100% recycled 220 GSM/83% polyester/17% polyamide includes cotton on the packing pouch drawstring</v>
      </c>
      <c r="N1432" s="9"/>
      <c r="O1432" s="9"/>
      <c r="P1432" s="9"/>
      <c r="Q1432" s="9"/>
    </row>
    <row r="1433" spans="1:17" ht="15.75" customHeight="1">
      <c r="A1433" s="7" t="s">
        <v>1726</v>
      </c>
      <c r="B1433" s="7" t="s">
        <v>164</v>
      </c>
      <c r="C1433" s="7" t="s">
        <v>278</v>
      </c>
      <c r="D1433" s="7" t="s">
        <v>165</v>
      </c>
      <c r="E1433" s="7" t="s">
        <v>348</v>
      </c>
      <c r="F1433" s="8" t="str">
        <f>_xlfn.IFNA(INDEX('HS Codes'!$D$2:$K3987,MATCH($B1433,'HS Codes'!$A$2:$A3987,0),MATCH(F$1,'HS Codes'!$D$1:$K$1,0)),"")</f>
        <v>6302.93.2000</v>
      </c>
      <c r="G1433" s="8">
        <f>_xlfn.IFNA(INDEX('HS Codes'!$D$2:$K3987,MATCH($B1433,'HS Codes'!$A$2:$A3987,0),MATCH(G$1,'HS Codes'!$D$1:$K$1,0)),"")</f>
        <v>6302600090</v>
      </c>
      <c r="H1433" s="8" t="str">
        <f>_xlfn.IFNA(INDEX('HS Codes'!$D$2:$K3987,MATCH($B1433,'HS Codes'!$A$2:$A3987,0),MATCH(H$1,'HS Codes'!$D$1:$K$1,0)),"")</f>
        <v>6302.93.00.00</v>
      </c>
      <c r="I1433" s="8">
        <f>_xlfn.IFNA(INDEX('HS Codes'!$D$2:$K3987,MATCH($B1433,'HS Codes'!$A$2:$A3987,0),MATCH(I$1,'HS Codes'!$D$1:$K$1,0)),"")</f>
        <v>63029390</v>
      </c>
      <c r="J1433" s="8">
        <f>_xlfn.IFNA(INDEX('HS Codes'!$D$2:$K3987,MATCH($B1433,'HS Codes'!$A$2:$A3987,0),MATCH(J$1,'HS Codes'!$D$1:$K$1,0)),"")</f>
        <v>0</v>
      </c>
      <c r="K1433" s="8" t="str">
        <f>_xlfn.IFNA(INDEX('HS Codes'!$D$2:$K3987,MATCH($B1433,'HS Codes'!$A$2:$A3987,0),MATCH(K$1,'HS Codes'!$D$1:$K$1,0)),"")</f>
        <v>6302.39.00</v>
      </c>
      <c r="L1433" s="8">
        <f>_xlfn.IFNA(INDEX('HS Codes'!$D$2:$K3987,MATCH($B1433,'HS Codes'!$A$2:$A3987,0),MATCH(L$1,'HS Codes'!$D$1:$K$1,0)),"")</f>
        <v>63029120</v>
      </c>
      <c r="M1433" s="8" t="str">
        <f>_xlfn.IFNA(INDEX('HS Codes'!$C$2:$C3987,MATCH($B1433,'HS Codes'!$A$2:$A3987,0)),"")</f>
        <v>Beach Towel - Toilet Linen 100% recycled 220 GSM/83% polyester/17% polyamide includes cotton on the packing pouch drawstring</v>
      </c>
      <c r="N1433" s="9"/>
      <c r="O1433" s="9"/>
      <c r="P1433" s="9"/>
      <c r="Q1433" s="9"/>
    </row>
    <row r="1434" spans="1:17" ht="15.75" customHeight="1">
      <c r="A1434" s="7" t="s">
        <v>1727</v>
      </c>
      <c r="B1434" s="7" t="s">
        <v>164</v>
      </c>
      <c r="C1434" s="7" t="s">
        <v>278</v>
      </c>
      <c r="D1434" s="7" t="s">
        <v>165</v>
      </c>
      <c r="E1434" s="7" t="s">
        <v>348</v>
      </c>
      <c r="F1434" s="8" t="str">
        <f>_xlfn.IFNA(INDEX('HS Codes'!$D$2:$K3988,MATCH($B1434,'HS Codes'!$A$2:$A3988,0),MATCH(F$1,'HS Codes'!$D$1:$K$1,0)),"")</f>
        <v>6302.93.2000</v>
      </c>
      <c r="G1434" s="8">
        <f>_xlfn.IFNA(INDEX('HS Codes'!$D$2:$K3988,MATCH($B1434,'HS Codes'!$A$2:$A3988,0),MATCH(G$1,'HS Codes'!$D$1:$K$1,0)),"")</f>
        <v>6302600090</v>
      </c>
      <c r="H1434" s="8" t="str">
        <f>_xlfn.IFNA(INDEX('HS Codes'!$D$2:$K3988,MATCH($B1434,'HS Codes'!$A$2:$A3988,0),MATCH(H$1,'HS Codes'!$D$1:$K$1,0)),"")</f>
        <v>6302.93.00.00</v>
      </c>
      <c r="I1434" s="8">
        <f>_xlfn.IFNA(INDEX('HS Codes'!$D$2:$K3988,MATCH($B1434,'HS Codes'!$A$2:$A3988,0),MATCH(I$1,'HS Codes'!$D$1:$K$1,0)),"")</f>
        <v>63029390</v>
      </c>
      <c r="J1434" s="8">
        <f>_xlfn.IFNA(INDEX('HS Codes'!$D$2:$K3988,MATCH($B1434,'HS Codes'!$A$2:$A3988,0),MATCH(J$1,'HS Codes'!$D$1:$K$1,0)),"")</f>
        <v>0</v>
      </c>
      <c r="K1434" s="8" t="str">
        <f>_xlfn.IFNA(INDEX('HS Codes'!$D$2:$K3988,MATCH($B1434,'HS Codes'!$A$2:$A3988,0),MATCH(K$1,'HS Codes'!$D$1:$K$1,0)),"")</f>
        <v>6302.39.00</v>
      </c>
      <c r="L1434" s="8">
        <f>_xlfn.IFNA(INDEX('HS Codes'!$D$2:$K3988,MATCH($B1434,'HS Codes'!$A$2:$A3988,0),MATCH(L$1,'HS Codes'!$D$1:$K$1,0)),"")</f>
        <v>63029120</v>
      </c>
      <c r="M1434" s="8" t="str">
        <f>_xlfn.IFNA(INDEX('HS Codes'!$C$2:$C3988,MATCH($B1434,'HS Codes'!$A$2:$A3988,0)),"")</f>
        <v>Beach Towel - Toilet Linen 100% recycled 220 GSM/83% polyester/17% polyamide includes cotton on the packing pouch drawstring</v>
      </c>
      <c r="N1434" s="9"/>
      <c r="O1434" s="9"/>
      <c r="P1434" s="9"/>
      <c r="Q1434" s="9"/>
    </row>
    <row r="1435" spans="1:17" ht="15.75" customHeight="1">
      <c r="A1435" s="7" t="s">
        <v>1728</v>
      </c>
      <c r="B1435" s="7" t="s">
        <v>164</v>
      </c>
      <c r="C1435" s="7" t="s">
        <v>278</v>
      </c>
      <c r="D1435" s="7" t="s">
        <v>165</v>
      </c>
      <c r="E1435" s="7" t="s">
        <v>348</v>
      </c>
      <c r="F1435" s="8" t="str">
        <f>_xlfn.IFNA(INDEX('HS Codes'!$D$2:$K3989,MATCH($B1435,'HS Codes'!$A$2:$A3989,0),MATCH(F$1,'HS Codes'!$D$1:$K$1,0)),"")</f>
        <v>6302.93.2000</v>
      </c>
      <c r="G1435" s="8">
        <f>_xlfn.IFNA(INDEX('HS Codes'!$D$2:$K3989,MATCH($B1435,'HS Codes'!$A$2:$A3989,0),MATCH(G$1,'HS Codes'!$D$1:$K$1,0)),"")</f>
        <v>6302600090</v>
      </c>
      <c r="H1435" s="8" t="str">
        <f>_xlfn.IFNA(INDEX('HS Codes'!$D$2:$K3989,MATCH($B1435,'HS Codes'!$A$2:$A3989,0),MATCH(H$1,'HS Codes'!$D$1:$K$1,0)),"")</f>
        <v>6302.93.00.00</v>
      </c>
      <c r="I1435" s="8">
        <f>_xlfn.IFNA(INDEX('HS Codes'!$D$2:$K3989,MATCH($B1435,'HS Codes'!$A$2:$A3989,0),MATCH(I$1,'HS Codes'!$D$1:$K$1,0)),"")</f>
        <v>63029390</v>
      </c>
      <c r="J1435" s="8">
        <f>_xlfn.IFNA(INDEX('HS Codes'!$D$2:$K3989,MATCH($B1435,'HS Codes'!$A$2:$A3989,0),MATCH(J$1,'HS Codes'!$D$1:$K$1,0)),"")</f>
        <v>0</v>
      </c>
      <c r="K1435" s="8" t="str">
        <f>_xlfn.IFNA(INDEX('HS Codes'!$D$2:$K3989,MATCH($B1435,'HS Codes'!$A$2:$A3989,0),MATCH(K$1,'HS Codes'!$D$1:$K$1,0)),"")</f>
        <v>6302.39.00</v>
      </c>
      <c r="L1435" s="8">
        <f>_xlfn.IFNA(INDEX('HS Codes'!$D$2:$K3989,MATCH($B1435,'HS Codes'!$A$2:$A3989,0),MATCH(L$1,'HS Codes'!$D$1:$K$1,0)),"")</f>
        <v>63029120</v>
      </c>
      <c r="M1435" s="8" t="str">
        <f>_xlfn.IFNA(INDEX('HS Codes'!$C$2:$C3989,MATCH($B1435,'HS Codes'!$A$2:$A3989,0)),"")</f>
        <v>Beach Towel - Toilet Linen 100% recycled 220 GSM/83% polyester/17% polyamide includes cotton on the packing pouch drawstring</v>
      </c>
      <c r="N1435" s="9"/>
      <c r="O1435" s="9"/>
      <c r="P1435" s="9"/>
      <c r="Q1435" s="9"/>
    </row>
    <row r="1436" spans="1:17" ht="15.75" customHeight="1">
      <c r="A1436" s="7" t="s">
        <v>1729</v>
      </c>
      <c r="B1436" s="7" t="s">
        <v>169</v>
      </c>
      <c r="C1436" s="7" t="s">
        <v>278</v>
      </c>
      <c r="D1436" s="7" t="s">
        <v>170</v>
      </c>
      <c r="E1436" s="7" t="s">
        <v>348</v>
      </c>
      <c r="F1436" s="8" t="str">
        <f>_xlfn.IFNA(INDEX('HS Codes'!$D$2:$K3990,MATCH($B1436,'HS Codes'!$A$2:$A3990,0),MATCH(F$1,'HS Codes'!$D$1:$K$1,0)),"")</f>
        <v>6302.93.2000</v>
      </c>
      <c r="G1436" s="8">
        <f>_xlfn.IFNA(INDEX('HS Codes'!$D$2:$K3990,MATCH($B1436,'HS Codes'!$A$2:$A3990,0),MATCH(G$1,'HS Codes'!$D$1:$K$1,0)),"")</f>
        <v>6302600090</v>
      </c>
      <c r="H1436" s="8" t="str">
        <f>_xlfn.IFNA(INDEX('HS Codes'!$D$2:$K3990,MATCH($B1436,'HS Codes'!$A$2:$A3990,0),MATCH(H$1,'HS Codes'!$D$1:$K$1,0)),"")</f>
        <v>6302.93.00.00</v>
      </c>
      <c r="I1436" s="8">
        <f>_xlfn.IFNA(INDEX('HS Codes'!$D$2:$K3990,MATCH($B1436,'HS Codes'!$A$2:$A3990,0),MATCH(I$1,'HS Codes'!$D$1:$K$1,0)),"")</f>
        <v>6302939000</v>
      </c>
      <c r="J1436" s="8">
        <f>_xlfn.IFNA(INDEX('HS Codes'!$D$2:$K3990,MATCH($B1436,'HS Codes'!$A$2:$A3990,0),MATCH(J$1,'HS Codes'!$D$1:$K$1,0)),"")</f>
        <v>0</v>
      </c>
      <c r="K1436" s="8" t="str">
        <f>_xlfn.IFNA(INDEX('HS Codes'!$D$2:$K3990,MATCH($B1436,'HS Codes'!$A$2:$A3990,0),MATCH(K$1,'HS Codes'!$D$1:$K$1,0)),"")</f>
        <v>6302.39.00</v>
      </c>
      <c r="L1436" s="8">
        <f>_xlfn.IFNA(INDEX('HS Codes'!$D$2:$K3990,MATCH($B1436,'HS Codes'!$A$2:$A3990,0),MATCH(L$1,'HS Codes'!$D$1:$K$1,0)),"")</f>
        <v>63029120</v>
      </c>
      <c r="M1436" s="8" t="str">
        <f>_xlfn.IFNA(INDEX('HS Codes'!$C$2:$C3990,MATCH($B1436,'HS Codes'!$A$2:$A3990,0)),"")</f>
        <v>Fitness Towels - Toilet Linen 100% recycled 220 GSM/83% polyester/17% polyamide (no cotton)</v>
      </c>
      <c r="N1436" s="9"/>
      <c r="O1436" s="9"/>
      <c r="P1436" s="9"/>
      <c r="Q1436" s="9"/>
    </row>
    <row r="1437" spans="1:17" ht="15.75" customHeight="1">
      <c r="A1437" s="7" t="s">
        <v>1730</v>
      </c>
      <c r="B1437" s="7" t="s">
        <v>169</v>
      </c>
      <c r="C1437" s="7" t="s">
        <v>278</v>
      </c>
      <c r="D1437" s="7" t="s">
        <v>170</v>
      </c>
      <c r="E1437" s="7" t="s">
        <v>348</v>
      </c>
      <c r="F1437" s="8" t="str">
        <f>_xlfn.IFNA(INDEX('HS Codes'!$D$2:$K3991,MATCH($B1437,'HS Codes'!$A$2:$A3991,0),MATCH(F$1,'HS Codes'!$D$1:$K$1,0)),"")</f>
        <v>6302.93.2000</v>
      </c>
      <c r="G1437" s="8">
        <f>_xlfn.IFNA(INDEX('HS Codes'!$D$2:$K3991,MATCH($B1437,'HS Codes'!$A$2:$A3991,0),MATCH(G$1,'HS Codes'!$D$1:$K$1,0)),"")</f>
        <v>6302600090</v>
      </c>
      <c r="H1437" s="8" t="str">
        <f>_xlfn.IFNA(INDEX('HS Codes'!$D$2:$K3991,MATCH($B1437,'HS Codes'!$A$2:$A3991,0),MATCH(H$1,'HS Codes'!$D$1:$K$1,0)),"")</f>
        <v>6302.93.00.00</v>
      </c>
      <c r="I1437" s="8">
        <f>_xlfn.IFNA(INDEX('HS Codes'!$D$2:$K3991,MATCH($B1437,'HS Codes'!$A$2:$A3991,0),MATCH(I$1,'HS Codes'!$D$1:$K$1,0)),"")</f>
        <v>6302939000</v>
      </c>
      <c r="J1437" s="8">
        <f>_xlfn.IFNA(INDEX('HS Codes'!$D$2:$K3991,MATCH($B1437,'HS Codes'!$A$2:$A3991,0),MATCH(J$1,'HS Codes'!$D$1:$K$1,0)),"")</f>
        <v>0</v>
      </c>
      <c r="K1437" s="8" t="str">
        <f>_xlfn.IFNA(INDEX('HS Codes'!$D$2:$K3991,MATCH($B1437,'HS Codes'!$A$2:$A3991,0),MATCH(K$1,'HS Codes'!$D$1:$K$1,0)),"")</f>
        <v>6302.39.00</v>
      </c>
      <c r="L1437" s="8">
        <f>_xlfn.IFNA(INDEX('HS Codes'!$D$2:$K3991,MATCH($B1437,'HS Codes'!$A$2:$A3991,0),MATCH(L$1,'HS Codes'!$D$1:$K$1,0)),"")</f>
        <v>63029120</v>
      </c>
      <c r="M1437" s="8" t="str">
        <f>_xlfn.IFNA(INDEX('HS Codes'!$C$2:$C3991,MATCH($B1437,'HS Codes'!$A$2:$A3991,0)),"")</f>
        <v>Fitness Towels - Toilet Linen 100% recycled 220 GSM/83% polyester/17% polyamide (no cotton)</v>
      </c>
      <c r="N1437" s="9"/>
      <c r="O1437" s="9"/>
      <c r="P1437" s="9"/>
      <c r="Q1437" s="9"/>
    </row>
    <row r="1438" spans="1:17" ht="15.75" customHeight="1">
      <c r="A1438" s="7" t="s">
        <v>1731</v>
      </c>
      <c r="B1438" s="7" t="s">
        <v>169</v>
      </c>
      <c r="C1438" s="7" t="s">
        <v>278</v>
      </c>
      <c r="D1438" s="7" t="s">
        <v>170</v>
      </c>
      <c r="E1438" s="7" t="s">
        <v>348</v>
      </c>
      <c r="F1438" s="8" t="str">
        <f>_xlfn.IFNA(INDEX('HS Codes'!$D$2:$K3992,MATCH($B1438,'HS Codes'!$A$2:$A3992,0),MATCH(F$1,'HS Codes'!$D$1:$K$1,0)),"")</f>
        <v>6302.93.2000</v>
      </c>
      <c r="G1438" s="8">
        <f>_xlfn.IFNA(INDEX('HS Codes'!$D$2:$K3992,MATCH($B1438,'HS Codes'!$A$2:$A3992,0),MATCH(G$1,'HS Codes'!$D$1:$K$1,0)),"")</f>
        <v>6302600090</v>
      </c>
      <c r="H1438" s="8" t="str">
        <f>_xlfn.IFNA(INDEX('HS Codes'!$D$2:$K3992,MATCH($B1438,'HS Codes'!$A$2:$A3992,0),MATCH(H$1,'HS Codes'!$D$1:$K$1,0)),"")</f>
        <v>6302.93.00.00</v>
      </c>
      <c r="I1438" s="8">
        <f>_xlfn.IFNA(INDEX('HS Codes'!$D$2:$K3992,MATCH($B1438,'HS Codes'!$A$2:$A3992,0),MATCH(I$1,'HS Codes'!$D$1:$K$1,0)),"")</f>
        <v>6302939000</v>
      </c>
      <c r="J1438" s="8">
        <f>_xlfn.IFNA(INDEX('HS Codes'!$D$2:$K3992,MATCH($B1438,'HS Codes'!$A$2:$A3992,0),MATCH(J$1,'HS Codes'!$D$1:$K$1,0)),"")</f>
        <v>0</v>
      </c>
      <c r="K1438" s="8" t="str">
        <f>_xlfn.IFNA(INDEX('HS Codes'!$D$2:$K3992,MATCH($B1438,'HS Codes'!$A$2:$A3992,0),MATCH(K$1,'HS Codes'!$D$1:$K$1,0)),"")</f>
        <v>6302.39.00</v>
      </c>
      <c r="L1438" s="8">
        <f>_xlfn.IFNA(INDEX('HS Codes'!$D$2:$K3992,MATCH($B1438,'HS Codes'!$A$2:$A3992,0),MATCH(L$1,'HS Codes'!$D$1:$K$1,0)),"")</f>
        <v>63029120</v>
      </c>
      <c r="M1438" s="8" t="str">
        <f>_xlfn.IFNA(INDEX('HS Codes'!$C$2:$C3992,MATCH($B1438,'HS Codes'!$A$2:$A3992,0)),"")</f>
        <v>Fitness Towels - Toilet Linen 100% recycled 220 GSM/83% polyester/17% polyamide (no cotton)</v>
      </c>
      <c r="N1438" s="9"/>
      <c r="O1438" s="9"/>
      <c r="P1438" s="9"/>
      <c r="Q1438" s="9"/>
    </row>
    <row r="1439" spans="1:17" ht="15.75" customHeight="1">
      <c r="A1439" s="7" t="s">
        <v>1732</v>
      </c>
      <c r="B1439" s="7" t="s">
        <v>169</v>
      </c>
      <c r="C1439" s="7" t="s">
        <v>278</v>
      </c>
      <c r="D1439" s="7" t="s">
        <v>170</v>
      </c>
      <c r="E1439" s="7" t="s">
        <v>348</v>
      </c>
      <c r="F1439" s="8" t="str">
        <f>_xlfn.IFNA(INDEX('HS Codes'!$D$2:$K3993,MATCH($B1439,'HS Codes'!$A$2:$A3993,0),MATCH(F$1,'HS Codes'!$D$1:$K$1,0)),"")</f>
        <v>6302.93.2000</v>
      </c>
      <c r="G1439" s="8">
        <f>_xlfn.IFNA(INDEX('HS Codes'!$D$2:$K3993,MATCH($B1439,'HS Codes'!$A$2:$A3993,0),MATCH(G$1,'HS Codes'!$D$1:$K$1,0)),"")</f>
        <v>6302600090</v>
      </c>
      <c r="H1439" s="8" t="str">
        <f>_xlfn.IFNA(INDEX('HS Codes'!$D$2:$K3993,MATCH($B1439,'HS Codes'!$A$2:$A3993,0),MATCH(H$1,'HS Codes'!$D$1:$K$1,0)),"")</f>
        <v>6302.93.00.00</v>
      </c>
      <c r="I1439" s="8">
        <f>_xlfn.IFNA(INDEX('HS Codes'!$D$2:$K3993,MATCH($B1439,'HS Codes'!$A$2:$A3993,0),MATCH(I$1,'HS Codes'!$D$1:$K$1,0)),"")</f>
        <v>6302939000</v>
      </c>
      <c r="J1439" s="8">
        <f>_xlfn.IFNA(INDEX('HS Codes'!$D$2:$K3993,MATCH($B1439,'HS Codes'!$A$2:$A3993,0),MATCH(J$1,'HS Codes'!$D$1:$K$1,0)),"")</f>
        <v>0</v>
      </c>
      <c r="K1439" s="8" t="str">
        <f>_xlfn.IFNA(INDEX('HS Codes'!$D$2:$K3993,MATCH($B1439,'HS Codes'!$A$2:$A3993,0),MATCH(K$1,'HS Codes'!$D$1:$K$1,0)),"")</f>
        <v>6302.39.00</v>
      </c>
      <c r="L1439" s="8">
        <f>_xlfn.IFNA(INDEX('HS Codes'!$D$2:$K3993,MATCH($B1439,'HS Codes'!$A$2:$A3993,0),MATCH(L$1,'HS Codes'!$D$1:$K$1,0)),"")</f>
        <v>63029120</v>
      </c>
      <c r="M1439" s="8" t="str">
        <f>_xlfn.IFNA(INDEX('HS Codes'!$C$2:$C3993,MATCH($B1439,'HS Codes'!$A$2:$A3993,0)),"")</f>
        <v>Fitness Towels - Toilet Linen 100% recycled 220 GSM/83% polyester/17% polyamide (no cotton)</v>
      </c>
      <c r="N1439" s="9"/>
      <c r="O1439" s="9"/>
      <c r="P1439" s="9"/>
      <c r="Q1439" s="9"/>
    </row>
    <row r="1440" spans="1:17" ht="15.75" customHeight="1">
      <c r="A1440" s="7" t="s">
        <v>1733</v>
      </c>
      <c r="B1440" s="7" t="s">
        <v>169</v>
      </c>
      <c r="C1440" s="7" t="s">
        <v>278</v>
      </c>
      <c r="D1440" s="7" t="s">
        <v>170</v>
      </c>
      <c r="E1440" s="7" t="s">
        <v>348</v>
      </c>
      <c r="F1440" s="8" t="str">
        <f>_xlfn.IFNA(INDEX('HS Codes'!$D$2:$K3994,MATCH($B1440,'HS Codes'!$A$2:$A3994,0),MATCH(F$1,'HS Codes'!$D$1:$K$1,0)),"")</f>
        <v>6302.93.2000</v>
      </c>
      <c r="G1440" s="8">
        <f>_xlfn.IFNA(INDEX('HS Codes'!$D$2:$K3994,MATCH($B1440,'HS Codes'!$A$2:$A3994,0),MATCH(G$1,'HS Codes'!$D$1:$K$1,0)),"")</f>
        <v>6302600090</v>
      </c>
      <c r="H1440" s="8" t="str">
        <f>_xlfn.IFNA(INDEX('HS Codes'!$D$2:$K3994,MATCH($B1440,'HS Codes'!$A$2:$A3994,0),MATCH(H$1,'HS Codes'!$D$1:$K$1,0)),"")</f>
        <v>6302.93.00.00</v>
      </c>
      <c r="I1440" s="8">
        <f>_xlfn.IFNA(INDEX('HS Codes'!$D$2:$K3994,MATCH($B1440,'HS Codes'!$A$2:$A3994,0),MATCH(I$1,'HS Codes'!$D$1:$K$1,0)),"")</f>
        <v>6302939000</v>
      </c>
      <c r="J1440" s="8">
        <f>_xlfn.IFNA(INDEX('HS Codes'!$D$2:$K3994,MATCH($B1440,'HS Codes'!$A$2:$A3994,0),MATCH(J$1,'HS Codes'!$D$1:$K$1,0)),"")</f>
        <v>0</v>
      </c>
      <c r="K1440" s="8" t="str">
        <f>_xlfn.IFNA(INDEX('HS Codes'!$D$2:$K3994,MATCH($B1440,'HS Codes'!$A$2:$A3994,0),MATCH(K$1,'HS Codes'!$D$1:$K$1,0)),"")</f>
        <v>6302.39.00</v>
      </c>
      <c r="L1440" s="8">
        <f>_xlfn.IFNA(INDEX('HS Codes'!$D$2:$K3994,MATCH($B1440,'HS Codes'!$A$2:$A3994,0),MATCH(L$1,'HS Codes'!$D$1:$K$1,0)),"")</f>
        <v>63029120</v>
      </c>
      <c r="M1440" s="8" t="str">
        <f>_xlfn.IFNA(INDEX('HS Codes'!$C$2:$C3994,MATCH($B1440,'HS Codes'!$A$2:$A3994,0)),"")</f>
        <v>Fitness Towels - Toilet Linen 100% recycled 220 GSM/83% polyester/17% polyamide (no cotton)</v>
      </c>
      <c r="N1440" s="9"/>
      <c r="O1440" s="9"/>
      <c r="P1440" s="9"/>
      <c r="Q1440" s="9"/>
    </row>
    <row r="1441" spans="1:17" ht="15.75" customHeight="1">
      <c r="A1441" s="7" t="s">
        <v>1734</v>
      </c>
      <c r="B1441" s="7" t="s">
        <v>169</v>
      </c>
      <c r="C1441" s="7" t="s">
        <v>278</v>
      </c>
      <c r="D1441" s="7" t="s">
        <v>170</v>
      </c>
      <c r="E1441" s="7" t="s">
        <v>348</v>
      </c>
      <c r="F1441" s="8" t="str">
        <f>_xlfn.IFNA(INDEX('HS Codes'!$D$2:$K3995,MATCH($B1441,'HS Codes'!$A$2:$A3995,0),MATCH(F$1,'HS Codes'!$D$1:$K$1,0)),"")</f>
        <v>6302.93.2000</v>
      </c>
      <c r="G1441" s="8">
        <f>_xlfn.IFNA(INDEX('HS Codes'!$D$2:$K3995,MATCH($B1441,'HS Codes'!$A$2:$A3995,0),MATCH(G$1,'HS Codes'!$D$1:$K$1,0)),"")</f>
        <v>6302600090</v>
      </c>
      <c r="H1441" s="8" t="str">
        <f>_xlfn.IFNA(INDEX('HS Codes'!$D$2:$K3995,MATCH($B1441,'HS Codes'!$A$2:$A3995,0),MATCH(H$1,'HS Codes'!$D$1:$K$1,0)),"")</f>
        <v>6302.93.00.00</v>
      </c>
      <c r="I1441" s="8">
        <f>_xlfn.IFNA(INDEX('HS Codes'!$D$2:$K3995,MATCH($B1441,'HS Codes'!$A$2:$A3995,0),MATCH(I$1,'HS Codes'!$D$1:$K$1,0)),"")</f>
        <v>6302939000</v>
      </c>
      <c r="J1441" s="8">
        <f>_xlfn.IFNA(INDEX('HS Codes'!$D$2:$K3995,MATCH($B1441,'HS Codes'!$A$2:$A3995,0),MATCH(J$1,'HS Codes'!$D$1:$K$1,0)),"")</f>
        <v>0</v>
      </c>
      <c r="K1441" s="8" t="str">
        <f>_xlfn.IFNA(INDEX('HS Codes'!$D$2:$K3995,MATCH($B1441,'HS Codes'!$A$2:$A3995,0),MATCH(K$1,'HS Codes'!$D$1:$K$1,0)),"")</f>
        <v>6302.39.00</v>
      </c>
      <c r="L1441" s="8">
        <f>_xlfn.IFNA(INDEX('HS Codes'!$D$2:$K3995,MATCH($B1441,'HS Codes'!$A$2:$A3995,0),MATCH(L$1,'HS Codes'!$D$1:$K$1,0)),"")</f>
        <v>63029120</v>
      </c>
      <c r="M1441" s="8" t="str">
        <f>_xlfn.IFNA(INDEX('HS Codes'!$C$2:$C3995,MATCH($B1441,'HS Codes'!$A$2:$A3995,0)),"")</f>
        <v>Fitness Towels - Toilet Linen 100% recycled 220 GSM/83% polyester/17% polyamide (no cotton)</v>
      </c>
      <c r="N1441" s="9"/>
      <c r="O1441" s="9"/>
      <c r="P1441" s="9"/>
      <c r="Q1441" s="9"/>
    </row>
    <row r="1442" spans="1:17" ht="15.75" customHeight="1">
      <c r="A1442" s="7" t="s">
        <v>1735</v>
      </c>
      <c r="B1442" s="7" t="s">
        <v>169</v>
      </c>
      <c r="C1442" s="7" t="s">
        <v>278</v>
      </c>
      <c r="D1442" s="7" t="s">
        <v>170</v>
      </c>
      <c r="E1442" s="7" t="s">
        <v>348</v>
      </c>
      <c r="F1442" s="8" t="str">
        <f>_xlfn.IFNA(INDEX('HS Codes'!$D$2:$K3996,MATCH($B1442,'HS Codes'!$A$2:$A3996,0),MATCH(F$1,'HS Codes'!$D$1:$K$1,0)),"")</f>
        <v>6302.93.2000</v>
      </c>
      <c r="G1442" s="8">
        <f>_xlfn.IFNA(INDEX('HS Codes'!$D$2:$K3996,MATCH($B1442,'HS Codes'!$A$2:$A3996,0),MATCH(G$1,'HS Codes'!$D$1:$K$1,0)),"")</f>
        <v>6302600090</v>
      </c>
      <c r="H1442" s="8" t="str">
        <f>_xlfn.IFNA(INDEX('HS Codes'!$D$2:$K3996,MATCH($B1442,'HS Codes'!$A$2:$A3996,0),MATCH(H$1,'HS Codes'!$D$1:$K$1,0)),"")</f>
        <v>6302.93.00.00</v>
      </c>
      <c r="I1442" s="8">
        <f>_xlfn.IFNA(INDEX('HS Codes'!$D$2:$K3996,MATCH($B1442,'HS Codes'!$A$2:$A3996,0),MATCH(I$1,'HS Codes'!$D$1:$K$1,0)),"")</f>
        <v>6302939000</v>
      </c>
      <c r="J1442" s="8">
        <f>_xlfn.IFNA(INDEX('HS Codes'!$D$2:$K3996,MATCH($B1442,'HS Codes'!$A$2:$A3996,0),MATCH(J$1,'HS Codes'!$D$1:$K$1,0)),"")</f>
        <v>0</v>
      </c>
      <c r="K1442" s="8" t="str">
        <f>_xlfn.IFNA(INDEX('HS Codes'!$D$2:$K3996,MATCH($B1442,'HS Codes'!$A$2:$A3996,0),MATCH(K$1,'HS Codes'!$D$1:$K$1,0)),"")</f>
        <v>6302.39.00</v>
      </c>
      <c r="L1442" s="8">
        <f>_xlfn.IFNA(INDEX('HS Codes'!$D$2:$K3996,MATCH($B1442,'HS Codes'!$A$2:$A3996,0),MATCH(L$1,'HS Codes'!$D$1:$K$1,0)),"")</f>
        <v>63029120</v>
      </c>
      <c r="M1442" s="8" t="str">
        <f>_xlfn.IFNA(INDEX('HS Codes'!$C$2:$C3996,MATCH($B1442,'HS Codes'!$A$2:$A3996,0)),"")</f>
        <v>Fitness Towels - Toilet Linen 100% recycled 220 GSM/83% polyester/17% polyamide (no cotton)</v>
      </c>
      <c r="N1442" s="9"/>
      <c r="O1442" s="9"/>
      <c r="P1442" s="9"/>
      <c r="Q1442" s="9"/>
    </row>
    <row r="1443" spans="1:17" ht="15.75" customHeight="1">
      <c r="A1443" s="7" t="s">
        <v>1736</v>
      </c>
      <c r="B1443" s="7" t="s">
        <v>169</v>
      </c>
      <c r="C1443" s="7" t="s">
        <v>278</v>
      </c>
      <c r="D1443" s="7" t="s">
        <v>170</v>
      </c>
      <c r="E1443" s="7" t="s">
        <v>348</v>
      </c>
      <c r="F1443" s="8" t="str">
        <f>_xlfn.IFNA(INDEX('HS Codes'!$D$2:$K3997,MATCH($B1443,'HS Codes'!$A$2:$A3997,0),MATCH(F$1,'HS Codes'!$D$1:$K$1,0)),"")</f>
        <v>6302.93.2000</v>
      </c>
      <c r="G1443" s="8">
        <f>_xlfn.IFNA(INDEX('HS Codes'!$D$2:$K3997,MATCH($B1443,'HS Codes'!$A$2:$A3997,0),MATCH(G$1,'HS Codes'!$D$1:$K$1,0)),"")</f>
        <v>6302600090</v>
      </c>
      <c r="H1443" s="8" t="str">
        <f>_xlfn.IFNA(INDEX('HS Codes'!$D$2:$K3997,MATCH($B1443,'HS Codes'!$A$2:$A3997,0),MATCH(H$1,'HS Codes'!$D$1:$K$1,0)),"")</f>
        <v>6302.93.00.00</v>
      </c>
      <c r="I1443" s="8">
        <f>_xlfn.IFNA(INDEX('HS Codes'!$D$2:$K3997,MATCH($B1443,'HS Codes'!$A$2:$A3997,0),MATCH(I$1,'HS Codes'!$D$1:$K$1,0)),"")</f>
        <v>6302939000</v>
      </c>
      <c r="J1443" s="8">
        <f>_xlfn.IFNA(INDEX('HS Codes'!$D$2:$K3997,MATCH($B1443,'HS Codes'!$A$2:$A3997,0),MATCH(J$1,'HS Codes'!$D$1:$K$1,0)),"")</f>
        <v>0</v>
      </c>
      <c r="K1443" s="8" t="str">
        <f>_xlfn.IFNA(INDEX('HS Codes'!$D$2:$K3997,MATCH($B1443,'HS Codes'!$A$2:$A3997,0),MATCH(K$1,'HS Codes'!$D$1:$K$1,0)),"")</f>
        <v>6302.39.00</v>
      </c>
      <c r="L1443" s="8">
        <f>_xlfn.IFNA(INDEX('HS Codes'!$D$2:$K3997,MATCH($B1443,'HS Codes'!$A$2:$A3997,0),MATCH(L$1,'HS Codes'!$D$1:$K$1,0)),"")</f>
        <v>63029120</v>
      </c>
      <c r="M1443" s="8" t="str">
        <f>_xlfn.IFNA(INDEX('HS Codes'!$C$2:$C3997,MATCH($B1443,'HS Codes'!$A$2:$A3997,0)),"")</f>
        <v>Fitness Towels - Toilet Linen 100% recycled 220 GSM/83% polyester/17% polyamide (no cotton)</v>
      </c>
      <c r="N1443" s="9"/>
      <c r="O1443" s="9"/>
      <c r="P1443" s="9"/>
      <c r="Q1443" s="9"/>
    </row>
    <row r="1444" spans="1:17" ht="15.75" customHeight="1">
      <c r="A1444" s="7" t="s">
        <v>1737</v>
      </c>
      <c r="B1444" s="7" t="s">
        <v>169</v>
      </c>
      <c r="C1444" s="7" t="s">
        <v>278</v>
      </c>
      <c r="D1444" s="7" t="s">
        <v>170</v>
      </c>
      <c r="E1444" s="7" t="s">
        <v>348</v>
      </c>
      <c r="F1444" s="8" t="str">
        <f>_xlfn.IFNA(INDEX('HS Codes'!$D$2:$K3998,MATCH($B1444,'HS Codes'!$A$2:$A3998,0),MATCH(F$1,'HS Codes'!$D$1:$K$1,0)),"")</f>
        <v>6302.93.2000</v>
      </c>
      <c r="G1444" s="8">
        <f>_xlfn.IFNA(INDEX('HS Codes'!$D$2:$K3998,MATCH($B1444,'HS Codes'!$A$2:$A3998,0),MATCH(G$1,'HS Codes'!$D$1:$K$1,0)),"")</f>
        <v>6302600090</v>
      </c>
      <c r="H1444" s="8" t="str">
        <f>_xlfn.IFNA(INDEX('HS Codes'!$D$2:$K3998,MATCH($B1444,'HS Codes'!$A$2:$A3998,0),MATCH(H$1,'HS Codes'!$D$1:$K$1,0)),"")</f>
        <v>6302.93.00.00</v>
      </c>
      <c r="I1444" s="8">
        <f>_xlfn.IFNA(INDEX('HS Codes'!$D$2:$K3998,MATCH($B1444,'HS Codes'!$A$2:$A3998,0),MATCH(I$1,'HS Codes'!$D$1:$K$1,0)),"")</f>
        <v>6302939000</v>
      </c>
      <c r="J1444" s="8">
        <f>_xlfn.IFNA(INDEX('HS Codes'!$D$2:$K3998,MATCH($B1444,'HS Codes'!$A$2:$A3998,0),MATCH(J$1,'HS Codes'!$D$1:$K$1,0)),"")</f>
        <v>0</v>
      </c>
      <c r="K1444" s="8" t="str">
        <f>_xlfn.IFNA(INDEX('HS Codes'!$D$2:$K3998,MATCH($B1444,'HS Codes'!$A$2:$A3998,0),MATCH(K$1,'HS Codes'!$D$1:$K$1,0)),"")</f>
        <v>6302.39.00</v>
      </c>
      <c r="L1444" s="8">
        <f>_xlfn.IFNA(INDEX('HS Codes'!$D$2:$K3998,MATCH($B1444,'HS Codes'!$A$2:$A3998,0),MATCH(L$1,'HS Codes'!$D$1:$K$1,0)),"")</f>
        <v>63029120</v>
      </c>
      <c r="M1444" s="8" t="str">
        <f>_xlfn.IFNA(INDEX('HS Codes'!$C$2:$C3998,MATCH($B1444,'HS Codes'!$A$2:$A3998,0)),"")</f>
        <v>Fitness Towels - Toilet Linen 100% recycled 220 GSM/83% polyester/17% polyamide (no cotton)</v>
      </c>
      <c r="N1444" s="9"/>
      <c r="O1444" s="9"/>
      <c r="P1444" s="9"/>
      <c r="Q1444" s="9"/>
    </row>
    <row r="1445" spans="1:17" ht="15.75" customHeight="1">
      <c r="A1445" s="7" t="s">
        <v>1738</v>
      </c>
      <c r="B1445" s="7" t="s">
        <v>169</v>
      </c>
      <c r="C1445" s="7" t="s">
        <v>278</v>
      </c>
      <c r="D1445" s="7" t="s">
        <v>170</v>
      </c>
      <c r="E1445" s="7" t="s">
        <v>348</v>
      </c>
      <c r="F1445" s="8" t="str">
        <f>_xlfn.IFNA(INDEX('HS Codes'!$D$2:$K3999,MATCH($B1445,'HS Codes'!$A$2:$A3999,0),MATCH(F$1,'HS Codes'!$D$1:$K$1,0)),"")</f>
        <v>6302.93.2000</v>
      </c>
      <c r="G1445" s="8">
        <f>_xlfn.IFNA(INDEX('HS Codes'!$D$2:$K3999,MATCH($B1445,'HS Codes'!$A$2:$A3999,0),MATCH(G$1,'HS Codes'!$D$1:$K$1,0)),"")</f>
        <v>6302600090</v>
      </c>
      <c r="H1445" s="8" t="str">
        <f>_xlfn.IFNA(INDEX('HS Codes'!$D$2:$K3999,MATCH($B1445,'HS Codes'!$A$2:$A3999,0),MATCH(H$1,'HS Codes'!$D$1:$K$1,0)),"")</f>
        <v>6302.93.00.00</v>
      </c>
      <c r="I1445" s="8">
        <f>_xlfn.IFNA(INDEX('HS Codes'!$D$2:$K3999,MATCH($B1445,'HS Codes'!$A$2:$A3999,0),MATCH(I$1,'HS Codes'!$D$1:$K$1,0)),"")</f>
        <v>6302939000</v>
      </c>
      <c r="J1445" s="8">
        <f>_xlfn.IFNA(INDEX('HS Codes'!$D$2:$K3999,MATCH($B1445,'HS Codes'!$A$2:$A3999,0),MATCH(J$1,'HS Codes'!$D$1:$K$1,0)),"")</f>
        <v>0</v>
      </c>
      <c r="K1445" s="8" t="str">
        <f>_xlfn.IFNA(INDEX('HS Codes'!$D$2:$K3999,MATCH($B1445,'HS Codes'!$A$2:$A3999,0),MATCH(K$1,'HS Codes'!$D$1:$K$1,0)),"")</f>
        <v>6302.39.00</v>
      </c>
      <c r="L1445" s="8">
        <f>_xlfn.IFNA(INDEX('HS Codes'!$D$2:$K3999,MATCH($B1445,'HS Codes'!$A$2:$A3999,0),MATCH(L$1,'HS Codes'!$D$1:$K$1,0)),"")</f>
        <v>63029120</v>
      </c>
      <c r="M1445" s="8" t="str">
        <f>_xlfn.IFNA(INDEX('HS Codes'!$C$2:$C3999,MATCH($B1445,'HS Codes'!$A$2:$A3999,0)),"")</f>
        <v>Fitness Towels - Toilet Linen 100% recycled 220 GSM/83% polyester/17% polyamide (no cotton)</v>
      </c>
      <c r="N1445" s="9"/>
      <c r="O1445" s="9"/>
      <c r="P1445" s="9"/>
      <c r="Q1445" s="9"/>
    </row>
    <row r="1446" spans="1:17" ht="15.75" customHeight="1">
      <c r="A1446" s="7" t="s">
        <v>1739</v>
      </c>
      <c r="B1446" s="7" t="s">
        <v>169</v>
      </c>
      <c r="C1446" s="7" t="s">
        <v>278</v>
      </c>
      <c r="D1446" s="7" t="s">
        <v>170</v>
      </c>
      <c r="E1446" s="7" t="s">
        <v>348</v>
      </c>
      <c r="F1446" s="8" t="str">
        <f>_xlfn.IFNA(INDEX('HS Codes'!$D$2:$K4000,MATCH($B1446,'HS Codes'!$A$2:$A4000,0),MATCH(F$1,'HS Codes'!$D$1:$K$1,0)),"")</f>
        <v>6302.93.2000</v>
      </c>
      <c r="G1446" s="8">
        <f>_xlfn.IFNA(INDEX('HS Codes'!$D$2:$K4000,MATCH($B1446,'HS Codes'!$A$2:$A4000,0),MATCH(G$1,'HS Codes'!$D$1:$K$1,0)),"")</f>
        <v>6302600090</v>
      </c>
      <c r="H1446" s="8" t="str">
        <f>_xlfn.IFNA(INDEX('HS Codes'!$D$2:$K4000,MATCH($B1446,'HS Codes'!$A$2:$A4000,0),MATCH(H$1,'HS Codes'!$D$1:$K$1,0)),"")</f>
        <v>6302.93.00.00</v>
      </c>
      <c r="I1446" s="8">
        <f>_xlfn.IFNA(INDEX('HS Codes'!$D$2:$K4000,MATCH($B1446,'HS Codes'!$A$2:$A4000,0),MATCH(I$1,'HS Codes'!$D$1:$K$1,0)),"")</f>
        <v>6302939000</v>
      </c>
      <c r="J1446" s="8">
        <f>_xlfn.IFNA(INDEX('HS Codes'!$D$2:$K4000,MATCH($B1446,'HS Codes'!$A$2:$A4000,0),MATCH(J$1,'HS Codes'!$D$1:$K$1,0)),"")</f>
        <v>0</v>
      </c>
      <c r="K1446" s="8" t="str">
        <f>_xlfn.IFNA(INDEX('HS Codes'!$D$2:$K4000,MATCH($B1446,'HS Codes'!$A$2:$A4000,0),MATCH(K$1,'HS Codes'!$D$1:$K$1,0)),"")</f>
        <v>6302.39.00</v>
      </c>
      <c r="L1446" s="8">
        <f>_xlfn.IFNA(INDEX('HS Codes'!$D$2:$K4000,MATCH($B1446,'HS Codes'!$A$2:$A4000,0),MATCH(L$1,'HS Codes'!$D$1:$K$1,0)),"")</f>
        <v>63029120</v>
      </c>
      <c r="M1446" s="8" t="str">
        <f>_xlfn.IFNA(INDEX('HS Codes'!$C$2:$C4000,MATCH($B1446,'HS Codes'!$A$2:$A4000,0)),"")</f>
        <v>Fitness Towels - Toilet Linen 100% recycled 220 GSM/83% polyester/17% polyamide (no cotton)</v>
      </c>
      <c r="N1446" s="9"/>
      <c r="O1446" s="9"/>
      <c r="P1446" s="9"/>
      <c r="Q1446" s="9"/>
    </row>
    <row r="1447" spans="1:17" ht="15.75" customHeight="1">
      <c r="A1447" s="7" t="s">
        <v>1740</v>
      </c>
      <c r="B1447" s="7" t="s">
        <v>169</v>
      </c>
      <c r="C1447" s="7" t="s">
        <v>278</v>
      </c>
      <c r="D1447" s="7" t="s">
        <v>170</v>
      </c>
      <c r="E1447" s="7" t="s">
        <v>348</v>
      </c>
      <c r="F1447" s="8" t="str">
        <f>_xlfn.IFNA(INDEX('HS Codes'!$D$2:$K4001,MATCH($B1447,'HS Codes'!$A$2:$A4001,0),MATCH(F$1,'HS Codes'!$D$1:$K$1,0)),"")</f>
        <v>6302.93.2000</v>
      </c>
      <c r="G1447" s="8">
        <f>_xlfn.IFNA(INDEX('HS Codes'!$D$2:$K4001,MATCH($B1447,'HS Codes'!$A$2:$A4001,0),MATCH(G$1,'HS Codes'!$D$1:$K$1,0)),"")</f>
        <v>6302600090</v>
      </c>
      <c r="H1447" s="8" t="str">
        <f>_xlfn.IFNA(INDEX('HS Codes'!$D$2:$K4001,MATCH($B1447,'HS Codes'!$A$2:$A4001,0),MATCH(H$1,'HS Codes'!$D$1:$K$1,0)),"")</f>
        <v>6302.93.00.00</v>
      </c>
      <c r="I1447" s="8">
        <f>_xlfn.IFNA(INDEX('HS Codes'!$D$2:$K4001,MATCH($B1447,'HS Codes'!$A$2:$A4001,0),MATCH(I$1,'HS Codes'!$D$1:$K$1,0)),"")</f>
        <v>6302939000</v>
      </c>
      <c r="J1447" s="8">
        <f>_xlfn.IFNA(INDEX('HS Codes'!$D$2:$K4001,MATCH($B1447,'HS Codes'!$A$2:$A4001,0),MATCH(J$1,'HS Codes'!$D$1:$K$1,0)),"")</f>
        <v>0</v>
      </c>
      <c r="K1447" s="8" t="str">
        <f>_xlfn.IFNA(INDEX('HS Codes'!$D$2:$K4001,MATCH($B1447,'HS Codes'!$A$2:$A4001,0),MATCH(K$1,'HS Codes'!$D$1:$K$1,0)),"")</f>
        <v>6302.39.00</v>
      </c>
      <c r="L1447" s="8">
        <f>_xlfn.IFNA(INDEX('HS Codes'!$D$2:$K4001,MATCH($B1447,'HS Codes'!$A$2:$A4001,0),MATCH(L$1,'HS Codes'!$D$1:$K$1,0)),"")</f>
        <v>63029120</v>
      </c>
      <c r="M1447" s="8" t="str">
        <f>_xlfn.IFNA(INDEX('HS Codes'!$C$2:$C4001,MATCH($B1447,'HS Codes'!$A$2:$A4001,0)),"")</f>
        <v>Fitness Towels - Toilet Linen 100% recycled 220 GSM/83% polyester/17% polyamide (no cotton)</v>
      </c>
      <c r="N1447" s="9"/>
      <c r="O1447" s="9"/>
      <c r="P1447" s="9"/>
      <c r="Q1447" s="9"/>
    </row>
    <row r="1448" spans="1:17" ht="15.75" customHeight="1">
      <c r="A1448" s="7" t="s">
        <v>1741</v>
      </c>
      <c r="B1448" s="7" t="s">
        <v>169</v>
      </c>
      <c r="C1448" s="7" t="s">
        <v>278</v>
      </c>
      <c r="D1448" s="7" t="s">
        <v>170</v>
      </c>
      <c r="E1448" s="7" t="s">
        <v>348</v>
      </c>
      <c r="F1448" s="8" t="str">
        <f>_xlfn.IFNA(INDEX('HS Codes'!$D$2:$K4002,MATCH($B1448,'HS Codes'!$A$2:$A4002,0),MATCH(F$1,'HS Codes'!$D$1:$K$1,0)),"")</f>
        <v>6302.93.2000</v>
      </c>
      <c r="G1448" s="8">
        <f>_xlfn.IFNA(INDEX('HS Codes'!$D$2:$K4002,MATCH($B1448,'HS Codes'!$A$2:$A4002,0),MATCH(G$1,'HS Codes'!$D$1:$K$1,0)),"")</f>
        <v>6302600090</v>
      </c>
      <c r="H1448" s="8" t="str">
        <f>_xlfn.IFNA(INDEX('HS Codes'!$D$2:$K4002,MATCH($B1448,'HS Codes'!$A$2:$A4002,0),MATCH(H$1,'HS Codes'!$D$1:$K$1,0)),"")</f>
        <v>6302.93.00.00</v>
      </c>
      <c r="I1448" s="8">
        <f>_xlfn.IFNA(INDEX('HS Codes'!$D$2:$K4002,MATCH($B1448,'HS Codes'!$A$2:$A4002,0),MATCH(I$1,'HS Codes'!$D$1:$K$1,0)),"")</f>
        <v>6302939000</v>
      </c>
      <c r="J1448" s="8">
        <f>_xlfn.IFNA(INDEX('HS Codes'!$D$2:$K4002,MATCH($B1448,'HS Codes'!$A$2:$A4002,0),MATCH(J$1,'HS Codes'!$D$1:$K$1,0)),"")</f>
        <v>0</v>
      </c>
      <c r="K1448" s="8" t="str">
        <f>_xlfn.IFNA(INDEX('HS Codes'!$D$2:$K4002,MATCH($B1448,'HS Codes'!$A$2:$A4002,0),MATCH(K$1,'HS Codes'!$D$1:$K$1,0)),"")</f>
        <v>6302.39.00</v>
      </c>
      <c r="L1448" s="8">
        <f>_xlfn.IFNA(INDEX('HS Codes'!$D$2:$K4002,MATCH($B1448,'HS Codes'!$A$2:$A4002,0),MATCH(L$1,'HS Codes'!$D$1:$K$1,0)),"")</f>
        <v>63029120</v>
      </c>
      <c r="M1448" s="8" t="str">
        <f>_xlfn.IFNA(INDEX('HS Codes'!$C$2:$C4002,MATCH($B1448,'HS Codes'!$A$2:$A4002,0)),"")</f>
        <v>Fitness Towels - Toilet Linen 100% recycled 220 GSM/83% polyester/17% polyamide (no cotton)</v>
      </c>
      <c r="N1448" s="9"/>
      <c r="O1448" s="9"/>
      <c r="P1448" s="9"/>
      <c r="Q1448" s="9"/>
    </row>
    <row r="1449" spans="1:17" ht="15.75" customHeight="1">
      <c r="A1449" s="7" t="s">
        <v>1742</v>
      </c>
      <c r="B1449" s="7" t="s">
        <v>169</v>
      </c>
      <c r="C1449" s="7" t="s">
        <v>278</v>
      </c>
      <c r="D1449" s="7" t="s">
        <v>170</v>
      </c>
      <c r="E1449" s="7" t="s">
        <v>348</v>
      </c>
      <c r="F1449" s="8" t="str">
        <f>_xlfn.IFNA(INDEX('HS Codes'!$D$2:$K4003,MATCH($B1449,'HS Codes'!$A$2:$A4003,0),MATCH(F$1,'HS Codes'!$D$1:$K$1,0)),"")</f>
        <v>6302.93.2000</v>
      </c>
      <c r="G1449" s="8">
        <f>_xlfn.IFNA(INDEX('HS Codes'!$D$2:$K4003,MATCH($B1449,'HS Codes'!$A$2:$A4003,0),MATCH(G$1,'HS Codes'!$D$1:$K$1,0)),"")</f>
        <v>6302600090</v>
      </c>
      <c r="H1449" s="8" t="str">
        <f>_xlfn.IFNA(INDEX('HS Codes'!$D$2:$K4003,MATCH($B1449,'HS Codes'!$A$2:$A4003,0),MATCH(H$1,'HS Codes'!$D$1:$K$1,0)),"")</f>
        <v>6302.93.00.00</v>
      </c>
      <c r="I1449" s="8">
        <f>_xlfn.IFNA(INDEX('HS Codes'!$D$2:$K4003,MATCH($B1449,'HS Codes'!$A$2:$A4003,0),MATCH(I$1,'HS Codes'!$D$1:$K$1,0)),"")</f>
        <v>6302939000</v>
      </c>
      <c r="J1449" s="8">
        <f>_xlfn.IFNA(INDEX('HS Codes'!$D$2:$K4003,MATCH($B1449,'HS Codes'!$A$2:$A4003,0),MATCH(J$1,'HS Codes'!$D$1:$K$1,0)),"")</f>
        <v>0</v>
      </c>
      <c r="K1449" s="8" t="str">
        <f>_xlfn.IFNA(INDEX('HS Codes'!$D$2:$K4003,MATCH($B1449,'HS Codes'!$A$2:$A4003,0),MATCH(K$1,'HS Codes'!$D$1:$K$1,0)),"")</f>
        <v>6302.39.00</v>
      </c>
      <c r="L1449" s="8">
        <f>_xlfn.IFNA(INDEX('HS Codes'!$D$2:$K4003,MATCH($B1449,'HS Codes'!$A$2:$A4003,0),MATCH(L$1,'HS Codes'!$D$1:$K$1,0)),"")</f>
        <v>63029120</v>
      </c>
      <c r="M1449" s="8" t="str">
        <f>_xlfn.IFNA(INDEX('HS Codes'!$C$2:$C4003,MATCH($B1449,'HS Codes'!$A$2:$A4003,0)),"")</f>
        <v>Fitness Towels - Toilet Linen 100% recycled 220 GSM/83% polyester/17% polyamide (no cotton)</v>
      </c>
      <c r="N1449" s="9"/>
      <c r="O1449" s="9"/>
      <c r="P1449" s="9"/>
      <c r="Q1449" s="9"/>
    </row>
    <row r="1450" spans="1:17" ht="15.75" customHeight="1">
      <c r="A1450" s="7" t="s">
        <v>1743</v>
      </c>
      <c r="B1450" s="7" t="s">
        <v>169</v>
      </c>
      <c r="C1450" s="7" t="s">
        <v>278</v>
      </c>
      <c r="D1450" s="7" t="s">
        <v>170</v>
      </c>
      <c r="E1450" s="7" t="s">
        <v>348</v>
      </c>
      <c r="F1450" s="8" t="str">
        <f>_xlfn.IFNA(INDEX('HS Codes'!$D$2:$K4004,MATCH($B1450,'HS Codes'!$A$2:$A4004,0),MATCH(F$1,'HS Codes'!$D$1:$K$1,0)),"")</f>
        <v>6302.93.2000</v>
      </c>
      <c r="G1450" s="8">
        <f>_xlfn.IFNA(INDEX('HS Codes'!$D$2:$K4004,MATCH($B1450,'HS Codes'!$A$2:$A4004,0),MATCH(G$1,'HS Codes'!$D$1:$K$1,0)),"")</f>
        <v>6302600090</v>
      </c>
      <c r="H1450" s="8" t="str">
        <f>_xlfn.IFNA(INDEX('HS Codes'!$D$2:$K4004,MATCH($B1450,'HS Codes'!$A$2:$A4004,0),MATCH(H$1,'HS Codes'!$D$1:$K$1,0)),"")</f>
        <v>6302.93.00.00</v>
      </c>
      <c r="I1450" s="8">
        <f>_xlfn.IFNA(INDEX('HS Codes'!$D$2:$K4004,MATCH($B1450,'HS Codes'!$A$2:$A4004,0),MATCH(I$1,'HS Codes'!$D$1:$K$1,0)),"")</f>
        <v>6302939000</v>
      </c>
      <c r="J1450" s="8">
        <f>_xlfn.IFNA(INDEX('HS Codes'!$D$2:$K4004,MATCH($B1450,'HS Codes'!$A$2:$A4004,0),MATCH(J$1,'HS Codes'!$D$1:$K$1,0)),"")</f>
        <v>0</v>
      </c>
      <c r="K1450" s="8" t="str">
        <f>_xlfn.IFNA(INDEX('HS Codes'!$D$2:$K4004,MATCH($B1450,'HS Codes'!$A$2:$A4004,0),MATCH(K$1,'HS Codes'!$D$1:$K$1,0)),"")</f>
        <v>6302.39.00</v>
      </c>
      <c r="L1450" s="8">
        <f>_xlfn.IFNA(INDEX('HS Codes'!$D$2:$K4004,MATCH($B1450,'HS Codes'!$A$2:$A4004,0),MATCH(L$1,'HS Codes'!$D$1:$K$1,0)),"")</f>
        <v>63029120</v>
      </c>
      <c r="M1450" s="8" t="str">
        <f>_xlfn.IFNA(INDEX('HS Codes'!$C$2:$C4004,MATCH($B1450,'HS Codes'!$A$2:$A4004,0)),"")</f>
        <v>Fitness Towels - Toilet Linen 100% recycled 220 GSM/83% polyester/17% polyamide (no cotton)</v>
      </c>
      <c r="N1450" s="9"/>
      <c r="O1450" s="9"/>
      <c r="P1450" s="9"/>
      <c r="Q1450" s="9"/>
    </row>
    <row r="1451" spans="1:17" ht="15.75" customHeight="1">
      <c r="A1451" s="7" t="s">
        <v>1744</v>
      </c>
      <c r="B1451" s="7" t="s">
        <v>169</v>
      </c>
      <c r="C1451" s="7" t="s">
        <v>278</v>
      </c>
      <c r="D1451" s="7" t="s">
        <v>170</v>
      </c>
      <c r="E1451" s="7" t="s">
        <v>348</v>
      </c>
      <c r="F1451" s="8" t="str">
        <f>_xlfn.IFNA(INDEX('HS Codes'!$D$2:$K4005,MATCH($B1451,'HS Codes'!$A$2:$A4005,0),MATCH(F$1,'HS Codes'!$D$1:$K$1,0)),"")</f>
        <v>6302.93.2000</v>
      </c>
      <c r="G1451" s="8">
        <f>_xlfn.IFNA(INDEX('HS Codes'!$D$2:$K4005,MATCH($B1451,'HS Codes'!$A$2:$A4005,0),MATCH(G$1,'HS Codes'!$D$1:$K$1,0)),"")</f>
        <v>6302600090</v>
      </c>
      <c r="H1451" s="8" t="str">
        <f>_xlfn.IFNA(INDEX('HS Codes'!$D$2:$K4005,MATCH($B1451,'HS Codes'!$A$2:$A4005,0),MATCH(H$1,'HS Codes'!$D$1:$K$1,0)),"")</f>
        <v>6302.93.00.00</v>
      </c>
      <c r="I1451" s="8">
        <f>_xlfn.IFNA(INDEX('HS Codes'!$D$2:$K4005,MATCH($B1451,'HS Codes'!$A$2:$A4005,0),MATCH(I$1,'HS Codes'!$D$1:$K$1,0)),"")</f>
        <v>6302939000</v>
      </c>
      <c r="J1451" s="8">
        <f>_xlfn.IFNA(INDEX('HS Codes'!$D$2:$K4005,MATCH($B1451,'HS Codes'!$A$2:$A4005,0),MATCH(J$1,'HS Codes'!$D$1:$K$1,0)),"")</f>
        <v>0</v>
      </c>
      <c r="K1451" s="8" t="str">
        <f>_xlfn.IFNA(INDEX('HS Codes'!$D$2:$K4005,MATCH($B1451,'HS Codes'!$A$2:$A4005,0),MATCH(K$1,'HS Codes'!$D$1:$K$1,0)),"")</f>
        <v>6302.39.00</v>
      </c>
      <c r="L1451" s="8">
        <f>_xlfn.IFNA(INDEX('HS Codes'!$D$2:$K4005,MATCH($B1451,'HS Codes'!$A$2:$A4005,0),MATCH(L$1,'HS Codes'!$D$1:$K$1,0)),"")</f>
        <v>63029120</v>
      </c>
      <c r="M1451" s="8" t="str">
        <f>_xlfn.IFNA(INDEX('HS Codes'!$C$2:$C4005,MATCH($B1451,'HS Codes'!$A$2:$A4005,0)),"")</f>
        <v>Fitness Towels - Toilet Linen 100% recycled 220 GSM/83% polyester/17% polyamide (no cotton)</v>
      </c>
      <c r="N1451" s="9"/>
      <c r="O1451" s="9"/>
      <c r="P1451" s="9"/>
      <c r="Q1451" s="9"/>
    </row>
    <row r="1452" spans="1:17" ht="15.75" customHeight="1">
      <c r="A1452" s="7" t="s">
        <v>1745</v>
      </c>
      <c r="B1452" s="7" t="s">
        <v>169</v>
      </c>
      <c r="C1452" s="7" t="s">
        <v>278</v>
      </c>
      <c r="D1452" s="7" t="s">
        <v>170</v>
      </c>
      <c r="E1452" s="7" t="s">
        <v>348</v>
      </c>
      <c r="F1452" s="8" t="str">
        <f>_xlfn.IFNA(INDEX('HS Codes'!$D$2:$K4006,MATCH($B1452,'HS Codes'!$A$2:$A4006,0),MATCH(F$1,'HS Codes'!$D$1:$K$1,0)),"")</f>
        <v>6302.93.2000</v>
      </c>
      <c r="G1452" s="8">
        <f>_xlfn.IFNA(INDEX('HS Codes'!$D$2:$K4006,MATCH($B1452,'HS Codes'!$A$2:$A4006,0),MATCH(G$1,'HS Codes'!$D$1:$K$1,0)),"")</f>
        <v>6302600090</v>
      </c>
      <c r="H1452" s="8" t="str">
        <f>_xlfn.IFNA(INDEX('HS Codes'!$D$2:$K4006,MATCH($B1452,'HS Codes'!$A$2:$A4006,0),MATCH(H$1,'HS Codes'!$D$1:$K$1,0)),"")</f>
        <v>6302.93.00.00</v>
      </c>
      <c r="I1452" s="8">
        <f>_xlfn.IFNA(INDEX('HS Codes'!$D$2:$K4006,MATCH($B1452,'HS Codes'!$A$2:$A4006,0),MATCH(I$1,'HS Codes'!$D$1:$K$1,0)),"")</f>
        <v>6302939000</v>
      </c>
      <c r="J1452" s="8">
        <f>_xlfn.IFNA(INDEX('HS Codes'!$D$2:$K4006,MATCH($B1452,'HS Codes'!$A$2:$A4006,0),MATCH(J$1,'HS Codes'!$D$1:$K$1,0)),"")</f>
        <v>0</v>
      </c>
      <c r="K1452" s="8" t="str">
        <f>_xlfn.IFNA(INDEX('HS Codes'!$D$2:$K4006,MATCH($B1452,'HS Codes'!$A$2:$A4006,0),MATCH(K$1,'HS Codes'!$D$1:$K$1,0)),"")</f>
        <v>6302.39.00</v>
      </c>
      <c r="L1452" s="8">
        <f>_xlfn.IFNA(INDEX('HS Codes'!$D$2:$K4006,MATCH($B1452,'HS Codes'!$A$2:$A4006,0),MATCH(L$1,'HS Codes'!$D$1:$K$1,0)),"")</f>
        <v>63029120</v>
      </c>
      <c r="M1452" s="8" t="str">
        <f>_xlfn.IFNA(INDEX('HS Codes'!$C$2:$C4006,MATCH($B1452,'HS Codes'!$A$2:$A4006,0)),"")</f>
        <v>Fitness Towels - Toilet Linen 100% recycled 220 GSM/83% polyester/17% polyamide (no cotton)</v>
      </c>
      <c r="N1452" s="9"/>
      <c r="O1452" s="9"/>
      <c r="P1452" s="9"/>
      <c r="Q1452" s="9"/>
    </row>
    <row r="1453" spans="1:17" ht="15.75" customHeight="1">
      <c r="A1453" s="7" t="s">
        <v>1746</v>
      </c>
      <c r="B1453" s="7" t="s">
        <v>169</v>
      </c>
      <c r="C1453" s="7" t="s">
        <v>278</v>
      </c>
      <c r="D1453" s="7" t="s">
        <v>170</v>
      </c>
      <c r="E1453" s="7" t="s">
        <v>348</v>
      </c>
      <c r="F1453" s="8" t="str">
        <f>_xlfn.IFNA(INDEX('HS Codes'!$D$2:$K4007,MATCH($B1453,'HS Codes'!$A$2:$A4007,0),MATCH(F$1,'HS Codes'!$D$1:$K$1,0)),"")</f>
        <v>6302.93.2000</v>
      </c>
      <c r="G1453" s="8">
        <f>_xlfn.IFNA(INDEX('HS Codes'!$D$2:$K4007,MATCH($B1453,'HS Codes'!$A$2:$A4007,0),MATCH(G$1,'HS Codes'!$D$1:$K$1,0)),"")</f>
        <v>6302600090</v>
      </c>
      <c r="H1453" s="8" t="str">
        <f>_xlfn.IFNA(INDEX('HS Codes'!$D$2:$K4007,MATCH($B1453,'HS Codes'!$A$2:$A4007,0),MATCH(H$1,'HS Codes'!$D$1:$K$1,0)),"")</f>
        <v>6302.93.00.00</v>
      </c>
      <c r="I1453" s="8">
        <f>_xlfn.IFNA(INDEX('HS Codes'!$D$2:$K4007,MATCH($B1453,'HS Codes'!$A$2:$A4007,0),MATCH(I$1,'HS Codes'!$D$1:$K$1,0)),"")</f>
        <v>6302939000</v>
      </c>
      <c r="J1453" s="8">
        <f>_xlfn.IFNA(INDEX('HS Codes'!$D$2:$K4007,MATCH($B1453,'HS Codes'!$A$2:$A4007,0),MATCH(J$1,'HS Codes'!$D$1:$K$1,0)),"")</f>
        <v>0</v>
      </c>
      <c r="K1453" s="8" t="str">
        <f>_xlfn.IFNA(INDEX('HS Codes'!$D$2:$K4007,MATCH($B1453,'HS Codes'!$A$2:$A4007,0),MATCH(K$1,'HS Codes'!$D$1:$K$1,0)),"")</f>
        <v>6302.39.00</v>
      </c>
      <c r="L1453" s="8">
        <f>_xlfn.IFNA(INDEX('HS Codes'!$D$2:$K4007,MATCH($B1453,'HS Codes'!$A$2:$A4007,0),MATCH(L$1,'HS Codes'!$D$1:$K$1,0)),"")</f>
        <v>63029120</v>
      </c>
      <c r="M1453" s="8" t="str">
        <f>_xlfn.IFNA(INDEX('HS Codes'!$C$2:$C4007,MATCH($B1453,'HS Codes'!$A$2:$A4007,0)),"")</f>
        <v>Fitness Towels - Toilet Linen 100% recycled 220 GSM/83% polyester/17% polyamide (no cotton)</v>
      </c>
      <c r="N1453" s="9"/>
      <c r="O1453" s="9"/>
      <c r="P1453" s="9"/>
      <c r="Q1453" s="9"/>
    </row>
    <row r="1454" spans="1:17" ht="15.75" customHeight="1">
      <c r="A1454" s="7" t="s">
        <v>1747</v>
      </c>
      <c r="B1454" s="7" t="s">
        <v>169</v>
      </c>
      <c r="C1454" s="7" t="s">
        <v>278</v>
      </c>
      <c r="D1454" s="7" t="s">
        <v>170</v>
      </c>
      <c r="E1454" s="7" t="s">
        <v>348</v>
      </c>
      <c r="F1454" s="8" t="str">
        <f>_xlfn.IFNA(INDEX('HS Codes'!$D$2:$K4008,MATCH($B1454,'HS Codes'!$A$2:$A4008,0),MATCH(F$1,'HS Codes'!$D$1:$K$1,0)),"")</f>
        <v>6302.93.2000</v>
      </c>
      <c r="G1454" s="8">
        <f>_xlfn.IFNA(INDEX('HS Codes'!$D$2:$K4008,MATCH($B1454,'HS Codes'!$A$2:$A4008,0),MATCH(G$1,'HS Codes'!$D$1:$K$1,0)),"")</f>
        <v>6302600090</v>
      </c>
      <c r="H1454" s="8" t="str">
        <f>_xlfn.IFNA(INDEX('HS Codes'!$D$2:$K4008,MATCH($B1454,'HS Codes'!$A$2:$A4008,0),MATCH(H$1,'HS Codes'!$D$1:$K$1,0)),"")</f>
        <v>6302.93.00.00</v>
      </c>
      <c r="I1454" s="8">
        <f>_xlfn.IFNA(INDEX('HS Codes'!$D$2:$K4008,MATCH($B1454,'HS Codes'!$A$2:$A4008,0),MATCH(I$1,'HS Codes'!$D$1:$K$1,0)),"")</f>
        <v>6302939000</v>
      </c>
      <c r="J1454" s="8">
        <f>_xlfn.IFNA(INDEX('HS Codes'!$D$2:$K4008,MATCH($B1454,'HS Codes'!$A$2:$A4008,0),MATCH(J$1,'HS Codes'!$D$1:$K$1,0)),"")</f>
        <v>0</v>
      </c>
      <c r="K1454" s="8" t="str">
        <f>_xlfn.IFNA(INDEX('HS Codes'!$D$2:$K4008,MATCH($B1454,'HS Codes'!$A$2:$A4008,0),MATCH(K$1,'HS Codes'!$D$1:$K$1,0)),"")</f>
        <v>6302.39.00</v>
      </c>
      <c r="L1454" s="8">
        <f>_xlfn.IFNA(INDEX('HS Codes'!$D$2:$K4008,MATCH($B1454,'HS Codes'!$A$2:$A4008,0),MATCH(L$1,'HS Codes'!$D$1:$K$1,0)),"")</f>
        <v>63029120</v>
      </c>
      <c r="M1454" s="8" t="str">
        <f>_xlfn.IFNA(INDEX('HS Codes'!$C$2:$C4008,MATCH($B1454,'HS Codes'!$A$2:$A4008,0)),"")</f>
        <v>Fitness Towels - Toilet Linen 100% recycled 220 GSM/83% polyester/17% polyamide (no cotton)</v>
      </c>
      <c r="N1454" s="9"/>
      <c r="O1454" s="9"/>
      <c r="P1454" s="9"/>
      <c r="Q1454" s="9"/>
    </row>
    <row r="1455" spans="1:17" ht="15.75" customHeight="1">
      <c r="A1455" s="7" t="s">
        <v>1748</v>
      </c>
      <c r="B1455" s="7" t="s">
        <v>98</v>
      </c>
      <c r="C1455" s="7"/>
      <c r="D1455" s="7" t="s">
        <v>99</v>
      </c>
      <c r="E1455" s="7" t="s">
        <v>341</v>
      </c>
      <c r="F1455" s="8" t="str">
        <f>_xlfn.IFNA(INDEX('HS Codes'!$D$2:$K4009,MATCH($B1455,'HS Codes'!$A$2:$A4009,0),MATCH(F$1,'HS Codes'!$D$1:$K$1,0)),"")</f>
        <v>6302.93.2000</v>
      </c>
      <c r="G1455" s="8">
        <f>_xlfn.IFNA(INDEX('HS Codes'!$D$2:$K4009,MATCH($B1455,'HS Codes'!$A$2:$A4009,0),MATCH(G$1,'HS Codes'!$D$1:$K$1,0)),"")</f>
        <v>6302939000</v>
      </c>
      <c r="H1455" s="8">
        <f>_xlfn.IFNA(INDEX('HS Codes'!$D$2:$K4009,MATCH($B1455,'HS Codes'!$A$2:$A4009,0),MATCH(H$1,'HS Codes'!$D$1:$K$1,0)),"")</f>
        <v>6302939000</v>
      </c>
      <c r="I1455" s="8">
        <f>_xlfn.IFNA(INDEX('HS Codes'!$D$2:$K4009,MATCH($B1455,'HS Codes'!$A$2:$A4009,0),MATCH(I$1,'HS Codes'!$D$1:$K$1,0)),"")</f>
        <v>6302939000</v>
      </c>
      <c r="J1455" s="8">
        <f>_xlfn.IFNA(INDEX('HS Codes'!$D$2:$K4009,MATCH($B1455,'HS Codes'!$A$2:$A4009,0),MATCH(J$1,'HS Codes'!$D$1:$K$1,0)),"")</f>
        <v>0</v>
      </c>
      <c r="K1455" s="8" t="str">
        <f>_xlfn.IFNA(INDEX('HS Codes'!$D$2:$K4009,MATCH($B1455,'HS Codes'!$A$2:$A4009,0),MATCH(K$1,'HS Codes'!$D$1:$K$1,0)),"")</f>
        <v>6302.29.00</v>
      </c>
      <c r="L1455" s="8">
        <f>_xlfn.IFNA(INDEX('HS Codes'!$D$2:$K4009,MATCH($B1455,'HS Codes'!$A$2:$A4009,0),MATCH(L$1,'HS Codes'!$D$1:$K$1,0)),"")</f>
        <v>0</v>
      </c>
      <c r="M1455" s="8" t="str">
        <f>_xlfn.IFNA(INDEX('HS Codes'!$C$2:$C4009,MATCH($B1455,'HS Codes'!$A$2:$A4009,0)),"")</f>
        <v>Fitness Towel - Toilet Linen 100% recycled polyester includes cotton on the packing pouch drawstring</v>
      </c>
      <c r="N1455" s="9"/>
      <c r="O1455" s="9"/>
      <c r="P1455" s="9"/>
      <c r="Q1455" s="9"/>
    </row>
    <row r="1456" spans="1:17" ht="15.75" customHeight="1">
      <c r="A1456" s="7" t="s">
        <v>1749</v>
      </c>
      <c r="B1456" s="7" t="s">
        <v>98</v>
      </c>
      <c r="C1456" s="7"/>
      <c r="D1456" s="7" t="s">
        <v>99</v>
      </c>
      <c r="E1456" s="7" t="s">
        <v>341</v>
      </c>
      <c r="F1456" s="8" t="str">
        <f>_xlfn.IFNA(INDEX('HS Codes'!$D$2:$K4010,MATCH($B1456,'HS Codes'!$A$2:$A4010,0),MATCH(F$1,'HS Codes'!$D$1:$K$1,0)),"")</f>
        <v>6302.93.2000</v>
      </c>
      <c r="G1456" s="8">
        <f>_xlfn.IFNA(INDEX('HS Codes'!$D$2:$K4010,MATCH($B1456,'HS Codes'!$A$2:$A4010,0),MATCH(G$1,'HS Codes'!$D$1:$K$1,0)),"")</f>
        <v>6302939000</v>
      </c>
      <c r="H1456" s="8">
        <f>_xlfn.IFNA(INDEX('HS Codes'!$D$2:$K4010,MATCH($B1456,'HS Codes'!$A$2:$A4010,0),MATCH(H$1,'HS Codes'!$D$1:$K$1,0)),"")</f>
        <v>6302939000</v>
      </c>
      <c r="I1456" s="8">
        <f>_xlfn.IFNA(INDEX('HS Codes'!$D$2:$K4010,MATCH($B1456,'HS Codes'!$A$2:$A4010,0),MATCH(I$1,'HS Codes'!$D$1:$K$1,0)),"")</f>
        <v>6302939000</v>
      </c>
      <c r="J1456" s="8">
        <f>_xlfn.IFNA(INDEX('HS Codes'!$D$2:$K4010,MATCH($B1456,'HS Codes'!$A$2:$A4010,0),MATCH(J$1,'HS Codes'!$D$1:$K$1,0)),"")</f>
        <v>0</v>
      </c>
      <c r="K1456" s="8" t="str">
        <f>_xlfn.IFNA(INDEX('HS Codes'!$D$2:$K4010,MATCH($B1456,'HS Codes'!$A$2:$A4010,0),MATCH(K$1,'HS Codes'!$D$1:$K$1,0)),"")</f>
        <v>6302.29.00</v>
      </c>
      <c r="L1456" s="8">
        <f>_xlfn.IFNA(INDEX('HS Codes'!$D$2:$K4010,MATCH($B1456,'HS Codes'!$A$2:$A4010,0),MATCH(L$1,'HS Codes'!$D$1:$K$1,0)),"")</f>
        <v>0</v>
      </c>
      <c r="M1456" s="8" t="str">
        <f>_xlfn.IFNA(INDEX('HS Codes'!$C$2:$C4010,MATCH($B1456,'HS Codes'!$A$2:$A4010,0)),"")</f>
        <v>Fitness Towel - Toilet Linen 100% recycled polyester includes cotton on the packing pouch drawstring</v>
      </c>
      <c r="N1456" s="9"/>
      <c r="O1456" s="9"/>
      <c r="P1456" s="9"/>
      <c r="Q1456" s="9"/>
    </row>
    <row r="1457" spans="1:17" ht="15.75" customHeight="1">
      <c r="A1457" s="7" t="s">
        <v>1750</v>
      </c>
      <c r="B1457" s="7" t="s">
        <v>98</v>
      </c>
      <c r="C1457" s="7"/>
      <c r="D1457" s="7" t="s">
        <v>99</v>
      </c>
      <c r="E1457" s="7" t="s">
        <v>341</v>
      </c>
      <c r="F1457" s="8" t="str">
        <f>_xlfn.IFNA(INDEX('HS Codes'!$D$2:$K4011,MATCH($B1457,'HS Codes'!$A$2:$A4011,0),MATCH(F$1,'HS Codes'!$D$1:$K$1,0)),"")</f>
        <v>6302.93.2000</v>
      </c>
      <c r="G1457" s="8">
        <f>_xlfn.IFNA(INDEX('HS Codes'!$D$2:$K4011,MATCH($B1457,'HS Codes'!$A$2:$A4011,0),MATCH(G$1,'HS Codes'!$D$1:$K$1,0)),"")</f>
        <v>6302939000</v>
      </c>
      <c r="H1457" s="8">
        <f>_xlfn.IFNA(INDEX('HS Codes'!$D$2:$K4011,MATCH($B1457,'HS Codes'!$A$2:$A4011,0),MATCH(H$1,'HS Codes'!$D$1:$K$1,0)),"")</f>
        <v>6302939000</v>
      </c>
      <c r="I1457" s="8">
        <f>_xlfn.IFNA(INDEX('HS Codes'!$D$2:$K4011,MATCH($B1457,'HS Codes'!$A$2:$A4011,0),MATCH(I$1,'HS Codes'!$D$1:$K$1,0)),"")</f>
        <v>6302939000</v>
      </c>
      <c r="J1457" s="8">
        <f>_xlfn.IFNA(INDEX('HS Codes'!$D$2:$K4011,MATCH($B1457,'HS Codes'!$A$2:$A4011,0),MATCH(J$1,'HS Codes'!$D$1:$K$1,0)),"")</f>
        <v>0</v>
      </c>
      <c r="K1457" s="8" t="str">
        <f>_xlfn.IFNA(INDEX('HS Codes'!$D$2:$K4011,MATCH($B1457,'HS Codes'!$A$2:$A4011,0),MATCH(K$1,'HS Codes'!$D$1:$K$1,0)),"")</f>
        <v>6302.29.00</v>
      </c>
      <c r="L1457" s="8">
        <f>_xlfn.IFNA(INDEX('HS Codes'!$D$2:$K4011,MATCH($B1457,'HS Codes'!$A$2:$A4011,0),MATCH(L$1,'HS Codes'!$D$1:$K$1,0)),"")</f>
        <v>0</v>
      </c>
      <c r="M1457" s="8" t="str">
        <f>_xlfn.IFNA(INDEX('HS Codes'!$C$2:$C4011,MATCH($B1457,'HS Codes'!$A$2:$A4011,0)),"")</f>
        <v>Fitness Towel - Toilet Linen 100% recycled polyester includes cotton on the packing pouch drawstring</v>
      </c>
      <c r="N1457" s="9"/>
      <c r="O1457" s="9"/>
      <c r="P1457" s="9"/>
      <c r="Q1457" s="9"/>
    </row>
    <row r="1458" spans="1:17" ht="15.75" customHeight="1">
      <c r="A1458" s="7" t="s">
        <v>1751</v>
      </c>
      <c r="B1458" s="7" t="s">
        <v>98</v>
      </c>
      <c r="C1458" s="7"/>
      <c r="D1458" s="7" t="s">
        <v>99</v>
      </c>
      <c r="E1458" s="7" t="s">
        <v>341</v>
      </c>
      <c r="F1458" s="8" t="str">
        <f>_xlfn.IFNA(INDEX('HS Codes'!$D$2:$K4012,MATCH($B1458,'HS Codes'!$A$2:$A4012,0),MATCH(F$1,'HS Codes'!$D$1:$K$1,0)),"")</f>
        <v>6302.93.2000</v>
      </c>
      <c r="G1458" s="8">
        <f>_xlfn.IFNA(INDEX('HS Codes'!$D$2:$K4012,MATCH($B1458,'HS Codes'!$A$2:$A4012,0),MATCH(G$1,'HS Codes'!$D$1:$K$1,0)),"")</f>
        <v>6302939000</v>
      </c>
      <c r="H1458" s="8">
        <f>_xlfn.IFNA(INDEX('HS Codes'!$D$2:$K4012,MATCH($B1458,'HS Codes'!$A$2:$A4012,0),MATCH(H$1,'HS Codes'!$D$1:$K$1,0)),"")</f>
        <v>6302939000</v>
      </c>
      <c r="I1458" s="8">
        <f>_xlfn.IFNA(INDEX('HS Codes'!$D$2:$K4012,MATCH($B1458,'HS Codes'!$A$2:$A4012,0),MATCH(I$1,'HS Codes'!$D$1:$K$1,0)),"")</f>
        <v>6302939000</v>
      </c>
      <c r="J1458" s="8">
        <f>_xlfn.IFNA(INDEX('HS Codes'!$D$2:$K4012,MATCH($B1458,'HS Codes'!$A$2:$A4012,0),MATCH(J$1,'HS Codes'!$D$1:$K$1,0)),"")</f>
        <v>0</v>
      </c>
      <c r="K1458" s="8" t="str">
        <f>_xlfn.IFNA(INDEX('HS Codes'!$D$2:$K4012,MATCH($B1458,'HS Codes'!$A$2:$A4012,0),MATCH(K$1,'HS Codes'!$D$1:$K$1,0)),"")</f>
        <v>6302.29.00</v>
      </c>
      <c r="L1458" s="8">
        <f>_xlfn.IFNA(INDEX('HS Codes'!$D$2:$K4012,MATCH($B1458,'HS Codes'!$A$2:$A4012,0),MATCH(L$1,'HS Codes'!$D$1:$K$1,0)),"")</f>
        <v>0</v>
      </c>
      <c r="M1458" s="8" t="str">
        <f>_xlfn.IFNA(INDEX('HS Codes'!$C$2:$C4012,MATCH($B1458,'HS Codes'!$A$2:$A4012,0)),"")</f>
        <v>Fitness Towel - Toilet Linen 100% recycled polyester includes cotton on the packing pouch drawstring</v>
      </c>
      <c r="N1458" s="9"/>
      <c r="O1458" s="9"/>
      <c r="P1458" s="9"/>
      <c r="Q1458" s="9"/>
    </row>
    <row r="1459" spans="1:17" ht="15.75" customHeight="1">
      <c r="A1459" s="7" t="s">
        <v>1752</v>
      </c>
      <c r="B1459" s="7" t="s">
        <v>98</v>
      </c>
      <c r="C1459" s="7"/>
      <c r="D1459" s="7" t="s">
        <v>99</v>
      </c>
      <c r="E1459" s="7" t="s">
        <v>341</v>
      </c>
      <c r="F1459" s="8" t="str">
        <f>_xlfn.IFNA(INDEX('HS Codes'!$D$2:$K4013,MATCH($B1459,'HS Codes'!$A$2:$A4013,0),MATCH(F$1,'HS Codes'!$D$1:$K$1,0)),"")</f>
        <v>6302.93.2000</v>
      </c>
      <c r="G1459" s="8">
        <f>_xlfn.IFNA(INDEX('HS Codes'!$D$2:$K4013,MATCH($B1459,'HS Codes'!$A$2:$A4013,0),MATCH(G$1,'HS Codes'!$D$1:$K$1,0)),"")</f>
        <v>6302939000</v>
      </c>
      <c r="H1459" s="8">
        <f>_xlfn.IFNA(INDEX('HS Codes'!$D$2:$K4013,MATCH($B1459,'HS Codes'!$A$2:$A4013,0),MATCH(H$1,'HS Codes'!$D$1:$K$1,0)),"")</f>
        <v>6302939000</v>
      </c>
      <c r="I1459" s="8">
        <f>_xlfn.IFNA(INDEX('HS Codes'!$D$2:$K4013,MATCH($B1459,'HS Codes'!$A$2:$A4013,0),MATCH(I$1,'HS Codes'!$D$1:$K$1,0)),"")</f>
        <v>6302939000</v>
      </c>
      <c r="J1459" s="8">
        <f>_xlfn.IFNA(INDEX('HS Codes'!$D$2:$K4013,MATCH($B1459,'HS Codes'!$A$2:$A4013,0),MATCH(J$1,'HS Codes'!$D$1:$K$1,0)),"")</f>
        <v>0</v>
      </c>
      <c r="K1459" s="8" t="str">
        <f>_xlfn.IFNA(INDEX('HS Codes'!$D$2:$K4013,MATCH($B1459,'HS Codes'!$A$2:$A4013,0),MATCH(K$1,'HS Codes'!$D$1:$K$1,0)),"")</f>
        <v>6302.29.00</v>
      </c>
      <c r="L1459" s="8">
        <f>_xlfn.IFNA(INDEX('HS Codes'!$D$2:$K4013,MATCH($B1459,'HS Codes'!$A$2:$A4013,0),MATCH(L$1,'HS Codes'!$D$1:$K$1,0)),"")</f>
        <v>0</v>
      </c>
      <c r="M1459" s="8" t="str">
        <f>_xlfn.IFNA(INDEX('HS Codes'!$C$2:$C4013,MATCH($B1459,'HS Codes'!$A$2:$A4013,0)),"")</f>
        <v>Fitness Towel - Toilet Linen 100% recycled polyester includes cotton on the packing pouch drawstring</v>
      </c>
      <c r="N1459" s="9"/>
      <c r="O1459" s="9"/>
      <c r="P1459" s="9"/>
      <c r="Q1459" s="9"/>
    </row>
    <row r="1460" spans="1:17" ht="15.75" customHeight="1">
      <c r="A1460" s="7" t="s">
        <v>1753</v>
      </c>
      <c r="B1460" s="7" t="s">
        <v>98</v>
      </c>
      <c r="C1460" s="7"/>
      <c r="D1460" s="7" t="s">
        <v>99</v>
      </c>
      <c r="E1460" s="7" t="s">
        <v>341</v>
      </c>
      <c r="F1460" s="8" t="str">
        <f>_xlfn.IFNA(INDEX('HS Codes'!$D$2:$K4014,MATCH($B1460,'HS Codes'!$A$2:$A4014,0),MATCH(F$1,'HS Codes'!$D$1:$K$1,0)),"")</f>
        <v>6302.93.2000</v>
      </c>
      <c r="G1460" s="8">
        <f>_xlfn.IFNA(INDEX('HS Codes'!$D$2:$K4014,MATCH($B1460,'HS Codes'!$A$2:$A4014,0),MATCH(G$1,'HS Codes'!$D$1:$K$1,0)),"")</f>
        <v>6302939000</v>
      </c>
      <c r="H1460" s="8">
        <f>_xlfn.IFNA(INDEX('HS Codes'!$D$2:$K4014,MATCH($B1460,'HS Codes'!$A$2:$A4014,0),MATCH(H$1,'HS Codes'!$D$1:$K$1,0)),"")</f>
        <v>6302939000</v>
      </c>
      <c r="I1460" s="8">
        <f>_xlfn.IFNA(INDEX('HS Codes'!$D$2:$K4014,MATCH($B1460,'HS Codes'!$A$2:$A4014,0),MATCH(I$1,'HS Codes'!$D$1:$K$1,0)),"")</f>
        <v>6302939000</v>
      </c>
      <c r="J1460" s="8">
        <f>_xlfn.IFNA(INDEX('HS Codes'!$D$2:$K4014,MATCH($B1460,'HS Codes'!$A$2:$A4014,0),MATCH(J$1,'HS Codes'!$D$1:$K$1,0)),"")</f>
        <v>0</v>
      </c>
      <c r="K1460" s="8" t="str">
        <f>_xlfn.IFNA(INDEX('HS Codes'!$D$2:$K4014,MATCH($B1460,'HS Codes'!$A$2:$A4014,0),MATCH(K$1,'HS Codes'!$D$1:$K$1,0)),"")</f>
        <v>6302.29.00</v>
      </c>
      <c r="L1460" s="8">
        <f>_xlfn.IFNA(INDEX('HS Codes'!$D$2:$K4014,MATCH($B1460,'HS Codes'!$A$2:$A4014,0),MATCH(L$1,'HS Codes'!$D$1:$K$1,0)),"")</f>
        <v>0</v>
      </c>
      <c r="M1460" s="8" t="str">
        <f>_xlfn.IFNA(INDEX('HS Codes'!$C$2:$C4014,MATCH($B1460,'HS Codes'!$A$2:$A4014,0)),"")</f>
        <v>Fitness Towel - Toilet Linen 100% recycled polyester includes cotton on the packing pouch drawstring</v>
      </c>
      <c r="N1460" s="9"/>
      <c r="O1460" s="9"/>
      <c r="P1460" s="9"/>
      <c r="Q1460" s="9"/>
    </row>
    <row r="1461" spans="1:17" ht="15.75" customHeight="1">
      <c r="A1461" s="7" t="s">
        <v>1754</v>
      </c>
      <c r="B1461" s="7" t="s">
        <v>98</v>
      </c>
      <c r="C1461" s="7"/>
      <c r="D1461" s="7" t="s">
        <v>99</v>
      </c>
      <c r="E1461" s="7" t="s">
        <v>341</v>
      </c>
      <c r="F1461" s="8" t="str">
        <f>_xlfn.IFNA(INDEX('HS Codes'!$D$2:$K4015,MATCH($B1461,'HS Codes'!$A$2:$A4015,0),MATCH(F$1,'HS Codes'!$D$1:$K$1,0)),"")</f>
        <v>6302.93.2000</v>
      </c>
      <c r="G1461" s="8">
        <f>_xlfn.IFNA(INDEX('HS Codes'!$D$2:$K4015,MATCH($B1461,'HS Codes'!$A$2:$A4015,0),MATCH(G$1,'HS Codes'!$D$1:$K$1,0)),"")</f>
        <v>6302939000</v>
      </c>
      <c r="H1461" s="8">
        <f>_xlfn.IFNA(INDEX('HS Codes'!$D$2:$K4015,MATCH($B1461,'HS Codes'!$A$2:$A4015,0),MATCH(H$1,'HS Codes'!$D$1:$K$1,0)),"")</f>
        <v>6302939000</v>
      </c>
      <c r="I1461" s="8">
        <f>_xlfn.IFNA(INDEX('HS Codes'!$D$2:$K4015,MATCH($B1461,'HS Codes'!$A$2:$A4015,0),MATCH(I$1,'HS Codes'!$D$1:$K$1,0)),"")</f>
        <v>6302939000</v>
      </c>
      <c r="J1461" s="8">
        <f>_xlfn.IFNA(INDEX('HS Codes'!$D$2:$K4015,MATCH($B1461,'HS Codes'!$A$2:$A4015,0),MATCH(J$1,'HS Codes'!$D$1:$K$1,0)),"")</f>
        <v>0</v>
      </c>
      <c r="K1461" s="8" t="str">
        <f>_xlfn.IFNA(INDEX('HS Codes'!$D$2:$K4015,MATCH($B1461,'HS Codes'!$A$2:$A4015,0),MATCH(K$1,'HS Codes'!$D$1:$K$1,0)),"")</f>
        <v>6302.29.00</v>
      </c>
      <c r="L1461" s="8">
        <f>_xlfn.IFNA(INDEX('HS Codes'!$D$2:$K4015,MATCH($B1461,'HS Codes'!$A$2:$A4015,0),MATCH(L$1,'HS Codes'!$D$1:$K$1,0)),"")</f>
        <v>0</v>
      </c>
      <c r="M1461" s="8" t="str">
        <f>_xlfn.IFNA(INDEX('HS Codes'!$C$2:$C4015,MATCH($B1461,'HS Codes'!$A$2:$A4015,0)),"")</f>
        <v>Fitness Towel - Toilet Linen 100% recycled polyester includes cotton on the packing pouch drawstring</v>
      </c>
      <c r="N1461" s="9"/>
      <c r="O1461" s="9"/>
      <c r="P1461" s="9"/>
      <c r="Q1461" s="9"/>
    </row>
    <row r="1462" spans="1:17" ht="15.75" customHeight="1">
      <c r="A1462" s="7" t="s">
        <v>1755</v>
      </c>
      <c r="B1462" s="7" t="s">
        <v>98</v>
      </c>
      <c r="C1462" s="7"/>
      <c r="D1462" s="7" t="s">
        <v>99</v>
      </c>
      <c r="E1462" s="7" t="s">
        <v>341</v>
      </c>
      <c r="F1462" s="8" t="str">
        <f>_xlfn.IFNA(INDEX('HS Codes'!$D$2:$K4016,MATCH($B1462,'HS Codes'!$A$2:$A4016,0),MATCH(F$1,'HS Codes'!$D$1:$K$1,0)),"")</f>
        <v>6302.93.2000</v>
      </c>
      <c r="G1462" s="8">
        <f>_xlfn.IFNA(INDEX('HS Codes'!$D$2:$K4016,MATCH($B1462,'HS Codes'!$A$2:$A4016,0),MATCH(G$1,'HS Codes'!$D$1:$K$1,0)),"")</f>
        <v>6302939000</v>
      </c>
      <c r="H1462" s="8">
        <f>_xlfn.IFNA(INDEX('HS Codes'!$D$2:$K4016,MATCH($B1462,'HS Codes'!$A$2:$A4016,0),MATCH(H$1,'HS Codes'!$D$1:$K$1,0)),"")</f>
        <v>6302939000</v>
      </c>
      <c r="I1462" s="8">
        <f>_xlfn.IFNA(INDEX('HS Codes'!$D$2:$K4016,MATCH($B1462,'HS Codes'!$A$2:$A4016,0),MATCH(I$1,'HS Codes'!$D$1:$K$1,0)),"")</f>
        <v>6302939000</v>
      </c>
      <c r="J1462" s="8">
        <f>_xlfn.IFNA(INDEX('HS Codes'!$D$2:$K4016,MATCH($B1462,'HS Codes'!$A$2:$A4016,0),MATCH(J$1,'HS Codes'!$D$1:$K$1,0)),"")</f>
        <v>0</v>
      </c>
      <c r="K1462" s="8" t="str">
        <f>_xlfn.IFNA(INDEX('HS Codes'!$D$2:$K4016,MATCH($B1462,'HS Codes'!$A$2:$A4016,0),MATCH(K$1,'HS Codes'!$D$1:$K$1,0)),"")</f>
        <v>6302.29.00</v>
      </c>
      <c r="L1462" s="8">
        <f>_xlfn.IFNA(INDEX('HS Codes'!$D$2:$K4016,MATCH($B1462,'HS Codes'!$A$2:$A4016,0),MATCH(L$1,'HS Codes'!$D$1:$K$1,0)),"")</f>
        <v>0</v>
      </c>
      <c r="M1462" s="8" t="str">
        <f>_xlfn.IFNA(INDEX('HS Codes'!$C$2:$C4016,MATCH($B1462,'HS Codes'!$A$2:$A4016,0)),"")</f>
        <v>Fitness Towel - Toilet Linen 100% recycled polyester includes cotton on the packing pouch drawstring</v>
      </c>
      <c r="N1462" s="9"/>
      <c r="O1462" s="9"/>
      <c r="P1462" s="9"/>
      <c r="Q1462" s="9"/>
    </row>
    <row r="1463" spans="1:17" ht="15.75" customHeight="1">
      <c r="A1463" s="7" t="s">
        <v>1756</v>
      </c>
      <c r="B1463" s="7" t="s">
        <v>98</v>
      </c>
      <c r="C1463" s="7"/>
      <c r="D1463" s="7" t="s">
        <v>99</v>
      </c>
      <c r="E1463" s="7" t="s">
        <v>341</v>
      </c>
      <c r="F1463" s="8" t="str">
        <f>_xlfn.IFNA(INDEX('HS Codes'!$D$2:$K4017,MATCH($B1463,'HS Codes'!$A$2:$A4017,0),MATCH(F$1,'HS Codes'!$D$1:$K$1,0)),"")</f>
        <v>6302.93.2000</v>
      </c>
      <c r="G1463" s="8">
        <f>_xlfn.IFNA(INDEX('HS Codes'!$D$2:$K4017,MATCH($B1463,'HS Codes'!$A$2:$A4017,0),MATCH(G$1,'HS Codes'!$D$1:$K$1,0)),"")</f>
        <v>6302939000</v>
      </c>
      <c r="H1463" s="8">
        <f>_xlfn.IFNA(INDEX('HS Codes'!$D$2:$K4017,MATCH($B1463,'HS Codes'!$A$2:$A4017,0),MATCH(H$1,'HS Codes'!$D$1:$K$1,0)),"")</f>
        <v>6302939000</v>
      </c>
      <c r="I1463" s="8">
        <f>_xlfn.IFNA(INDEX('HS Codes'!$D$2:$K4017,MATCH($B1463,'HS Codes'!$A$2:$A4017,0),MATCH(I$1,'HS Codes'!$D$1:$K$1,0)),"")</f>
        <v>6302939000</v>
      </c>
      <c r="J1463" s="8">
        <f>_xlfn.IFNA(INDEX('HS Codes'!$D$2:$K4017,MATCH($B1463,'HS Codes'!$A$2:$A4017,0),MATCH(J$1,'HS Codes'!$D$1:$K$1,0)),"")</f>
        <v>0</v>
      </c>
      <c r="K1463" s="8" t="str">
        <f>_xlfn.IFNA(INDEX('HS Codes'!$D$2:$K4017,MATCH($B1463,'HS Codes'!$A$2:$A4017,0),MATCH(K$1,'HS Codes'!$D$1:$K$1,0)),"")</f>
        <v>6302.29.00</v>
      </c>
      <c r="L1463" s="8">
        <f>_xlfn.IFNA(INDEX('HS Codes'!$D$2:$K4017,MATCH($B1463,'HS Codes'!$A$2:$A4017,0),MATCH(L$1,'HS Codes'!$D$1:$K$1,0)),"")</f>
        <v>0</v>
      </c>
      <c r="M1463" s="8" t="str">
        <f>_xlfn.IFNA(INDEX('HS Codes'!$C$2:$C4017,MATCH($B1463,'HS Codes'!$A$2:$A4017,0)),"")</f>
        <v>Fitness Towel - Toilet Linen 100% recycled polyester includes cotton on the packing pouch drawstring</v>
      </c>
      <c r="N1463" s="9"/>
      <c r="O1463" s="9"/>
      <c r="P1463" s="9"/>
      <c r="Q1463" s="9"/>
    </row>
    <row r="1464" spans="1:17" ht="15.75" customHeight="1">
      <c r="A1464" s="7" t="s">
        <v>1757</v>
      </c>
      <c r="B1464" s="7" t="s">
        <v>98</v>
      </c>
      <c r="C1464" s="7"/>
      <c r="D1464" s="7" t="s">
        <v>99</v>
      </c>
      <c r="E1464" s="7" t="s">
        <v>341</v>
      </c>
      <c r="F1464" s="8" t="str">
        <f>_xlfn.IFNA(INDEX('HS Codes'!$D$2:$K4018,MATCH($B1464,'HS Codes'!$A$2:$A4018,0),MATCH(F$1,'HS Codes'!$D$1:$K$1,0)),"")</f>
        <v>6302.93.2000</v>
      </c>
      <c r="G1464" s="8">
        <f>_xlfn.IFNA(INDEX('HS Codes'!$D$2:$K4018,MATCH($B1464,'HS Codes'!$A$2:$A4018,0),MATCH(G$1,'HS Codes'!$D$1:$K$1,0)),"")</f>
        <v>6302939000</v>
      </c>
      <c r="H1464" s="8">
        <f>_xlfn.IFNA(INDEX('HS Codes'!$D$2:$K4018,MATCH($B1464,'HS Codes'!$A$2:$A4018,0),MATCH(H$1,'HS Codes'!$D$1:$K$1,0)),"")</f>
        <v>6302939000</v>
      </c>
      <c r="I1464" s="8">
        <f>_xlfn.IFNA(INDEX('HS Codes'!$D$2:$K4018,MATCH($B1464,'HS Codes'!$A$2:$A4018,0),MATCH(I$1,'HS Codes'!$D$1:$K$1,0)),"")</f>
        <v>6302939000</v>
      </c>
      <c r="J1464" s="8">
        <f>_xlfn.IFNA(INDEX('HS Codes'!$D$2:$K4018,MATCH($B1464,'HS Codes'!$A$2:$A4018,0),MATCH(J$1,'HS Codes'!$D$1:$K$1,0)),"")</f>
        <v>0</v>
      </c>
      <c r="K1464" s="8" t="str">
        <f>_xlfn.IFNA(INDEX('HS Codes'!$D$2:$K4018,MATCH($B1464,'HS Codes'!$A$2:$A4018,0),MATCH(K$1,'HS Codes'!$D$1:$K$1,0)),"")</f>
        <v>6302.29.00</v>
      </c>
      <c r="L1464" s="8">
        <f>_xlfn.IFNA(INDEX('HS Codes'!$D$2:$K4018,MATCH($B1464,'HS Codes'!$A$2:$A4018,0),MATCH(L$1,'HS Codes'!$D$1:$K$1,0)),"")</f>
        <v>0</v>
      </c>
      <c r="M1464" s="8" t="str">
        <f>_xlfn.IFNA(INDEX('HS Codes'!$C$2:$C4018,MATCH($B1464,'HS Codes'!$A$2:$A4018,0)),"")</f>
        <v>Fitness Towel - Toilet Linen 100% recycled polyester includes cotton on the packing pouch drawstring</v>
      </c>
      <c r="N1464" s="9"/>
      <c r="O1464" s="9"/>
      <c r="P1464" s="9"/>
      <c r="Q1464" s="9"/>
    </row>
    <row r="1465" spans="1:17" ht="15.75" customHeight="1">
      <c r="A1465" s="7" t="s">
        <v>1758</v>
      </c>
      <c r="B1465" s="7" t="s">
        <v>98</v>
      </c>
      <c r="C1465" s="7"/>
      <c r="D1465" s="7" t="s">
        <v>99</v>
      </c>
      <c r="E1465" s="7" t="s">
        <v>341</v>
      </c>
      <c r="F1465" s="8" t="str">
        <f>_xlfn.IFNA(INDEX('HS Codes'!$D$2:$K4019,MATCH($B1465,'HS Codes'!$A$2:$A4019,0),MATCH(F$1,'HS Codes'!$D$1:$K$1,0)),"")</f>
        <v>6302.93.2000</v>
      </c>
      <c r="G1465" s="8">
        <f>_xlfn.IFNA(INDEX('HS Codes'!$D$2:$K4019,MATCH($B1465,'HS Codes'!$A$2:$A4019,0),MATCH(G$1,'HS Codes'!$D$1:$K$1,0)),"")</f>
        <v>6302939000</v>
      </c>
      <c r="H1465" s="8">
        <f>_xlfn.IFNA(INDEX('HS Codes'!$D$2:$K4019,MATCH($B1465,'HS Codes'!$A$2:$A4019,0),MATCH(H$1,'HS Codes'!$D$1:$K$1,0)),"")</f>
        <v>6302939000</v>
      </c>
      <c r="I1465" s="8">
        <f>_xlfn.IFNA(INDEX('HS Codes'!$D$2:$K4019,MATCH($B1465,'HS Codes'!$A$2:$A4019,0),MATCH(I$1,'HS Codes'!$D$1:$K$1,0)),"")</f>
        <v>6302939000</v>
      </c>
      <c r="J1465" s="8">
        <f>_xlfn.IFNA(INDEX('HS Codes'!$D$2:$K4019,MATCH($B1465,'HS Codes'!$A$2:$A4019,0),MATCH(J$1,'HS Codes'!$D$1:$K$1,0)),"")</f>
        <v>0</v>
      </c>
      <c r="K1465" s="8" t="str">
        <f>_xlfn.IFNA(INDEX('HS Codes'!$D$2:$K4019,MATCH($B1465,'HS Codes'!$A$2:$A4019,0),MATCH(K$1,'HS Codes'!$D$1:$K$1,0)),"")</f>
        <v>6302.29.00</v>
      </c>
      <c r="L1465" s="8">
        <f>_xlfn.IFNA(INDEX('HS Codes'!$D$2:$K4019,MATCH($B1465,'HS Codes'!$A$2:$A4019,0),MATCH(L$1,'HS Codes'!$D$1:$K$1,0)),"")</f>
        <v>0</v>
      </c>
      <c r="M1465" s="8" t="str">
        <f>_xlfn.IFNA(INDEX('HS Codes'!$C$2:$C4019,MATCH($B1465,'HS Codes'!$A$2:$A4019,0)),"")</f>
        <v>Fitness Towel - Toilet Linen 100% recycled polyester includes cotton on the packing pouch drawstring</v>
      </c>
      <c r="N1465" s="9"/>
      <c r="O1465" s="9"/>
      <c r="P1465" s="9"/>
      <c r="Q1465" s="9"/>
    </row>
    <row r="1466" spans="1:17" ht="15.75" customHeight="1">
      <c r="A1466" s="7" t="s">
        <v>1759</v>
      </c>
      <c r="B1466" s="7" t="s">
        <v>98</v>
      </c>
      <c r="C1466" s="7"/>
      <c r="D1466" s="7" t="s">
        <v>99</v>
      </c>
      <c r="E1466" s="7" t="s">
        <v>341</v>
      </c>
      <c r="F1466" s="8" t="str">
        <f>_xlfn.IFNA(INDEX('HS Codes'!$D$2:$K4020,MATCH($B1466,'HS Codes'!$A$2:$A4020,0),MATCH(F$1,'HS Codes'!$D$1:$K$1,0)),"")</f>
        <v>6302.93.2000</v>
      </c>
      <c r="G1466" s="8">
        <f>_xlfn.IFNA(INDEX('HS Codes'!$D$2:$K4020,MATCH($B1466,'HS Codes'!$A$2:$A4020,0),MATCH(G$1,'HS Codes'!$D$1:$K$1,0)),"")</f>
        <v>6302939000</v>
      </c>
      <c r="H1466" s="8">
        <f>_xlfn.IFNA(INDEX('HS Codes'!$D$2:$K4020,MATCH($B1466,'HS Codes'!$A$2:$A4020,0),MATCH(H$1,'HS Codes'!$D$1:$K$1,0)),"")</f>
        <v>6302939000</v>
      </c>
      <c r="I1466" s="8">
        <f>_xlfn.IFNA(INDEX('HS Codes'!$D$2:$K4020,MATCH($B1466,'HS Codes'!$A$2:$A4020,0),MATCH(I$1,'HS Codes'!$D$1:$K$1,0)),"")</f>
        <v>6302939000</v>
      </c>
      <c r="J1466" s="8">
        <f>_xlfn.IFNA(INDEX('HS Codes'!$D$2:$K4020,MATCH($B1466,'HS Codes'!$A$2:$A4020,0),MATCH(J$1,'HS Codes'!$D$1:$K$1,0)),"")</f>
        <v>0</v>
      </c>
      <c r="K1466" s="8" t="str">
        <f>_xlfn.IFNA(INDEX('HS Codes'!$D$2:$K4020,MATCH($B1466,'HS Codes'!$A$2:$A4020,0),MATCH(K$1,'HS Codes'!$D$1:$K$1,0)),"")</f>
        <v>6302.29.00</v>
      </c>
      <c r="L1466" s="8">
        <f>_xlfn.IFNA(INDEX('HS Codes'!$D$2:$K4020,MATCH($B1466,'HS Codes'!$A$2:$A4020,0),MATCH(L$1,'HS Codes'!$D$1:$K$1,0)),"")</f>
        <v>0</v>
      </c>
      <c r="M1466" s="8" t="str">
        <f>_xlfn.IFNA(INDEX('HS Codes'!$C$2:$C4020,MATCH($B1466,'HS Codes'!$A$2:$A4020,0)),"")</f>
        <v>Fitness Towel - Toilet Linen 100% recycled polyester includes cotton on the packing pouch drawstring</v>
      </c>
      <c r="N1466" s="9"/>
      <c r="O1466" s="9"/>
      <c r="P1466" s="9"/>
      <c r="Q1466" s="9"/>
    </row>
    <row r="1467" spans="1:17" ht="15.75" customHeight="1">
      <c r="A1467" s="7" t="s">
        <v>1760</v>
      </c>
      <c r="B1467" s="7" t="s">
        <v>98</v>
      </c>
      <c r="C1467" s="7"/>
      <c r="D1467" s="7" t="s">
        <v>99</v>
      </c>
      <c r="E1467" s="7" t="s">
        <v>341</v>
      </c>
      <c r="F1467" s="8" t="str">
        <f>_xlfn.IFNA(INDEX('HS Codes'!$D$2:$K4021,MATCH($B1467,'HS Codes'!$A$2:$A4021,0),MATCH(F$1,'HS Codes'!$D$1:$K$1,0)),"")</f>
        <v>6302.93.2000</v>
      </c>
      <c r="G1467" s="8">
        <f>_xlfn.IFNA(INDEX('HS Codes'!$D$2:$K4021,MATCH($B1467,'HS Codes'!$A$2:$A4021,0),MATCH(G$1,'HS Codes'!$D$1:$K$1,0)),"")</f>
        <v>6302939000</v>
      </c>
      <c r="H1467" s="8">
        <f>_xlfn.IFNA(INDEX('HS Codes'!$D$2:$K4021,MATCH($B1467,'HS Codes'!$A$2:$A4021,0),MATCH(H$1,'HS Codes'!$D$1:$K$1,0)),"")</f>
        <v>6302939000</v>
      </c>
      <c r="I1467" s="8">
        <f>_xlfn.IFNA(INDEX('HS Codes'!$D$2:$K4021,MATCH($B1467,'HS Codes'!$A$2:$A4021,0),MATCH(I$1,'HS Codes'!$D$1:$K$1,0)),"")</f>
        <v>6302939000</v>
      </c>
      <c r="J1467" s="8">
        <f>_xlfn.IFNA(INDEX('HS Codes'!$D$2:$K4021,MATCH($B1467,'HS Codes'!$A$2:$A4021,0),MATCH(J$1,'HS Codes'!$D$1:$K$1,0)),"")</f>
        <v>0</v>
      </c>
      <c r="K1467" s="8" t="str">
        <f>_xlfn.IFNA(INDEX('HS Codes'!$D$2:$K4021,MATCH($B1467,'HS Codes'!$A$2:$A4021,0),MATCH(K$1,'HS Codes'!$D$1:$K$1,0)),"")</f>
        <v>6302.29.00</v>
      </c>
      <c r="L1467" s="8">
        <f>_xlfn.IFNA(INDEX('HS Codes'!$D$2:$K4021,MATCH($B1467,'HS Codes'!$A$2:$A4021,0),MATCH(L$1,'HS Codes'!$D$1:$K$1,0)),"")</f>
        <v>0</v>
      </c>
      <c r="M1467" s="8" t="str">
        <f>_xlfn.IFNA(INDEX('HS Codes'!$C$2:$C4021,MATCH($B1467,'HS Codes'!$A$2:$A4021,0)),"")</f>
        <v>Fitness Towel - Toilet Linen 100% recycled polyester includes cotton on the packing pouch drawstring</v>
      </c>
      <c r="N1467" s="9"/>
      <c r="O1467" s="9"/>
      <c r="P1467" s="9"/>
      <c r="Q1467" s="9"/>
    </row>
    <row r="1468" spans="1:17" ht="15.75" customHeight="1">
      <c r="A1468" s="7" t="s">
        <v>1761</v>
      </c>
      <c r="B1468" s="7" t="s">
        <v>98</v>
      </c>
      <c r="C1468" s="7"/>
      <c r="D1468" s="7" t="s">
        <v>99</v>
      </c>
      <c r="E1468" s="7" t="s">
        <v>341</v>
      </c>
      <c r="F1468" s="8" t="str">
        <f>_xlfn.IFNA(INDEX('HS Codes'!$D$2:$K4022,MATCH($B1468,'HS Codes'!$A$2:$A4022,0),MATCH(F$1,'HS Codes'!$D$1:$K$1,0)),"")</f>
        <v>6302.93.2000</v>
      </c>
      <c r="G1468" s="8">
        <f>_xlfn.IFNA(INDEX('HS Codes'!$D$2:$K4022,MATCH($B1468,'HS Codes'!$A$2:$A4022,0),MATCH(G$1,'HS Codes'!$D$1:$K$1,0)),"")</f>
        <v>6302939000</v>
      </c>
      <c r="H1468" s="8">
        <f>_xlfn.IFNA(INDEX('HS Codes'!$D$2:$K4022,MATCH($B1468,'HS Codes'!$A$2:$A4022,0),MATCH(H$1,'HS Codes'!$D$1:$K$1,0)),"")</f>
        <v>6302939000</v>
      </c>
      <c r="I1468" s="8">
        <f>_xlfn.IFNA(INDEX('HS Codes'!$D$2:$K4022,MATCH($B1468,'HS Codes'!$A$2:$A4022,0),MATCH(I$1,'HS Codes'!$D$1:$K$1,0)),"")</f>
        <v>6302939000</v>
      </c>
      <c r="J1468" s="8">
        <f>_xlfn.IFNA(INDEX('HS Codes'!$D$2:$K4022,MATCH($B1468,'HS Codes'!$A$2:$A4022,0),MATCH(J$1,'HS Codes'!$D$1:$K$1,0)),"")</f>
        <v>0</v>
      </c>
      <c r="K1468" s="8" t="str">
        <f>_xlfn.IFNA(INDEX('HS Codes'!$D$2:$K4022,MATCH($B1468,'HS Codes'!$A$2:$A4022,0),MATCH(K$1,'HS Codes'!$D$1:$K$1,0)),"")</f>
        <v>6302.29.00</v>
      </c>
      <c r="L1468" s="8">
        <f>_xlfn.IFNA(INDEX('HS Codes'!$D$2:$K4022,MATCH($B1468,'HS Codes'!$A$2:$A4022,0),MATCH(L$1,'HS Codes'!$D$1:$K$1,0)),"")</f>
        <v>0</v>
      </c>
      <c r="M1468" s="8" t="str">
        <f>_xlfn.IFNA(INDEX('HS Codes'!$C$2:$C4022,MATCH($B1468,'HS Codes'!$A$2:$A4022,0)),"")</f>
        <v>Fitness Towel - Toilet Linen 100% recycled polyester includes cotton on the packing pouch drawstring</v>
      </c>
      <c r="N1468" s="9"/>
      <c r="O1468" s="9"/>
      <c r="P1468" s="9"/>
      <c r="Q1468" s="9"/>
    </row>
    <row r="1469" spans="1:17" ht="15.75" customHeight="1">
      <c r="A1469" s="7" t="s">
        <v>1762</v>
      </c>
      <c r="B1469" s="7" t="s">
        <v>98</v>
      </c>
      <c r="C1469" s="7"/>
      <c r="D1469" s="7" t="s">
        <v>99</v>
      </c>
      <c r="E1469" s="7" t="s">
        <v>341</v>
      </c>
      <c r="F1469" s="8" t="str">
        <f>_xlfn.IFNA(INDEX('HS Codes'!$D$2:$K4023,MATCH($B1469,'HS Codes'!$A$2:$A4023,0),MATCH(F$1,'HS Codes'!$D$1:$K$1,0)),"")</f>
        <v>6302.93.2000</v>
      </c>
      <c r="G1469" s="8">
        <f>_xlfn.IFNA(INDEX('HS Codes'!$D$2:$K4023,MATCH($B1469,'HS Codes'!$A$2:$A4023,0),MATCH(G$1,'HS Codes'!$D$1:$K$1,0)),"")</f>
        <v>6302939000</v>
      </c>
      <c r="H1469" s="8">
        <f>_xlfn.IFNA(INDEX('HS Codes'!$D$2:$K4023,MATCH($B1469,'HS Codes'!$A$2:$A4023,0),MATCH(H$1,'HS Codes'!$D$1:$K$1,0)),"")</f>
        <v>6302939000</v>
      </c>
      <c r="I1469" s="8">
        <f>_xlfn.IFNA(INDEX('HS Codes'!$D$2:$K4023,MATCH($B1469,'HS Codes'!$A$2:$A4023,0),MATCH(I$1,'HS Codes'!$D$1:$K$1,0)),"")</f>
        <v>6302939000</v>
      </c>
      <c r="J1469" s="8">
        <f>_xlfn.IFNA(INDEX('HS Codes'!$D$2:$K4023,MATCH($B1469,'HS Codes'!$A$2:$A4023,0),MATCH(J$1,'HS Codes'!$D$1:$K$1,0)),"")</f>
        <v>0</v>
      </c>
      <c r="K1469" s="8" t="str">
        <f>_xlfn.IFNA(INDEX('HS Codes'!$D$2:$K4023,MATCH($B1469,'HS Codes'!$A$2:$A4023,0),MATCH(K$1,'HS Codes'!$D$1:$K$1,0)),"")</f>
        <v>6302.29.00</v>
      </c>
      <c r="L1469" s="8">
        <f>_xlfn.IFNA(INDEX('HS Codes'!$D$2:$K4023,MATCH($B1469,'HS Codes'!$A$2:$A4023,0),MATCH(L$1,'HS Codes'!$D$1:$K$1,0)),"")</f>
        <v>0</v>
      </c>
      <c r="M1469" s="8" t="str">
        <f>_xlfn.IFNA(INDEX('HS Codes'!$C$2:$C4023,MATCH($B1469,'HS Codes'!$A$2:$A4023,0)),"")</f>
        <v>Fitness Towel - Toilet Linen 100% recycled polyester includes cotton on the packing pouch drawstring</v>
      </c>
      <c r="N1469" s="9"/>
      <c r="O1469" s="9"/>
      <c r="P1469" s="9"/>
      <c r="Q1469" s="9"/>
    </row>
    <row r="1470" spans="1:17" ht="15.75" customHeight="1">
      <c r="A1470" s="7" t="s">
        <v>1763</v>
      </c>
      <c r="B1470" s="7" t="s">
        <v>98</v>
      </c>
      <c r="C1470" s="7"/>
      <c r="D1470" s="7" t="s">
        <v>99</v>
      </c>
      <c r="E1470" s="7" t="s">
        <v>341</v>
      </c>
      <c r="F1470" s="8" t="str">
        <f>_xlfn.IFNA(INDEX('HS Codes'!$D$2:$K4024,MATCH($B1470,'HS Codes'!$A$2:$A4024,0),MATCH(F$1,'HS Codes'!$D$1:$K$1,0)),"")</f>
        <v>6302.93.2000</v>
      </c>
      <c r="G1470" s="8">
        <f>_xlfn.IFNA(INDEX('HS Codes'!$D$2:$K4024,MATCH($B1470,'HS Codes'!$A$2:$A4024,0),MATCH(G$1,'HS Codes'!$D$1:$K$1,0)),"")</f>
        <v>6302939000</v>
      </c>
      <c r="H1470" s="8">
        <f>_xlfn.IFNA(INDEX('HS Codes'!$D$2:$K4024,MATCH($B1470,'HS Codes'!$A$2:$A4024,0),MATCH(H$1,'HS Codes'!$D$1:$K$1,0)),"")</f>
        <v>6302939000</v>
      </c>
      <c r="I1470" s="8">
        <f>_xlfn.IFNA(INDEX('HS Codes'!$D$2:$K4024,MATCH($B1470,'HS Codes'!$A$2:$A4024,0),MATCH(I$1,'HS Codes'!$D$1:$K$1,0)),"")</f>
        <v>6302939000</v>
      </c>
      <c r="J1470" s="8">
        <f>_xlfn.IFNA(INDEX('HS Codes'!$D$2:$K4024,MATCH($B1470,'HS Codes'!$A$2:$A4024,0),MATCH(J$1,'HS Codes'!$D$1:$K$1,0)),"")</f>
        <v>0</v>
      </c>
      <c r="K1470" s="8" t="str">
        <f>_xlfn.IFNA(INDEX('HS Codes'!$D$2:$K4024,MATCH($B1470,'HS Codes'!$A$2:$A4024,0),MATCH(K$1,'HS Codes'!$D$1:$K$1,0)),"")</f>
        <v>6302.29.00</v>
      </c>
      <c r="L1470" s="8">
        <f>_xlfn.IFNA(INDEX('HS Codes'!$D$2:$K4024,MATCH($B1470,'HS Codes'!$A$2:$A4024,0),MATCH(L$1,'HS Codes'!$D$1:$K$1,0)),"")</f>
        <v>0</v>
      </c>
      <c r="M1470" s="8" t="str">
        <f>_xlfn.IFNA(INDEX('HS Codes'!$C$2:$C4024,MATCH($B1470,'HS Codes'!$A$2:$A4024,0)),"")</f>
        <v>Fitness Towel - Toilet Linen 100% recycled polyester includes cotton on the packing pouch drawstring</v>
      </c>
      <c r="N1470" s="9"/>
      <c r="O1470" s="9"/>
      <c r="P1470" s="9"/>
      <c r="Q1470" s="9"/>
    </row>
    <row r="1471" spans="1:17" ht="15.75" customHeight="1">
      <c r="A1471" s="7" t="s">
        <v>1764</v>
      </c>
      <c r="B1471" s="7" t="s">
        <v>98</v>
      </c>
      <c r="C1471" s="7"/>
      <c r="D1471" s="7" t="s">
        <v>99</v>
      </c>
      <c r="E1471" s="7" t="s">
        <v>341</v>
      </c>
      <c r="F1471" s="8" t="str">
        <f>_xlfn.IFNA(INDEX('HS Codes'!$D$2:$K4025,MATCH($B1471,'HS Codes'!$A$2:$A4025,0),MATCH(F$1,'HS Codes'!$D$1:$K$1,0)),"")</f>
        <v>6302.93.2000</v>
      </c>
      <c r="G1471" s="8">
        <f>_xlfn.IFNA(INDEX('HS Codes'!$D$2:$K4025,MATCH($B1471,'HS Codes'!$A$2:$A4025,0),MATCH(G$1,'HS Codes'!$D$1:$K$1,0)),"")</f>
        <v>6302939000</v>
      </c>
      <c r="H1471" s="8">
        <f>_xlfn.IFNA(INDEX('HS Codes'!$D$2:$K4025,MATCH($B1471,'HS Codes'!$A$2:$A4025,0),MATCH(H$1,'HS Codes'!$D$1:$K$1,0)),"")</f>
        <v>6302939000</v>
      </c>
      <c r="I1471" s="8">
        <f>_xlfn.IFNA(INDEX('HS Codes'!$D$2:$K4025,MATCH($B1471,'HS Codes'!$A$2:$A4025,0),MATCH(I$1,'HS Codes'!$D$1:$K$1,0)),"")</f>
        <v>6302939000</v>
      </c>
      <c r="J1471" s="8">
        <f>_xlfn.IFNA(INDEX('HS Codes'!$D$2:$K4025,MATCH($B1471,'HS Codes'!$A$2:$A4025,0),MATCH(J$1,'HS Codes'!$D$1:$K$1,0)),"")</f>
        <v>0</v>
      </c>
      <c r="K1471" s="8" t="str">
        <f>_xlfn.IFNA(INDEX('HS Codes'!$D$2:$K4025,MATCH($B1471,'HS Codes'!$A$2:$A4025,0),MATCH(K$1,'HS Codes'!$D$1:$K$1,0)),"")</f>
        <v>6302.29.00</v>
      </c>
      <c r="L1471" s="8">
        <f>_xlfn.IFNA(INDEX('HS Codes'!$D$2:$K4025,MATCH($B1471,'HS Codes'!$A$2:$A4025,0),MATCH(L$1,'HS Codes'!$D$1:$K$1,0)),"")</f>
        <v>0</v>
      </c>
      <c r="M1471" s="8" t="str">
        <f>_xlfn.IFNA(INDEX('HS Codes'!$C$2:$C4025,MATCH($B1471,'HS Codes'!$A$2:$A4025,0)),"")</f>
        <v>Fitness Towel - Toilet Linen 100% recycled polyester includes cotton on the packing pouch drawstring</v>
      </c>
      <c r="N1471" s="9"/>
      <c r="O1471" s="9"/>
      <c r="P1471" s="9"/>
      <c r="Q1471" s="9"/>
    </row>
    <row r="1472" spans="1:17" ht="15.75" customHeight="1">
      <c r="A1472" s="7" t="s">
        <v>1765</v>
      </c>
      <c r="B1472" s="7" t="s">
        <v>98</v>
      </c>
      <c r="C1472" s="7"/>
      <c r="D1472" s="7" t="s">
        <v>99</v>
      </c>
      <c r="E1472" s="7" t="s">
        <v>341</v>
      </c>
      <c r="F1472" s="8" t="str">
        <f>_xlfn.IFNA(INDEX('HS Codes'!$D$2:$K4026,MATCH($B1472,'HS Codes'!$A$2:$A4026,0),MATCH(F$1,'HS Codes'!$D$1:$K$1,0)),"")</f>
        <v>6302.93.2000</v>
      </c>
      <c r="G1472" s="8">
        <f>_xlfn.IFNA(INDEX('HS Codes'!$D$2:$K4026,MATCH($B1472,'HS Codes'!$A$2:$A4026,0),MATCH(G$1,'HS Codes'!$D$1:$K$1,0)),"")</f>
        <v>6302939000</v>
      </c>
      <c r="H1472" s="8">
        <f>_xlfn.IFNA(INDEX('HS Codes'!$D$2:$K4026,MATCH($B1472,'HS Codes'!$A$2:$A4026,0),MATCH(H$1,'HS Codes'!$D$1:$K$1,0)),"")</f>
        <v>6302939000</v>
      </c>
      <c r="I1472" s="8">
        <f>_xlfn.IFNA(INDEX('HS Codes'!$D$2:$K4026,MATCH($B1472,'HS Codes'!$A$2:$A4026,0),MATCH(I$1,'HS Codes'!$D$1:$K$1,0)),"")</f>
        <v>6302939000</v>
      </c>
      <c r="J1472" s="8">
        <f>_xlfn.IFNA(INDEX('HS Codes'!$D$2:$K4026,MATCH($B1472,'HS Codes'!$A$2:$A4026,0),MATCH(J$1,'HS Codes'!$D$1:$K$1,0)),"")</f>
        <v>0</v>
      </c>
      <c r="K1472" s="8" t="str">
        <f>_xlfn.IFNA(INDEX('HS Codes'!$D$2:$K4026,MATCH($B1472,'HS Codes'!$A$2:$A4026,0),MATCH(K$1,'HS Codes'!$D$1:$K$1,0)),"")</f>
        <v>6302.29.00</v>
      </c>
      <c r="L1472" s="8">
        <f>_xlfn.IFNA(INDEX('HS Codes'!$D$2:$K4026,MATCH($B1472,'HS Codes'!$A$2:$A4026,0),MATCH(L$1,'HS Codes'!$D$1:$K$1,0)),"")</f>
        <v>0</v>
      </c>
      <c r="M1472" s="8" t="str">
        <f>_xlfn.IFNA(INDEX('HS Codes'!$C$2:$C4026,MATCH($B1472,'HS Codes'!$A$2:$A4026,0)),"")</f>
        <v>Fitness Towel - Toilet Linen 100% recycled polyester includes cotton on the packing pouch drawstring</v>
      </c>
      <c r="N1472" s="9"/>
      <c r="O1472" s="9"/>
      <c r="P1472" s="9"/>
      <c r="Q1472" s="9"/>
    </row>
    <row r="1473" spans="1:17" ht="15.75" customHeight="1">
      <c r="A1473" s="7" t="s">
        <v>1766</v>
      </c>
      <c r="B1473" s="7" t="s">
        <v>98</v>
      </c>
      <c r="C1473" s="7"/>
      <c r="D1473" s="7" t="s">
        <v>99</v>
      </c>
      <c r="E1473" s="7" t="s">
        <v>341</v>
      </c>
      <c r="F1473" s="8" t="str">
        <f>_xlfn.IFNA(INDEX('HS Codes'!$D$2:$K4027,MATCH($B1473,'HS Codes'!$A$2:$A4027,0),MATCH(F$1,'HS Codes'!$D$1:$K$1,0)),"")</f>
        <v>6302.93.2000</v>
      </c>
      <c r="G1473" s="8">
        <f>_xlfn.IFNA(INDEX('HS Codes'!$D$2:$K4027,MATCH($B1473,'HS Codes'!$A$2:$A4027,0),MATCH(G$1,'HS Codes'!$D$1:$K$1,0)),"")</f>
        <v>6302939000</v>
      </c>
      <c r="H1473" s="8">
        <f>_xlfn.IFNA(INDEX('HS Codes'!$D$2:$K4027,MATCH($B1473,'HS Codes'!$A$2:$A4027,0),MATCH(H$1,'HS Codes'!$D$1:$K$1,0)),"")</f>
        <v>6302939000</v>
      </c>
      <c r="I1473" s="8">
        <f>_xlfn.IFNA(INDEX('HS Codes'!$D$2:$K4027,MATCH($B1473,'HS Codes'!$A$2:$A4027,0),MATCH(I$1,'HS Codes'!$D$1:$K$1,0)),"")</f>
        <v>6302939000</v>
      </c>
      <c r="J1473" s="8">
        <f>_xlfn.IFNA(INDEX('HS Codes'!$D$2:$K4027,MATCH($B1473,'HS Codes'!$A$2:$A4027,0),MATCH(J$1,'HS Codes'!$D$1:$K$1,0)),"")</f>
        <v>0</v>
      </c>
      <c r="K1473" s="8" t="str">
        <f>_xlfn.IFNA(INDEX('HS Codes'!$D$2:$K4027,MATCH($B1473,'HS Codes'!$A$2:$A4027,0),MATCH(K$1,'HS Codes'!$D$1:$K$1,0)),"")</f>
        <v>6302.29.00</v>
      </c>
      <c r="L1473" s="8">
        <f>_xlfn.IFNA(INDEX('HS Codes'!$D$2:$K4027,MATCH($B1473,'HS Codes'!$A$2:$A4027,0),MATCH(L$1,'HS Codes'!$D$1:$K$1,0)),"")</f>
        <v>0</v>
      </c>
      <c r="M1473" s="8" t="str">
        <f>_xlfn.IFNA(INDEX('HS Codes'!$C$2:$C4027,MATCH($B1473,'HS Codes'!$A$2:$A4027,0)),"")</f>
        <v>Fitness Towel - Toilet Linen 100% recycled polyester includes cotton on the packing pouch drawstring</v>
      </c>
      <c r="N1473" s="9"/>
      <c r="O1473" s="9"/>
      <c r="P1473" s="9"/>
      <c r="Q1473" s="9"/>
    </row>
    <row r="1474" spans="1:17" ht="15.75" customHeight="1">
      <c r="A1474" s="7" t="s">
        <v>1767</v>
      </c>
      <c r="B1474" s="7" t="s">
        <v>98</v>
      </c>
      <c r="C1474" s="7"/>
      <c r="D1474" s="7" t="s">
        <v>99</v>
      </c>
      <c r="E1474" s="7" t="s">
        <v>341</v>
      </c>
      <c r="F1474" s="8" t="str">
        <f>_xlfn.IFNA(INDEX('HS Codes'!$D$2:$K4028,MATCH($B1474,'HS Codes'!$A$2:$A4028,0),MATCH(F$1,'HS Codes'!$D$1:$K$1,0)),"")</f>
        <v>6302.93.2000</v>
      </c>
      <c r="G1474" s="8">
        <f>_xlfn.IFNA(INDEX('HS Codes'!$D$2:$K4028,MATCH($B1474,'HS Codes'!$A$2:$A4028,0),MATCH(G$1,'HS Codes'!$D$1:$K$1,0)),"")</f>
        <v>6302939000</v>
      </c>
      <c r="H1474" s="8">
        <f>_xlfn.IFNA(INDEX('HS Codes'!$D$2:$K4028,MATCH($B1474,'HS Codes'!$A$2:$A4028,0),MATCH(H$1,'HS Codes'!$D$1:$K$1,0)),"")</f>
        <v>6302939000</v>
      </c>
      <c r="I1474" s="8">
        <f>_xlfn.IFNA(INDEX('HS Codes'!$D$2:$K4028,MATCH($B1474,'HS Codes'!$A$2:$A4028,0),MATCH(I$1,'HS Codes'!$D$1:$K$1,0)),"")</f>
        <v>6302939000</v>
      </c>
      <c r="J1474" s="8">
        <f>_xlfn.IFNA(INDEX('HS Codes'!$D$2:$K4028,MATCH($B1474,'HS Codes'!$A$2:$A4028,0),MATCH(J$1,'HS Codes'!$D$1:$K$1,0)),"")</f>
        <v>0</v>
      </c>
      <c r="K1474" s="8" t="str">
        <f>_xlfn.IFNA(INDEX('HS Codes'!$D$2:$K4028,MATCH($B1474,'HS Codes'!$A$2:$A4028,0),MATCH(K$1,'HS Codes'!$D$1:$K$1,0)),"")</f>
        <v>6302.29.00</v>
      </c>
      <c r="L1474" s="8">
        <f>_xlfn.IFNA(INDEX('HS Codes'!$D$2:$K4028,MATCH($B1474,'HS Codes'!$A$2:$A4028,0),MATCH(L$1,'HS Codes'!$D$1:$K$1,0)),"")</f>
        <v>0</v>
      </c>
      <c r="M1474" s="8" t="str">
        <f>_xlfn.IFNA(INDEX('HS Codes'!$C$2:$C4028,MATCH($B1474,'HS Codes'!$A$2:$A4028,0)),"")</f>
        <v>Fitness Towel - Toilet Linen 100% recycled polyester includes cotton on the packing pouch drawstring</v>
      </c>
      <c r="N1474" s="9"/>
      <c r="O1474" s="9"/>
      <c r="P1474" s="9"/>
      <c r="Q1474" s="9"/>
    </row>
    <row r="1475" spans="1:17" ht="15.75" customHeight="1">
      <c r="A1475" s="7" t="s">
        <v>1768</v>
      </c>
      <c r="B1475" s="7" t="s">
        <v>98</v>
      </c>
      <c r="C1475" s="7"/>
      <c r="D1475" s="7" t="s">
        <v>99</v>
      </c>
      <c r="E1475" s="7" t="s">
        <v>341</v>
      </c>
      <c r="F1475" s="8" t="str">
        <f>_xlfn.IFNA(INDEX('HS Codes'!$D$2:$K4029,MATCH($B1475,'HS Codes'!$A$2:$A4029,0),MATCH(F$1,'HS Codes'!$D$1:$K$1,0)),"")</f>
        <v>6302.93.2000</v>
      </c>
      <c r="G1475" s="8">
        <f>_xlfn.IFNA(INDEX('HS Codes'!$D$2:$K4029,MATCH($B1475,'HS Codes'!$A$2:$A4029,0),MATCH(G$1,'HS Codes'!$D$1:$K$1,0)),"")</f>
        <v>6302939000</v>
      </c>
      <c r="H1475" s="8">
        <f>_xlfn.IFNA(INDEX('HS Codes'!$D$2:$K4029,MATCH($B1475,'HS Codes'!$A$2:$A4029,0),MATCH(H$1,'HS Codes'!$D$1:$K$1,0)),"")</f>
        <v>6302939000</v>
      </c>
      <c r="I1475" s="8">
        <f>_xlfn.IFNA(INDEX('HS Codes'!$D$2:$K4029,MATCH($B1475,'HS Codes'!$A$2:$A4029,0),MATCH(I$1,'HS Codes'!$D$1:$K$1,0)),"")</f>
        <v>6302939000</v>
      </c>
      <c r="J1475" s="8">
        <f>_xlfn.IFNA(INDEX('HS Codes'!$D$2:$K4029,MATCH($B1475,'HS Codes'!$A$2:$A4029,0),MATCH(J$1,'HS Codes'!$D$1:$K$1,0)),"")</f>
        <v>0</v>
      </c>
      <c r="K1475" s="8" t="str">
        <f>_xlfn.IFNA(INDEX('HS Codes'!$D$2:$K4029,MATCH($B1475,'HS Codes'!$A$2:$A4029,0),MATCH(K$1,'HS Codes'!$D$1:$K$1,0)),"")</f>
        <v>6302.29.00</v>
      </c>
      <c r="L1475" s="8">
        <f>_xlfn.IFNA(INDEX('HS Codes'!$D$2:$K4029,MATCH($B1475,'HS Codes'!$A$2:$A4029,0),MATCH(L$1,'HS Codes'!$D$1:$K$1,0)),"")</f>
        <v>0</v>
      </c>
      <c r="M1475" s="8" t="str">
        <f>_xlfn.IFNA(INDEX('HS Codes'!$C$2:$C4029,MATCH($B1475,'HS Codes'!$A$2:$A4029,0)),"")</f>
        <v>Fitness Towel - Toilet Linen 100% recycled polyester includes cotton on the packing pouch drawstring</v>
      </c>
      <c r="N1475" s="9"/>
      <c r="O1475" s="9"/>
      <c r="P1475" s="9"/>
      <c r="Q1475" s="9"/>
    </row>
    <row r="1476" spans="1:17" ht="15.75" customHeight="1">
      <c r="A1476" s="7" t="s">
        <v>1769</v>
      </c>
      <c r="B1476" s="7" t="s">
        <v>98</v>
      </c>
      <c r="C1476" s="7"/>
      <c r="D1476" s="7" t="s">
        <v>99</v>
      </c>
      <c r="E1476" s="7" t="s">
        <v>341</v>
      </c>
      <c r="F1476" s="8" t="str">
        <f>_xlfn.IFNA(INDEX('HS Codes'!$D$2:$K4030,MATCH($B1476,'HS Codes'!$A$2:$A4030,0),MATCH(F$1,'HS Codes'!$D$1:$K$1,0)),"")</f>
        <v>6302.93.2000</v>
      </c>
      <c r="G1476" s="8">
        <f>_xlfn.IFNA(INDEX('HS Codes'!$D$2:$K4030,MATCH($B1476,'HS Codes'!$A$2:$A4030,0),MATCH(G$1,'HS Codes'!$D$1:$K$1,0)),"")</f>
        <v>6302939000</v>
      </c>
      <c r="H1476" s="8">
        <f>_xlfn.IFNA(INDEX('HS Codes'!$D$2:$K4030,MATCH($B1476,'HS Codes'!$A$2:$A4030,0),MATCH(H$1,'HS Codes'!$D$1:$K$1,0)),"")</f>
        <v>6302939000</v>
      </c>
      <c r="I1476" s="8">
        <f>_xlfn.IFNA(INDEX('HS Codes'!$D$2:$K4030,MATCH($B1476,'HS Codes'!$A$2:$A4030,0),MATCH(I$1,'HS Codes'!$D$1:$K$1,0)),"")</f>
        <v>6302939000</v>
      </c>
      <c r="J1476" s="8">
        <f>_xlfn.IFNA(INDEX('HS Codes'!$D$2:$K4030,MATCH($B1476,'HS Codes'!$A$2:$A4030,0),MATCH(J$1,'HS Codes'!$D$1:$K$1,0)),"")</f>
        <v>0</v>
      </c>
      <c r="K1476" s="8" t="str">
        <f>_xlfn.IFNA(INDEX('HS Codes'!$D$2:$K4030,MATCH($B1476,'HS Codes'!$A$2:$A4030,0),MATCH(K$1,'HS Codes'!$D$1:$K$1,0)),"")</f>
        <v>6302.29.00</v>
      </c>
      <c r="L1476" s="8">
        <f>_xlfn.IFNA(INDEX('HS Codes'!$D$2:$K4030,MATCH($B1476,'HS Codes'!$A$2:$A4030,0),MATCH(L$1,'HS Codes'!$D$1:$K$1,0)),"")</f>
        <v>0</v>
      </c>
      <c r="M1476" s="8" t="str">
        <f>_xlfn.IFNA(INDEX('HS Codes'!$C$2:$C4030,MATCH($B1476,'HS Codes'!$A$2:$A4030,0)),"")</f>
        <v>Fitness Towel - Toilet Linen 100% recycled polyester includes cotton on the packing pouch drawstring</v>
      </c>
      <c r="N1476" s="9"/>
      <c r="O1476" s="9"/>
      <c r="P1476" s="9"/>
      <c r="Q1476" s="9"/>
    </row>
    <row r="1477" spans="1:17" ht="15.75" customHeight="1">
      <c r="A1477" s="7" t="s">
        <v>1770</v>
      </c>
      <c r="B1477" s="7" t="s">
        <v>98</v>
      </c>
      <c r="C1477" s="7"/>
      <c r="D1477" s="7" t="s">
        <v>99</v>
      </c>
      <c r="E1477" s="7" t="s">
        <v>341</v>
      </c>
      <c r="F1477" s="8" t="str">
        <f>_xlfn.IFNA(INDEX('HS Codes'!$D$2:$K4031,MATCH($B1477,'HS Codes'!$A$2:$A4031,0),MATCH(F$1,'HS Codes'!$D$1:$K$1,0)),"")</f>
        <v>6302.93.2000</v>
      </c>
      <c r="G1477" s="8">
        <f>_xlfn.IFNA(INDEX('HS Codes'!$D$2:$K4031,MATCH($B1477,'HS Codes'!$A$2:$A4031,0),MATCH(G$1,'HS Codes'!$D$1:$K$1,0)),"")</f>
        <v>6302939000</v>
      </c>
      <c r="H1477" s="8">
        <f>_xlfn.IFNA(INDEX('HS Codes'!$D$2:$K4031,MATCH($B1477,'HS Codes'!$A$2:$A4031,0),MATCH(H$1,'HS Codes'!$D$1:$K$1,0)),"")</f>
        <v>6302939000</v>
      </c>
      <c r="I1477" s="8">
        <f>_xlfn.IFNA(INDEX('HS Codes'!$D$2:$K4031,MATCH($B1477,'HS Codes'!$A$2:$A4031,0),MATCH(I$1,'HS Codes'!$D$1:$K$1,0)),"")</f>
        <v>6302939000</v>
      </c>
      <c r="J1477" s="8">
        <f>_xlfn.IFNA(INDEX('HS Codes'!$D$2:$K4031,MATCH($B1477,'HS Codes'!$A$2:$A4031,0),MATCH(J$1,'HS Codes'!$D$1:$K$1,0)),"")</f>
        <v>0</v>
      </c>
      <c r="K1477" s="8" t="str">
        <f>_xlfn.IFNA(INDEX('HS Codes'!$D$2:$K4031,MATCH($B1477,'HS Codes'!$A$2:$A4031,0),MATCH(K$1,'HS Codes'!$D$1:$K$1,0)),"")</f>
        <v>6302.29.00</v>
      </c>
      <c r="L1477" s="8">
        <f>_xlfn.IFNA(INDEX('HS Codes'!$D$2:$K4031,MATCH($B1477,'HS Codes'!$A$2:$A4031,0),MATCH(L$1,'HS Codes'!$D$1:$K$1,0)),"")</f>
        <v>0</v>
      </c>
      <c r="M1477" s="8" t="str">
        <f>_xlfn.IFNA(INDEX('HS Codes'!$C$2:$C4031,MATCH($B1477,'HS Codes'!$A$2:$A4031,0)),"")</f>
        <v>Fitness Towel - Toilet Linen 100% recycled polyester includes cotton on the packing pouch drawstring</v>
      </c>
      <c r="N1477" s="9"/>
      <c r="O1477" s="9"/>
      <c r="P1477" s="9"/>
      <c r="Q1477" s="9"/>
    </row>
    <row r="1478" spans="1:17" ht="15.75" customHeight="1">
      <c r="A1478" s="7" t="s">
        <v>1771</v>
      </c>
      <c r="B1478" s="7" t="s">
        <v>98</v>
      </c>
      <c r="C1478" s="7"/>
      <c r="D1478" s="7" t="s">
        <v>99</v>
      </c>
      <c r="E1478" s="7" t="s">
        <v>341</v>
      </c>
      <c r="F1478" s="8" t="str">
        <f>_xlfn.IFNA(INDEX('HS Codes'!$D$2:$K4032,MATCH($B1478,'HS Codes'!$A$2:$A4032,0),MATCH(F$1,'HS Codes'!$D$1:$K$1,0)),"")</f>
        <v>6302.93.2000</v>
      </c>
      <c r="G1478" s="8">
        <f>_xlfn.IFNA(INDEX('HS Codes'!$D$2:$K4032,MATCH($B1478,'HS Codes'!$A$2:$A4032,0),MATCH(G$1,'HS Codes'!$D$1:$K$1,0)),"")</f>
        <v>6302939000</v>
      </c>
      <c r="H1478" s="8">
        <f>_xlfn.IFNA(INDEX('HS Codes'!$D$2:$K4032,MATCH($B1478,'HS Codes'!$A$2:$A4032,0),MATCH(H$1,'HS Codes'!$D$1:$K$1,0)),"")</f>
        <v>6302939000</v>
      </c>
      <c r="I1478" s="8">
        <f>_xlfn.IFNA(INDEX('HS Codes'!$D$2:$K4032,MATCH($B1478,'HS Codes'!$A$2:$A4032,0),MATCH(I$1,'HS Codes'!$D$1:$K$1,0)),"")</f>
        <v>6302939000</v>
      </c>
      <c r="J1478" s="8">
        <f>_xlfn.IFNA(INDEX('HS Codes'!$D$2:$K4032,MATCH($B1478,'HS Codes'!$A$2:$A4032,0),MATCH(J$1,'HS Codes'!$D$1:$K$1,0)),"")</f>
        <v>0</v>
      </c>
      <c r="K1478" s="8" t="str">
        <f>_xlfn.IFNA(INDEX('HS Codes'!$D$2:$K4032,MATCH($B1478,'HS Codes'!$A$2:$A4032,0),MATCH(K$1,'HS Codes'!$D$1:$K$1,0)),"")</f>
        <v>6302.29.00</v>
      </c>
      <c r="L1478" s="8">
        <f>_xlfn.IFNA(INDEX('HS Codes'!$D$2:$K4032,MATCH($B1478,'HS Codes'!$A$2:$A4032,0),MATCH(L$1,'HS Codes'!$D$1:$K$1,0)),"")</f>
        <v>0</v>
      </c>
      <c r="M1478" s="8" t="str">
        <f>_xlfn.IFNA(INDEX('HS Codes'!$C$2:$C4032,MATCH($B1478,'HS Codes'!$A$2:$A4032,0)),"")</f>
        <v>Fitness Towel - Toilet Linen 100% recycled polyester includes cotton on the packing pouch drawstring</v>
      </c>
      <c r="N1478" s="9"/>
      <c r="O1478" s="9"/>
      <c r="P1478" s="9"/>
      <c r="Q1478" s="9"/>
    </row>
    <row r="1479" spans="1:17" ht="15.75" customHeight="1">
      <c r="A1479" s="7" t="s">
        <v>1772</v>
      </c>
      <c r="B1479" s="7" t="s">
        <v>98</v>
      </c>
      <c r="C1479" s="7"/>
      <c r="D1479" s="7" t="s">
        <v>99</v>
      </c>
      <c r="E1479" s="7" t="s">
        <v>341</v>
      </c>
      <c r="F1479" s="8" t="str">
        <f>_xlfn.IFNA(INDEX('HS Codes'!$D$2:$K4033,MATCH($B1479,'HS Codes'!$A$2:$A4033,0),MATCH(F$1,'HS Codes'!$D$1:$K$1,0)),"")</f>
        <v>6302.93.2000</v>
      </c>
      <c r="G1479" s="8">
        <f>_xlfn.IFNA(INDEX('HS Codes'!$D$2:$K4033,MATCH($B1479,'HS Codes'!$A$2:$A4033,0),MATCH(G$1,'HS Codes'!$D$1:$K$1,0)),"")</f>
        <v>6302939000</v>
      </c>
      <c r="H1479" s="8">
        <f>_xlfn.IFNA(INDEX('HS Codes'!$D$2:$K4033,MATCH($B1479,'HS Codes'!$A$2:$A4033,0),MATCH(H$1,'HS Codes'!$D$1:$K$1,0)),"")</f>
        <v>6302939000</v>
      </c>
      <c r="I1479" s="8">
        <f>_xlfn.IFNA(INDEX('HS Codes'!$D$2:$K4033,MATCH($B1479,'HS Codes'!$A$2:$A4033,0),MATCH(I$1,'HS Codes'!$D$1:$K$1,0)),"")</f>
        <v>6302939000</v>
      </c>
      <c r="J1479" s="8">
        <f>_xlfn.IFNA(INDEX('HS Codes'!$D$2:$K4033,MATCH($B1479,'HS Codes'!$A$2:$A4033,0),MATCH(J$1,'HS Codes'!$D$1:$K$1,0)),"")</f>
        <v>0</v>
      </c>
      <c r="K1479" s="8" t="str">
        <f>_xlfn.IFNA(INDEX('HS Codes'!$D$2:$K4033,MATCH($B1479,'HS Codes'!$A$2:$A4033,0),MATCH(K$1,'HS Codes'!$D$1:$K$1,0)),"")</f>
        <v>6302.29.00</v>
      </c>
      <c r="L1479" s="8">
        <f>_xlfn.IFNA(INDEX('HS Codes'!$D$2:$K4033,MATCH($B1479,'HS Codes'!$A$2:$A4033,0),MATCH(L$1,'HS Codes'!$D$1:$K$1,0)),"")</f>
        <v>0</v>
      </c>
      <c r="M1479" s="8" t="str">
        <f>_xlfn.IFNA(INDEX('HS Codes'!$C$2:$C4033,MATCH($B1479,'HS Codes'!$A$2:$A4033,0)),"")</f>
        <v>Fitness Towel - Toilet Linen 100% recycled polyester includes cotton on the packing pouch drawstring</v>
      </c>
      <c r="N1479" s="9"/>
      <c r="O1479" s="9"/>
      <c r="P1479" s="9"/>
      <c r="Q1479" s="9"/>
    </row>
    <row r="1480" spans="1:17" ht="15.75" customHeight="1">
      <c r="A1480" s="7" t="s">
        <v>1773</v>
      </c>
      <c r="B1480" s="7" t="s">
        <v>98</v>
      </c>
      <c r="C1480" s="7"/>
      <c r="D1480" s="7" t="s">
        <v>99</v>
      </c>
      <c r="E1480" s="7" t="s">
        <v>341</v>
      </c>
      <c r="F1480" s="8" t="str">
        <f>_xlfn.IFNA(INDEX('HS Codes'!$D$2:$K4034,MATCH($B1480,'HS Codes'!$A$2:$A4034,0),MATCH(F$1,'HS Codes'!$D$1:$K$1,0)),"")</f>
        <v>6302.93.2000</v>
      </c>
      <c r="G1480" s="8">
        <f>_xlfn.IFNA(INDEX('HS Codes'!$D$2:$K4034,MATCH($B1480,'HS Codes'!$A$2:$A4034,0),MATCH(G$1,'HS Codes'!$D$1:$K$1,0)),"")</f>
        <v>6302939000</v>
      </c>
      <c r="H1480" s="8">
        <f>_xlfn.IFNA(INDEX('HS Codes'!$D$2:$K4034,MATCH($B1480,'HS Codes'!$A$2:$A4034,0),MATCH(H$1,'HS Codes'!$D$1:$K$1,0)),"")</f>
        <v>6302939000</v>
      </c>
      <c r="I1480" s="8">
        <f>_xlfn.IFNA(INDEX('HS Codes'!$D$2:$K4034,MATCH($B1480,'HS Codes'!$A$2:$A4034,0),MATCH(I$1,'HS Codes'!$D$1:$K$1,0)),"")</f>
        <v>6302939000</v>
      </c>
      <c r="J1480" s="8">
        <f>_xlfn.IFNA(INDEX('HS Codes'!$D$2:$K4034,MATCH($B1480,'HS Codes'!$A$2:$A4034,0),MATCH(J$1,'HS Codes'!$D$1:$K$1,0)),"")</f>
        <v>0</v>
      </c>
      <c r="K1480" s="8" t="str">
        <f>_xlfn.IFNA(INDEX('HS Codes'!$D$2:$K4034,MATCH($B1480,'HS Codes'!$A$2:$A4034,0),MATCH(K$1,'HS Codes'!$D$1:$K$1,0)),"")</f>
        <v>6302.29.00</v>
      </c>
      <c r="L1480" s="8">
        <f>_xlfn.IFNA(INDEX('HS Codes'!$D$2:$K4034,MATCH($B1480,'HS Codes'!$A$2:$A4034,0),MATCH(L$1,'HS Codes'!$D$1:$K$1,0)),"")</f>
        <v>0</v>
      </c>
      <c r="M1480" s="8" t="str">
        <f>_xlfn.IFNA(INDEX('HS Codes'!$C$2:$C4034,MATCH($B1480,'HS Codes'!$A$2:$A4034,0)),"")</f>
        <v>Fitness Towel - Toilet Linen 100% recycled polyester includes cotton on the packing pouch drawstring</v>
      </c>
      <c r="N1480" s="9"/>
      <c r="O1480" s="9"/>
      <c r="P1480" s="9"/>
      <c r="Q1480" s="9"/>
    </row>
    <row r="1481" spans="1:17" ht="15.75" customHeight="1">
      <c r="A1481" s="7" t="s">
        <v>1774</v>
      </c>
      <c r="B1481" s="7" t="s">
        <v>98</v>
      </c>
      <c r="C1481" s="7"/>
      <c r="D1481" s="7" t="s">
        <v>99</v>
      </c>
      <c r="E1481" s="7" t="s">
        <v>341</v>
      </c>
      <c r="F1481" s="8" t="str">
        <f>_xlfn.IFNA(INDEX('HS Codes'!$D$2:$K4035,MATCH($B1481,'HS Codes'!$A$2:$A4035,0),MATCH(F$1,'HS Codes'!$D$1:$K$1,0)),"")</f>
        <v>6302.93.2000</v>
      </c>
      <c r="G1481" s="8">
        <f>_xlfn.IFNA(INDEX('HS Codes'!$D$2:$K4035,MATCH($B1481,'HS Codes'!$A$2:$A4035,0),MATCH(G$1,'HS Codes'!$D$1:$K$1,0)),"")</f>
        <v>6302939000</v>
      </c>
      <c r="H1481" s="8">
        <f>_xlfn.IFNA(INDEX('HS Codes'!$D$2:$K4035,MATCH($B1481,'HS Codes'!$A$2:$A4035,0),MATCH(H$1,'HS Codes'!$D$1:$K$1,0)),"")</f>
        <v>6302939000</v>
      </c>
      <c r="I1481" s="8">
        <f>_xlfn.IFNA(INDEX('HS Codes'!$D$2:$K4035,MATCH($B1481,'HS Codes'!$A$2:$A4035,0),MATCH(I$1,'HS Codes'!$D$1:$K$1,0)),"")</f>
        <v>6302939000</v>
      </c>
      <c r="J1481" s="8">
        <f>_xlfn.IFNA(INDEX('HS Codes'!$D$2:$K4035,MATCH($B1481,'HS Codes'!$A$2:$A4035,0),MATCH(J$1,'HS Codes'!$D$1:$K$1,0)),"")</f>
        <v>0</v>
      </c>
      <c r="K1481" s="8" t="str">
        <f>_xlfn.IFNA(INDEX('HS Codes'!$D$2:$K4035,MATCH($B1481,'HS Codes'!$A$2:$A4035,0),MATCH(K$1,'HS Codes'!$D$1:$K$1,0)),"")</f>
        <v>6302.29.00</v>
      </c>
      <c r="L1481" s="8">
        <f>_xlfn.IFNA(INDEX('HS Codes'!$D$2:$K4035,MATCH($B1481,'HS Codes'!$A$2:$A4035,0),MATCH(L$1,'HS Codes'!$D$1:$K$1,0)),"")</f>
        <v>0</v>
      </c>
      <c r="M1481" s="8" t="str">
        <f>_xlfn.IFNA(INDEX('HS Codes'!$C$2:$C4035,MATCH($B1481,'HS Codes'!$A$2:$A4035,0)),"")</f>
        <v>Fitness Towel - Toilet Linen 100% recycled polyester includes cotton on the packing pouch drawstring</v>
      </c>
      <c r="N1481" s="9"/>
      <c r="O1481" s="9"/>
      <c r="P1481" s="9"/>
      <c r="Q1481" s="9"/>
    </row>
    <row r="1482" spans="1:17" ht="15.75" customHeight="1">
      <c r="A1482" s="7" t="s">
        <v>1775</v>
      </c>
      <c r="B1482" s="7" t="s">
        <v>98</v>
      </c>
      <c r="C1482" s="7"/>
      <c r="D1482" s="7" t="s">
        <v>99</v>
      </c>
      <c r="E1482" s="7" t="s">
        <v>341</v>
      </c>
      <c r="F1482" s="8" t="str">
        <f>_xlfn.IFNA(INDEX('HS Codes'!$D$2:$K4036,MATCH($B1482,'HS Codes'!$A$2:$A4036,0),MATCH(F$1,'HS Codes'!$D$1:$K$1,0)),"")</f>
        <v>6302.93.2000</v>
      </c>
      <c r="G1482" s="8">
        <f>_xlfn.IFNA(INDEX('HS Codes'!$D$2:$K4036,MATCH($B1482,'HS Codes'!$A$2:$A4036,0),MATCH(G$1,'HS Codes'!$D$1:$K$1,0)),"")</f>
        <v>6302939000</v>
      </c>
      <c r="H1482" s="8">
        <f>_xlfn.IFNA(INDEX('HS Codes'!$D$2:$K4036,MATCH($B1482,'HS Codes'!$A$2:$A4036,0),MATCH(H$1,'HS Codes'!$D$1:$K$1,0)),"")</f>
        <v>6302939000</v>
      </c>
      <c r="I1482" s="8">
        <f>_xlfn.IFNA(INDEX('HS Codes'!$D$2:$K4036,MATCH($B1482,'HS Codes'!$A$2:$A4036,0),MATCH(I$1,'HS Codes'!$D$1:$K$1,0)),"")</f>
        <v>6302939000</v>
      </c>
      <c r="J1482" s="8">
        <f>_xlfn.IFNA(INDEX('HS Codes'!$D$2:$K4036,MATCH($B1482,'HS Codes'!$A$2:$A4036,0),MATCH(J$1,'HS Codes'!$D$1:$K$1,0)),"")</f>
        <v>0</v>
      </c>
      <c r="K1482" s="8" t="str">
        <f>_xlfn.IFNA(INDEX('HS Codes'!$D$2:$K4036,MATCH($B1482,'HS Codes'!$A$2:$A4036,0),MATCH(K$1,'HS Codes'!$D$1:$K$1,0)),"")</f>
        <v>6302.29.00</v>
      </c>
      <c r="L1482" s="8">
        <f>_xlfn.IFNA(INDEX('HS Codes'!$D$2:$K4036,MATCH($B1482,'HS Codes'!$A$2:$A4036,0),MATCH(L$1,'HS Codes'!$D$1:$K$1,0)),"")</f>
        <v>0</v>
      </c>
      <c r="M1482" s="8" t="str">
        <f>_xlfn.IFNA(INDEX('HS Codes'!$C$2:$C4036,MATCH($B1482,'HS Codes'!$A$2:$A4036,0)),"")</f>
        <v>Fitness Towel - Toilet Linen 100% recycled polyester includes cotton on the packing pouch drawstring</v>
      </c>
      <c r="N1482" s="9"/>
      <c r="O1482" s="9"/>
      <c r="P1482" s="9"/>
      <c r="Q1482" s="9"/>
    </row>
    <row r="1483" spans="1:17" ht="15.75" customHeight="1">
      <c r="A1483" s="7" t="s">
        <v>1776</v>
      </c>
      <c r="B1483" s="7" t="s">
        <v>98</v>
      </c>
      <c r="C1483" s="7"/>
      <c r="D1483" s="7" t="s">
        <v>99</v>
      </c>
      <c r="E1483" s="7" t="s">
        <v>341</v>
      </c>
      <c r="F1483" s="8" t="str">
        <f>_xlfn.IFNA(INDEX('HS Codes'!$D$2:$K4037,MATCH($B1483,'HS Codes'!$A$2:$A4037,0),MATCH(F$1,'HS Codes'!$D$1:$K$1,0)),"")</f>
        <v>6302.93.2000</v>
      </c>
      <c r="G1483" s="8">
        <f>_xlfn.IFNA(INDEX('HS Codes'!$D$2:$K4037,MATCH($B1483,'HS Codes'!$A$2:$A4037,0),MATCH(G$1,'HS Codes'!$D$1:$K$1,0)),"")</f>
        <v>6302939000</v>
      </c>
      <c r="H1483" s="8">
        <f>_xlfn.IFNA(INDEX('HS Codes'!$D$2:$K4037,MATCH($B1483,'HS Codes'!$A$2:$A4037,0),MATCH(H$1,'HS Codes'!$D$1:$K$1,0)),"")</f>
        <v>6302939000</v>
      </c>
      <c r="I1483" s="8">
        <f>_xlfn.IFNA(INDEX('HS Codes'!$D$2:$K4037,MATCH($B1483,'HS Codes'!$A$2:$A4037,0),MATCH(I$1,'HS Codes'!$D$1:$K$1,0)),"")</f>
        <v>6302939000</v>
      </c>
      <c r="J1483" s="8">
        <f>_xlfn.IFNA(INDEX('HS Codes'!$D$2:$K4037,MATCH($B1483,'HS Codes'!$A$2:$A4037,0),MATCH(J$1,'HS Codes'!$D$1:$K$1,0)),"")</f>
        <v>0</v>
      </c>
      <c r="K1483" s="8" t="str">
        <f>_xlfn.IFNA(INDEX('HS Codes'!$D$2:$K4037,MATCH($B1483,'HS Codes'!$A$2:$A4037,0),MATCH(K$1,'HS Codes'!$D$1:$K$1,0)),"")</f>
        <v>6302.29.00</v>
      </c>
      <c r="L1483" s="8">
        <f>_xlfn.IFNA(INDEX('HS Codes'!$D$2:$K4037,MATCH($B1483,'HS Codes'!$A$2:$A4037,0),MATCH(L$1,'HS Codes'!$D$1:$K$1,0)),"")</f>
        <v>0</v>
      </c>
      <c r="M1483" s="8" t="str">
        <f>_xlfn.IFNA(INDEX('HS Codes'!$C$2:$C4037,MATCH($B1483,'HS Codes'!$A$2:$A4037,0)),"")</f>
        <v>Fitness Towel - Toilet Linen 100% recycled polyester includes cotton on the packing pouch drawstring</v>
      </c>
      <c r="N1483" s="9"/>
      <c r="O1483" s="9"/>
      <c r="P1483" s="9"/>
      <c r="Q1483" s="9"/>
    </row>
    <row r="1484" spans="1:17" ht="15.75" customHeight="1">
      <c r="A1484" s="7" t="s">
        <v>1777</v>
      </c>
      <c r="B1484" s="7" t="s">
        <v>98</v>
      </c>
      <c r="C1484" s="7"/>
      <c r="D1484" s="7" t="s">
        <v>99</v>
      </c>
      <c r="E1484" s="7" t="s">
        <v>341</v>
      </c>
      <c r="F1484" s="8" t="str">
        <f>_xlfn.IFNA(INDEX('HS Codes'!$D$2:$K4038,MATCH($B1484,'HS Codes'!$A$2:$A4038,0),MATCH(F$1,'HS Codes'!$D$1:$K$1,0)),"")</f>
        <v>6302.93.2000</v>
      </c>
      <c r="G1484" s="8">
        <f>_xlfn.IFNA(INDEX('HS Codes'!$D$2:$K4038,MATCH($B1484,'HS Codes'!$A$2:$A4038,0),MATCH(G$1,'HS Codes'!$D$1:$K$1,0)),"")</f>
        <v>6302939000</v>
      </c>
      <c r="H1484" s="8">
        <f>_xlfn.IFNA(INDEX('HS Codes'!$D$2:$K4038,MATCH($B1484,'HS Codes'!$A$2:$A4038,0),MATCH(H$1,'HS Codes'!$D$1:$K$1,0)),"")</f>
        <v>6302939000</v>
      </c>
      <c r="I1484" s="8">
        <f>_xlfn.IFNA(INDEX('HS Codes'!$D$2:$K4038,MATCH($B1484,'HS Codes'!$A$2:$A4038,0),MATCH(I$1,'HS Codes'!$D$1:$K$1,0)),"")</f>
        <v>6302939000</v>
      </c>
      <c r="J1484" s="8">
        <f>_xlfn.IFNA(INDEX('HS Codes'!$D$2:$K4038,MATCH($B1484,'HS Codes'!$A$2:$A4038,0),MATCH(J$1,'HS Codes'!$D$1:$K$1,0)),"")</f>
        <v>0</v>
      </c>
      <c r="K1484" s="8" t="str">
        <f>_xlfn.IFNA(INDEX('HS Codes'!$D$2:$K4038,MATCH($B1484,'HS Codes'!$A$2:$A4038,0),MATCH(K$1,'HS Codes'!$D$1:$K$1,0)),"")</f>
        <v>6302.29.00</v>
      </c>
      <c r="L1484" s="8">
        <f>_xlfn.IFNA(INDEX('HS Codes'!$D$2:$K4038,MATCH($B1484,'HS Codes'!$A$2:$A4038,0),MATCH(L$1,'HS Codes'!$D$1:$K$1,0)),"")</f>
        <v>0</v>
      </c>
      <c r="M1484" s="8" t="str">
        <f>_xlfn.IFNA(INDEX('HS Codes'!$C$2:$C4038,MATCH($B1484,'HS Codes'!$A$2:$A4038,0)),"")</f>
        <v>Fitness Towel - Toilet Linen 100% recycled polyester includes cotton on the packing pouch drawstring</v>
      </c>
      <c r="N1484" s="9"/>
      <c r="O1484" s="9"/>
      <c r="P1484" s="9"/>
      <c r="Q1484" s="9"/>
    </row>
    <row r="1485" spans="1:17" ht="15.75" customHeight="1">
      <c r="A1485" s="7" t="s">
        <v>1778</v>
      </c>
      <c r="B1485" s="7" t="s">
        <v>98</v>
      </c>
      <c r="C1485" s="7"/>
      <c r="D1485" s="7" t="s">
        <v>99</v>
      </c>
      <c r="E1485" s="7" t="s">
        <v>341</v>
      </c>
      <c r="F1485" s="8" t="str">
        <f>_xlfn.IFNA(INDEX('HS Codes'!$D$2:$K4039,MATCH($B1485,'HS Codes'!$A$2:$A4039,0),MATCH(F$1,'HS Codes'!$D$1:$K$1,0)),"")</f>
        <v>6302.93.2000</v>
      </c>
      <c r="G1485" s="8">
        <f>_xlfn.IFNA(INDEX('HS Codes'!$D$2:$K4039,MATCH($B1485,'HS Codes'!$A$2:$A4039,0),MATCH(G$1,'HS Codes'!$D$1:$K$1,0)),"")</f>
        <v>6302939000</v>
      </c>
      <c r="H1485" s="8">
        <f>_xlfn.IFNA(INDEX('HS Codes'!$D$2:$K4039,MATCH($B1485,'HS Codes'!$A$2:$A4039,0),MATCH(H$1,'HS Codes'!$D$1:$K$1,0)),"")</f>
        <v>6302939000</v>
      </c>
      <c r="I1485" s="8">
        <f>_xlfn.IFNA(INDEX('HS Codes'!$D$2:$K4039,MATCH($B1485,'HS Codes'!$A$2:$A4039,0),MATCH(I$1,'HS Codes'!$D$1:$K$1,0)),"")</f>
        <v>6302939000</v>
      </c>
      <c r="J1485" s="8">
        <f>_xlfn.IFNA(INDEX('HS Codes'!$D$2:$K4039,MATCH($B1485,'HS Codes'!$A$2:$A4039,0),MATCH(J$1,'HS Codes'!$D$1:$K$1,0)),"")</f>
        <v>0</v>
      </c>
      <c r="K1485" s="8" t="str">
        <f>_xlfn.IFNA(INDEX('HS Codes'!$D$2:$K4039,MATCH($B1485,'HS Codes'!$A$2:$A4039,0),MATCH(K$1,'HS Codes'!$D$1:$K$1,0)),"")</f>
        <v>6302.29.00</v>
      </c>
      <c r="L1485" s="8">
        <f>_xlfn.IFNA(INDEX('HS Codes'!$D$2:$K4039,MATCH($B1485,'HS Codes'!$A$2:$A4039,0),MATCH(L$1,'HS Codes'!$D$1:$K$1,0)),"")</f>
        <v>0</v>
      </c>
      <c r="M1485" s="8" t="str">
        <f>_xlfn.IFNA(INDEX('HS Codes'!$C$2:$C4039,MATCH($B1485,'HS Codes'!$A$2:$A4039,0)),"")</f>
        <v>Fitness Towel - Toilet Linen 100% recycled polyester includes cotton on the packing pouch drawstring</v>
      </c>
      <c r="N1485" s="9"/>
      <c r="O1485" s="9"/>
      <c r="P1485" s="9"/>
      <c r="Q1485" s="9"/>
    </row>
    <row r="1486" spans="1:17" ht="15.75" customHeight="1">
      <c r="A1486" s="7" t="s">
        <v>1779</v>
      </c>
      <c r="B1486" s="7" t="s">
        <v>98</v>
      </c>
      <c r="C1486" s="7"/>
      <c r="D1486" s="7" t="s">
        <v>99</v>
      </c>
      <c r="E1486" s="7" t="s">
        <v>341</v>
      </c>
      <c r="F1486" s="8" t="str">
        <f>_xlfn.IFNA(INDEX('HS Codes'!$D$2:$K4040,MATCH($B1486,'HS Codes'!$A$2:$A4040,0),MATCH(F$1,'HS Codes'!$D$1:$K$1,0)),"")</f>
        <v>6302.93.2000</v>
      </c>
      <c r="G1486" s="8">
        <f>_xlfn.IFNA(INDEX('HS Codes'!$D$2:$K4040,MATCH($B1486,'HS Codes'!$A$2:$A4040,0),MATCH(G$1,'HS Codes'!$D$1:$K$1,0)),"")</f>
        <v>6302939000</v>
      </c>
      <c r="H1486" s="8">
        <f>_xlfn.IFNA(INDEX('HS Codes'!$D$2:$K4040,MATCH($B1486,'HS Codes'!$A$2:$A4040,0),MATCH(H$1,'HS Codes'!$D$1:$K$1,0)),"")</f>
        <v>6302939000</v>
      </c>
      <c r="I1486" s="8">
        <f>_xlfn.IFNA(INDEX('HS Codes'!$D$2:$K4040,MATCH($B1486,'HS Codes'!$A$2:$A4040,0),MATCH(I$1,'HS Codes'!$D$1:$K$1,0)),"")</f>
        <v>6302939000</v>
      </c>
      <c r="J1486" s="8">
        <f>_xlfn.IFNA(INDEX('HS Codes'!$D$2:$K4040,MATCH($B1486,'HS Codes'!$A$2:$A4040,0),MATCH(J$1,'HS Codes'!$D$1:$K$1,0)),"")</f>
        <v>0</v>
      </c>
      <c r="K1486" s="8" t="str">
        <f>_xlfn.IFNA(INDEX('HS Codes'!$D$2:$K4040,MATCH($B1486,'HS Codes'!$A$2:$A4040,0),MATCH(K$1,'HS Codes'!$D$1:$K$1,0)),"")</f>
        <v>6302.29.00</v>
      </c>
      <c r="L1486" s="8">
        <f>_xlfn.IFNA(INDEX('HS Codes'!$D$2:$K4040,MATCH($B1486,'HS Codes'!$A$2:$A4040,0),MATCH(L$1,'HS Codes'!$D$1:$K$1,0)),"")</f>
        <v>0</v>
      </c>
      <c r="M1486" s="8" t="str">
        <f>_xlfn.IFNA(INDEX('HS Codes'!$C$2:$C4040,MATCH($B1486,'HS Codes'!$A$2:$A4040,0)),"")</f>
        <v>Fitness Towel - Toilet Linen 100% recycled polyester includes cotton on the packing pouch drawstring</v>
      </c>
      <c r="N1486" s="9"/>
      <c r="O1486" s="9"/>
      <c r="P1486" s="9"/>
      <c r="Q1486" s="9"/>
    </row>
    <row r="1487" spans="1:17" ht="15.75" customHeight="1">
      <c r="A1487" s="7" t="s">
        <v>1780</v>
      </c>
      <c r="B1487" s="7" t="s">
        <v>98</v>
      </c>
      <c r="C1487" s="7"/>
      <c r="D1487" s="7" t="s">
        <v>99</v>
      </c>
      <c r="E1487" s="7" t="s">
        <v>341</v>
      </c>
      <c r="F1487" s="8" t="str">
        <f>_xlfn.IFNA(INDEX('HS Codes'!$D$2:$K4041,MATCH($B1487,'HS Codes'!$A$2:$A4041,0),MATCH(F$1,'HS Codes'!$D$1:$K$1,0)),"")</f>
        <v>6302.93.2000</v>
      </c>
      <c r="G1487" s="8">
        <f>_xlfn.IFNA(INDEX('HS Codes'!$D$2:$K4041,MATCH($B1487,'HS Codes'!$A$2:$A4041,0),MATCH(G$1,'HS Codes'!$D$1:$K$1,0)),"")</f>
        <v>6302939000</v>
      </c>
      <c r="H1487" s="8">
        <f>_xlfn.IFNA(INDEX('HS Codes'!$D$2:$K4041,MATCH($B1487,'HS Codes'!$A$2:$A4041,0),MATCH(H$1,'HS Codes'!$D$1:$K$1,0)),"")</f>
        <v>6302939000</v>
      </c>
      <c r="I1487" s="8">
        <f>_xlfn.IFNA(INDEX('HS Codes'!$D$2:$K4041,MATCH($B1487,'HS Codes'!$A$2:$A4041,0),MATCH(I$1,'HS Codes'!$D$1:$K$1,0)),"")</f>
        <v>6302939000</v>
      </c>
      <c r="J1487" s="8">
        <f>_xlfn.IFNA(INDEX('HS Codes'!$D$2:$K4041,MATCH($B1487,'HS Codes'!$A$2:$A4041,0),MATCH(J$1,'HS Codes'!$D$1:$K$1,0)),"")</f>
        <v>0</v>
      </c>
      <c r="K1487" s="8" t="str">
        <f>_xlfn.IFNA(INDEX('HS Codes'!$D$2:$K4041,MATCH($B1487,'HS Codes'!$A$2:$A4041,0),MATCH(K$1,'HS Codes'!$D$1:$K$1,0)),"")</f>
        <v>6302.29.00</v>
      </c>
      <c r="L1487" s="8">
        <f>_xlfn.IFNA(INDEX('HS Codes'!$D$2:$K4041,MATCH($B1487,'HS Codes'!$A$2:$A4041,0),MATCH(L$1,'HS Codes'!$D$1:$K$1,0)),"")</f>
        <v>0</v>
      </c>
      <c r="M1487" s="8" t="str">
        <f>_xlfn.IFNA(INDEX('HS Codes'!$C$2:$C4041,MATCH($B1487,'HS Codes'!$A$2:$A4041,0)),"")</f>
        <v>Fitness Towel - Toilet Linen 100% recycled polyester includes cotton on the packing pouch drawstring</v>
      </c>
      <c r="N1487" s="9"/>
      <c r="O1487" s="9"/>
      <c r="P1487" s="9"/>
      <c r="Q1487" s="9"/>
    </row>
    <row r="1488" spans="1:17" ht="15.75" customHeight="1">
      <c r="A1488" s="7" t="s">
        <v>1781</v>
      </c>
      <c r="B1488" s="7" t="s">
        <v>98</v>
      </c>
      <c r="C1488" s="7"/>
      <c r="D1488" s="7" t="s">
        <v>99</v>
      </c>
      <c r="E1488" s="7" t="s">
        <v>341</v>
      </c>
      <c r="F1488" s="8" t="str">
        <f>_xlfn.IFNA(INDEX('HS Codes'!$D$2:$K4042,MATCH($B1488,'HS Codes'!$A$2:$A4042,0),MATCH(F$1,'HS Codes'!$D$1:$K$1,0)),"")</f>
        <v>6302.93.2000</v>
      </c>
      <c r="G1488" s="8">
        <f>_xlfn.IFNA(INDEX('HS Codes'!$D$2:$K4042,MATCH($B1488,'HS Codes'!$A$2:$A4042,0),MATCH(G$1,'HS Codes'!$D$1:$K$1,0)),"")</f>
        <v>6302939000</v>
      </c>
      <c r="H1488" s="8">
        <f>_xlfn.IFNA(INDEX('HS Codes'!$D$2:$K4042,MATCH($B1488,'HS Codes'!$A$2:$A4042,0),MATCH(H$1,'HS Codes'!$D$1:$K$1,0)),"")</f>
        <v>6302939000</v>
      </c>
      <c r="I1488" s="8">
        <f>_xlfn.IFNA(INDEX('HS Codes'!$D$2:$K4042,MATCH($B1488,'HS Codes'!$A$2:$A4042,0),MATCH(I$1,'HS Codes'!$D$1:$K$1,0)),"")</f>
        <v>6302939000</v>
      </c>
      <c r="J1488" s="8">
        <f>_xlfn.IFNA(INDEX('HS Codes'!$D$2:$K4042,MATCH($B1488,'HS Codes'!$A$2:$A4042,0),MATCH(J$1,'HS Codes'!$D$1:$K$1,0)),"")</f>
        <v>0</v>
      </c>
      <c r="K1488" s="8" t="str">
        <f>_xlfn.IFNA(INDEX('HS Codes'!$D$2:$K4042,MATCH($B1488,'HS Codes'!$A$2:$A4042,0),MATCH(K$1,'HS Codes'!$D$1:$K$1,0)),"")</f>
        <v>6302.29.00</v>
      </c>
      <c r="L1488" s="8">
        <f>_xlfn.IFNA(INDEX('HS Codes'!$D$2:$K4042,MATCH($B1488,'HS Codes'!$A$2:$A4042,0),MATCH(L$1,'HS Codes'!$D$1:$K$1,0)),"")</f>
        <v>0</v>
      </c>
      <c r="M1488" s="8" t="str">
        <f>_xlfn.IFNA(INDEX('HS Codes'!$C$2:$C4042,MATCH($B1488,'HS Codes'!$A$2:$A4042,0)),"")</f>
        <v>Fitness Towel - Toilet Linen 100% recycled polyester includes cotton on the packing pouch drawstring</v>
      </c>
      <c r="N1488" s="9"/>
      <c r="O1488" s="9"/>
      <c r="P1488" s="9"/>
      <c r="Q1488" s="9"/>
    </row>
    <row r="1489" spans="1:17" ht="15.75" customHeight="1">
      <c r="A1489" s="7" t="s">
        <v>1782</v>
      </c>
      <c r="B1489" s="7" t="s">
        <v>98</v>
      </c>
      <c r="C1489" s="7"/>
      <c r="D1489" s="7" t="s">
        <v>99</v>
      </c>
      <c r="E1489" s="7" t="s">
        <v>341</v>
      </c>
      <c r="F1489" s="8" t="str">
        <f>_xlfn.IFNA(INDEX('HS Codes'!$D$2:$K4043,MATCH($B1489,'HS Codes'!$A$2:$A4043,0),MATCH(F$1,'HS Codes'!$D$1:$K$1,0)),"")</f>
        <v>6302.93.2000</v>
      </c>
      <c r="G1489" s="8">
        <f>_xlfn.IFNA(INDEX('HS Codes'!$D$2:$K4043,MATCH($B1489,'HS Codes'!$A$2:$A4043,0),MATCH(G$1,'HS Codes'!$D$1:$K$1,0)),"")</f>
        <v>6302939000</v>
      </c>
      <c r="H1489" s="8">
        <f>_xlfn.IFNA(INDEX('HS Codes'!$D$2:$K4043,MATCH($B1489,'HS Codes'!$A$2:$A4043,0),MATCH(H$1,'HS Codes'!$D$1:$K$1,0)),"")</f>
        <v>6302939000</v>
      </c>
      <c r="I1489" s="8">
        <f>_xlfn.IFNA(INDEX('HS Codes'!$D$2:$K4043,MATCH($B1489,'HS Codes'!$A$2:$A4043,0),MATCH(I$1,'HS Codes'!$D$1:$K$1,0)),"")</f>
        <v>6302939000</v>
      </c>
      <c r="J1489" s="8">
        <f>_xlfn.IFNA(INDEX('HS Codes'!$D$2:$K4043,MATCH($B1489,'HS Codes'!$A$2:$A4043,0),MATCH(J$1,'HS Codes'!$D$1:$K$1,0)),"")</f>
        <v>0</v>
      </c>
      <c r="K1489" s="8" t="str">
        <f>_xlfn.IFNA(INDEX('HS Codes'!$D$2:$K4043,MATCH($B1489,'HS Codes'!$A$2:$A4043,0),MATCH(K$1,'HS Codes'!$D$1:$K$1,0)),"")</f>
        <v>6302.29.00</v>
      </c>
      <c r="L1489" s="8">
        <f>_xlfn.IFNA(INDEX('HS Codes'!$D$2:$K4043,MATCH($B1489,'HS Codes'!$A$2:$A4043,0),MATCH(L$1,'HS Codes'!$D$1:$K$1,0)),"")</f>
        <v>0</v>
      </c>
      <c r="M1489" s="8" t="str">
        <f>_xlfn.IFNA(INDEX('HS Codes'!$C$2:$C4043,MATCH($B1489,'HS Codes'!$A$2:$A4043,0)),"")</f>
        <v>Fitness Towel - Toilet Linen 100% recycled polyester includes cotton on the packing pouch drawstring</v>
      </c>
      <c r="N1489" s="9"/>
      <c r="O1489" s="9"/>
      <c r="P1489" s="9"/>
      <c r="Q1489" s="9"/>
    </row>
    <row r="1490" spans="1:17" ht="15.75" customHeight="1">
      <c r="A1490" s="7" t="s">
        <v>1783</v>
      </c>
      <c r="B1490" s="7" t="s">
        <v>98</v>
      </c>
      <c r="C1490" s="7"/>
      <c r="D1490" s="7" t="s">
        <v>99</v>
      </c>
      <c r="E1490" s="7" t="s">
        <v>341</v>
      </c>
      <c r="F1490" s="8" t="str">
        <f>_xlfn.IFNA(INDEX('HS Codes'!$D$2:$K4044,MATCH($B1490,'HS Codes'!$A$2:$A4044,0),MATCH(F$1,'HS Codes'!$D$1:$K$1,0)),"")</f>
        <v>6302.93.2000</v>
      </c>
      <c r="G1490" s="8">
        <f>_xlfn.IFNA(INDEX('HS Codes'!$D$2:$K4044,MATCH($B1490,'HS Codes'!$A$2:$A4044,0),MATCH(G$1,'HS Codes'!$D$1:$K$1,0)),"")</f>
        <v>6302939000</v>
      </c>
      <c r="H1490" s="8">
        <f>_xlfn.IFNA(INDEX('HS Codes'!$D$2:$K4044,MATCH($B1490,'HS Codes'!$A$2:$A4044,0),MATCH(H$1,'HS Codes'!$D$1:$K$1,0)),"")</f>
        <v>6302939000</v>
      </c>
      <c r="I1490" s="8">
        <f>_xlfn.IFNA(INDEX('HS Codes'!$D$2:$K4044,MATCH($B1490,'HS Codes'!$A$2:$A4044,0),MATCH(I$1,'HS Codes'!$D$1:$K$1,0)),"")</f>
        <v>6302939000</v>
      </c>
      <c r="J1490" s="8">
        <f>_xlfn.IFNA(INDEX('HS Codes'!$D$2:$K4044,MATCH($B1490,'HS Codes'!$A$2:$A4044,0),MATCH(J$1,'HS Codes'!$D$1:$K$1,0)),"")</f>
        <v>0</v>
      </c>
      <c r="K1490" s="8" t="str">
        <f>_xlfn.IFNA(INDEX('HS Codes'!$D$2:$K4044,MATCH($B1490,'HS Codes'!$A$2:$A4044,0),MATCH(K$1,'HS Codes'!$D$1:$K$1,0)),"")</f>
        <v>6302.29.00</v>
      </c>
      <c r="L1490" s="8">
        <f>_xlfn.IFNA(INDEX('HS Codes'!$D$2:$K4044,MATCH($B1490,'HS Codes'!$A$2:$A4044,0),MATCH(L$1,'HS Codes'!$D$1:$K$1,0)),"")</f>
        <v>0</v>
      </c>
      <c r="M1490" s="8" t="str">
        <f>_xlfn.IFNA(INDEX('HS Codes'!$C$2:$C4044,MATCH($B1490,'HS Codes'!$A$2:$A4044,0)),"")</f>
        <v>Fitness Towel - Toilet Linen 100% recycled polyester includes cotton on the packing pouch drawstring</v>
      </c>
      <c r="N1490" s="9"/>
      <c r="O1490" s="9"/>
      <c r="P1490" s="9"/>
      <c r="Q1490" s="9"/>
    </row>
    <row r="1491" spans="1:17" ht="15.75" customHeight="1">
      <c r="A1491" s="7" t="s">
        <v>1784</v>
      </c>
      <c r="B1491" s="7" t="s">
        <v>98</v>
      </c>
      <c r="C1491" s="7"/>
      <c r="D1491" s="7" t="s">
        <v>99</v>
      </c>
      <c r="E1491" s="7" t="s">
        <v>341</v>
      </c>
      <c r="F1491" s="8" t="str">
        <f>_xlfn.IFNA(INDEX('HS Codes'!$D$2:$K4045,MATCH($B1491,'HS Codes'!$A$2:$A4045,0),MATCH(F$1,'HS Codes'!$D$1:$K$1,0)),"")</f>
        <v>6302.93.2000</v>
      </c>
      <c r="G1491" s="8">
        <f>_xlfn.IFNA(INDEX('HS Codes'!$D$2:$K4045,MATCH($B1491,'HS Codes'!$A$2:$A4045,0),MATCH(G$1,'HS Codes'!$D$1:$K$1,0)),"")</f>
        <v>6302939000</v>
      </c>
      <c r="H1491" s="8">
        <f>_xlfn.IFNA(INDEX('HS Codes'!$D$2:$K4045,MATCH($B1491,'HS Codes'!$A$2:$A4045,0),MATCH(H$1,'HS Codes'!$D$1:$K$1,0)),"")</f>
        <v>6302939000</v>
      </c>
      <c r="I1491" s="8">
        <f>_xlfn.IFNA(INDEX('HS Codes'!$D$2:$K4045,MATCH($B1491,'HS Codes'!$A$2:$A4045,0),MATCH(I$1,'HS Codes'!$D$1:$K$1,0)),"")</f>
        <v>6302939000</v>
      </c>
      <c r="J1491" s="8">
        <f>_xlfn.IFNA(INDEX('HS Codes'!$D$2:$K4045,MATCH($B1491,'HS Codes'!$A$2:$A4045,0),MATCH(J$1,'HS Codes'!$D$1:$K$1,0)),"")</f>
        <v>0</v>
      </c>
      <c r="K1491" s="8" t="str">
        <f>_xlfn.IFNA(INDEX('HS Codes'!$D$2:$K4045,MATCH($B1491,'HS Codes'!$A$2:$A4045,0),MATCH(K$1,'HS Codes'!$D$1:$K$1,0)),"")</f>
        <v>6302.29.00</v>
      </c>
      <c r="L1491" s="8">
        <f>_xlfn.IFNA(INDEX('HS Codes'!$D$2:$K4045,MATCH($B1491,'HS Codes'!$A$2:$A4045,0),MATCH(L$1,'HS Codes'!$D$1:$K$1,0)),"")</f>
        <v>0</v>
      </c>
      <c r="M1491" s="8" t="str">
        <f>_xlfn.IFNA(INDEX('HS Codes'!$C$2:$C4045,MATCH($B1491,'HS Codes'!$A$2:$A4045,0)),"")</f>
        <v>Fitness Towel - Toilet Linen 100% recycled polyester includes cotton on the packing pouch drawstring</v>
      </c>
      <c r="N1491" s="9"/>
      <c r="O1491" s="9"/>
      <c r="P1491" s="9"/>
      <c r="Q1491" s="9"/>
    </row>
    <row r="1492" spans="1:17" ht="15.75" customHeight="1">
      <c r="A1492" s="7" t="s">
        <v>1785</v>
      </c>
      <c r="B1492" s="7" t="s">
        <v>98</v>
      </c>
      <c r="C1492" s="7"/>
      <c r="D1492" s="7" t="s">
        <v>99</v>
      </c>
      <c r="E1492" s="7" t="s">
        <v>341</v>
      </c>
      <c r="F1492" s="8" t="str">
        <f>_xlfn.IFNA(INDEX('HS Codes'!$D$2:$K4046,MATCH($B1492,'HS Codes'!$A$2:$A4046,0),MATCH(F$1,'HS Codes'!$D$1:$K$1,0)),"")</f>
        <v>6302.93.2000</v>
      </c>
      <c r="G1492" s="8">
        <f>_xlfn.IFNA(INDEX('HS Codes'!$D$2:$K4046,MATCH($B1492,'HS Codes'!$A$2:$A4046,0),MATCH(G$1,'HS Codes'!$D$1:$K$1,0)),"")</f>
        <v>6302939000</v>
      </c>
      <c r="H1492" s="8">
        <f>_xlfn.IFNA(INDEX('HS Codes'!$D$2:$K4046,MATCH($B1492,'HS Codes'!$A$2:$A4046,0),MATCH(H$1,'HS Codes'!$D$1:$K$1,0)),"")</f>
        <v>6302939000</v>
      </c>
      <c r="I1492" s="8">
        <f>_xlfn.IFNA(INDEX('HS Codes'!$D$2:$K4046,MATCH($B1492,'HS Codes'!$A$2:$A4046,0),MATCH(I$1,'HS Codes'!$D$1:$K$1,0)),"")</f>
        <v>6302939000</v>
      </c>
      <c r="J1492" s="8">
        <f>_xlfn.IFNA(INDEX('HS Codes'!$D$2:$K4046,MATCH($B1492,'HS Codes'!$A$2:$A4046,0),MATCH(J$1,'HS Codes'!$D$1:$K$1,0)),"")</f>
        <v>0</v>
      </c>
      <c r="K1492" s="8" t="str">
        <f>_xlfn.IFNA(INDEX('HS Codes'!$D$2:$K4046,MATCH($B1492,'HS Codes'!$A$2:$A4046,0),MATCH(K$1,'HS Codes'!$D$1:$K$1,0)),"")</f>
        <v>6302.29.00</v>
      </c>
      <c r="L1492" s="8">
        <f>_xlfn.IFNA(INDEX('HS Codes'!$D$2:$K4046,MATCH($B1492,'HS Codes'!$A$2:$A4046,0),MATCH(L$1,'HS Codes'!$D$1:$K$1,0)),"")</f>
        <v>0</v>
      </c>
      <c r="M1492" s="8" t="str">
        <f>_xlfn.IFNA(INDEX('HS Codes'!$C$2:$C4046,MATCH($B1492,'HS Codes'!$A$2:$A4046,0)),"")</f>
        <v>Fitness Towel - Toilet Linen 100% recycled polyester includes cotton on the packing pouch drawstring</v>
      </c>
      <c r="N1492" s="9"/>
      <c r="O1492" s="9"/>
      <c r="P1492" s="9"/>
      <c r="Q1492" s="9"/>
    </row>
    <row r="1493" spans="1:17" ht="15.75" customHeight="1">
      <c r="A1493" s="7" t="s">
        <v>1786</v>
      </c>
      <c r="B1493" s="7" t="s">
        <v>98</v>
      </c>
      <c r="C1493" s="7"/>
      <c r="D1493" s="7" t="s">
        <v>99</v>
      </c>
      <c r="E1493" s="7" t="s">
        <v>341</v>
      </c>
      <c r="F1493" s="8" t="str">
        <f>_xlfn.IFNA(INDEX('HS Codes'!$D$2:$K4047,MATCH($B1493,'HS Codes'!$A$2:$A4047,0),MATCH(F$1,'HS Codes'!$D$1:$K$1,0)),"")</f>
        <v>6302.93.2000</v>
      </c>
      <c r="G1493" s="8">
        <f>_xlfn.IFNA(INDEX('HS Codes'!$D$2:$K4047,MATCH($B1493,'HS Codes'!$A$2:$A4047,0),MATCH(G$1,'HS Codes'!$D$1:$K$1,0)),"")</f>
        <v>6302939000</v>
      </c>
      <c r="H1493" s="8">
        <f>_xlfn.IFNA(INDEX('HS Codes'!$D$2:$K4047,MATCH($B1493,'HS Codes'!$A$2:$A4047,0),MATCH(H$1,'HS Codes'!$D$1:$K$1,0)),"")</f>
        <v>6302939000</v>
      </c>
      <c r="I1493" s="8">
        <f>_xlfn.IFNA(INDEX('HS Codes'!$D$2:$K4047,MATCH($B1493,'HS Codes'!$A$2:$A4047,0),MATCH(I$1,'HS Codes'!$D$1:$K$1,0)),"")</f>
        <v>6302939000</v>
      </c>
      <c r="J1493" s="8">
        <f>_xlfn.IFNA(INDEX('HS Codes'!$D$2:$K4047,MATCH($B1493,'HS Codes'!$A$2:$A4047,0),MATCH(J$1,'HS Codes'!$D$1:$K$1,0)),"")</f>
        <v>0</v>
      </c>
      <c r="K1493" s="8" t="str">
        <f>_xlfn.IFNA(INDEX('HS Codes'!$D$2:$K4047,MATCH($B1493,'HS Codes'!$A$2:$A4047,0),MATCH(K$1,'HS Codes'!$D$1:$K$1,0)),"")</f>
        <v>6302.29.00</v>
      </c>
      <c r="L1493" s="8">
        <f>_xlfn.IFNA(INDEX('HS Codes'!$D$2:$K4047,MATCH($B1493,'HS Codes'!$A$2:$A4047,0),MATCH(L$1,'HS Codes'!$D$1:$K$1,0)),"")</f>
        <v>0</v>
      </c>
      <c r="M1493" s="8" t="str">
        <f>_xlfn.IFNA(INDEX('HS Codes'!$C$2:$C4047,MATCH($B1493,'HS Codes'!$A$2:$A4047,0)),"")</f>
        <v>Fitness Towel - Toilet Linen 100% recycled polyester includes cotton on the packing pouch drawstring</v>
      </c>
      <c r="N1493" s="9"/>
      <c r="O1493" s="9"/>
      <c r="P1493" s="9"/>
      <c r="Q1493" s="9"/>
    </row>
    <row r="1494" spans="1:17" ht="15.75" customHeight="1">
      <c r="A1494" s="7" t="s">
        <v>1787</v>
      </c>
      <c r="B1494" s="7" t="s">
        <v>98</v>
      </c>
      <c r="C1494" s="7"/>
      <c r="D1494" s="7" t="s">
        <v>99</v>
      </c>
      <c r="E1494" s="7" t="s">
        <v>341</v>
      </c>
      <c r="F1494" s="8" t="str">
        <f>_xlfn.IFNA(INDEX('HS Codes'!$D$2:$K4048,MATCH($B1494,'HS Codes'!$A$2:$A4048,0),MATCH(F$1,'HS Codes'!$D$1:$K$1,0)),"")</f>
        <v>6302.93.2000</v>
      </c>
      <c r="G1494" s="8">
        <f>_xlfn.IFNA(INDEX('HS Codes'!$D$2:$K4048,MATCH($B1494,'HS Codes'!$A$2:$A4048,0),MATCH(G$1,'HS Codes'!$D$1:$K$1,0)),"")</f>
        <v>6302939000</v>
      </c>
      <c r="H1494" s="8">
        <f>_xlfn.IFNA(INDEX('HS Codes'!$D$2:$K4048,MATCH($B1494,'HS Codes'!$A$2:$A4048,0),MATCH(H$1,'HS Codes'!$D$1:$K$1,0)),"")</f>
        <v>6302939000</v>
      </c>
      <c r="I1494" s="8">
        <f>_xlfn.IFNA(INDEX('HS Codes'!$D$2:$K4048,MATCH($B1494,'HS Codes'!$A$2:$A4048,0),MATCH(I$1,'HS Codes'!$D$1:$K$1,0)),"")</f>
        <v>6302939000</v>
      </c>
      <c r="J1494" s="8">
        <f>_xlfn.IFNA(INDEX('HS Codes'!$D$2:$K4048,MATCH($B1494,'HS Codes'!$A$2:$A4048,0),MATCH(J$1,'HS Codes'!$D$1:$K$1,0)),"")</f>
        <v>0</v>
      </c>
      <c r="K1494" s="8" t="str">
        <f>_xlfn.IFNA(INDEX('HS Codes'!$D$2:$K4048,MATCH($B1494,'HS Codes'!$A$2:$A4048,0),MATCH(K$1,'HS Codes'!$D$1:$K$1,0)),"")</f>
        <v>6302.29.00</v>
      </c>
      <c r="L1494" s="8">
        <f>_xlfn.IFNA(INDEX('HS Codes'!$D$2:$K4048,MATCH($B1494,'HS Codes'!$A$2:$A4048,0),MATCH(L$1,'HS Codes'!$D$1:$K$1,0)),"")</f>
        <v>0</v>
      </c>
      <c r="M1494" s="8" t="str">
        <f>_xlfn.IFNA(INDEX('HS Codes'!$C$2:$C4048,MATCH($B1494,'HS Codes'!$A$2:$A4048,0)),"")</f>
        <v>Fitness Towel - Toilet Linen 100% recycled polyester includes cotton on the packing pouch drawstring</v>
      </c>
      <c r="N1494" s="9"/>
      <c r="O1494" s="9"/>
      <c r="P1494" s="9"/>
      <c r="Q1494" s="9"/>
    </row>
    <row r="1495" spans="1:17" ht="15.75" customHeight="1">
      <c r="A1495" s="7" t="s">
        <v>1788</v>
      </c>
      <c r="B1495" s="7" t="s">
        <v>98</v>
      </c>
      <c r="C1495" s="7"/>
      <c r="D1495" s="7" t="s">
        <v>99</v>
      </c>
      <c r="E1495" s="7" t="s">
        <v>341</v>
      </c>
      <c r="F1495" s="8" t="str">
        <f>_xlfn.IFNA(INDEX('HS Codes'!$D$2:$K4049,MATCH($B1495,'HS Codes'!$A$2:$A4049,0),MATCH(F$1,'HS Codes'!$D$1:$K$1,0)),"")</f>
        <v>6302.93.2000</v>
      </c>
      <c r="G1495" s="8">
        <f>_xlfn.IFNA(INDEX('HS Codes'!$D$2:$K4049,MATCH($B1495,'HS Codes'!$A$2:$A4049,0),MATCH(G$1,'HS Codes'!$D$1:$K$1,0)),"")</f>
        <v>6302939000</v>
      </c>
      <c r="H1495" s="8">
        <f>_xlfn.IFNA(INDEX('HS Codes'!$D$2:$K4049,MATCH($B1495,'HS Codes'!$A$2:$A4049,0),MATCH(H$1,'HS Codes'!$D$1:$K$1,0)),"")</f>
        <v>6302939000</v>
      </c>
      <c r="I1495" s="8">
        <f>_xlfn.IFNA(INDEX('HS Codes'!$D$2:$K4049,MATCH($B1495,'HS Codes'!$A$2:$A4049,0),MATCH(I$1,'HS Codes'!$D$1:$K$1,0)),"")</f>
        <v>6302939000</v>
      </c>
      <c r="J1495" s="8">
        <f>_xlfn.IFNA(INDEX('HS Codes'!$D$2:$K4049,MATCH($B1495,'HS Codes'!$A$2:$A4049,0),MATCH(J$1,'HS Codes'!$D$1:$K$1,0)),"")</f>
        <v>0</v>
      </c>
      <c r="K1495" s="8" t="str">
        <f>_xlfn.IFNA(INDEX('HS Codes'!$D$2:$K4049,MATCH($B1495,'HS Codes'!$A$2:$A4049,0),MATCH(K$1,'HS Codes'!$D$1:$K$1,0)),"")</f>
        <v>6302.29.00</v>
      </c>
      <c r="L1495" s="8">
        <f>_xlfn.IFNA(INDEX('HS Codes'!$D$2:$K4049,MATCH($B1495,'HS Codes'!$A$2:$A4049,0),MATCH(L$1,'HS Codes'!$D$1:$K$1,0)),"")</f>
        <v>0</v>
      </c>
      <c r="M1495" s="8" t="str">
        <f>_xlfn.IFNA(INDEX('HS Codes'!$C$2:$C4049,MATCH($B1495,'HS Codes'!$A$2:$A4049,0)),"")</f>
        <v>Fitness Towel - Toilet Linen 100% recycled polyester includes cotton on the packing pouch drawstring</v>
      </c>
      <c r="N1495" s="9"/>
      <c r="O1495" s="9"/>
      <c r="P1495" s="9"/>
      <c r="Q1495" s="9"/>
    </row>
    <row r="1496" spans="1:17" ht="15.75" customHeight="1">
      <c r="A1496" s="7" t="s">
        <v>1789</v>
      </c>
      <c r="B1496" s="7" t="s">
        <v>98</v>
      </c>
      <c r="C1496" s="7"/>
      <c r="D1496" s="7" t="s">
        <v>99</v>
      </c>
      <c r="E1496" s="7" t="s">
        <v>341</v>
      </c>
      <c r="F1496" s="8" t="str">
        <f>_xlfn.IFNA(INDEX('HS Codes'!$D$2:$K4050,MATCH($B1496,'HS Codes'!$A$2:$A4050,0),MATCH(F$1,'HS Codes'!$D$1:$K$1,0)),"")</f>
        <v>6302.93.2000</v>
      </c>
      <c r="G1496" s="8">
        <f>_xlfn.IFNA(INDEX('HS Codes'!$D$2:$K4050,MATCH($B1496,'HS Codes'!$A$2:$A4050,0),MATCH(G$1,'HS Codes'!$D$1:$K$1,0)),"")</f>
        <v>6302939000</v>
      </c>
      <c r="H1496" s="8">
        <f>_xlfn.IFNA(INDEX('HS Codes'!$D$2:$K4050,MATCH($B1496,'HS Codes'!$A$2:$A4050,0),MATCH(H$1,'HS Codes'!$D$1:$K$1,0)),"")</f>
        <v>6302939000</v>
      </c>
      <c r="I1496" s="8">
        <f>_xlfn.IFNA(INDEX('HS Codes'!$D$2:$K4050,MATCH($B1496,'HS Codes'!$A$2:$A4050,0),MATCH(I$1,'HS Codes'!$D$1:$K$1,0)),"")</f>
        <v>6302939000</v>
      </c>
      <c r="J1496" s="8">
        <f>_xlfn.IFNA(INDEX('HS Codes'!$D$2:$K4050,MATCH($B1496,'HS Codes'!$A$2:$A4050,0),MATCH(J$1,'HS Codes'!$D$1:$K$1,0)),"")</f>
        <v>0</v>
      </c>
      <c r="K1496" s="8" t="str">
        <f>_xlfn.IFNA(INDEX('HS Codes'!$D$2:$K4050,MATCH($B1496,'HS Codes'!$A$2:$A4050,0),MATCH(K$1,'HS Codes'!$D$1:$K$1,0)),"")</f>
        <v>6302.29.00</v>
      </c>
      <c r="L1496" s="8">
        <f>_xlfn.IFNA(INDEX('HS Codes'!$D$2:$K4050,MATCH($B1496,'HS Codes'!$A$2:$A4050,0),MATCH(L$1,'HS Codes'!$D$1:$K$1,0)),"")</f>
        <v>0</v>
      </c>
      <c r="M1496" s="8" t="str">
        <f>_xlfn.IFNA(INDEX('HS Codes'!$C$2:$C4050,MATCH($B1496,'HS Codes'!$A$2:$A4050,0)),"")</f>
        <v>Fitness Towel - Toilet Linen 100% recycled polyester includes cotton on the packing pouch drawstring</v>
      </c>
      <c r="N1496" s="9"/>
      <c r="O1496" s="9"/>
      <c r="P1496" s="9"/>
      <c r="Q1496" s="9"/>
    </row>
    <row r="1497" spans="1:17" ht="15.75" customHeight="1">
      <c r="A1497" s="7" t="s">
        <v>1790</v>
      </c>
      <c r="B1497" s="7" t="s">
        <v>98</v>
      </c>
      <c r="C1497" s="7"/>
      <c r="D1497" s="7" t="s">
        <v>99</v>
      </c>
      <c r="E1497" s="7" t="s">
        <v>341</v>
      </c>
      <c r="F1497" s="8" t="str">
        <f>_xlfn.IFNA(INDEX('HS Codes'!$D$2:$K4051,MATCH($B1497,'HS Codes'!$A$2:$A4051,0),MATCH(F$1,'HS Codes'!$D$1:$K$1,0)),"")</f>
        <v>6302.93.2000</v>
      </c>
      <c r="G1497" s="8">
        <f>_xlfn.IFNA(INDEX('HS Codes'!$D$2:$K4051,MATCH($B1497,'HS Codes'!$A$2:$A4051,0),MATCH(G$1,'HS Codes'!$D$1:$K$1,0)),"")</f>
        <v>6302939000</v>
      </c>
      <c r="H1497" s="8">
        <f>_xlfn.IFNA(INDEX('HS Codes'!$D$2:$K4051,MATCH($B1497,'HS Codes'!$A$2:$A4051,0),MATCH(H$1,'HS Codes'!$D$1:$K$1,0)),"")</f>
        <v>6302939000</v>
      </c>
      <c r="I1497" s="8">
        <f>_xlfn.IFNA(INDEX('HS Codes'!$D$2:$K4051,MATCH($B1497,'HS Codes'!$A$2:$A4051,0),MATCH(I$1,'HS Codes'!$D$1:$K$1,0)),"")</f>
        <v>6302939000</v>
      </c>
      <c r="J1497" s="8">
        <f>_xlfn.IFNA(INDEX('HS Codes'!$D$2:$K4051,MATCH($B1497,'HS Codes'!$A$2:$A4051,0),MATCH(J$1,'HS Codes'!$D$1:$K$1,0)),"")</f>
        <v>0</v>
      </c>
      <c r="K1497" s="8" t="str">
        <f>_xlfn.IFNA(INDEX('HS Codes'!$D$2:$K4051,MATCH($B1497,'HS Codes'!$A$2:$A4051,0),MATCH(K$1,'HS Codes'!$D$1:$K$1,0)),"")</f>
        <v>6302.29.00</v>
      </c>
      <c r="L1497" s="8">
        <f>_xlfn.IFNA(INDEX('HS Codes'!$D$2:$K4051,MATCH($B1497,'HS Codes'!$A$2:$A4051,0),MATCH(L$1,'HS Codes'!$D$1:$K$1,0)),"")</f>
        <v>0</v>
      </c>
      <c r="M1497" s="8" t="str">
        <f>_xlfn.IFNA(INDEX('HS Codes'!$C$2:$C4051,MATCH($B1497,'HS Codes'!$A$2:$A4051,0)),"")</f>
        <v>Fitness Towel - Toilet Linen 100% recycled polyester includes cotton on the packing pouch drawstring</v>
      </c>
      <c r="N1497" s="9"/>
      <c r="O1497" s="9"/>
      <c r="P1497" s="9"/>
      <c r="Q1497" s="9"/>
    </row>
    <row r="1498" spans="1:17" ht="15.75" customHeight="1">
      <c r="A1498" s="7" t="s">
        <v>1791</v>
      </c>
      <c r="B1498" s="7" t="s">
        <v>98</v>
      </c>
      <c r="C1498" s="7"/>
      <c r="D1498" s="7" t="s">
        <v>99</v>
      </c>
      <c r="E1498" s="7" t="s">
        <v>341</v>
      </c>
      <c r="F1498" s="8" t="str">
        <f>_xlfn.IFNA(INDEX('HS Codes'!$D$2:$K4052,MATCH($B1498,'HS Codes'!$A$2:$A4052,0),MATCH(F$1,'HS Codes'!$D$1:$K$1,0)),"")</f>
        <v>6302.93.2000</v>
      </c>
      <c r="G1498" s="8">
        <f>_xlfn.IFNA(INDEX('HS Codes'!$D$2:$K4052,MATCH($B1498,'HS Codes'!$A$2:$A4052,0),MATCH(G$1,'HS Codes'!$D$1:$K$1,0)),"")</f>
        <v>6302939000</v>
      </c>
      <c r="H1498" s="8">
        <f>_xlfn.IFNA(INDEX('HS Codes'!$D$2:$K4052,MATCH($B1498,'HS Codes'!$A$2:$A4052,0),MATCH(H$1,'HS Codes'!$D$1:$K$1,0)),"")</f>
        <v>6302939000</v>
      </c>
      <c r="I1498" s="8">
        <f>_xlfn.IFNA(INDEX('HS Codes'!$D$2:$K4052,MATCH($B1498,'HS Codes'!$A$2:$A4052,0),MATCH(I$1,'HS Codes'!$D$1:$K$1,0)),"")</f>
        <v>6302939000</v>
      </c>
      <c r="J1498" s="8">
        <f>_xlfn.IFNA(INDEX('HS Codes'!$D$2:$K4052,MATCH($B1498,'HS Codes'!$A$2:$A4052,0),MATCH(J$1,'HS Codes'!$D$1:$K$1,0)),"")</f>
        <v>0</v>
      </c>
      <c r="K1498" s="8" t="str">
        <f>_xlfn.IFNA(INDEX('HS Codes'!$D$2:$K4052,MATCH($B1498,'HS Codes'!$A$2:$A4052,0),MATCH(K$1,'HS Codes'!$D$1:$K$1,0)),"")</f>
        <v>6302.29.00</v>
      </c>
      <c r="L1498" s="8">
        <f>_xlfn.IFNA(INDEX('HS Codes'!$D$2:$K4052,MATCH($B1498,'HS Codes'!$A$2:$A4052,0),MATCH(L$1,'HS Codes'!$D$1:$K$1,0)),"")</f>
        <v>0</v>
      </c>
      <c r="M1498" s="8" t="str">
        <f>_xlfn.IFNA(INDEX('HS Codes'!$C$2:$C4052,MATCH($B1498,'HS Codes'!$A$2:$A4052,0)),"")</f>
        <v>Fitness Towel - Toilet Linen 100% recycled polyester includes cotton on the packing pouch drawstring</v>
      </c>
      <c r="N1498" s="9"/>
      <c r="O1498" s="9"/>
      <c r="P1498" s="9"/>
      <c r="Q1498" s="9"/>
    </row>
    <row r="1499" spans="1:17" ht="15.75" customHeight="1">
      <c r="A1499" s="7" t="s">
        <v>1792</v>
      </c>
      <c r="B1499" s="7" t="s">
        <v>98</v>
      </c>
      <c r="C1499" s="7"/>
      <c r="D1499" s="7" t="s">
        <v>99</v>
      </c>
      <c r="E1499" s="7" t="s">
        <v>341</v>
      </c>
      <c r="F1499" s="8" t="str">
        <f>_xlfn.IFNA(INDEX('HS Codes'!$D$2:$K4053,MATCH($B1499,'HS Codes'!$A$2:$A4053,0),MATCH(F$1,'HS Codes'!$D$1:$K$1,0)),"")</f>
        <v>6302.93.2000</v>
      </c>
      <c r="G1499" s="8">
        <f>_xlfn.IFNA(INDEX('HS Codes'!$D$2:$K4053,MATCH($B1499,'HS Codes'!$A$2:$A4053,0),MATCH(G$1,'HS Codes'!$D$1:$K$1,0)),"")</f>
        <v>6302939000</v>
      </c>
      <c r="H1499" s="8">
        <f>_xlfn.IFNA(INDEX('HS Codes'!$D$2:$K4053,MATCH($B1499,'HS Codes'!$A$2:$A4053,0),MATCH(H$1,'HS Codes'!$D$1:$K$1,0)),"")</f>
        <v>6302939000</v>
      </c>
      <c r="I1499" s="8">
        <f>_xlfn.IFNA(INDEX('HS Codes'!$D$2:$K4053,MATCH($B1499,'HS Codes'!$A$2:$A4053,0),MATCH(I$1,'HS Codes'!$D$1:$K$1,0)),"")</f>
        <v>6302939000</v>
      </c>
      <c r="J1499" s="8">
        <f>_xlfn.IFNA(INDEX('HS Codes'!$D$2:$K4053,MATCH($B1499,'HS Codes'!$A$2:$A4053,0),MATCH(J$1,'HS Codes'!$D$1:$K$1,0)),"")</f>
        <v>0</v>
      </c>
      <c r="K1499" s="8" t="str">
        <f>_xlfn.IFNA(INDEX('HS Codes'!$D$2:$K4053,MATCH($B1499,'HS Codes'!$A$2:$A4053,0),MATCH(K$1,'HS Codes'!$D$1:$K$1,0)),"")</f>
        <v>6302.29.00</v>
      </c>
      <c r="L1499" s="8">
        <f>_xlfn.IFNA(INDEX('HS Codes'!$D$2:$K4053,MATCH($B1499,'HS Codes'!$A$2:$A4053,0),MATCH(L$1,'HS Codes'!$D$1:$K$1,0)),"")</f>
        <v>0</v>
      </c>
      <c r="M1499" s="8" t="str">
        <f>_xlfn.IFNA(INDEX('HS Codes'!$C$2:$C4053,MATCH($B1499,'HS Codes'!$A$2:$A4053,0)),"")</f>
        <v>Fitness Towel - Toilet Linen 100% recycled polyester includes cotton on the packing pouch drawstring</v>
      </c>
      <c r="N1499" s="9"/>
      <c r="O1499" s="9"/>
      <c r="P1499" s="9"/>
      <c r="Q1499" s="9"/>
    </row>
    <row r="1500" spans="1:17" ht="15.75" customHeight="1">
      <c r="A1500" s="7" t="s">
        <v>1793</v>
      </c>
      <c r="B1500" s="7" t="s">
        <v>98</v>
      </c>
      <c r="C1500" s="7"/>
      <c r="D1500" s="7" t="s">
        <v>99</v>
      </c>
      <c r="E1500" s="7" t="s">
        <v>341</v>
      </c>
      <c r="F1500" s="8" t="str">
        <f>_xlfn.IFNA(INDEX('HS Codes'!$D$2:$K4054,MATCH($B1500,'HS Codes'!$A$2:$A4054,0),MATCH(F$1,'HS Codes'!$D$1:$K$1,0)),"")</f>
        <v>6302.93.2000</v>
      </c>
      <c r="G1500" s="8">
        <f>_xlfn.IFNA(INDEX('HS Codes'!$D$2:$K4054,MATCH($B1500,'HS Codes'!$A$2:$A4054,0),MATCH(G$1,'HS Codes'!$D$1:$K$1,0)),"")</f>
        <v>6302939000</v>
      </c>
      <c r="H1500" s="8">
        <f>_xlfn.IFNA(INDEX('HS Codes'!$D$2:$K4054,MATCH($B1500,'HS Codes'!$A$2:$A4054,0),MATCH(H$1,'HS Codes'!$D$1:$K$1,0)),"")</f>
        <v>6302939000</v>
      </c>
      <c r="I1500" s="8">
        <f>_xlfn.IFNA(INDEX('HS Codes'!$D$2:$K4054,MATCH($B1500,'HS Codes'!$A$2:$A4054,0),MATCH(I$1,'HS Codes'!$D$1:$K$1,0)),"")</f>
        <v>6302939000</v>
      </c>
      <c r="J1500" s="8">
        <f>_xlfn.IFNA(INDEX('HS Codes'!$D$2:$K4054,MATCH($B1500,'HS Codes'!$A$2:$A4054,0),MATCH(J$1,'HS Codes'!$D$1:$K$1,0)),"")</f>
        <v>0</v>
      </c>
      <c r="K1500" s="8" t="str">
        <f>_xlfn.IFNA(INDEX('HS Codes'!$D$2:$K4054,MATCH($B1500,'HS Codes'!$A$2:$A4054,0),MATCH(K$1,'HS Codes'!$D$1:$K$1,0)),"")</f>
        <v>6302.29.00</v>
      </c>
      <c r="L1500" s="8">
        <f>_xlfn.IFNA(INDEX('HS Codes'!$D$2:$K4054,MATCH($B1500,'HS Codes'!$A$2:$A4054,0),MATCH(L$1,'HS Codes'!$D$1:$K$1,0)),"")</f>
        <v>0</v>
      </c>
      <c r="M1500" s="8" t="str">
        <f>_xlfn.IFNA(INDEX('HS Codes'!$C$2:$C4054,MATCH($B1500,'HS Codes'!$A$2:$A4054,0)),"")</f>
        <v>Fitness Towel - Toilet Linen 100% recycled polyester includes cotton on the packing pouch drawstring</v>
      </c>
      <c r="N1500" s="9"/>
      <c r="O1500" s="9"/>
      <c r="P1500" s="9"/>
      <c r="Q1500" s="9"/>
    </row>
    <row r="1501" spans="1:17" ht="15.75" customHeight="1">
      <c r="A1501" s="7" t="s">
        <v>1794</v>
      </c>
      <c r="B1501" s="7" t="s">
        <v>98</v>
      </c>
      <c r="C1501" s="7"/>
      <c r="D1501" s="7" t="s">
        <v>99</v>
      </c>
      <c r="E1501" s="7" t="s">
        <v>341</v>
      </c>
      <c r="F1501" s="8" t="str">
        <f>_xlfn.IFNA(INDEX('HS Codes'!$D$2:$K4055,MATCH($B1501,'HS Codes'!$A$2:$A4055,0),MATCH(F$1,'HS Codes'!$D$1:$K$1,0)),"")</f>
        <v>6302.93.2000</v>
      </c>
      <c r="G1501" s="8">
        <f>_xlfn.IFNA(INDEX('HS Codes'!$D$2:$K4055,MATCH($B1501,'HS Codes'!$A$2:$A4055,0),MATCH(G$1,'HS Codes'!$D$1:$K$1,0)),"")</f>
        <v>6302939000</v>
      </c>
      <c r="H1501" s="8">
        <f>_xlfn.IFNA(INDEX('HS Codes'!$D$2:$K4055,MATCH($B1501,'HS Codes'!$A$2:$A4055,0),MATCH(H$1,'HS Codes'!$D$1:$K$1,0)),"")</f>
        <v>6302939000</v>
      </c>
      <c r="I1501" s="8">
        <f>_xlfn.IFNA(INDEX('HS Codes'!$D$2:$K4055,MATCH($B1501,'HS Codes'!$A$2:$A4055,0),MATCH(I$1,'HS Codes'!$D$1:$K$1,0)),"")</f>
        <v>6302939000</v>
      </c>
      <c r="J1501" s="8">
        <f>_xlfn.IFNA(INDEX('HS Codes'!$D$2:$K4055,MATCH($B1501,'HS Codes'!$A$2:$A4055,0),MATCH(J$1,'HS Codes'!$D$1:$K$1,0)),"")</f>
        <v>0</v>
      </c>
      <c r="K1501" s="8" t="str">
        <f>_xlfn.IFNA(INDEX('HS Codes'!$D$2:$K4055,MATCH($B1501,'HS Codes'!$A$2:$A4055,0),MATCH(K$1,'HS Codes'!$D$1:$K$1,0)),"")</f>
        <v>6302.29.00</v>
      </c>
      <c r="L1501" s="8">
        <f>_xlfn.IFNA(INDEX('HS Codes'!$D$2:$K4055,MATCH($B1501,'HS Codes'!$A$2:$A4055,0),MATCH(L$1,'HS Codes'!$D$1:$K$1,0)),"")</f>
        <v>0</v>
      </c>
      <c r="M1501" s="8" t="str">
        <f>_xlfn.IFNA(INDEX('HS Codes'!$C$2:$C4055,MATCH($B1501,'HS Codes'!$A$2:$A4055,0)),"")</f>
        <v>Fitness Towel - Toilet Linen 100% recycled polyester includes cotton on the packing pouch drawstring</v>
      </c>
      <c r="N1501" s="9"/>
      <c r="O1501" s="9"/>
      <c r="P1501" s="9"/>
      <c r="Q1501" s="9"/>
    </row>
    <row r="1502" spans="1:17" ht="15.75" customHeight="1">
      <c r="A1502" s="7" t="s">
        <v>1795</v>
      </c>
      <c r="B1502" s="7" t="s">
        <v>98</v>
      </c>
      <c r="C1502" s="7"/>
      <c r="D1502" s="7" t="s">
        <v>99</v>
      </c>
      <c r="E1502" s="7" t="s">
        <v>341</v>
      </c>
      <c r="F1502" s="8" t="str">
        <f>_xlfn.IFNA(INDEX('HS Codes'!$D$2:$K4056,MATCH($B1502,'HS Codes'!$A$2:$A4056,0),MATCH(F$1,'HS Codes'!$D$1:$K$1,0)),"")</f>
        <v>6302.93.2000</v>
      </c>
      <c r="G1502" s="8">
        <f>_xlfn.IFNA(INDEX('HS Codes'!$D$2:$K4056,MATCH($B1502,'HS Codes'!$A$2:$A4056,0),MATCH(G$1,'HS Codes'!$D$1:$K$1,0)),"")</f>
        <v>6302939000</v>
      </c>
      <c r="H1502" s="8">
        <f>_xlfn.IFNA(INDEX('HS Codes'!$D$2:$K4056,MATCH($B1502,'HS Codes'!$A$2:$A4056,0),MATCH(H$1,'HS Codes'!$D$1:$K$1,0)),"")</f>
        <v>6302939000</v>
      </c>
      <c r="I1502" s="8">
        <f>_xlfn.IFNA(INDEX('HS Codes'!$D$2:$K4056,MATCH($B1502,'HS Codes'!$A$2:$A4056,0),MATCH(I$1,'HS Codes'!$D$1:$K$1,0)),"")</f>
        <v>6302939000</v>
      </c>
      <c r="J1502" s="8">
        <f>_xlfn.IFNA(INDEX('HS Codes'!$D$2:$K4056,MATCH($B1502,'HS Codes'!$A$2:$A4056,0),MATCH(J$1,'HS Codes'!$D$1:$K$1,0)),"")</f>
        <v>0</v>
      </c>
      <c r="K1502" s="8" t="str">
        <f>_xlfn.IFNA(INDEX('HS Codes'!$D$2:$K4056,MATCH($B1502,'HS Codes'!$A$2:$A4056,0),MATCH(K$1,'HS Codes'!$D$1:$K$1,0)),"")</f>
        <v>6302.29.00</v>
      </c>
      <c r="L1502" s="8">
        <f>_xlfn.IFNA(INDEX('HS Codes'!$D$2:$K4056,MATCH($B1502,'HS Codes'!$A$2:$A4056,0),MATCH(L$1,'HS Codes'!$D$1:$K$1,0)),"")</f>
        <v>0</v>
      </c>
      <c r="M1502" s="8" t="str">
        <f>_xlfn.IFNA(INDEX('HS Codes'!$C$2:$C4056,MATCH($B1502,'HS Codes'!$A$2:$A4056,0)),"")</f>
        <v>Fitness Towel - Toilet Linen 100% recycled polyester includes cotton on the packing pouch drawstring</v>
      </c>
      <c r="N1502" s="9"/>
      <c r="O1502" s="9"/>
      <c r="P1502" s="9"/>
      <c r="Q1502" s="9"/>
    </row>
    <row r="1503" spans="1:17" ht="15.75" customHeight="1">
      <c r="A1503" s="7" t="s">
        <v>1796</v>
      </c>
      <c r="B1503" s="7" t="s">
        <v>98</v>
      </c>
      <c r="C1503" s="7"/>
      <c r="D1503" s="7" t="s">
        <v>99</v>
      </c>
      <c r="E1503" s="7" t="s">
        <v>341</v>
      </c>
      <c r="F1503" s="8" t="str">
        <f>_xlfn.IFNA(INDEX('HS Codes'!$D$2:$K4057,MATCH($B1503,'HS Codes'!$A$2:$A4057,0),MATCH(F$1,'HS Codes'!$D$1:$K$1,0)),"")</f>
        <v>6302.93.2000</v>
      </c>
      <c r="G1503" s="8">
        <f>_xlfn.IFNA(INDEX('HS Codes'!$D$2:$K4057,MATCH($B1503,'HS Codes'!$A$2:$A4057,0),MATCH(G$1,'HS Codes'!$D$1:$K$1,0)),"")</f>
        <v>6302939000</v>
      </c>
      <c r="H1503" s="8">
        <f>_xlfn.IFNA(INDEX('HS Codes'!$D$2:$K4057,MATCH($B1503,'HS Codes'!$A$2:$A4057,0),MATCH(H$1,'HS Codes'!$D$1:$K$1,0)),"")</f>
        <v>6302939000</v>
      </c>
      <c r="I1503" s="8">
        <f>_xlfn.IFNA(INDEX('HS Codes'!$D$2:$K4057,MATCH($B1503,'HS Codes'!$A$2:$A4057,0),MATCH(I$1,'HS Codes'!$D$1:$K$1,0)),"")</f>
        <v>6302939000</v>
      </c>
      <c r="J1503" s="8">
        <f>_xlfn.IFNA(INDEX('HS Codes'!$D$2:$K4057,MATCH($B1503,'HS Codes'!$A$2:$A4057,0),MATCH(J$1,'HS Codes'!$D$1:$K$1,0)),"")</f>
        <v>0</v>
      </c>
      <c r="K1503" s="8" t="str">
        <f>_xlfn.IFNA(INDEX('HS Codes'!$D$2:$K4057,MATCH($B1503,'HS Codes'!$A$2:$A4057,0),MATCH(K$1,'HS Codes'!$D$1:$K$1,0)),"")</f>
        <v>6302.29.00</v>
      </c>
      <c r="L1503" s="8">
        <f>_xlfn.IFNA(INDEX('HS Codes'!$D$2:$K4057,MATCH($B1503,'HS Codes'!$A$2:$A4057,0),MATCH(L$1,'HS Codes'!$D$1:$K$1,0)),"")</f>
        <v>0</v>
      </c>
      <c r="M1503" s="8" t="str">
        <f>_xlfn.IFNA(INDEX('HS Codes'!$C$2:$C4057,MATCH($B1503,'HS Codes'!$A$2:$A4057,0)),"")</f>
        <v>Fitness Towel - Toilet Linen 100% recycled polyester includes cotton on the packing pouch drawstring</v>
      </c>
      <c r="N1503" s="9"/>
      <c r="O1503" s="9"/>
      <c r="P1503" s="9"/>
      <c r="Q1503" s="9"/>
    </row>
    <row r="1504" spans="1:17" ht="15.75" customHeight="1">
      <c r="A1504" s="7" t="s">
        <v>1797</v>
      </c>
      <c r="B1504" s="7" t="s">
        <v>98</v>
      </c>
      <c r="C1504" s="7"/>
      <c r="D1504" s="7" t="s">
        <v>99</v>
      </c>
      <c r="E1504" s="7" t="s">
        <v>341</v>
      </c>
      <c r="F1504" s="8" t="str">
        <f>_xlfn.IFNA(INDEX('HS Codes'!$D$2:$K4058,MATCH($B1504,'HS Codes'!$A$2:$A4058,0),MATCH(F$1,'HS Codes'!$D$1:$K$1,0)),"")</f>
        <v>6302.93.2000</v>
      </c>
      <c r="G1504" s="8">
        <f>_xlfn.IFNA(INDEX('HS Codes'!$D$2:$K4058,MATCH($B1504,'HS Codes'!$A$2:$A4058,0),MATCH(G$1,'HS Codes'!$D$1:$K$1,0)),"")</f>
        <v>6302939000</v>
      </c>
      <c r="H1504" s="8">
        <f>_xlfn.IFNA(INDEX('HS Codes'!$D$2:$K4058,MATCH($B1504,'HS Codes'!$A$2:$A4058,0),MATCH(H$1,'HS Codes'!$D$1:$K$1,0)),"")</f>
        <v>6302939000</v>
      </c>
      <c r="I1504" s="8">
        <f>_xlfn.IFNA(INDEX('HS Codes'!$D$2:$K4058,MATCH($B1504,'HS Codes'!$A$2:$A4058,0),MATCH(I$1,'HS Codes'!$D$1:$K$1,0)),"")</f>
        <v>6302939000</v>
      </c>
      <c r="J1504" s="8">
        <f>_xlfn.IFNA(INDEX('HS Codes'!$D$2:$K4058,MATCH($B1504,'HS Codes'!$A$2:$A4058,0),MATCH(J$1,'HS Codes'!$D$1:$K$1,0)),"")</f>
        <v>0</v>
      </c>
      <c r="K1504" s="8" t="str">
        <f>_xlfn.IFNA(INDEX('HS Codes'!$D$2:$K4058,MATCH($B1504,'HS Codes'!$A$2:$A4058,0),MATCH(K$1,'HS Codes'!$D$1:$K$1,0)),"")</f>
        <v>6302.29.00</v>
      </c>
      <c r="L1504" s="8">
        <f>_xlfn.IFNA(INDEX('HS Codes'!$D$2:$K4058,MATCH($B1504,'HS Codes'!$A$2:$A4058,0),MATCH(L$1,'HS Codes'!$D$1:$K$1,0)),"")</f>
        <v>0</v>
      </c>
      <c r="M1504" s="8" t="str">
        <f>_xlfn.IFNA(INDEX('HS Codes'!$C$2:$C4058,MATCH($B1504,'HS Codes'!$A$2:$A4058,0)),"")</f>
        <v>Fitness Towel - Toilet Linen 100% recycled polyester includes cotton on the packing pouch drawstring</v>
      </c>
      <c r="N1504" s="9"/>
      <c r="O1504" s="9"/>
      <c r="P1504" s="9"/>
      <c r="Q1504" s="9"/>
    </row>
    <row r="1505" spans="1:17" ht="15.75" customHeight="1">
      <c r="A1505" s="7" t="s">
        <v>1798</v>
      </c>
      <c r="B1505" s="7" t="s">
        <v>164</v>
      </c>
      <c r="C1505" s="7" t="s">
        <v>278</v>
      </c>
      <c r="D1505" s="7" t="s">
        <v>165</v>
      </c>
      <c r="E1505" s="7" t="s">
        <v>348</v>
      </c>
      <c r="F1505" s="8" t="str">
        <f>_xlfn.IFNA(INDEX('HS Codes'!$D$2:$K4059,MATCH($B1505,'HS Codes'!$A$2:$A4059,0),MATCH(F$1,'HS Codes'!$D$1:$K$1,0)),"")</f>
        <v>6302.93.2000</v>
      </c>
      <c r="G1505" s="8">
        <f>_xlfn.IFNA(INDEX('HS Codes'!$D$2:$K4059,MATCH($B1505,'HS Codes'!$A$2:$A4059,0),MATCH(G$1,'HS Codes'!$D$1:$K$1,0)),"")</f>
        <v>6302600090</v>
      </c>
      <c r="H1505" s="8" t="str">
        <f>_xlfn.IFNA(INDEX('HS Codes'!$D$2:$K4059,MATCH($B1505,'HS Codes'!$A$2:$A4059,0),MATCH(H$1,'HS Codes'!$D$1:$K$1,0)),"")</f>
        <v>6302.93.00.00</v>
      </c>
      <c r="I1505" s="8">
        <f>_xlfn.IFNA(INDEX('HS Codes'!$D$2:$K4059,MATCH($B1505,'HS Codes'!$A$2:$A4059,0),MATCH(I$1,'HS Codes'!$D$1:$K$1,0)),"")</f>
        <v>63029390</v>
      </c>
      <c r="J1505" s="8">
        <f>_xlfn.IFNA(INDEX('HS Codes'!$D$2:$K4059,MATCH($B1505,'HS Codes'!$A$2:$A4059,0),MATCH(J$1,'HS Codes'!$D$1:$K$1,0)),"")</f>
        <v>0</v>
      </c>
      <c r="K1505" s="8" t="str">
        <f>_xlfn.IFNA(INDEX('HS Codes'!$D$2:$K4059,MATCH($B1505,'HS Codes'!$A$2:$A4059,0),MATCH(K$1,'HS Codes'!$D$1:$K$1,0)),"")</f>
        <v>6302.39.00</v>
      </c>
      <c r="L1505" s="8">
        <f>_xlfn.IFNA(INDEX('HS Codes'!$D$2:$K4059,MATCH($B1505,'HS Codes'!$A$2:$A4059,0),MATCH(L$1,'HS Codes'!$D$1:$K$1,0)),"")</f>
        <v>63029120</v>
      </c>
      <c r="M1505" s="8" t="str">
        <f>_xlfn.IFNA(INDEX('HS Codes'!$C$2:$C4059,MATCH($B1505,'HS Codes'!$A$2:$A4059,0)),"")</f>
        <v>Beach Towel - Toilet Linen 100% recycled 220 GSM/83% polyester/17% polyamide includes cotton on the packing pouch drawstring</v>
      </c>
      <c r="N1505" s="9"/>
      <c r="O1505" s="9"/>
      <c r="P1505" s="9"/>
      <c r="Q1505" s="9"/>
    </row>
    <row r="1506" spans="1:17" ht="15.75" customHeight="1">
      <c r="A1506" s="7" t="s">
        <v>1799</v>
      </c>
      <c r="B1506" s="7" t="s">
        <v>164</v>
      </c>
      <c r="C1506" s="7" t="s">
        <v>278</v>
      </c>
      <c r="D1506" s="7" t="s">
        <v>165</v>
      </c>
      <c r="E1506" s="7" t="s">
        <v>348</v>
      </c>
      <c r="F1506" s="8" t="str">
        <f>_xlfn.IFNA(INDEX('HS Codes'!$D$2:$K4060,MATCH($B1506,'HS Codes'!$A$2:$A4060,0),MATCH(F$1,'HS Codes'!$D$1:$K$1,0)),"")</f>
        <v>6302.93.2000</v>
      </c>
      <c r="G1506" s="8">
        <f>_xlfn.IFNA(INDEX('HS Codes'!$D$2:$K4060,MATCH($B1506,'HS Codes'!$A$2:$A4060,0),MATCH(G$1,'HS Codes'!$D$1:$K$1,0)),"")</f>
        <v>6302600090</v>
      </c>
      <c r="H1506" s="8" t="str">
        <f>_xlfn.IFNA(INDEX('HS Codes'!$D$2:$K4060,MATCH($B1506,'HS Codes'!$A$2:$A4060,0),MATCH(H$1,'HS Codes'!$D$1:$K$1,0)),"")</f>
        <v>6302.93.00.00</v>
      </c>
      <c r="I1506" s="8">
        <f>_xlfn.IFNA(INDEX('HS Codes'!$D$2:$K4060,MATCH($B1506,'HS Codes'!$A$2:$A4060,0),MATCH(I$1,'HS Codes'!$D$1:$K$1,0)),"")</f>
        <v>63029390</v>
      </c>
      <c r="J1506" s="8">
        <f>_xlfn.IFNA(INDEX('HS Codes'!$D$2:$K4060,MATCH($B1506,'HS Codes'!$A$2:$A4060,0),MATCH(J$1,'HS Codes'!$D$1:$K$1,0)),"")</f>
        <v>0</v>
      </c>
      <c r="K1506" s="8" t="str">
        <f>_xlfn.IFNA(INDEX('HS Codes'!$D$2:$K4060,MATCH($B1506,'HS Codes'!$A$2:$A4060,0),MATCH(K$1,'HS Codes'!$D$1:$K$1,0)),"")</f>
        <v>6302.39.00</v>
      </c>
      <c r="L1506" s="8">
        <f>_xlfn.IFNA(INDEX('HS Codes'!$D$2:$K4060,MATCH($B1506,'HS Codes'!$A$2:$A4060,0),MATCH(L$1,'HS Codes'!$D$1:$K$1,0)),"")</f>
        <v>63029120</v>
      </c>
      <c r="M1506" s="8" t="str">
        <f>_xlfn.IFNA(INDEX('HS Codes'!$C$2:$C4060,MATCH($B1506,'HS Codes'!$A$2:$A4060,0)),"")</f>
        <v>Beach Towel - Toilet Linen 100% recycled 220 GSM/83% polyester/17% polyamide includes cotton on the packing pouch drawstring</v>
      </c>
      <c r="N1506" s="9"/>
      <c r="O1506" s="9"/>
      <c r="P1506" s="9"/>
      <c r="Q1506" s="9"/>
    </row>
    <row r="1507" spans="1:17" ht="15.75" customHeight="1">
      <c r="A1507" s="7" t="s">
        <v>1800</v>
      </c>
      <c r="B1507" s="7" t="s">
        <v>164</v>
      </c>
      <c r="C1507" s="7" t="s">
        <v>278</v>
      </c>
      <c r="D1507" s="7" t="s">
        <v>165</v>
      </c>
      <c r="E1507" s="7" t="s">
        <v>348</v>
      </c>
      <c r="F1507" s="8" t="str">
        <f>_xlfn.IFNA(INDEX('HS Codes'!$D$2:$K4061,MATCH($B1507,'HS Codes'!$A$2:$A4061,0),MATCH(F$1,'HS Codes'!$D$1:$K$1,0)),"")</f>
        <v>6302.93.2000</v>
      </c>
      <c r="G1507" s="8">
        <f>_xlfn.IFNA(INDEX('HS Codes'!$D$2:$K4061,MATCH($B1507,'HS Codes'!$A$2:$A4061,0),MATCH(G$1,'HS Codes'!$D$1:$K$1,0)),"")</f>
        <v>6302600090</v>
      </c>
      <c r="H1507" s="8" t="str">
        <f>_xlfn.IFNA(INDEX('HS Codes'!$D$2:$K4061,MATCH($B1507,'HS Codes'!$A$2:$A4061,0),MATCH(H$1,'HS Codes'!$D$1:$K$1,0)),"")</f>
        <v>6302.93.00.00</v>
      </c>
      <c r="I1507" s="8">
        <f>_xlfn.IFNA(INDEX('HS Codes'!$D$2:$K4061,MATCH($B1507,'HS Codes'!$A$2:$A4061,0),MATCH(I$1,'HS Codes'!$D$1:$K$1,0)),"")</f>
        <v>63029390</v>
      </c>
      <c r="J1507" s="8">
        <f>_xlfn.IFNA(INDEX('HS Codes'!$D$2:$K4061,MATCH($B1507,'HS Codes'!$A$2:$A4061,0),MATCH(J$1,'HS Codes'!$D$1:$K$1,0)),"")</f>
        <v>0</v>
      </c>
      <c r="K1507" s="8" t="str">
        <f>_xlfn.IFNA(INDEX('HS Codes'!$D$2:$K4061,MATCH($B1507,'HS Codes'!$A$2:$A4061,0),MATCH(K$1,'HS Codes'!$D$1:$K$1,0)),"")</f>
        <v>6302.39.00</v>
      </c>
      <c r="L1507" s="8">
        <f>_xlfn.IFNA(INDEX('HS Codes'!$D$2:$K4061,MATCH($B1507,'HS Codes'!$A$2:$A4061,0),MATCH(L$1,'HS Codes'!$D$1:$K$1,0)),"")</f>
        <v>63029120</v>
      </c>
      <c r="M1507" s="8" t="str">
        <f>_xlfn.IFNA(INDEX('HS Codes'!$C$2:$C4061,MATCH($B1507,'HS Codes'!$A$2:$A4061,0)),"")</f>
        <v>Beach Towel - Toilet Linen 100% recycled 220 GSM/83% polyester/17% polyamide includes cotton on the packing pouch drawstring</v>
      </c>
      <c r="N1507" s="9"/>
      <c r="O1507" s="9"/>
      <c r="P1507" s="9"/>
      <c r="Q1507" s="9"/>
    </row>
    <row r="1508" spans="1:17" ht="15.75" customHeight="1">
      <c r="A1508" s="7" t="s">
        <v>1801</v>
      </c>
      <c r="B1508" s="7" t="s">
        <v>164</v>
      </c>
      <c r="C1508" s="7" t="s">
        <v>278</v>
      </c>
      <c r="D1508" s="7" t="s">
        <v>165</v>
      </c>
      <c r="E1508" s="7" t="s">
        <v>348</v>
      </c>
      <c r="F1508" s="8" t="str">
        <f>_xlfn.IFNA(INDEX('HS Codes'!$D$2:$K4062,MATCH($B1508,'HS Codes'!$A$2:$A4062,0),MATCH(F$1,'HS Codes'!$D$1:$K$1,0)),"")</f>
        <v>6302.93.2000</v>
      </c>
      <c r="G1508" s="8">
        <f>_xlfn.IFNA(INDEX('HS Codes'!$D$2:$K4062,MATCH($B1508,'HS Codes'!$A$2:$A4062,0),MATCH(G$1,'HS Codes'!$D$1:$K$1,0)),"")</f>
        <v>6302600090</v>
      </c>
      <c r="H1508" s="8" t="str">
        <f>_xlfn.IFNA(INDEX('HS Codes'!$D$2:$K4062,MATCH($B1508,'HS Codes'!$A$2:$A4062,0),MATCH(H$1,'HS Codes'!$D$1:$K$1,0)),"")</f>
        <v>6302.93.00.00</v>
      </c>
      <c r="I1508" s="8">
        <f>_xlfn.IFNA(INDEX('HS Codes'!$D$2:$K4062,MATCH($B1508,'HS Codes'!$A$2:$A4062,0),MATCH(I$1,'HS Codes'!$D$1:$K$1,0)),"")</f>
        <v>63029390</v>
      </c>
      <c r="J1508" s="8">
        <f>_xlfn.IFNA(INDEX('HS Codes'!$D$2:$K4062,MATCH($B1508,'HS Codes'!$A$2:$A4062,0),MATCH(J$1,'HS Codes'!$D$1:$K$1,0)),"")</f>
        <v>0</v>
      </c>
      <c r="K1508" s="8" t="str">
        <f>_xlfn.IFNA(INDEX('HS Codes'!$D$2:$K4062,MATCH($B1508,'HS Codes'!$A$2:$A4062,0),MATCH(K$1,'HS Codes'!$D$1:$K$1,0)),"")</f>
        <v>6302.39.00</v>
      </c>
      <c r="L1508" s="8">
        <f>_xlfn.IFNA(INDEX('HS Codes'!$D$2:$K4062,MATCH($B1508,'HS Codes'!$A$2:$A4062,0),MATCH(L$1,'HS Codes'!$D$1:$K$1,0)),"")</f>
        <v>63029120</v>
      </c>
      <c r="M1508" s="8" t="str">
        <f>_xlfn.IFNA(INDEX('HS Codes'!$C$2:$C4062,MATCH($B1508,'HS Codes'!$A$2:$A4062,0)),"")</f>
        <v>Beach Towel - Toilet Linen 100% recycled 220 GSM/83% polyester/17% polyamide includes cotton on the packing pouch drawstring</v>
      </c>
      <c r="N1508" s="9"/>
      <c r="O1508" s="9"/>
      <c r="P1508" s="9"/>
      <c r="Q1508" s="9"/>
    </row>
    <row r="1509" spans="1:17" ht="15.75" customHeight="1">
      <c r="A1509" s="7" t="s">
        <v>1802</v>
      </c>
      <c r="B1509" s="7" t="s">
        <v>164</v>
      </c>
      <c r="C1509" s="7" t="s">
        <v>278</v>
      </c>
      <c r="D1509" s="7" t="s">
        <v>165</v>
      </c>
      <c r="E1509" s="7" t="s">
        <v>348</v>
      </c>
      <c r="F1509" s="8" t="str">
        <f>_xlfn.IFNA(INDEX('HS Codes'!$D$2:$K4063,MATCH($B1509,'HS Codes'!$A$2:$A4063,0),MATCH(F$1,'HS Codes'!$D$1:$K$1,0)),"")</f>
        <v>6302.93.2000</v>
      </c>
      <c r="G1509" s="8">
        <f>_xlfn.IFNA(INDEX('HS Codes'!$D$2:$K4063,MATCH($B1509,'HS Codes'!$A$2:$A4063,0),MATCH(G$1,'HS Codes'!$D$1:$K$1,0)),"")</f>
        <v>6302600090</v>
      </c>
      <c r="H1509" s="8" t="str">
        <f>_xlfn.IFNA(INDEX('HS Codes'!$D$2:$K4063,MATCH($B1509,'HS Codes'!$A$2:$A4063,0),MATCH(H$1,'HS Codes'!$D$1:$K$1,0)),"")</f>
        <v>6302.93.00.00</v>
      </c>
      <c r="I1509" s="8">
        <f>_xlfn.IFNA(INDEX('HS Codes'!$D$2:$K4063,MATCH($B1509,'HS Codes'!$A$2:$A4063,0),MATCH(I$1,'HS Codes'!$D$1:$K$1,0)),"")</f>
        <v>63029390</v>
      </c>
      <c r="J1509" s="8">
        <f>_xlfn.IFNA(INDEX('HS Codes'!$D$2:$K4063,MATCH($B1509,'HS Codes'!$A$2:$A4063,0),MATCH(J$1,'HS Codes'!$D$1:$K$1,0)),"")</f>
        <v>0</v>
      </c>
      <c r="K1509" s="8" t="str">
        <f>_xlfn.IFNA(INDEX('HS Codes'!$D$2:$K4063,MATCH($B1509,'HS Codes'!$A$2:$A4063,0),MATCH(K$1,'HS Codes'!$D$1:$K$1,0)),"")</f>
        <v>6302.39.00</v>
      </c>
      <c r="L1509" s="8">
        <f>_xlfn.IFNA(INDEX('HS Codes'!$D$2:$K4063,MATCH($B1509,'HS Codes'!$A$2:$A4063,0),MATCH(L$1,'HS Codes'!$D$1:$K$1,0)),"")</f>
        <v>63029120</v>
      </c>
      <c r="M1509" s="8" t="str">
        <f>_xlfn.IFNA(INDEX('HS Codes'!$C$2:$C4063,MATCH($B1509,'HS Codes'!$A$2:$A4063,0)),"")</f>
        <v>Beach Towel - Toilet Linen 100% recycled 220 GSM/83% polyester/17% polyamide includes cotton on the packing pouch drawstring</v>
      </c>
      <c r="N1509" s="9"/>
      <c r="O1509" s="9"/>
      <c r="P1509" s="9"/>
      <c r="Q1509" s="9"/>
    </row>
    <row r="1510" spans="1:17" ht="15.75" customHeight="1">
      <c r="A1510" s="7" t="s">
        <v>1803</v>
      </c>
      <c r="B1510" s="7" t="s">
        <v>164</v>
      </c>
      <c r="C1510" s="7" t="s">
        <v>278</v>
      </c>
      <c r="D1510" s="7" t="s">
        <v>165</v>
      </c>
      <c r="E1510" s="7" t="s">
        <v>348</v>
      </c>
      <c r="F1510" s="8" t="str">
        <f>_xlfn.IFNA(INDEX('HS Codes'!$D$2:$K4064,MATCH($B1510,'HS Codes'!$A$2:$A4064,0),MATCH(F$1,'HS Codes'!$D$1:$K$1,0)),"")</f>
        <v>6302.93.2000</v>
      </c>
      <c r="G1510" s="8">
        <f>_xlfn.IFNA(INDEX('HS Codes'!$D$2:$K4064,MATCH($B1510,'HS Codes'!$A$2:$A4064,0),MATCH(G$1,'HS Codes'!$D$1:$K$1,0)),"")</f>
        <v>6302600090</v>
      </c>
      <c r="H1510" s="8" t="str">
        <f>_xlfn.IFNA(INDEX('HS Codes'!$D$2:$K4064,MATCH($B1510,'HS Codes'!$A$2:$A4064,0),MATCH(H$1,'HS Codes'!$D$1:$K$1,0)),"")</f>
        <v>6302.93.00.00</v>
      </c>
      <c r="I1510" s="8">
        <f>_xlfn.IFNA(INDEX('HS Codes'!$D$2:$K4064,MATCH($B1510,'HS Codes'!$A$2:$A4064,0),MATCH(I$1,'HS Codes'!$D$1:$K$1,0)),"")</f>
        <v>63029390</v>
      </c>
      <c r="J1510" s="8">
        <f>_xlfn.IFNA(INDEX('HS Codes'!$D$2:$K4064,MATCH($B1510,'HS Codes'!$A$2:$A4064,0),MATCH(J$1,'HS Codes'!$D$1:$K$1,0)),"")</f>
        <v>0</v>
      </c>
      <c r="K1510" s="8" t="str">
        <f>_xlfn.IFNA(INDEX('HS Codes'!$D$2:$K4064,MATCH($B1510,'HS Codes'!$A$2:$A4064,0),MATCH(K$1,'HS Codes'!$D$1:$K$1,0)),"")</f>
        <v>6302.39.00</v>
      </c>
      <c r="L1510" s="8">
        <f>_xlfn.IFNA(INDEX('HS Codes'!$D$2:$K4064,MATCH($B1510,'HS Codes'!$A$2:$A4064,0),MATCH(L$1,'HS Codes'!$D$1:$K$1,0)),"")</f>
        <v>63029120</v>
      </c>
      <c r="M1510" s="8" t="str">
        <f>_xlfn.IFNA(INDEX('HS Codes'!$C$2:$C4064,MATCH($B1510,'HS Codes'!$A$2:$A4064,0)),"")</f>
        <v>Beach Towel - Toilet Linen 100% recycled 220 GSM/83% polyester/17% polyamide includes cotton on the packing pouch drawstring</v>
      </c>
      <c r="N1510" s="9"/>
      <c r="O1510" s="9"/>
      <c r="P1510" s="9"/>
      <c r="Q1510" s="9"/>
    </row>
    <row r="1511" spans="1:17" ht="15.75" customHeight="1">
      <c r="A1511" s="7" t="s">
        <v>1804</v>
      </c>
      <c r="B1511" s="7" t="s">
        <v>103</v>
      </c>
      <c r="C1511" s="7" t="s">
        <v>278</v>
      </c>
      <c r="D1511" s="7" t="s">
        <v>104</v>
      </c>
      <c r="E1511" s="7" t="s">
        <v>279</v>
      </c>
      <c r="F1511" s="8" t="str">
        <f>_xlfn.IFNA(INDEX('HS Codes'!$D$2:$K4065,MATCH($B1511,'HS Codes'!$A$2:$A4065,0),MATCH(F$1,'HS Codes'!$D$1:$K$1,0)),"")</f>
        <v>6302.93.2000</v>
      </c>
      <c r="G1511" s="8">
        <f>_xlfn.IFNA(INDEX('HS Codes'!$D$2:$K4065,MATCH($B1511,'HS Codes'!$A$2:$A4065,0),MATCH(G$1,'HS Codes'!$D$1:$K$1,0)),"")</f>
        <v>6302600090</v>
      </c>
      <c r="H1511" s="8" t="str">
        <f>_xlfn.IFNA(INDEX('HS Codes'!$D$2:$K4065,MATCH($B1511,'HS Codes'!$A$2:$A4065,0),MATCH(H$1,'HS Codes'!$D$1:$K$1,0)),"")</f>
        <v>6302.93.00.00</v>
      </c>
      <c r="I1511" s="8">
        <f>_xlfn.IFNA(INDEX('HS Codes'!$D$2:$K4065,MATCH($B1511,'HS Codes'!$A$2:$A4065,0),MATCH(I$1,'HS Codes'!$D$1:$K$1,0)),"")</f>
        <v>6302939000</v>
      </c>
      <c r="J1511" s="8">
        <f>_xlfn.IFNA(INDEX('HS Codes'!$D$2:$K4065,MATCH($B1511,'HS Codes'!$A$2:$A4065,0),MATCH(J$1,'HS Codes'!$D$1:$K$1,0)),"")</f>
        <v>0</v>
      </c>
      <c r="K1511" s="8" t="str">
        <f>_xlfn.IFNA(INDEX('HS Codes'!$D$2:$K4065,MATCH($B1511,'HS Codes'!$A$2:$A4065,0),MATCH(K$1,'HS Codes'!$D$1:$K$1,0)),"")</f>
        <v>6302.39.00</v>
      </c>
      <c r="L1511" s="8">
        <f>_xlfn.IFNA(INDEX('HS Codes'!$D$2:$K4065,MATCH($B1511,'HS Codes'!$A$2:$A4065,0),MATCH(L$1,'HS Codes'!$D$1:$K$1,0)),"")</f>
        <v>6507</v>
      </c>
      <c r="M1511" s="8" t="str">
        <f>_xlfn.IFNA(INDEX('HS Codes'!$C$2:$C4065,MATCH($B1511,'HS Codes'!$A$2:$A4065,0)),"")</f>
        <v>Pet Towel - Toilet Linen 100% recycled 220 GSM/83% polyester/17% polyamide includes cotton on the packing pouch drawstring</v>
      </c>
      <c r="N1511" s="9"/>
      <c r="O1511" s="9"/>
      <c r="P1511" s="9"/>
      <c r="Q1511" s="9"/>
    </row>
    <row r="1512" spans="1:17" ht="15.75" customHeight="1">
      <c r="A1512" s="7" t="s">
        <v>1805</v>
      </c>
      <c r="B1512" s="7" t="s">
        <v>103</v>
      </c>
      <c r="C1512" s="7" t="s">
        <v>278</v>
      </c>
      <c r="D1512" s="7" t="s">
        <v>104</v>
      </c>
      <c r="E1512" s="7" t="s">
        <v>279</v>
      </c>
      <c r="F1512" s="8" t="str">
        <f>_xlfn.IFNA(INDEX('HS Codes'!$D$2:$K4066,MATCH($B1512,'HS Codes'!$A$2:$A4066,0),MATCH(F$1,'HS Codes'!$D$1:$K$1,0)),"")</f>
        <v>6302.93.2000</v>
      </c>
      <c r="G1512" s="8">
        <f>_xlfn.IFNA(INDEX('HS Codes'!$D$2:$K4066,MATCH($B1512,'HS Codes'!$A$2:$A4066,0),MATCH(G$1,'HS Codes'!$D$1:$K$1,0)),"")</f>
        <v>6302600090</v>
      </c>
      <c r="H1512" s="8" t="str">
        <f>_xlfn.IFNA(INDEX('HS Codes'!$D$2:$K4066,MATCH($B1512,'HS Codes'!$A$2:$A4066,0),MATCH(H$1,'HS Codes'!$D$1:$K$1,0)),"")</f>
        <v>6302.93.00.00</v>
      </c>
      <c r="I1512" s="8">
        <f>_xlfn.IFNA(INDEX('HS Codes'!$D$2:$K4066,MATCH($B1512,'HS Codes'!$A$2:$A4066,0),MATCH(I$1,'HS Codes'!$D$1:$K$1,0)),"")</f>
        <v>6302939000</v>
      </c>
      <c r="J1512" s="8">
        <f>_xlfn.IFNA(INDEX('HS Codes'!$D$2:$K4066,MATCH($B1512,'HS Codes'!$A$2:$A4066,0),MATCH(J$1,'HS Codes'!$D$1:$K$1,0)),"")</f>
        <v>0</v>
      </c>
      <c r="K1512" s="8" t="str">
        <f>_xlfn.IFNA(INDEX('HS Codes'!$D$2:$K4066,MATCH($B1512,'HS Codes'!$A$2:$A4066,0),MATCH(K$1,'HS Codes'!$D$1:$K$1,0)),"")</f>
        <v>6302.39.00</v>
      </c>
      <c r="L1512" s="8">
        <f>_xlfn.IFNA(INDEX('HS Codes'!$D$2:$K4066,MATCH($B1512,'HS Codes'!$A$2:$A4066,0),MATCH(L$1,'HS Codes'!$D$1:$K$1,0)),"")</f>
        <v>6507</v>
      </c>
      <c r="M1512" s="8" t="str">
        <f>_xlfn.IFNA(INDEX('HS Codes'!$C$2:$C4066,MATCH($B1512,'HS Codes'!$A$2:$A4066,0)),"")</f>
        <v>Pet Towel - Toilet Linen 100% recycled 220 GSM/83% polyester/17% polyamide includes cotton on the packing pouch drawstring</v>
      </c>
      <c r="N1512" s="9"/>
      <c r="O1512" s="9"/>
      <c r="P1512" s="9"/>
      <c r="Q1512" s="9"/>
    </row>
    <row r="1513" spans="1:17" ht="15.75" customHeight="1">
      <c r="A1513" s="7" t="s">
        <v>1806</v>
      </c>
      <c r="B1513" s="7" t="s">
        <v>103</v>
      </c>
      <c r="C1513" s="7" t="s">
        <v>278</v>
      </c>
      <c r="D1513" s="7" t="s">
        <v>104</v>
      </c>
      <c r="E1513" s="7" t="s">
        <v>279</v>
      </c>
      <c r="F1513" s="8" t="str">
        <f>_xlfn.IFNA(INDEX('HS Codes'!$D$2:$K4067,MATCH($B1513,'HS Codes'!$A$2:$A4067,0),MATCH(F$1,'HS Codes'!$D$1:$K$1,0)),"")</f>
        <v>6302.93.2000</v>
      </c>
      <c r="G1513" s="8">
        <f>_xlfn.IFNA(INDEX('HS Codes'!$D$2:$K4067,MATCH($B1513,'HS Codes'!$A$2:$A4067,0),MATCH(G$1,'HS Codes'!$D$1:$K$1,0)),"")</f>
        <v>6302600090</v>
      </c>
      <c r="H1513" s="8" t="str">
        <f>_xlfn.IFNA(INDEX('HS Codes'!$D$2:$K4067,MATCH($B1513,'HS Codes'!$A$2:$A4067,0),MATCH(H$1,'HS Codes'!$D$1:$K$1,0)),"")</f>
        <v>6302.93.00.00</v>
      </c>
      <c r="I1513" s="8">
        <f>_xlfn.IFNA(INDEX('HS Codes'!$D$2:$K4067,MATCH($B1513,'HS Codes'!$A$2:$A4067,0),MATCH(I$1,'HS Codes'!$D$1:$K$1,0)),"")</f>
        <v>6302939000</v>
      </c>
      <c r="J1513" s="8">
        <f>_xlfn.IFNA(INDEX('HS Codes'!$D$2:$K4067,MATCH($B1513,'HS Codes'!$A$2:$A4067,0),MATCH(J$1,'HS Codes'!$D$1:$K$1,0)),"")</f>
        <v>0</v>
      </c>
      <c r="K1513" s="8" t="str">
        <f>_xlfn.IFNA(INDEX('HS Codes'!$D$2:$K4067,MATCH($B1513,'HS Codes'!$A$2:$A4067,0),MATCH(K$1,'HS Codes'!$D$1:$K$1,0)),"")</f>
        <v>6302.39.00</v>
      </c>
      <c r="L1513" s="8">
        <f>_xlfn.IFNA(INDEX('HS Codes'!$D$2:$K4067,MATCH($B1513,'HS Codes'!$A$2:$A4067,0),MATCH(L$1,'HS Codes'!$D$1:$K$1,0)),"")</f>
        <v>6507</v>
      </c>
      <c r="M1513" s="8" t="str">
        <f>_xlfn.IFNA(INDEX('HS Codes'!$C$2:$C4067,MATCH($B1513,'HS Codes'!$A$2:$A4067,0)),"")</f>
        <v>Pet Towel - Toilet Linen 100% recycled 220 GSM/83% polyester/17% polyamide includes cotton on the packing pouch drawstring</v>
      </c>
      <c r="N1513" s="9"/>
      <c r="O1513" s="9"/>
      <c r="P1513" s="9"/>
      <c r="Q1513" s="9"/>
    </row>
    <row r="1514" spans="1:17" ht="15.75" customHeight="1">
      <c r="A1514" s="7" t="s">
        <v>1807</v>
      </c>
      <c r="B1514" s="7" t="s">
        <v>103</v>
      </c>
      <c r="C1514" s="7" t="s">
        <v>278</v>
      </c>
      <c r="D1514" s="7" t="s">
        <v>104</v>
      </c>
      <c r="E1514" s="7" t="s">
        <v>279</v>
      </c>
      <c r="F1514" s="8" t="str">
        <f>_xlfn.IFNA(INDEX('HS Codes'!$D$2:$K4068,MATCH($B1514,'HS Codes'!$A$2:$A4068,0),MATCH(F$1,'HS Codes'!$D$1:$K$1,0)),"")</f>
        <v>6302.93.2000</v>
      </c>
      <c r="G1514" s="8">
        <f>_xlfn.IFNA(INDEX('HS Codes'!$D$2:$K4068,MATCH($B1514,'HS Codes'!$A$2:$A4068,0),MATCH(G$1,'HS Codes'!$D$1:$K$1,0)),"")</f>
        <v>6302600090</v>
      </c>
      <c r="H1514" s="8" t="str">
        <f>_xlfn.IFNA(INDEX('HS Codes'!$D$2:$K4068,MATCH($B1514,'HS Codes'!$A$2:$A4068,0),MATCH(H$1,'HS Codes'!$D$1:$K$1,0)),"")</f>
        <v>6302.93.00.00</v>
      </c>
      <c r="I1514" s="8">
        <f>_xlfn.IFNA(INDEX('HS Codes'!$D$2:$K4068,MATCH($B1514,'HS Codes'!$A$2:$A4068,0),MATCH(I$1,'HS Codes'!$D$1:$K$1,0)),"")</f>
        <v>6302939000</v>
      </c>
      <c r="J1514" s="8">
        <f>_xlfn.IFNA(INDEX('HS Codes'!$D$2:$K4068,MATCH($B1514,'HS Codes'!$A$2:$A4068,0),MATCH(J$1,'HS Codes'!$D$1:$K$1,0)),"")</f>
        <v>0</v>
      </c>
      <c r="K1514" s="8" t="str">
        <f>_xlfn.IFNA(INDEX('HS Codes'!$D$2:$K4068,MATCH($B1514,'HS Codes'!$A$2:$A4068,0),MATCH(K$1,'HS Codes'!$D$1:$K$1,0)),"")</f>
        <v>6302.39.00</v>
      </c>
      <c r="L1514" s="8">
        <f>_xlfn.IFNA(INDEX('HS Codes'!$D$2:$K4068,MATCH($B1514,'HS Codes'!$A$2:$A4068,0),MATCH(L$1,'HS Codes'!$D$1:$K$1,0)),"")</f>
        <v>6507</v>
      </c>
      <c r="M1514" s="8" t="str">
        <f>_xlfn.IFNA(INDEX('HS Codes'!$C$2:$C4068,MATCH($B1514,'HS Codes'!$A$2:$A4068,0)),"")</f>
        <v>Pet Towel - Toilet Linen 100% recycled 220 GSM/83% polyester/17% polyamide includes cotton on the packing pouch drawstring</v>
      </c>
      <c r="N1514" s="9"/>
      <c r="O1514" s="9"/>
      <c r="P1514" s="9"/>
      <c r="Q1514" s="9"/>
    </row>
    <row r="1515" spans="1:17" ht="15.75" customHeight="1">
      <c r="A1515" s="7" t="s">
        <v>1808</v>
      </c>
      <c r="B1515" s="7" t="s">
        <v>103</v>
      </c>
      <c r="C1515" s="7" t="s">
        <v>278</v>
      </c>
      <c r="D1515" s="7" t="s">
        <v>104</v>
      </c>
      <c r="E1515" s="7" t="s">
        <v>279</v>
      </c>
      <c r="F1515" s="8" t="str">
        <f>_xlfn.IFNA(INDEX('HS Codes'!$D$2:$K4069,MATCH($B1515,'HS Codes'!$A$2:$A4069,0),MATCH(F$1,'HS Codes'!$D$1:$K$1,0)),"")</f>
        <v>6302.93.2000</v>
      </c>
      <c r="G1515" s="8">
        <f>_xlfn.IFNA(INDEX('HS Codes'!$D$2:$K4069,MATCH($B1515,'HS Codes'!$A$2:$A4069,0),MATCH(G$1,'HS Codes'!$D$1:$K$1,0)),"")</f>
        <v>6302600090</v>
      </c>
      <c r="H1515" s="8" t="str">
        <f>_xlfn.IFNA(INDEX('HS Codes'!$D$2:$K4069,MATCH($B1515,'HS Codes'!$A$2:$A4069,0),MATCH(H$1,'HS Codes'!$D$1:$K$1,0)),"")</f>
        <v>6302.93.00.00</v>
      </c>
      <c r="I1515" s="8">
        <f>_xlfn.IFNA(INDEX('HS Codes'!$D$2:$K4069,MATCH($B1515,'HS Codes'!$A$2:$A4069,0),MATCH(I$1,'HS Codes'!$D$1:$K$1,0)),"")</f>
        <v>6302939000</v>
      </c>
      <c r="J1515" s="8">
        <f>_xlfn.IFNA(INDEX('HS Codes'!$D$2:$K4069,MATCH($B1515,'HS Codes'!$A$2:$A4069,0),MATCH(J$1,'HS Codes'!$D$1:$K$1,0)),"")</f>
        <v>0</v>
      </c>
      <c r="K1515" s="8" t="str">
        <f>_xlfn.IFNA(INDEX('HS Codes'!$D$2:$K4069,MATCH($B1515,'HS Codes'!$A$2:$A4069,0),MATCH(K$1,'HS Codes'!$D$1:$K$1,0)),"")</f>
        <v>6302.39.00</v>
      </c>
      <c r="L1515" s="8">
        <f>_xlfn.IFNA(INDEX('HS Codes'!$D$2:$K4069,MATCH($B1515,'HS Codes'!$A$2:$A4069,0),MATCH(L$1,'HS Codes'!$D$1:$K$1,0)),"")</f>
        <v>6507</v>
      </c>
      <c r="M1515" s="8" t="str">
        <f>_xlfn.IFNA(INDEX('HS Codes'!$C$2:$C4069,MATCH($B1515,'HS Codes'!$A$2:$A4069,0)),"")</f>
        <v>Pet Towel - Toilet Linen 100% recycled 220 GSM/83% polyester/17% polyamide includes cotton on the packing pouch drawstring</v>
      </c>
      <c r="N1515" s="9"/>
      <c r="O1515" s="9"/>
      <c r="P1515" s="9"/>
      <c r="Q1515" s="9"/>
    </row>
    <row r="1516" spans="1:17" ht="15.75" customHeight="1">
      <c r="A1516" s="7" t="s">
        <v>1809</v>
      </c>
      <c r="B1516" s="7" t="s">
        <v>103</v>
      </c>
      <c r="C1516" s="7" t="s">
        <v>278</v>
      </c>
      <c r="D1516" s="7" t="s">
        <v>104</v>
      </c>
      <c r="E1516" s="7" t="s">
        <v>279</v>
      </c>
      <c r="F1516" s="8" t="str">
        <f>_xlfn.IFNA(INDEX('HS Codes'!$D$2:$K4070,MATCH($B1516,'HS Codes'!$A$2:$A4070,0),MATCH(F$1,'HS Codes'!$D$1:$K$1,0)),"")</f>
        <v>6302.93.2000</v>
      </c>
      <c r="G1516" s="8">
        <f>_xlfn.IFNA(INDEX('HS Codes'!$D$2:$K4070,MATCH($B1516,'HS Codes'!$A$2:$A4070,0),MATCH(G$1,'HS Codes'!$D$1:$K$1,0)),"")</f>
        <v>6302600090</v>
      </c>
      <c r="H1516" s="8" t="str">
        <f>_xlfn.IFNA(INDEX('HS Codes'!$D$2:$K4070,MATCH($B1516,'HS Codes'!$A$2:$A4070,0),MATCH(H$1,'HS Codes'!$D$1:$K$1,0)),"")</f>
        <v>6302.93.00.00</v>
      </c>
      <c r="I1516" s="8">
        <f>_xlfn.IFNA(INDEX('HS Codes'!$D$2:$K4070,MATCH($B1516,'HS Codes'!$A$2:$A4070,0),MATCH(I$1,'HS Codes'!$D$1:$K$1,0)),"")</f>
        <v>6302939000</v>
      </c>
      <c r="J1516" s="8">
        <f>_xlfn.IFNA(INDEX('HS Codes'!$D$2:$K4070,MATCH($B1516,'HS Codes'!$A$2:$A4070,0),MATCH(J$1,'HS Codes'!$D$1:$K$1,0)),"")</f>
        <v>0</v>
      </c>
      <c r="K1516" s="8" t="str">
        <f>_xlfn.IFNA(INDEX('HS Codes'!$D$2:$K4070,MATCH($B1516,'HS Codes'!$A$2:$A4070,0),MATCH(K$1,'HS Codes'!$D$1:$K$1,0)),"")</f>
        <v>6302.39.00</v>
      </c>
      <c r="L1516" s="8">
        <f>_xlfn.IFNA(INDEX('HS Codes'!$D$2:$K4070,MATCH($B1516,'HS Codes'!$A$2:$A4070,0),MATCH(L$1,'HS Codes'!$D$1:$K$1,0)),"")</f>
        <v>6507</v>
      </c>
      <c r="M1516" s="8" t="str">
        <f>_xlfn.IFNA(INDEX('HS Codes'!$C$2:$C4070,MATCH($B1516,'HS Codes'!$A$2:$A4070,0)),"")</f>
        <v>Pet Towel - Toilet Linen 100% recycled 220 GSM/83% polyester/17% polyamide includes cotton on the packing pouch drawstring</v>
      </c>
      <c r="N1516" s="9"/>
      <c r="O1516" s="9"/>
      <c r="P1516" s="9"/>
      <c r="Q1516" s="9"/>
    </row>
    <row r="1517" spans="1:17" ht="15.75" customHeight="1">
      <c r="A1517" s="7" t="s">
        <v>1810</v>
      </c>
      <c r="B1517" s="7" t="s">
        <v>103</v>
      </c>
      <c r="C1517" s="7" t="s">
        <v>278</v>
      </c>
      <c r="D1517" s="7" t="s">
        <v>104</v>
      </c>
      <c r="E1517" s="7" t="s">
        <v>279</v>
      </c>
      <c r="F1517" s="8" t="str">
        <f>_xlfn.IFNA(INDEX('HS Codes'!$D$2:$K4071,MATCH($B1517,'HS Codes'!$A$2:$A4071,0),MATCH(F$1,'HS Codes'!$D$1:$K$1,0)),"")</f>
        <v>6302.93.2000</v>
      </c>
      <c r="G1517" s="8">
        <f>_xlfn.IFNA(INDEX('HS Codes'!$D$2:$K4071,MATCH($B1517,'HS Codes'!$A$2:$A4071,0),MATCH(G$1,'HS Codes'!$D$1:$K$1,0)),"")</f>
        <v>6302600090</v>
      </c>
      <c r="H1517" s="8" t="str">
        <f>_xlfn.IFNA(INDEX('HS Codes'!$D$2:$K4071,MATCH($B1517,'HS Codes'!$A$2:$A4071,0),MATCH(H$1,'HS Codes'!$D$1:$K$1,0)),"")</f>
        <v>6302.93.00.00</v>
      </c>
      <c r="I1517" s="8">
        <f>_xlfn.IFNA(INDEX('HS Codes'!$D$2:$K4071,MATCH($B1517,'HS Codes'!$A$2:$A4071,0),MATCH(I$1,'HS Codes'!$D$1:$K$1,0)),"")</f>
        <v>6302939000</v>
      </c>
      <c r="J1517" s="8">
        <f>_xlfn.IFNA(INDEX('HS Codes'!$D$2:$K4071,MATCH($B1517,'HS Codes'!$A$2:$A4071,0),MATCH(J$1,'HS Codes'!$D$1:$K$1,0)),"")</f>
        <v>0</v>
      </c>
      <c r="K1517" s="8" t="str">
        <f>_xlfn.IFNA(INDEX('HS Codes'!$D$2:$K4071,MATCH($B1517,'HS Codes'!$A$2:$A4071,0),MATCH(K$1,'HS Codes'!$D$1:$K$1,0)),"")</f>
        <v>6302.39.00</v>
      </c>
      <c r="L1517" s="8">
        <f>_xlfn.IFNA(INDEX('HS Codes'!$D$2:$K4071,MATCH($B1517,'HS Codes'!$A$2:$A4071,0),MATCH(L$1,'HS Codes'!$D$1:$K$1,0)),"")</f>
        <v>6507</v>
      </c>
      <c r="M1517" s="8" t="str">
        <f>_xlfn.IFNA(INDEX('HS Codes'!$C$2:$C4071,MATCH($B1517,'HS Codes'!$A$2:$A4071,0)),"")</f>
        <v>Pet Towel - Toilet Linen 100% recycled 220 GSM/83% polyester/17% polyamide includes cotton on the packing pouch drawstring</v>
      </c>
      <c r="N1517" s="9"/>
      <c r="O1517" s="9"/>
      <c r="P1517" s="9"/>
      <c r="Q1517" s="9"/>
    </row>
    <row r="1518" spans="1:17" ht="15.75" customHeight="1">
      <c r="A1518" s="7" t="s">
        <v>1811</v>
      </c>
      <c r="B1518" s="7" t="s">
        <v>103</v>
      </c>
      <c r="C1518" s="7" t="s">
        <v>278</v>
      </c>
      <c r="D1518" s="7" t="s">
        <v>104</v>
      </c>
      <c r="E1518" s="7" t="s">
        <v>279</v>
      </c>
      <c r="F1518" s="8" t="str">
        <f>_xlfn.IFNA(INDEX('HS Codes'!$D$2:$K4072,MATCH($B1518,'HS Codes'!$A$2:$A4072,0),MATCH(F$1,'HS Codes'!$D$1:$K$1,0)),"")</f>
        <v>6302.93.2000</v>
      </c>
      <c r="G1518" s="8">
        <f>_xlfn.IFNA(INDEX('HS Codes'!$D$2:$K4072,MATCH($B1518,'HS Codes'!$A$2:$A4072,0),MATCH(G$1,'HS Codes'!$D$1:$K$1,0)),"")</f>
        <v>6302600090</v>
      </c>
      <c r="H1518" s="8" t="str">
        <f>_xlfn.IFNA(INDEX('HS Codes'!$D$2:$K4072,MATCH($B1518,'HS Codes'!$A$2:$A4072,0),MATCH(H$1,'HS Codes'!$D$1:$K$1,0)),"")</f>
        <v>6302.93.00.00</v>
      </c>
      <c r="I1518" s="8">
        <f>_xlfn.IFNA(INDEX('HS Codes'!$D$2:$K4072,MATCH($B1518,'HS Codes'!$A$2:$A4072,0),MATCH(I$1,'HS Codes'!$D$1:$K$1,0)),"")</f>
        <v>6302939000</v>
      </c>
      <c r="J1518" s="8">
        <f>_xlfn.IFNA(INDEX('HS Codes'!$D$2:$K4072,MATCH($B1518,'HS Codes'!$A$2:$A4072,0),MATCH(J$1,'HS Codes'!$D$1:$K$1,0)),"")</f>
        <v>0</v>
      </c>
      <c r="K1518" s="8" t="str">
        <f>_xlfn.IFNA(INDEX('HS Codes'!$D$2:$K4072,MATCH($B1518,'HS Codes'!$A$2:$A4072,0),MATCH(K$1,'HS Codes'!$D$1:$K$1,0)),"")</f>
        <v>6302.39.00</v>
      </c>
      <c r="L1518" s="8">
        <f>_xlfn.IFNA(INDEX('HS Codes'!$D$2:$K4072,MATCH($B1518,'HS Codes'!$A$2:$A4072,0),MATCH(L$1,'HS Codes'!$D$1:$K$1,0)),"")</f>
        <v>6507</v>
      </c>
      <c r="M1518" s="8" t="str">
        <f>_xlfn.IFNA(INDEX('HS Codes'!$C$2:$C4072,MATCH($B1518,'HS Codes'!$A$2:$A4072,0)),"")</f>
        <v>Pet Towel - Toilet Linen 100% recycled 220 GSM/83% polyester/17% polyamide includes cotton on the packing pouch drawstring</v>
      </c>
      <c r="N1518" s="9"/>
      <c r="O1518" s="9"/>
      <c r="P1518" s="9"/>
      <c r="Q1518" s="9"/>
    </row>
    <row r="1519" spans="1:17" ht="15.75" customHeight="1">
      <c r="A1519" s="7" t="s">
        <v>1812</v>
      </c>
      <c r="B1519" s="7" t="s">
        <v>103</v>
      </c>
      <c r="C1519" s="7" t="s">
        <v>278</v>
      </c>
      <c r="D1519" s="7" t="s">
        <v>104</v>
      </c>
      <c r="E1519" s="7" t="s">
        <v>279</v>
      </c>
      <c r="F1519" s="8" t="str">
        <f>_xlfn.IFNA(INDEX('HS Codes'!$D$2:$K4073,MATCH($B1519,'HS Codes'!$A$2:$A4073,0),MATCH(F$1,'HS Codes'!$D$1:$K$1,0)),"")</f>
        <v>6302.93.2000</v>
      </c>
      <c r="G1519" s="8">
        <f>_xlfn.IFNA(INDEX('HS Codes'!$D$2:$K4073,MATCH($B1519,'HS Codes'!$A$2:$A4073,0),MATCH(G$1,'HS Codes'!$D$1:$K$1,0)),"")</f>
        <v>6302600090</v>
      </c>
      <c r="H1519" s="8" t="str">
        <f>_xlfn.IFNA(INDEX('HS Codes'!$D$2:$K4073,MATCH($B1519,'HS Codes'!$A$2:$A4073,0),MATCH(H$1,'HS Codes'!$D$1:$K$1,0)),"")</f>
        <v>6302.93.00.00</v>
      </c>
      <c r="I1519" s="8">
        <f>_xlfn.IFNA(INDEX('HS Codes'!$D$2:$K4073,MATCH($B1519,'HS Codes'!$A$2:$A4073,0),MATCH(I$1,'HS Codes'!$D$1:$K$1,0)),"")</f>
        <v>6302939000</v>
      </c>
      <c r="J1519" s="8">
        <f>_xlfn.IFNA(INDEX('HS Codes'!$D$2:$K4073,MATCH($B1519,'HS Codes'!$A$2:$A4073,0),MATCH(J$1,'HS Codes'!$D$1:$K$1,0)),"")</f>
        <v>0</v>
      </c>
      <c r="K1519" s="8" t="str">
        <f>_xlfn.IFNA(INDEX('HS Codes'!$D$2:$K4073,MATCH($B1519,'HS Codes'!$A$2:$A4073,0),MATCH(K$1,'HS Codes'!$D$1:$K$1,0)),"")</f>
        <v>6302.39.00</v>
      </c>
      <c r="L1519" s="8">
        <f>_xlfn.IFNA(INDEX('HS Codes'!$D$2:$K4073,MATCH($B1519,'HS Codes'!$A$2:$A4073,0),MATCH(L$1,'HS Codes'!$D$1:$K$1,0)),"")</f>
        <v>6507</v>
      </c>
      <c r="M1519" s="8" t="str">
        <f>_xlfn.IFNA(INDEX('HS Codes'!$C$2:$C4073,MATCH($B1519,'HS Codes'!$A$2:$A4073,0)),"")</f>
        <v>Pet Towel - Toilet Linen 100% recycled 220 GSM/83% polyester/17% polyamide includes cotton on the packing pouch drawstring</v>
      </c>
      <c r="N1519" s="9"/>
      <c r="O1519" s="9"/>
      <c r="P1519" s="9"/>
      <c r="Q1519" s="9"/>
    </row>
    <row r="1520" spans="1:17" ht="15.75" customHeight="1">
      <c r="A1520" s="7" t="s">
        <v>1813</v>
      </c>
      <c r="B1520" s="7" t="s">
        <v>103</v>
      </c>
      <c r="C1520" s="7" t="s">
        <v>278</v>
      </c>
      <c r="D1520" s="7" t="s">
        <v>104</v>
      </c>
      <c r="E1520" s="7" t="s">
        <v>279</v>
      </c>
      <c r="F1520" s="8" t="str">
        <f>_xlfn.IFNA(INDEX('HS Codes'!$D$2:$K4074,MATCH($B1520,'HS Codes'!$A$2:$A4074,0),MATCH(F$1,'HS Codes'!$D$1:$K$1,0)),"")</f>
        <v>6302.93.2000</v>
      </c>
      <c r="G1520" s="8">
        <f>_xlfn.IFNA(INDEX('HS Codes'!$D$2:$K4074,MATCH($B1520,'HS Codes'!$A$2:$A4074,0),MATCH(G$1,'HS Codes'!$D$1:$K$1,0)),"")</f>
        <v>6302600090</v>
      </c>
      <c r="H1520" s="8" t="str">
        <f>_xlfn.IFNA(INDEX('HS Codes'!$D$2:$K4074,MATCH($B1520,'HS Codes'!$A$2:$A4074,0),MATCH(H$1,'HS Codes'!$D$1:$K$1,0)),"")</f>
        <v>6302.93.00.00</v>
      </c>
      <c r="I1520" s="8">
        <f>_xlfn.IFNA(INDEX('HS Codes'!$D$2:$K4074,MATCH($B1520,'HS Codes'!$A$2:$A4074,0),MATCH(I$1,'HS Codes'!$D$1:$K$1,0)),"")</f>
        <v>6302939000</v>
      </c>
      <c r="J1520" s="8">
        <f>_xlfn.IFNA(INDEX('HS Codes'!$D$2:$K4074,MATCH($B1520,'HS Codes'!$A$2:$A4074,0),MATCH(J$1,'HS Codes'!$D$1:$K$1,0)),"")</f>
        <v>0</v>
      </c>
      <c r="K1520" s="8" t="str">
        <f>_xlfn.IFNA(INDEX('HS Codes'!$D$2:$K4074,MATCH($B1520,'HS Codes'!$A$2:$A4074,0),MATCH(K$1,'HS Codes'!$D$1:$K$1,0)),"")</f>
        <v>6302.39.00</v>
      </c>
      <c r="L1520" s="8">
        <f>_xlfn.IFNA(INDEX('HS Codes'!$D$2:$K4074,MATCH($B1520,'HS Codes'!$A$2:$A4074,0),MATCH(L$1,'HS Codes'!$D$1:$K$1,0)),"")</f>
        <v>6507</v>
      </c>
      <c r="M1520" s="8" t="str">
        <f>_xlfn.IFNA(INDEX('HS Codes'!$C$2:$C4074,MATCH($B1520,'HS Codes'!$A$2:$A4074,0)),"")</f>
        <v>Pet Towel - Toilet Linen 100% recycled 220 GSM/83% polyester/17% polyamide includes cotton on the packing pouch drawstring</v>
      </c>
      <c r="N1520" s="9"/>
      <c r="O1520" s="9"/>
      <c r="P1520" s="9"/>
      <c r="Q1520" s="9"/>
    </row>
    <row r="1521" spans="1:17" ht="15.75" customHeight="1">
      <c r="A1521" s="7" t="s">
        <v>1814</v>
      </c>
      <c r="B1521" s="7" t="s">
        <v>103</v>
      </c>
      <c r="C1521" s="7" t="s">
        <v>278</v>
      </c>
      <c r="D1521" s="7" t="s">
        <v>104</v>
      </c>
      <c r="E1521" s="7" t="s">
        <v>279</v>
      </c>
      <c r="F1521" s="8" t="str">
        <f>_xlfn.IFNA(INDEX('HS Codes'!$D$2:$K4075,MATCH($B1521,'HS Codes'!$A$2:$A4075,0),MATCH(F$1,'HS Codes'!$D$1:$K$1,0)),"")</f>
        <v>6302.93.2000</v>
      </c>
      <c r="G1521" s="8">
        <f>_xlfn.IFNA(INDEX('HS Codes'!$D$2:$K4075,MATCH($B1521,'HS Codes'!$A$2:$A4075,0),MATCH(G$1,'HS Codes'!$D$1:$K$1,0)),"")</f>
        <v>6302600090</v>
      </c>
      <c r="H1521" s="8" t="str">
        <f>_xlfn.IFNA(INDEX('HS Codes'!$D$2:$K4075,MATCH($B1521,'HS Codes'!$A$2:$A4075,0),MATCH(H$1,'HS Codes'!$D$1:$K$1,0)),"")</f>
        <v>6302.93.00.00</v>
      </c>
      <c r="I1521" s="8">
        <f>_xlfn.IFNA(INDEX('HS Codes'!$D$2:$K4075,MATCH($B1521,'HS Codes'!$A$2:$A4075,0),MATCH(I$1,'HS Codes'!$D$1:$K$1,0)),"")</f>
        <v>6302939000</v>
      </c>
      <c r="J1521" s="8">
        <f>_xlfn.IFNA(INDEX('HS Codes'!$D$2:$K4075,MATCH($B1521,'HS Codes'!$A$2:$A4075,0),MATCH(J$1,'HS Codes'!$D$1:$K$1,0)),"")</f>
        <v>0</v>
      </c>
      <c r="K1521" s="8" t="str">
        <f>_xlfn.IFNA(INDEX('HS Codes'!$D$2:$K4075,MATCH($B1521,'HS Codes'!$A$2:$A4075,0),MATCH(K$1,'HS Codes'!$D$1:$K$1,0)),"")</f>
        <v>6302.39.00</v>
      </c>
      <c r="L1521" s="8">
        <f>_xlfn.IFNA(INDEX('HS Codes'!$D$2:$K4075,MATCH($B1521,'HS Codes'!$A$2:$A4075,0),MATCH(L$1,'HS Codes'!$D$1:$K$1,0)),"")</f>
        <v>6507</v>
      </c>
      <c r="M1521" s="8" t="str">
        <f>_xlfn.IFNA(INDEX('HS Codes'!$C$2:$C4075,MATCH($B1521,'HS Codes'!$A$2:$A4075,0)),"")</f>
        <v>Pet Towel - Toilet Linen 100% recycled 220 GSM/83% polyester/17% polyamide includes cotton on the packing pouch drawstring</v>
      </c>
      <c r="N1521" s="9"/>
      <c r="O1521" s="9"/>
      <c r="P1521" s="9"/>
      <c r="Q1521" s="9"/>
    </row>
    <row r="1522" spans="1:17" ht="15.75" customHeight="1">
      <c r="A1522" s="7" t="s">
        <v>1815</v>
      </c>
      <c r="B1522" s="7" t="s">
        <v>103</v>
      </c>
      <c r="C1522" s="7" t="s">
        <v>278</v>
      </c>
      <c r="D1522" s="7" t="s">
        <v>104</v>
      </c>
      <c r="E1522" s="7" t="s">
        <v>279</v>
      </c>
      <c r="F1522" s="8" t="str">
        <f>_xlfn.IFNA(INDEX('HS Codes'!$D$2:$K4076,MATCH($B1522,'HS Codes'!$A$2:$A4076,0),MATCH(F$1,'HS Codes'!$D$1:$K$1,0)),"")</f>
        <v>6302.93.2000</v>
      </c>
      <c r="G1522" s="8">
        <f>_xlfn.IFNA(INDEX('HS Codes'!$D$2:$K4076,MATCH($B1522,'HS Codes'!$A$2:$A4076,0),MATCH(G$1,'HS Codes'!$D$1:$K$1,0)),"")</f>
        <v>6302600090</v>
      </c>
      <c r="H1522" s="8" t="str">
        <f>_xlfn.IFNA(INDEX('HS Codes'!$D$2:$K4076,MATCH($B1522,'HS Codes'!$A$2:$A4076,0),MATCH(H$1,'HS Codes'!$D$1:$K$1,0)),"")</f>
        <v>6302.93.00.00</v>
      </c>
      <c r="I1522" s="8">
        <f>_xlfn.IFNA(INDEX('HS Codes'!$D$2:$K4076,MATCH($B1522,'HS Codes'!$A$2:$A4076,0),MATCH(I$1,'HS Codes'!$D$1:$K$1,0)),"")</f>
        <v>6302939000</v>
      </c>
      <c r="J1522" s="8">
        <f>_xlfn.IFNA(INDEX('HS Codes'!$D$2:$K4076,MATCH($B1522,'HS Codes'!$A$2:$A4076,0),MATCH(J$1,'HS Codes'!$D$1:$K$1,0)),"")</f>
        <v>0</v>
      </c>
      <c r="K1522" s="8" t="str">
        <f>_xlfn.IFNA(INDEX('HS Codes'!$D$2:$K4076,MATCH($B1522,'HS Codes'!$A$2:$A4076,0),MATCH(K$1,'HS Codes'!$D$1:$K$1,0)),"")</f>
        <v>6302.39.00</v>
      </c>
      <c r="L1522" s="8">
        <f>_xlfn.IFNA(INDEX('HS Codes'!$D$2:$K4076,MATCH($B1522,'HS Codes'!$A$2:$A4076,0),MATCH(L$1,'HS Codes'!$D$1:$K$1,0)),"")</f>
        <v>6507</v>
      </c>
      <c r="M1522" s="8" t="str">
        <f>_xlfn.IFNA(INDEX('HS Codes'!$C$2:$C4076,MATCH($B1522,'HS Codes'!$A$2:$A4076,0)),"")</f>
        <v>Pet Towel - Toilet Linen 100% recycled 220 GSM/83% polyester/17% polyamide includes cotton on the packing pouch drawstring</v>
      </c>
      <c r="N1522" s="9"/>
      <c r="O1522" s="9"/>
      <c r="P1522" s="9"/>
      <c r="Q1522" s="9"/>
    </row>
    <row r="1523" spans="1:17" ht="15.75" customHeight="1">
      <c r="A1523" s="7" t="s">
        <v>1816</v>
      </c>
      <c r="B1523" s="7" t="s">
        <v>103</v>
      </c>
      <c r="C1523" s="7" t="s">
        <v>278</v>
      </c>
      <c r="D1523" s="7" t="s">
        <v>104</v>
      </c>
      <c r="E1523" s="7" t="s">
        <v>279</v>
      </c>
      <c r="F1523" s="8" t="str">
        <f>_xlfn.IFNA(INDEX('HS Codes'!$D$2:$K4077,MATCH($B1523,'HS Codes'!$A$2:$A4077,0),MATCH(F$1,'HS Codes'!$D$1:$K$1,0)),"")</f>
        <v>6302.93.2000</v>
      </c>
      <c r="G1523" s="8">
        <f>_xlfn.IFNA(INDEX('HS Codes'!$D$2:$K4077,MATCH($B1523,'HS Codes'!$A$2:$A4077,0),MATCH(G$1,'HS Codes'!$D$1:$K$1,0)),"")</f>
        <v>6302600090</v>
      </c>
      <c r="H1523" s="8" t="str">
        <f>_xlfn.IFNA(INDEX('HS Codes'!$D$2:$K4077,MATCH($B1523,'HS Codes'!$A$2:$A4077,0),MATCH(H$1,'HS Codes'!$D$1:$K$1,0)),"")</f>
        <v>6302.93.00.00</v>
      </c>
      <c r="I1523" s="8">
        <f>_xlfn.IFNA(INDEX('HS Codes'!$D$2:$K4077,MATCH($B1523,'HS Codes'!$A$2:$A4077,0),MATCH(I$1,'HS Codes'!$D$1:$K$1,0)),"")</f>
        <v>6302939000</v>
      </c>
      <c r="J1523" s="8">
        <f>_xlfn.IFNA(INDEX('HS Codes'!$D$2:$K4077,MATCH($B1523,'HS Codes'!$A$2:$A4077,0),MATCH(J$1,'HS Codes'!$D$1:$K$1,0)),"")</f>
        <v>0</v>
      </c>
      <c r="K1523" s="8" t="str">
        <f>_xlfn.IFNA(INDEX('HS Codes'!$D$2:$K4077,MATCH($B1523,'HS Codes'!$A$2:$A4077,0),MATCH(K$1,'HS Codes'!$D$1:$K$1,0)),"")</f>
        <v>6302.39.00</v>
      </c>
      <c r="L1523" s="8">
        <f>_xlfn.IFNA(INDEX('HS Codes'!$D$2:$K4077,MATCH($B1523,'HS Codes'!$A$2:$A4077,0),MATCH(L$1,'HS Codes'!$D$1:$K$1,0)),"")</f>
        <v>6507</v>
      </c>
      <c r="M1523" s="8" t="str">
        <f>_xlfn.IFNA(INDEX('HS Codes'!$C$2:$C4077,MATCH($B1523,'HS Codes'!$A$2:$A4077,0)),"")</f>
        <v>Pet Towel - Toilet Linen 100% recycled 220 GSM/83% polyester/17% polyamide includes cotton on the packing pouch drawstring</v>
      </c>
      <c r="N1523" s="9"/>
      <c r="O1523" s="9"/>
      <c r="P1523" s="9"/>
      <c r="Q1523" s="9"/>
    </row>
    <row r="1524" spans="1:17" ht="15.75" customHeight="1">
      <c r="A1524" s="7" t="s">
        <v>1817</v>
      </c>
      <c r="B1524" s="7" t="s">
        <v>103</v>
      </c>
      <c r="C1524" s="7" t="s">
        <v>278</v>
      </c>
      <c r="D1524" s="7" t="s">
        <v>104</v>
      </c>
      <c r="E1524" s="7" t="s">
        <v>279</v>
      </c>
      <c r="F1524" s="8" t="str">
        <f>_xlfn.IFNA(INDEX('HS Codes'!$D$2:$K4078,MATCH($B1524,'HS Codes'!$A$2:$A4078,0),MATCH(F$1,'HS Codes'!$D$1:$K$1,0)),"")</f>
        <v>6302.93.2000</v>
      </c>
      <c r="G1524" s="8">
        <f>_xlfn.IFNA(INDEX('HS Codes'!$D$2:$K4078,MATCH($B1524,'HS Codes'!$A$2:$A4078,0),MATCH(G$1,'HS Codes'!$D$1:$K$1,0)),"")</f>
        <v>6302600090</v>
      </c>
      <c r="H1524" s="8" t="str">
        <f>_xlfn.IFNA(INDEX('HS Codes'!$D$2:$K4078,MATCH($B1524,'HS Codes'!$A$2:$A4078,0),MATCH(H$1,'HS Codes'!$D$1:$K$1,0)),"")</f>
        <v>6302.93.00.00</v>
      </c>
      <c r="I1524" s="8">
        <f>_xlfn.IFNA(INDEX('HS Codes'!$D$2:$K4078,MATCH($B1524,'HS Codes'!$A$2:$A4078,0),MATCH(I$1,'HS Codes'!$D$1:$K$1,0)),"")</f>
        <v>6302939000</v>
      </c>
      <c r="J1524" s="8">
        <f>_xlfn.IFNA(INDEX('HS Codes'!$D$2:$K4078,MATCH($B1524,'HS Codes'!$A$2:$A4078,0),MATCH(J$1,'HS Codes'!$D$1:$K$1,0)),"")</f>
        <v>0</v>
      </c>
      <c r="K1524" s="8" t="str">
        <f>_xlfn.IFNA(INDEX('HS Codes'!$D$2:$K4078,MATCH($B1524,'HS Codes'!$A$2:$A4078,0),MATCH(K$1,'HS Codes'!$D$1:$K$1,0)),"")</f>
        <v>6302.39.00</v>
      </c>
      <c r="L1524" s="8">
        <f>_xlfn.IFNA(INDEX('HS Codes'!$D$2:$K4078,MATCH($B1524,'HS Codes'!$A$2:$A4078,0),MATCH(L$1,'HS Codes'!$D$1:$K$1,0)),"")</f>
        <v>6507</v>
      </c>
      <c r="M1524" s="8" t="str">
        <f>_xlfn.IFNA(INDEX('HS Codes'!$C$2:$C4078,MATCH($B1524,'HS Codes'!$A$2:$A4078,0)),"")</f>
        <v>Pet Towel - Toilet Linen 100% recycled 220 GSM/83% polyester/17% polyamide includes cotton on the packing pouch drawstring</v>
      </c>
      <c r="N1524" s="9"/>
      <c r="O1524" s="9"/>
      <c r="P1524" s="9"/>
      <c r="Q1524" s="9"/>
    </row>
    <row r="1525" spans="1:17" ht="15.75" customHeight="1">
      <c r="A1525" s="7" t="s">
        <v>1818</v>
      </c>
      <c r="B1525" s="7" t="s">
        <v>103</v>
      </c>
      <c r="C1525" s="7" t="s">
        <v>278</v>
      </c>
      <c r="D1525" s="7" t="s">
        <v>104</v>
      </c>
      <c r="E1525" s="7" t="s">
        <v>279</v>
      </c>
      <c r="F1525" s="8" t="str">
        <f>_xlfn.IFNA(INDEX('HS Codes'!$D$2:$K4079,MATCH($B1525,'HS Codes'!$A$2:$A4079,0),MATCH(F$1,'HS Codes'!$D$1:$K$1,0)),"")</f>
        <v>6302.93.2000</v>
      </c>
      <c r="G1525" s="8">
        <f>_xlfn.IFNA(INDEX('HS Codes'!$D$2:$K4079,MATCH($B1525,'HS Codes'!$A$2:$A4079,0),MATCH(G$1,'HS Codes'!$D$1:$K$1,0)),"")</f>
        <v>6302600090</v>
      </c>
      <c r="H1525" s="8" t="str">
        <f>_xlfn.IFNA(INDEX('HS Codes'!$D$2:$K4079,MATCH($B1525,'HS Codes'!$A$2:$A4079,0),MATCH(H$1,'HS Codes'!$D$1:$K$1,0)),"")</f>
        <v>6302.93.00.00</v>
      </c>
      <c r="I1525" s="8">
        <f>_xlfn.IFNA(INDEX('HS Codes'!$D$2:$K4079,MATCH($B1525,'HS Codes'!$A$2:$A4079,0),MATCH(I$1,'HS Codes'!$D$1:$K$1,0)),"")</f>
        <v>6302939000</v>
      </c>
      <c r="J1525" s="8">
        <f>_xlfn.IFNA(INDEX('HS Codes'!$D$2:$K4079,MATCH($B1525,'HS Codes'!$A$2:$A4079,0),MATCH(J$1,'HS Codes'!$D$1:$K$1,0)),"")</f>
        <v>0</v>
      </c>
      <c r="K1525" s="8" t="str">
        <f>_xlfn.IFNA(INDEX('HS Codes'!$D$2:$K4079,MATCH($B1525,'HS Codes'!$A$2:$A4079,0),MATCH(K$1,'HS Codes'!$D$1:$K$1,0)),"")</f>
        <v>6302.39.00</v>
      </c>
      <c r="L1525" s="8">
        <f>_xlfn.IFNA(INDEX('HS Codes'!$D$2:$K4079,MATCH($B1525,'HS Codes'!$A$2:$A4079,0),MATCH(L$1,'HS Codes'!$D$1:$K$1,0)),"")</f>
        <v>6507</v>
      </c>
      <c r="M1525" s="8" t="str">
        <f>_xlfn.IFNA(INDEX('HS Codes'!$C$2:$C4079,MATCH($B1525,'HS Codes'!$A$2:$A4079,0)),"")</f>
        <v>Pet Towel - Toilet Linen 100% recycled 220 GSM/83% polyester/17% polyamide includes cotton on the packing pouch drawstring</v>
      </c>
      <c r="N1525" s="9"/>
      <c r="O1525" s="9"/>
      <c r="P1525" s="9"/>
      <c r="Q1525" s="9"/>
    </row>
    <row r="1526" spans="1:17" ht="15.75" customHeight="1">
      <c r="A1526" s="7" t="s">
        <v>1819</v>
      </c>
      <c r="B1526" s="7" t="s">
        <v>103</v>
      </c>
      <c r="C1526" s="7" t="s">
        <v>278</v>
      </c>
      <c r="D1526" s="7" t="s">
        <v>104</v>
      </c>
      <c r="E1526" s="7" t="s">
        <v>279</v>
      </c>
      <c r="F1526" s="8" t="str">
        <f>_xlfn.IFNA(INDEX('HS Codes'!$D$2:$K4080,MATCH($B1526,'HS Codes'!$A$2:$A4080,0),MATCH(F$1,'HS Codes'!$D$1:$K$1,0)),"")</f>
        <v>6302.93.2000</v>
      </c>
      <c r="G1526" s="8">
        <f>_xlfn.IFNA(INDEX('HS Codes'!$D$2:$K4080,MATCH($B1526,'HS Codes'!$A$2:$A4080,0),MATCH(G$1,'HS Codes'!$D$1:$K$1,0)),"")</f>
        <v>6302600090</v>
      </c>
      <c r="H1526" s="8" t="str">
        <f>_xlfn.IFNA(INDEX('HS Codes'!$D$2:$K4080,MATCH($B1526,'HS Codes'!$A$2:$A4080,0),MATCH(H$1,'HS Codes'!$D$1:$K$1,0)),"")</f>
        <v>6302.93.00.00</v>
      </c>
      <c r="I1526" s="8">
        <f>_xlfn.IFNA(INDEX('HS Codes'!$D$2:$K4080,MATCH($B1526,'HS Codes'!$A$2:$A4080,0),MATCH(I$1,'HS Codes'!$D$1:$K$1,0)),"")</f>
        <v>6302939000</v>
      </c>
      <c r="J1526" s="8">
        <f>_xlfn.IFNA(INDEX('HS Codes'!$D$2:$K4080,MATCH($B1526,'HS Codes'!$A$2:$A4080,0),MATCH(J$1,'HS Codes'!$D$1:$K$1,0)),"")</f>
        <v>0</v>
      </c>
      <c r="K1526" s="8" t="str">
        <f>_xlfn.IFNA(INDEX('HS Codes'!$D$2:$K4080,MATCH($B1526,'HS Codes'!$A$2:$A4080,0),MATCH(K$1,'HS Codes'!$D$1:$K$1,0)),"")</f>
        <v>6302.39.00</v>
      </c>
      <c r="L1526" s="8">
        <f>_xlfn.IFNA(INDEX('HS Codes'!$D$2:$K4080,MATCH($B1526,'HS Codes'!$A$2:$A4080,0),MATCH(L$1,'HS Codes'!$D$1:$K$1,0)),"")</f>
        <v>6507</v>
      </c>
      <c r="M1526" s="8" t="str">
        <f>_xlfn.IFNA(INDEX('HS Codes'!$C$2:$C4080,MATCH($B1526,'HS Codes'!$A$2:$A4080,0)),"")</f>
        <v>Pet Towel - Toilet Linen 100% recycled 220 GSM/83% polyester/17% polyamide includes cotton on the packing pouch drawstring</v>
      </c>
      <c r="N1526" s="9"/>
      <c r="O1526" s="9"/>
      <c r="P1526" s="9"/>
      <c r="Q1526" s="9"/>
    </row>
    <row r="1527" spans="1:17" ht="15.75" customHeight="1">
      <c r="A1527" s="7" t="s">
        <v>1820</v>
      </c>
      <c r="B1527" s="7" t="s">
        <v>164</v>
      </c>
      <c r="C1527" s="7" t="s">
        <v>278</v>
      </c>
      <c r="D1527" s="7" t="s">
        <v>165</v>
      </c>
      <c r="E1527" s="7" t="s">
        <v>348</v>
      </c>
      <c r="F1527" s="8" t="str">
        <f>_xlfn.IFNA(INDEX('HS Codes'!$D$2:$K4081,MATCH($B1527,'HS Codes'!$A$2:$A4081,0),MATCH(F$1,'HS Codes'!$D$1:$K$1,0)),"")</f>
        <v>6302.93.2000</v>
      </c>
      <c r="G1527" s="8">
        <f>_xlfn.IFNA(INDEX('HS Codes'!$D$2:$K4081,MATCH($B1527,'HS Codes'!$A$2:$A4081,0),MATCH(G$1,'HS Codes'!$D$1:$K$1,0)),"")</f>
        <v>6302600090</v>
      </c>
      <c r="H1527" s="8" t="str">
        <f>_xlfn.IFNA(INDEX('HS Codes'!$D$2:$K4081,MATCH($B1527,'HS Codes'!$A$2:$A4081,0),MATCH(H$1,'HS Codes'!$D$1:$K$1,0)),"")</f>
        <v>6302.93.00.00</v>
      </c>
      <c r="I1527" s="8">
        <f>_xlfn.IFNA(INDEX('HS Codes'!$D$2:$K4081,MATCH($B1527,'HS Codes'!$A$2:$A4081,0),MATCH(I$1,'HS Codes'!$D$1:$K$1,0)),"")</f>
        <v>63029390</v>
      </c>
      <c r="J1527" s="8">
        <f>_xlfn.IFNA(INDEX('HS Codes'!$D$2:$K4081,MATCH($B1527,'HS Codes'!$A$2:$A4081,0),MATCH(J$1,'HS Codes'!$D$1:$K$1,0)),"")</f>
        <v>0</v>
      </c>
      <c r="K1527" s="8" t="str">
        <f>_xlfn.IFNA(INDEX('HS Codes'!$D$2:$K4081,MATCH($B1527,'HS Codes'!$A$2:$A4081,0),MATCH(K$1,'HS Codes'!$D$1:$K$1,0)),"")</f>
        <v>6302.39.00</v>
      </c>
      <c r="L1527" s="8">
        <f>_xlfn.IFNA(INDEX('HS Codes'!$D$2:$K4081,MATCH($B1527,'HS Codes'!$A$2:$A4081,0),MATCH(L$1,'HS Codes'!$D$1:$K$1,0)),"")</f>
        <v>63029120</v>
      </c>
      <c r="M1527" s="8" t="str">
        <f>_xlfn.IFNA(INDEX('HS Codes'!$C$2:$C4081,MATCH($B1527,'HS Codes'!$A$2:$A4081,0)),"")</f>
        <v>Beach Towel - Toilet Linen 100% recycled 220 GSM/83% polyester/17% polyamide includes cotton on the packing pouch drawstring</v>
      </c>
      <c r="N1527" s="9"/>
      <c r="O1527" s="9"/>
      <c r="P1527" s="9"/>
      <c r="Q1527" s="9"/>
    </row>
    <row r="1528" spans="1:17" ht="15.75" customHeight="1">
      <c r="A1528" s="7" t="s">
        <v>1821</v>
      </c>
      <c r="B1528" s="7" t="s">
        <v>164</v>
      </c>
      <c r="C1528" s="7" t="s">
        <v>278</v>
      </c>
      <c r="D1528" s="7" t="s">
        <v>165</v>
      </c>
      <c r="E1528" s="7" t="s">
        <v>348</v>
      </c>
      <c r="F1528" s="8" t="str">
        <f>_xlfn.IFNA(INDEX('HS Codes'!$D$2:$K4082,MATCH($B1528,'HS Codes'!$A$2:$A4082,0),MATCH(F$1,'HS Codes'!$D$1:$K$1,0)),"")</f>
        <v>6302.93.2000</v>
      </c>
      <c r="G1528" s="8">
        <f>_xlfn.IFNA(INDEX('HS Codes'!$D$2:$K4082,MATCH($B1528,'HS Codes'!$A$2:$A4082,0),MATCH(G$1,'HS Codes'!$D$1:$K$1,0)),"")</f>
        <v>6302600090</v>
      </c>
      <c r="H1528" s="8" t="str">
        <f>_xlfn.IFNA(INDEX('HS Codes'!$D$2:$K4082,MATCH($B1528,'HS Codes'!$A$2:$A4082,0),MATCH(H$1,'HS Codes'!$D$1:$K$1,0)),"")</f>
        <v>6302.93.00.00</v>
      </c>
      <c r="I1528" s="8">
        <f>_xlfn.IFNA(INDEX('HS Codes'!$D$2:$K4082,MATCH($B1528,'HS Codes'!$A$2:$A4082,0),MATCH(I$1,'HS Codes'!$D$1:$K$1,0)),"")</f>
        <v>63029390</v>
      </c>
      <c r="J1528" s="8">
        <f>_xlfn.IFNA(INDEX('HS Codes'!$D$2:$K4082,MATCH($B1528,'HS Codes'!$A$2:$A4082,0),MATCH(J$1,'HS Codes'!$D$1:$K$1,0)),"")</f>
        <v>0</v>
      </c>
      <c r="K1528" s="8" t="str">
        <f>_xlfn.IFNA(INDEX('HS Codes'!$D$2:$K4082,MATCH($B1528,'HS Codes'!$A$2:$A4082,0),MATCH(K$1,'HS Codes'!$D$1:$K$1,0)),"")</f>
        <v>6302.39.00</v>
      </c>
      <c r="L1528" s="8">
        <f>_xlfn.IFNA(INDEX('HS Codes'!$D$2:$K4082,MATCH($B1528,'HS Codes'!$A$2:$A4082,0),MATCH(L$1,'HS Codes'!$D$1:$K$1,0)),"")</f>
        <v>63029120</v>
      </c>
      <c r="M1528" s="8" t="str">
        <f>_xlfn.IFNA(INDEX('HS Codes'!$C$2:$C4082,MATCH($B1528,'HS Codes'!$A$2:$A4082,0)),"")</f>
        <v>Beach Towel - Toilet Linen 100% recycled 220 GSM/83% polyester/17% polyamide includes cotton on the packing pouch drawstring</v>
      </c>
      <c r="N1528" s="9"/>
      <c r="O1528" s="9"/>
      <c r="P1528" s="9"/>
      <c r="Q1528" s="9"/>
    </row>
    <row r="1529" spans="1:17" ht="15.75" customHeight="1">
      <c r="A1529" s="7" t="s">
        <v>1822</v>
      </c>
      <c r="B1529" s="7" t="s">
        <v>164</v>
      </c>
      <c r="C1529" s="7" t="s">
        <v>278</v>
      </c>
      <c r="D1529" s="7" t="s">
        <v>165</v>
      </c>
      <c r="E1529" s="7" t="s">
        <v>348</v>
      </c>
      <c r="F1529" s="8" t="str">
        <f>_xlfn.IFNA(INDEX('HS Codes'!$D$2:$K4083,MATCH($B1529,'HS Codes'!$A$2:$A4083,0),MATCH(F$1,'HS Codes'!$D$1:$K$1,0)),"")</f>
        <v>6302.93.2000</v>
      </c>
      <c r="G1529" s="8">
        <f>_xlfn.IFNA(INDEX('HS Codes'!$D$2:$K4083,MATCH($B1529,'HS Codes'!$A$2:$A4083,0),MATCH(G$1,'HS Codes'!$D$1:$K$1,0)),"")</f>
        <v>6302600090</v>
      </c>
      <c r="H1529" s="8" t="str">
        <f>_xlfn.IFNA(INDEX('HS Codes'!$D$2:$K4083,MATCH($B1529,'HS Codes'!$A$2:$A4083,0),MATCH(H$1,'HS Codes'!$D$1:$K$1,0)),"")</f>
        <v>6302.93.00.00</v>
      </c>
      <c r="I1529" s="8">
        <f>_xlfn.IFNA(INDEX('HS Codes'!$D$2:$K4083,MATCH($B1529,'HS Codes'!$A$2:$A4083,0),MATCH(I$1,'HS Codes'!$D$1:$K$1,0)),"")</f>
        <v>63029390</v>
      </c>
      <c r="J1529" s="8">
        <f>_xlfn.IFNA(INDEX('HS Codes'!$D$2:$K4083,MATCH($B1529,'HS Codes'!$A$2:$A4083,0),MATCH(J$1,'HS Codes'!$D$1:$K$1,0)),"")</f>
        <v>0</v>
      </c>
      <c r="K1529" s="8" t="str">
        <f>_xlfn.IFNA(INDEX('HS Codes'!$D$2:$K4083,MATCH($B1529,'HS Codes'!$A$2:$A4083,0),MATCH(K$1,'HS Codes'!$D$1:$K$1,0)),"")</f>
        <v>6302.39.00</v>
      </c>
      <c r="L1529" s="8">
        <f>_xlfn.IFNA(INDEX('HS Codes'!$D$2:$K4083,MATCH($B1529,'HS Codes'!$A$2:$A4083,0),MATCH(L$1,'HS Codes'!$D$1:$K$1,0)),"")</f>
        <v>63029120</v>
      </c>
      <c r="M1529" s="8" t="str">
        <f>_xlfn.IFNA(INDEX('HS Codes'!$C$2:$C4083,MATCH($B1529,'HS Codes'!$A$2:$A4083,0)),"")</f>
        <v>Beach Towel - Toilet Linen 100% recycled 220 GSM/83% polyester/17% polyamide includes cotton on the packing pouch drawstring</v>
      </c>
      <c r="N1529" s="9"/>
      <c r="O1529" s="9"/>
      <c r="P1529" s="9"/>
      <c r="Q1529" s="9"/>
    </row>
    <row r="1530" spans="1:17" ht="15.75" customHeight="1">
      <c r="A1530" s="7" t="s">
        <v>1823</v>
      </c>
      <c r="B1530" s="7" t="s">
        <v>164</v>
      </c>
      <c r="C1530" s="7" t="s">
        <v>278</v>
      </c>
      <c r="D1530" s="7" t="s">
        <v>165</v>
      </c>
      <c r="E1530" s="7" t="s">
        <v>348</v>
      </c>
      <c r="F1530" s="8" t="str">
        <f>_xlfn.IFNA(INDEX('HS Codes'!$D$2:$K4084,MATCH($B1530,'HS Codes'!$A$2:$A4084,0),MATCH(F$1,'HS Codes'!$D$1:$K$1,0)),"")</f>
        <v>6302.93.2000</v>
      </c>
      <c r="G1530" s="8">
        <f>_xlfn.IFNA(INDEX('HS Codes'!$D$2:$K4084,MATCH($B1530,'HS Codes'!$A$2:$A4084,0),MATCH(G$1,'HS Codes'!$D$1:$K$1,0)),"")</f>
        <v>6302600090</v>
      </c>
      <c r="H1530" s="8" t="str">
        <f>_xlfn.IFNA(INDEX('HS Codes'!$D$2:$K4084,MATCH($B1530,'HS Codes'!$A$2:$A4084,0),MATCH(H$1,'HS Codes'!$D$1:$K$1,0)),"")</f>
        <v>6302.93.00.00</v>
      </c>
      <c r="I1530" s="8">
        <f>_xlfn.IFNA(INDEX('HS Codes'!$D$2:$K4084,MATCH($B1530,'HS Codes'!$A$2:$A4084,0),MATCH(I$1,'HS Codes'!$D$1:$K$1,0)),"")</f>
        <v>63029390</v>
      </c>
      <c r="J1530" s="8">
        <f>_xlfn.IFNA(INDEX('HS Codes'!$D$2:$K4084,MATCH($B1530,'HS Codes'!$A$2:$A4084,0),MATCH(J$1,'HS Codes'!$D$1:$K$1,0)),"")</f>
        <v>0</v>
      </c>
      <c r="K1530" s="8" t="str">
        <f>_xlfn.IFNA(INDEX('HS Codes'!$D$2:$K4084,MATCH($B1530,'HS Codes'!$A$2:$A4084,0),MATCH(K$1,'HS Codes'!$D$1:$K$1,0)),"")</f>
        <v>6302.39.00</v>
      </c>
      <c r="L1530" s="8">
        <f>_xlfn.IFNA(INDEX('HS Codes'!$D$2:$K4084,MATCH($B1530,'HS Codes'!$A$2:$A4084,0),MATCH(L$1,'HS Codes'!$D$1:$K$1,0)),"")</f>
        <v>63029120</v>
      </c>
      <c r="M1530" s="8" t="str">
        <f>_xlfn.IFNA(INDEX('HS Codes'!$C$2:$C4084,MATCH($B1530,'HS Codes'!$A$2:$A4084,0)),"")</f>
        <v>Beach Towel - Toilet Linen 100% recycled 220 GSM/83% polyester/17% polyamide includes cotton on the packing pouch drawstring</v>
      </c>
      <c r="N1530" s="9"/>
      <c r="O1530" s="9"/>
      <c r="P1530" s="9"/>
      <c r="Q1530" s="9"/>
    </row>
    <row r="1531" spans="1:17" ht="15.75" customHeight="1">
      <c r="A1531" s="7" t="s">
        <v>1824</v>
      </c>
      <c r="B1531" s="7" t="s">
        <v>164</v>
      </c>
      <c r="C1531" s="7" t="s">
        <v>278</v>
      </c>
      <c r="D1531" s="7" t="s">
        <v>165</v>
      </c>
      <c r="E1531" s="7" t="s">
        <v>348</v>
      </c>
      <c r="F1531" s="8" t="str">
        <f>_xlfn.IFNA(INDEX('HS Codes'!$D$2:$K4085,MATCH($B1531,'HS Codes'!$A$2:$A4085,0),MATCH(F$1,'HS Codes'!$D$1:$K$1,0)),"")</f>
        <v>6302.93.2000</v>
      </c>
      <c r="G1531" s="8">
        <f>_xlfn.IFNA(INDEX('HS Codes'!$D$2:$K4085,MATCH($B1531,'HS Codes'!$A$2:$A4085,0),MATCH(G$1,'HS Codes'!$D$1:$K$1,0)),"")</f>
        <v>6302600090</v>
      </c>
      <c r="H1531" s="8" t="str">
        <f>_xlfn.IFNA(INDEX('HS Codes'!$D$2:$K4085,MATCH($B1531,'HS Codes'!$A$2:$A4085,0),MATCH(H$1,'HS Codes'!$D$1:$K$1,0)),"")</f>
        <v>6302.93.00.00</v>
      </c>
      <c r="I1531" s="8">
        <f>_xlfn.IFNA(INDEX('HS Codes'!$D$2:$K4085,MATCH($B1531,'HS Codes'!$A$2:$A4085,0),MATCH(I$1,'HS Codes'!$D$1:$K$1,0)),"")</f>
        <v>63029390</v>
      </c>
      <c r="J1531" s="8">
        <f>_xlfn.IFNA(INDEX('HS Codes'!$D$2:$K4085,MATCH($B1531,'HS Codes'!$A$2:$A4085,0),MATCH(J$1,'HS Codes'!$D$1:$K$1,0)),"")</f>
        <v>0</v>
      </c>
      <c r="K1531" s="8" t="str">
        <f>_xlfn.IFNA(INDEX('HS Codes'!$D$2:$K4085,MATCH($B1531,'HS Codes'!$A$2:$A4085,0),MATCH(K$1,'HS Codes'!$D$1:$K$1,0)),"")</f>
        <v>6302.39.00</v>
      </c>
      <c r="L1531" s="8">
        <f>_xlfn.IFNA(INDEX('HS Codes'!$D$2:$K4085,MATCH($B1531,'HS Codes'!$A$2:$A4085,0),MATCH(L$1,'HS Codes'!$D$1:$K$1,0)),"")</f>
        <v>63029120</v>
      </c>
      <c r="M1531" s="8" t="str">
        <f>_xlfn.IFNA(INDEX('HS Codes'!$C$2:$C4085,MATCH($B1531,'HS Codes'!$A$2:$A4085,0)),"")</f>
        <v>Beach Towel - Toilet Linen 100% recycled 220 GSM/83% polyester/17% polyamide includes cotton on the packing pouch drawstring</v>
      </c>
      <c r="N1531" s="9"/>
      <c r="O1531" s="9"/>
      <c r="P1531" s="9"/>
      <c r="Q1531" s="9"/>
    </row>
    <row r="1532" spans="1:17" ht="15.75" customHeight="1">
      <c r="A1532" s="7" t="s">
        <v>1825</v>
      </c>
      <c r="B1532" s="7" t="s">
        <v>164</v>
      </c>
      <c r="C1532" s="7" t="s">
        <v>278</v>
      </c>
      <c r="D1532" s="7" t="s">
        <v>165</v>
      </c>
      <c r="E1532" s="7" t="s">
        <v>348</v>
      </c>
      <c r="F1532" s="8" t="str">
        <f>_xlfn.IFNA(INDEX('HS Codes'!$D$2:$K4086,MATCH($B1532,'HS Codes'!$A$2:$A4086,0),MATCH(F$1,'HS Codes'!$D$1:$K$1,0)),"")</f>
        <v>6302.93.2000</v>
      </c>
      <c r="G1532" s="8">
        <f>_xlfn.IFNA(INDEX('HS Codes'!$D$2:$K4086,MATCH($B1532,'HS Codes'!$A$2:$A4086,0),MATCH(G$1,'HS Codes'!$D$1:$K$1,0)),"")</f>
        <v>6302600090</v>
      </c>
      <c r="H1532" s="8" t="str">
        <f>_xlfn.IFNA(INDEX('HS Codes'!$D$2:$K4086,MATCH($B1532,'HS Codes'!$A$2:$A4086,0),MATCH(H$1,'HS Codes'!$D$1:$K$1,0)),"")</f>
        <v>6302.93.00.00</v>
      </c>
      <c r="I1532" s="8">
        <f>_xlfn.IFNA(INDEX('HS Codes'!$D$2:$K4086,MATCH($B1532,'HS Codes'!$A$2:$A4086,0),MATCH(I$1,'HS Codes'!$D$1:$K$1,0)),"")</f>
        <v>63029390</v>
      </c>
      <c r="J1532" s="8">
        <f>_xlfn.IFNA(INDEX('HS Codes'!$D$2:$K4086,MATCH($B1532,'HS Codes'!$A$2:$A4086,0),MATCH(J$1,'HS Codes'!$D$1:$K$1,0)),"")</f>
        <v>0</v>
      </c>
      <c r="K1532" s="8" t="str">
        <f>_xlfn.IFNA(INDEX('HS Codes'!$D$2:$K4086,MATCH($B1532,'HS Codes'!$A$2:$A4086,0),MATCH(K$1,'HS Codes'!$D$1:$K$1,0)),"")</f>
        <v>6302.39.00</v>
      </c>
      <c r="L1532" s="8">
        <f>_xlfn.IFNA(INDEX('HS Codes'!$D$2:$K4086,MATCH($B1532,'HS Codes'!$A$2:$A4086,0),MATCH(L$1,'HS Codes'!$D$1:$K$1,0)),"")</f>
        <v>63029120</v>
      </c>
      <c r="M1532" s="8" t="str">
        <f>_xlfn.IFNA(INDEX('HS Codes'!$C$2:$C4086,MATCH($B1532,'HS Codes'!$A$2:$A4086,0)),"")</f>
        <v>Beach Towel - Toilet Linen 100% recycled 220 GSM/83% polyester/17% polyamide includes cotton on the packing pouch drawstring</v>
      </c>
      <c r="N1532" s="9"/>
      <c r="O1532" s="9"/>
      <c r="P1532" s="9"/>
      <c r="Q1532" s="9"/>
    </row>
    <row r="1533" spans="1:17" ht="15.75" customHeight="1">
      <c r="A1533" s="7" t="s">
        <v>1826</v>
      </c>
      <c r="B1533" s="7" t="s">
        <v>164</v>
      </c>
      <c r="C1533" s="7" t="s">
        <v>278</v>
      </c>
      <c r="D1533" s="7" t="s">
        <v>165</v>
      </c>
      <c r="E1533" s="7" t="s">
        <v>348</v>
      </c>
      <c r="F1533" s="8" t="str">
        <f>_xlfn.IFNA(INDEX('HS Codes'!$D$2:$K4087,MATCH($B1533,'HS Codes'!$A$2:$A4087,0),MATCH(F$1,'HS Codes'!$D$1:$K$1,0)),"")</f>
        <v>6302.93.2000</v>
      </c>
      <c r="G1533" s="8">
        <f>_xlfn.IFNA(INDEX('HS Codes'!$D$2:$K4087,MATCH($B1533,'HS Codes'!$A$2:$A4087,0),MATCH(G$1,'HS Codes'!$D$1:$K$1,0)),"")</f>
        <v>6302600090</v>
      </c>
      <c r="H1533" s="8" t="str">
        <f>_xlfn.IFNA(INDEX('HS Codes'!$D$2:$K4087,MATCH($B1533,'HS Codes'!$A$2:$A4087,0),MATCH(H$1,'HS Codes'!$D$1:$K$1,0)),"")</f>
        <v>6302.93.00.00</v>
      </c>
      <c r="I1533" s="8">
        <f>_xlfn.IFNA(INDEX('HS Codes'!$D$2:$K4087,MATCH($B1533,'HS Codes'!$A$2:$A4087,0),MATCH(I$1,'HS Codes'!$D$1:$K$1,0)),"")</f>
        <v>63029390</v>
      </c>
      <c r="J1533" s="8">
        <f>_xlfn.IFNA(INDEX('HS Codes'!$D$2:$K4087,MATCH($B1533,'HS Codes'!$A$2:$A4087,0),MATCH(J$1,'HS Codes'!$D$1:$K$1,0)),"")</f>
        <v>0</v>
      </c>
      <c r="K1533" s="8" t="str">
        <f>_xlfn.IFNA(INDEX('HS Codes'!$D$2:$K4087,MATCH($B1533,'HS Codes'!$A$2:$A4087,0),MATCH(K$1,'HS Codes'!$D$1:$K$1,0)),"")</f>
        <v>6302.39.00</v>
      </c>
      <c r="L1533" s="8">
        <f>_xlfn.IFNA(INDEX('HS Codes'!$D$2:$K4087,MATCH($B1533,'HS Codes'!$A$2:$A4087,0),MATCH(L$1,'HS Codes'!$D$1:$K$1,0)),"")</f>
        <v>63029120</v>
      </c>
      <c r="M1533" s="8" t="str">
        <f>_xlfn.IFNA(INDEX('HS Codes'!$C$2:$C4087,MATCH($B1533,'HS Codes'!$A$2:$A4087,0)),"")</f>
        <v>Beach Towel - Toilet Linen 100% recycled 220 GSM/83% polyester/17% polyamide includes cotton on the packing pouch drawstring</v>
      </c>
      <c r="N1533" s="9"/>
      <c r="O1533" s="9"/>
      <c r="P1533" s="9"/>
      <c r="Q1533" s="9"/>
    </row>
    <row r="1534" spans="1:17" ht="15.75" customHeight="1">
      <c r="A1534" s="7" t="s">
        <v>1827</v>
      </c>
      <c r="B1534" s="7" t="s">
        <v>164</v>
      </c>
      <c r="C1534" s="7" t="s">
        <v>278</v>
      </c>
      <c r="D1534" s="7" t="s">
        <v>165</v>
      </c>
      <c r="E1534" s="7" t="s">
        <v>348</v>
      </c>
      <c r="F1534" s="8" t="str">
        <f>_xlfn.IFNA(INDEX('HS Codes'!$D$2:$K4088,MATCH($B1534,'HS Codes'!$A$2:$A4088,0),MATCH(F$1,'HS Codes'!$D$1:$K$1,0)),"")</f>
        <v>6302.93.2000</v>
      </c>
      <c r="G1534" s="8">
        <f>_xlfn.IFNA(INDEX('HS Codes'!$D$2:$K4088,MATCH($B1534,'HS Codes'!$A$2:$A4088,0),MATCH(G$1,'HS Codes'!$D$1:$K$1,0)),"")</f>
        <v>6302600090</v>
      </c>
      <c r="H1534" s="8" t="str">
        <f>_xlfn.IFNA(INDEX('HS Codes'!$D$2:$K4088,MATCH($B1534,'HS Codes'!$A$2:$A4088,0),MATCH(H$1,'HS Codes'!$D$1:$K$1,0)),"")</f>
        <v>6302.93.00.00</v>
      </c>
      <c r="I1534" s="8">
        <f>_xlfn.IFNA(INDEX('HS Codes'!$D$2:$K4088,MATCH($B1534,'HS Codes'!$A$2:$A4088,0),MATCH(I$1,'HS Codes'!$D$1:$K$1,0)),"")</f>
        <v>63029390</v>
      </c>
      <c r="J1534" s="8">
        <f>_xlfn.IFNA(INDEX('HS Codes'!$D$2:$K4088,MATCH($B1534,'HS Codes'!$A$2:$A4088,0),MATCH(J$1,'HS Codes'!$D$1:$K$1,0)),"")</f>
        <v>0</v>
      </c>
      <c r="K1534" s="8" t="str">
        <f>_xlfn.IFNA(INDEX('HS Codes'!$D$2:$K4088,MATCH($B1534,'HS Codes'!$A$2:$A4088,0),MATCH(K$1,'HS Codes'!$D$1:$K$1,0)),"")</f>
        <v>6302.39.00</v>
      </c>
      <c r="L1534" s="8">
        <f>_xlfn.IFNA(INDEX('HS Codes'!$D$2:$K4088,MATCH($B1534,'HS Codes'!$A$2:$A4088,0),MATCH(L$1,'HS Codes'!$D$1:$K$1,0)),"")</f>
        <v>63029120</v>
      </c>
      <c r="M1534" s="8" t="str">
        <f>_xlfn.IFNA(INDEX('HS Codes'!$C$2:$C4088,MATCH($B1534,'HS Codes'!$A$2:$A4088,0)),"")</f>
        <v>Beach Towel - Toilet Linen 100% recycled 220 GSM/83% polyester/17% polyamide includes cotton on the packing pouch drawstring</v>
      </c>
      <c r="N1534" s="9"/>
      <c r="O1534" s="9"/>
      <c r="P1534" s="9"/>
      <c r="Q1534" s="9"/>
    </row>
    <row r="1535" spans="1:17" ht="15.75" customHeight="1">
      <c r="A1535" s="7" t="s">
        <v>1828</v>
      </c>
      <c r="B1535" s="7" t="s">
        <v>164</v>
      </c>
      <c r="C1535" s="7" t="s">
        <v>278</v>
      </c>
      <c r="D1535" s="7" t="s">
        <v>165</v>
      </c>
      <c r="E1535" s="7" t="s">
        <v>348</v>
      </c>
      <c r="F1535" s="8" t="str">
        <f>_xlfn.IFNA(INDEX('HS Codes'!$D$2:$K4089,MATCH($B1535,'HS Codes'!$A$2:$A4089,0),MATCH(F$1,'HS Codes'!$D$1:$K$1,0)),"")</f>
        <v>6302.93.2000</v>
      </c>
      <c r="G1535" s="8">
        <f>_xlfn.IFNA(INDEX('HS Codes'!$D$2:$K4089,MATCH($B1535,'HS Codes'!$A$2:$A4089,0),MATCH(G$1,'HS Codes'!$D$1:$K$1,0)),"")</f>
        <v>6302600090</v>
      </c>
      <c r="H1535" s="8" t="str">
        <f>_xlfn.IFNA(INDEX('HS Codes'!$D$2:$K4089,MATCH($B1535,'HS Codes'!$A$2:$A4089,0),MATCH(H$1,'HS Codes'!$D$1:$K$1,0)),"")</f>
        <v>6302.93.00.00</v>
      </c>
      <c r="I1535" s="8">
        <f>_xlfn.IFNA(INDEX('HS Codes'!$D$2:$K4089,MATCH($B1535,'HS Codes'!$A$2:$A4089,0),MATCH(I$1,'HS Codes'!$D$1:$K$1,0)),"")</f>
        <v>63029390</v>
      </c>
      <c r="J1535" s="8">
        <f>_xlfn.IFNA(INDEX('HS Codes'!$D$2:$K4089,MATCH($B1535,'HS Codes'!$A$2:$A4089,0),MATCH(J$1,'HS Codes'!$D$1:$K$1,0)),"")</f>
        <v>0</v>
      </c>
      <c r="K1535" s="8" t="str">
        <f>_xlfn.IFNA(INDEX('HS Codes'!$D$2:$K4089,MATCH($B1535,'HS Codes'!$A$2:$A4089,0),MATCH(K$1,'HS Codes'!$D$1:$K$1,0)),"")</f>
        <v>6302.39.00</v>
      </c>
      <c r="L1535" s="8">
        <f>_xlfn.IFNA(INDEX('HS Codes'!$D$2:$K4089,MATCH($B1535,'HS Codes'!$A$2:$A4089,0),MATCH(L$1,'HS Codes'!$D$1:$K$1,0)),"")</f>
        <v>63029120</v>
      </c>
      <c r="M1535" s="8" t="str">
        <f>_xlfn.IFNA(INDEX('HS Codes'!$C$2:$C4089,MATCH($B1535,'HS Codes'!$A$2:$A4089,0)),"")</f>
        <v>Beach Towel - Toilet Linen 100% recycled 220 GSM/83% polyester/17% polyamide includes cotton on the packing pouch drawstring</v>
      </c>
      <c r="N1535" s="9"/>
      <c r="O1535" s="9"/>
      <c r="P1535" s="9"/>
      <c r="Q1535" s="9"/>
    </row>
    <row r="1536" spans="1:17" ht="15.75" customHeight="1">
      <c r="A1536" s="7" t="s">
        <v>1829</v>
      </c>
      <c r="B1536" s="7"/>
      <c r="C1536" s="7"/>
      <c r="D1536" s="7"/>
      <c r="E1536" s="7"/>
      <c r="F1536" s="8" t="str">
        <f>_xlfn.IFNA(INDEX('HS Codes'!$D$2:$K4090,MATCH($B1536,'HS Codes'!$A$2:$A4090,0),MATCH(F$1,'HS Codes'!$D$1:$K$1,0)),"")</f>
        <v/>
      </c>
      <c r="G1536" s="8" t="str">
        <f>_xlfn.IFNA(INDEX('HS Codes'!$D$2:$K4090,MATCH($B1536,'HS Codes'!$A$2:$A4090,0),MATCH(G$1,'HS Codes'!$D$1:$K$1,0)),"")</f>
        <v/>
      </c>
      <c r="H1536" s="8" t="str">
        <f>_xlfn.IFNA(INDEX('HS Codes'!$D$2:$K4090,MATCH($B1536,'HS Codes'!$A$2:$A4090,0),MATCH(H$1,'HS Codes'!$D$1:$K$1,0)),"")</f>
        <v/>
      </c>
      <c r="I1536" s="8" t="str">
        <f>_xlfn.IFNA(INDEX('HS Codes'!$D$2:$K4090,MATCH($B1536,'HS Codes'!$A$2:$A4090,0),MATCH(I$1,'HS Codes'!$D$1:$K$1,0)),"")</f>
        <v/>
      </c>
      <c r="J1536" s="8" t="str">
        <f>_xlfn.IFNA(INDEX('HS Codes'!$D$2:$K4090,MATCH($B1536,'HS Codes'!$A$2:$A4090,0),MATCH(J$1,'HS Codes'!$D$1:$K$1,0)),"")</f>
        <v/>
      </c>
      <c r="K1536" s="8" t="str">
        <f>_xlfn.IFNA(INDEX('HS Codes'!$D$2:$K4090,MATCH($B1536,'HS Codes'!$A$2:$A4090,0),MATCH(K$1,'HS Codes'!$D$1:$K$1,0)),"")</f>
        <v/>
      </c>
      <c r="L1536" s="8" t="str">
        <f>_xlfn.IFNA(INDEX('HS Codes'!$D$2:$K4090,MATCH($B1536,'HS Codes'!$A$2:$A4090,0),MATCH(L$1,'HS Codes'!$D$1:$K$1,0)),"")</f>
        <v/>
      </c>
      <c r="M1536" s="8" t="str">
        <f>_xlfn.IFNA(INDEX('HS Codes'!$C$2:$C4090,MATCH($B1536,'HS Codes'!$A$2:$A4090,0)),"")</f>
        <v/>
      </c>
      <c r="N1536" s="9"/>
      <c r="O1536" s="9"/>
      <c r="P1536" s="9"/>
      <c r="Q1536" s="9"/>
    </row>
    <row r="1537" spans="1:17" ht="15.75" customHeight="1">
      <c r="A1537" s="7" t="s">
        <v>1830</v>
      </c>
      <c r="B1537" s="7"/>
      <c r="C1537" s="7"/>
      <c r="D1537" s="7"/>
      <c r="E1537" s="7"/>
      <c r="F1537" s="8" t="str">
        <f>_xlfn.IFNA(INDEX('HS Codes'!$D$2:$K4091,MATCH($B1537,'HS Codes'!$A$2:$A4091,0),MATCH(F$1,'HS Codes'!$D$1:$K$1,0)),"")</f>
        <v/>
      </c>
      <c r="G1537" s="8" t="str">
        <f>_xlfn.IFNA(INDEX('HS Codes'!$D$2:$K4091,MATCH($B1537,'HS Codes'!$A$2:$A4091,0),MATCH(G$1,'HS Codes'!$D$1:$K$1,0)),"")</f>
        <v/>
      </c>
      <c r="H1537" s="8" t="str">
        <f>_xlfn.IFNA(INDEX('HS Codes'!$D$2:$K4091,MATCH($B1537,'HS Codes'!$A$2:$A4091,0),MATCH(H$1,'HS Codes'!$D$1:$K$1,0)),"")</f>
        <v/>
      </c>
      <c r="I1537" s="8" t="str">
        <f>_xlfn.IFNA(INDEX('HS Codes'!$D$2:$K4091,MATCH($B1537,'HS Codes'!$A$2:$A4091,0),MATCH(I$1,'HS Codes'!$D$1:$K$1,0)),"")</f>
        <v/>
      </c>
      <c r="J1537" s="8" t="str">
        <f>_xlfn.IFNA(INDEX('HS Codes'!$D$2:$K4091,MATCH($B1537,'HS Codes'!$A$2:$A4091,0),MATCH(J$1,'HS Codes'!$D$1:$K$1,0)),"")</f>
        <v/>
      </c>
      <c r="K1537" s="8" t="str">
        <f>_xlfn.IFNA(INDEX('HS Codes'!$D$2:$K4091,MATCH($B1537,'HS Codes'!$A$2:$A4091,0),MATCH(K$1,'HS Codes'!$D$1:$K$1,0)),"")</f>
        <v/>
      </c>
      <c r="L1537" s="8" t="str">
        <f>_xlfn.IFNA(INDEX('HS Codes'!$D$2:$K4091,MATCH($B1537,'HS Codes'!$A$2:$A4091,0),MATCH(L$1,'HS Codes'!$D$1:$K$1,0)),"")</f>
        <v/>
      </c>
      <c r="M1537" s="8" t="str">
        <f>_xlfn.IFNA(INDEX('HS Codes'!$C$2:$C4091,MATCH($B1537,'HS Codes'!$A$2:$A4091,0)),"")</f>
        <v/>
      </c>
      <c r="N1537" s="9"/>
      <c r="O1537" s="9"/>
      <c r="P1537" s="9"/>
      <c r="Q1537" s="9"/>
    </row>
    <row r="1538" spans="1:17" ht="15.75" customHeight="1">
      <c r="A1538" s="7" t="s">
        <v>1831</v>
      </c>
      <c r="B1538" s="7"/>
      <c r="C1538" s="7"/>
      <c r="D1538" s="7"/>
      <c r="E1538" s="7"/>
      <c r="F1538" s="8" t="str">
        <f>_xlfn.IFNA(INDEX('HS Codes'!$D$2:$K4092,MATCH($B1538,'HS Codes'!$A$2:$A4092,0),MATCH(F$1,'HS Codes'!$D$1:$K$1,0)),"")</f>
        <v/>
      </c>
      <c r="G1538" s="8" t="str">
        <f>_xlfn.IFNA(INDEX('HS Codes'!$D$2:$K4092,MATCH($B1538,'HS Codes'!$A$2:$A4092,0),MATCH(G$1,'HS Codes'!$D$1:$K$1,0)),"")</f>
        <v/>
      </c>
      <c r="H1538" s="8" t="str">
        <f>_xlfn.IFNA(INDEX('HS Codes'!$D$2:$K4092,MATCH($B1538,'HS Codes'!$A$2:$A4092,0),MATCH(H$1,'HS Codes'!$D$1:$K$1,0)),"")</f>
        <v/>
      </c>
      <c r="I1538" s="8" t="str">
        <f>_xlfn.IFNA(INDEX('HS Codes'!$D$2:$K4092,MATCH($B1538,'HS Codes'!$A$2:$A4092,0),MATCH(I$1,'HS Codes'!$D$1:$K$1,0)),"")</f>
        <v/>
      </c>
      <c r="J1538" s="8" t="str">
        <f>_xlfn.IFNA(INDEX('HS Codes'!$D$2:$K4092,MATCH($B1538,'HS Codes'!$A$2:$A4092,0),MATCH(J$1,'HS Codes'!$D$1:$K$1,0)),"")</f>
        <v/>
      </c>
      <c r="K1538" s="8" t="str">
        <f>_xlfn.IFNA(INDEX('HS Codes'!$D$2:$K4092,MATCH($B1538,'HS Codes'!$A$2:$A4092,0),MATCH(K$1,'HS Codes'!$D$1:$K$1,0)),"")</f>
        <v/>
      </c>
      <c r="L1538" s="8" t="str">
        <f>_xlfn.IFNA(INDEX('HS Codes'!$D$2:$K4092,MATCH($B1538,'HS Codes'!$A$2:$A4092,0),MATCH(L$1,'HS Codes'!$D$1:$K$1,0)),"")</f>
        <v/>
      </c>
      <c r="M1538" s="8" t="str">
        <f>_xlfn.IFNA(INDEX('HS Codes'!$C$2:$C4092,MATCH($B1538,'HS Codes'!$A$2:$A4092,0)),"")</f>
        <v/>
      </c>
      <c r="N1538" s="9"/>
      <c r="O1538" s="9"/>
      <c r="P1538" s="9"/>
      <c r="Q1538" s="9"/>
    </row>
    <row r="1539" spans="1:17" ht="15.75" customHeight="1">
      <c r="A1539" s="7" t="s">
        <v>1832</v>
      </c>
      <c r="B1539" s="7"/>
      <c r="C1539" s="7"/>
      <c r="D1539" s="7"/>
      <c r="E1539" s="7"/>
      <c r="F1539" s="8" t="str">
        <f>_xlfn.IFNA(INDEX('HS Codes'!$D$2:$K4093,MATCH($B1539,'HS Codes'!$A$2:$A4093,0),MATCH(F$1,'HS Codes'!$D$1:$K$1,0)),"")</f>
        <v/>
      </c>
      <c r="G1539" s="8" t="str">
        <f>_xlfn.IFNA(INDEX('HS Codes'!$D$2:$K4093,MATCH($B1539,'HS Codes'!$A$2:$A4093,0),MATCH(G$1,'HS Codes'!$D$1:$K$1,0)),"")</f>
        <v/>
      </c>
      <c r="H1539" s="8" t="str">
        <f>_xlfn.IFNA(INDEX('HS Codes'!$D$2:$K4093,MATCH($B1539,'HS Codes'!$A$2:$A4093,0),MATCH(H$1,'HS Codes'!$D$1:$K$1,0)),"")</f>
        <v/>
      </c>
      <c r="I1539" s="8" t="str">
        <f>_xlfn.IFNA(INDEX('HS Codes'!$D$2:$K4093,MATCH($B1539,'HS Codes'!$A$2:$A4093,0),MATCH(I$1,'HS Codes'!$D$1:$K$1,0)),"")</f>
        <v/>
      </c>
      <c r="J1539" s="8" t="str">
        <f>_xlfn.IFNA(INDEX('HS Codes'!$D$2:$K4093,MATCH($B1539,'HS Codes'!$A$2:$A4093,0),MATCH(J$1,'HS Codes'!$D$1:$K$1,0)),"")</f>
        <v/>
      </c>
      <c r="K1539" s="8" t="str">
        <f>_xlfn.IFNA(INDEX('HS Codes'!$D$2:$K4093,MATCH($B1539,'HS Codes'!$A$2:$A4093,0),MATCH(K$1,'HS Codes'!$D$1:$K$1,0)),"")</f>
        <v/>
      </c>
      <c r="L1539" s="8" t="str">
        <f>_xlfn.IFNA(INDEX('HS Codes'!$D$2:$K4093,MATCH($B1539,'HS Codes'!$A$2:$A4093,0),MATCH(L$1,'HS Codes'!$D$1:$K$1,0)),"")</f>
        <v/>
      </c>
      <c r="M1539" s="8" t="str">
        <f>_xlfn.IFNA(INDEX('HS Codes'!$C$2:$C4093,MATCH($B1539,'HS Codes'!$A$2:$A4093,0)),"")</f>
        <v/>
      </c>
      <c r="N1539" s="9"/>
      <c r="O1539" s="9"/>
      <c r="P1539" s="9"/>
      <c r="Q1539" s="9"/>
    </row>
    <row r="1540" spans="1:17" ht="15.75" customHeight="1">
      <c r="A1540" s="7" t="s">
        <v>1833</v>
      </c>
      <c r="B1540" s="7" t="s">
        <v>129</v>
      </c>
      <c r="C1540" s="7" t="s">
        <v>278</v>
      </c>
      <c r="D1540" s="7" t="s">
        <v>130</v>
      </c>
      <c r="E1540" s="7" t="s">
        <v>360</v>
      </c>
      <c r="F1540" s="8" t="str">
        <f>_xlfn.IFNA(INDEX('HS Codes'!$D$2:$K4094,MATCH($B1540,'HS Codes'!$A$2:$A4094,0),MATCH(F$1,'HS Codes'!$D$1:$K$1,0)),"")</f>
        <v>6504.00.90.15</v>
      </c>
      <c r="G1540" s="8">
        <f>_xlfn.IFNA(INDEX('HS Codes'!$D$2:$K4094,MATCH($B1540,'HS Codes'!$A$2:$A4094,0),MATCH(G$1,'HS Codes'!$D$1:$K$1,0)),"")</f>
        <v>6505009090</v>
      </c>
      <c r="H1540" s="8" t="str">
        <f>_xlfn.IFNA(INDEX('HS Codes'!$D$2:$K4094,MATCH($B1540,'HS Codes'!$A$2:$A4094,0),MATCH(H$1,'HS Codes'!$D$1:$K$1,0)),"")</f>
        <v>6505.00.40.00</v>
      </c>
      <c r="I1540" s="8" t="str">
        <f>_xlfn.IFNA(INDEX('HS Codes'!$D$2:$K4094,MATCH($B1540,'HS Codes'!$A$2:$A4094,0),MATCH(I$1,'HS Codes'!$D$1:$K$1,0)),"")</f>
        <v>6505.00.90.90</v>
      </c>
      <c r="J1540" s="8">
        <f>_xlfn.IFNA(INDEX('HS Codes'!$D$2:$K4094,MATCH($B1540,'HS Codes'!$A$2:$A4094,0),MATCH(J$1,'HS Codes'!$D$1:$K$1,0)),"")</f>
        <v>0</v>
      </c>
      <c r="K1540" s="8" t="str">
        <f>_xlfn.IFNA(INDEX('HS Codes'!$D$2:$K4094,MATCH($B1540,'HS Codes'!$A$2:$A4094,0),MATCH(K$1,'HS Codes'!$D$1:$K$1,0)),"")</f>
        <v>6505.00.90</v>
      </c>
      <c r="L1540" s="8">
        <f>_xlfn.IFNA(INDEX('HS Codes'!$D$2:$K4094,MATCH($B1540,'HS Codes'!$A$2:$A4094,0),MATCH(L$1,'HS Codes'!$D$1:$K$1,0)),"")</f>
        <v>0</v>
      </c>
      <c r="M1540" s="8" t="str">
        <f>_xlfn.IFNA(INDEX('HS Codes'!$C$2:$C4094,MATCH($B1540,'HS Codes'!$A$2:$A4094,0)),"")</f>
        <v>Head Towel 100% recycled 200 GSM/83% polyester/17% polyamide (no cotton)</v>
      </c>
      <c r="N1540" s="9"/>
      <c r="O1540" s="9"/>
      <c r="P1540" s="9"/>
      <c r="Q1540" s="9"/>
    </row>
    <row r="1541" spans="1:17" ht="15.75" customHeight="1">
      <c r="A1541" s="7" t="s">
        <v>1834</v>
      </c>
      <c r="B1541" s="7" t="s">
        <v>129</v>
      </c>
      <c r="C1541" s="7" t="s">
        <v>278</v>
      </c>
      <c r="D1541" s="7" t="s">
        <v>130</v>
      </c>
      <c r="E1541" s="7" t="s">
        <v>360</v>
      </c>
      <c r="F1541" s="8" t="str">
        <f>_xlfn.IFNA(INDEX('HS Codes'!$D$2:$K4095,MATCH($B1541,'HS Codes'!$A$2:$A4095,0),MATCH(F$1,'HS Codes'!$D$1:$K$1,0)),"")</f>
        <v>6504.00.90.15</v>
      </c>
      <c r="G1541" s="8">
        <f>_xlfn.IFNA(INDEX('HS Codes'!$D$2:$K4095,MATCH($B1541,'HS Codes'!$A$2:$A4095,0),MATCH(G$1,'HS Codes'!$D$1:$K$1,0)),"")</f>
        <v>6505009090</v>
      </c>
      <c r="H1541" s="8" t="str">
        <f>_xlfn.IFNA(INDEX('HS Codes'!$D$2:$K4095,MATCH($B1541,'HS Codes'!$A$2:$A4095,0),MATCH(H$1,'HS Codes'!$D$1:$K$1,0)),"")</f>
        <v>6505.00.40.00</v>
      </c>
      <c r="I1541" s="8" t="str">
        <f>_xlfn.IFNA(INDEX('HS Codes'!$D$2:$K4095,MATCH($B1541,'HS Codes'!$A$2:$A4095,0),MATCH(I$1,'HS Codes'!$D$1:$K$1,0)),"")</f>
        <v>6505.00.90.90</v>
      </c>
      <c r="J1541" s="8">
        <f>_xlfn.IFNA(INDEX('HS Codes'!$D$2:$K4095,MATCH($B1541,'HS Codes'!$A$2:$A4095,0),MATCH(J$1,'HS Codes'!$D$1:$K$1,0)),"")</f>
        <v>0</v>
      </c>
      <c r="K1541" s="8" t="str">
        <f>_xlfn.IFNA(INDEX('HS Codes'!$D$2:$K4095,MATCH($B1541,'HS Codes'!$A$2:$A4095,0),MATCH(K$1,'HS Codes'!$D$1:$K$1,0)),"")</f>
        <v>6505.00.90</v>
      </c>
      <c r="L1541" s="8">
        <f>_xlfn.IFNA(INDEX('HS Codes'!$D$2:$K4095,MATCH($B1541,'HS Codes'!$A$2:$A4095,0),MATCH(L$1,'HS Codes'!$D$1:$K$1,0)),"")</f>
        <v>0</v>
      </c>
      <c r="M1541" s="8" t="str">
        <f>_xlfn.IFNA(INDEX('HS Codes'!$C$2:$C4095,MATCH($B1541,'HS Codes'!$A$2:$A4095,0)),"")</f>
        <v>Head Towel 100% recycled 200 GSM/83% polyester/17% polyamide (no cotton)</v>
      </c>
      <c r="N1541" s="9"/>
      <c r="O1541" s="9"/>
      <c r="P1541" s="9"/>
      <c r="Q1541" s="9"/>
    </row>
    <row r="1542" spans="1:17" ht="15.75" customHeight="1">
      <c r="A1542" s="7" t="s">
        <v>1835</v>
      </c>
      <c r="B1542" s="7" t="s">
        <v>129</v>
      </c>
      <c r="C1542" s="7" t="s">
        <v>278</v>
      </c>
      <c r="D1542" s="7" t="s">
        <v>130</v>
      </c>
      <c r="E1542" s="7" t="s">
        <v>360</v>
      </c>
      <c r="F1542" s="8" t="str">
        <f>_xlfn.IFNA(INDEX('HS Codes'!$D$2:$K4096,MATCH($B1542,'HS Codes'!$A$2:$A4096,0),MATCH(F$1,'HS Codes'!$D$1:$K$1,0)),"")</f>
        <v>6504.00.90.15</v>
      </c>
      <c r="G1542" s="8">
        <f>_xlfn.IFNA(INDEX('HS Codes'!$D$2:$K4096,MATCH($B1542,'HS Codes'!$A$2:$A4096,0),MATCH(G$1,'HS Codes'!$D$1:$K$1,0)),"")</f>
        <v>6505009090</v>
      </c>
      <c r="H1542" s="8" t="str">
        <f>_xlfn.IFNA(INDEX('HS Codes'!$D$2:$K4096,MATCH($B1542,'HS Codes'!$A$2:$A4096,0),MATCH(H$1,'HS Codes'!$D$1:$K$1,0)),"")</f>
        <v>6505.00.40.00</v>
      </c>
      <c r="I1542" s="8" t="str">
        <f>_xlfn.IFNA(INDEX('HS Codes'!$D$2:$K4096,MATCH($B1542,'HS Codes'!$A$2:$A4096,0),MATCH(I$1,'HS Codes'!$D$1:$K$1,0)),"")</f>
        <v>6505.00.90.90</v>
      </c>
      <c r="J1542" s="8">
        <f>_xlfn.IFNA(INDEX('HS Codes'!$D$2:$K4096,MATCH($B1542,'HS Codes'!$A$2:$A4096,0),MATCH(J$1,'HS Codes'!$D$1:$K$1,0)),"")</f>
        <v>0</v>
      </c>
      <c r="K1542" s="8" t="str">
        <f>_xlfn.IFNA(INDEX('HS Codes'!$D$2:$K4096,MATCH($B1542,'HS Codes'!$A$2:$A4096,0),MATCH(K$1,'HS Codes'!$D$1:$K$1,0)),"")</f>
        <v>6505.00.90</v>
      </c>
      <c r="L1542" s="8">
        <f>_xlfn.IFNA(INDEX('HS Codes'!$D$2:$K4096,MATCH($B1542,'HS Codes'!$A$2:$A4096,0),MATCH(L$1,'HS Codes'!$D$1:$K$1,0)),"")</f>
        <v>0</v>
      </c>
      <c r="M1542" s="8" t="str">
        <f>_xlfn.IFNA(INDEX('HS Codes'!$C$2:$C4096,MATCH($B1542,'HS Codes'!$A$2:$A4096,0)),"")</f>
        <v>Head Towel 100% recycled 200 GSM/83% polyester/17% polyamide (no cotton)</v>
      </c>
      <c r="N1542" s="9"/>
      <c r="O1542" s="9"/>
      <c r="P1542" s="9"/>
      <c r="Q1542" s="9"/>
    </row>
    <row r="1543" spans="1:17" ht="15.75" customHeight="1">
      <c r="A1543" s="7" t="s">
        <v>1836</v>
      </c>
      <c r="B1543" s="7" t="s">
        <v>129</v>
      </c>
      <c r="C1543" s="7" t="s">
        <v>278</v>
      </c>
      <c r="D1543" s="7" t="s">
        <v>130</v>
      </c>
      <c r="E1543" s="7" t="s">
        <v>360</v>
      </c>
      <c r="F1543" s="8" t="str">
        <f>_xlfn.IFNA(INDEX('HS Codes'!$D$2:$K4097,MATCH($B1543,'HS Codes'!$A$2:$A4097,0),MATCH(F$1,'HS Codes'!$D$1:$K$1,0)),"")</f>
        <v>6504.00.90.15</v>
      </c>
      <c r="G1543" s="8">
        <f>_xlfn.IFNA(INDEX('HS Codes'!$D$2:$K4097,MATCH($B1543,'HS Codes'!$A$2:$A4097,0),MATCH(G$1,'HS Codes'!$D$1:$K$1,0)),"")</f>
        <v>6505009090</v>
      </c>
      <c r="H1543" s="8" t="str">
        <f>_xlfn.IFNA(INDEX('HS Codes'!$D$2:$K4097,MATCH($B1543,'HS Codes'!$A$2:$A4097,0),MATCH(H$1,'HS Codes'!$D$1:$K$1,0)),"")</f>
        <v>6505.00.40.00</v>
      </c>
      <c r="I1543" s="8" t="str">
        <f>_xlfn.IFNA(INDEX('HS Codes'!$D$2:$K4097,MATCH($B1543,'HS Codes'!$A$2:$A4097,0),MATCH(I$1,'HS Codes'!$D$1:$K$1,0)),"")</f>
        <v>6505.00.90.90</v>
      </c>
      <c r="J1543" s="8">
        <f>_xlfn.IFNA(INDEX('HS Codes'!$D$2:$K4097,MATCH($B1543,'HS Codes'!$A$2:$A4097,0),MATCH(J$1,'HS Codes'!$D$1:$K$1,0)),"")</f>
        <v>0</v>
      </c>
      <c r="K1543" s="8" t="str">
        <f>_xlfn.IFNA(INDEX('HS Codes'!$D$2:$K4097,MATCH($B1543,'HS Codes'!$A$2:$A4097,0),MATCH(K$1,'HS Codes'!$D$1:$K$1,0)),"")</f>
        <v>6505.00.90</v>
      </c>
      <c r="L1543" s="8">
        <f>_xlfn.IFNA(INDEX('HS Codes'!$D$2:$K4097,MATCH($B1543,'HS Codes'!$A$2:$A4097,0),MATCH(L$1,'HS Codes'!$D$1:$K$1,0)),"")</f>
        <v>0</v>
      </c>
      <c r="M1543" s="8" t="str">
        <f>_xlfn.IFNA(INDEX('HS Codes'!$C$2:$C4097,MATCH($B1543,'HS Codes'!$A$2:$A4097,0)),"")</f>
        <v>Head Towel 100% recycled 200 GSM/83% polyester/17% polyamide (no cotton)</v>
      </c>
      <c r="N1543" s="9"/>
      <c r="O1543" s="9"/>
      <c r="P1543" s="9"/>
      <c r="Q1543" s="9"/>
    </row>
    <row r="1544" spans="1:17" ht="15.75" customHeight="1">
      <c r="A1544" s="7" t="s">
        <v>1837</v>
      </c>
      <c r="B1544" s="7" t="s">
        <v>129</v>
      </c>
      <c r="C1544" s="7" t="s">
        <v>278</v>
      </c>
      <c r="D1544" s="7" t="s">
        <v>130</v>
      </c>
      <c r="E1544" s="7" t="s">
        <v>360</v>
      </c>
      <c r="F1544" s="8" t="str">
        <f>_xlfn.IFNA(INDEX('HS Codes'!$D$2:$K4098,MATCH($B1544,'HS Codes'!$A$2:$A4098,0),MATCH(F$1,'HS Codes'!$D$1:$K$1,0)),"")</f>
        <v>6504.00.90.15</v>
      </c>
      <c r="G1544" s="8">
        <f>_xlfn.IFNA(INDEX('HS Codes'!$D$2:$K4098,MATCH($B1544,'HS Codes'!$A$2:$A4098,0),MATCH(G$1,'HS Codes'!$D$1:$K$1,0)),"")</f>
        <v>6505009090</v>
      </c>
      <c r="H1544" s="8" t="str">
        <f>_xlfn.IFNA(INDEX('HS Codes'!$D$2:$K4098,MATCH($B1544,'HS Codes'!$A$2:$A4098,0),MATCH(H$1,'HS Codes'!$D$1:$K$1,0)),"")</f>
        <v>6505.00.40.00</v>
      </c>
      <c r="I1544" s="8" t="str">
        <f>_xlfn.IFNA(INDEX('HS Codes'!$D$2:$K4098,MATCH($B1544,'HS Codes'!$A$2:$A4098,0),MATCH(I$1,'HS Codes'!$D$1:$K$1,0)),"")</f>
        <v>6505.00.90.90</v>
      </c>
      <c r="J1544" s="8">
        <f>_xlfn.IFNA(INDEX('HS Codes'!$D$2:$K4098,MATCH($B1544,'HS Codes'!$A$2:$A4098,0),MATCH(J$1,'HS Codes'!$D$1:$K$1,0)),"")</f>
        <v>0</v>
      </c>
      <c r="K1544" s="8" t="str">
        <f>_xlfn.IFNA(INDEX('HS Codes'!$D$2:$K4098,MATCH($B1544,'HS Codes'!$A$2:$A4098,0),MATCH(K$1,'HS Codes'!$D$1:$K$1,0)),"")</f>
        <v>6505.00.90</v>
      </c>
      <c r="L1544" s="8">
        <f>_xlfn.IFNA(INDEX('HS Codes'!$D$2:$K4098,MATCH($B1544,'HS Codes'!$A$2:$A4098,0),MATCH(L$1,'HS Codes'!$D$1:$K$1,0)),"")</f>
        <v>0</v>
      </c>
      <c r="M1544" s="8" t="str">
        <f>_xlfn.IFNA(INDEX('HS Codes'!$C$2:$C4098,MATCH($B1544,'HS Codes'!$A$2:$A4098,0)),"")</f>
        <v>Head Towel 100% recycled 200 GSM/83% polyester/17% polyamide (no cotton)</v>
      </c>
      <c r="N1544" s="9"/>
      <c r="O1544" s="9"/>
      <c r="P1544" s="9"/>
      <c r="Q1544" s="9"/>
    </row>
    <row r="1545" spans="1:17" ht="15.75" customHeight="1">
      <c r="A1545" s="7" t="s">
        <v>1838</v>
      </c>
      <c r="B1545" s="7" t="s">
        <v>77</v>
      </c>
      <c r="C1545" s="7" t="s">
        <v>275</v>
      </c>
      <c r="D1545" s="7" t="s">
        <v>78</v>
      </c>
      <c r="E1545" s="7" t="s">
        <v>276</v>
      </c>
      <c r="F1545" s="8" t="str">
        <f>_xlfn.IFNA(INDEX('HS Codes'!$D$2:$K4099,MATCH($B1545,'HS Codes'!$A$2:$A4099,0),MATCH(F$1,'HS Codes'!$D$1:$K$1,0)),"")</f>
        <v>4202.92.91.00</v>
      </c>
      <c r="G1545" s="8">
        <f>_xlfn.IFNA(INDEX('HS Codes'!$D$2:$K4099,MATCH($B1545,'HS Codes'!$A$2:$A4099,0),MATCH(G$1,'HS Codes'!$D$1:$K$1,0)),"")</f>
        <v>4202921900</v>
      </c>
      <c r="H1545" s="8" t="str">
        <f>_xlfn.IFNA(INDEX('HS Codes'!$D$2:$K4099,MATCH($B1545,'HS Codes'!$A$2:$A4099,0),MATCH(H$1,'HS Codes'!$D$1:$K$1,0)),"")</f>
        <v>4202.92.90.00</v>
      </c>
      <c r="I1545" s="8" t="str">
        <f>_xlfn.IFNA(INDEX('HS Codes'!$D$2:$K4099,MATCH($B1545,'HS Codes'!$A$2:$A4099,0),MATCH(I$1,'HS Codes'!$D$1:$K$1,0)),"")</f>
        <v>4202 9298 90</v>
      </c>
      <c r="J1545" s="8">
        <f>_xlfn.IFNA(INDEX('HS Codes'!$D$2:$K4099,MATCH($B1545,'HS Codes'!$A$2:$A4099,0),MATCH(J$1,'HS Codes'!$D$1:$K$1,0)),"")</f>
        <v>0</v>
      </c>
      <c r="K1545" s="8" t="str">
        <f>_xlfn.IFNA(INDEX('HS Codes'!$D$2:$K4099,MATCH($B1545,'HS Codes'!$A$2:$A4099,0),MATCH(K$1,'HS Codes'!$D$1:$K$1,0)),"")</f>
        <v>4202.92.90</v>
      </c>
      <c r="L1545" s="8">
        <f>_xlfn.IFNA(INDEX('HS Codes'!$D$2:$K4099,MATCH($B1545,'HS Codes'!$A$2:$A4099,0),MATCH(L$1,'HS Codes'!$D$1:$K$1,0)),"")</f>
        <v>42029100</v>
      </c>
      <c r="M1545" s="8" t="str">
        <f>_xlfn.IFNA(INDEX('HS Codes'!$C$2:$C4099,MATCH($B1545,'HS Codes'!$A$2:$A4099,0)),"")</f>
        <v>Shopping Bag 100% recycled polyester</v>
      </c>
      <c r="N1545" s="9"/>
      <c r="O1545" s="9"/>
      <c r="P1545" s="9"/>
      <c r="Q1545" s="9"/>
    </row>
    <row r="1546" spans="1:17" ht="15.75" customHeight="1">
      <c r="A1546" s="7" t="s">
        <v>1839</v>
      </c>
      <c r="B1546" s="7" t="s">
        <v>103</v>
      </c>
      <c r="C1546" s="7" t="s">
        <v>278</v>
      </c>
      <c r="D1546" s="7" t="s">
        <v>104</v>
      </c>
      <c r="E1546" s="7" t="s">
        <v>279</v>
      </c>
      <c r="F1546" s="8" t="str">
        <f>_xlfn.IFNA(INDEX('HS Codes'!$D$2:$K4100,MATCH($B1546,'HS Codes'!$A$2:$A4100,0),MATCH(F$1,'HS Codes'!$D$1:$K$1,0)),"")</f>
        <v>6302.93.2000</v>
      </c>
      <c r="G1546" s="8">
        <f>_xlfn.IFNA(INDEX('HS Codes'!$D$2:$K4100,MATCH($B1546,'HS Codes'!$A$2:$A4100,0),MATCH(G$1,'HS Codes'!$D$1:$K$1,0)),"")</f>
        <v>6302600090</v>
      </c>
      <c r="H1546" s="8" t="str">
        <f>_xlfn.IFNA(INDEX('HS Codes'!$D$2:$K4100,MATCH($B1546,'HS Codes'!$A$2:$A4100,0),MATCH(H$1,'HS Codes'!$D$1:$K$1,0)),"")</f>
        <v>6302.93.00.00</v>
      </c>
      <c r="I1546" s="8">
        <f>_xlfn.IFNA(INDEX('HS Codes'!$D$2:$K4100,MATCH($B1546,'HS Codes'!$A$2:$A4100,0),MATCH(I$1,'HS Codes'!$D$1:$K$1,0)),"")</f>
        <v>6302939000</v>
      </c>
      <c r="J1546" s="8">
        <f>_xlfn.IFNA(INDEX('HS Codes'!$D$2:$K4100,MATCH($B1546,'HS Codes'!$A$2:$A4100,0),MATCH(J$1,'HS Codes'!$D$1:$K$1,0)),"")</f>
        <v>0</v>
      </c>
      <c r="K1546" s="8" t="str">
        <f>_xlfn.IFNA(INDEX('HS Codes'!$D$2:$K4100,MATCH($B1546,'HS Codes'!$A$2:$A4100,0),MATCH(K$1,'HS Codes'!$D$1:$K$1,0)),"")</f>
        <v>6302.39.00</v>
      </c>
      <c r="L1546" s="8">
        <f>_xlfn.IFNA(INDEX('HS Codes'!$D$2:$K4100,MATCH($B1546,'HS Codes'!$A$2:$A4100,0),MATCH(L$1,'HS Codes'!$D$1:$K$1,0)),"")</f>
        <v>6507</v>
      </c>
      <c r="M1546" s="8" t="str">
        <f>_xlfn.IFNA(INDEX('HS Codes'!$C$2:$C4100,MATCH($B1546,'HS Codes'!$A$2:$A4100,0)),"")</f>
        <v>Pet Towel - Toilet Linen 100% recycled 220 GSM/83% polyester/17% polyamide includes cotton on the packing pouch drawstring</v>
      </c>
      <c r="N1546" s="9"/>
      <c r="O1546" s="9"/>
      <c r="P1546" s="9"/>
      <c r="Q1546" s="9"/>
    </row>
    <row r="1547" spans="1:17" ht="15.75" customHeight="1">
      <c r="A1547" s="7" t="s">
        <v>1840</v>
      </c>
      <c r="B1547" s="7" t="s">
        <v>129</v>
      </c>
      <c r="C1547" s="7" t="s">
        <v>278</v>
      </c>
      <c r="D1547" s="7" t="s">
        <v>130</v>
      </c>
      <c r="E1547" s="7" t="s">
        <v>360</v>
      </c>
      <c r="F1547" s="8" t="str">
        <f>_xlfn.IFNA(INDEX('HS Codes'!$D$2:$K4101,MATCH($B1547,'HS Codes'!$A$2:$A4101,0),MATCH(F$1,'HS Codes'!$D$1:$K$1,0)),"")</f>
        <v>6504.00.90.15</v>
      </c>
      <c r="G1547" s="8">
        <f>_xlfn.IFNA(INDEX('HS Codes'!$D$2:$K4101,MATCH($B1547,'HS Codes'!$A$2:$A4101,0),MATCH(G$1,'HS Codes'!$D$1:$K$1,0)),"")</f>
        <v>6505009090</v>
      </c>
      <c r="H1547" s="8" t="str">
        <f>_xlfn.IFNA(INDEX('HS Codes'!$D$2:$K4101,MATCH($B1547,'HS Codes'!$A$2:$A4101,0),MATCH(H$1,'HS Codes'!$D$1:$K$1,0)),"")</f>
        <v>6505.00.40.00</v>
      </c>
      <c r="I1547" s="8" t="str">
        <f>_xlfn.IFNA(INDEX('HS Codes'!$D$2:$K4101,MATCH($B1547,'HS Codes'!$A$2:$A4101,0),MATCH(I$1,'HS Codes'!$D$1:$K$1,0)),"")</f>
        <v>6505.00.90.90</v>
      </c>
      <c r="J1547" s="8">
        <f>_xlfn.IFNA(INDEX('HS Codes'!$D$2:$K4101,MATCH($B1547,'HS Codes'!$A$2:$A4101,0),MATCH(J$1,'HS Codes'!$D$1:$K$1,0)),"")</f>
        <v>0</v>
      </c>
      <c r="K1547" s="8" t="str">
        <f>_xlfn.IFNA(INDEX('HS Codes'!$D$2:$K4101,MATCH($B1547,'HS Codes'!$A$2:$A4101,0),MATCH(K$1,'HS Codes'!$D$1:$K$1,0)),"")</f>
        <v>6505.00.90</v>
      </c>
      <c r="L1547" s="8">
        <f>_xlfn.IFNA(INDEX('HS Codes'!$D$2:$K4101,MATCH($B1547,'HS Codes'!$A$2:$A4101,0),MATCH(L$1,'HS Codes'!$D$1:$K$1,0)),"")</f>
        <v>0</v>
      </c>
      <c r="M1547" s="8" t="str">
        <f>_xlfn.IFNA(INDEX('HS Codes'!$C$2:$C4101,MATCH($B1547,'HS Codes'!$A$2:$A4101,0)),"")</f>
        <v>Head Towel 100% recycled 200 GSM/83% polyester/17% polyamide (no cotton)</v>
      </c>
      <c r="N1547" s="9"/>
      <c r="O1547" s="9"/>
      <c r="P1547" s="9"/>
      <c r="Q1547" s="9"/>
    </row>
    <row r="1548" spans="1:17" ht="15.75" customHeight="1">
      <c r="A1548" s="7" t="s">
        <v>1841</v>
      </c>
      <c r="B1548" s="7" t="s">
        <v>264</v>
      </c>
      <c r="C1548" s="7"/>
      <c r="D1548" s="7" t="s">
        <v>265</v>
      </c>
      <c r="E1548" s="7" t="s">
        <v>360</v>
      </c>
      <c r="F1548" s="8" t="str">
        <f>_xlfn.IFNA(INDEX('HS Codes'!$D$2:$K4102,MATCH($B1548,'HS Codes'!$A$2:$A4102,0),MATCH(F$1,'HS Codes'!$D$1:$K$1,0)),"")</f>
        <v>6504.00.90.15</v>
      </c>
      <c r="G1548" s="8">
        <f>_xlfn.IFNA(INDEX('HS Codes'!$D$2:$K4102,MATCH($B1548,'HS Codes'!$A$2:$A4102,0),MATCH(G$1,'HS Codes'!$D$1:$K$1,0)),"")</f>
        <v>6505009090</v>
      </c>
      <c r="H1548" s="8" t="str">
        <f>_xlfn.IFNA(INDEX('HS Codes'!$D$2:$K4102,MATCH($B1548,'HS Codes'!$A$2:$A4102,0),MATCH(H$1,'HS Codes'!$D$1:$K$1,0)),"")</f>
        <v>6505.00.40.00</v>
      </c>
      <c r="I1548" s="8">
        <f>_xlfn.IFNA(INDEX('HS Codes'!$D$2:$K4102,MATCH($B1548,'HS Codes'!$A$2:$A4102,0),MATCH(I$1,'HS Codes'!$D$1:$K$1,0)),"")</f>
        <v>6217100090</v>
      </c>
      <c r="J1548" s="8">
        <f>_xlfn.IFNA(INDEX('HS Codes'!$D$2:$K4102,MATCH($B1548,'HS Codes'!$A$2:$A4102,0),MATCH(J$1,'HS Codes'!$D$1:$K$1,0)),"")</f>
        <v>0</v>
      </c>
      <c r="K1548" s="8" t="str">
        <f>_xlfn.IFNA(INDEX('HS Codes'!$D$2:$K4102,MATCH($B1548,'HS Codes'!$A$2:$A4102,0),MATCH(K$1,'HS Codes'!$D$1:$K$1,0)),"")</f>
        <v>6505.00.90</v>
      </c>
      <c r="L1548" s="8">
        <f>_xlfn.IFNA(INDEX('HS Codes'!$D$2:$K4102,MATCH($B1548,'HS Codes'!$A$2:$A4102,0),MATCH(L$1,'HS Codes'!$D$1:$K$1,0)),"")</f>
        <v>6507</v>
      </c>
      <c r="M1548" s="8">
        <f>_xlfn.IFNA(INDEX('HS Codes'!$C$2:$C4102,MATCH($B1548,'HS Codes'!$A$2:$A4102,0)),"")</f>
        <v>0</v>
      </c>
      <c r="N1548" s="9"/>
      <c r="O1548" s="9"/>
      <c r="P1548" s="9"/>
      <c r="Q1548" s="9"/>
    </row>
    <row r="1549" spans="1:17" ht="15.75" customHeight="1">
      <c r="A1549" s="7" t="s">
        <v>1842</v>
      </c>
      <c r="B1549" s="7" t="s">
        <v>132</v>
      </c>
      <c r="C1549" s="7"/>
      <c r="D1549" s="7" t="s">
        <v>133</v>
      </c>
      <c r="E1549" s="7" t="s">
        <v>364</v>
      </c>
      <c r="F1549" s="8" t="str">
        <f>_xlfn.IFNA(INDEX('HS Codes'!$D$2:$K4103,MATCH($B1549,'HS Codes'!$A$2:$A4103,0),MATCH(F$1,'HS Codes'!$D$1:$K$1,0)),"")</f>
        <v>9616.20.00.00</v>
      </c>
      <c r="G1549" s="8">
        <f>_xlfn.IFNA(INDEX('HS Codes'!$D$2:$K4103,MATCH($B1549,'HS Codes'!$A$2:$A4103,0),MATCH(G$1,'HS Codes'!$D$1:$K$1,0)),"")</f>
        <v>9616200000</v>
      </c>
      <c r="H1549" s="8" t="str">
        <f>_xlfn.IFNA(INDEX('HS Codes'!$D$2:$K4103,MATCH($B1549,'HS Codes'!$A$2:$A4103,0),MATCH(H$1,'HS Codes'!$D$1:$K$1,0)),"")</f>
        <v>9616.20.00.00</v>
      </c>
      <c r="I1549" s="8">
        <f>_xlfn.IFNA(INDEX('HS Codes'!$D$2:$K4103,MATCH($B1549,'HS Codes'!$A$2:$A4103,0),MATCH(I$1,'HS Codes'!$D$1:$K$1,0)),"")</f>
        <v>9616200000</v>
      </c>
      <c r="J1549" s="8">
        <f>_xlfn.IFNA(INDEX('HS Codes'!$D$2:$K4103,MATCH($B1549,'HS Codes'!$A$2:$A4103,0),MATCH(J$1,'HS Codes'!$D$1:$K$1,0)),"")</f>
        <v>0</v>
      </c>
      <c r="K1549" s="8" t="str">
        <f>_xlfn.IFNA(INDEX('HS Codes'!$D$2:$K4103,MATCH($B1549,'HS Codes'!$A$2:$A4103,0),MATCH(K$1,'HS Codes'!$D$1:$K$1,0)),"")</f>
        <v>9616.20.00</v>
      </c>
      <c r="L1549" s="8">
        <f>_xlfn.IFNA(INDEX('HS Codes'!$D$2:$K4103,MATCH($B1549,'HS Codes'!$A$2:$A4103,0),MATCH(L$1,'HS Codes'!$D$1:$K$1,0)),"")</f>
        <v>0</v>
      </c>
      <c r="M1549" s="8" t="str">
        <f>_xlfn.IFNA(INDEX('HS Codes'!$C$2:$C4103,MATCH($B1549,'HS Codes'!$A$2:$A4103,0)),"")</f>
        <v>Makeup Wipe 100% recycled polyester (no cotton)</v>
      </c>
      <c r="N1549" s="9"/>
      <c r="O1549" s="9"/>
      <c r="P1549" s="9"/>
      <c r="Q1549" s="9"/>
    </row>
    <row r="1550" spans="1:17" ht="15.75" customHeight="1">
      <c r="A1550" s="7" t="s">
        <v>1843</v>
      </c>
      <c r="B1550" s="7" t="s">
        <v>137</v>
      </c>
      <c r="C1550" s="7" t="s">
        <v>281</v>
      </c>
      <c r="D1550" s="7" t="s">
        <v>138</v>
      </c>
      <c r="E1550" s="7" t="s">
        <v>138</v>
      </c>
      <c r="F1550" s="8" t="str">
        <f>_xlfn.IFNA(INDEX('HS Codes'!$D$2:$K4104,MATCH($B1550,'HS Codes'!$A$2:$A4104,0),MATCH(F$1,'HS Codes'!$D$1:$K$1,0)),"")</f>
        <v>6301.40.0020</v>
      </c>
      <c r="G1550" s="8">
        <f>_xlfn.IFNA(INDEX('HS Codes'!$D$2:$K4104,MATCH($B1550,'HS Codes'!$A$2:$A4104,0),MATCH(G$1,'HS Codes'!$D$1:$K$1,0)),"")</f>
        <v>6301409099</v>
      </c>
      <c r="H1550" s="8" t="str">
        <f>_xlfn.IFNA(INDEX('HS Codes'!$D$2:$K4104,MATCH($B1550,'HS Codes'!$A$2:$A4104,0),MATCH(H$1,'HS Codes'!$D$1:$K$1,0)),"")</f>
        <v>6301.40.0020</v>
      </c>
      <c r="I1550" s="8">
        <f>_xlfn.IFNA(INDEX('HS Codes'!$D$2:$K4104,MATCH($B1550,'HS Codes'!$A$2:$A4104,0),MATCH(I$1,'HS Codes'!$D$1:$K$1,0)),"")</f>
        <v>6301409099</v>
      </c>
      <c r="J1550" s="8">
        <f>_xlfn.IFNA(INDEX('HS Codes'!$D$2:$K4104,MATCH($B1550,'HS Codes'!$A$2:$A4104,0),MATCH(J$1,'HS Codes'!$D$1:$K$1,0)),"")</f>
        <v>0</v>
      </c>
      <c r="K1550" s="8" t="str">
        <f>_xlfn.IFNA(INDEX('HS Codes'!$D$2:$K4104,MATCH($B1550,'HS Codes'!$A$2:$A4104,0),MATCH(K$1,'HS Codes'!$D$1:$K$1,0)),"")</f>
        <v>6301.40.00</v>
      </c>
      <c r="L1550" s="8">
        <f>_xlfn.IFNA(INDEX('HS Codes'!$D$2:$K4104,MATCH($B1550,'HS Codes'!$A$2:$A4104,0),MATCH(L$1,'HS Codes'!$D$1:$K$1,0)),"")</f>
        <v>6301</v>
      </c>
      <c r="M1550" s="8" t="str">
        <f>_xlfn.IFNA(INDEX('HS Codes'!$C$2:$C4104,MATCH($B1550,'HS Codes'!$A$2:$A4104,0)),"")</f>
        <v>Travelling Rug 100% recycled. BOTTOM: 100% polyester. TOP: 220 GSM/83% polyester/17% polyamide includes cotton on the packing pouch drawstring</v>
      </c>
      <c r="N1550" s="9"/>
      <c r="O1550" s="9"/>
      <c r="P1550" s="9"/>
      <c r="Q1550" s="9"/>
    </row>
    <row r="1551" spans="1:17" ht="15.75" customHeight="1">
      <c r="A1551" s="7" t="s">
        <v>1844</v>
      </c>
      <c r="B1551" s="7" t="s">
        <v>142</v>
      </c>
      <c r="C1551" s="7" t="s">
        <v>278</v>
      </c>
      <c r="D1551" s="7" t="s">
        <v>143</v>
      </c>
      <c r="E1551" s="7" t="s">
        <v>143</v>
      </c>
      <c r="F1551" s="8" t="str">
        <f>_xlfn.IFNA(INDEX('HS Codes'!$D$2:$K4105,MATCH($B1551,'HS Codes'!$A$2:$A4105,0),MATCH(F$1,'HS Codes'!$D$1:$K$1,0)),"")</f>
        <v>6101.90.90.30</v>
      </c>
      <c r="G1551" s="8">
        <f>_xlfn.IFNA(INDEX('HS Codes'!$D$2:$K4105,MATCH($B1551,'HS Codes'!$A$2:$A4105,0),MATCH(G$1,'HS Codes'!$D$1:$K$1,0)),"")</f>
        <v>6101309000</v>
      </c>
      <c r="H1551" s="8">
        <f>_xlfn.IFNA(INDEX('HS Codes'!$D$2:$K4105,MATCH($B1551,'HS Codes'!$A$2:$A4105,0),MATCH(H$1,'HS Codes'!$D$1:$K$1,0)),"")</f>
        <v>6112399000</v>
      </c>
      <c r="I1551" s="8" t="str">
        <f>_xlfn.IFNA(INDEX('HS Codes'!$D$2:$K4105,MATCH($B1551,'HS Codes'!$A$2:$A4105,0),MATCH(I$1,'HS Codes'!$D$1:$K$1,0)),"")</f>
        <v>6211 4390 00</v>
      </c>
      <c r="J1551" s="8">
        <f>_xlfn.IFNA(INDEX('HS Codes'!$D$2:$K4105,MATCH($B1551,'HS Codes'!$A$2:$A4105,0),MATCH(J$1,'HS Codes'!$D$1:$K$1,0)),"")</f>
        <v>6117109000</v>
      </c>
      <c r="K1551" s="8" t="str">
        <f>_xlfn.IFNA(INDEX('HS Codes'!$D$2:$K4105,MATCH($B1551,'HS Codes'!$A$2:$A4105,0),MATCH(K$1,'HS Codes'!$D$1:$K$1,0)),"")</f>
        <v>6112.39.00</v>
      </c>
      <c r="L1551" s="8">
        <f>_xlfn.IFNA(INDEX('HS Codes'!$D$2:$K4105,MATCH($B1551,'HS Codes'!$A$2:$A4105,0),MATCH(L$1,'HS Codes'!$D$1:$K$1,0)),"")</f>
        <v>6202</v>
      </c>
      <c r="M1551" s="8" t="str">
        <f>_xlfn.IFNA(INDEX('HS Codes'!$C$2:$C4105,MATCH($B1551,'HS Codes'!$A$2:$A4105,0)),"")</f>
        <v>Beach Robe or Cloak 100% recycled 220 GSM/83% polyester/17% polyamide includes cotton on the packing pouch drawstring</v>
      </c>
      <c r="N1551" s="9"/>
      <c r="O1551" s="9"/>
      <c r="P1551" s="9"/>
      <c r="Q1551" s="9"/>
    </row>
    <row r="1552" spans="1:17" ht="15.75" customHeight="1">
      <c r="A1552" s="7" t="s">
        <v>1845</v>
      </c>
      <c r="B1552" s="7" t="s">
        <v>148</v>
      </c>
      <c r="C1552" s="7" t="s">
        <v>278</v>
      </c>
      <c r="D1552" s="7" t="s">
        <v>149</v>
      </c>
      <c r="E1552" s="7" t="s">
        <v>149</v>
      </c>
      <c r="F1552" s="8" t="str">
        <f>_xlfn.IFNA(INDEX('HS Codes'!$D$2:$K4106,MATCH($B1552,'HS Codes'!$A$2:$A4106,0),MATCH(F$1,'HS Codes'!$D$1:$K$1,0)),"")</f>
        <v>6101.90.90.30</v>
      </c>
      <c r="G1552" s="8">
        <f>_xlfn.IFNA(INDEX('HS Codes'!$D$2:$K4106,MATCH($B1552,'HS Codes'!$A$2:$A4106,0),MATCH(G$1,'HS Codes'!$D$1:$K$1,0)),"")</f>
        <v>6101309000</v>
      </c>
      <c r="H1552" s="8">
        <f>_xlfn.IFNA(INDEX('HS Codes'!$D$2:$K4106,MATCH($B1552,'HS Codes'!$A$2:$A4106,0),MATCH(H$1,'HS Codes'!$D$1:$K$1,0)),"")</f>
        <v>6112399000</v>
      </c>
      <c r="I1552" s="8" t="str">
        <f>_xlfn.IFNA(INDEX('HS Codes'!$D$2:$K4106,MATCH($B1552,'HS Codes'!$A$2:$A4106,0),MATCH(I$1,'HS Codes'!$D$1:$K$1,0)),"")</f>
        <v>6211 4390 00</v>
      </c>
      <c r="J1552" s="8">
        <f>_xlfn.IFNA(INDEX('HS Codes'!$D$2:$K4106,MATCH($B1552,'HS Codes'!$A$2:$A4106,0),MATCH(J$1,'HS Codes'!$D$1:$K$1,0)),"")</f>
        <v>6117109000</v>
      </c>
      <c r="K1552" s="8" t="str">
        <f>_xlfn.IFNA(INDEX('HS Codes'!$D$2:$K4106,MATCH($B1552,'HS Codes'!$A$2:$A4106,0),MATCH(K$1,'HS Codes'!$D$1:$K$1,0)),"")</f>
        <v>6112.39.00</v>
      </c>
      <c r="L1552" s="8">
        <f>_xlfn.IFNA(INDEX('HS Codes'!$D$2:$K4106,MATCH($B1552,'HS Codes'!$A$2:$A4106,0),MATCH(L$1,'HS Codes'!$D$1:$K$1,0)),"")</f>
        <v>6202</v>
      </c>
      <c r="M1552" s="8" t="str">
        <f>_xlfn.IFNA(INDEX('HS Codes'!$C$2:$C4106,MATCH($B1552,'HS Codes'!$A$2:$A4106,0)),"")</f>
        <v>Beach Robe or Cloak 100% recycled 220 GSM/83% polyester/17% polyamide includes cotton on the packing pouch drawstring</v>
      </c>
      <c r="N1552" s="9"/>
      <c r="O1552" s="9"/>
      <c r="P1552" s="9"/>
      <c r="Q1552" s="9"/>
    </row>
    <row r="1553" spans="1:17" ht="15.75" customHeight="1">
      <c r="A1553" s="7" t="s">
        <v>1846</v>
      </c>
      <c r="B1553" s="7" t="s">
        <v>150</v>
      </c>
      <c r="C1553" s="7"/>
      <c r="D1553" s="7" t="s">
        <v>151</v>
      </c>
      <c r="E1553" s="7" t="s">
        <v>151</v>
      </c>
      <c r="F1553" s="8" t="str">
        <f>_xlfn.IFNA(INDEX('HS Codes'!$D$2:$K4107,MATCH($B1553,'HS Codes'!$A$2:$A4107,0),MATCH(F$1,'HS Codes'!$D$1:$K$1,0)),"")</f>
        <v>6208.92.0010</v>
      </c>
      <c r="G1553" s="8">
        <f>_xlfn.IFNA(INDEX('HS Codes'!$D$2:$K4107,MATCH($B1553,'HS Codes'!$A$2:$A4107,0),MATCH(G$1,'HS Codes'!$D$1:$K$1,0)),"")</f>
        <v>6208110000</v>
      </c>
      <c r="H1553" s="8" t="str">
        <f>_xlfn.IFNA(INDEX('HS Codes'!$D$2:$K4107,MATCH($B1553,'HS Codes'!$A$2:$A4107,0),MATCH(H$1,'HS Codes'!$D$1:$K$1,0)),"")</f>
        <v>6208.92.00.00</v>
      </c>
      <c r="I1553" s="8">
        <f>_xlfn.IFNA(INDEX('HS Codes'!$D$2:$K4107,MATCH($B1553,'HS Codes'!$A$2:$A4107,0),MATCH(I$1,'HS Codes'!$D$1:$K$1,0)),"")</f>
        <v>6208990099</v>
      </c>
      <c r="J1553" s="8">
        <f>_xlfn.IFNA(INDEX('HS Codes'!$D$2:$K4107,MATCH($B1553,'HS Codes'!$A$2:$A4107,0),MATCH(J$1,'HS Codes'!$D$1:$K$1,0)),"")</f>
        <v>0</v>
      </c>
      <c r="K1553" s="8" t="str">
        <f>_xlfn.IFNA(INDEX('HS Codes'!$D$2:$K4107,MATCH($B1553,'HS Codes'!$A$2:$A4107,0),MATCH(K$1,'HS Codes'!$D$1:$K$1,0)),"")</f>
        <v>6208.11.00</v>
      </c>
      <c r="L1553" s="8">
        <f>_xlfn.IFNA(INDEX('HS Codes'!$D$2:$K4107,MATCH($B1553,'HS Codes'!$A$2:$A4107,0),MATCH(L$1,'HS Codes'!$D$1:$K$1,0)),"")</f>
        <v>62089200</v>
      </c>
      <c r="M1553" s="8" t="str">
        <f>_xlfn.IFNA(INDEX('HS Codes'!$C$2:$C4107,MATCH($B1553,'HS Codes'!$A$2:$A4107,0)),"")</f>
        <v>Bathrobe 100% recycled 220 GSM/83% polyester/17% polyamide includes cotton on the packing pouch drawstring</v>
      </c>
      <c r="N1553" s="9"/>
      <c r="O1553" s="9"/>
      <c r="P1553" s="9"/>
      <c r="Q1553" s="9"/>
    </row>
    <row r="1554" spans="1:17" ht="15.75" customHeight="1">
      <c r="A1554" s="7" t="s">
        <v>1847</v>
      </c>
      <c r="B1554" s="7" t="s">
        <v>159</v>
      </c>
      <c r="C1554" s="7" t="s">
        <v>278</v>
      </c>
      <c r="D1554" s="7" t="s">
        <v>160</v>
      </c>
      <c r="E1554" s="7" t="s">
        <v>160</v>
      </c>
      <c r="F1554" s="8" t="str">
        <f>_xlfn.IFNA(INDEX('HS Codes'!$D$2:$K4108,MATCH($B1554,'HS Codes'!$A$2:$A4108,0),MATCH(F$1,'HS Codes'!$D$1:$K$1,0)),"")</f>
        <v>6302.53.00.20</v>
      </c>
      <c r="G1554" s="8">
        <f>_xlfn.IFNA(INDEX('HS Codes'!$D$2:$K4108,MATCH($B1554,'HS Codes'!$A$2:$A4108,0),MATCH(G$1,'HS Codes'!$D$1:$K$1,0)),"")</f>
        <v>6302531000</v>
      </c>
      <c r="H1554" s="8">
        <f>_xlfn.IFNA(INDEX('HS Codes'!$D$2:$K4108,MATCH($B1554,'HS Codes'!$A$2:$A4108,0),MATCH(H$1,'HS Codes'!$D$1:$K$1,0)),"")</f>
        <v>6302531000</v>
      </c>
      <c r="I1554" s="8">
        <f>_xlfn.IFNA(INDEX('HS Codes'!$D$2:$K4108,MATCH($B1554,'HS Codes'!$A$2:$A4108,0),MATCH(I$1,'HS Codes'!$D$1:$K$1,0)),"")</f>
        <v>63029310</v>
      </c>
      <c r="J1554" s="8">
        <f>_xlfn.IFNA(INDEX('HS Codes'!$D$2:$K4108,MATCH($B1554,'HS Codes'!$A$2:$A4108,0),MATCH(J$1,'HS Codes'!$D$1:$K$1,0)),"")</f>
        <v>0</v>
      </c>
      <c r="K1554" s="8" t="str">
        <f>_xlfn.IFNA(INDEX('HS Codes'!$D$2:$K4108,MATCH($B1554,'HS Codes'!$A$2:$A4108,0),MATCH(K$1,'HS Codes'!$D$1:$K$1,0)),"")</f>
        <v>6302.53.00</v>
      </c>
      <c r="L1554" s="8">
        <f>_xlfn.IFNA(INDEX('HS Codes'!$D$2:$K4108,MATCH($B1554,'HS Codes'!$A$2:$A4108,0),MATCH(L$1,'HS Codes'!$D$1:$K$1,0)),"")</f>
        <v>0</v>
      </c>
      <c r="M1554" s="8" t="str">
        <f>_xlfn.IFNA(INDEX('HS Codes'!$C$2:$C4108,MATCH($B1554,'HS Codes'!$A$2:$A4108,0)),"")</f>
        <v>Kitchen Linen 100% recycled 300 GSM/83% polyester/17% polyamide (no cotton)</v>
      </c>
      <c r="N1554" s="9"/>
      <c r="O1554" s="9"/>
      <c r="P1554" s="9"/>
      <c r="Q1554" s="9"/>
    </row>
    <row r="1555" spans="1:17" ht="15.75" customHeight="1">
      <c r="A1555" s="7" t="s">
        <v>1848</v>
      </c>
      <c r="B1555" s="7" t="s">
        <v>164</v>
      </c>
      <c r="C1555" s="7" t="s">
        <v>278</v>
      </c>
      <c r="D1555" s="7" t="s">
        <v>165</v>
      </c>
      <c r="E1555" s="7" t="s">
        <v>348</v>
      </c>
      <c r="F1555" s="8" t="str">
        <f>_xlfn.IFNA(INDEX('HS Codes'!$D$2:$K4109,MATCH($B1555,'HS Codes'!$A$2:$A4109,0),MATCH(F$1,'HS Codes'!$D$1:$K$1,0)),"")</f>
        <v>6302.93.2000</v>
      </c>
      <c r="G1555" s="8">
        <f>_xlfn.IFNA(INDEX('HS Codes'!$D$2:$K4109,MATCH($B1555,'HS Codes'!$A$2:$A4109,0),MATCH(G$1,'HS Codes'!$D$1:$K$1,0)),"")</f>
        <v>6302600090</v>
      </c>
      <c r="H1555" s="8" t="str">
        <f>_xlfn.IFNA(INDEX('HS Codes'!$D$2:$K4109,MATCH($B1555,'HS Codes'!$A$2:$A4109,0),MATCH(H$1,'HS Codes'!$D$1:$K$1,0)),"")</f>
        <v>6302.93.00.00</v>
      </c>
      <c r="I1555" s="8">
        <f>_xlfn.IFNA(INDEX('HS Codes'!$D$2:$K4109,MATCH($B1555,'HS Codes'!$A$2:$A4109,0),MATCH(I$1,'HS Codes'!$D$1:$K$1,0)),"")</f>
        <v>63029390</v>
      </c>
      <c r="J1555" s="8">
        <f>_xlfn.IFNA(INDEX('HS Codes'!$D$2:$K4109,MATCH($B1555,'HS Codes'!$A$2:$A4109,0),MATCH(J$1,'HS Codes'!$D$1:$K$1,0)),"")</f>
        <v>0</v>
      </c>
      <c r="K1555" s="8" t="str">
        <f>_xlfn.IFNA(INDEX('HS Codes'!$D$2:$K4109,MATCH($B1555,'HS Codes'!$A$2:$A4109,0),MATCH(K$1,'HS Codes'!$D$1:$K$1,0)),"")</f>
        <v>6302.39.00</v>
      </c>
      <c r="L1555" s="8">
        <f>_xlfn.IFNA(INDEX('HS Codes'!$D$2:$K4109,MATCH($B1555,'HS Codes'!$A$2:$A4109,0),MATCH(L$1,'HS Codes'!$D$1:$K$1,0)),"")</f>
        <v>63029120</v>
      </c>
      <c r="M1555" s="8" t="str">
        <f>_xlfn.IFNA(INDEX('HS Codes'!$C$2:$C4109,MATCH($B1555,'HS Codes'!$A$2:$A4109,0)),"")</f>
        <v>Beach Towel - Toilet Linen 100% recycled 220 GSM/83% polyester/17% polyamide includes cotton on the packing pouch drawstring</v>
      </c>
      <c r="N1555" s="9"/>
      <c r="O1555" s="9"/>
      <c r="P1555" s="9"/>
      <c r="Q1555" s="9"/>
    </row>
    <row r="1556" spans="1:17" ht="15.75" customHeight="1">
      <c r="A1556" s="7" t="s">
        <v>1849</v>
      </c>
      <c r="B1556" s="7" t="s">
        <v>167</v>
      </c>
      <c r="C1556" s="7" t="s">
        <v>278</v>
      </c>
      <c r="D1556" s="7" t="s">
        <v>168</v>
      </c>
      <c r="E1556" s="7" t="s">
        <v>752</v>
      </c>
      <c r="F1556" s="8" t="str">
        <f>_xlfn.IFNA(INDEX('HS Codes'!$D$2:$K4110,MATCH($B1556,'HS Codes'!$A$2:$A4110,0),MATCH(F$1,'HS Codes'!$D$1:$K$1,0)),"")</f>
        <v>6302.93.2000</v>
      </c>
      <c r="G1556" s="8">
        <f>_xlfn.IFNA(INDEX('HS Codes'!$D$2:$K4110,MATCH($B1556,'HS Codes'!$A$2:$A4110,0),MATCH(G$1,'HS Codes'!$D$1:$K$1,0)),"")</f>
        <v>6302600090</v>
      </c>
      <c r="H1556" s="8" t="str">
        <f>_xlfn.IFNA(INDEX('HS Codes'!$D$2:$K4110,MATCH($B1556,'HS Codes'!$A$2:$A4110,0),MATCH(H$1,'HS Codes'!$D$1:$K$1,0)),"")</f>
        <v>6302.93.00.00</v>
      </c>
      <c r="I1556" s="8">
        <f>_xlfn.IFNA(INDEX('HS Codes'!$D$2:$K4110,MATCH($B1556,'HS Codes'!$A$2:$A4110,0),MATCH(I$1,'HS Codes'!$D$1:$K$1,0)),"")</f>
        <v>6302939000</v>
      </c>
      <c r="J1556" s="8">
        <f>_xlfn.IFNA(INDEX('HS Codes'!$D$2:$K4110,MATCH($B1556,'HS Codes'!$A$2:$A4110,0),MATCH(J$1,'HS Codes'!$D$1:$K$1,0)),"")</f>
        <v>0</v>
      </c>
      <c r="K1556" s="8" t="str">
        <f>_xlfn.IFNA(INDEX('HS Codes'!$D$2:$K4110,MATCH($B1556,'HS Codes'!$A$2:$A4110,0),MATCH(K$1,'HS Codes'!$D$1:$K$1,0)),"")</f>
        <v>6302.39.00</v>
      </c>
      <c r="L1556" s="8">
        <f>_xlfn.IFNA(INDEX('HS Codes'!$D$2:$K4110,MATCH($B1556,'HS Codes'!$A$2:$A4110,0),MATCH(L$1,'HS Codes'!$D$1:$K$1,0)),"")</f>
        <v>63029120</v>
      </c>
      <c r="M1556" s="8" t="str">
        <f>_xlfn.IFNA(INDEX('HS Codes'!$C$2:$C4110,MATCH($B1556,'HS Codes'!$A$2:$A4110,0)),"")</f>
        <v>Beach Towel - Toilet Linen 100% recycled 220 GSM/83% polyester/17% polyamide includes cotton on the packing pouch drawstring</v>
      </c>
      <c r="N1556" s="9"/>
      <c r="O1556" s="9"/>
      <c r="P1556" s="9"/>
      <c r="Q1556" s="9"/>
    </row>
    <row r="1557" spans="1:17" ht="15.75" customHeight="1">
      <c r="A1557" s="7" t="s">
        <v>1850</v>
      </c>
      <c r="B1557" s="7" t="s">
        <v>172</v>
      </c>
      <c r="C1557" s="7" t="s">
        <v>278</v>
      </c>
      <c r="D1557" s="7" t="s">
        <v>173</v>
      </c>
      <c r="E1557" s="7" t="s">
        <v>377</v>
      </c>
      <c r="F1557" s="8" t="str">
        <f>_xlfn.IFNA(INDEX('HS Codes'!$D$2:$K4111,MATCH($B1557,'HS Codes'!$A$2:$A4111,0),MATCH(F$1,'HS Codes'!$D$1:$K$1,0)),"")</f>
        <v>6302.93.2000</v>
      </c>
      <c r="G1557" s="8">
        <f>_xlfn.IFNA(INDEX('HS Codes'!$D$2:$K4111,MATCH($B1557,'HS Codes'!$A$2:$A4111,0),MATCH(G$1,'HS Codes'!$D$1:$K$1,0)),"")</f>
        <v>6302600090</v>
      </c>
      <c r="H1557" s="8" t="str">
        <f>_xlfn.IFNA(INDEX('HS Codes'!$D$2:$K4111,MATCH($B1557,'HS Codes'!$A$2:$A4111,0),MATCH(H$1,'HS Codes'!$D$1:$K$1,0)),"")</f>
        <v>6302.93.00.00</v>
      </c>
      <c r="I1557" s="8">
        <f>_xlfn.IFNA(INDEX('HS Codes'!$D$2:$K4111,MATCH($B1557,'HS Codes'!$A$2:$A4111,0),MATCH(I$1,'HS Codes'!$D$1:$K$1,0)),"")</f>
        <v>6302939000</v>
      </c>
      <c r="J1557" s="8">
        <f>_xlfn.IFNA(INDEX('HS Codes'!$D$2:$K4111,MATCH($B1557,'HS Codes'!$A$2:$A4111,0),MATCH(J$1,'HS Codes'!$D$1:$K$1,0)),"")</f>
        <v>0</v>
      </c>
      <c r="K1557" s="8" t="str">
        <f>_xlfn.IFNA(INDEX('HS Codes'!$D$2:$K4111,MATCH($B1557,'HS Codes'!$A$2:$A4111,0),MATCH(K$1,'HS Codes'!$D$1:$K$1,0)),"")</f>
        <v>6302.39.00</v>
      </c>
      <c r="L1557" s="8">
        <f>_xlfn.IFNA(INDEX('HS Codes'!$D$2:$K4111,MATCH($B1557,'HS Codes'!$A$2:$A4111,0),MATCH(L$1,'HS Codes'!$D$1:$K$1,0)),"")</f>
        <v>63029120</v>
      </c>
      <c r="M1557" s="8" t="str">
        <f>_xlfn.IFNA(INDEX('HS Codes'!$C$2:$C4111,MATCH($B1557,'HS Codes'!$A$2:$A4111,0)),"")</f>
        <v>Bath Towel - Toilet Linen 100% recycled 340 GSM/83% polyester/17% polyamide (no cotton)</v>
      </c>
      <c r="N1557" s="9"/>
      <c r="O1557" s="9"/>
      <c r="P1557" s="9"/>
      <c r="Q1557" s="9"/>
    </row>
    <row r="1558" spans="1:17" ht="15.75" customHeight="1">
      <c r="A1558" s="7" t="s">
        <v>1851</v>
      </c>
      <c r="B1558" s="7" t="s">
        <v>164</v>
      </c>
      <c r="C1558" s="7" t="s">
        <v>278</v>
      </c>
      <c r="D1558" s="7" t="s">
        <v>165</v>
      </c>
      <c r="E1558" s="7" t="s">
        <v>348</v>
      </c>
      <c r="F1558" s="8" t="str">
        <f>_xlfn.IFNA(INDEX('HS Codes'!$D$2:$K4112,MATCH($B1558,'HS Codes'!$A$2:$A4112,0),MATCH(F$1,'HS Codes'!$D$1:$K$1,0)),"")</f>
        <v>6302.93.2000</v>
      </c>
      <c r="G1558" s="8">
        <f>_xlfn.IFNA(INDEX('HS Codes'!$D$2:$K4112,MATCH($B1558,'HS Codes'!$A$2:$A4112,0),MATCH(G$1,'HS Codes'!$D$1:$K$1,0)),"")</f>
        <v>6302600090</v>
      </c>
      <c r="H1558" s="8" t="str">
        <f>_xlfn.IFNA(INDEX('HS Codes'!$D$2:$K4112,MATCH($B1558,'HS Codes'!$A$2:$A4112,0),MATCH(H$1,'HS Codes'!$D$1:$K$1,0)),"")</f>
        <v>6302.93.00.00</v>
      </c>
      <c r="I1558" s="8">
        <f>_xlfn.IFNA(INDEX('HS Codes'!$D$2:$K4112,MATCH($B1558,'HS Codes'!$A$2:$A4112,0),MATCH(I$1,'HS Codes'!$D$1:$K$1,0)),"")</f>
        <v>63029390</v>
      </c>
      <c r="J1558" s="8">
        <f>_xlfn.IFNA(INDEX('HS Codes'!$D$2:$K4112,MATCH($B1558,'HS Codes'!$A$2:$A4112,0),MATCH(J$1,'HS Codes'!$D$1:$K$1,0)),"")</f>
        <v>0</v>
      </c>
      <c r="K1558" s="8" t="str">
        <f>_xlfn.IFNA(INDEX('HS Codes'!$D$2:$K4112,MATCH($B1558,'HS Codes'!$A$2:$A4112,0),MATCH(K$1,'HS Codes'!$D$1:$K$1,0)),"")</f>
        <v>6302.39.00</v>
      </c>
      <c r="L1558" s="8">
        <f>_xlfn.IFNA(INDEX('HS Codes'!$D$2:$K4112,MATCH($B1558,'HS Codes'!$A$2:$A4112,0),MATCH(L$1,'HS Codes'!$D$1:$K$1,0)),"")</f>
        <v>63029120</v>
      </c>
      <c r="M1558" s="8" t="str">
        <f>_xlfn.IFNA(INDEX('HS Codes'!$C$2:$C4112,MATCH($B1558,'HS Codes'!$A$2:$A4112,0)),"")</f>
        <v>Beach Towel - Toilet Linen 100% recycled 220 GSM/83% polyester/17% polyamide includes cotton on the packing pouch drawstring</v>
      </c>
      <c r="N1558" s="9"/>
      <c r="O1558" s="9"/>
      <c r="P1558" s="9"/>
      <c r="Q1558" s="9"/>
    </row>
    <row r="1559" spans="1:17" ht="15.75" customHeight="1">
      <c r="A1559" s="7" t="s">
        <v>1852</v>
      </c>
      <c r="B1559" s="7" t="s">
        <v>164</v>
      </c>
      <c r="C1559" s="7" t="s">
        <v>278</v>
      </c>
      <c r="D1559" s="7" t="s">
        <v>165</v>
      </c>
      <c r="E1559" s="7" t="s">
        <v>348</v>
      </c>
      <c r="F1559" s="8" t="str">
        <f>_xlfn.IFNA(INDEX('HS Codes'!$D$2:$K4113,MATCH($B1559,'HS Codes'!$A$2:$A4113,0),MATCH(F$1,'HS Codes'!$D$1:$K$1,0)),"")</f>
        <v>6302.93.2000</v>
      </c>
      <c r="G1559" s="8">
        <f>_xlfn.IFNA(INDEX('HS Codes'!$D$2:$K4113,MATCH($B1559,'HS Codes'!$A$2:$A4113,0),MATCH(G$1,'HS Codes'!$D$1:$K$1,0)),"")</f>
        <v>6302600090</v>
      </c>
      <c r="H1559" s="8" t="str">
        <f>_xlfn.IFNA(INDEX('HS Codes'!$D$2:$K4113,MATCH($B1559,'HS Codes'!$A$2:$A4113,0),MATCH(H$1,'HS Codes'!$D$1:$K$1,0)),"")</f>
        <v>6302.93.00.00</v>
      </c>
      <c r="I1559" s="8">
        <f>_xlfn.IFNA(INDEX('HS Codes'!$D$2:$K4113,MATCH($B1559,'HS Codes'!$A$2:$A4113,0),MATCH(I$1,'HS Codes'!$D$1:$K$1,0)),"")</f>
        <v>63029390</v>
      </c>
      <c r="J1559" s="8">
        <f>_xlfn.IFNA(INDEX('HS Codes'!$D$2:$K4113,MATCH($B1559,'HS Codes'!$A$2:$A4113,0),MATCH(J$1,'HS Codes'!$D$1:$K$1,0)),"")</f>
        <v>0</v>
      </c>
      <c r="K1559" s="8" t="str">
        <f>_xlfn.IFNA(INDEX('HS Codes'!$D$2:$K4113,MATCH($B1559,'HS Codes'!$A$2:$A4113,0),MATCH(K$1,'HS Codes'!$D$1:$K$1,0)),"")</f>
        <v>6302.39.00</v>
      </c>
      <c r="L1559" s="8">
        <f>_xlfn.IFNA(INDEX('HS Codes'!$D$2:$K4113,MATCH($B1559,'HS Codes'!$A$2:$A4113,0),MATCH(L$1,'HS Codes'!$D$1:$K$1,0)),"")</f>
        <v>63029120</v>
      </c>
      <c r="M1559" s="8" t="str">
        <f>_xlfn.IFNA(INDEX('HS Codes'!$C$2:$C4113,MATCH($B1559,'HS Codes'!$A$2:$A4113,0)),"")</f>
        <v>Beach Towel - Toilet Linen 100% recycled 220 GSM/83% polyester/17% polyamide includes cotton on the packing pouch drawstring</v>
      </c>
      <c r="N1559" s="9"/>
      <c r="O1559" s="9"/>
      <c r="P1559" s="9"/>
      <c r="Q1559" s="9"/>
    </row>
    <row r="1560" spans="1:17" ht="15.75" customHeight="1">
      <c r="A1560" s="7" t="s">
        <v>1853</v>
      </c>
      <c r="B1560" s="7" t="s">
        <v>164</v>
      </c>
      <c r="C1560" s="7" t="s">
        <v>278</v>
      </c>
      <c r="D1560" s="7" t="s">
        <v>165</v>
      </c>
      <c r="E1560" s="7" t="s">
        <v>348</v>
      </c>
      <c r="F1560" s="8" t="str">
        <f>_xlfn.IFNA(INDEX('HS Codes'!$D$2:$K4114,MATCH($B1560,'HS Codes'!$A$2:$A4114,0),MATCH(F$1,'HS Codes'!$D$1:$K$1,0)),"")</f>
        <v>6302.93.2000</v>
      </c>
      <c r="G1560" s="8">
        <f>_xlfn.IFNA(INDEX('HS Codes'!$D$2:$K4114,MATCH($B1560,'HS Codes'!$A$2:$A4114,0),MATCH(G$1,'HS Codes'!$D$1:$K$1,0)),"")</f>
        <v>6302600090</v>
      </c>
      <c r="H1560" s="8" t="str">
        <f>_xlfn.IFNA(INDEX('HS Codes'!$D$2:$K4114,MATCH($B1560,'HS Codes'!$A$2:$A4114,0),MATCH(H$1,'HS Codes'!$D$1:$K$1,0)),"")</f>
        <v>6302.93.00.00</v>
      </c>
      <c r="I1560" s="8">
        <f>_xlfn.IFNA(INDEX('HS Codes'!$D$2:$K4114,MATCH($B1560,'HS Codes'!$A$2:$A4114,0),MATCH(I$1,'HS Codes'!$D$1:$K$1,0)),"")</f>
        <v>63029390</v>
      </c>
      <c r="J1560" s="8">
        <f>_xlfn.IFNA(INDEX('HS Codes'!$D$2:$K4114,MATCH($B1560,'HS Codes'!$A$2:$A4114,0),MATCH(J$1,'HS Codes'!$D$1:$K$1,0)),"")</f>
        <v>0</v>
      </c>
      <c r="K1560" s="8" t="str">
        <f>_xlfn.IFNA(INDEX('HS Codes'!$D$2:$K4114,MATCH($B1560,'HS Codes'!$A$2:$A4114,0),MATCH(K$1,'HS Codes'!$D$1:$K$1,0)),"")</f>
        <v>6302.39.00</v>
      </c>
      <c r="L1560" s="8">
        <f>_xlfn.IFNA(INDEX('HS Codes'!$D$2:$K4114,MATCH($B1560,'HS Codes'!$A$2:$A4114,0),MATCH(L$1,'HS Codes'!$D$1:$K$1,0)),"")</f>
        <v>63029120</v>
      </c>
      <c r="M1560" s="8" t="str">
        <f>_xlfn.IFNA(INDEX('HS Codes'!$C$2:$C4114,MATCH($B1560,'HS Codes'!$A$2:$A4114,0)),"")</f>
        <v>Beach Towel - Toilet Linen 100% recycled 220 GSM/83% polyester/17% polyamide includes cotton on the packing pouch drawstring</v>
      </c>
      <c r="N1560" s="9"/>
      <c r="O1560" s="9"/>
      <c r="P1560" s="9"/>
      <c r="Q1560" s="9"/>
    </row>
    <row r="1561" spans="1:17" ht="15.75" customHeight="1">
      <c r="A1561" s="7" t="s">
        <v>1854</v>
      </c>
      <c r="B1561" s="7" t="s">
        <v>164</v>
      </c>
      <c r="C1561" s="7" t="s">
        <v>278</v>
      </c>
      <c r="D1561" s="7" t="s">
        <v>165</v>
      </c>
      <c r="E1561" s="7" t="s">
        <v>348</v>
      </c>
      <c r="F1561" s="8" t="str">
        <f>_xlfn.IFNA(INDEX('HS Codes'!$D$2:$K4115,MATCH($B1561,'HS Codes'!$A$2:$A4115,0),MATCH(F$1,'HS Codes'!$D$1:$K$1,0)),"")</f>
        <v>6302.93.2000</v>
      </c>
      <c r="G1561" s="8">
        <f>_xlfn.IFNA(INDEX('HS Codes'!$D$2:$K4115,MATCH($B1561,'HS Codes'!$A$2:$A4115,0),MATCH(G$1,'HS Codes'!$D$1:$K$1,0)),"")</f>
        <v>6302600090</v>
      </c>
      <c r="H1561" s="8" t="str">
        <f>_xlfn.IFNA(INDEX('HS Codes'!$D$2:$K4115,MATCH($B1561,'HS Codes'!$A$2:$A4115,0),MATCH(H$1,'HS Codes'!$D$1:$K$1,0)),"")</f>
        <v>6302.93.00.00</v>
      </c>
      <c r="I1561" s="8">
        <f>_xlfn.IFNA(INDEX('HS Codes'!$D$2:$K4115,MATCH($B1561,'HS Codes'!$A$2:$A4115,0),MATCH(I$1,'HS Codes'!$D$1:$K$1,0)),"")</f>
        <v>63029390</v>
      </c>
      <c r="J1561" s="8">
        <f>_xlfn.IFNA(INDEX('HS Codes'!$D$2:$K4115,MATCH($B1561,'HS Codes'!$A$2:$A4115,0),MATCH(J$1,'HS Codes'!$D$1:$K$1,0)),"")</f>
        <v>0</v>
      </c>
      <c r="K1561" s="8" t="str">
        <f>_xlfn.IFNA(INDEX('HS Codes'!$D$2:$K4115,MATCH($B1561,'HS Codes'!$A$2:$A4115,0),MATCH(K$1,'HS Codes'!$D$1:$K$1,0)),"")</f>
        <v>6302.39.00</v>
      </c>
      <c r="L1561" s="8">
        <f>_xlfn.IFNA(INDEX('HS Codes'!$D$2:$K4115,MATCH($B1561,'HS Codes'!$A$2:$A4115,0),MATCH(L$1,'HS Codes'!$D$1:$K$1,0)),"")</f>
        <v>63029120</v>
      </c>
      <c r="M1561" s="8" t="str">
        <f>_xlfn.IFNA(INDEX('HS Codes'!$C$2:$C4115,MATCH($B1561,'HS Codes'!$A$2:$A4115,0)),"")</f>
        <v>Beach Towel - Toilet Linen 100% recycled 220 GSM/83% polyester/17% polyamide includes cotton on the packing pouch drawstring</v>
      </c>
      <c r="N1561" s="9"/>
      <c r="O1561" s="9"/>
      <c r="P1561" s="9"/>
      <c r="Q1561" s="9"/>
    </row>
    <row r="1562" spans="1:17" ht="15.75" customHeight="1">
      <c r="A1562" s="7" t="s">
        <v>1855</v>
      </c>
      <c r="B1562" s="7" t="s">
        <v>164</v>
      </c>
      <c r="C1562" s="7" t="s">
        <v>278</v>
      </c>
      <c r="D1562" s="7" t="s">
        <v>165</v>
      </c>
      <c r="E1562" s="7" t="s">
        <v>348</v>
      </c>
      <c r="F1562" s="8" t="str">
        <f>_xlfn.IFNA(INDEX('HS Codes'!$D$2:$K4116,MATCH($B1562,'HS Codes'!$A$2:$A4116,0),MATCH(F$1,'HS Codes'!$D$1:$K$1,0)),"")</f>
        <v>6302.93.2000</v>
      </c>
      <c r="G1562" s="8">
        <f>_xlfn.IFNA(INDEX('HS Codes'!$D$2:$K4116,MATCH($B1562,'HS Codes'!$A$2:$A4116,0),MATCH(G$1,'HS Codes'!$D$1:$K$1,0)),"")</f>
        <v>6302600090</v>
      </c>
      <c r="H1562" s="8" t="str">
        <f>_xlfn.IFNA(INDEX('HS Codes'!$D$2:$K4116,MATCH($B1562,'HS Codes'!$A$2:$A4116,0),MATCH(H$1,'HS Codes'!$D$1:$K$1,0)),"")</f>
        <v>6302.93.00.00</v>
      </c>
      <c r="I1562" s="8">
        <f>_xlfn.IFNA(INDEX('HS Codes'!$D$2:$K4116,MATCH($B1562,'HS Codes'!$A$2:$A4116,0),MATCH(I$1,'HS Codes'!$D$1:$K$1,0)),"")</f>
        <v>63029390</v>
      </c>
      <c r="J1562" s="8">
        <f>_xlfn.IFNA(INDEX('HS Codes'!$D$2:$K4116,MATCH($B1562,'HS Codes'!$A$2:$A4116,0),MATCH(J$1,'HS Codes'!$D$1:$K$1,0)),"")</f>
        <v>0</v>
      </c>
      <c r="K1562" s="8" t="str">
        <f>_xlfn.IFNA(INDEX('HS Codes'!$D$2:$K4116,MATCH($B1562,'HS Codes'!$A$2:$A4116,0),MATCH(K$1,'HS Codes'!$D$1:$K$1,0)),"")</f>
        <v>6302.39.00</v>
      </c>
      <c r="L1562" s="8">
        <f>_xlfn.IFNA(INDEX('HS Codes'!$D$2:$K4116,MATCH($B1562,'HS Codes'!$A$2:$A4116,0),MATCH(L$1,'HS Codes'!$D$1:$K$1,0)),"")</f>
        <v>63029120</v>
      </c>
      <c r="M1562" s="8" t="str">
        <f>_xlfn.IFNA(INDEX('HS Codes'!$C$2:$C4116,MATCH($B1562,'HS Codes'!$A$2:$A4116,0)),"")</f>
        <v>Beach Towel - Toilet Linen 100% recycled 220 GSM/83% polyester/17% polyamide includes cotton on the packing pouch drawstring</v>
      </c>
      <c r="N1562" s="9"/>
      <c r="O1562" s="9"/>
      <c r="P1562" s="9"/>
      <c r="Q1562" s="9"/>
    </row>
    <row r="1563" spans="1:17" ht="15.75" customHeight="1">
      <c r="A1563" s="7" t="s">
        <v>1856</v>
      </c>
      <c r="B1563" s="7" t="s">
        <v>164</v>
      </c>
      <c r="C1563" s="7" t="s">
        <v>278</v>
      </c>
      <c r="D1563" s="7" t="s">
        <v>165</v>
      </c>
      <c r="E1563" s="7" t="s">
        <v>348</v>
      </c>
      <c r="F1563" s="8" t="str">
        <f>_xlfn.IFNA(INDEX('HS Codes'!$D$2:$K4117,MATCH($B1563,'HS Codes'!$A$2:$A4117,0),MATCH(F$1,'HS Codes'!$D$1:$K$1,0)),"")</f>
        <v>6302.93.2000</v>
      </c>
      <c r="G1563" s="8">
        <f>_xlfn.IFNA(INDEX('HS Codes'!$D$2:$K4117,MATCH($B1563,'HS Codes'!$A$2:$A4117,0),MATCH(G$1,'HS Codes'!$D$1:$K$1,0)),"")</f>
        <v>6302600090</v>
      </c>
      <c r="H1563" s="8" t="str">
        <f>_xlfn.IFNA(INDEX('HS Codes'!$D$2:$K4117,MATCH($B1563,'HS Codes'!$A$2:$A4117,0),MATCH(H$1,'HS Codes'!$D$1:$K$1,0)),"")</f>
        <v>6302.93.00.00</v>
      </c>
      <c r="I1563" s="8">
        <f>_xlfn.IFNA(INDEX('HS Codes'!$D$2:$K4117,MATCH($B1563,'HS Codes'!$A$2:$A4117,0),MATCH(I$1,'HS Codes'!$D$1:$K$1,0)),"")</f>
        <v>63029390</v>
      </c>
      <c r="J1563" s="8">
        <f>_xlfn.IFNA(INDEX('HS Codes'!$D$2:$K4117,MATCH($B1563,'HS Codes'!$A$2:$A4117,0),MATCH(J$1,'HS Codes'!$D$1:$K$1,0)),"")</f>
        <v>0</v>
      </c>
      <c r="K1563" s="8" t="str">
        <f>_xlfn.IFNA(INDEX('HS Codes'!$D$2:$K4117,MATCH($B1563,'HS Codes'!$A$2:$A4117,0),MATCH(K$1,'HS Codes'!$D$1:$K$1,0)),"")</f>
        <v>6302.39.00</v>
      </c>
      <c r="L1563" s="8">
        <f>_xlfn.IFNA(INDEX('HS Codes'!$D$2:$K4117,MATCH($B1563,'HS Codes'!$A$2:$A4117,0),MATCH(L$1,'HS Codes'!$D$1:$K$1,0)),"")</f>
        <v>63029120</v>
      </c>
      <c r="M1563" s="8" t="str">
        <f>_xlfn.IFNA(INDEX('HS Codes'!$C$2:$C4117,MATCH($B1563,'HS Codes'!$A$2:$A4117,0)),"")</f>
        <v>Beach Towel - Toilet Linen 100% recycled 220 GSM/83% polyester/17% polyamide includes cotton on the packing pouch drawstring</v>
      </c>
      <c r="N1563" s="9"/>
      <c r="O1563" s="9"/>
      <c r="P1563" s="9"/>
      <c r="Q1563" s="9"/>
    </row>
    <row r="1564" spans="1:17" ht="15.75" customHeight="1">
      <c r="A1564" s="7" t="s">
        <v>1857</v>
      </c>
      <c r="B1564" s="7" t="s">
        <v>164</v>
      </c>
      <c r="C1564" s="7" t="s">
        <v>278</v>
      </c>
      <c r="D1564" s="7" t="s">
        <v>165</v>
      </c>
      <c r="E1564" s="7" t="s">
        <v>348</v>
      </c>
      <c r="F1564" s="8" t="str">
        <f>_xlfn.IFNA(INDEX('HS Codes'!$D$2:$K4118,MATCH($B1564,'HS Codes'!$A$2:$A4118,0),MATCH(F$1,'HS Codes'!$D$1:$K$1,0)),"")</f>
        <v>6302.93.2000</v>
      </c>
      <c r="G1564" s="8">
        <f>_xlfn.IFNA(INDEX('HS Codes'!$D$2:$K4118,MATCH($B1564,'HS Codes'!$A$2:$A4118,0),MATCH(G$1,'HS Codes'!$D$1:$K$1,0)),"")</f>
        <v>6302600090</v>
      </c>
      <c r="H1564" s="8" t="str">
        <f>_xlfn.IFNA(INDEX('HS Codes'!$D$2:$K4118,MATCH($B1564,'HS Codes'!$A$2:$A4118,0),MATCH(H$1,'HS Codes'!$D$1:$K$1,0)),"")</f>
        <v>6302.93.00.00</v>
      </c>
      <c r="I1564" s="8">
        <f>_xlfn.IFNA(INDEX('HS Codes'!$D$2:$K4118,MATCH($B1564,'HS Codes'!$A$2:$A4118,0),MATCH(I$1,'HS Codes'!$D$1:$K$1,0)),"")</f>
        <v>63029390</v>
      </c>
      <c r="J1564" s="8">
        <f>_xlfn.IFNA(INDEX('HS Codes'!$D$2:$K4118,MATCH($B1564,'HS Codes'!$A$2:$A4118,0),MATCH(J$1,'HS Codes'!$D$1:$K$1,0)),"")</f>
        <v>0</v>
      </c>
      <c r="K1564" s="8" t="str">
        <f>_xlfn.IFNA(INDEX('HS Codes'!$D$2:$K4118,MATCH($B1564,'HS Codes'!$A$2:$A4118,0),MATCH(K$1,'HS Codes'!$D$1:$K$1,0)),"")</f>
        <v>6302.39.00</v>
      </c>
      <c r="L1564" s="8">
        <f>_xlfn.IFNA(INDEX('HS Codes'!$D$2:$K4118,MATCH($B1564,'HS Codes'!$A$2:$A4118,0),MATCH(L$1,'HS Codes'!$D$1:$K$1,0)),"")</f>
        <v>63029120</v>
      </c>
      <c r="M1564" s="8" t="str">
        <f>_xlfn.IFNA(INDEX('HS Codes'!$C$2:$C4118,MATCH($B1564,'HS Codes'!$A$2:$A4118,0)),"")</f>
        <v>Beach Towel - Toilet Linen 100% recycled 220 GSM/83% polyester/17% polyamide includes cotton on the packing pouch drawstring</v>
      </c>
      <c r="N1564" s="9"/>
      <c r="O1564" s="9"/>
      <c r="P1564" s="9"/>
      <c r="Q1564" s="9"/>
    </row>
    <row r="1565" spans="1:17" ht="15.75" customHeight="1">
      <c r="A1565" s="7" t="s">
        <v>1858</v>
      </c>
      <c r="B1565" s="7" t="s">
        <v>164</v>
      </c>
      <c r="C1565" s="7" t="s">
        <v>278</v>
      </c>
      <c r="D1565" s="7" t="s">
        <v>165</v>
      </c>
      <c r="E1565" s="7" t="s">
        <v>348</v>
      </c>
      <c r="F1565" s="8" t="str">
        <f>_xlfn.IFNA(INDEX('HS Codes'!$D$2:$K4119,MATCH($B1565,'HS Codes'!$A$2:$A4119,0),MATCH(F$1,'HS Codes'!$D$1:$K$1,0)),"")</f>
        <v>6302.93.2000</v>
      </c>
      <c r="G1565" s="8">
        <f>_xlfn.IFNA(INDEX('HS Codes'!$D$2:$K4119,MATCH($B1565,'HS Codes'!$A$2:$A4119,0),MATCH(G$1,'HS Codes'!$D$1:$K$1,0)),"")</f>
        <v>6302600090</v>
      </c>
      <c r="H1565" s="8" t="str">
        <f>_xlfn.IFNA(INDEX('HS Codes'!$D$2:$K4119,MATCH($B1565,'HS Codes'!$A$2:$A4119,0),MATCH(H$1,'HS Codes'!$D$1:$K$1,0)),"")</f>
        <v>6302.93.00.00</v>
      </c>
      <c r="I1565" s="8">
        <f>_xlfn.IFNA(INDEX('HS Codes'!$D$2:$K4119,MATCH($B1565,'HS Codes'!$A$2:$A4119,0),MATCH(I$1,'HS Codes'!$D$1:$K$1,0)),"")</f>
        <v>63029390</v>
      </c>
      <c r="J1565" s="8">
        <f>_xlfn.IFNA(INDEX('HS Codes'!$D$2:$K4119,MATCH($B1565,'HS Codes'!$A$2:$A4119,0),MATCH(J$1,'HS Codes'!$D$1:$K$1,0)),"")</f>
        <v>0</v>
      </c>
      <c r="K1565" s="8" t="str">
        <f>_xlfn.IFNA(INDEX('HS Codes'!$D$2:$K4119,MATCH($B1565,'HS Codes'!$A$2:$A4119,0),MATCH(K$1,'HS Codes'!$D$1:$K$1,0)),"")</f>
        <v>6302.39.00</v>
      </c>
      <c r="L1565" s="8">
        <f>_xlfn.IFNA(INDEX('HS Codes'!$D$2:$K4119,MATCH($B1565,'HS Codes'!$A$2:$A4119,0),MATCH(L$1,'HS Codes'!$D$1:$K$1,0)),"")</f>
        <v>63029120</v>
      </c>
      <c r="M1565" s="8" t="str">
        <f>_xlfn.IFNA(INDEX('HS Codes'!$C$2:$C4119,MATCH($B1565,'HS Codes'!$A$2:$A4119,0)),"")</f>
        <v>Beach Towel - Toilet Linen 100% recycled 220 GSM/83% polyester/17% polyamide includes cotton on the packing pouch drawstring</v>
      </c>
      <c r="N1565" s="9"/>
      <c r="O1565" s="9"/>
      <c r="P1565" s="9"/>
      <c r="Q1565" s="9"/>
    </row>
    <row r="1566" spans="1:17" ht="15.75" customHeight="1">
      <c r="A1566" s="7" t="s">
        <v>1859</v>
      </c>
      <c r="B1566" s="7" t="s">
        <v>112</v>
      </c>
      <c r="C1566" s="7"/>
      <c r="D1566" s="7" t="s">
        <v>113</v>
      </c>
      <c r="E1566" s="7" t="s">
        <v>122</v>
      </c>
      <c r="F1566" s="8" t="str">
        <f>_xlfn.IFNA(INDEX('HS Codes'!$D$2:$K4120,MATCH($B1566,'HS Codes'!$A$2:$A4120,0),MATCH(F$1,'HS Codes'!$D$1:$K$1,0)),"")</f>
        <v>6504.00.90.15</v>
      </c>
      <c r="G1566" s="8">
        <f>_xlfn.IFNA(INDEX('HS Codes'!$D$2:$K4120,MATCH($B1566,'HS Codes'!$A$2:$A4120,0),MATCH(G$1,'HS Codes'!$D$1:$K$1,0)),"")</f>
        <v>6505009090</v>
      </c>
      <c r="H1566" s="8" t="str">
        <f>_xlfn.IFNA(INDEX('HS Codes'!$D$2:$K4120,MATCH($B1566,'HS Codes'!$A$2:$A4120,0),MATCH(H$1,'HS Codes'!$D$1:$K$1,0)),"")</f>
        <v>6505.00.40.00</v>
      </c>
      <c r="I1566" s="8" t="str">
        <f>_xlfn.IFNA(INDEX('HS Codes'!$D$2:$K4120,MATCH($B1566,'HS Codes'!$A$2:$A4120,0),MATCH(I$1,'HS Codes'!$D$1:$K$1,0)),"")</f>
        <v>6505.00.90.90</v>
      </c>
      <c r="J1566" s="8">
        <f>_xlfn.IFNA(INDEX('HS Codes'!$D$2:$K4120,MATCH($B1566,'HS Codes'!$A$2:$A4120,0),MATCH(J$1,'HS Codes'!$D$1:$K$1,0)),"")</f>
        <v>0</v>
      </c>
      <c r="K1566" s="8" t="str">
        <f>_xlfn.IFNA(INDEX('HS Codes'!$D$2:$K4120,MATCH($B1566,'HS Codes'!$A$2:$A4120,0),MATCH(K$1,'HS Codes'!$D$1:$K$1,0)),"")</f>
        <v>6505.00.90</v>
      </c>
      <c r="L1566" s="8">
        <f>_xlfn.IFNA(INDEX('HS Codes'!$D$2:$K4120,MATCH($B1566,'HS Codes'!$A$2:$A4120,0),MATCH(L$1,'HS Codes'!$D$1:$K$1,0)),"")</f>
        <v>0</v>
      </c>
      <c r="M1566" s="8" t="str">
        <f>_xlfn.IFNA(INDEX('HS Codes'!$C$2:$C4120,MATCH($B1566,'HS Codes'!$A$2:$A4120,0)),"")</f>
        <v>Makeup Wipe (100% recycled polyester), Hair Towel (100% recycled 200 GSM/83% polyester/17% polyamide) (no cotton)</v>
      </c>
      <c r="N1566" s="9"/>
      <c r="O1566" s="9"/>
      <c r="P1566" s="9"/>
      <c r="Q1566" s="9"/>
    </row>
    <row r="1567" spans="1:17" ht="15.75" customHeight="1">
      <c r="A1567" s="7" t="s">
        <v>1860</v>
      </c>
      <c r="B1567" s="7" t="s">
        <v>199</v>
      </c>
      <c r="C1567" s="7"/>
      <c r="D1567" s="7" t="s">
        <v>200</v>
      </c>
      <c r="E1567" s="7" t="s">
        <v>322</v>
      </c>
      <c r="F1567" s="8" t="str">
        <f>_xlfn.IFNA(INDEX('HS Codes'!$D$2:$K4121,MATCH($B1567,'HS Codes'!$A$2:$A4121,0),MATCH(F$1,'HS Codes'!$D$1:$K$1,0)),"")</f>
        <v>6504.00.90.15</v>
      </c>
      <c r="G1567" s="8">
        <f>_xlfn.IFNA(INDEX('HS Codes'!$D$2:$K4121,MATCH($B1567,'HS Codes'!$A$2:$A4121,0),MATCH(G$1,'HS Codes'!$D$1:$K$1,0)),"")</f>
        <v>6505009090</v>
      </c>
      <c r="H1567" s="8" t="str">
        <f>_xlfn.IFNA(INDEX('HS Codes'!$D$2:$K4121,MATCH($B1567,'HS Codes'!$A$2:$A4121,0),MATCH(H$1,'HS Codes'!$D$1:$K$1,0)),"")</f>
        <v>6505.00.40.00</v>
      </c>
      <c r="I1567" s="8" t="str">
        <f>_xlfn.IFNA(INDEX('HS Codes'!$D$2:$K4121,MATCH($B1567,'HS Codes'!$A$2:$A4121,0),MATCH(I$1,'HS Codes'!$D$1:$K$1,0)),"")</f>
        <v>6505.00.90.90</v>
      </c>
      <c r="J1567" s="8">
        <f>_xlfn.IFNA(INDEX('HS Codes'!$D$2:$K4121,MATCH($B1567,'HS Codes'!$A$2:$A4121,0),MATCH(J$1,'HS Codes'!$D$1:$K$1,0)),"")</f>
        <v>0</v>
      </c>
      <c r="K1567" s="8" t="str">
        <f>_xlfn.IFNA(INDEX('HS Codes'!$D$2:$K4121,MATCH($B1567,'HS Codes'!$A$2:$A4121,0),MATCH(K$1,'HS Codes'!$D$1:$K$1,0)),"")</f>
        <v>6505.00.90</v>
      </c>
      <c r="L1567" s="8">
        <f>_xlfn.IFNA(INDEX('HS Codes'!$D$2:$K4121,MATCH($B1567,'HS Codes'!$A$2:$A4121,0),MATCH(L$1,'HS Codes'!$D$1:$K$1,0)),"")</f>
        <v>0</v>
      </c>
      <c r="M1567" s="8">
        <f>_xlfn.IFNA(INDEX('HS Codes'!$C$2:$C4121,MATCH($B1567,'HS Codes'!$A$2:$A4121,0)),"")</f>
        <v>0</v>
      </c>
      <c r="N1567" s="9"/>
      <c r="O1567" s="9"/>
      <c r="P1567" s="9"/>
      <c r="Q1567" s="9"/>
    </row>
    <row r="1568" spans="1:17" ht="15.75" customHeight="1">
      <c r="A1568" s="7" t="s">
        <v>1861</v>
      </c>
      <c r="B1568" s="7" t="s">
        <v>199</v>
      </c>
      <c r="C1568" s="7"/>
      <c r="D1568" s="7" t="s">
        <v>200</v>
      </c>
      <c r="E1568" s="7" t="s">
        <v>322</v>
      </c>
      <c r="F1568" s="8" t="str">
        <f>_xlfn.IFNA(INDEX('HS Codes'!$D$2:$K4122,MATCH($B1568,'HS Codes'!$A$2:$A4122,0),MATCH(F$1,'HS Codes'!$D$1:$K$1,0)),"")</f>
        <v>6504.00.90.15</v>
      </c>
      <c r="G1568" s="8">
        <f>_xlfn.IFNA(INDEX('HS Codes'!$D$2:$K4122,MATCH($B1568,'HS Codes'!$A$2:$A4122,0),MATCH(G$1,'HS Codes'!$D$1:$K$1,0)),"")</f>
        <v>6505009090</v>
      </c>
      <c r="H1568" s="8" t="str">
        <f>_xlfn.IFNA(INDEX('HS Codes'!$D$2:$K4122,MATCH($B1568,'HS Codes'!$A$2:$A4122,0),MATCH(H$1,'HS Codes'!$D$1:$K$1,0)),"")</f>
        <v>6505.00.40.00</v>
      </c>
      <c r="I1568" s="8" t="str">
        <f>_xlfn.IFNA(INDEX('HS Codes'!$D$2:$K4122,MATCH($B1568,'HS Codes'!$A$2:$A4122,0),MATCH(I$1,'HS Codes'!$D$1:$K$1,0)),"")</f>
        <v>6505.00.90.90</v>
      </c>
      <c r="J1568" s="8">
        <f>_xlfn.IFNA(INDEX('HS Codes'!$D$2:$K4122,MATCH($B1568,'HS Codes'!$A$2:$A4122,0),MATCH(J$1,'HS Codes'!$D$1:$K$1,0)),"")</f>
        <v>0</v>
      </c>
      <c r="K1568" s="8" t="str">
        <f>_xlfn.IFNA(INDEX('HS Codes'!$D$2:$K4122,MATCH($B1568,'HS Codes'!$A$2:$A4122,0),MATCH(K$1,'HS Codes'!$D$1:$K$1,0)),"")</f>
        <v>6505.00.90</v>
      </c>
      <c r="L1568" s="8">
        <f>_xlfn.IFNA(INDEX('HS Codes'!$D$2:$K4122,MATCH($B1568,'HS Codes'!$A$2:$A4122,0),MATCH(L$1,'HS Codes'!$D$1:$K$1,0)),"")</f>
        <v>0</v>
      </c>
      <c r="M1568" s="8">
        <f>_xlfn.IFNA(INDEX('HS Codes'!$C$2:$C4122,MATCH($B1568,'HS Codes'!$A$2:$A4122,0)),"")</f>
        <v>0</v>
      </c>
      <c r="N1568" s="9"/>
      <c r="O1568" s="9"/>
      <c r="P1568" s="9"/>
      <c r="Q1568" s="9"/>
    </row>
    <row r="1569" spans="1:17" ht="15.75" customHeight="1">
      <c r="A1569" s="7" t="s">
        <v>1862</v>
      </c>
      <c r="B1569" s="7" t="s">
        <v>199</v>
      </c>
      <c r="C1569" s="7"/>
      <c r="D1569" s="7" t="s">
        <v>200</v>
      </c>
      <c r="E1569" s="7" t="s">
        <v>322</v>
      </c>
      <c r="F1569" s="8" t="str">
        <f>_xlfn.IFNA(INDEX('HS Codes'!$D$2:$K4123,MATCH($B1569,'HS Codes'!$A$2:$A4123,0),MATCH(F$1,'HS Codes'!$D$1:$K$1,0)),"")</f>
        <v>6504.00.90.15</v>
      </c>
      <c r="G1569" s="8">
        <f>_xlfn.IFNA(INDEX('HS Codes'!$D$2:$K4123,MATCH($B1569,'HS Codes'!$A$2:$A4123,0),MATCH(G$1,'HS Codes'!$D$1:$K$1,0)),"")</f>
        <v>6505009090</v>
      </c>
      <c r="H1569" s="8" t="str">
        <f>_xlfn.IFNA(INDEX('HS Codes'!$D$2:$K4123,MATCH($B1569,'HS Codes'!$A$2:$A4123,0),MATCH(H$1,'HS Codes'!$D$1:$K$1,0)),"")</f>
        <v>6505.00.40.00</v>
      </c>
      <c r="I1569" s="8" t="str">
        <f>_xlfn.IFNA(INDEX('HS Codes'!$D$2:$K4123,MATCH($B1569,'HS Codes'!$A$2:$A4123,0),MATCH(I$1,'HS Codes'!$D$1:$K$1,0)),"")</f>
        <v>6505.00.90.90</v>
      </c>
      <c r="J1569" s="8">
        <f>_xlfn.IFNA(INDEX('HS Codes'!$D$2:$K4123,MATCH($B1569,'HS Codes'!$A$2:$A4123,0),MATCH(J$1,'HS Codes'!$D$1:$K$1,0)),"")</f>
        <v>0</v>
      </c>
      <c r="K1569" s="8" t="str">
        <f>_xlfn.IFNA(INDEX('HS Codes'!$D$2:$K4123,MATCH($B1569,'HS Codes'!$A$2:$A4123,0),MATCH(K$1,'HS Codes'!$D$1:$K$1,0)),"")</f>
        <v>6505.00.90</v>
      </c>
      <c r="L1569" s="8">
        <f>_xlfn.IFNA(INDEX('HS Codes'!$D$2:$K4123,MATCH($B1569,'HS Codes'!$A$2:$A4123,0),MATCH(L$1,'HS Codes'!$D$1:$K$1,0)),"")</f>
        <v>0</v>
      </c>
      <c r="M1569" s="8">
        <f>_xlfn.IFNA(INDEX('HS Codes'!$C$2:$C4123,MATCH($B1569,'HS Codes'!$A$2:$A4123,0)),"")</f>
        <v>0</v>
      </c>
      <c r="N1569" s="9"/>
      <c r="O1569" s="9"/>
      <c r="P1569" s="9"/>
      <c r="Q1569" s="9"/>
    </row>
    <row r="1570" spans="1:17" ht="15.75" customHeight="1">
      <c r="A1570" s="7" t="s">
        <v>1863</v>
      </c>
      <c r="B1570" s="7" t="s">
        <v>119</v>
      </c>
      <c r="C1570" s="7"/>
      <c r="D1570" s="7" t="s">
        <v>113</v>
      </c>
      <c r="E1570" s="7" t="s">
        <v>122</v>
      </c>
      <c r="F1570" s="8" t="str">
        <f>_xlfn.IFNA(INDEX('HS Codes'!$D$2:$K4124,MATCH($B1570,'HS Codes'!$A$2:$A4124,0),MATCH(F$1,'HS Codes'!$D$1:$K$1,0)),"")</f>
        <v>6504.00.90.15</v>
      </c>
      <c r="G1570" s="8">
        <f>_xlfn.IFNA(INDEX('HS Codes'!$D$2:$K4124,MATCH($B1570,'HS Codes'!$A$2:$A4124,0),MATCH(G$1,'HS Codes'!$D$1:$K$1,0)),"")</f>
        <v>6505009090</v>
      </c>
      <c r="H1570" s="8" t="str">
        <f>_xlfn.IFNA(INDEX('HS Codes'!$D$2:$K4124,MATCH($B1570,'HS Codes'!$A$2:$A4124,0),MATCH(H$1,'HS Codes'!$D$1:$K$1,0)),"")</f>
        <v>6505.00.40.00</v>
      </c>
      <c r="I1570" s="8" t="str">
        <f>_xlfn.IFNA(INDEX('HS Codes'!$D$2:$K4124,MATCH($B1570,'HS Codes'!$A$2:$A4124,0),MATCH(I$1,'HS Codes'!$D$1:$K$1,0)),"")</f>
        <v>6505.00.90.90</v>
      </c>
      <c r="J1570" s="8">
        <f>_xlfn.IFNA(INDEX('HS Codes'!$D$2:$K4124,MATCH($B1570,'HS Codes'!$A$2:$A4124,0),MATCH(J$1,'HS Codes'!$D$1:$K$1,0)),"")</f>
        <v>0</v>
      </c>
      <c r="K1570" s="8" t="str">
        <f>_xlfn.IFNA(INDEX('HS Codes'!$D$2:$K4124,MATCH($B1570,'HS Codes'!$A$2:$A4124,0),MATCH(K$1,'HS Codes'!$D$1:$K$1,0)),"")</f>
        <v>6505.00.90</v>
      </c>
      <c r="L1570" s="8">
        <f>_xlfn.IFNA(INDEX('HS Codes'!$D$2:$K4124,MATCH($B1570,'HS Codes'!$A$2:$A4124,0),MATCH(L$1,'HS Codes'!$D$1:$K$1,0)),"")</f>
        <v>0</v>
      </c>
      <c r="M1570" s="8" t="str">
        <f>_xlfn.IFNA(INDEX('HS Codes'!$C$2:$C4124,MATCH($B1570,'HS Codes'!$A$2:$A4124,0)),"")</f>
        <v>Makeup Remover (100% recycled polyester), Hairwrap (100% recycled 200 GSM/83% polyester/17% polyamide) (no cotton)</v>
      </c>
      <c r="N1570" s="9"/>
      <c r="O1570" s="9"/>
      <c r="P1570" s="9"/>
      <c r="Q1570" s="9"/>
    </row>
    <row r="1571" spans="1:17" ht="15.75" customHeight="1">
      <c r="A1571" s="7" t="s">
        <v>1864</v>
      </c>
      <c r="B1571" s="7" t="s">
        <v>112</v>
      </c>
      <c r="C1571" s="7"/>
      <c r="D1571" s="7" t="s">
        <v>113</v>
      </c>
      <c r="E1571" s="7" t="s">
        <v>122</v>
      </c>
      <c r="F1571" s="8" t="str">
        <f>_xlfn.IFNA(INDEX('HS Codes'!$D$2:$K4125,MATCH($B1571,'HS Codes'!$A$2:$A4125,0),MATCH(F$1,'HS Codes'!$D$1:$K$1,0)),"")</f>
        <v>6504.00.90.15</v>
      </c>
      <c r="G1571" s="8">
        <f>_xlfn.IFNA(INDEX('HS Codes'!$D$2:$K4125,MATCH($B1571,'HS Codes'!$A$2:$A4125,0),MATCH(G$1,'HS Codes'!$D$1:$K$1,0)),"")</f>
        <v>6505009090</v>
      </c>
      <c r="H1571" s="8" t="str">
        <f>_xlfn.IFNA(INDEX('HS Codes'!$D$2:$K4125,MATCH($B1571,'HS Codes'!$A$2:$A4125,0),MATCH(H$1,'HS Codes'!$D$1:$K$1,0)),"")</f>
        <v>6505.00.40.00</v>
      </c>
      <c r="I1571" s="8" t="str">
        <f>_xlfn.IFNA(INDEX('HS Codes'!$D$2:$K4125,MATCH($B1571,'HS Codes'!$A$2:$A4125,0),MATCH(I$1,'HS Codes'!$D$1:$K$1,0)),"")</f>
        <v>6505.00.90.90</v>
      </c>
      <c r="J1571" s="8">
        <f>_xlfn.IFNA(INDEX('HS Codes'!$D$2:$K4125,MATCH($B1571,'HS Codes'!$A$2:$A4125,0),MATCH(J$1,'HS Codes'!$D$1:$K$1,0)),"")</f>
        <v>0</v>
      </c>
      <c r="K1571" s="8" t="str">
        <f>_xlfn.IFNA(INDEX('HS Codes'!$D$2:$K4125,MATCH($B1571,'HS Codes'!$A$2:$A4125,0),MATCH(K$1,'HS Codes'!$D$1:$K$1,0)),"")</f>
        <v>6505.00.90</v>
      </c>
      <c r="L1571" s="8">
        <f>_xlfn.IFNA(INDEX('HS Codes'!$D$2:$K4125,MATCH($B1571,'HS Codes'!$A$2:$A4125,0),MATCH(L$1,'HS Codes'!$D$1:$K$1,0)),"")</f>
        <v>0</v>
      </c>
      <c r="M1571" s="8" t="str">
        <f>_xlfn.IFNA(INDEX('HS Codes'!$C$2:$C4125,MATCH($B1571,'HS Codes'!$A$2:$A4125,0)),"")</f>
        <v>Makeup Wipe (100% recycled polyester), Hair Towel (100% recycled 200 GSM/83% polyester/17% polyamide) (no cotton)</v>
      </c>
      <c r="N1571" s="9"/>
      <c r="O1571" s="9"/>
      <c r="P1571" s="9"/>
      <c r="Q1571" s="9"/>
    </row>
    <row r="1572" spans="1:17" ht="15.75" customHeight="1">
      <c r="A1572" s="7" t="s">
        <v>1865</v>
      </c>
      <c r="B1572" s="7" t="s">
        <v>129</v>
      </c>
      <c r="C1572" s="7" t="s">
        <v>278</v>
      </c>
      <c r="D1572" s="7" t="s">
        <v>130</v>
      </c>
      <c r="E1572" s="7" t="s">
        <v>360</v>
      </c>
      <c r="F1572" s="8" t="str">
        <f>_xlfn.IFNA(INDEX('HS Codes'!$D$2:$K4126,MATCH($B1572,'HS Codes'!$A$2:$A4126,0),MATCH(F$1,'HS Codes'!$D$1:$K$1,0)),"")</f>
        <v>6504.00.90.15</v>
      </c>
      <c r="G1572" s="8">
        <f>_xlfn.IFNA(INDEX('HS Codes'!$D$2:$K4126,MATCH($B1572,'HS Codes'!$A$2:$A4126,0),MATCH(G$1,'HS Codes'!$D$1:$K$1,0)),"")</f>
        <v>6505009090</v>
      </c>
      <c r="H1572" s="8" t="str">
        <f>_xlfn.IFNA(INDEX('HS Codes'!$D$2:$K4126,MATCH($B1572,'HS Codes'!$A$2:$A4126,0),MATCH(H$1,'HS Codes'!$D$1:$K$1,0)),"")</f>
        <v>6505.00.40.00</v>
      </c>
      <c r="I1572" s="8" t="str">
        <f>_xlfn.IFNA(INDEX('HS Codes'!$D$2:$K4126,MATCH($B1572,'HS Codes'!$A$2:$A4126,0),MATCH(I$1,'HS Codes'!$D$1:$K$1,0)),"")</f>
        <v>6505.00.90.90</v>
      </c>
      <c r="J1572" s="8">
        <f>_xlfn.IFNA(INDEX('HS Codes'!$D$2:$K4126,MATCH($B1572,'HS Codes'!$A$2:$A4126,0),MATCH(J$1,'HS Codes'!$D$1:$K$1,0)),"")</f>
        <v>0</v>
      </c>
      <c r="K1572" s="8" t="str">
        <f>_xlfn.IFNA(INDEX('HS Codes'!$D$2:$K4126,MATCH($B1572,'HS Codes'!$A$2:$A4126,0),MATCH(K$1,'HS Codes'!$D$1:$K$1,0)),"")</f>
        <v>6505.00.90</v>
      </c>
      <c r="L1572" s="8">
        <f>_xlfn.IFNA(INDEX('HS Codes'!$D$2:$K4126,MATCH($B1572,'HS Codes'!$A$2:$A4126,0),MATCH(L$1,'HS Codes'!$D$1:$K$1,0)),"")</f>
        <v>0</v>
      </c>
      <c r="M1572" s="8" t="str">
        <f>_xlfn.IFNA(INDEX('HS Codes'!$C$2:$C4126,MATCH($B1572,'HS Codes'!$A$2:$A4126,0)),"")</f>
        <v>Head Towel 100% recycled 200 GSM/83% polyester/17% polyamide (no cotton)</v>
      </c>
      <c r="N1572" s="9"/>
      <c r="O1572" s="9"/>
      <c r="P1572" s="9"/>
      <c r="Q1572" s="9"/>
    </row>
    <row r="1573" spans="1:17" ht="15.75" customHeight="1">
      <c r="A1573" s="7" t="s">
        <v>1866</v>
      </c>
      <c r="B1573" s="7" t="s">
        <v>129</v>
      </c>
      <c r="C1573" s="7" t="s">
        <v>278</v>
      </c>
      <c r="D1573" s="7" t="s">
        <v>130</v>
      </c>
      <c r="E1573" s="7" t="s">
        <v>360</v>
      </c>
      <c r="F1573" s="8" t="str">
        <f>_xlfn.IFNA(INDEX('HS Codes'!$D$2:$K4127,MATCH($B1573,'HS Codes'!$A$2:$A4127,0),MATCH(F$1,'HS Codes'!$D$1:$K$1,0)),"")</f>
        <v>6504.00.90.15</v>
      </c>
      <c r="G1573" s="8">
        <f>_xlfn.IFNA(INDEX('HS Codes'!$D$2:$K4127,MATCH($B1573,'HS Codes'!$A$2:$A4127,0),MATCH(G$1,'HS Codes'!$D$1:$K$1,0)),"")</f>
        <v>6505009090</v>
      </c>
      <c r="H1573" s="8" t="str">
        <f>_xlfn.IFNA(INDEX('HS Codes'!$D$2:$K4127,MATCH($B1573,'HS Codes'!$A$2:$A4127,0),MATCH(H$1,'HS Codes'!$D$1:$K$1,0)),"")</f>
        <v>6505.00.40.00</v>
      </c>
      <c r="I1573" s="8" t="str">
        <f>_xlfn.IFNA(INDEX('HS Codes'!$D$2:$K4127,MATCH($B1573,'HS Codes'!$A$2:$A4127,0),MATCH(I$1,'HS Codes'!$D$1:$K$1,0)),"")</f>
        <v>6505.00.90.90</v>
      </c>
      <c r="J1573" s="8">
        <f>_xlfn.IFNA(INDEX('HS Codes'!$D$2:$K4127,MATCH($B1573,'HS Codes'!$A$2:$A4127,0),MATCH(J$1,'HS Codes'!$D$1:$K$1,0)),"")</f>
        <v>0</v>
      </c>
      <c r="K1573" s="8" t="str">
        <f>_xlfn.IFNA(INDEX('HS Codes'!$D$2:$K4127,MATCH($B1573,'HS Codes'!$A$2:$A4127,0),MATCH(K$1,'HS Codes'!$D$1:$K$1,0)),"")</f>
        <v>6505.00.90</v>
      </c>
      <c r="L1573" s="8">
        <f>_xlfn.IFNA(INDEX('HS Codes'!$D$2:$K4127,MATCH($B1573,'HS Codes'!$A$2:$A4127,0),MATCH(L$1,'HS Codes'!$D$1:$K$1,0)),"")</f>
        <v>0</v>
      </c>
      <c r="M1573" s="8" t="str">
        <f>_xlfn.IFNA(INDEX('HS Codes'!$C$2:$C4127,MATCH($B1573,'HS Codes'!$A$2:$A4127,0)),"")</f>
        <v>Head Towel 100% recycled 200 GSM/83% polyester/17% polyamide (no cotton)</v>
      </c>
      <c r="N1573" s="9"/>
      <c r="O1573" s="9"/>
      <c r="P1573" s="9"/>
      <c r="Q1573" s="9"/>
    </row>
    <row r="1574" spans="1:17" ht="15.75" customHeight="1">
      <c r="A1574" s="7" t="s">
        <v>1867</v>
      </c>
      <c r="B1574" s="7" t="s">
        <v>126</v>
      </c>
      <c r="C1574" s="7" t="s">
        <v>278</v>
      </c>
      <c r="D1574" s="7" t="s">
        <v>127</v>
      </c>
      <c r="E1574" s="7" t="s">
        <v>360</v>
      </c>
      <c r="F1574" s="8" t="str">
        <f>_xlfn.IFNA(INDEX('HS Codes'!$D$2:$K4128,MATCH($B1574,'HS Codes'!$A$2:$A4128,0),MATCH(F$1,'HS Codes'!$D$1:$K$1,0)),"")</f>
        <v>6504.00.90.15</v>
      </c>
      <c r="G1574" s="8">
        <f>_xlfn.IFNA(INDEX('HS Codes'!$D$2:$K4128,MATCH($B1574,'HS Codes'!$A$2:$A4128,0),MATCH(G$1,'HS Codes'!$D$1:$K$1,0)),"")</f>
        <v>6505009090</v>
      </c>
      <c r="H1574" s="8" t="str">
        <f>_xlfn.IFNA(INDEX('HS Codes'!$D$2:$K4128,MATCH($B1574,'HS Codes'!$A$2:$A4128,0),MATCH(H$1,'HS Codes'!$D$1:$K$1,0)),"")</f>
        <v>6505.00.40.00</v>
      </c>
      <c r="I1574" s="8" t="str">
        <f>_xlfn.IFNA(INDEX('HS Codes'!$D$2:$K4128,MATCH($B1574,'HS Codes'!$A$2:$A4128,0),MATCH(I$1,'HS Codes'!$D$1:$K$1,0)),"")</f>
        <v>6505.00.90.90</v>
      </c>
      <c r="J1574" s="8">
        <f>_xlfn.IFNA(INDEX('HS Codes'!$D$2:$K4128,MATCH($B1574,'HS Codes'!$A$2:$A4128,0),MATCH(J$1,'HS Codes'!$D$1:$K$1,0)),"")</f>
        <v>0</v>
      </c>
      <c r="K1574" s="8" t="str">
        <f>_xlfn.IFNA(INDEX('HS Codes'!$D$2:$K4128,MATCH($B1574,'HS Codes'!$A$2:$A4128,0),MATCH(K$1,'HS Codes'!$D$1:$K$1,0)),"")</f>
        <v>6505.00.90</v>
      </c>
      <c r="L1574" s="8">
        <f>_xlfn.IFNA(INDEX('HS Codes'!$D$2:$K4128,MATCH($B1574,'HS Codes'!$A$2:$A4128,0),MATCH(L$1,'HS Codes'!$D$1:$K$1,0)),"")</f>
        <v>6507</v>
      </c>
      <c r="M1574" s="8" t="str">
        <f>_xlfn.IFNA(INDEX('HS Codes'!$C$2:$C4128,MATCH($B1574,'HS Codes'!$A$2:$A4128,0)),"")</f>
        <v>Head Towel 100% recycled 340 GSM/83% polyester/17% polyamide (no cotton)</v>
      </c>
      <c r="N1574" s="9"/>
      <c r="O1574" s="9"/>
      <c r="P1574" s="9"/>
      <c r="Q1574" s="9"/>
    </row>
    <row r="1575" spans="1:17" ht="15.75" customHeight="1">
      <c r="A1575" s="7" t="s">
        <v>1868</v>
      </c>
      <c r="B1575" s="7" t="s">
        <v>129</v>
      </c>
      <c r="C1575" s="7" t="s">
        <v>278</v>
      </c>
      <c r="D1575" s="7" t="s">
        <v>130</v>
      </c>
      <c r="E1575" s="7" t="s">
        <v>360</v>
      </c>
      <c r="F1575" s="8" t="str">
        <f>_xlfn.IFNA(INDEX('HS Codes'!$D$2:$K4129,MATCH($B1575,'HS Codes'!$A$2:$A4129,0),MATCH(F$1,'HS Codes'!$D$1:$K$1,0)),"")</f>
        <v>6504.00.90.15</v>
      </c>
      <c r="G1575" s="8">
        <f>_xlfn.IFNA(INDEX('HS Codes'!$D$2:$K4129,MATCH($B1575,'HS Codes'!$A$2:$A4129,0),MATCH(G$1,'HS Codes'!$D$1:$K$1,0)),"")</f>
        <v>6505009090</v>
      </c>
      <c r="H1575" s="8" t="str">
        <f>_xlfn.IFNA(INDEX('HS Codes'!$D$2:$K4129,MATCH($B1575,'HS Codes'!$A$2:$A4129,0),MATCH(H$1,'HS Codes'!$D$1:$K$1,0)),"")</f>
        <v>6505.00.40.00</v>
      </c>
      <c r="I1575" s="8" t="str">
        <f>_xlfn.IFNA(INDEX('HS Codes'!$D$2:$K4129,MATCH($B1575,'HS Codes'!$A$2:$A4129,0),MATCH(I$1,'HS Codes'!$D$1:$K$1,0)),"")</f>
        <v>6505.00.90.90</v>
      </c>
      <c r="J1575" s="8">
        <f>_xlfn.IFNA(INDEX('HS Codes'!$D$2:$K4129,MATCH($B1575,'HS Codes'!$A$2:$A4129,0),MATCH(J$1,'HS Codes'!$D$1:$K$1,0)),"")</f>
        <v>0</v>
      </c>
      <c r="K1575" s="8" t="str">
        <f>_xlfn.IFNA(INDEX('HS Codes'!$D$2:$K4129,MATCH($B1575,'HS Codes'!$A$2:$A4129,0),MATCH(K$1,'HS Codes'!$D$1:$K$1,0)),"")</f>
        <v>6505.00.90</v>
      </c>
      <c r="L1575" s="8">
        <f>_xlfn.IFNA(INDEX('HS Codes'!$D$2:$K4129,MATCH($B1575,'HS Codes'!$A$2:$A4129,0),MATCH(L$1,'HS Codes'!$D$1:$K$1,0)),"")</f>
        <v>0</v>
      </c>
      <c r="M1575" s="8" t="str">
        <f>_xlfn.IFNA(INDEX('HS Codes'!$C$2:$C4129,MATCH($B1575,'HS Codes'!$A$2:$A4129,0)),"")</f>
        <v>Head Towel 100% recycled 200 GSM/83% polyester/17% polyamide (no cotton)</v>
      </c>
      <c r="N1575" s="9"/>
      <c r="O1575" s="9"/>
      <c r="P1575" s="9"/>
      <c r="Q1575" s="9"/>
    </row>
    <row r="1576" spans="1:17" ht="15.75" customHeight="1">
      <c r="A1576" s="7" t="s">
        <v>1869</v>
      </c>
      <c r="B1576" s="7" t="s">
        <v>129</v>
      </c>
      <c r="C1576" s="7" t="s">
        <v>278</v>
      </c>
      <c r="D1576" s="7" t="s">
        <v>130</v>
      </c>
      <c r="E1576" s="7" t="s">
        <v>360</v>
      </c>
      <c r="F1576" s="8" t="str">
        <f>_xlfn.IFNA(INDEX('HS Codes'!$D$2:$K4130,MATCH($B1576,'HS Codes'!$A$2:$A4130,0),MATCH(F$1,'HS Codes'!$D$1:$K$1,0)),"")</f>
        <v>6504.00.90.15</v>
      </c>
      <c r="G1576" s="8">
        <f>_xlfn.IFNA(INDEX('HS Codes'!$D$2:$K4130,MATCH($B1576,'HS Codes'!$A$2:$A4130,0),MATCH(G$1,'HS Codes'!$D$1:$K$1,0)),"")</f>
        <v>6505009090</v>
      </c>
      <c r="H1576" s="8" t="str">
        <f>_xlfn.IFNA(INDEX('HS Codes'!$D$2:$K4130,MATCH($B1576,'HS Codes'!$A$2:$A4130,0),MATCH(H$1,'HS Codes'!$D$1:$K$1,0)),"")</f>
        <v>6505.00.40.00</v>
      </c>
      <c r="I1576" s="8" t="str">
        <f>_xlfn.IFNA(INDEX('HS Codes'!$D$2:$K4130,MATCH($B1576,'HS Codes'!$A$2:$A4130,0),MATCH(I$1,'HS Codes'!$D$1:$K$1,0)),"")</f>
        <v>6505.00.90.90</v>
      </c>
      <c r="J1576" s="8">
        <f>_xlfn.IFNA(INDEX('HS Codes'!$D$2:$K4130,MATCH($B1576,'HS Codes'!$A$2:$A4130,0),MATCH(J$1,'HS Codes'!$D$1:$K$1,0)),"")</f>
        <v>0</v>
      </c>
      <c r="K1576" s="8" t="str">
        <f>_xlfn.IFNA(INDEX('HS Codes'!$D$2:$K4130,MATCH($B1576,'HS Codes'!$A$2:$A4130,0),MATCH(K$1,'HS Codes'!$D$1:$K$1,0)),"")</f>
        <v>6505.00.90</v>
      </c>
      <c r="L1576" s="8">
        <f>_xlfn.IFNA(INDEX('HS Codes'!$D$2:$K4130,MATCH($B1576,'HS Codes'!$A$2:$A4130,0),MATCH(L$1,'HS Codes'!$D$1:$K$1,0)),"")</f>
        <v>0</v>
      </c>
      <c r="M1576" s="8" t="str">
        <f>_xlfn.IFNA(INDEX('HS Codes'!$C$2:$C4130,MATCH($B1576,'HS Codes'!$A$2:$A4130,0)),"")</f>
        <v>Head Towel 100% recycled 200 GSM/83% polyester/17% polyamide (no cotton)</v>
      </c>
      <c r="N1576" s="9"/>
      <c r="O1576" s="9"/>
      <c r="P1576" s="9"/>
      <c r="Q1576" s="9"/>
    </row>
    <row r="1577" spans="1:17" ht="15.75" customHeight="1">
      <c r="A1577" s="7" t="s">
        <v>1870</v>
      </c>
      <c r="B1577" s="7" t="s">
        <v>129</v>
      </c>
      <c r="C1577" s="7" t="s">
        <v>278</v>
      </c>
      <c r="D1577" s="7" t="s">
        <v>130</v>
      </c>
      <c r="E1577" s="7" t="s">
        <v>360</v>
      </c>
      <c r="F1577" s="8" t="str">
        <f>_xlfn.IFNA(INDEX('HS Codes'!$D$2:$K4131,MATCH($B1577,'HS Codes'!$A$2:$A4131,0),MATCH(F$1,'HS Codes'!$D$1:$K$1,0)),"")</f>
        <v>6504.00.90.15</v>
      </c>
      <c r="G1577" s="8">
        <f>_xlfn.IFNA(INDEX('HS Codes'!$D$2:$K4131,MATCH($B1577,'HS Codes'!$A$2:$A4131,0),MATCH(G$1,'HS Codes'!$D$1:$K$1,0)),"")</f>
        <v>6505009090</v>
      </c>
      <c r="H1577" s="8" t="str">
        <f>_xlfn.IFNA(INDEX('HS Codes'!$D$2:$K4131,MATCH($B1577,'HS Codes'!$A$2:$A4131,0),MATCH(H$1,'HS Codes'!$D$1:$K$1,0)),"")</f>
        <v>6505.00.40.00</v>
      </c>
      <c r="I1577" s="8" t="str">
        <f>_xlfn.IFNA(INDEX('HS Codes'!$D$2:$K4131,MATCH($B1577,'HS Codes'!$A$2:$A4131,0),MATCH(I$1,'HS Codes'!$D$1:$K$1,0)),"")</f>
        <v>6505.00.90.90</v>
      </c>
      <c r="J1577" s="8">
        <f>_xlfn.IFNA(INDEX('HS Codes'!$D$2:$K4131,MATCH($B1577,'HS Codes'!$A$2:$A4131,0),MATCH(J$1,'HS Codes'!$D$1:$K$1,0)),"")</f>
        <v>0</v>
      </c>
      <c r="K1577" s="8" t="str">
        <f>_xlfn.IFNA(INDEX('HS Codes'!$D$2:$K4131,MATCH($B1577,'HS Codes'!$A$2:$A4131,0),MATCH(K$1,'HS Codes'!$D$1:$K$1,0)),"")</f>
        <v>6505.00.90</v>
      </c>
      <c r="L1577" s="8">
        <f>_xlfn.IFNA(INDEX('HS Codes'!$D$2:$K4131,MATCH($B1577,'HS Codes'!$A$2:$A4131,0),MATCH(L$1,'HS Codes'!$D$1:$K$1,0)),"")</f>
        <v>0</v>
      </c>
      <c r="M1577" s="8" t="str">
        <f>_xlfn.IFNA(INDEX('HS Codes'!$C$2:$C4131,MATCH($B1577,'HS Codes'!$A$2:$A4131,0)),"")</f>
        <v>Head Towel 100% recycled 200 GSM/83% polyester/17% polyamide (no cotton)</v>
      </c>
      <c r="N1577" s="9"/>
      <c r="O1577" s="9"/>
      <c r="P1577" s="9"/>
      <c r="Q1577" s="9"/>
    </row>
    <row r="1578" spans="1:17" ht="15.75" customHeight="1">
      <c r="A1578" s="7" t="s">
        <v>1871</v>
      </c>
      <c r="B1578" s="7" t="s">
        <v>129</v>
      </c>
      <c r="C1578" s="7" t="s">
        <v>278</v>
      </c>
      <c r="D1578" s="7" t="s">
        <v>130</v>
      </c>
      <c r="E1578" s="7" t="s">
        <v>360</v>
      </c>
      <c r="F1578" s="8" t="str">
        <f>_xlfn.IFNA(INDEX('HS Codes'!$D$2:$K4132,MATCH($B1578,'HS Codes'!$A$2:$A4132,0),MATCH(F$1,'HS Codes'!$D$1:$K$1,0)),"")</f>
        <v>6504.00.90.15</v>
      </c>
      <c r="G1578" s="8">
        <f>_xlfn.IFNA(INDEX('HS Codes'!$D$2:$K4132,MATCH($B1578,'HS Codes'!$A$2:$A4132,0),MATCH(G$1,'HS Codes'!$D$1:$K$1,0)),"")</f>
        <v>6505009090</v>
      </c>
      <c r="H1578" s="8" t="str">
        <f>_xlfn.IFNA(INDEX('HS Codes'!$D$2:$K4132,MATCH($B1578,'HS Codes'!$A$2:$A4132,0),MATCH(H$1,'HS Codes'!$D$1:$K$1,0)),"")</f>
        <v>6505.00.40.00</v>
      </c>
      <c r="I1578" s="8" t="str">
        <f>_xlfn.IFNA(INDEX('HS Codes'!$D$2:$K4132,MATCH($B1578,'HS Codes'!$A$2:$A4132,0),MATCH(I$1,'HS Codes'!$D$1:$K$1,0)),"")</f>
        <v>6505.00.90.90</v>
      </c>
      <c r="J1578" s="8">
        <f>_xlfn.IFNA(INDEX('HS Codes'!$D$2:$K4132,MATCH($B1578,'HS Codes'!$A$2:$A4132,0),MATCH(J$1,'HS Codes'!$D$1:$K$1,0)),"")</f>
        <v>0</v>
      </c>
      <c r="K1578" s="8" t="str">
        <f>_xlfn.IFNA(INDEX('HS Codes'!$D$2:$K4132,MATCH($B1578,'HS Codes'!$A$2:$A4132,0),MATCH(K$1,'HS Codes'!$D$1:$K$1,0)),"")</f>
        <v>6505.00.90</v>
      </c>
      <c r="L1578" s="8">
        <f>_xlfn.IFNA(INDEX('HS Codes'!$D$2:$K4132,MATCH($B1578,'HS Codes'!$A$2:$A4132,0),MATCH(L$1,'HS Codes'!$D$1:$K$1,0)),"")</f>
        <v>0</v>
      </c>
      <c r="M1578" s="8" t="str">
        <f>_xlfn.IFNA(INDEX('HS Codes'!$C$2:$C4132,MATCH($B1578,'HS Codes'!$A$2:$A4132,0)),"")</f>
        <v>Head Towel 100% recycled 200 GSM/83% polyester/17% polyamide (no cotton)</v>
      </c>
      <c r="N1578" s="9"/>
      <c r="O1578" s="9"/>
      <c r="P1578" s="9"/>
      <c r="Q1578" s="9"/>
    </row>
    <row r="1579" spans="1:17" ht="15.75" customHeight="1">
      <c r="A1579" s="7" t="s">
        <v>1872</v>
      </c>
      <c r="B1579" s="7" t="s">
        <v>129</v>
      </c>
      <c r="C1579" s="7" t="s">
        <v>278</v>
      </c>
      <c r="D1579" s="7" t="s">
        <v>130</v>
      </c>
      <c r="E1579" s="7" t="s">
        <v>360</v>
      </c>
      <c r="F1579" s="8" t="str">
        <f>_xlfn.IFNA(INDEX('HS Codes'!$D$2:$K4133,MATCH($B1579,'HS Codes'!$A$2:$A4133,0),MATCH(F$1,'HS Codes'!$D$1:$K$1,0)),"")</f>
        <v>6504.00.90.15</v>
      </c>
      <c r="G1579" s="8">
        <f>_xlfn.IFNA(INDEX('HS Codes'!$D$2:$K4133,MATCH($B1579,'HS Codes'!$A$2:$A4133,0),MATCH(G$1,'HS Codes'!$D$1:$K$1,0)),"")</f>
        <v>6505009090</v>
      </c>
      <c r="H1579" s="8" t="str">
        <f>_xlfn.IFNA(INDEX('HS Codes'!$D$2:$K4133,MATCH($B1579,'HS Codes'!$A$2:$A4133,0),MATCH(H$1,'HS Codes'!$D$1:$K$1,0)),"")</f>
        <v>6505.00.40.00</v>
      </c>
      <c r="I1579" s="8" t="str">
        <f>_xlfn.IFNA(INDEX('HS Codes'!$D$2:$K4133,MATCH($B1579,'HS Codes'!$A$2:$A4133,0),MATCH(I$1,'HS Codes'!$D$1:$K$1,0)),"")</f>
        <v>6505.00.90.90</v>
      </c>
      <c r="J1579" s="8">
        <f>_xlfn.IFNA(INDEX('HS Codes'!$D$2:$K4133,MATCH($B1579,'HS Codes'!$A$2:$A4133,0),MATCH(J$1,'HS Codes'!$D$1:$K$1,0)),"")</f>
        <v>0</v>
      </c>
      <c r="K1579" s="8" t="str">
        <f>_xlfn.IFNA(INDEX('HS Codes'!$D$2:$K4133,MATCH($B1579,'HS Codes'!$A$2:$A4133,0),MATCH(K$1,'HS Codes'!$D$1:$K$1,0)),"")</f>
        <v>6505.00.90</v>
      </c>
      <c r="L1579" s="8">
        <f>_xlfn.IFNA(INDEX('HS Codes'!$D$2:$K4133,MATCH($B1579,'HS Codes'!$A$2:$A4133,0),MATCH(L$1,'HS Codes'!$D$1:$K$1,0)),"")</f>
        <v>0</v>
      </c>
      <c r="M1579" s="8" t="str">
        <f>_xlfn.IFNA(INDEX('HS Codes'!$C$2:$C4133,MATCH($B1579,'HS Codes'!$A$2:$A4133,0)),"")</f>
        <v>Head Towel 100% recycled 200 GSM/83% polyester/17% polyamide (no cotton)</v>
      </c>
      <c r="N1579" s="9"/>
      <c r="O1579" s="9"/>
      <c r="P1579" s="9"/>
      <c r="Q1579" s="9"/>
    </row>
    <row r="1580" spans="1:17" ht="15.75" customHeight="1">
      <c r="A1580" s="7" t="s">
        <v>1873</v>
      </c>
      <c r="B1580" s="7" t="s">
        <v>129</v>
      </c>
      <c r="C1580" s="7" t="s">
        <v>278</v>
      </c>
      <c r="D1580" s="7" t="s">
        <v>130</v>
      </c>
      <c r="E1580" s="7" t="s">
        <v>360</v>
      </c>
      <c r="F1580" s="8" t="str">
        <f>_xlfn.IFNA(INDEX('HS Codes'!$D$2:$K4134,MATCH($B1580,'HS Codes'!$A$2:$A4134,0),MATCH(F$1,'HS Codes'!$D$1:$K$1,0)),"")</f>
        <v>6504.00.90.15</v>
      </c>
      <c r="G1580" s="8">
        <f>_xlfn.IFNA(INDEX('HS Codes'!$D$2:$K4134,MATCH($B1580,'HS Codes'!$A$2:$A4134,0),MATCH(G$1,'HS Codes'!$D$1:$K$1,0)),"")</f>
        <v>6505009090</v>
      </c>
      <c r="H1580" s="8" t="str">
        <f>_xlfn.IFNA(INDEX('HS Codes'!$D$2:$K4134,MATCH($B1580,'HS Codes'!$A$2:$A4134,0),MATCH(H$1,'HS Codes'!$D$1:$K$1,0)),"")</f>
        <v>6505.00.40.00</v>
      </c>
      <c r="I1580" s="8" t="str">
        <f>_xlfn.IFNA(INDEX('HS Codes'!$D$2:$K4134,MATCH($B1580,'HS Codes'!$A$2:$A4134,0),MATCH(I$1,'HS Codes'!$D$1:$K$1,0)),"")</f>
        <v>6505.00.90.90</v>
      </c>
      <c r="J1580" s="8">
        <f>_xlfn.IFNA(INDEX('HS Codes'!$D$2:$K4134,MATCH($B1580,'HS Codes'!$A$2:$A4134,0),MATCH(J$1,'HS Codes'!$D$1:$K$1,0)),"")</f>
        <v>0</v>
      </c>
      <c r="K1580" s="8" t="str">
        <f>_xlfn.IFNA(INDEX('HS Codes'!$D$2:$K4134,MATCH($B1580,'HS Codes'!$A$2:$A4134,0),MATCH(K$1,'HS Codes'!$D$1:$K$1,0)),"")</f>
        <v>6505.00.90</v>
      </c>
      <c r="L1580" s="8">
        <f>_xlfn.IFNA(INDEX('HS Codes'!$D$2:$K4134,MATCH($B1580,'HS Codes'!$A$2:$A4134,0),MATCH(L$1,'HS Codes'!$D$1:$K$1,0)),"")</f>
        <v>0</v>
      </c>
      <c r="M1580" s="8" t="str">
        <f>_xlfn.IFNA(INDEX('HS Codes'!$C$2:$C4134,MATCH($B1580,'HS Codes'!$A$2:$A4134,0)),"")</f>
        <v>Head Towel 100% recycled 200 GSM/83% polyester/17% polyamide (no cotton)</v>
      </c>
      <c r="N1580" s="9"/>
      <c r="O1580" s="9"/>
      <c r="P1580" s="9"/>
      <c r="Q1580" s="9"/>
    </row>
    <row r="1581" spans="1:17" ht="15.75" customHeight="1">
      <c r="A1581" s="7" t="s">
        <v>1874</v>
      </c>
      <c r="B1581" s="7" t="s">
        <v>129</v>
      </c>
      <c r="C1581" s="7" t="s">
        <v>278</v>
      </c>
      <c r="D1581" s="7" t="s">
        <v>130</v>
      </c>
      <c r="E1581" s="7" t="s">
        <v>360</v>
      </c>
      <c r="F1581" s="8" t="str">
        <f>_xlfn.IFNA(INDEX('HS Codes'!$D$2:$K4135,MATCH($B1581,'HS Codes'!$A$2:$A4135,0),MATCH(F$1,'HS Codes'!$D$1:$K$1,0)),"")</f>
        <v>6504.00.90.15</v>
      </c>
      <c r="G1581" s="8">
        <f>_xlfn.IFNA(INDEX('HS Codes'!$D$2:$K4135,MATCH($B1581,'HS Codes'!$A$2:$A4135,0),MATCH(G$1,'HS Codes'!$D$1:$K$1,0)),"")</f>
        <v>6505009090</v>
      </c>
      <c r="H1581" s="8" t="str">
        <f>_xlfn.IFNA(INDEX('HS Codes'!$D$2:$K4135,MATCH($B1581,'HS Codes'!$A$2:$A4135,0),MATCH(H$1,'HS Codes'!$D$1:$K$1,0)),"")</f>
        <v>6505.00.40.00</v>
      </c>
      <c r="I1581" s="8" t="str">
        <f>_xlfn.IFNA(INDEX('HS Codes'!$D$2:$K4135,MATCH($B1581,'HS Codes'!$A$2:$A4135,0),MATCH(I$1,'HS Codes'!$D$1:$K$1,0)),"")</f>
        <v>6505.00.90.90</v>
      </c>
      <c r="J1581" s="8">
        <f>_xlfn.IFNA(INDEX('HS Codes'!$D$2:$K4135,MATCH($B1581,'HS Codes'!$A$2:$A4135,0),MATCH(J$1,'HS Codes'!$D$1:$K$1,0)),"")</f>
        <v>0</v>
      </c>
      <c r="K1581" s="8" t="str">
        <f>_xlfn.IFNA(INDEX('HS Codes'!$D$2:$K4135,MATCH($B1581,'HS Codes'!$A$2:$A4135,0),MATCH(K$1,'HS Codes'!$D$1:$K$1,0)),"")</f>
        <v>6505.00.90</v>
      </c>
      <c r="L1581" s="8">
        <f>_xlfn.IFNA(INDEX('HS Codes'!$D$2:$K4135,MATCH($B1581,'HS Codes'!$A$2:$A4135,0),MATCH(L$1,'HS Codes'!$D$1:$K$1,0)),"")</f>
        <v>0</v>
      </c>
      <c r="M1581" s="8" t="str">
        <f>_xlfn.IFNA(INDEX('HS Codes'!$C$2:$C4135,MATCH($B1581,'HS Codes'!$A$2:$A4135,0)),"")</f>
        <v>Head Towel 100% recycled 200 GSM/83% polyester/17% polyamide (no cotton)</v>
      </c>
      <c r="N1581" s="9"/>
      <c r="O1581" s="9"/>
      <c r="P1581" s="9"/>
      <c r="Q1581" s="9"/>
    </row>
    <row r="1582" spans="1:17" ht="15.75" customHeight="1">
      <c r="A1582" s="7" t="s">
        <v>1875</v>
      </c>
      <c r="B1582" s="7" t="s">
        <v>129</v>
      </c>
      <c r="C1582" s="7" t="s">
        <v>278</v>
      </c>
      <c r="D1582" s="7" t="s">
        <v>130</v>
      </c>
      <c r="E1582" s="7" t="s">
        <v>360</v>
      </c>
      <c r="F1582" s="8" t="str">
        <f>_xlfn.IFNA(INDEX('HS Codes'!$D$2:$K4136,MATCH($B1582,'HS Codes'!$A$2:$A4136,0),MATCH(F$1,'HS Codes'!$D$1:$K$1,0)),"")</f>
        <v>6504.00.90.15</v>
      </c>
      <c r="G1582" s="8">
        <f>_xlfn.IFNA(INDEX('HS Codes'!$D$2:$K4136,MATCH($B1582,'HS Codes'!$A$2:$A4136,0),MATCH(G$1,'HS Codes'!$D$1:$K$1,0)),"")</f>
        <v>6505009090</v>
      </c>
      <c r="H1582" s="8" t="str">
        <f>_xlfn.IFNA(INDEX('HS Codes'!$D$2:$K4136,MATCH($B1582,'HS Codes'!$A$2:$A4136,0),MATCH(H$1,'HS Codes'!$D$1:$K$1,0)),"")</f>
        <v>6505.00.40.00</v>
      </c>
      <c r="I1582" s="8" t="str">
        <f>_xlfn.IFNA(INDEX('HS Codes'!$D$2:$K4136,MATCH($B1582,'HS Codes'!$A$2:$A4136,0),MATCH(I$1,'HS Codes'!$D$1:$K$1,0)),"")</f>
        <v>6505.00.90.90</v>
      </c>
      <c r="J1582" s="8">
        <f>_xlfn.IFNA(INDEX('HS Codes'!$D$2:$K4136,MATCH($B1582,'HS Codes'!$A$2:$A4136,0),MATCH(J$1,'HS Codes'!$D$1:$K$1,0)),"")</f>
        <v>0</v>
      </c>
      <c r="K1582" s="8" t="str">
        <f>_xlfn.IFNA(INDEX('HS Codes'!$D$2:$K4136,MATCH($B1582,'HS Codes'!$A$2:$A4136,0),MATCH(K$1,'HS Codes'!$D$1:$K$1,0)),"")</f>
        <v>6505.00.90</v>
      </c>
      <c r="L1582" s="8">
        <f>_xlfn.IFNA(INDEX('HS Codes'!$D$2:$K4136,MATCH($B1582,'HS Codes'!$A$2:$A4136,0),MATCH(L$1,'HS Codes'!$D$1:$K$1,0)),"")</f>
        <v>0</v>
      </c>
      <c r="M1582" s="8" t="str">
        <f>_xlfn.IFNA(INDEX('HS Codes'!$C$2:$C4136,MATCH($B1582,'HS Codes'!$A$2:$A4136,0)),"")</f>
        <v>Head Towel 100% recycled 200 GSM/83% polyester/17% polyamide (no cotton)</v>
      </c>
      <c r="N1582" s="9"/>
      <c r="O1582" s="9"/>
      <c r="P1582" s="9"/>
      <c r="Q1582" s="9"/>
    </row>
    <row r="1583" spans="1:17" ht="15.75" customHeight="1">
      <c r="A1583" s="7" t="s">
        <v>1876</v>
      </c>
      <c r="B1583" s="7" t="s">
        <v>129</v>
      </c>
      <c r="C1583" s="7" t="s">
        <v>278</v>
      </c>
      <c r="D1583" s="7" t="s">
        <v>130</v>
      </c>
      <c r="E1583" s="7" t="s">
        <v>360</v>
      </c>
      <c r="F1583" s="8" t="str">
        <f>_xlfn.IFNA(INDEX('HS Codes'!$D$2:$K4137,MATCH($B1583,'HS Codes'!$A$2:$A4137,0),MATCH(F$1,'HS Codes'!$D$1:$K$1,0)),"")</f>
        <v>6504.00.90.15</v>
      </c>
      <c r="G1583" s="8">
        <f>_xlfn.IFNA(INDEX('HS Codes'!$D$2:$K4137,MATCH($B1583,'HS Codes'!$A$2:$A4137,0),MATCH(G$1,'HS Codes'!$D$1:$K$1,0)),"")</f>
        <v>6505009090</v>
      </c>
      <c r="H1583" s="8" t="str">
        <f>_xlfn.IFNA(INDEX('HS Codes'!$D$2:$K4137,MATCH($B1583,'HS Codes'!$A$2:$A4137,0),MATCH(H$1,'HS Codes'!$D$1:$K$1,0)),"")</f>
        <v>6505.00.40.00</v>
      </c>
      <c r="I1583" s="8" t="str">
        <f>_xlfn.IFNA(INDEX('HS Codes'!$D$2:$K4137,MATCH($B1583,'HS Codes'!$A$2:$A4137,0),MATCH(I$1,'HS Codes'!$D$1:$K$1,0)),"")</f>
        <v>6505.00.90.90</v>
      </c>
      <c r="J1583" s="8">
        <f>_xlfn.IFNA(INDEX('HS Codes'!$D$2:$K4137,MATCH($B1583,'HS Codes'!$A$2:$A4137,0),MATCH(J$1,'HS Codes'!$D$1:$K$1,0)),"")</f>
        <v>0</v>
      </c>
      <c r="K1583" s="8" t="str">
        <f>_xlfn.IFNA(INDEX('HS Codes'!$D$2:$K4137,MATCH($B1583,'HS Codes'!$A$2:$A4137,0),MATCH(K$1,'HS Codes'!$D$1:$K$1,0)),"")</f>
        <v>6505.00.90</v>
      </c>
      <c r="L1583" s="8">
        <f>_xlfn.IFNA(INDEX('HS Codes'!$D$2:$K4137,MATCH($B1583,'HS Codes'!$A$2:$A4137,0),MATCH(L$1,'HS Codes'!$D$1:$K$1,0)),"")</f>
        <v>0</v>
      </c>
      <c r="M1583" s="8" t="str">
        <f>_xlfn.IFNA(INDEX('HS Codes'!$C$2:$C4137,MATCH($B1583,'HS Codes'!$A$2:$A4137,0)),"")</f>
        <v>Head Towel 100% recycled 200 GSM/83% polyester/17% polyamide (no cotton)</v>
      </c>
      <c r="N1583" s="9"/>
      <c r="O1583" s="9"/>
      <c r="P1583" s="9"/>
      <c r="Q1583" s="9"/>
    </row>
    <row r="1584" spans="1:17" ht="15.75" customHeight="1">
      <c r="A1584" s="7" t="s">
        <v>1877</v>
      </c>
      <c r="B1584" s="7" t="s">
        <v>129</v>
      </c>
      <c r="C1584" s="7" t="s">
        <v>278</v>
      </c>
      <c r="D1584" s="7" t="s">
        <v>130</v>
      </c>
      <c r="E1584" s="7" t="s">
        <v>360</v>
      </c>
      <c r="F1584" s="8" t="str">
        <f>_xlfn.IFNA(INDEX('HS Codes'!$D$2:$K4138,MATCH($B1584,'HS Codes'!$A$2:$A4138,0),MATCH(F$1,'HS Codes'!$D$1:$K$1,0)),"")</f>
        <v>6504.00.90.15</v>
      </c>
      <c r="G1584" s="8">
        <f>_xlfn.IFNA(INDEX('HS Codes'!$D$2:$K4138,MATCH($B1584,'HS Codes'!$A$2:$A4138,0),MATCH(G$1,'HS Codes'!$D$1:$K$1,0)),"")</f>
        <v>6505009090</v>
      </c>
      <c r="H1584" s="8" t="str">
        <f>_xlfn.IFNA(INDEX('HS Codes'!$D$2:$K4138,MATCH($B1584,'HS Codes'!$A$2:$A4138,0),MATCH(H$1,'HS Codes'!$D$1:$K$1,0)),"")</f>
        <v>6505.00.40.00</v>
      </c>
      <c r="I1584" s="8" t="str">
        <f>_xlfn.IFNA(INDEX('HS Codes'!$D$2:$K4138,MATCH($B1584,'HS Codes'!$A$2:$A4138,0),MATCH(I$1,'HS Codes'!$D$1:$K$1,0)),"")</f>
        <v>6505.00.90.90</v>
      </c>
      <c r="J1584" s="8">
        <f>_xlfn.IFNA(INDEX('HS Codes'!$D$2:$K4138,MATCH($B1584,'HS Codes'!$A$2:$A4138,0),MATCH(J$1,'HS Codes'!$D$1:$K$1,0)),"")</f>
        <v>0</v>
      </c>
      <c r="K1584" s="8" t="str">
        <f>_xlfn.IFNA(INDEX('HS Codes'!$D$2:$K4138,MATCH($B1584,'HS Codes'!$A$2:$A4138,0),MATCH(K$1,'HS Codes'!$D$1:$K$1,0)),"")</f>
        <v>6505.00.90</v>
      </c>
      <c r="L1584" s="8">
        <f>_xlfn.IFNA(INDEX('HS Codes'!$D$2:$K4138,MATCH($B1584,'HS Codes'!$A$2:$A4138,0),MATCH(L$1,'HS Codes'!$D$1:$K$1,0)),"")</f>
        <v>0</v>
      </c>
      <c r="M1584" s="8" t="str">
        <f>_xlfn.IFNA(INDEX('HS Codes'!$C$2:$C4138,MATCH($B1584,'HS Codes'!$A$2:$A4138,0)),"")</f>
        <v>Head Towel 100% recycled 200 GSM/83% polyester/17% polyamide (no cotton)</v>
      </c>
      <c r="N1584" s="9"/>
      <c r="O1584" s="9"/>
      <c r="P1584" s="9"/>
      <c r="Q1584" s="9"/>
    </row>
    <row r="1585" spans="1:17" ht="15.75" customHeight="1">
      <c r="A1585" s="7" t="s">
        <v>1878</v>
      </c>
      <c r="B1585" s="7" t="s">
        <v>129</v>
      </c>
      <c r="C1585" s="7" t="s">
        <v>278</v>
      </c>
      <c r="D1585" s="7" t="s">
        <v>130</v>
      </c>
      <c r="E1585" s="7" t="s">
        <v>360</v>
      </c>
      <c r="F1585" s="8" t="str">
        <f>_xlfn.IFNA(INDEX('HS Codes'!$D$2:$K4139,MATCH($B1585,'HS Codes'!$A$2:$A4139,0),MATCH(F$1,'HS Codes'!$D$1:$K$1,0)),"")</f>
        <v>6504.00.90.15</v>
      </c>
      <c r="G1585" s="8">
        <f>_xlfn.IFNA(INDEX('HS Codes'!$D$2:$K4139,MATCH($B1585,'HS Codes'!$A$2:$A4139,0),MATCH(G$1,'HS Codes'!$D$1:$K$1,0)),"")</f>
        <v>6505009090</v>
      </c>
      <c r="H1585" s="8" t="str">
        <f>_xlfn.IFNA(INDEX('HS Codes'!$D$2:$K4139,MATCH($B1585,'HS Codes'!$A$2:$A4139,0),MATCH(H$1,'HS Codes'!$D$1:$K$1,0)),"")</f>
        <v>6505.00.40.00</v>
      </c>
      <c r="I1585" s="8" t="str">
        <f>_xlfn.IFNA(INDEX('HS Codes'!$D$2:$K4139,MATCH($B1585,'HS Codes'!$A$2:$A4139,0),MATCH(I$1,'HS Codes'!$D$1:$K$1,0)),"")</f>
        <v>6505.00.90.90</v>
      </c>
      <c r="J1585" s="8">
        <f>_xlfn.IFNA(INDEX('HS Codes'!$D$2:$K4139,MATCH($B1585,'HS Codes'!$A$2:$A4139,0),MATCH(J$1,'HS Codes'!$D$1:$K$1,0)),"")</f>
        <v>0</v>
      </c>
      <c r="K1585" s="8" t="str">
        <f>_xlfn.IFNA(INDEX('HS Codes'!$D$2:$K4139,MATCH($B1585,'HS Codes'!$A$2:$A4139,0),MATCH(K$1,'HS Codes'!$D$1:$K$1,0)),"")</f>
        <v>6505.00.90</v>
      </c>
      <c r="L1585" s="8">
        <f>_xlfn.IFNA(INDEX('HS Codes'!$D$2:$K4139,MATCH($B1585,'HS Codes'!$A$2:$A4139,0),MATCH(L$1,'HS Codes'!$D$1:$K$1,0)),"")</f>
        <v>0</v>
      </c>
      <c r="M1585" s="8" t="str">
        <f>_xlfn.IFNA(INDEX('HS Codes'!$C$2:$C4139,MATCH($B1585,'HS Codes'!$A$2:$A4139,0)),"")</f>
        <v>Head Towel 100% recycled 200 GSM/83% polyester/17% polyamide (no cotton)</v>
      </c>
      <c r="N1585" s="9"/>
      <c r="O1585" s="9"/>
      <c r="P1585" s="9"/>
      <c r="Q1585" s="9"/>
    </row>
    <row r="1586" spans="1:17" ht="15.75" customHeight="1">
      <c r="A1586" s="7" t="s">
        <v>1879</v>
      </c>
      <c r="B1586" s="7" t="s">
        <v>129</v>
      </c>
      <c r="C1586" s="7" t="s">
        <v>278</v>
      </c>
      <c r="D1586" s="7" t="s">
        <v>130</v>
      </c>
      <c r="E1586" s="7" t="s">
        <v>360</v>
      </c>
      <c r="F1586" s="8" t="str">
        <f>_xlfn.IFNA(INDEX('HS Codes'!$D$2:$K4140,MATCH($B1586,'HS Codes'!$A$2:$A4140,0),MATCH(F$1,'HS Codes'!$D$1:$K$1,0)),"")</f>
        <v>6504.00.90.15</v>
      </c>
      <c r="G1586" s="8">
        <f>_xlfn.IFNA(INDEX('HS Codes'!$D$2:$K4140,MATCH($B1586,'HS Codes'!$A$2:$A4140,0),MATCH(G$1,'HS Codes'!$D$1:$K$1,0)),"")</f>
        <v>6505009090</v>
      </c>
      <c r="H1586" s="8" t="str">
        <f>_xlfn.IFNA(INDEX('HS Codes'!$D$2:$K4140,MATCH($B1586,'HS Codes'!$A$2:$A4140,0),MATCH(H$1,'HS Codes'!$D$1:$K$1,0)),"")</f>
        <v>6505.00.40.00</v>
      </c>
      <c r="I1586" s="8" t="str">
        <f>_xlfn.IFNA(INDEX('HS Codes'!$D$2:$K4140,MATCH($B1586,'HS Codes'!$A$2:$A4140,0),MATCH(I$1,'HS Codes'!$D$1:$K$1,0)),"")</f>
        <v>6505.00.90.90</v>
      </c>
      <c r="J1586" s="8">
        <f>_xlfn.IFNA(INDEX('HS Codes'!$D$2:$K4140,MATCH($B1586,'HS Codes'!$A$2:$A4140,0),MATCH(J$1,'HS Codes'!$D$1:$K$1,0)),"")</f>
        <v>0</v>
      </c>
      <c r="K1586" s="8" t="str">
        <f>_xlfn.IFNA(INDEX('HS Codes'!$D$2:$K4140,MATCH($B1586,'HS Codes'!$A$2:$A4140,0),MATCH(K$1,'HS Codes'!$D$1:$K$1,0)),"")</f>
        <v>6505.00.90</v>
      </c>
      <c r="L1586" s="8">
        <f>_xlfn.IFNA(INDEX('HS Codes'!$D$2:$K4140,MATCH($B1586,'HS Codes'!$A$2:$A4140,0),MATCH(L$1,'HS Codes'!$D$1:$K$1,0)),"")</f>
        <v>0</v>
      </c>
      <c r="M1586" s="8" t="str">
        <f>_xlfn.IFNA(INDEX('HS Codes'!$C$2:$C4140,MATCH($B1586,'HS Codes'!$A$2:$A4140,0)),"")</f>
        <v>Head Towel 100% recycled 200 GSM/83% polyester/17% polyamide (no cotton)</v>
      </c>
      <c r="N1586" s="9"/>
      <c r="O1586" s="9"/>
      <c r="P1586" s="9"/>
      <c r="Q1586" s="9"/>
    </row>
    <row r="1587" spans="1:17" ht="15.75" customHeight="1">
      <c r="A1587" s="7" t="s">
        <v>1880</v>
      </c>
      <c r="B1587" s="7" t="s">
        <v>129</v>
      </c>
      <c r="C1587" s="7" t="s">
        <v>278</v>
      </c>
      <c r="D1587" s="7" t="s">
        <v>130</v>
      </c>
      <c r="E1587" s="7" t="s">
        <v>360</v>
      </c>
      <c r="F1587" s="8" t="str">
        <f>_xlfn.IFNA(INDEX('HS Codes'!$D$2:$K4141,MATCH($B1587,'HS Codes'!$A$2:$A4141,0),MATCH(F$1,'HS Codes'!$D$1:$K$1,0)),"")</f>
        <v>6504.00.90.15</v>
      </c>
      <c r="G1587" s="8">
        <f>_xlfn.IFNA(INDEX('HS Codes'!$D$2:$K4141,MATCH($B1587,'HS Codes'!$A$2:$A4141,0),MATCH(G$1,'HS Codes'!$D$1:$K$1,0)),"")</f>
        <v>6505009090</v>
      </c>
      <c r="H1587" s="8" t="str">
        <f>_xlfn.IFNA(INDEX('HS Codes'!$D$2:$K4141,MATCH($B1587,'HS Codes'!$A$2:$A4141,0),MATCH(H$1,'HS Codes'!$D$1:$K$1,0)),"")</f>
        <v>6505.00.40.00</v>
      </c>
      <c r="I1587" s="8" t="str">
        <f>_xlfn.IFNA(INDEX('HS Codes'!$D$2:$K4141,MATCH($B1587,'HS Codes'!$A$2:$A4141,0),MATCH(I$1,'HS Codes'!$D$1:$K$1,0)),"")</f>
        <v>6505.00.90.90</v>
      </c>
      <c r="J1587" s="8">
        <f>_xlfn.IFNA(INDEX('HS Codes'!$D$2:$K4141,MATCH($B1587,'HS Codes'!$A$2:$A4141,0),MATCH(J$1,'HS Codes'!$D$1:$K$1,0)),"")</f>
        <v>0</v>
      </c>
      <c r="K1587" s="8" t="str">
        <f>_xlfn.IFNA(INDEX('HS Codes'!$D$2:$K4141,MATCH($B1587,'HS Codes'!$A$2:$A4141,0),MATCH(K$1,'HS Codes'!$D$1:$K$1,0)),"")</f>
        <v>6505.00.90</v>
      </c>
      <c r="L1587" s="8">
        <f>_xlfn.IFNA(INDEX('HS Codes'!$D$2:$K4141,MATCH($B1587,'HS Codes'!$A$2:$A4141,0),MATCH(L$1,'HS Codes'!$D$1:$K$1,0)),"")</f>
        <v>0</v>
      </c>
      <c r="M1587" s="8" t="str">
        <f>_xlfn.IFNA(INDEX('HS Codes'!$C$2:$C4141,MATCH($B1587,'HS Codes'!$A$2:$A4141,0)),"")</f>
        <v>Head Towel 100% recycled 200 GSM/83% polyester/17% polyamide (no cotton)</v>
      </c>
      <c r="N1587" s="9"/>
      <c r="O1587" s="9"/>
      <c r="P1587" s="9"/>
      <c r="Q1587" s="9"/>
    </row>
    <row r="1588" spans="1:17" ht="15.75" customHeight="1">
      <c r="A1588" s="7" t="s">
        <v>1881</v>
      </c>
      <c r="B1588" s="7" t="s">
        <v>129</v>
      </c>
      <c r="C1588" s="7" t="s">
        <v>278</v>
      </c>
      <c r="D1588" s="7" t="s">
        <v>130</v>
      </c>
      <c r="E1588" s="7" t="s">
        <v>360</v>
      </c>
      <c r="F1588" s="8" t="str">
        <f>_xlfn.IFNA(INDEX('HS Codes'!$D$2:$K4142,MATCH($B1588,'HS Codes'!$A$2:$A4142,0),MATCH(F$1,'HS Codes'!$D$1:$K$1,0)),"")</f>
        <v>6504.00.90.15</v>
      </c>
      <c r="G1588" s="8">
        <f>_xlfn.IFNA(INDEX('HS Codes'!$D$2:$K4142,MATCH($B1588,'HS Codes'!$A$2:$A4142,0),MATCH(G$1,'HS Codes'!$D$1:$K$1,0)),"")</f>
        <v>6505009090</v>
      </c>
      <c r="H1588" s="8" t="str">
        <f>_xlfn.IFNA(INDEX('HS Codes'!$D$2:$K4142,MATCH($B1588,'HS Codes'!$A$2:$A4142,0),MATCH(H$1,'HS Codes'!$D$1:$K$1,0)),"")</f>
        <v>6505.00.40.00</v>
      </c>
      <c r="I1588" s="8" t="str">
        <f>_xlfn.IFNA(INDEX('HS Codes'!$D$2:$K4142,MATCH($B1588,'HS Codes'!$A$2:$A4142,0),MATCH(I$1,'HS Codes'!$D$1:$K$1,0)),"")</f>
        <v>6505.00.90.90</v>
      </c>
      <c r="J1588" s="8">
        <f>_xlfn.IFNA(INDEX('HS Codes'!$D$2:$K4142,MATCH($B1588,'HS Codes'!$A$2:$A4142,0),MATCH(J$1,'HS Codes'!$D$1:$K$1,0)),"")</f>
        <v>0</v>
      </c>
      <c r="K1588" s="8" t="str">
        <f>_xlfn.IFNA(INDEX('HS Codes'!$D$2:$K4142,MATCH($B1588,'HS Codes'!$A$2:$A4142,0),MATCH(K$1,'HS Codes'!$D$1:$K$1,0)),"")</f>
        <v>6505.00.90</v>
      </c>
      <c r="L1588" s="8">
        <f>_xlfn.IFNA(INDEX('HS Codes'!$D$2:$K4142,MATCH($B1588,'HS Codes'!$A$2:$A4142,0),MATCH(L$1,'HS Codes'!$D$1:$K$1,0)),"")</f>
        <v>0</v>
      </c>
      <c r="M1588" s="8" t="str">
        <f>_xlfn.IFNA(INDEX('HS Codes'!$C$2:$C4142,MATCH($B1588,'HS Codes'!$A$2:$A4142,0)),"")</f>
        <v>Head Towel 100% recycled 200 GSM/83% polyester/17% polyamide (no cotton)</v>
      </c>
      <c r="N1588" s="9"/>
      <c r="O1588" s="9"/>
      <c r="P1588" s="9"/>
      <c r="Q1588" s="9"/>
    </row>
    <row r="1589" spans="1:17" ht="15.75" customHeight="1">
      <c r="A1589" s="7" t="s">
        <v>1882</v>
      </c>
      <c r="B1589" s="7" t="s">
        <v>129</v>
      </c>
      <c r="C1589" s="7" t="s">
        <v>278</v>
      </c>
      <c r="D1589" s="7" t="s">
        <v>130</v>
      </c>
      <c r="E1589" s="7" t="s">
        <v>360</v>
      </c>
      <c r="F1589" s="8" t="str">
        <f>_xlfn.IFNA(INDEX('HS Codes'!$D$2:$K4143,MATCH($B1589,'HS Codes'!$A$2:$A4143,0),MATCH(F$1,'HS Codes'!$D$1:$K$1,0)),"")</f>
        <v>6504.00.90.15</v>
      </c>
      <c r="G1589" s="8">
        <f>_xlfn.IFNA(INDEX('HS Codes'!$D$2:$K4143,MATCH($B1589,'HS Codes'!$A$2:$A4143,0),MATCH(G$1,'HS Codes'!$D$1:$K$1,0)),"")</f>
        <v>6505009090</v>
      </c>
      <c r="H1589" s="8" t="str">
        <f>_xlfn.IFNA(INDEX('HS Codes'!$D$2:$K4143,MATCH($B1589,'HS Codes'!$A$2:$A4143,0),MATCH(H$1,'HS Codes'!$D$1:$K$1,0)),"")</f>
        <v>6505.00.40.00</v>
      </c>
      <c r="I1589" s="8" t="str">
        <f>_xlfn.IFNA(INDEX('HS Codes'!$D$2:$K4143,MATCH($B1589,'HS Codes'!$A$2:$A4143,0),MATCH(I$1,'HS Codes'!$D$1:$K$1,0)),"")</f>
        <v>6505.00.90.90</v>
      </c>
      <c r="J1589" s="8">
        <f>_xlfn.IFNA(INDEX('HS Codes'!$D$2:$K4143,MATCH($B1589,'HS Codes'!$A$2:$A4143,0),MATCH(J$1,'HS Codes'!$D$1:$K$1,0)),"")</f>
        <v>0</v>
      </c>
      <c r="K1589" s="8" t="str">
        <f>_xlfn.IFNA(INDEX('HS Codes'!$D$2:$K4143,MATCH($B1589,'HS Codes'!$A$2:$A4143,0),MATCH(K$1,'HS Codes'!$D$1:$K$1,0)),"")</f>
        <v>6505.00.90</v>
      </c>
      <c r="L1589" s="8">
        <f>_xlfn.IFNA(INDEX('HS Codes'!$D$2:$K4143,MATCH($B1589,'HS Codes'!$A$2:$A4143,0),MATCH(L$1,'HS Codes'!$D$1:$K$1,0)),"")</f>
        <v>0</v>
      </c>
      <c r="M1589" s="8" t="str">
        <f>_xlfn.IFNA(INDEX('HS Codes'!$C$2:$C4143,MATCH($B1589,'HS Codes'!$A$2:$A4143,0)),"")</f>
        <v>Head Towel 100% recycled 200 GSM/83% polyester/17% polyamide (no cotton)</v>
      </c>
      <c r="N1589" s="9"/>
      <c r="O1589" s="9"/>
      <c r="P1589" s="9"/>
      <c r="Q1589" s="9"/>
    </row>
    <row r="1590" spans="1:17" ht="15.75" customHeight="1">
      <c r="A1590" s="7" t="s">
        <v>1883</v>
      </c>
      <c r="B1590" s="7" t="s">
        <v>129</v>
      </c>
      <c r="C1590" s="7" t="s">
        <v>278</v>
      </c>
      <c r="D1590" s="7" t="s">
        <v>130</v>
      </c>
      <c r="E1590" s="7" t="s">
        <v>360</v>
      </c>
      <c r="F1590" s="8" t="str">
        <f>_xlfn.IFNA(INDEX('HS Codes'!$D$2:$K4144,MATCH($B1590,'HS Codes'!$A$2:$A4144,0),MATCH(F$1,'HS Codes'!$D$1:$K$1,0)),"")</f>
        <v>6504.00.90.15</v>
      </c>
      <c r="G1590" s="8">
        <f>_xlfn.IFNA(INDEX('HS Codes'!$D$2:$K4144,MATCH($B1590,'HS Codes'!$A$2:$A4144,0),MATCH(G$1,'HS Codes'!$D$1:$K$1,0)),"")</f>
        <v>6505009090</v>
      </c>
      <c r="H1590" s="8" t="str">
        <f>_xlfn.IFNA(INDEX('HS Codes'!$D$2:$K4144,MATCH($B1590,'HS Codes'!$A$2:$A4144,0),MATCH(H$1,'HS Codes'!$D$1:$K$1,0)),"")</f>
        <v>6505.00.40.00</v>
      </c>
      <c r="I1590" s="8" t="str">
        <f>_xlfn.IFNA(INDEX('HS Codes'!$D$2:$K4144,MATCH($B1590,'HS Codes'!$A$2:$A4144,0),MATCH(I$1,'HS Codes'!$D$1:$K$1,0)),"")</f>
        <v>6505.00.90.90</v>
      </c>
      <c r="J1590" s="8">
        <f>_xlfn.IFNA(INDEX('HS Codes'!$D$2:$K4144,MATCH($B1590,'HS Codes'!$A$2:$A4144,0),MATCH(J$1,'HS Codes'!$D$1:$K$1,0)),"")</f>
        <v>0</v>
      </c>
      <c r="K1590" s="8" t="str">
        <f>_xlfn.IFNA(INDEX('HS Codes'!$D$2:$K4144,MATCH($B1590,'HS Codes'!$A$2:$A4144,0),MATCH(K$1,'HS Codes'!$D$1:$K$1,0)),"")</f>
        <v>6505.00.90</v>
      </c>
      <c r="L1590" s="8">
        <f>_xlfn.IFNA(INDEX('HS Codes'!$D$2:$K4144,MATCH($B1590,'HS Codes'!$A$2:$A4144,0),MATCH(L$1,'HS Codes'!$D$1:$K$1,0)),"")</f>
        <v>0</v>
      </c>
      <c r="M1590" s="8" t="str">
        <f>_xlfn.IFNA(INDEX('HS Codes'!$C$2:$C4144,MATCH($B1590,'HS Codes'!$A$2:$A4144,0)),"")</f>
        <v>Head Towel 100% recycled 200 GSM/83% polyester/17% polyamide (no cotton)</v>
      </c>
      <c r="N1590" s="9"/>
      <c r="O1590" s="9"/>
      <c r="P1590" s="9"/>
      <c r="Q1590" s="9"/>
    </row>
    <row r="1591" spans="1:17" ht="15.75" customHeight="1">
      <c r="A1591" s="7" t="s">
        <v>1884</v>
      </c>
      <c r="B1591" s="7" t="s">
        <v>129</v>
      </c>
      <c r="C1591" s="7" t="s">
        <v>278</v>
      </c>
      <c r="D1591" s="7" t="s">
        <v>130</v>
      </c>
      <c r="E1591" s="7" t="s">
        <v>360</v>
      </c>
      <c r="F1591" s="8" t="str">
        <f>_xlfn.IFNA(INDEX('HS Codes'!$D$2:$K4145,MATCH($B1591,'HS Codes'!$A$2:$A4145,0),MATCH(F$1,'HS Codes'!$D$1:$K$1,0)),"")</f>
        <v>6504.00.90.15</v>
      </c>
      <c r="G1591" s="8">
        <f>_xlfn.IFNA(INDEX('HS Codes'!$D$2:$K4145,MATCH($B1591,'HS Codes'!$A$2:$A4145,0),MATCH(G$1,'HS Codes'!$D$1:$K$1,0)),"")</f>
        <v>6505009090</v>
      </c>
      <c r="H1591" s="8" t="str">
        <f>_xlfn.IFNA(INDEX('HS Codes'!$D$2:$K4145,MATCH($B1591,'HS Codes'!$A$2:$A4145,0),MATCH(H$1,'HS Codes'!$D$1:$K$1,0)),"")</f>
        <v>6505.00.40.00</v>
      </c>
      <c r="I1591" s="8" t="str">
        <f>_xlfn.IFNA(INDEX('HS Codes'!$D$2:$K4145,MATCH($B1591,'HS Codes'!$A$2:$A4145,0),MATCH(I$1,'HS Codes'!$D$1:$K$1,0)),"")</f>
        <v>6505.00.90.90</v>
      </c>
      <c r="J1591" s="8">
        <f>_xlfn.IFNA(INDEX('HS Codes'!$D$2:$K4145,MATCH($B1591,'HS Codes'!$A$2:$A4145,0),MATCH(J$1,'HS Codes'!$D$1:$K$1,0)),"")</f>
        <v>0</v>
      </c>
      <c r="K1591" s="8" t="str">
        <f>_xlfn.IFNA(INDEX('HS Codes'!$D$2:$K4145,MATCH($B1591,'HS Codes'!$A$2:$A4145,0),MATCH(K$1,'HS Codes'!$D$1:$K$1,0)),"")</f>
        <v>6505.00.90</v>
      </c>
      <c r="L1591" s="8">
        <f>_xlfn.IFNA(INDEX('HS Codes'!$D$2:$K4145,MATCH($B1591,'HS Codes'!$A$2:$A4145,0),MATCH(L$1,'HS Codes'!$D$1:$K$1,0)),"")</f>
        <v>0</v>
      </c>
      <c r="M1591" s="8" t="str">
        <f>_xlfn.IFNA(INDEX('HS Codes'!$C$2:$C4145,MATCH($B1591,'HS Codes'!$A$2:$A4145,0)),"")</f>
        <v>Head Towel 100% recycled 200 GSM/83% polyester/17% polyamide (no cotton)</v>
      </c>
      <c r="N1591" s="9"/>
      <c r="O1591" s="9"/>
      <c r="P1591" s="9"/>
      <c r="Q1591" s="9"/>
    </row>
    <row r="1592" spans="1:17" ht="15.75" customHeight="1">
      <c r="A1592" s="7" t="s">
        <v>1885</v>
      </c>
      <c r="B1592" s="7" t="s">
        <v>129</v>
      </c>
      <c r="C1592" s="7" t="s">
        <v>278</v>
      </c>
      <c r="D1592" s="7" t="s">
        <v>130</v>
      </c>
      <c r="E1592" s="7" t="s">
        <v>360</v>
      </c>
      <c r="F1592" s="8" t="str">
        <f>_xlfn.IFNA(INDEX('HS Codes'!$D$2:$K4146,MATCH($B1592,'HS Codes'!$A$2:$A4146,0),MATCH(F$1,'HS Codes'!$D$1:$K$1,0)),"")</f>
        <v>6504.00.90.15</v>
      </c>
      <c r="G1592" s="8">
        <f>_xlfn.IFNA(INDEX('HS Codes'!$D$2:$K4146,MATCH($B1592,'HS Codes'!$A$2:$A4146,0),MATCH(G$1,'HS Codes'!$D$1:$K$1,0)),"")</f>
        <v>6505009090</v>
      </c>
      <c r="H1592" s="8" t="str">
        <f>_xlfn.IFNA(INDEX('HS Codes'!$D$2:$K4146,MATCH($B1592,'HS Codes'!$A$2:$A4146,0),MATCH(H$1,'HS Codes'!$D$1:$K$1,0)),"")</f>
        <v>6505.00.40.00</v>
      </c>
      <c r="I1592" s="8" t="str">
        <f>_xlfn.IFNA(INDEX('HS Codes'!$D$2:$K4146,MATCH($B1592,'HS Codes'!$A$2:$A4146,0),MATCH(I$1,'HS Codes'!$D$1:$K$1,0)),"")</f>
        <v>6505.00.90.90</v>
      </c>
      <c r="J1592" s="8">
        <f>_xlfn.IFNA(INDEX('HS Codes'!$D$2:$K4146,MATCH($B1592,'HS Codes'!$A$2:$A4146,0),MATCH(J$1,'HS Codes'!$D$1:$K$1,0)),"")</f>
        <v>0</v>
      </c>
      <c r="K1592" s="8" t="str">
        <f>_xlfn.IFNA(INDEX('HS Codes'!$D$2:$K4146,MATCH($B1592,'HS Codes'!$A$2:$A4146,0),MATCH(K$1,'HS Codes'!$D$1:$K$1,0)),"")</f>
        <v>6505.00.90</v>
      </c>
      <c r="L1592" s="8">
        <f>_xlfn.IFNA(INDEX('HS Codes'!$D$2:$K4146,MATCH($B1592,'HS Codes'!$A$2:$A4146,0),MATCH(L$1,'HS Codes'!$D$1:$K$1,0)),"")</f>
        <v>0</v>
      </c>
      <c r="M1592" s="8" t="str">
        <f>_xlfn.IFNA(INDEX('HS Codes'!$C$2:$C4146,MATCH($B1592,'HS Codes'!$A$2:$A4146,0)),"")</f>
        <v>Head Towel 100% recycled 200 GSM/83% polyester/17% polyamide (no cotton)</v>
      </c>
      <c r="N1592" s="9"/>
      <c r="O1592" s="9"/>
      <c r="P1592" s="9"/>
      <c r="Q1592" s="9"/>
    </row>
    <row r="1593" spans="1:17" ht="15.75" customHeight="1">
      <c r="A1593" s="7" t="s">
        <v>1886</v>
      </c>
      <c r="B1593" s="7" t="s">
        <v>129</v>
      </c>
      <c r="C1593" s="7" t="s">
        <v>278</v>
      </c>
      <c r="D1593" s="7" t="s">
        <v>130</v>
      </c>
      <c r="E1593" s="7" t="s">
        <v>360</v>
      </c>
      <c r="F1593" s="8" t="str">
        <f>_xlfn.IFNA(INDEX('HS Codes'!$D$2:$K4147,MATCH($B1593,'HS Codes'!$A$2:$A4147,0),MATCH(F$1,'HS Codes'!$D$1:$K$1,0)),"")</f>
        <v>6504.00.90.15</v>
      </c>
      <c r="G1593" s="8">
        <f>_xlfn.IFNA(INDEX('HS Codes'!$D$2:$K4147,MATCH($B1593,'HS Codes'!$A$2:$A4147,0),MATCH(G$1,'HS Codes'!$D$1:$K$1,0)),"")</f>
        <v>6505009090</v>
      </c>
      <c r="H1593" s="8" t="str">
        <f>_xlfn.IFNA(INDEX('HS Codes'!$D$2:$K4147,MATCH($B1593,'HS Codes'!$A$2:$A4147,0),MATCH(H$1,'HS Codes'!$D$1:$K$1,0)),"")</f>
        <v>6505.00.40.00</v>
      </c>
      <c r="I1593" s="8" t="str">
        <f>_xlfn.IFNA(INDEX('HS Codes'!$D$2:$K4147,MATCH($B1593,'HS Codes'!$A$2:$A4147,0),MATCH(I$1,'HS Codes'!$D$1:$K$1,0)),"")</f>
        <v>6505.00.90.90</v>
      </c>
      <c r="J1593" s="8">
        <f>_xlfn.IFNA(INDEX('HS Codes'!$D$2:$K4147,MATCH($B1593,'HS Codes'!$A$2:$A4147,0),MATCH(J$1,'HS Codes'!$D$1:$K$1,0)),"")</f>
        <v>0</v>
      </c>
      <c r="K1593" s="8" t="str">
        <f>_xlfn.IFNA(INDEX('HS Codes'!$D$2:$K4147,MATCH($B1593,'HS Codes'!$A$2:$A4147,0),MATCH(K$1,'HS Codes'!$D$1:$K$1,0)),"")</f>
        <v>6505.00.90</v>
      </c>
      <c r="L1593" s="8">
        <f>_xlfn.IFNA(INDEX('HS Codes'!$D$2:$K4147,MATCH($B1593,'HS Codes'!$A$2:$A4147,0),MATCH(L$1,'HS Codes'!$D$1:$K$1,0)),"")</f>
        <v>0</v>
      </c>
      <c r="M1593" s="8" t="str">
        <f>_xlfn.IFNA(INDEX('HS Codes'!$C$2:$C4147,MATCH($B1593,'HS Codes'!$A$2:$A4147,0)),"")</f>
        <v>Head Towel 100% recycled 200 GSM/83% polyester/17% polyamide (no cotton)</v>
      </c>
      <c r="N1593" s="9"/>
      <c r="O1593" s="9"/>
      <c r="P1593" s="9"/>
      <c r="Q1593" s="9"/>
    </row>
    <row r="1594" spans="1:17" ht="15.75" customHeight="1">
      <c r="A1594" s="7" t="s">
        <v>1887</v>
      </c>
      <c r="B1594" s="7" t="s">
        <v>129</v>
      </c>
      <c r="C1594" s="7" t="s">
        <v>278</v>
      </c>
      <c r="D1594" s="7" t="s">
        <v>130</v>
      </c>
      <c r="E1594" s="7" t="s">
        <v>360</v>
      </c>
      <c r="F1594" s="8" t="str">
        <f>_xlfn.IFNA(INDEX('HS Codes'!$D$2:$K4148,MATCH($B1594,'HS Codes'!$A$2:$A4148,0),MATCH(F$1,'HS Codes'!$D$1:$K$1,0)),"")</f>
        <v>6504.00.90.15</v>
      </c>
      <c r="G1594" s="8">
        <f>_xlfn.IFNA(INDEX('HS Codes'!$D$2:$K4148,MATCH($B1594,'HS Codes'!$A$2:$A4148,0),MATCH(G$1,'HS Codes'!$D$1:$K$1,0)),"")</f>
        <v>6505009090</v>
      </c>
      <c r="H1594" s="8" t="str">
        <f>_xlfn.IFNA(INDEX('HS Codes'!$D$2:$K4148,MATCH($B1594,'HS Codes'!$A$2:$A4148,0),MATCH(H$1,'HS Codes'!$D$1:$K$1,0)),"")</f>
        <v>6505.00.40.00</v>
      </c>
      <c r="I1594" s="8" t="str">
        <f>_xlfn.IFNA(INDEX('HS Codes'!$D$2:$K4148,MATCH($B1594,'HS Codes'!$A$2:$A4148,0),MATCH(I$1,'HS Codes'!$D$1:$K$1,0)),"")</f>
        <v>6505.00.90.90</v>
      </c>
      <c r="J1594" s="8">
        <f>_xlfn.IFNA(INDEX('HS Codes'!$D$2:$K4148,MATCH($B1594,'HS Codes'!$A$2:$A4148,0),MATCH(J$1,'HS Codes'!$D$1:$K$1,0)),"")</f>
        <v>0</v>
      </c>
      <c r="K1594" s="8" t="str">
        <f>_xlfn.IFNA(INDEX('HS Codes'!$D$2:$K4148,MATCH($B1594,'HS Codes'!$A$2:$A4148,0),MATCH(K$1,'HS Codes'!$D$1:$K$1,0)),"")</f>
        <v>6505.00.90</v>
      </c>
      <c r="L1594" s="8">
        <f>_xlfn.IFNA(INDEX('HS Codes'!$D$2:$K4148,MATCH($B1594,'HS Codes'!$A$2:$A4148,0),MATCH(L$1,'HS Codes'!$D$1:$K$1,0)),"")</f>
        <v>0</v>
      </c>
      <c r="M1594" s="8" t="str">
        <f>_xlfn.IFNA(INDEX('HS Codes'!$C$2:$C4148,MATCH($B1594,'HS Codes'!$A$2:$A4148,0)),"")</f>
        <v>Head Towel 100% recycled 200 GSM/83% polyester/17% polyamide (no cotton)</v>
      </c>
      <c r="N1594" s="9"/>
      <c r="O1594" s="9"/>
      <c r="P1594" s="9"/>
      <c r="Q1594" s="9"/>
    </row>
    <row r="1595" spans="1:17" ht="15.75" customHeight="1">
      <c r="A1595" s="7" t="s">
        <v>1888</v>
      </c>
      <c r="B1595" s="7" t="s">
        <v>129</v>
      </c>
      <c r="C1595" s="7" t="s">
        <v>278</v>
      </c>
      <c r="D1595" s="7" t="s">
        <v>130</v>
      </c>
      <c r="E1595" s="7" t="s">
        <v>360</v>
      </c>
      <c r="F1595" s="8" t="str">
        <f>_xlfn.IFNA(INDEX('HS Codes'!$D$2:$K4149,MATCH($B1595,'HS Codes'!$A$2:$A4149,0),MATCH(F$1,'HS Codes'!$D$1:$K$1,0)),"")</f>
        <v>6504.00.90.15</v>
      </c>
      <c r="G1595" s="8">
        <f>_xlfn.IFNA(INDEX('HS Codes'!$D$2:$K4149,MATCH($B1595,'HS Codes'!$A$2:$A4149,0),MATCH(G$1,'HS Codes'!$D$1:$K$1,0)),"")</f>
        <v>6505009090</v>
      </c>
      <c r="H1595" s="8" t="str">
        <f>_xlfn.IFNA(INDEX('HS Codes'!$D$2:$K4149,MATCH($B1595,'HS Codes'!$A$2:$A4149,0),MATCH(H$1,'HS Codes'!$D$1:$K$1,0)),"")</f>
        <v>6505.00.40.00</v>
      </c>
      <c r="I1595" s="8" t="str">
        <f>_xlfn.IFNA(INDEX('HS Codes'!$D$2:$K4149,MATCH($B1595,'HS Codes'!$A$2:$A4149,0),MATCH(I$1,'HS Codes'!$D$1:$K$1,0)),"")</f>
        <v>6505.00.90.90</v>
      </c>
      <c r="J1595" s="8">
        <f>_xlfn.IFNA(INDEX('HS Codes'!$D$2:$K4149,MATCH($B1595,'HS Codes'!$A$2:$A4149,0),MATCH(J$1,'HS Codes'!$D$1:$K$1,0)),"")</f>
        <v>0</v>
      </c>
      <c r="K1595" s="8" t="str">
        <f>_xlfn.IFNA(INDEX('HS Codes'!$D$2:$K4149,MATCH($B1595,'HS Codes'!$A$2:$A4149,0),MATCH(K$1,'HS Codes'!$D$1:$K$1,0)),"")</f>
        <v>6505.00.90</v>
      </c>
      <c r="L1595" s="8">
        <f>_xlfn.IFNA(INDEX('HS Codes'!$D$2:$K4149,MATCH($B1595,'HS Codes'!$A$2:$A4149,0),MATCH(L$1,'HS Codes'!$D$1:$K$1,0)),"")</f>
        <v>0</v>
      </c>
      <c r="M1595" s="8" t="str">
        <f>_xlfn.IFNA(INDEX('HS Codes'!$C$2:$C4149,MATCH($B1595,'HS Codes'!$A$2:$A4149,0)),"")</f>
        <v>Head Towel 100% recycled 200 GSM/83% polyester/17% polyamide (no cotton)</v>
      </c>
      <c r="N1595" s="9"/>
      <c r="O1595" s="9"/>
      <c r="P1595" s="9"/>
      <c r="Q1595" s="9"/>
    </row>
    <row r="1596" spans="1:17" ht="15.75" customHeight="1">
      <c r="A1596" s="7" t="s">
        <v>1889</v>
      </c>
      <c r="B1596" s="7" t="s">
        <v>129</v>
      </c>
      <c r="C1596" s="7" t="s">
        <v>278</v>
      </c>
      <c r="D1596" s="7" t="s">
        <v>130</v>
      </c>
      <c r="E1596" s="7" t="s">
        <v>360</v>
      </c>
      <c r="F1596" s="8" t="str">
        <f>_xlfn.IFNA(INDEX('HS Codes'!$D$2:$K4150,MATCH($B1596,'HS Codes'!$A$2:$A4150,0),MATCH(F$1,'HS Codes'!$D$1:$K$1,0)),"")</f>
        <v>6504.00.90.15</v>
      </c>
      <c r="G1596" s="8">
        <f>_xlfn.IFNA(INDEX('HS Codes'!$D$2:$K4150,MATCH($B1596,'HS Codes'!$A$2:$A4150,0),MATCH(G$1,'HS Codes'!$D$1:$K$1,0)),"")</f>
        <v>6505009090</v>
      </c>
      <c r="H1596" s="8" t="str">
        <f>_xlfn.IFNA(INDEX('HS Codes'!$D$2:$K4150,MATCH($B1596,'HS Codes'!$A$2:$A4150,0),MATCH(H$1,'HS Codes'!$D$1:$K$1,0)),"")</f>
        <v>6505.00.40.00</v>
      </c>
      <c r="I1596" s="8" t="str">
        <f>_xlfn.IFNA(INDEX('HS Codes'!$D$2:$K4150,MATCH($B1596,'HS Codes'!$A$2:$A4150,0),MATCH(I$1,'HS Codes'!$D$1:$K$1,0)),"")</f>
        <v>6505.00.90.90</v>
      </c>
      <c r="J1596" s="8">
        <f>_xlfn.IFNA(INDEX('HS Codes'!$D$2:$K4150,MATCH($B1596,'HS Codes'!$A$2:$A4150,0),MATCH(J$1,'HS Codes'!$D$1:$K$1,0)),"")</f>
        <v>0</v>
      </c>
      <c r="K1596" s="8" t="str">
        <f>_xlfn.IFNA(INDEX('HS Codes'!$D$2:$K4150,MATCH($B1596,'HS Codes'!$A$2:$A4150,0),MATCH(K$1,'HS Codes'!$D$1:$K$1,0)),"")</f>
        <v>6505.00.90</v>
      </c>
      <c r="L1596" s="8">
        <f>_xlfn.IFNA(INDEX('HS Codes'!$D$2:$K4150,MATCH($B1596,'HS Codes'!$A$2:$A4150,0),MATCH(L$1,'HS Codes'!$D$1:$K$1,0)),"")</f>
        <v>0</v>
      </c>
      <c r="M1596" s="8" t="str">
        <f>_xlfn.IFNA(INDEX('HS Codes'!$C$2:$C4150,MATCH($B1596,'HS Codes'!$A$2:$A4150,0)),"")</f>
        <v>Head Towel 100% recycled 200 GSM/83% polyester/17% polyamide (no cotton)</v>
      </c>
      <c r="N1596" s="9"/>
      <c r="O1596" s="9"/>
      <c r="P1596" s="9"/>
      <c r="Q1596" s="9"/>
    </row>
    <row r="1597" spans="1:17" ht="15.75" customHeight="1">
      <c r="A1597" s="7" t="s">
        <v>1890</v>
      </c>
      <c r="B1597" s="7" t="s">
        <v>129</v>
      </c>
      <c r="C1597" s="7" t="s">
        <v>278</v>
      </c>
      <c r="D1597" s="7" t="s">
        <v>130</v>
      </c>
      <c r="E1597" s="7" t="s">
        <v>360</v>
      </c>
      <c r="F1597" s="8" t="str">
        <f>_xlfn.IFNA(INDEX('HS Codes'!$D$2:$K4151,MATCH($B1597,'HS Codes'!$A$2:$A4151,0),MATCH(F$1,'HS Codes'!$D$1:$K$1,0)),"")</f>
        <v>6504.00.90.15</v>
      </c>
      <c r="G1597" s="8">
        <f>_xlfn.IFNA(INDEX('HS Codes'!$D$2:$K4151,MATCH($B1597,'HS Codes'!$A$2:$A4151,0),MATCH(G$1,'HS Codes'!$D$1:$K$1,0)),"")</f>
        <v>6505009090</v>
      </c>
      <c r="H1597" s="8" t="str">
        <f>_xlfn.IFNA(INDEX('HS Codes'!$D$2:$K4151,MATCH($B1597,'HS Codes'!$A$2:$A4151,0),MATCH(H$1,'HS Codes'!$D$1:$K$1,0)),"")</f>
        <v>6505.00.40.00</v>
      </c>
      <c r="I1597" s="8" t="str">
        <f>_xlfn.IFNA(INDEX('HS Codes'!$D$2:$K4151,MATCH($B1597,'HS Codes'!$A$2:$A4151,0),MATCH(I$1,'HS Codes'!$D$1:$K$1,0)),"")</f>
        <v>6505.00.90.90</v>
      </c>
      <c r="J1597" s="8">
        <f>_xlfn.IFNA(INDEX('HS Codes'!$D$2:$K4151,MATCH($B1597,'HS Codes'!$A$2:$A4151,0),MATCH(J$1,'HS Codes'!$D$1:$K$1,0)),"")</f>
        <v>0</v>
      </c>
      <c r="K1597" s="8" t="str">
        <f>_xlfn.IFNA(INDEX('HS Codes'!$D$2:$K4151,MATCH($B1597,'HS Codes'!$A$2:$A4151,0),MATCH(K$1,'HS Codes'!$D$1:$K$1,0)),"")</f>
        <v>6505.00.90</v>
      </c>
      <c r="L1597" s="8">
        <f>_xlfn.IFNA(INDEX('HS Codes'!$D$2:$K4151,MATCH($B1597,'HS Codes'!$A$2:$A4151,0),MATCH(L$1,'HS Codes'!$D$1:$K$1,0)),"")</f>
        <v>0</v>
      </c>
      <c r="M1597" s="8" t="str">
        <f>_xlfn.IFNA(INDEX('HS Codes'!$C$2:$C4151,MATCH($B1597,'HS Codes'!$A$2:$A4151,0)),"")</f>
        <v>Head Towel 100% recycled 200 GSM/83% polyester/17% polyamide (no cotton)</v>
      </c>
      <c r="N1597" s="9"/>
      <c r="O1597" s="9"/>
      <c r="P1597" s="9"/>
      <c r="Q1597" s="9"/>
    </row>
    <row r="1598" spans="1:17" ht="15.75" customHeight="1">
      <c r="A1598" s="7" t="s">
        <v>1891</v>
      </c>
      <c r="B1598" s="7" t="s">
        <v>129</v>
      </c>
      <c r="C1598" s="7" t="s">
        <v>278</v>
      </c>
      <c r="D1598" s="7" t="s">
        <v>130</v>
      </c>
      <c r="E1598" s="7" t="s">
        <v>360</v>
      </c>
      <c r="F1598" s="8" t="str">
        <f>_xlfn.IFNA(INDEX('HS Codes'!$D$2:$K4152,MATCH($B1598,'HS Codes'!$A$2:$A4152,0),MATCH(F$1,'HS Codes'!$D$1:$K$1,0)),"")</f>
        <v>6504.00.90.15</v>
      </c>
      <c r="G1598" s="8">
        <f>_xlfn.IFNA(INDEX('HS Codes'!$D$2:$K4152,MATCH($B1598,'HS Codes'!$A$2:$A4152,0),MATCH(G$1,'HS Codes'!$D$1:$K$1,0)),"")</f>
        <v>6505009090</v>
      </c>
      <c r="H1598" s="8" t="str">
        <f>_xlfn.IFNA(INDEX('HS Codes'!$D$2:$K4152,MATCH($B1598,'HS Codes'!$A$2:$A4152,0),MATCH(H$1,'HS Codes'!$D$1:$K$1,0)),"")</f>
        <v>6505.00.40.00</v>
      </c>
      <c r="I1598" s="8" t="str">
        <f>_xlfn.IFNA(INDEX('HS Codes'!$D$2:$K4152,MATCH($B1598,'HS Codes'!$A$2:$A4152,0),MATCH(I$1,'HS Codes'!$D$1:$K$1,0)),"")</f>
        <v>6505.00.90.90</v>
      </c>
      <c r="J1598" s="8">
        <f>_xlfn.IFNA(INDEX('HS Codes'!$D$2:$K4152,MATCH($B1598,'HS Codes'!$A$2:$A4152,0),MATCH(J$1,'HS Codes'!$D$1:$K$1,0)),"")</f>
        <v>0</v>
      </c>
      <c r="K1598" s="8" t="str">
        <f>_xlfn.IFNA(INDEX('HS Codes'!$D$2:$K4152,MATCH($B1598,'HS Codes'!$A$2:$A4152,0),MATCH(K$1,'HS Codes'!$D$1:$K$1,0)),"")</f>
        <v>6505.00.90</v>
      </c>
      <c r="L1598" s="8">
        <f>_xlfn.IFNA(INDEX('HS Codes'!$D$2:$K4152,MATCH($B1598,'HS Codes'!$A$2:$A4152,0),MATCH(L$1,'HS Codes'!$D$1:$K$1,0)),"")</f>
        <v>0</v>
      </c>
      <c r="M1598" s="8" t="str">
        <f>_xlfn.IFNA(INDEX('HS Codes'!$C$2:$C4152,MATCH($B1598,'HS Codes'!$A$2:$A4152,0)),"")</f>
        <v>Head Towel 100% recycled 200 GSM/83% polyester/17% polyamide (no cotton)</v>
      </c>
      <c r="N1598" s="9"/>
      <c r="O1598" s="9"/>
      <c r="P1598" s="9"/>
      <c r="Q1598" s="9"/>
    </row>
    <row r="1599" spans="1:17" ht="15.75" customHeight="1">
      <c r="A1599" s="7" t="s">
        <v>1892</v>
      </c>
      <c r="B1599" s="7" t="s">
        <v>129</v>
      </c>
      <c r="C1599" s="7" t="s">
        <v>278</v>
      </c>
      <c r="D1599" s="7" t="s">
        <v>130</v>
      </c>
      <c r="E1599" s="7" t="s">
        <v>360</v>
      </c>
      <c r="F1599" s="8" t="str">
        <f>_xlfn.IFNA(INDEX('HS Codes'!$D$2:$K4153,MATCH($B1599,'HS Codes'!$A$2:$A4153,0),MATCH(F$1,'HS Codes'!$D$1:$K$1,0)),"")</f>
        <v>6504.00.90.15</v>
      </c>
      <c r="G1599" s="8">
        <f>_xlfn.IFNA(INDEX('HS Codes'!$D$2:$K4153,MATCH($B1599,'HS Codes'!$A$2:$A4153,0),MATCH(G$1,'HS Codes'!$D$1:$K$1,0)),"")</f>
        <v>6505009090</v>
      </c>
      <c r="H1599" s="8" t="str">
        <f>_xlfn.IFNA(INDEX('HS Codes'!$D$2:$K4153,MATCH($B1599,'HS Codes'!$A$2:$A4153,0),MATCH(H$1,'HS Codes'!$D$1:$K$1,0)),"")</f>
        <v>6505.00.40.00</v>
      </c>
      <c r="I1599" s="8" t="str">
        <f>_xlfn.IFNA(INDEX('HS Codes'!$D$2:$K4153,MATCH($B1599,'HS Codes'!$A$2:$A4153,0),MATCH(I$1,'HS Codes'!$D$1:$K$1,0)),"")</f>
        <v>6505.00.90.90</v>
      </c>
      <c r="J1599" s="8">
        <f>_xlfn.IFNA(INDEX('HS Codes'!$D$2:$K4153,MATCH($B1599,'HS Codes'!$A$2:$A4153,0),MATCH(J$1,'HS Codes'!$D$1:$K$1,0)),"")</f>
        <v>0</v>
      </c>
      <c r="K1599" s="8" t="str">
        <f>_xlfn.IFNA(INDEX('HS Codes'!$D$2:$K4153,MATCH($B1599,'HS Codes'!$A$2:$A4153,0),MATCH(K$1,'HS Codes'!$D$1:$K$1,0)),"")</f>
        <v>6505.00.90</v>
      </c>
      <c r="L1599" s="8">
        <f>_xlfn.IFNA(INDEX('HS Codes'!$D$2:$K4153,MATCH($B1599,'HS Codes'!$A$2:$A4153,0),MATCH(L$1,'HS Codes'!$D$1:$K$1,0)),"")</f>
        <v>0</v>
      </c>
      <c r="M1599" s="8" t="str">
        <f>_xlfn.IFNA(INDEX('HS Codes'!$C$2:$C4153,MATCH($B1599,'HS Codes'!$A$2:$A4153,0)),"")</f>
        <v>Head Towel 100% recycled 200 GSM/83% polyester/17% polyamide (no cotton)</v>
      </c>
      <c r="N1599" s="9"/>
      <c r="O1599" s="9"/>
      <c r="P1599" s="9"/>
      <c r="Q1599" s="9"/>
    </row>
    <row r="1600" spans="1:17" ht="15.75" customHeight="1">
      <c r="A1600" s="7" t="s">
        <v>1893</v>
      </c>
      <c r="B1600" s="7" t="s">
        <v>129</v>
      </c>
      <c r="C1600" s="7" t="s">
        <v>278</v>
      </c>
      <c r="D1600" s="7" t="s">
        <v>130</v>
      </c>
      <c r="E1600" s="7" t="s">
        <v>360</v>
      </c>
      <c r="F1600" s="8" t="str">
        <f>_xlfn.IFNA(INDEX('HS Codes'!$D$2:$K4154,MATCH($B1600,'HS Codes'!$A$2:$A4154,0),MATCH(F$1,'HS Codes'!$D$1:$K$1,0)),"")</f>
        <v>6504.00.90.15</v>
      </c>
      <c r="G1600" s="8">
        <f>_xlfn.IFNA(INDEX('HS Codes'!$D$2:$K4154,MATCH($B1600,'HS Codes'!$A$2:$A4154,0),MATCH(G$1,'HS Codes'!$D$1:$K$1,0)),"")</f>
        <v>6505009090</v>
      </c>
      <c r="H1600" s="8" t="str">
        <f>_xlfn.IFNA(INDEX('HS Codes'!$D$2:$K4154,MATCH($B1600,'HS Codes'!$A$2:$A4154,0),MATCH(H$1,'HS Codes'!$D$1:$K$1,0)),"")</f>
        <v>6505.00.40.00</v>
      </c>
      <c r="I1600" s="8" t="str">
        <f>_xlfn.IFNA(INDEX('HS Codes'!$D$2:$K4154,MATCH($B1600,'HS Codes'!$A$2:$A4154,0),MATCH(I$1,'HS Codes'!$D$1:$K$1,0)),"")</f>
        <v>6505.00.90.90</v>
      </c>
      <c r="J1600" s="8">
        <f>_xlfn.IFNA(INDEX('HS Codes'!$D$2:$K4154,MATCH($B1600,'HS Codes'!$A$2:$A4154,0),MATCH(J$1,'HS Codes'!$D$1:$K$1,0)),"")</f>
        <v>0</v>
      </c>
      <c r="K1600" s="8" t="str">
        <f>_xlfn.IFNA(INDEX('HS Codes'!$D$2:$K4154,MATCH($B1600,'HS Codes'!$A$2:$A4154,0),MATCH(K$1,'HS Codes'!$D$1:$K$1,0)),"")</f>
        <v>6505.00.90</v>
      </c>
      <c r="L1600" s="8">
        <f>_xlfn.IFNA(INDEX('HS Codes'!$D$2:$K4154,MATCH($B1600,'HS Codes'!$A$2:$A4154,0),MATCH(L$1,'HS Codes'!$D$1:$K$1,0)),"")</f>
        <v>0</v>
      </c>
      <c r="M1600" s="8" t="str">
        <f>_xlfn.IFNA(INDEX('HS Codes'!$C$2:$C4154,MATCH($B1600,'HS Codes'!$A$2:$A4154,0)),"")</f>
        <v>Head Towel 100% recycled 200 GSM/83% polyester/17% polyamide (no cotton)</v>
      </c>
      <c r="N1600" s="9"/>
      <c r="O1600" s="9"/>
      <c r="P1600" s="9"/>
      <c r="Q1600" s="9"/>
    </row>
    <row r="1601" spans="1:17" ht="15.75" customHeight="1">
      <c r="A1601" s="7" t="s">
        <v>1894</v>
      </c>
      <c r="B1601" s="7" t="s">
        <v>129</v>
      </c>
      <c r="C1601" s="7" t="s">
        <v>278</v>
      </c>
      <c r="D1601" s="7" t="s">
        <v>130</v>
      </c>
      <c r="E1601" s="7" t="s">
        <v>360</v>
      </c>
      <c r="F1601" s="8" t="str">
        <f>_xlfn.IFNA(INDEX('HS Codes'!$D$2:$K4155,MATCH($B1601,'HS Codes'!$A$2:$A4155,0),MATCH(F$1,'HS Codes'!$D$1:$K$1,0)),"")</f>
        <v>6504.00.90.15</v>
      </c>
      <c r="G1601" s="8">
        <f>_xlfn.IFNA(INDEX('HS Codes'!$D$2:$K4155,MATCH($B1601,'HS Codes'!$A$2:$A4155,0),MATCH(G$1,'HS Codes'!$D$1:$K$1,0)),"")</f>
        <v>6505009090</v>
      </c>
      <c r="H1601" s="8" t="str">
        <f>_xlfn.IFNA(INDEX('HS Codes'!$D$2:$K4155,MATCH($B1601,'HS Codes'!$A$2:$A4155,0),MATCH(H$1,'HS Codes'!$D$1:$K$1,0)),"")</f>
        <v>6505.00.40.00</v>
      </c>
      <c r="I1601" s="8" t="str">
        <f>_xlfn.IFNA(INDEX('HS Codes'!$D$2:$K4155,MATCH($B1601,'HS Codes'!$A$2:$A4155,0),MATCH(I$1,'HS Codes'!$D$1:$K$1,0)),"")</f>
        <v>6505.00.90.90</v>
      </c>
      <c r="J1601" s="8">
        <f>_xlfn.IFNA(INDEX('HS Codes'!$D$2:$K4155,MATCH($B1601,'HS Codes'!$A$2:$A4155,0),MATCH(J$1,'HS Codes'!$D$1:$K$1,0)),"")</f>
        <v>0</v>
      </c>
      <c r="K1601" s="8" t="str">
        <f>_xlfn.IFNA(INDEX('HS Codes'!$D$2:$K4155,MATCH($B1601,'HS Codes'!$A$2:$A4155,0),MATCH(K$1,'HS Codes'!$D$1:$K$1,0)),"")</f>
        <v>6505.00.90</v>
      </c>
      <c r="L1601" s="8">
        <f>_xlfn.IFNA(INDEX('HS Codes'!$D$2:$K4155,MATCH($B1601,'HS Codes'!$A$2:$A4155,0),MATCH(L$1,'HS Codes'!$D$1:$K$1,0)),"")</f>
        <v>0</v>
      </c>
      <c r="M1601" s="8" t="str">
        <f>_xlfn.IFNA(INDEX('HS Codes'!$C$2:$C4155,MATCH($B1601,'HS Codes'!$A$2:$A4155,0)),"")</f>
        <v>Head Towel 100% recycled 200 GSM/83% polyester/17% polyamide (no cotton)</v>
      </c>
      <c r="N1601" s="9"/>
      <c r="O1601" s="9"/>
      <c r="P1601" s="9"/>
      <c r="Q1601" s="9"/>
    </row>
    <row r="1602" spans="1:17" ht="15.75" customHeight="1">
      <c r="A1602" s="7" t="s">
        <v>1895</v>
      </c>
      <c r="B1602" s="7" t="s">
        <v>129</v>
      </c>
      <c r="C1602" s="7" t="s">
        <v>278</v>
      </c>
      <c r="D1602" s="7" t="s">
        <v>130</v>
      </c>
      <c r="E1602" s="7" t="s">
        <v>360</v>
      </c>
      <c r="F1602" s="8" t="str">
        <f>_xlfn.IFNA(INDEX('HS Codes'!$D$2:$K4156,MATCH($B1602,'HS Codes'!$A$2:$A4156,0),MATCH(F$1,'HS Codes'!$D$1:$K$1,0)),"")</f>
        <v>6504.00.90.15</v>
      </c>
      <c r="G1602" s="8">
        <f>_xlfn.IFNA(INDEX('HS Codes'!$D$2:$K4156,MATCH($B1602,'HS Codes'!$A$2:$A4156,0),MATCH(G$1,'HS Codes'!$D$1:$K$1,0)),"")</f>
        <v>6505009090</v>
      </c>
      <c r="H1602" s="8" t="str">
        <f>_xlfn.IFNA(INDEX('HS Codes'!$D$2:$K4156,MATCH($B1602,'HS Codes'!$A$2:$A4156,0),MATCH(H$1,'HS Codes'!$D$1:$K$1,0)),"")</f>
        <v>6505.00.40.00</v>
      </c>
      <c r="I1602" s="8" t="str">
        <f>_xlfn.IFNA(INDEX('HS Codes'!$D$2:$K4156,MATCH($B1602,'HS Codes'!$A$2:$A4156,0),MATCH(I$1,'HS Codes'!$D$1:$K$1,0)),"")</f>
        <v>6505.00.90.90</v>
      </c>
      <c r="J1602" s="8">
        <f>_xlfn.IFNA(INDEX('HS Codes'!$D$2:$K4156,MATCH($B1602,'HS Codes'!$A$2:$A4156,0),MATCH(J$1,'HS Codes'!$D$1:$K$1,0)),"")</f>
        <v>0</v>
      </c>
      <c r="K1602" s="8" t="str">
        <f>_xlfn.IFNA(INDEX('HS Codes'!$D$2:$K4156,MATCH($B1602,'HS Codes'!$A$2:$A4156,0),MATCH(K$1,'HS Codes'!$D$1:$K$1,0)),"")</f>
        <v>6505.00.90</v>
      </c>
      <c r="L1602" s="8">
        <f>_xlfn.IFNA(INDEX('HS Codes'!$D$2:$K4156,MATCH($B1602,'HS Codes'!$A$2:$A4156,0),MATCH(L$1,'HS Codes'!$D$1:$K$1,0)),"")</f>
        <v>0</v>
      </c>
      <c r="M1602" s="8" t="str">
        <f>_xlfn.IFNA(INDEX('HS Codes'!$C$2:$C4156,MATCH($B1602,'HS Codes'!$A$2:$A4156,0)),"")</f>
        <v>Head Towel 100% recycled 200 GSM/83% polyester/17% polyamide (no cotton)</v>
      </c>
      <c r="N1602" s="9"/>
      <c r="O1602" s="9"/>
      <c r="P1602" s="9"/>
      <c r="Q1602" s="9"/>
    </row>
    <row r="1603" spans="1:17" ht="15.75" customHeight="1">
      <c r="A1603" s="7" t="s">
        <v>1896</v>
      </c>
      <c r="B1603" s="7" t="s">
        <v>129</v>
      </c>
      <c r="C1603" s="7" t="s">
        <v>278</v>
      </c>
      <c r="D1603" s="7" t="s">
        <v>130</v>
      </c>
      <c r="E1603" s="7" t="s">
        <v>360</v>
      </c>
      <c r="F1603" s="8" t="str">
        <f>_xlfn.IFNA(INDEX('HS Codes'!$D$2:$K4157,MATCH($B1603,'HS Codes'!$A$2:$A4157,0),MATCH(F$1,'HS Codes'!$D$1:$K$1,0)),"")</f>
        <v>6504.00.90.15</v>
      </c>
      <c r="G1603" s="8">
        <f>_xlfn.IFNA(INDEX('HS Codes'!$D$2:$K4157,MATCH($B1603,'HS Codes'!$A$2:$A4157,0),MATCH(G$1,'HS Codes'!$D$1:$K$1,0)),"")</f>
        <v>6505009090</v>
      </c>
      <c r="H1603" s="8" t="str">
        <f>_xlfn.IFNA(INDEX('HS Codes'!$D$2:$K4157,MATCH($B1603,'HS Codes'!$A$2:$A4157,0),MATCH(H$1,'HS Codes'!$D$1:$K$1,0)),"")</f>
        <v>6505.00.40.00</v>
      </c>
      <c r="I1603" s="8" t="str">
        <f>_xlfn.IFNA(INDEX('HS Codes'!$D$2:$K4157,MATCH($B1603,'HS Codes'!$A$2:$A4157,0),MATCH(I$1,'HS Codes'!$D$1:$K$1,0)),"")</f>
        <v>6505.00.90.90</v>
      </c>
      <c r="J1603" s="8">
        <f>_xlfn.IFNA(INDEX('HS Codes'!$D$2:$K4157,MATCH($B1603,'HS Codes'!$A$2:$A4157,0),MATCH(J$1,'HS Codes'!$D$1:$K$1,0)),"")</f>
        <v>0</v>
      </c>
      <c r="K1603" s="8" t="str">
        <f>_xlfn.IFNA(INDEX('HS Codes'!$D$2:$K4157,MATCH($B1603,'HS Codes'!$A$2:$A4157,0),MATCH(K$1,'HS Codes'!$D$1:$K$1,0)),"")</f>
        <v>6505.00.90</v>
      </c>
      <c r="L1603" s="8">
        <f>_xlfn.IFNA(INDEX('HS Codes'!$D$2:$K4157,MATCH($B1603,'HS Codes'!$A$2:$A4157,0),MATCH(L$1,'HS Codes'!$D$1:$K$1,0)),"")</f>
        <v>0</v>
      </c>
      <c r="M1603" s="8" t="str">
        <f>_xlfn.IFNA(INDEX('HS Codes'!$C$2:$C4157,MATCH($B1603,'HS Codes'!$A$2:$A4157,0)),"")</f>
        <v>Head Towel 100% recycled 200 GSM/83% polyester/17% polyamide (no cotton)</v>
      </c>
      <c r="N1603" s="9"/>
      <c r="O1603" s="9"/>
      <c r="P1603" s="9"/>
      <c r="Q1603" s="9"/>
    </row>
    <row r="1604" spans="1:17" ht="15.75" customHeight="1">
      <c r="A1604" s="7" t="s">
        <v>1897</v>
      </c>
      <c r="B1604" s="7" t="s">
        <v>129</v>
      </c>
      <c r="C1604" s="7" t="s">
        <v>278</v>
      </c>
      <c r="D1604" s="7" t="s">
        <v>130</v>
      </c>
      <c r="E1604" s="7" t="s">
        <v>360</v>
      </c>
      <c r="F1604" s="8" t="str">
        <f>_xlfn.IFNA(INDEX('HS Codes'!$D$2:$K4158,MATCH($B1604,'HS Codes'!$A$2:$A4158,0),MATCH(F$1,'HS Codes'!$D$1:$K$1,0)),"")</f>
        <v>6504.00.90.15</v>
      </c>
      <c r="G1604" s="8">
        <f>_xlfn.IFNA(INDEX('HS Codes'!$D$2:$K4158,MATCH($B1604,'HS Codes'!$A$2:$A4158,0),MATCH(G$1,'HS Codes'!$D$1:$K$1,0)),"")</f>
        <v>6505009090</v>
      </c>
      <c r="H1604" s="8" t="str">
        <f>_xlfn.IFNA(INDEX('HS Codes'!$D$2:$K4158,MATCH($B1604,'HS Codes'!$A$2:$A4158,0),MATCH(H$1,'HS Codes'!$D$1:$K$1,0)),"")</f>
        <v>6505.00.40.00</v>
      </c>
      <c r="I1604" s="8" t="str">
        <f>_xlfn.IFNA(INDEX('HS Codes'!$D$2:$K4158,MATCH($B1604,'HS Codes'!$A$2:$A4158,0),MATCH(I$1,'HS Codes'!$D$1:$K$1,0)),"")</f>
        <v>6505.00.90.90</v>
      </c>
      <c r="J1604" s="8">
        <f>_xlfn.IFNA(INDEX('HS Codes'!$D$2:$K4158,MATCH($B1604,'HS Codes'!$A$2:$A4158,0),MATCH(J$1,'HS Codes'!$D$1:$K$1,0)),"")</f>
        <v>0</v>
      </c>
      <c r="K1604" s="8" t="str">
        <f>_xlfn.IFNA(INDEX('HS Codes'!$D$2:$K4158,MATCH($B1604,'HS Codes'!$A$2:$A4158,0),MATCH(K$1,'HS Codes'!$D$1:$K$1,0)),"")</f>
        <v>6505.00.90</v>
      </c>
      <c r="L1604" s="8">
        <f>_xlfn.IFNA(INDEX('HS Codes'!$D$2:$K4158,MATCH($B1604,'HS Codes'!$A$2:$A4158,0),MATCH(L$1,'HS Codes'!$D$1:$K$1,0)),"")</f>
        <v>0</v>
      </c>
      <c r="M1604" s="8" t="str">
        <f>_xlfn.IFNA(INDEX('HS Codes'!$C$2:$C4158,MATCH($B1604,'HS Codes'!$A$2:$A4158,0)),"")</f>
        <v>Head Towel 100% recycled 200 GSM/83% polyester/17% polyamide (no cotton)</v>
      </c>
      <c r="N1604" s="9"/>
      <c r="O1604" s="9"/>
      <c r="P1604" s="9"/>
      <c r="Q1604" s="9"/>
    </row>
    <row r="1605" spans="1:17" ht="15.75" customHeight="1">
      <c r="A1605" s="7" t="s">
        <v>1898</v>
      </c>
      <c r="B1605" s="7" t="s">
        <v>129</v>
      </c>
      <c r="C1605" s="7" t="s">
        <v>278</v>
      </c>
      <c r="D1605" s="7" t="s">
        <v>130</v>
      </c>
      <c r="E1605" s="7" t="s">
        <v>360</v>
      </c>
      <c r="F1605" s="8" t="str">
        <f>_xlfn.IFNA(INDEX('HS Codes'!$D$2:$K4159,MATCH($B1605,'HS Codes'!$A$2:$A4159,0),MATCH(F$1,'HS Codes'!$D$1:$K$1,0)),"")</f>
        <v>6504.00.90.15</v>
      </c>
      <c r="G1605" s="8">
        <f>_xlfn.IFNA(INDEX('HS Codes'!$D$2:$K4159,MATCH($B1605,'HS Codes'!$A$2:$A4159,0),MATCH(G$1,'HS Codes'!$D$1:$K$1,0)),"")</f>
        <v>6505009090</v>
      </c>
      <c r="H1605" s="8" t="str">
        <f>_xlfn.IFNA(INDEX('HS Codes'!$D$2:$K4159,MATCH($B1605,'HS Codes'!$A$2:$A4159,0),MATCH(H$1,'HS Codes'!$D$1:$K$1,0)),"")</f>
        <v>6505.00.40.00</v>
      </c>
      <c r="I1605" s="8" t="str">
        <f>_xlfn.IFNA(INDEX('HS Codes'!$D$2:$K4159,MATCH($B1605,'HS Codes'!$A$2:$A4159,0),MATCH(I$1,'HS Codes'!$D$1:$K$1,0)),"")</f>
        <v>6505.00.90.90</v>
      </c>
      <c r="J1605" s="8">
        <f>_xlfn.IFNA(INDEX('HS Codes'!$D$2:$K4159,MATCH($B1605,'HS Codes'!$A$2:$A4159,0),MATCH(J$1,'HS Codes'!$D$1:$K$1,0)),"")</f>
        <v>0</v>
      </c>
      <c r="K1605" s="8" t="str">
        <f>_xlfn.IFNA(INDEX('HS Codes'!$D$2:$K4159,MATCH($B1605,'HS Codes'!$A$2:$A4159,0),MATCH(K$1,'HS Codes'!$D$1:$K$1,0)),"")</f>
        <v>6505.00.90</v>
      </c>
      <c r="L1605" s="8">
        <f>_xlfn.IFNA(INDEX('HS Codes'!$D$2:$K4159,MATCH($B1605,'HS Codes'!$A$2:$A4159,0),MATCH(L$1,'HS Codes'!$D$1:$K$1,0)),"")</f>
        <v>0</v>
      </c>
      <c r="M1605" s="8" t="str">
        <f>_xlfn.IFNA(INDEX('HS Codes'!$C$2:$C4159,MATCH($B1605,'HS Codes'!$A$2:$A4159,0)),"")</f>
        <v>Head Towel 100% recycled 200 GSM/83% polyester/17% polyamide (no cotton)</v>
      </c>
      <c r="N1605" s="9"/>
      <c r="O1605" s="9"/>
      <c r="P1605" s="9"/>
      <c r="Q1605" s="9"/>
    </row>
    <row r="1606" spans="1:17" ht="15.75" customHeight="1">
      <c r="A1606" s="7" t="s">
        <v>1899</v>
      </c>
      <c r="B1606" s="7" t="s">
        <v>129</v>
      </c>
      <c r="C1606" s="7" t="s">
        <v>278</v>
      </c>
      <c r="D1606" s="7" t="s">
        <v>130</v>
      </c>
      <c r="E1606" s="7" t="s">
        <v>360</v>
      </c>
      <c r="F1606" s="8" t="str">
        <f>_xlfn.IFNA(INDEX('HS Codes'!$D$2:$K4160,MATCH($B1606,'HS Codes'!$A$2:$A4160,0),MATCH(F$1,'HS Codes'!$D$1:$K$1,0)),"")</f>
        <v>6504.00.90.15</v>
      </c>
      <c r="G1606" s="8">
        <f>_xlfn.IFNA(INDEX('HS Codes'!$D$2:$K4160,MATCH($B1606,'HS Codes'!$A$2:$A4160,0),MATCH(G$1,'HS Codes'!$D$1:$K$1,0)),"")</f>
        <v>6505009090</v>
      </c>
      <c r="H1606" s="8" t="str">
        <f>_xlfn.IFNA(INDEX('HS Codes'!$D$2:$K4160,MATCH($B1606,'HS Codes'!$A$2:$A4160,0),MATCH(H$1,'HS Codes'!$D$1:$K$1,0)),"")</f>
        <v>6505.00.40.00</v>
      </c>
      <c r="I1606" s="8" t="str">
        <f>_xlfn.IFNA(INDEX('HS Codes'!$D$2:$K4160,MATCH($B1606,'HS Codes'!$A$2:$A4160,0),MATCH(I$1,'HS Codes'!$D$1:$K$1,0)),"")</f>
        <v>6505.00.90.90</v>
      </c>
      <c r="J1606" s="8">
        <f>_xlfn.IFNA(INDEX('HS Codes'!$D$2:$K4160,MATCH($B1606,'HS Codes'!$A$2:$A4160,0),MATCH(J$1,'HS Codes'!$D$1:$K$1,0)),"")</f>
        <v>0</v>
      </c>
      <c r="K1606" s="8" t="str">
        <f>_xlfn.IFNA(INDEX('HS Codes'!$D$2:$K4160,MATCH($B1606,'HS Codes'!$A$2:$A4160,0),MATCH(K$1,'HS Codes'!$D$1:$K$1,0)),"")</f>
        <v>6505.00.90</v>
      </c>
      <c r="L1606" s="8">
        <f>_xlfn.IFNA(INDEX('HS Codes'!$D$2:$K4160,MATCH($B1606,'HS Codes'!$A$2:$A4160,0),MATCH(L$1,'HS Codes'!$D$1:$K$1,0)),"")</f>
        <v>0</v>
      </c>
      <c r="M1606" s="8" t="str">
        <f>_xlfn.IFNA(INDEX('HS Codes'!$C$2:$C4160,MATCH($B1606,'HS Codes'!$A$2:$A4160,0)),"")</f>
        <v>Head Towel 100% recycled 200 GSM/83% polyester/17% polyamide (no cotton)</v>
      </c>
      <c r="N1606" s="9"/>
      <c r="O1606" s="9"/>
      <c r="P1606" s="9"/>
      <c r="Q1606" s="9"/>
    </row>
    <row r="1607" spans="1:17" ht="15.75" customHeight="1">
      <c r="A1607" s="7" t="s">
        <v>1900</v>
      </c>
      <c r="B1607" s="7" t="s">
        <v>129</v>
      </c>
      <c r="C1607" s="7" t="s">
        <v>278</v>
      </c>
      <c r="D1607" s="7" t="s">
        <v>130</v>
      </c>
      <c r="E1607" s="7" t="s">
        <v>360</v>
      </c>
      <c r="F1607" s="8" t="str">
        <f>_xlfn.IFNA(INDEX('HS Codes'!$D$2:$K4161,MATCH($B1607,'HS Codes'!$A$2:$A4161,0),MATCH(F$1,'HS Codes'!$D$1:$K$1,0)),"")</f>
        <v>6504.00.90.15</v>
      </c>
      <c r="G1607" s="8">
        <f>_xlfn.IFNA(INDEX('HS Codes'!$D$2:$K4161,MATCH($B1607,'HS Codes'!$A$2:$A4161,0),MATCH(G$1,'HS Codes'!$D$1:$K$1,0)),"")</f>
        <v>6505009090</v>
      </c>
      <c r="H1607" s="8" t="str">
        <f>_xlfn.IFNA(INDEX('HS Codes'!$D$2:$K4161,MATCH($B1607,'HS Codes'!$A$2:$A4161,0),MATCH(H$1,'HS Codes'!$D$1:$K$1,0)),"")</f>
        <v>6505.00.40.00</v>
      </c>
      <c r="I1607" s="8" t="str">
        <f>_xlfn.IFNA(INDEX('HS Codes'!$D$2:$K4161,MATCH($B1607,'HS Codes'!$A$2:$A4161,0),MATCH(I$1,'HS Codes'!$D$1:$K$1,0)),"")</f>
        <v>6505.00.90.90</v>
      </c>
      <c r="J1607" s="8">
        <f>_xlfn.IFNA(INDEX('HS Codes'!$D$2:$K4161,MATCH($B1607,'HS Codes'!$A$2:$A4161,0),MATCH(J$1,'HS Codes'!$D$1:$K$1,0)),"")</f>
        <v>0</v>
      </c>
      <c r="K1607" s="8" t="str">
        <f>_xlfn.IFNA(INDEX('HS Codes'!$D$2:$K4161,MATCH($B1607,'HS Codes'!$A$2:$A4161,0),MATCH(K$1,'HS Codes'!$D$1:$K$1,0)),"")</f>
        <v>6505.00.90</v>
      </c>
      <c r="L1607" s="8">
        <f>_xlfn.IFNA(INDEX('HS Codes'!$D$2:$K4161,MATCH($B1607,'HS Codes'!$A$2:$A4161,0),MATCH(L$1,'HS Codes'!$D$1:$K$1,0)),"")</f>
        <v>0</v>
      </c>
      <c r="M1607" s="8" t="str">
        <f>_xlfn.IFNA(INDEX('HS Codes'!$C$2:$C4161,MATCH($B1607,'HS Codes'!$A$2:$A4161,0)),"")</f>
        <v>Head Towel 100% recycled 200 GSM/83% polyester/17% polyamide (no cotton)</v>
      </c>
      <c r="N1607" s="9"/>
      <c r="O1607" s="9"/>
      <c r="P1607" s="9"/>
      <c r="Q1607" s="9"/>
    </row>
    <row r="1608" spans="1:17" ht="15.75" customHeight="1">
      <c r="A1608" s="7" t="s">
        <v>1901</v>
      </c>
      <c r="B1608" s="7" t="s">
        <v>129</v>
      </c>
      <c r="C1608" s="7" t="s">
        <v>278</v>
      </c>
      <c r="D1608" s="7" t="s">
        <v>130</v>
      </c>
      <c r="E1608" s="7" t="s">
        <v>360</v>
      </c>
      <c r="F1608" s="8" t="str">
        <f>_xlfn.IFNA(INDEX('HS Codes'!$D$2:$K4162,MATCH($B1608,'HS Codes'!$A$2:$A4162,0),MATCH(F$1,'HS Codes'!$D$1:$K$1,0)),"")</f>
        <v>6504.00.90.15</v>
      </c>
      <c r="G1608" s="8">
        <f>_xlfn.IFNA(INDEX('HS Codes'!$D$2:$K4162,MATCH($B1608,'HS Codes'!$A$2:$A4162,0),MATCH(G$1,'HS Codes'!$D$1:$K$1,0)),"")</f>
        <v>6505009090</v>
      </c>
      <c r="H1608" s="8" t="str">
        <f>_xlfn.IFNA(INDEX('HS Codes'!$D$2:$K4162,MATCH($B1608,'HS Codes'!$A$2:$A4162,0),MATCH(H$1,'HS Codes'!$D$1:$K$1,0)),"")</f>
        <v>6505.00.40.00</v>
      </c>
      <c r="I1608" s="8" t="str">
        <f>_xlfn.IFNA(INDEX('HS Codes'!$D$2:$K4162,MATCH($B1608,'HS Codes'!$A$2:$A4162,0),MATCH(I$1,'HS Codes'!$D$1:$K$1,0)),"")</f>
        <v>6505.00.90.90</v>
      </c>
      <c r="J1608" s="8">
        <f>_xlfn.IFNA(INDEX('HS Codes'!$D$2:$K4162,MATCH($B1608,'HS Codes'!$A$2:$A4162,0),MATCH(J$1,'HS Codes'!$D$1:$K$1,0)),"")</f>
        <v>0</v>
      </c>
      <c r="K1608" s="8" t="str">
        <f>_xlfn.IFNA(INDEX('HS Codes'!$D$2:$K4162,MATCH($B1608,'HS Codes'!$A$2:$A4162,0),MATCH(K$1,'HS Codes'!$D$1:$K$1,0)),"")</f>
        <v>6505.00.90</v>
      </c>
      <c r="L1608" s="8">
        <f>_xlfn.IFNA(INDEX('HS Codes'!$D$2:$K4162,MATCH($B1608,'HS Codes'!$A$2:$A4162,0),MATCH(L$1,'HS Codes'!$D$1:$K$1,0)),"")</f>
        <v>0</v>
      </c>
      <c r="M1608" s="8" t="str">
        <f>_xlfn.IFNA(INDEX('HS Codes'!$C$2:$C4162,MATCH($B1608,'HS Codes'!$A$2:$A4162,0)),"")</f>
        <v>Head Towel 100% recycled 200 GSM/83% polyester/17% polyamide (no cotton)</v>
      </c>
      <c r="N1608" s="9"/>
      <c r="O1608" s="9"/>
      <c r="P1608" s="9"/>
      <c r="Q1608" s="9"/>
    </row>
    <row r="1609" spans="1:17" ht="15.75" customHeight="1">
      <c r="A1609" s="7" t="s">
        <v>1902</v>
      </c>
      <c r="B1609" s="7" t="s">
        <v>129</v>
      </c>
      <c r="C1609" s="7" t="s">
        <v>278</v>
      </c>
      <c r="D1609" s="7" t="s">
        <v>130</v>
      </c>
      <c r="E1609" s="7" t="s">
        <v>360</v>
      </c>
      <c r="F1609" s="8" t="str">
        <f>_xlfn.IFNA(INDEX('HS Codes'!$D$2:$K4163,MATCH($B1609,'HS Codes'!$A$2:$A4163,0),MATCH(F$1,'HS Codes'!$D$1:$K$1,0)),"")</f>
        <v>6504.00.90.15</v>
      </c>
      <c r="G1609" s="8">
        <f>_xlfn.IFNA(INDEX('HS Codes'!$D$2:$K4163,MATCH($B1609,'HS Codes'!$A$2:$A4163,0),MATCH(G$1,'HS Codes'!$D$1:$K$1,0)),"")</f>
        <v>6505009090</v>
      </c>
      <c r="H1609" s="8" t="str">
        <f>_xlfn.IFNA(INDEX('HS Codes'!$D$2:$K4163,MATCH($B1609,'HS Codes'!$A$2:$A4163,0),MATCH(H$1,'HS Codes'!$D$1:$K$1,0)),"")</f>
        <v>6505.00.40.00</v>
      </c>
      <c r="I1609" s="8" t="str">
        <f>_xlfn.IFNA(INDEX('HS Codes'!$D$2:$K4163,MATCH($B1609,'HS Codes'!$A$2:$A4163,0),MATCH(I$1,'HS Codes'!$D$1:$K$1,0)),"")</f>
        <v>6505.00.90.90</v>
      </c>
      <c r="J1609" s="8">
        <f>_xlfn.IFNA(INDEX('HS Codes'!$D$2:$K4163,MATCH($B1609,'HS Codes'!$A$2:$A4163,0),MATCH(J$1,'HS Codes'!$D$1:$K$1,0)),"")</f>
        <v>0</v>
      </c>
      <c r="K1609" s="8" t="str">
        <f>_xlfn.IFNA(INDEX('HS Codes'!$D$2:$K4163,MATCH($B1609,'HS Codes'!$A$2:$A4163,0),MATCH(K$1,'HS Codes'!$D$1:$K$1,0)),"")</f>
        <v>6505.00.90</v>
      </c>
      <c r="L1609" s="8">
        <f>_xlfn.IFNA(INDEX('HS Codes'!$D$2:$K4163,MATCH($B1609,'HS Codes'!$A$2:$A4163,0),MATCH(L$1,'HS Codes'!$D$1:$K$1,0)),"")</f>
        <v>0</v>
      </c>
      <c r="M1609" s="8" t="str">
        <f>_xlfn.IFNA(INDEX('HS Codes'!$C$2:$C4163,MATCH($B1609,'HS Codes'!$A$2:$A4163,0)),"")</f>
        <v>Head Towel 100% recycled 200 GSM/83% polyester/17% polyamide (no cotton)</v>
      </c>
      <c r="N1609" s="9"/>
      <c r="O1609" s="9"/>
      <c r="P1609" s="9"/>
      <c r="Q1609" s="9"/>
    </row>
    <row r="1610" spans="1:17" ht="15.75" customHeight="1">
      <c r="A1610" s="7" t="s">
        <v>1903</v>
      </c>
      <c r="B1610" s="7" t="s">
        <v>129</v>
      </c>
      <c r="C1610" s="7" t="s">
        <v>278</v>
      </c>
      <c r="D1610" s="7" t="s">
        <v>130</v>
      </c>
      <c r="E1610" s="7" t="s">
        <v>360</v>
      </c>
      <c r="F1610" s="8" t="str">
        <f>_xlfn.IFNA(INDEX('HS Codes'!$D$2:$K4164,MATCH($B1610,'HS Codes'!$A$2:$A4164,0),MATCH(F$1,'HS Codes'!$D$1:$K$1,0)),"")</f>
        <v>6504.00.90.15</v>
      </c>
      <c r="G1610" s="8">
        <f>_xlfn.IFNA(INDEX('HS Codes'!$D$2:$K4164,MATCH($B1610,'HS Codes'!$A$2:$A4164,0),MATCH(G$1,'HS Codes'!$D$1:$K$1,0)),"")</f>
        <v>6505009090</v>
      </c>
      <c r="H1610" s="8" t="str">
        <f>_xlfn.IFNA(INDEX('HS Codes'!$D$2:$K4164,MATCH($B1610,'HS Codes'!$A$2:$A4164,0),MATCH(H$1,'HS Codes'!$D$1:$K$1,0)),"")</f>
        <v>6505.00.40.00</v>
      </c>
      <c r="I1610" s="8" t="str">
        <f>_xlfn.IFNA(INDEX('HS Codes'!$D$2:$K4164,MATCH($B1610,'HS Codes'!$A$2:$A4164,0),MATCH(I$1,'HS Codes'!$D$1:$K$1,0)),"")</f>
        <v>6505.00.90.90</v>
      </c>
      <c r="J1610" s="8">
        <f>_xlfn.IFNA(INDEX('HS Codes'!$D$2:$K4164,MATCH($B1610,'HS Codes'!$A$2:$A4164,0),MATCH(J$1,'HS Codes'!$D$1:$K$1,0)),"")</f>
        <v>0</v>
      </c>
      <c r="K1610" s="8" t="str">
        <f>_xlfn.IFNA(INDEX('HS Codes'!$D$2:$K4164,MATCH($B1610,'HS Codes'!$A$2:$A4164,0),MATCH(K$1,'HS Codes'!$D$1:$K$1,0)),"")</f>
        <v>6505.00.90</v>
      </c>
      <c r="L1610" s="8">
        <f>_xlfn.IFNA(INDEX('HS Codes'!$D$2:$K4164,MATCH($B1610,'HS Codes'!$A$2:$A4164,0),MATCH(L$1,'HS Codes'!$D$1:$K$1,0)),"")</f>
        <v>0</v>
      </c>
      <c r="M1610" s="8" t="str">
        <f>_xlfn.IFNA(INDEX('HS Codes'!$C$2:$C4164,MATCH($B1610,'HS Codes'!$A$2:$A4164,0)),"")</f>
        <v>Head Towel 100% recycled 200 GSM/83% polyester/17% polyamide (no cotton)</v>
      </c>
      <c r="N1610" s="9"/>
      <c r="O1610" s="9"/>
      <c r="P1610" s="9"/>
      <c r="Q1610" s="9"/>
    </row>
    <row r="1611" spans="1:17" ht="15.75" customHeight="1">
      <c r="A1611" s="7" t="s">
        <v>1904</v>
      </c>
      <c r="B1611" s="7" t="s">
        <v>129</v>
      </c>
      <c r="C1611" s="7" t="s">
        <v>278</v>
      </c>
      <c r="D1611" s="7" t="s">
        <v>130</v>
      </c>
      <c r="E1611" s="7" t="s">
        <v>360</v>
      </c>
      <c r="F1611" s="8" t="str">
        <f>_xlfn.IFNA(INDEX('HS Codes'!$D$2:$K4165,MATCH($B1611,'HS Codes'!$A$2:$A4165,0),MATCH(F$1,'HS Codes'!$D$1:$K$1,0)),"")</f>
        <v>6504.00.90.15</v>
      </c>
      <c r="G1611" s="8">
        <f>_xlfn.IFNA(INDEX('HS Codes'!$D$2:$K4165,MATCH($B1611,'HS Codes'!$A$2:$A4165,0),MATCH(G$1,'HS Codes'!$D$1:$K$1,0)),"")</f>
        <v>6505009090</v>
      </c>
      <c r="H1611" s="8" t="str">
        <f>_xlfn.IFNA(INDEX('HS Codes'!$D$2:$K4165,MATCH($B1611,'HS Codes'!$A$2:$A4165,0),MATCH(H$1,'HS Codes'!$D$1:$K$1,0)),"")</f>
        <v>6505.00.40.00</v>
      </c>
      <c r="I1611" s="8" t="str">
        <f>_xlfn.IFNA(INDEX('HS Codes'!$D$2:$K4165,MATCH($B1611,'HS Codes'!$A$2:$A4165,0),MATCH(I$1,'HS Codes'!$D$1:$K$1,0)),"")</f>
        <v>6505.00.90.90</v>
      </c>
      <c r="J1611" s="8">
        <f>_xlfn.IFNA(INDEX('HS Codes'!$D$2:$K4165,MATCH($B1611,'HS Codes'!$A$2:$A4165,0),MATCH(J$1,'HS Codes'!$D$1:$K$1,0)),"")</f>
        <v>0</v>
      </c>
      <c r="K1611" s="8" t="str">
        <f>_xlfn.IFNA(INDEX('HS Codes'!$D$2:$K4165,MATCH($B1611,'HS Codes'!$A$2:$A4165,0),MATCH(K$1,'HS Codes'!$D$1:$K$1,0)),"")</f>
        <v>6505.00.90</v>
      </c>
      <c r="L1611" s="8">
        <f>_xlfn.IFNA(INDEX('HS Codes'!$D$2:$K4165,MATCH($B1611,'HS Codes'!$A$2:$A4165,0),MATCH(L$1,'HS Codes'!$D$1:$K$1,0)),"")</f>
        <v>0</v>
      </c>
      <c r="M1611" s="8" t="str">
        <f>_xlfn.IFNA(INDEX('HS Codes'!$C$2:$C4165,MATCH($B1611,'HS Codes'!$A$2:$A4165,0)),"")</f>
        <v>Head Towel 100% recycled 200 GSM/83% polyester/17% polyamide (no cotton)</v>
      </c>
      <c r="N1611" s="9"/>
      <c r="O1611" s="9"/>
      <c r="P1611" s="9"/>
      <c r="Q1611" s="9"/>
    </row>
    <row r="1612" spans="1:17" ht="15.75" customHeight="1">
      <c r="A1612" s="7" t="s">
        <v>1905</v>
      </c>
      <c r="B1612" s="7" t="s">
        <v>129</v>
      </c>
      <c r="C1612" s="7" t="s">
        <v>278</v>
      </c>
      <c r="D1612" s="7" t="s">
        <v>130</v>
      </c>
      <c r="E1612" s="7" t="s">
        <v>360</v>
      </c>
      <c r="F1612" s="8" t="str">
        <f>_xlfn.IFNA(INDEX('HS Codes'!$D$2:$K4166,MATCH($B1612,'HS Codes'!$A$2:$A4166,0),MATCH(F$1,'HS Codes'!$D$1:$K$1,0)),"")</f>
        <v>6504.00.90.15</v>
      </c>
      <c r="G1612" s="8">
        <f>_xlfn.IFNA(INDEX('HS Codes'!$D$2:$K4166,MATCH($B1612,'HS Codes'!$A$2:$A4166,0),MATCH(G$1,'HS Codes'!$D$1:$K$1,0)),"")</f>
        <v>6505009090</v>
      </c>
      <c r="H1612" s="8" t="str">
        <f>_xlfn.IFNA(INDEX('HS Codes'!$D$2:$K4166,MATCH($B1612,'HS Codes'!$A$2:$A4166,0),MATCH(H$1,'HS Codes'!$D$1:$K$1,0)),"")</f>
        <v>6505.00.40.00</v>
      </c>
      <c r="I1612" s="8" t="str">
        <f>_xlfn.IFNA(INDEX('HS Codes'!$D$2:$K4166,MATCH($B1612,'HS Codes'!$A$2:$A4166,0),MATCH(I$1,'HS Codes'!$D$1:$K$1,0)),"")</f>
        <v>6505.00.90.90</v>
      </c>
      <c r="J1612" s="8">
        <f>_xlfn.IFNA(INDEX('HS Codes'!$D$2:$K4166,MATCH($B1612,'HS Codes'!$A$2:$A4166,0),MATCH(J$1,'HS Codes'!$D$1:$K$1,0)),"")</f>
        <v>0</v>
      </c>
      <c r="K1612" s="8" t="str">
        <f>_xlfn.IFNA(INDEX('HS Codes'!$D$2:$K4166,MATCH($B1612,'HS Codes'!$A$2:$A4166,0),MATCH(K$1,'HS Codes'!$D$1:$K$1,0)),"")</f>
        <v>6505.00.90</v>
      </c>
      <c r="L1612" s="8">
        <f>_xlfn.IFNA(INDEX('HS Codes'!$D$2:$K4166,MATCH($B1612,'HS Codes'!$A$2:$A4166,0),MATCH(L$1,'HS Codes'!$D$1:$K$1,0)),"")</f>
        <v>0</v>
      </c>
      <c r="M1612" s="8" t="str">
        <f>_xlfn.IFNA(INDEX('HS Codes'!$C$2:$C4166,MATCH($B1612,'HS Codes'!$A$2:$A4166,0)),"")</f>
        <v>Head Towel 100% recycled 200 GSM/83% polyester/17% polyamide (no cotton)</v>
      </c>
      <c r="N1612" s="9"/>
      <c r="O1612" s="9"/>
      <c r="P1612" s="9"/>
      <c r="Q1612" s="9"/>
    </row>
    <row r="1613" spans="1:17" ht="15.75" customHeight="1">
      <c r="A1613" s="7" t="s">
        <v>1906</v>
      </c>
      <c r="B1613" s="7" t="s">
        <v>129</v>
      </c>
      <c r="C1613" s="7" t="s">
        <v>278</v>
      </c>
      <c r="D1613" s="7" t="s">
        <v>130</v>
      </c>
      <c r="E1613" s="7" t="s">
        <v>360</v>
      </c>
      <c r="F1613" s="8" t="str">
        <f>_xlfn.IFNA(INDEX('HS Codes'!$D$2:$K4167,MATCH($B1613,'HS Codes'!$A$2:$A4167,0),MATCH(F$1,'HS Codes'!$D$1:$K$1,0)),"")</f>
        <v>6504.00.90.15</v>
      </c>
      <c r="G1613" s="8">
        <f>_xlfn.IFNA(INDEX('HS Codes'!$D$2:$K4167,MATCH($B1613,'HS Codes'!$A$2:$A4167,0),MATCH(G$1,'HS Codes'!$D$1:$K$1,0)),"")</f>
        <v>6505009090</v>
      </c>
      <c r="H1613" s="8" t="str">
        <f>_xlfn.IFNA(INDEX('HS Codes'!$D$2:$K4167,MATCH($B1613,'HS Codes'!$A$2:$A4167,0),MATCH(H$1,'HS Codes'!$D$1:$K$1,0)),"")</f>
        <v>6505.00.40.00</v>
      </c>
      <c r="I1613" s="8" t="str">
        <f>_xlfn.IFNA(INDEX('HS Codes'!$D$2:$K4167,MATCH($B1613,'HS Codes'!$A$2:$A4167,0),MATCH(I$1,'HS Codes'!$D$1:$K$1,0)),"")</f>
        <v>6505.00.90.90</v>
      </c>
      <c r="J1613" s="8">
        <f>_xlfn.IFNA(INDEX('HS Codes'!$D$2:$K4167,MATCH($B1613,'HS Codes'!$A$2:$A4167,0),MATCH(J$1,'HS Codes'!$D$1:$K$1,0)),"")</f>
        <v>0</v>
      </c>
      <c r="K1613" s="8" t="str">
        <f>_xlfn.IFNA(INDEX('HS Codes'!$D$2:$K4167,MATCH($B1613,'HS Codes'!$A$2:$A4167,0),MATCH(K$1,'HS Codes'!$D$1:$K$1,0)),"")</f>
        <v>6505.00.90</v>
      </c>
      <c r="L1613" s="8">
        <f>_xlfn.IFNA(INDEX('HS Codes'!$D$2:$K4167,MATCH($B1613,'HS Codes'!$A$2:$A4167,0),MATCH(L$1,'HS Codes'!$D$1:$K$1,0)),"")</f>
        <v>0</v>
      </c>
      <c r="M1613" s="8" t="str">
        <f>_xlfn.IFNA(INDEX('HS Codes'!$C$2:$C4167,MATCH($B1613,'HS Codes'!$A$2:$A4167,0)),"")</f>
        <v>Head Towel 100% recycled 200 GSM/83% polyester/17% polyamide (no cotton)</v>
      </c>
      <c r="N1613" s="9"/>
      <c r="O1613" s="9"/>
      <c r="P1613" s="9"/>
      <c r="Q1613" s="9"/>
    </row>
    <row r="1614" spans="1:17" ht="15.75" customHeight="1">
      <c r="A1614" s="7" t="s">
        <v>1907</v>
      </c>
      <c r="B1614" s="7" t="s">
        <v>129</v>
      </c>
      <c r="C1614" s="7" t="s">
        <v>278</v>
      </c>
      <c r="D1614" s="7" t="s">
        <v>130</v>
      </c>
      <c r="E1614" s="7" t="s">
        <v>360</v>
      </c>
      <c r="F1614" s="8" t="str">
        <f>_xlfn.IFNA(INDEX('HS Codes'!$D$2:$K4168,MATCH($B1614,'HS Codes'!$A$2:$A4168,0),MATCH(F$1,'HS Codes'!$D$1:$K$1,0)),"")</f>
        <v>6504.00.90.15</v>
      </c>
      <c r="G1614" s="8">
        <f>_xlfn.IFNA(INDEX('HS Codes'!$D$2:$K4168,MATCH($B1614,'HS Codes'!$A$2:$A4168,0),MATCH(G$1,'HS Codes'!$D$1:$K$1,0)),"")</f>
        <v>6505009090</v>
      </c>
      <c r="H1614" s="8" t="str">
        <f>_xlfn.IFNA(INDEX('HS Codes'!$D$2:$K4168,MATCH($B1614,'HS Codes'!$A$2:$A4168,0),MATCH(H$1,'HS Codes'!$D$1:$K$1,0)),"")</f>
        <v>6505.00.40.00</v>
      </c>
      <c r="I1614" s="8" t="str">
        <f>_xlfn.IFNA(INDEX('HS Codes'!$D$2:$K4168,MATCH($B1614,'HS Codes'!$A$2:$A4168,0),MATCH(I$1,'HS Codes'!$D$1:$K$1,0)),"")</f>
        <v>6505.00.90.90</v>
      </c>
      <c r="J1614" s="8">
        <f>_xlfn.IFNA(INDEX('HS Codes'!$D$2:$K4168,MATCH($B1614,'HS Codes'!$A$2:$A4168,0),MATCH(J$1,'HS Codes'!$D$1:$K$1,0)),"")</f>
        <v>0</v>
      </c>
      <c r="K1614" s="8" t="str">
        <f>_xlfn.IFNA(INDEX('HS Codes'!$D$2:$K4168,MATCH($B1614,'HS Codes'!$A$2:$A4168,0),MATCH(K$1,'HS Codes'!$D$1:$K$1,0)),"")</f>
        <v>6505.00.90</v>
      </c>
      <c r="L1614" s="8">
        <f>_xlfn.IFNA(INDEX('HS Codes'!$D$2:$K4168,MATCH($B1614,'HS Codes'!$A$2:$A4168,0),MATCH(L$1,'HS Codes'!$D$1:$K$1,0)),"")</f>
        <v>0</v>
      </c>
      <c r="M1614" s="8" t="str">
        <f>_xlfn.IFNA(INDEX('HS Codes'!$C$2:$C4168,MATCH($B1614,'HS Codes'!$A$2:$A4168,0)),"")</f>
        <v>Head Towel 100% recycled 200 GSM/83% polyester/17% polyamide (no cotton)</v>
      </c>
      <c r="N1614" s="9"/>
      <c r="O1614" s="9"/>
      <c r="P1614" s="9"/>
      <c r="Q1614" s="9"/>
    </row>
    <row r="1615" spans="1:17" ht="15.75" customHeight="1">
      <c r="A1615" s="7" t="s">
        <v>1908</v>
      </c>
      <c r="B1615" s="7" t="s">
        <v>129</v>
      </c>
      <c r="C1615" s="7" t="s">
        <v>278</v>
      </c>
      <c r="D1615" s="7" t="s">
        <v>130</v>
      </c>
      <c r="E1615" s="7" t="s">
        <v>360</v>
      </c>
      <c r="F1615" s="8" t="str">
        <f>_xlfn.IFNA(INDEX('HS Codes'!$D$2:$K4169,MATCH($B1615,'HS Codes'!$A$2:$A4169,0),MATCH(F$1,'HS Codes'!$D$1:$K$1,0)),"")</f>
        <v>6504.00.90.15</v>
      </c>
      <c r="G1615" s="8">
        <f>_xlfn.IFNA(INDEX('HS Codes'!$D$2:$K4169,MATCH($B1615,'HS Codes'!$A$2:$A4169,0),MATCH(G$1,'HS Codes'!$D$1:$K$1,0)),"")</f>
        <v>6505009090</v>
      </c>
      <c r="H1615" s="8" t="str">
        <f>_xlfn.IFNA(INDEX('HS Codes'!$D$2:$K4169,MATCH($B1615,'HS Codes'!$A$2:$A4169,0),MATCH(H$1,'HS Codes'!$D$1:$K$1,0)),"")</f>
        <v>6505.00.40.00</v>
      </c>
      <c r="I1615" s="8" t="str">
        <f>_xlfn.IFNA(INDEX('HS Codes'!$D$2:$K4169,MATCH($B1615,'HS Codes'!$A$2:$A4169,0),MATCH(I$1,'HS Codes'!$D$1:$K$1,0)),"")</f>
        <v>6505.00.90.90</v>
      </c>
      <c r="J1615" s="8">
        <f>_xlfn.IFNA(INDEX('HS Codes'!$D$2:$K4169,MATCH($B1615,'HS Codes'!$A$2:$A4169,0),MATCH(J$1,'HS Codes'!$D$1:$K$1,0)),"")</f>
        <v>0</v>
      </c>
      <c r="K1615" s="8" t="str">
        <f>_xlfn.IFNA(INDEX('HS Codes'!$D$2:$K4169,MATCH($B1615,'HS Codes'!$A$2:$A4169,0),MATCH(K$1,'HS Codes'!$D$1:$K$1,0)),"")</f>
        <v>6505.00.90</v>
      </c>
      <c r="L1615" s="8">
        <f>_xlfn.IFNA(INDEX('HS Codes'!$D$2:$K4169,MATCH($B1615,'HS Codes'!$A$2:$A4169,0),MATCH(L$1,'HS Codes'!$D$1:$K$1,0)),"")</f>
        <v>0</v>
      </c>
      <c r="M1615" s="8" t="str">
        <f>_xlfn.IFNA(INDEX('HS Codes'!$C$2:$C4169,MATCH($B1615,'HS Codes'!$A$2:$A4169,0)),"")</f>
        <v>Head Towel 100% recycled 200 GSM/83% polyester/17% polyamide (no cotton)</v>
      </c>
      <c r="N1615" s="9"/>
      <c r="O1615" s="9"/>
      <c r="P1615" s="9"/>
      <c r="Q1615" s="9"/>
    </row>
    <row r="1616" spans="1:17" ht="15.75" customHeight="1">
      <c r="A1616" s="7" t="s">
        <v>1909</v>
      </c>
      <c r="B1616" s="7" t="s">
        <v>129</v>
      </c>
      <c r="C1616" s="7" t="s">
        <v>278</v>
      </c>
      <c r="D1616" s="7" t="s">
        <v>130</v>
      </c>
      <c r="E1616" s="7" t="s">
        <v>360</v>
      </c>
      <c r="F1616" s="8" t="str">
        <f>_xlfn.IFNA(INDEX('HS Codes'!$D$2:$K4170,MATCH($B1616,'HS Codes'!$A$2:$A4170,0),MATCH(F$1,'HS Codes'!$D$1:$K$1,0)),"")</f>
        <v>6504.00.90.15</v>
      </c>
      <c r="G1616" s="8">
        <f>_xlfn.IFNA(INDEX('HS Codes'!$D$2:$K4170,MATCH($B1616,'HS Codes'!$A$2:$A4170,0),MATCH(G$1,'HS Codes'!$D$1:$K$1,0)),"")</f>
        <v>6505009090</v>
      </c>
      <c r="H1616" s="8" t="str">
        <f>_xlfn.IFNA(INDEX('HS Codes'!$D$2:$K4170,MATCH($B1616,'HS Codes'!$A$2:$A4170,0),MATCH(H$1,'HS Codes'!$D$1:$K$1,0)),"")</f>
        <v>6505.00.40.00</v>
      </c>
      <c r="I1616" s="8" t="str">
        <f>_xlfn.IFNA(INDEX('HS Codes'!$D$2:$K4170,MATCH($B1616,'HS Codes'!$A$2:$A4170,0),MATCH(I$1,'HS Codes'!$D$1:$K$1,0)),"")</f>
        <v>6505.00.90.90</v>
      </c>
      <c r="J1616" s="8">
        <f>_xlfn.IFNA(INDEX('HS Codes'!$D$2:$K4170,MATCH($B1616,'HS Codes'!$A$2:$A4170,0),MATCH(J$1,'HS Codes'!$D$1:$K$1,0)),"")</f>
        <v>0</v>
      </c>
      <c r="K1616" s="8" t="str">
        <f>_xlfn.IFNA(INDEX('HS Codes'!$D$2:$K4170,MATCH($B1616,'HS Codes'!$A$2:$A4170,0),MATCH(K$1,'HS Codes'!$D$1:$K$1,0)),"")</f>
        <v>6505.00.90</v>
      </c>
      <c r="L1616" s="8">
        <f>_xlfn.IFNA(INDEX('HS Codes'!$D$2:$K4170,MATCH($B1616,'HS Codes'!$A$2:$A4170,0),MATCH(L$1,'HS Codes'!$D$1:$K$1,0)),"")</f>
        <v>0</v>
      </c>
      <c r="M1616" s="8" t="str">
        <f>_xlfn.IFNA(INDEX('HS Codes'!$C$2:$C4170,MATCH($B1616,'HS Codes'!$A$2:$A4170,0)),"")</f>
        <v>Head Towel 100% recycled 200 GSM/83% polyester/17% polyamide (no cotton)</v>
      </c>
      <c r="N1616" s="9"/>
      <c r="O1616" s="9"/>
      <c r="P1616" s="9"/>
      <c r="Q1616" s="9"/>
    </row>
    <row r="1617" spans="1:17" ht="15.75" customHeight="1">
      <c r="A1617" s="7" t="s">
        <v>1910</v>
      </c>
      <c r="B1617" s="7" t="s">
        <v>129</v>
      </c>
      <c r="C1617" s="7" t="s">
        <v>278</v>
      </c>
      <c r="D1617" s="7" t="s">
        <v>130</v>
      </c>
      <c r="E1617" s="7" t="s">
        <v>360</v>
      </c>
      <c r="F1617" s="8" t="str">
        <f>_xlfn.IFNA(INDEX('HS Codes'!$D$2:$K4171,MATCH($B1617,'HS Codes'!$A$2:$A4171,0),MATCH(F$1,'HS Codes'!$D$1:$K$1,0)),"")</f>
        <v>6504.00.90.15</v>
      </c>
      <c r="G1617" s="8">
        <f>_xlfn.IFNA(INDEX('HS Codes'!$D$2:$K4171,MATCH($B1617,'HS Codes'!$A$2:$A4171,0),MATCH(G$1,'HS Codes'!$D$1:$K$1,0)),"")</f>
        <v>6505009090</v>
      </c>
      <c r="H1617" s="8" t="str">
        <f>_xlfn.IFNA(INDEX('HS Codes'!$D$2:$K4171,MATCH($B1617,'HS Codes'!$A$2:$A4171,0),MATCH(H$1,'HS Codes'!$D$1:$K$1,0)),"")</f>
        <v>6505.00.40.00</v>
      </c>
      <c r="I1617" s="8" t="str">
        <f>_xlfn.IFNA(INDEX('HS Codes'!$D$2:$K4171,MATCH($B1617,'HS Codes'!$A$2:$A4171,0),MATCH(I$1,'HS Codes'!$D$1:$K$1,0)),"")</f>
        <v>6505.00.90.90</v>
      </c>
      <c r="J1617" s="8">
        <f>_xlfn.IFNA(INDEX('HS Codes'!$D$2:$K4171,MATCH($B1617,'HS Codes'!$A$2:$A4171,0),MATCH(J$1,'HS Codes'!$D$1:$K$1,0)),"")</f>
        <v>0</v>
      </c>
      <c r="K1617" s="8" t="str">
        <f>_xlfn.IFNA(INDEX('HS Codes'!$D$2:$K4171,MATCH($B1617,'HS Codes'!$A$2:$A4171,0),MATCH(K$1,'HS Codes'!$D$1:$K$1,0)),"")</f>
        <v>6505.00.90</v>
      </c>
      <c r="L1617" s="8">
        <f>_xlfn.IFNA(INDEX('HS Codes'!$D$2:$K4171,MATCH($B1617,'HS Codes'!$A$2:$A4171,0),MATCH(L$1,'HS Codes'!$D$1:$K$1,0)),"")</f>
        <v>0</v>
      </c>
      <c r="M1617" s="8" t="str">
        <f>_xlfn.IFNA(INDEX('HS Codes'!$C$2:$C4171,MATCH($B1617,'HS Codes'!$A$2:$A4171,0)),"")</f>
        <v>Head Towel 100% recycled 200 GSM/83% polyester/17% polyamide (no cotton)</v>
      </c>
      <c r="N1617" s="9"/>
      <c r="O1617" s="9"/>
      <c r="P1617" s="9"/>
      <c r="Q1617" s="9"/>
    </row>
    <row r="1618" spans="1:17" ht="15.75" customHeight="1">
      <c r="A1618" s="7" t="s">
        <v>1911</v>
      </c>
      <c r="B1618" s="7" t="s">
        <v>129</v>
      </c>
      <c r="C1618" s="7" t="s">
        <v>278</v>
      </c>
      <c r="D1618" s="7" t="s">
        <v>130</v>
      </c>
      <c r="E1618" s="7" t="s">
        <v>360</v>
      </c>
      <c r="F1618" s="8" t="str">
        <f>_xlfn.IFNA(INDEX('HS Codes'!$D$2:$K4172,MATCH($B1618,'HS Codes'!$A$2:$A4172,0),MATCH(F$1,'HS Codes'!$D$1:$K$1,0)),"")</f>
        <v>6504.00.90.15</v>
      </c>
      <c r="G1618" s="8">
        <f>_xlfn.IFNA(INDEX('HS Codes'!$D$2:$K4172,MATCH($B1618,'HS Codes'!$A$2:$A4172,0),MATCH(G$1,'HS Codes'!$D$1:$K$1,0)),"")</f>
        <v>6505009090</v>
      </c>
      <c r="H1618" s="8" t="str">
        <f>_xlfn.IFNA(INDEX('HS Codes'!$D$2:$K4172,MATCH($B1618,'HS Codes'!$A$2:$A4172,0),MATCH(H$1,'HS Codes'!$D$1:$K$1,0)),"")</f>
        <v>6505.00.40.00</v>
      </c>
      <c r="I1618" s="8" t="str">
        <f>_xlfn.IFNA(INDEX('HS Codes'!$D$2:$K4172,MATCH($B1618,'HS Codes'!$A$2:$A4172,0),MATCH(I$1,'HS Codes'!$D$1:$K$1,0)),"")</f>
        <v>6505.00.90.90</v>
      </c>
      <c r="J1618" s="8">
        <f>_xlfn.IFNA(INDEX('HS Codes'!$D$2:$K4172,MATCH($B1618,'HS Codes'!$A$2:$A4172,0),MATCH(J$1,'HS Codes'!$D$1:$K$1,0)),"")</f>
        <v>0</v>
      </c>
      <c r="K1618" s="8" t="str">
        <f>_xlfn.IFNA(INDEX('HS Codes'!$D$2:$K4172,MATCH($B1618,'HS Codes'!$A$2:$A4172,0),MATCH(K$1,'HS Codes'!$D$1:$K$1,0)),"")</f>
        <v>6505.00.90</v>
      </c>
      <c r="L1618" s="8">
        <f>_xlfn.IFNA(INDEX('HS Codes'!$D$2:$K4172,MATCH($B1618,'HS Codes'!$A$2:$A4172,0),MATCH(L$1,'HS Codes'!$D$1:$K$1,0)),"")</f>
        <v>0</v>
      </c>
      <c r="M1618" s="8" t="str">
        <f>_xlfn.IFNA(INDEX('HS Codes'!$C$2:$C4172,MATCH($B1618,'HS Codes'!$A$2:$A4172,0)),"")</f>
        <v>Head Towel 100% recycled 200 GSM/83% polyester/17% polyamide (no cotton)</v>
      </c>
      <c r="N1618" s="9"/>
      <c r="O1618" s="9"/>
      <c r="P1618" s="9"/>
      <c r="Q1618" s="9"/>
    </row>
    <row r="1619" spans="1:17" ht="15.75" customHeight="1">
      <c r="A1619" s="7" t="s">
        <v>1912</v>
      </c>
      <c r="B1619" s="7" t="s">
        <v>129</v>
      </c>
      <c r="C1619" s="7" t="s">
        <v>278</v>
      </c>
      <c r="D1619" s="7" t="s">
        <v>130</v>
      </c>
      <c r="E1619" s="7" t="s">
        <v>360</v>
      </c>
      <c r="F1619" s="8" t="str">
        <f>_xlfn.IFNA(INDEX('HS Codes'!$D$2:$K4173,MATCH($B1619,'HS Codes'!$A$2:$A4173,0),MATCH(F$1,'HS Codes'!$D$1:$K$1,0)),"")</f>
        <v>6504.00.90.15</v>
      </c>
      <c r="G1619" s="8">
        <f>_xlfn.IFNA(INDEX('HS Codes'!$D$2:$K4173,MATCH($B1619,'HS Codes'!$A$2:$A4173,0),MATCH(G$1,'HS Codes'!$D$1:$K$1,0)),"")</f>
        <v>6505009090</v>
      </c>
      <c r="H1619" s="8" t="str">
        <f>_xlfn.IFNA(INDEX('HS Codes'!$D$2:$K4173,MATCH($B1619,'HS Codes'!$A$2:$A4173,0),MATCH(H$1,'HS Codes'!$D$1:$K$1,0)),"")</f>
        <v>6505.00.40.00</v>
      </c>
      <c r="I1619" s="8" t="str">
        <f>_xlfn.IFNA(INDEX('HS Codes'!$D$2:$K4173,MATCH($B1619,'HS Codes'!$A$2:$A4173,0),MATCH(I$1,'HS Codes'!$D$1:$K$1,0)),"")</f>
        <v>6505.00.90.90</v>
      </c>
      <c r="J1619" s="8">
        <f>_xlfn.IFNA(INDEX('HS Codes'!$D$2:$K4173,MATCH($B1619,'HS Codes'!$A$2:$A4173,0),MATCH(J$1,'HS Codes'!$D$1:$K$1,0)),"")</f>
        <v>0</v>
      </c>
      <c r="K1619" s="8" t="str">
        <f>_xlfn.IFNA(INDEX('HS Codes'!$D$2:$K4173,MATCH($B1619,'HS Codes'!$A$2:$A4173,0),MATCH(K$1,'HS Codes'!$D$1:$K$1,0)),"")</f>
        <v>6505.00.90</v>
      </c>
      <c r="L1619" s="8">
        <f>_xlfn.IFNA(INDEX('HS Codes'!$D$2:$K4173,MATCH($B1619,'HS Codes'!$A$2:$A4173,0),MATCH(L$1,'HS Codes'!$D$1:$K$1,0)),"")</f>
        <v>0</v>
      </c>
      <c r="M1619" s="8" t="str">
        <f>_xlfn.IFNA(INDEX('HS Codes'!$C$2:$C4173,MATCH($B1619,'HS Codes'!$A$2:$A4173,0)),"")</f>
        <v>Head Towel 100% recycled 200 GSM/83% polyester/17% polyamide (no cotton)</v>
      </c>
      <c r="N1619" s="9"/>
      <c r="O1619" s="9"/>
      <c r="P1619" s="9"/>
      <c r="Q1619" s="9"/>
    </row>
    <row r="1620" spans="1:17" ht="15.75" customHeight="1">
      <c r="A1620" s="7" t="s">
        <v>1913</v>
      </c>
      <c r="B1620" s="7" t="s">
        <v>129</v>
      </c>
      <c r="C1620" s="7" t="s">
        <v>278</v>
      </c>
      <c r="D1620" s="7" t="s">
        <v>130</v>
      </c>
      <c r="E1620" s="7" t="s">
        <v>360</v>
      </c>
      <c r="F1620" s="8" t="str">
        <f>_xlfn.IFNA(INDEX('HS Codes'!$D$2:$K4174,MATCH($B1620,'HS Codes'!$A$2:$A4174,0),MATCH(F$1,'HS Codes'!$D$1:$K$1,0)),"")</f>
        <v>6504.00.90.15</v>
      </c>
      <c r="G1620" s="8">
        <f>_xlfn.IFNA(INDEX('HS Codes'!$D$2:$K4174,MATCH($B1620,'HS Codes'!$A$2:$A4174,0),MATCH(G$1,'HS Codes'!$D$1:$K$1,0)),"")</f>
        <v>6505009090</v>
      </c>
      <c r="H1620" s="8" t="str">
        <f>_xlfn.IFNA(INDEX('HS Codes'!$D$2:$K4174,MATCH($B1620,'HS Codes'!$A$2:$A4174,0),MATCH(H$1,'HS Codes'!$D$1:$K$1,0)),"")</f>
        <v>6505.00.40.00</v>
      </c>
      <c r="I1620" s="8" t="str">
        <f>_xlfn.IFNA(INDEX('HS Codes'!$D$2:$K4174,MATCH($B1620,'HS Codes'!$A$2:$A4174,0),MATCH(I$1,'HS Codes'!$D$1:$K$1,0)),"")</f>
        <v>6505.00.90.90</v>
      </c>
      <c r="J1620" s="8">
        <f>_xlfn.IFNA(INDEX('HS Codes'!$D$2:$K4174,MATCH($B1620,'HS Codes'!$A$2:$A4174,0),MATCH(J$1,'HS Codes'!$D$1:$K$1,0)),"")</f>
        <v>0</v>
      </c>
      <c r="K1620" s="8" t="str">
        <f>_xlfn.IFNA(INDEX('HS Codes'!$D$2:$K4174,MATCH($B1620,'HS Codes'!$A$2:$A4174,0),MATCH(K$1,'HS Codes'!$D$1:$K$1,0)),"")</f>
        <v>6505.00.90</v>
      </c>
      <c r="L1620" s="8">
        <f>_xlfn.IFNA(INDEX('HS Codes'!$D$2:$K4174,MATCH($B1620,'HS Codes'!$A$2:$A4174,0),MATCH(L$1,'HS Codes'!$D$1:$K$1,0)),"")</f>
        <v>0</v>
      </c>
      <c r="M1620" s="8" t="str">
        <f>_xlfn.IFNA(INDEX('HS Codes'!$C$2:$C4174,MATCH($B1620,'HS Codes'!$A$2:$A4174,0)),"")</f>
        <v>Head Towel 100% recycled 200 GSM/83% polyester/17% polyamide (no cotton)</v>
      </c>
      <c r="N1620" s="9"/>
      <c r="O1620" s="9"/>
      <c r="P1620" s="9"/>
      <c r="Q1620" s="9"/>
    </row>
    <row r="1621" spans="1:17" ht="15.75" customHeight="1">
      <c r="A1621" s="7" t="s">
        <v>1914</v>
      </c>
      <c r="B1621" s="7" t="s">
        <v>129</v>
      </c>
      <c r="C1621" s="7" t="s">
        <v>278</v>
      </c>
      <c r="D1621" s="7" t="s">
        <v>130</v>
      </c>
      <c r="E1621" s="7" t="s">
        <v>360</v>
      </c>
      <c r="F1621" s="8" t="str">
        <f>_xlfn.IFNA(INDEX('HS Codes'!$D$2:$K4175,MATCH($B1621,'HS Codes'!$A$2:$A4175,0),MATCH(F$1,'HS Codes'!$D$1:$K$1,0)),"")</f>
        <v>6504.00.90.15</v>
      </c>
      <c r="G1621" s="8">
        <f>_xlfn.IFNA(INDEX('HS Codes'!$D$2:$K4175,MATCH($B1621,'HS Codes'!$A$2:$A4175,0),MATCH(G$1,'HS Codes'!$D$1:$K$1,0)),"")</f>
        <v>6505009090</v>
      </c>
      <c r="H1621" s="8" t="str">
        <f>_xlfn.IFNA(INDEX('HS Codes'!$D$2:$K4175,MATCH($B1621,'HS Codes'!$A$2:$A4175,0),MATCH(H$1,'HS Codes'!$D$1:$K$1,0)),"")</f>
        <v>6505.00.40.00</v>
      </c>
      <c r="I1621" s="8" t="str">
        <f>_xlfn.IFNA(INDEX('HS Codes'!$D$2:$K4175,MATCH($B1621,'HS Codes'!$A$2:$A4175,0),MATCH(I$1,'HS Codes'!$D$1:$K$1,0)),"")</f>
        <v>6505.00.90.90</v>
      </c>
      <c r="J1621" s="8">
        <f>_xlfn.IFNA(INDEX('HS Codes'!$D$2:$K4175,MATCH($B1621,'HS Codes'!$A$2:$A4175,0),MATCH(J$1,'HS Codes'!$D$1:$K$1,0)),"")</f>
        <v>0</v>
      </c>
      <c r="K1621" s="8" t="str">
        <f>_xlfn.IFNA(INDEX('HS Codes'!$D$2:$K4175,MATCH($B1621,'HS Codes'!$A$2:$A4175,0),MATCH(K$1,'HS Codes'!$D$1:$K$1,0)),"")</f>
        <v>6505.00.90</v>
      </c>
      <c r="L1621" s="8">
        <f>_xlfn.IFNA(INDEX('HS Codes'!$D$2:$K4175,MATCH($B1621,'HS Codes'!$A$2:$A4175,0),MATCH(L$1,'HS Codes'!$D$1:$K$1,0)),"")</f>
        <v>0</v>
      </c>
      <c r="M1621" s="8" t="str">
        <f>_xlfn.IFNA(INDEX('HS Codes'!$C$2:$C4175,MATCH($B1621,'HS Codes'!$A$2:$A4175,0)),"")</f>
        <v>Head Towel 100% recycled 200 GSM/83% polyester/17% polyamide (no cotton)</v>
      </c>
      <c r="N1621" s="9"/>
      <c r="O1621" s="9"/>
      <c r="P1621" s="9"/>
      <c r="Q1621" s="9"/>
    </row>
    <row r="1622" spans="1:17" ht="15.75" customHeight="1">
      <c r="A1622" s="7" t="s">
        <v>1915</v>
      </c>
      <c r="B1622" s="7" t="s">
        <v>129</v>
      </c>
      <c r="C1622" s="7" t="s">
        <v>278</v>
      </c>
      <c r="D1622" s="7" t="s">
        <v>130</v>
      </c>
      <c r="E1622" s="7" t="s">
        <v>360</v>
      </c>
      <c r="F1622" s="8" t="str">
        <f>_xlfn.IFNA(INDEX('HS Codes'!$D$2:$K4176,MATCH($B1622,'HS Codes'!$A$2:$A4176,0),MATCH(F$1,'HS Codes'!$D$1:$K$1,0)),"")</f>
        <v>6504.00.90.15</v>
      </c>
      <c r="G1622" s="8">
        <f>_xlfn.IFNA(INDEX('HS Codes'!$D$2:$K4176,MATCH($B1622,'HS Codes'!$A$2:$A4176,0),MATCH(G$1,'HS Codes'!$D$1:$K$1,0)),"")</f>
        <v>6505009090</v>
      </c>
      <c r="H1622" s="8" t="str">
        <f>_xlfn.IFNA(INDEX('HS Codes'!$D$2:$K4176,MATCH($B1622,'HS Codes'!$A$2:$A4176,0),MATCH(H$1,'HS Codes'!$D$1:$K$1,0)),"")</f>
        <v>6505.00.40.00</v>
      </c>
      <c r="I1622" s="8" t="str">
        <f>_xlfn.IFNA(INDEX('HS Codes'!$D$2:$K4176,MATCH($B1622,'HS Codes'!$A$2:$A4176,0),MATCH(I$1,'HS Codes'!$D$1:$K$1,0)),"")</f>
        <v>6505.00.90.90</v>
      </c>
      <c r="J1622" s="8">
        <f>_xlfn.IFNA(INDEX('HS Codes'!$D$2:$K4176,MATCH($B1622,'HS Codes'!$A$2:$A4176,0),MATCH(J$1,'HS Codes'!$D$1:$K$1,0)),"")</f>
        <v>0</v>
      </c>
      <c r="K1622" s="8" t="str">
        <f>_xlfn.IFNA(INDEX('HS Codes'!$D$2:$K4176,MATCH($B1622,'HS Codes'!$A$2:$A4176,0),MATCH(K$1,'HS Codes'!$D$1:$K$1,0)),"")</f>
        <v>6505.00.90</v>
      </c>
      <c r="L1622" s="8">
        <f>_xlfn.IFNA(INDEX('HS Codes'!$D$2:$K4176,MATCH($B1622,'HS Codes'!$A$2:$A4176,0),MATCH(L$1,'HS Codes'!$D$1:$K$1,0)),"")</f>
        <v>0</v>
      </c>
      <c r="M1622" s="8" t="str">
        <f>_xlfn.IFNA(INDEX('HS Codes'!$C$2:$C4176,MATCH($B1622,'HS Codes'!$A$2:$A4176,0)),"")</f>
        <v>Head Towel 100% recycled 200 GSM/83% polyester/17% polyamide (no cotton)</v>
      </c>
      <c r="N1622" s="9"/>
      <c r="O1622" s="9"/>
      <c r="P1622" s="9"/>
      <c r="Q1622" s="9"/>
    </row>
    <row r="1623" spans="1:17" ht="15.75" customHeight="1">
      <c r="A1623" s="7" t="s">
        <v>1916</v>
      </c>
      <c r="B1623" s="7" t="s">
        <v>129</v>
      </c>
      <c r="C1623" s="7" t="s">
        <v>278</v>
      </c>
      <c r="D1623" s="7" t="s">
        <v>130</v>
      </c>
      <c r="E1623" s="7" t="s">
        <v>360</v>
      </c>
      <c r="F1623" s="8" t="str">
        <f>_xlfn.IFNA(INDEX('HS Codes'!$D$2:$K4177,MATCH($B1623,'HS Codes'!$A$2:$A4177,0),MATCH(F$1,'HS Codes'!$D$1:$K$1,0)),"")</f>
        <v>6504.00.90.15</v>
      </c>
      <c r="G1623" s="8">
        <f>_xlfn.IFNA(INDEX('HS Codes'!$D$2:$K4177,MATCH($B1623,'HS Codes'!$A$2:$A4177,0),MATCH(G$1,'HS Codes'!$D$1:$K$1,0)),"")</f>
        <v>6505009090</v>
      </c>
      <c r="H1623" s="8" t="str">
        <f>_xlfn.IFNA(INDEX('HS Codes'!$D$2:$K4177,MATCH($B1623,'HS Codes'!$A$2:$A4177,0),MATCH(H$1,'HS Codes'!$D$1:$K$1,0)),"")</f>
        <v>6505.00.40.00</v>
      </c>
      <c r="I1623" s="8" t="str">
        <f>_xlfn.IFNA(INDEX('HS Codes'!$D$2:$K4177,MATCH($B1623,'HS Codes'!$A$2:$A4177,0),MATCH(I$1,'HS Codes'!$D$1:$K$1,0)),"")</f>
        <v>6505.00.90.90</v>
      </c>
      <c r="J1623" s="8">
        <f>_xlfn.IFNA(INDEX('HS Codes'!$D$2:$K4177,MATCH($B1623,'HS Codes'!$A$2:$A4177,0),MATCH(J$1,'HS Codes'!$D$1:$K$1,0)),"")</f>
        <v>0</v>
      </c>
      <c r="K1623" s="8" t="str">
        <f>_xlfn.IFNA(INDEX('HS Codes'!$D$2:$K4177,MATCH($B1623,'HS Codes'!$A$2:$A4177,0),MATCH(K$1,'HS Codes'!$D$1:$K$1,0)),"")</f>
        <v>6505.00.90</v>
      </c>
      <c r="L1623" s="8">
        <f>_xlfn.IFNA(INDEX('HS Codes'!$D$2:$K4177,MATCH($B1623,'HS Codes'!$A$2:$A4177,0),MATCH(L$1,'HS Codes'!$D$1:$K$1,0)),"")</f>
        <v>0</v>
      </c>
      <c r="M1623" s="8" t="str">
        <f>_xlfn.IFNA(INDEX('HS Codes'!$C$2:$C4177,MATCH($B1623,'HS Codes'!$A$2:$A4177,0)),"")</f>
        <v>Head Towel 100% recycled 200 GSM/83% polyester/17% polyamide (no cotton)</v>
      </c>
      <c r="N1623" s="9"/>
      <c r="O1623" s="9"/>
      <c r="P1623" s="9"/>
      <c r="Q1623" s="9"/>
    </row>
    <row r="1624" spans="1:17" ht="15.75" customHeight="1">
      <c r="A1624" s="7" t="s">
        <v>1917</v>
      </c>
      <c r="B1624" s="7" t="s">
        <v>129</v>
      </c>
      <c r="C1624" s="7" t="s">
        <v>278</v>
      </c>
      <c r="D1624" s="7" t="s">
        <v>130</v>
      </c>
      <c r="E1624" s="7" t="s">
        <v>360</v>
      </c>
      <c r="F1624" s="8" t="str">
        <f>_xlfn.IFNA(INDEX('HS Codes'!$D$2:$K4178,MATCH($B1624,'HS Codes'!$A$2:$A4178,0),MATCH(F$1,'HS Codes'!$D$1:$K$1,0)),"")</f>
        <v>6504.00.90.15</v>
      </c>
      <c r="G1624" s="8">
        <f>_xlfn.IFNA(INDEX('HS Codes'!$D$2:$K4178,MATCH($B1624,'HS Codes'!$A$2:$A4178,0),MATCH(G$1,'HS Codes'!$D$1:$K$1,0)),"")</f>
        <v>6505009090</v>
      </c>
      <c r="H1624" s="8" t="str">
        <f>_xlfn.IFNA(INDEX('HS Codes'!$D$2:$K4178,MATCH($B1624,'HS Codes'!$A$2:$A4178,0),MATCH(H$1,'HS Codes'!$D$1:$K$1,0)),"")</f>
        <v>6505.00.40.00</v>
      </c>
      <c r="I1624" s="8" t="str">
        <f>_xlfn.IFNA(INDEX('HS Codes'!$D$2:$K4178,MATCH($B1624,'HS Codes'!$A$2:$A4178,0),MATCH(I$1,'HS Codes'!$D$1:$K$1,0)),"")</f>
        <v>6505.00.90.90</v>
      </c>
      <c r="J1624" s="8">
        <f>_xlfn.IFNA(INDEX('HS Codes'!$D$2:$K4178,MATCH($B1624,'HS Codes'!$A$2:$A4178,0),MATCH(J$1,'HS Codes'!$D$1:$K$1,0)),"")</f>
        <v>0</v>
      </c>
      <c r="K1624" s="8" t="str">
        <f>_xlfn.IFNA(INDEX('HS Codes'!$D$2:$K4178,MATCH($B1624,'HS Codes'!$A$2:$A4178,0),MATCH(K$1,'HS Codes'!$D$1:$K$1,0)),"")</f>
        <v>6505.00.90</v>
      </c>
      <c r="L1624" s="8">
        <f>_xlfn.IFNA(INDEX('HS Codes'!$D$2:$K4178,MATCH($B1624,'HS Codes'!$A$2:$A4178,0),MATCH(L$1,'HS Codes'!$D$1:$K$1,0)),"")</f>
        <v>0</v>
      </c>
      <c r="M1624" s="8" t="str">
        <f>_xlfn.IFNA(INDEX('HS Codes'!$C$2:$C4178,MATCH($B1624,'HS Codes'!$A$2:$A4178,0)),"")</f>
        <v>Head Towel 100% recycled 200 GSM/83% polyester/17% polyamide (no cotton)</v>
      </c>
      <c r="N1624" s="9"/>
      <c r="O1624" s="9"/>
      <c r="P1624" s="9"/>
      <c r="Q1624" s="9"/>
    </row>
    <row r="1625" spans="1:17" ht="15.75" customHeight="1">
      <c r="A1625" s="7" t="s">
        <v>1918</v>
      </c>
      <c r="B1625" s="7" t="s">
        <v>129</v>
      </c>
      <c r="C1625" s="7" t="s">
        <v>278</v>
      </c>
      <c r="D1625" s="7" t="s">
        <v>130</v>
      </c>
      <c r="E1625" s="7" t="s">
        <v>360</v>
      </c>
      <c r="F1625" s="8" t="str">
        <f>_xlfn.IFNA(INDEX('HS Codes'!$D$2:$K4179,MATCH($B1625,'HS Codes'!$A$2:$A4179,0),MATCH(F$1,'HS Codes'!$D$1:$K$1,0)),"")</f>
        <v>6504.00.90.15</v>
      </c>
      <c r="G1625" s="8">
        <f>_xlfn.IFNA(INDEX('HS Codes'!$D$2:$K4179,MATCH($B1625,'HS Codes'!$A$2:$A4179,0),MATCH(G$1,'HS Codes'!$D$1:$K$1,0)),"")</f>
        <v>6505009090</v>
      </c>
      <c r="H1625" s="8" t="str">
        <f>_xlfn.IFNA(INDEX('HS Codes'!$D$2:$K4179,MATCH($B1625,'HS Codes'!$A$2:$A4179,0),MATCH(H$1,'HS Codes'!$D$1:$K$1,0)),"")</f>
        <v>6505.00.40.00</v>
      </c>
      <c r="I1625" s="8" t="str">
        <f>_xlfn.IFNA(INDEX('HS Codes'!$D$2:$K4179,MATCH($B1625,'HS Codes'!$A$2:$A4179,0),MATCH(I$1,'HS Codes'!$D$1:$K$1,0)),"")</f>
        <v>6505.00.90.90</v>
      </c>
      <c r="J1625" s="8">
        <f>_xlfn.IFNA(INDEX('HS Codes'!$D$2:$K4179,MATCH($B1625,'HS Codes'!$A$2:$A4179,0),MATCH(J$1,'HS Codes'!$D$1:$K$1,0)),"")</f>
        <v>0</v>
      </c>
      <c r="K1625" s="8" t="str">
        <f>_xlfn.IFNA(INDEX('HS Codes'!$D$2:$K4179,MATCH($B1625,'HS Codes'!$A$2:$A4179,0),MATCH(K$1,'HS Codes'!$D$1:$K$1,0)),"")</f>
        <v>6505.00.90</v>
      </c>
      <c r="L1625" s="8">
        <f>_xlfn.IFNA(INDEX('HS Codes'!$D$2:$K4179,MATCH($B1625,'HS Codes'!$A$2:$A4179,0),MATCH(L$1,'HS Codes'!$D$1:$K$1,0)),"")</f>
        <v>0</v>
      </c>
      <c r="M1625" s="8" t="str">
        <f>_xlfn.IFNA(INDEX('HS Codes'!$C$2:$C4179,MATCH($B1625,'HS Codes'!$A$2:$A4179,0)),"")</f>
        <v>Head Towel 100% recycled 200 GSM/83% polyester/17% polyamide (no cotton)</v>
      </c>
      <c r="N1625" s="9"/>
      <c r="O1625" s="9"/>
      <c r="P1625" s="9"/>
      <c r="Q1625" s="9"/>
    </row>
    <row r="1626" spans="1:17" ht="15.75" customHeight="1">
      <c r="A1626" s="7" t="s">
        <v>1919</v>
      </c>
      <c r="B1626" s="7" t="s">
        <v>129</v>
      </c>
      <c r="C1626" s="7" t="s">
        <v>278</v>
      </c>
      <c r="D1626" s="7" t="s">
        <v>130</v>
      </c>
      <c r="E1626" s="7" t="s">
        <v>360</v>
      </c>
      <c r="F1626" s="8" t="str">
        <f>_xlfn.IFNA(INDEX('HS Codes'!$D$2:$K4180,MATCH($B1626,'HS Codes'!$A$2:$A4180,0),MATCH(F$1,'HS Codes'!$D$1:$K$1,0)),"")</f>
        <v>6504.00.90.15</v>
      </c>
      <c r="G1626" s="8">
        <f>_xlfn.IFNA(INDEX('HS Codes'!$D$2:$K4180,MATCH($B1626,'HS Codes'!$A$2:$A4180,0),MATCH(G$1,'HS Codes'!$D$1:$K$1,0)),"")</f>
        <v>6505009090</v>
      </c>
      <c r="H1626" s="8" t="str">
        <f>_xlfn.IFNA(INDEX('HS Codes'!$D$2:$K4180,MATCH($B1626,'HS Codes'!$A$2:$A4180,0),MATCH(H$1,'HS Codes'!$D$1:$K$1,0)),"")</f>
        <v>6505.00.40.00</v>
      </c>
      <c r="I1626" s="8" t="str">
        <f>_xlfn.IFNA(INDEX('HS Codes'!$D$2:$K4180,MATCH($B1626,'HS Codes'!$A$2:$A4180,0),MATCH(I$1,'HS Codes'!$D$1:$K$1,0)),"")</f>
        <v>6505.00.90.90</v>
      </c>
      <c r="J1626" s="8">
        <f>_xlfn.IFNA(INDEX('HS Codes'!$D$2:$K4180,MATCH($B1626,'HS Codes'!$A$2:$A4180,0),MATCH(J$1,'HS Codes'!$D$1:$K$1,0)),"")</f>
        <v>0</v>
      </c>
      <c r="K1626" s="8" t="str">
        <f>_xlfn.IFNA(INDEX('HS Codes'!$D$2:$K4180,MATCH($B1626,'HS Codes'!$A$2:$A4180,0),MATCH(K$1,'HS Codes'!$D$1:$K$1,0)),"")</f>
        <v>6505.00.90</v>
      </c>
      <c r="L1626" s="8">
        <f>_xlfn.IFNA(INDEX('HS Codes'!$D$2:$K4180,MATCH($B1626,'HS Codes'!$A$2:$A4180,0),MATCH(L$1,'HS Codes'!$D$1:$K$1,0)),"")</f>
        <v>0</v>
      </c>
      <c r="M1626" s="8" t="str">
        <f>_xlfn.IFNA(INDEX('HS Codes'!$C$2:$C4180,MATCH($B1626,'HS Codes'!$A$2:$A4180,0)),"")</f>
        <v>Head Towel 100% recycled 200 GSM/83% polyester/17% polyamide (no cotton)</v>
      </c>
      <c r="N1626" s="9"/>
      <c r="O1626" s="9"/>
      <c r="P1626" s="9"/>
      <c r="Q1626" s="9"/>
    </row>
    <row r="1627" spans="1:17" ht="15.75" customHeight="1">
      <c r="A1627" s="7" t="s">
        <v>1920</v>
      </c>
      <c r="B1627" s="7" t="s">
        <v>129</v>
      </c>
      <c r="C1627" s="7" t="s">
        <v>278</v>
      </c>
      <c r="D1627" s="7" t="s">
        <v>130</v>
      </c>
      <c r="E1627" s="7" t="s">
        <v>360</v>
      </c>
      <c r="F1627" s="8" t="str">
        <f>_xlfn.IFNA(INDEX('HS Codes'!$D$2:$K4181,MATCH($B1627,'HS Codes'!$A$2:$A4181,0),MATCH(F$1,'HS Codes'!$D$1:$K$1,0)),"")</f>
        <v>6504.00.90.15</v>
      </c>
      <c r="G1627" s="8">
        <f>_xlfn.IFNA(INDEX('HS Codes'!$D$2:$K4181,MATCH($B1627,'HS Codes'!$A$2:$A4181,0),MATCH(G$1,'HS Codes'!$D$1:$K$1,0)),"")</f>
        <v>6505009090</v>
      </c>
      <c r="H1627" s="8" t="str">
        <f>_xlfn.IFNA(INDEX('HS Codes'!$D$2:$K4181,MATCH($B1627,'HS Codes'!$A$2:$A4181,0),MATCH(H$1,'HS Codes'!$D$1:$K$1,0)),"")</f>
        <v>6505.00.40.00</v>
      </c>
      <c r="I1627" s="8" t="str">
        <f>_xlfn.IFNA(INDEX('HS Codes'!$D$2:$K4181,MATCH($B1627,'HS Codes'!$A$2:$A4181,0),MATCH(I$1,'HS Codes'!$D$1:$K$1,0)),"")</f>
        <v>6505.00.90.90</v>
      </c>
      <c r="J1627" s="8">
        <f>_xlfn.IFNA(INDEX('HS Codes'!$D$2:$K4181,MATCH($B1627,'HS Codes'!$A$2:$A4181,0),MATCH(J$1,'HS Codes'!$D$1:$K$1,0)),"")</f>
        <v>0</v>
      </c>
      <c r="K1627" s="8" t="str">
        <f>_xlfn.IFNA(INDEX('HS Codes'!$D$2:$K4181,MATCH($B1627,'HS Codes'!$A$2:$A4181,0),MATCH(K$1,'HS Codes'!$D$1:$K$1,0)),"")</f>
        <v>6505.00.90</v>
      </c>
      <c r="L1627" s="8">
        <f>_xlfn.IFNA(INDEX('HS Codes'!$D$2:$K4181,MATCH($B1627,'HS Codes'!$A$2:$A4181,0),MATCH(L$1,'HS Codes'!$D$1:$K$1,0)),"")</f>
        <v>0</v>
      </c>
      <c r="M1627" s="8" t="str">
        <f>_xlfn.IFNA(INDEX('HS Codes'!$C$2:$C4181,MATCH($B1627,'HS Codes'!$A$2:$A4181,0)),"")</f>
        <v>Head Towel 100% recycled 200 GSM/83% polyester/17% polyamide (no cotton)</v>
      </c>
      <c r="N1627" s="9"/>
      <c r="O1627" s="9"/>
      <c r="P1627" s="9"/>
      <c r="Q1627" s="9"/>
    </row>
    <row r="1628" spans="1:17" ht="15.75" customHeight="1">
      <c r="A1628" s="7" t="s">
        <v>1921</v>
      </c>
      <c r="B1628" s="7" t="s">
        <v>129</v>
      </c>
      <c r="C1628" s="7" t="s">
        <v>278</v>
      </c>
      <c r="D1628" s="7" t="s">
        <v>130</v>
      </c>
      <c r="E1628" s="7" t="s">
        <v>360</v>
      </c>
      <c r="F1628" s="8" t="str">
        <f>_xlfn.IFNA(INDEX('HS Codes'!$D$2:$K4182,MATCH($B1628,'HS Codes'!$A$2:$A4182,0),MATCH(F$1,'HS Codes'!$D$1:$K$1,0)),"")</f>
        <v>6504.00.90.15</v>
      </c>
      <c r="G1628" s="8">
        <f>_xlfn.IFNA(INDEX('HS Codes'!$D$2:$K4182,MATCH($B1628,'HS Codes'!$A$2:$A4182,0),MATCH(G$1,'HS Codes'!$D$1:$K$1,0)),"")</f>
        <v>6505009090</v>
      </c>
      <c r="H1628" s="8" t="str">
        <f>_xlfn.IFNA(INDEX('HS Codes'!$D$2:$K4182,MATCH($B1628,'HS Codes'!$A$2:$A4182,0),MATCH(H$1,'HS Codes'!$D$1:$K$1,0)),"")</f>
        <v>6505.00.40.00</v>
      </c>
      <c r="I1628" s="8" t="str">
        <f>_xlfn.IFNA(INDEX('HS Codes'!$D$2:$K4182,MATCH($B1628,'HS Codes'!$A$2:$A4182,0),MATCH(I$1,'HS Codes'!$D$1:$K$1,0)),"")</f>
        <v>6505.00.90.90</v>
      </c>
      <c r="J1628" s="8">
        <f>_xlfn.IFNA(INDEX('HS Codes'!$D$2:$K4182,MATCH($B1628,'HS Codes'!$A$2:$A4182,0),MATCH(J$1,'HS Codes'!$D$1:$K$1,0)),"")</f>
        <v>0</v>
      </c>
      <c r="K1628" s="8" t="str">
        <f>_xlfn.IFNA(INDEX('HS Codes'!$D$2:$K4182,MATCH($B1628,'HS Codes'!$A$2:$A4182,0),MATCH(K$1,'HS Codes'!$D$1:$K$1,0)),"")</f>
        <v>6505.00.90</v>
      </c>
      <c r="L1628" s="8">
        <f>_xlfn.IFNA(INDEX('HS Codes'!$D$2:$K4182,MATCH($B1628,'HS Codes'!$A$2:$A4182,0),MATCH(L$1,'HS Codes'!$D$1:$K$1,0)),"")</f>
        <v>0</v>
      </c>
      <c r="M1628" s="8" t="str">
        <f>_xlfn.IFNA(INDEX('HS Codes'!$C$2:$C4182,MATCH($B1628,'HS Codes'!$A$2:$A4182,0)),"")</f>
        <v>Head Towel 100% recycled 200 GSM/83% polyester/17% polyamide (no cotton)</v>
      </c>
      <c r="N1628" s="9"/>
      <c r="O1628" s="9"/>
      <c r="P1628" s="9"/>
      <c r="Q1628" s="9"/>
    </row>
    <row r="1629" spans="1:17" ht="15.75" customHeight="1">
      <c r="A1629" s="7" t="s">
        <v>1922</v>
      </c>
      <c r="B1629" s="7" t="s">
        <v>129</v>
      </c>
      <c r="C1629" s="7" t="s">
        <v>278</v>
      </c>
      <c r="D1629" s="7" t="s">
        <v>130</v>
      </c>
      <c r="E1629" s="7" t="s">
        <v>360</v>
      </c>
      <c r="F1629" s="8" t="str">
        <f>_xlfn.IFNA(INDEX('HS Codes'!$D$2:$K4183,MATCH($B1629,'HS Codes'!$A$2:$A4183,0),MATCH(F$1,'HS Codes'!$D$1:$K$1,0)),"")</f>
        <v>6504.00.90.15</v>
      </c>
      <c r="G1629" s="8">
        <f>_xlfn.IFNA(INDEX('HS Codes'!$D$2:$K4183,MATCH($B1629,'HS Codes'!$A$2:$A4183,0),MATCH(G$1,'HS Codes'!$D$1:$K$1,0)),"")</f>
        <v>6505009090</v>
      </c>
      <c r="H1629" s="8" t="str">
        <f>_xlfn.IFNA(INDEX('HS Codes'!$D$2:$K4183,MATCH($B1629,'HS Codes'!$A$2:$A4183,0),MATCH(H$1,'HS Codes'!$D$1:$K$1,0)),"")</f>
        <v>6505.00.40.00</v>
      </c>
      <c r="I1629" s="8" t="str">
        <f>_xlfn.IFNA(INDEX('HS Codes'!$D$2:$K4183,MATCH($B1629,'HS Codes'!$A$2:$A4183,0),MATCH(I$1,'HS Codes'!$D$1:$K$1,0)),"")</f>
        <v>6505.00.90.90</v>
      </c>
      <c r="J1629" s="8">
        <f>_xlfn.IFNA(INDEX('HS Codes'!$D$2:$K4183,MATCH($B1629,'HS Codes'!$A$2:$A4183,0),MATCH(J$1,'HS Codes'!$D$1:$K$1,0)),"")</f>
        <v>0</v>
      </c>
      <c r="K1629" s="8" t="str">
        <f>_xlfn.IFNA(INDEX('HS Codes'!$D$2:$K4183,MATCH($B1629,'HS Codes'!$A$2:$A4183,0),MATCH(K$1,'HS Codes'!$D$1:$K$1,0)),"")</f>
        <v>6505.00.90</v>
      </c>
      <c r="L1629" s="8">
        <f>_xlfn.IFNA(INDEX('HS Codes'!$D$2:$K4183,MATCH($B1629,'HS Codes'!$A$2:$A4183,0),MATCH(L$1,'HS Codes'!$D$1:$K$1,0)),"")</f>
        <v>0</v>
      </c>
      <c r="M1629" s="8" t="str">
        <f>_xlfn.IFNA(INDEX('HS Codes'!$C$2:$C4183,MATCH($B1629,'HS Codes'!$A$2:$A4183,0)),"")</f>
        <v>Head Towel 100% recycled 200 GSM/83% polyester/17% polyamide (no cotton)</v>
      </c>
      <c r="N1629" s="9"/>
      <c r="O1629" s="9"/>
      <c r="P1629" s="9"/>
      <c r="Q1629" s="9"/>
    </row>
    <row r="1630" spans="1:17" ht="15.75" customHeight="1">
      <c r="A1630" s="7" t="s">
        <v>1923</v>
      </c>
      <c r="B1630" s="7" t="s">
        <v>126</v>
      </c>
      <c r="C1630" s="7" t="s">
        <v>278</v>
      </c>
      <c r="D1630" s="7" t="s">
        <v>127</v>
      </c>
      <c r="E1630" s="7" t="s">
        <v>360</v>
      </c>
      <c r="F1630" s="8" t="str">
        <f>_xlfn.IFNA(INDEX('HS Codes'!$D$2:$K4184,MATCH($B1630,'HS Codes'!$A$2:$A4184,0),MATCH(F$1,'HS Codes'!$D$1:$K$1,0)),"")</f>
        <v>6504.00.90.15</v>
      </c>
      <c r="G1630" s="8">
        <f>_xlfn.IFNA(INDEX('HS Codes'!$D$2:$K4184,MATCH($B1630,'HS Codes'!$A$2:$A4184,0),MATCH(G$1,'HS Codes'!$D$1:$K$1,0)),"")</f>
        <v>6505009090</v>
      </c>
      <c r="H1630" s="8" t="str">
        <f>_xlfn.IFNA(INDEX('HS Codes'!$D$2:$K4184,MATCH($B1630,'HS Codes'!$A$2:$A4184,0),MATCH(H$1,'HS Codes'!$D$1:$K$1,0)),"")</f>
        <v>6505.00.40.00</v>
      </c>
      <c r="I1630" s="8" t="str">
        <f>_xlfn.IFNA(INDEX('HS Codes'!$D$2:$K4184,MATCH($B1630,'HS Codes'!$A$2:$A4184,0),MATCH(I$1,'HS Codes'!$D$1:$K$1,0)),"")</f>
        <v>6505.00.90.90</v>
      </c>
      <c r="J1630" s="8">
        <f>_xlfn.IFNA(INDEX('HS Codes'!$D$2:$K4184,MATCH($B1630,'HS Codes'!$A$2:$A4184,0),MATCH(J$1,'HS Codes'!$D$1:$K$1,0)),"")</f>
        <v>0</v>
      </c>
      <c r="K1630" s="8" t="str">
        <f>_xlfn.IFNA(INDEX('HS Codes'!$D$2:$K4184,MATCH($B1630,'HS Codes'!$A$2:$A4184,0),MATCH(K$1,'HS Codes'!$D$1:$K$1,0)),"")</f>
        <v>6505.00.90</v>
      </c>
      <c r="L1630" s="8">
        <f>_xlfn.IFNA(INDEX('HS Codes'!$D$2:$K4184,MATCH($B1630,'HS Codes'!$A$2:$A4184,0),MATCH(L$1,'HS Codes'!$D$1:$K$1,0)),"")</f>
        <v>6507</v>
      </c>
      <c r="M1630" s="8" t="str">
        <f>_xlfn.IFNA(INDEX('HS Codes'!$C$2:$C4184,MATCH($B1630,'HS Codes'!$A$2:$A4184,0)),"")</f>
        <v>Head Towel 100% recycled 340 GSM/83% polyester/17% polyamide (no cotton)</v>
      </c>
      <c r="N1630" s="9"/>
      <c r="O1630" s="9"/>
      <c r="P1630" s="9"/>
      <c r="Q1630" s="9"/>
    </row>
    <row r="1631" spans="1:17" ht="15.75" customHeight="1">
      <c r="A1631" s="7" t="s">
        <v>1924</v>
      </c>
      <c r="B1631" s="7" t="s">
        <v>126</v>
      </c>
      <c r="C1631" s="7" t="s">
        <v>278</v>
      </c>
      <c r="D1631" s="7" t="s">
        <v>127</v>
      </c>
      <c r="E1631" s="7" t="s">
        <v>360</v>
      </c>
      <c r="F1631" s="8" t="str">
        <f>_xlfn.IFNA(INDEX('HS Codes'!$D$2:$K4185,MATCH($B1631,'HS Codes'!$A$2:$A4185,0),MATCH(F$1,'HS Codes'!$D$1:$K$1,0)),"")</f>
        <v>6504.00.90.15</v>
      </c>
      <c r="G1631" s="8">
        <f>_xlfn.IFNA(INDEX('HS Codes'!$D$2:$K4185,MATCH($B1631,'HS Codes'!$A$2:$A4185,0),MATCH(G$1,'HS Codes'!$D$1:$K$1,0)),"")</f>
        <v>6505009090</v>
      </c>
      <c r="H1631" s="8" t="str">
        <f>_xlfn.IFNA(INDEX('HS Codes'!$D$2:$K4185,MATCH($B1631,'HS Codes'!$A$2:$A4185,0),MATCH(H$1,'HS Codes'!$D$1:$K$1,0)),"")</f>
        <v>6505.00.40.00</v>
      </c>
      <c r="I1631" s="8" t="str">
        <f>_xlfn.IFNA(INDEX('HS Codes'!$D$2:$K4185,MATCH($B1631,'HS Codes'!$A$2:$A4185,0),MATCH(I$1,'HS Codes'!$D$1:$K$1,0)),"")</f>
        <v>6505.00.90.90</v>
      </c>
      <c r="J1631" s="8">
        <f>_xlfn.IFNA(INDEX('HS Codes'!$D$2:$K4185,MATCH($B1631,'HS Codes'!$A$2:$A4185,0),MATCH(J$1,'HS Codes'!$D$1:$K$1,0)),"")</f>
        <v>0</v>
      </c>
      <c r="K1631" s="8" t="str">
        <f>_xlfn.IFNA(INDEX('HS Codes'!$D$2:$K4185,MATCH($B1631,'HS Codes'!$A$2:$A4185,0),MATCH(K$1,'HS Codes'!$D$1:$K$1,0)),"")</f>
        <v>6505.00.90</v>
      </c>
      <c r="L1631" s="8">
        <f>_xlfn.IFNA(INDEX('HS Codes'!$D$2:$K4185,MATCH($B1631,'HS Codes'!$A$2:$A4185,0),MATCH(L$1,'HS Codes'!$D$1:$K$1,0)),"")</f>
        <v>6507</v>
      </c>
      <c r="M1631" s="8" t="str">
        <f>_xlfn.IFNA(INDEX('HS Codes'!$C$2:$C4185,MATCH($B1631,'HS Codes'!$A$2:$A4185,0)),"")</f>
        <v>Head Towel 100% recycled 340 GSM/83% polyester/17% polyamide (no cotton)</v>
      </c>
      <c r="N1631" s="9"/>
      <c r="O1631" s="9"/>
      <c r="P1631" s="9"/>
      <c r="Q1631" s="9"/>
    </row>
    <row r="1632" spans="1:17" ht="15.75" customHeight="1">
      <c r="A1632" s="7" t="s">
        <v>1925</v>
      </c>
      <c r="B1632" s="7" t="s">
        <v>126</v>
      </c>
      <c r="C1632" s="7" t="s">
        <v>278</v>
      </c>
      <c r="D1632" s="7" t="s">
        <v>127</v>
      </c>
      <c r="E1632" s="7" t="s">
        <v>360</v>
      </c>
      <c r="F1632" s="8" t="str">
        <f>_xlfn.IFNA(INDEX('HS Codes'!$D$2:$K4186,MATCH($B1632,'HS Codes'!$A$2:$A4186,0),MATCH(F$1,'HS Codes'!$D$1:$K$1,0)),"")</f>
        <v>6504.00.90.15</v>
      </c>
      <c r="G1632" s="8">
        <f>_xlfn.IFNA(INDEX('HS Codes'!$D$2:$K4186,MATCH($B1632,'HS Codes'!$A$2:$A4186,0),MATCH(G$1,'HS Codes'!$D$1:$K$1,0)),"")</f>
        <v>6505009090</v>
      </c>
      <c r="H1632" s="8" t="str">
        <f>_xlfn.IFNA(INDEX('HS Codes'!$D$2:$K4186,MATCH($B1632,'HS Codes'!$A$2:$A4186,0),MATCH(H$1,'HS Codes'!$D$1:$K$1,0)),"")</f>
        <v>6505.00.40.00</v>
      </c>
      <c r="I1632" s="8" t="str">
        <f>_xlfn.IFNA(INDEX('HS Codes'!$D$2:$K4186,MATCH($B1632,'HS Codes'!$A$2:$A4186,0),MATCH(I$1,'HS Codes'!$D$1:$K$1,0)),"")</f>
        <v>6505.00.90.90</v>
      </c>
      <c r="J1632" s="8">
        <f>_xlfn.IFNA(INDEX('HS Codes'!$D$2:$K4186,MATCH($B1632,'HS Codes'!$A$2:$A4186,0),MATCH(J$1,'HS Codes'!$D$1:$K$1,0)),"")</f>
        <v>0</v>
      </c>
      <c r="K1632" s="8" t="str">
        <f>_xlfn.IFNA(INDEX('HS Codes'!$D$2:$K4186,MATCH($B1632,'HS Codes'!$A$2:$A4186,0),MATCH(K$1,'HS Codes'!$D$1:$K$1,0)),"")</f>
        <v>6505.00.90</v>
      </c>
      <c r="L1632" s="8">
        <f>_xlfn.IFNA(INDEX('HS Codes'!$D$2:$K4186,MATCH($B1632,'HS Codes'!$A$2:$A4186,0),MATCH(L$1,'HS Codes'!$D$1:$K$1,0)),"")</f>
        <v>6507</v>
      </c>
      <c r="M1632" s="8" t="str">
        <f>_xlfn.IFNA(INDEX('HS Codes'!$C$2:$C4186,MATCH($B1632,'HS Codes'!$A$2:$A4186,0)),"")</f>
        <v>Head Towel 100% recycled 340 GSM/83% polyester/17% polyamide (no cotton)</v>
      </c>
      <c r="N1632" s="9"/>
      <c r="O1632" s="9"/>
      <c r="P1632" s="9"/>
      <c r="Q1632" s="9"/>
    </row>
    <row r="1633" spans="1:17" ht="15.75" customHeight="1">
      <c r="A1633" s="7" t="s">
        <v>1926</v>
      </c>
      <c r="B1633" s="7" t="s">
        <v>129</v>
      </c>
      <c r="C1633" s="7" t="s">
        <v>278</v>
      </c>
      <c r="D1633" s="7" t="s">
        <v>130</v>
      </c>
      <c r="E1633" s="7" t="s">
        <v>360</v>
      </c>
      <c r="F1633" s="8" t="str">
        <f>_xlfn.IFNA(INDEX('HS Codes'!$D$2:$K4187,MATCH($B1633,'HS Codes'!$A$2:$A4187,0),MATCH(F$1,'HS Codes'!$D$1:$K$1,0)),"")</f>
        <v>6504.00.90.15</v>
      </c>
      <c r="G1633" s="8">
        <f>_xlfn.IFNA(INDEX('HS Codes'!$D$2:$K4187,MATCH($B1633,'HS Codes'!$A$2:$A4187,0),MATCH(G$1,'HS Codes'!$D$1:$K$1,0)),"")</f>
        <v>6505009090</v>
      </c>
      <c r="H1633" s="8" t="str">
        <f>_xlfn.IFNA(INDEX('HS Codes'!$D$2:$K4187,MATCH($B1633,'HS Codes'!$A$2:$A4187,0),MATCH(H$1,'HS Codes'!$D$1:$K$1,0)),"")</f>
        <v>6505.00.40.00</v>
      </c>
      <c r="I1633" s="8" t="str">
        <f>_xlfn.IFNA(INDEX('HS Codes'!$D$2:$K4187,MATCH($B1633,'HS Codes'!$A$2:$A4187,0),MATCH(I$1,'HS Codes'!$D$1:$K$1,0)),"")</f>
        <v>6505.00.90.90</v>
      </c>
      <c r="J1633" s="8">
        <f>_xlfn.IFNA(INDEX('HS Codes'!$D$2:$K4187,MATCH($B1633,'HS Codes'!$A$2:$A4187,0),MATCH(J$1,'HS Codes'!$D$1:$K$1,0)),"")</f>
        <v>0</v>
      </c>
      <c r="K1633" s="8" t="str">
        <f>_xlfn.IFNA(INDEX('HS Codes'!$D$2:$K4187,MATCH($B1633,'HS Codes'!$A$2:$A4187,0),MATCH(K$1,'HS Codes'!$D$1:$K$1,0)),"")</f>
        <v>6505.00.90</v>
      </c>
      <c r="L1633" s="8">
        <f>_xlfn.IFNA(INDEX('HS Codes'!$D$2:$K4187,MATCH($B1633,'HS Codes'!$A$2:$A4187,0),MATCH(L$1,'HS Codes'!$D$1:$K$1,0)),"")</f>
        <v>0</v>
      </c>
      <c r="M1633" s="8" t="str">
        <f>_xlfn.IFNA(INDEX('HS Codes'!$C$2:$C4187,MATCH($B1633,'HS Codes'!$A$2:$A4187,0)),"")</f>
        <v>Head Towel 100% recycled 200 GSM/83% polyester/17% polyamide (no cotton)</v>
      </c>
      <c r="N1633" s="9"/>
      <c r="O1633" s="9"/>
      <c r="P1633" s="9"/>
      <c r="Q1633" s="9"/>
    </row>
    <row r="1634" spans="1:17" ht="15.75" customHeight="1">
      <c r="A1634" s="7" t="s">
        <v>1927</v>
      </c>
      <c r="B1634" s="7" t="s">
        <v>129</v>
      </c>
      <c r="C1634" s="7" t="s">
        <v>278</v>
      </c>
      <c r="D1634" s="7" t="s">
        <v>130</v>
      </c>
      <c r="E1634" s="7" t="s">
        <v>360</v>
      </c>
      <c r="F1634" s="8" t="str">
        <f>_xlfn.IFNA(INDEX('HS Codes'!$D$2:$K4188,MATCH($B1634,'HS Codes'!$A$2:$A4188,0),MATCH(F$1,'HS Codes'!$D$1:$K$1,0)),"")</f>
        <v>6504.00.90.15</v>
      </c>
      <c r="G1634" s="8">
        <f>_xlfn.IFNA(INDEX('HS Codes'!$D$2:$K4188,MATCH($B1634,'HS Codes'!$A$2:$A4188,0),MATCH(G$1,'HS Codes'!$D$1:$K$1,0)),"")</f>
        <v>6505009090</v>
      </c>
      <c r="H1634" s="8" t="str">
        <f>_xlfn.IFNA(INDEX('HS Codes'!$D$2:$K4188,MATCH($B1634,'HS Codes'!$A$2:$A4188,0),MATCH(H$1,'HS Codes'!$D$1:$K$1,0)),"")</f>
        <v>6505.00.40.00</v>
      </c>
      <c r="I1634" s="8" t="str">
        <f>_xlfn.IFNA(INDEX('HS Codes'!$D$2:$K4188,MATCH($B1634,'HS Codes'!$A$2:$A4188,0),MATCH(I$1,'HS Codes'!$D$1:$K$1,0)),"")</f>
        <v>6505.00.90.90</v>
      </c>
      <c r="J1634" s="8">
        <f>_xlfn.IFNA(INDEX('HS Codes'!$D$2:$K4188,MATCH($B1634,'HS Codes'!$A$2:$A4188,0),MATCH(J$1,'HS Codes'!$D$1:$K$1,0)),"")</f>
        <v>0</v>
      </c>
      <c r="K1634" s="8" t="str">
        <f>_xlfn.IFNA(INDEX('HS Codes'!$D$2:$K4188,MATCH($B1634,'HS Codes'!$A$2:$A4188,0),MATCH(K$1,'HS Codes'!$D$1:$K$1,0)),"")</f>
        <v>6505.00.90</v>
      </c>
      <c r="L1634" s="8">
        <f>_xlfn.IFNA(INDEX('HS Codes'!$D$2:$K4188,MATCH($B1634,'HS Codes'!$A$2:$A4188,0),MATCH(L$1,'HS Codes'!$D$1:$K$1,0)),"")</f>
        <v>0</v>
      </c>
      <c r="M1634" s="8" t="str">
        <f>_xlfn.IFNA(INDEX('HS Codes'!$C$2:$C4188,MATCH($B1634,'HS Codes'!$A$2:$A4188,0)),"")</f>
        <v>Head Towel 100% recycled 200 GSM/83% polyester/17% polyamide (no cotton)</v>
      </c>
      <c r="N1634" s="9"/>
      <c r="O1634" s="9"/>
      <c r="P1634" s="9"/>
      <c r="Q1634" s="9"/>
    </row>
    <row r="1635" spans="1:17" ht="15.75" customHeight="1">
      <c r="A1635" s="7" t="s">
        <v>1928</v>
      </c>
      <c r="B1635" s="7" t="s">
        <v>129</v>
      </c>
      <c r="C1635" s="7" t="s">
        <v>278</v>
      </c>
      <c r="D1635" s="7" t="s">
        <v>130</v>
      </c>
      <c r="E1635" s="7" t="s">
        <v>360</v>
      </c>
      <c r="F1635" s="8" t="str">
        <f>_xlfn.IFNA(INDEX('HS Codes'!$D$2:$K4189,MATCH($B1635,'HS Codes'!$A$2:$A4189,0),MATCH(F$1,'HS Codes'!$D$1:$K$1,0)),"")</f>
        <v>6504.00.90.15</v>
      </c>
      <c r="G1635" s="8">
        <f>_xlfn.IFNA(INDEX('HS Codes'!$D$2:$K4189,MATCH($B1635,'HS Codes'!$A$2:$A4189,0),MATCH(G$1,'HS Codes'!$D$1:$K$1,0)),"")</f>
        <v>6505009090</v>
      </c>
      <c r="H1635" s="8" t="str">
        <f>_xlfn.IFNA(INDEX('HS Codes'!$D$2:$K4189,MATCH($B1635,'HS Codes'!$A$2:$A4189,0),MATCH(H$1,'HS Codes'!$D$1:$K$1,0)),"")</f>
        <v>6505.00.40.00</v>
      </c>
      <c r="I1635" s="8" t="str">
        <f>_xlfn.IFNA(INDEX('HS Codes'!$D$2:$K4189,MATCH($B1635,'HS Codes'!$A$2:$A4189,0),MATCH(I$1,'HS Codes'!$D$1:$K$1,0)),"")</f>
        <v>6505.00.90.90</v>
      </c>
      <c r="J1635" s="8">
        <f>_xlfn.IFNA(INDEX('HS Codes'!$D$2:$K4189,MATCH($B1635,'HS Codes'!$A$2:$A4189,0),MATCH(J$1,'HS Codes'!$D$1:$K$1,0)),"")</f>
        <v>0</v>
      </c>
      <c r="K1635" s="8" t="str">
        <f>_xlfn.IFNA(INDEX('HS Codes'!$D$2:$K4189,MATCH($B1635,'HS Codes'!$A$2:$A4189,0),MATCH(K$1,'HS Codes'!$D$1:$K$1,0)),"")</f>
        <v>6505.00.90</v>
      </c>
      <c r="L1635" s="8">
        <f>_xlfn.IFNA(INDEX('HS Codes'!$D$2:$K4189,MATCH($B1635,'HS Codes'!$A$2:$A4189,0),MATCH(L$1,'HS Codes'!$D$1:$K$1,0)),"")</f>
        <v>0</v>
      </c>
      <c r="M1635" s="8" t="str">
        <f>_xlfn.IFNA(INDEX('HS Codes'!$C$2:$C4189,MATCH($B1635,'HS Codes'!$A$2:$A4189,0)),"")</f>
        <v>Head Towel 100% recycled 200 GSM/83% polyester/17% polyamide (no cotton)</v>
      </c>
      <c r="N1635" s="9"/>
      <c r="O1635" s="9"/>
      <c r="P1635" s="9"/>
      <c r="Q1635" s="9"/>
    </row>
    <row r="1636" spans="1:17" ht="15.75" customHeight="1">
      <c r="A1636" s="7" t="s">
        <v>1929</v>
      </c>
      <c r="B1636" s="7" t="s">
        <v>129</v>
      </c>
      <c r="C1636" s="7" t="s">
        <v>278</v>
      </c>
      <c r="D1636" s="7" t="s">
        <v>130</v>
      </c>
      <c r="E1636" s="7" t="s">
        <v>360</v>
      </c>
      <c r="F1636" s="8" t="str">
        <f>_xlfn.IFNA(INDEX('HS Codes'!$D$2:$K4190,MATCH($B1636,'HS Codes'!$A$2:$A4190,0),MATCH(F$1,'HS Codes'!$D$1:$K$1,0)),"")</f>
        <v>6504.00.90.15</v>
      </c>
      <c r="G1636" s="8">
        <f>_xlfn.IFNA(INDEX('HS Codes'!$D$2:$K4190,MATCH($B1636,'HS Codes'!$A$2:$A4190,0),MATCH(G$1,'HS Codes'!$D$1:$K$1,0)),"")</f>
        <v>6505009090</v>
      </c>
      <c r="H1636" s="8" t="str">
        <f>_xlfn.IFNA(INDEX('HS Codes'!$D$2:$K4190,MATCH($B1636,'HS Codes'!$A$2:$A4190,0),MATCH(H$1,'HS Codes'!$D$1:$K$1,0)),"")</f>
        <v>6505.00.40.00</v>
      </c>
      <c r="I1636" s="8" t="str">
        <f>_xlfn.IFNA(INDEX('HS Codes'!$D$2:$K4190,MATCH($B1636,'HS Codes'!$A$2:$A4190,0),MATCH(I$1,'HS Codes'!$D$1:$K$1,0)),"")</f>
        <v>6505.00.90.90</v>
      </c>
      <c r="J1636" s="8">
        <f>_xlfn.IFNA(INDEX('HS Codes'!$D$2:$K4190,MATCH($B1636,'HS Codes'!$A$2:$A4190,0),MATCH(J$1,'HS Codes'!$D$1:$K$1,0)),"")</f>
        <v>0</v>
      </c>
      <c r="K1636" s="8" t="str">
        <f>_xlfn.IFNA(INDEX('HS Codes'!$D$2:$K4190,MATCH($B1636,'HS Codes'!$A$2:$A4190,0),MATCH(K$1,'HS Codes'!$D$1:$K$1,0)),"")</f>
        <v>6505.00.90</v>
      </c>
      <c r="L1636" s="8">
        <f>_xlfn.IFNA(INDEX('HS Codes'!$D$2:$K4190,MATCH($B1636,'HS Codes'!$A$2:$A4190,0),MATCH(L$1,'HS Codes'!$D$1:$K$1,0)),"")</f>
        <v>0</v>
      </c>
      <c r="M1636" s="8" t="str">
        <f>_xlfn.IFNA(INDEX('HS Codes'!$C$2:$C4190,MATCH($B1636,'HS Codes'!$A$2:$A4190,0)),"")</f>
        <v>Head Towel 100% recycled 200 GSM/83% polyester/17% polyamide (no cotton)</v>
      </c>
      <c r="N1636" s="9"/>
      <c r="O1636" s="9"/>
      <c r="P1636" s="9"/>
      <c r="Q1636" s="9"/>
    </row>
    <row r="1637" spans="1:17" ht="15.75" customHeight="1">
      <c r="A1637" s="7" t="s">
        <v>1930</v>
      </c>
      <c r="B1637" s="7" t="s">
        <v>129</v>
      </c>
      <c r="C1637" s="7" t="s">
        <v>278</v>
      </c>
      <c r="D1637" s="7" t="s">
        <v>130</v>
      </c>
      <c r="E1637" s="7" t="s">
        <v>360</v>
      </c>
      <c r="F1637" s="8" t="str">
        <f>_xlfn.IFNA(INDEX('HS Codes'!$D$2:$K4191,MATCH($B1637,'HS Codes'!$A$2:$A4191,0),MATCH(F$1,'HS Codes'!$D$1:$K$1,0)),"")</f>
        <v>6504.00.90.15</v>
      </c>
      <c r="G1637" s="8">
        <f>_xlfn.IFNA(INDEX('HS Codes'!$D$2:$K4191,MATCH($B1637,'HS Codes'!$A$2:$A4191,0),MATCH(G$1,'HS Codes'!$D$1:$K$1,0)),"")</f>
        <v>6505009090</v>
      </c>
      <c r="H1637" s="8" t="str">
        <f>_xlfn.IFNA(INDEX('HS Codes'!$D$2:$K4191,MATCH($B1637,'HS Codes'!$A$2:$A4191,0),MATCH(H$1,'HS Codes'!$D$1:$K$1,0)),"")</f>
        <v>6505.00.40.00</v>
      </c>
      <c r="I1637" s="8" t="str">
        <f>_xlfn.IFNA(INDEX('HS Codes'!$D$2:$K4191,MATCH($B1637,'HS Codes'!$A$2:$A4191,0),MATCH(I$1,'HS Codes'!$D$1:$K$1,0)),"")</f>
        <v>6505.00.90.90</v>
      </c>
      <c r="J1637" s="8">
        <f>_xlfn.IFNA(INDEX('HS Codes'!$D$2:$K4191,MATCH($B1637,'HS Codes'!$A$2:$A4191,0),MATCH(J$1,'HS Codes'!$D$1:$K$1,0)),"")</f>
        <v>0</v>
      </c>
      <c r="K1637" s="8" t="str">
        <f>_xlfn.IFNA(INDEX('HS Codes'!$D$2:$K4191,MATCH($B1637,'HS Codes'!$A$2:$A4191,0),MATCH(K$1,'HS Codes'!$D$1:$K$1,0)),"")</f>
        <v>6505.00.90</v>
      </c>
      <c r="L1637" s="8">
        <f>_xlfn.IFNA(INDEX('HS Codes'!$D$2:$K4191,MATCH($B1637,'HS Codes'!$A$2:$A4191,0),MATCH(L$1,'HS Codes'!$D$1:$K$1,0)),"")</f>
        <v>0</v>
      </c>
      <c r="M1637" s="8" t="str">
        <f>_xlfn.IFNA(INDEX('HS Codes'!$C$2:$C4191,MATCH($B1637,'HS Codes'!$A$2:$A4191,0)),"")</f>
        <v>Head Towel 100% recycled 200 GSM/83% polyester/17% polyamide (no cotton)</v>
      </c>
      <c r="N1637" s="9"/>
      <c r="O1637" s="9"/>
      <c r="P1637" s="9"/>
      <c r="Q1637" s="9"/>
    </row>
    <row r="1638" spans="1:17" ht="15.75" customHeight="1">
      <c r="A1638" s="7" t="s">
        <v>1931</v>
      </c>
      <c r="B1638" s="7" t="s">
        <v>129</v>
      </c>
      <c r="C1638" s="7" t="s">
        <v>278</v>
      </c>
      <c r="D1638" s="7" t="s">
        <v>130</v>
      </c>
      <c r="E1638" s="7" t="s">
        <v>360</v>
      </c>
      <c r="F1638" s="8" t="str">
        <f>_xlfn.IFNA(INDEX('HS Codes'!$D$2:$K4192,MATCH($B1638,'HS Codes'!$A$2:$A4192,0),MATCH(F$1,'HS Codes'!$D$1:$K$1,0)),"")</f>
        <v>6504.00.90.15</v>
      </c>
      <c r="G1638" s="8">
        <f>_xlfn.IFNA(INDEX('HS Codes'!$D$2:$K4192,MATCH($B1638,'HS Codes'!$A$2:$A4192,0),MATCH(G$1,'HS Codes'!$D$1:$K$1,0)),"")</f>
        <v>6505009090</v>
      </c>
      <c r="H1638" s="8" t="str">
        <f>_xlfn.IFNA(INDEX('HS Codes'!$D$2:$K4192,MATCH($B1638,'HS Codes'!$A$2:$A4192,0),MATCH(H$1,'HS Codes'!$D$1:$K$1,0)),"")</f>
        <v>6505.00.40.00</v>
      </c>
      <c r="I1638" s="8" t="str">
        <f>_xlfn.IFNA(INDEX('HS Codes'!$D$2:$K4192,MATCH($B1638,'HS Codes'!$A$2:$A4192,0),MATCH(I$1,'HS Codes'!$D$1:$K$1,0)),"")</f>
        <v>6505.00.90.90</v>
      </c>
      <c r="J1638" s="8">
        <f>_xlfn.IFNA(INDEX('HS Codes'!$D$2:$K4192,MATCH($B1638,'HS Codes'!$A$2:$A4192,0),MATCH(J$1,'HS Codes'!$D$1:$K$1,0)),"")</f>
        <v>0</v>
      </c>
      <c r="K1638" s="8" t="str">
        <f>_xlfn.IFNA(INDEX('HS Codes'!$D$2:$K4192,MATCH($B1638,'HS Codes'!$A$2:$A4192,0),MATCH(K$1,'HS Codes'!$D$1:$K$1,0)),"")</f>
        <v>6505.00.90</v>
      </c>
      <c r="L1638" s="8">
        <f>_xlfn.IFNA(INDEX('HS Codes'!$D$2:$K4192,MATCH($B1638,'HS Codes'!$A$2:$A4192,0),MATCH(L$1,'HS Codes'!$D$1:$K$1,0)),"")</f>
        <v>0</v>
      </c>
      <c r="M1638" s="8" t="str">
        <f>_xlfn.IFNA(INDEX('HS Codes'!$C$2:$C4192,MATCH($B1638,'HS Codes'!$A$2:$A4192,0)),"")</f>
        <v>Head Towel 100% recycled 200 GSM/83% polyester/17% polyamide (no cotton)</v>
      </c>
      <c r="N1638" s="9"/>
      <c r="O1638" s="9"/>
      <c r="P1638" s="9"/>
      <c r="Q1638" s="9"/>
    </row>
    <row r="1639" spans="1:17" ht="15.75" customHeight="1">
      <c r="A1639" s="7" t="s">
        <v>1932</v>
      </c>
      <c r="B1639" s="7" t="s">
        <v>129</v>
      </c>
      <c r="C1639" s="7" t="s">
        <v>278</v>
      </c>
      <c r="D1639" s="7" t="s">
        <v>130</v>
      </c>
      <c r="E1639" s="7" t="s">
        <v>360</v>
      </c>
      <c r="F1639" s="8" t="str">
        <f>_xlfn.IFNA(INDEX('HS Codes'!$D$2:$K4193,MATCH($B1639,'HS Codes'!$A$2:$A4193,0),MATCH(F$1,'HS Codes'!$D$1:$K$1,0)),"")</f>
        <v>6504.00.90.15</v>
      </c>
      <c r="G1639" s="8">
        <f>_xlfn.IFNA(INDEX('HS Codes'!$D$2:$K4193,MATCH($B1639,'HS Codes'!$A$2:$A4193,0),MATCH(G$1,'HS Codes'!$D$1:$K$1,0)),"")</f>
        <v>6505009090</v>
      </c>
      <c r="H1639" s="8" t="str">
        <f>_xlfn.IFNA(INDEX('HS Codes'!$D$2:$K4193,MATCH($B1639,'HS Codes'!$A$2:$A4193,0),MATCH(H$1,'HS Codes'!$D$1:$K$1,0)),"")</f>
        <v>6505.00.40.00</v>
      </c>
      <c r="I1639" s="8" t="str">
        <f>_xlfn.IFNA(INDEX('HS Codes'!$D$2:$K4193,MATCH($B1639,'HS Codes'!$A$2:$A4193,0),MATCH(I$1,'HS Codes'!$D$1:$K$1,0)),"")</f>
        <v>6505.00.90.90</v>
      </c>
      <c r="J1639" s="8">
        <f>_xlfn.IFNA(INDEX('HS Codes'!$D$2:$K4193,MATCH($B1639,'HS Codes'!$A$2:$A4193,0),MATCH(J$1,'HS Codes'!$D$1:$K$1,0)),"")</f>
        <v>0</v>
      </c>
      <c r="K1639" s="8" t="str">
        <f>_xlfn.IFNA(INDEX('HS Codes'!$D$2:$K4193,MATCH($B1639,'HS Codes'!$A$2:$A4193,0),MATCH(K$1,'HS Codes'!$D$1:$K$1,0)),"")</f>
        <v>6505.00.90</v>
      </c>
      <c r="L1639" s="8">
        <f>_xlfn.IFNA(INDEX('HS Codes'!$D$2:$K4193,MATCH($B1639,'HS Codes'!$A$2:$A4193,0),MATCH(L$1,'HS Codes'!$D$1:$K$1,0)),"")</f>
        <v>0</v>
      </c>
      <c r="M1639" s="8" t="str">
        <f>_xlfn.IFNA(INDEX('HS Codes'!$C$2:$C4193,MATCH($B1639,'HS Codes'!$A$2:$A4193,0)),"")</f>
        <v>Head Towel 100% recycled 200 GSM/83% polyester/17% polyamide (no cotton)</v>
      </c>
      <c r="N1639" s="9"/>
      <c r="O1639" s="9"/>
      <c r="P1639" s="9"/>
      <c r="Q1639" s="9"/>
    </row>
    <row r="1640" spans="1:17" ht="15.75" customHeight="1">
      <c r="A1640" s="7" t="s">
        <v>1933</v>
      </c>
      <c r="B1640" s="7" t="s">
        <v>129</v>
      </c>
      <c r="C1640" s="7" t="s">
        <v>278</v>
      </c>
      <c r="D1640" s="7" t="s">
        <v>130</v>
      </c>
      <c r="E1640" s="7" t="s">
        <v>360</v>
      </c>
      <c r="F1640" s="8" t="str">
        <f>_xlfn.IFNA(INDEX('HS Codes'!$D$2:$K4194,MATCH($B1640,'HS Codes'!$A$2:$A4194,0),MATCH(F$1,'HS Codes'!$D$1:$K$1,0)),"")</f>
        <v>6504.00.90.15</v>
      </c>
      <c r="G1640" s="8">
        <f>_xlfn.IFNA(INDEX('HS Codes'!$D$2:$K4194,MATCH($B1640,'HS Codes'!$A$2:$A4194,0),MATCH(G$1,'HS Codes'!$D$1:$K$1,0)),"")</f>
        <v>6505009090</v>
      </c>
      <c r="H1640" s="8" t="str">
        <f>_xlfn.IFNA(INDEX('HS Codes'!$D$2:$K4194,MATCH($B1640,'HS Codes'!$A$2:$A4194,0),MATCH(H$1,'HS Codes'!$D$1:$K$1,0)),"")</f>
        <v>6505.00.40.00</v>
      </c>
      <c r="I1640" s="8" t="str">
        <f>_xlfn.IFNA(INDEX('HS Codes'!$D$2:$K4194,MATCH($B1640,'HS Codes'!$A$2:$A4194,0),MATCH(I$1,'HS Codes'!$D$1:$K$1,0)),"")</f>
        <v>6505.00.90.90</v>
      </c>
      <c r="J1640" s="8">
        <f>_xlfn.IFNA(INDEX('HS Codes'!$D$2:$K4194,MATCH($B1640,'HS Codes'!$A$2:$A4194,0),MATCH(J$1,'HS Codes'!$D$1:$K$1,0)),"")</f>
        <v>0</v>
      </c>
      <c r="K1640" s="8" t="str">
        <f>_xlfn.IFNA(INDEX('HS Codes'!$D$2:$K4194,MATCH($B1640,'HS Codes'!$A$2:$A4194,0),MATCH(K$1,'HS Codes'!$D$1:$K$1,0)),"")</f>
        <v>6505.00.90</v>
      </c>
      <c r="L1640" s="8">
        <f>_xlfn.IFNA(INDEX('HS Codes'!$D$2:$K4194,MATCH($B1640,'HS Codes'!$A$2:$A4194,0),MATCH(L$1,'HS Codes'!$D$1:$K$1,0)),"")</f>
        <v>0</v>
      </c>
      <c r="M1640" s="8" t="str">
        <f>_xlfn.IFNA(INDEX('HS Codes'!$C$2:$C4194,MATCH($B1640,'HS Codes'!$A$2:$A4194,0)),"")</f>
        <v>Head Towel 100% recycled 200 GSM/83% polyester/17% polyamide (no cotton)</v>
      </c>
      <c r="N1640" s="9"/>
      <c r="O1640" s="9"/>
      <c r="P1640" s="9"/>
      <c r="Q1640" s="9"/>
    </row>
    <row r="1641" spans="1:17" ht="15.75" customHeight="1">
      <c r="A1641" s="7" t="s">
        <v>1934</v>
      </c>
      <c r="B1641" s="7" t="s">
        <v>129</v>
      </c>
      <c r="C1641" s="7" t="s">
        <v>278</v>
      </c>
      <c r="D1641" s="7" t="s">
        <v>130</v>
      </c>
      <c r="E1641" s="7" t="s">
        <v>360</v>
      </c>
      <c r="F1641" s="8" t="str">
        <f>_xlfn.IFNA(INDEX('HS Codes'!$D$2:$K4195,MATCH($B1641,'HS Codes'!$A$2:$A4195,0),MATCH(F$1,'HS Codes'!$D$1:$K$1,0)),"")</f>
        <v>6504.00.90.15</v>
      </c>
      <c r="G1641" s="8">
        <f>_xlfn.IFNA(INDEX('HS Codes'!$D$2:$K4195,MATCH($B1641,'HS Codes'!$A$2:$A4195,0),MATCH(G$1,'HS Codes'!$D$1:$K$1,0)),"")</f>
        <v>6505009090</v>
      </c>
      <c r="H1641" s="8" t="str">
        <f>_xlfn.IFNA(INDEX('HS Codes'!$D$2:$K4195,MATCH($B1641,'HS Codes'!$A$2:$A4195,0),MATCH(H$1,'HS Codes'!$D$1:$K$1,0)),"")</f>
        <v>6505.00.40.00</v>
      </c>
      <c r="I1641" s="8" t="str">
        <f>_xlfn.IFNA(INDEX('HS Codes'!$D$2:$K4195,MATCH($B1641,'HS Codes'!$A$2:$A4195,0),MATCH(I$1,'HS Codes'!$D$1:$K$1,0)),"")</f>
        <v>6505.00.90.90</v>
      </c>
      <c r="J1641" s="8">
        <f>_xlfn.IFNA(INDEX('HS Codes'!$D$2:$K4195,MATCH($B1641,'HS Codes'!$A$2:$A4195,0),MATCH(J$1,'HS Codes'!$D$1:$K$1,0)),"")</f>
        <v>0</v>
      </c>
      <c r="K1641" s="8" t="str">
        <f>_xlfn.IFNA(INDEX('HS Codes'!$D$2:$K4195,MATCH($B1641,'HS Codes'!$A$2:$A4195,0),MATCH(K$1,'HS Codes'!$D$1:$K$1,0)),"")</f>
        <v>6505.00.90</v>
      </c>
      <c r="L1641" s="8">
        <f>_xlfn.IFNA(INDEX('HS Codes'!$D$2:$K4195,MATCH($B1641,'HS Codes'!$A$2:$A4195,0),MATCH(L$1,'HS Codes'!$D$1:$K$1,0)),"")</f>
        <v>0</v>
      </c>
      <c r="M1641" s="8" t="str">
        <f>_xlfn.IFNA(INDEX('HS Codes'!$C$2:$C4195,MATCH($B1641,'HS Codes'!$A$2:$A4195,0)),"")</f>
        <v>Head Towel 100% recycled 200 GSM/83% polyester/17% polyamide (no cotton)</v>
      </c>
      <c r="N1641" s="9"/>
      <c r="O1641" s="9"/>
      <c r="P1641" s="9"/>
      <c r="Q1641" s="9"/>
    </row>
    <row r="1642" spans="1:17" ht="15.75" customHeight="1">
      <c r="A1642" s="7" t="s">
        <v>1935</v>
      </c>
      <c r="B1642" s="7" t="s">
        <v>129</v>
      </c>
      <c r="C1642" s="7" t="s">
        <v>278</v>
      </c>
      <c r="D1642" s="7" t="s">
        <v>130</v>
      </c>
      <c r="E1642" s="7" t="s">
        <v>360</v>
      </c>
      <c r="F1642" s="8" t="str">
        <f>_xlfn.IFNA(INDEX('HS Codes'!$D$2:$K4196,MATCH($B1642,'HS Codes'!$A$2:$A4196,0),MATCH(F$1,'HS Codes'!$D$1:$K$1,0)),"")</f>
        <v>6504.00.90.15</v>
      </c>
      <c r="G1642" s="8">
        <f>_xlfn.IFNA(INDEX('HS Codes'!$D$2:$K4196,MATCH($B1642,'HS Codes'!$A$2:$A4196,0),MATCH(G$1,'HS Codes'!$D$1:$K$1,0)),"")</f>
        <v>6505009090</v>
      </c>
      <c r="H1642" s="8" t="str">
        <f>_xlfn.IFNA(INDEX('HS Codes'!$D$2:$K4196,MATCH($B1642,'HS Codes'!$A$2:$A4196,0),MATCH(H$1,'HS Codes'!$D$1:$K$1,0)),"")</f>
        <v>6505.00.40.00</v>
      </c>
      <c r="I1642" s="8" t="str">
        <f>_xlfn.IFNA(INDEX('HS Codes'!$D$2:$K4196,MATCH($B1642,'HS Codes'!$A$2:$A4196,0),MATCH(I$1,'HS Codes'!$D$1:$K$1,0)),"")</f>
        <v>6505.00.90.90</v>
      </c>
      <c r="J1642" s="8">
        <f>_xlfn.IFNA(INDEX('HS Codes'!$D$2:$K4196,MATCH($B1642,'HS Codes'!$A$2:$A4196,0),MATCH(J$1,'HS Codes'!$D$1:$K$1,0)),"")</f>
        <v>0</v>
      </c>
      <c r="K1642" s="8" t="str">
        <f>_xlfn.IFNA(INDEX('HS Codes'!$D$2:$K4196,MATCH($B1642,'HS Codes'!$A$2:$A4196,0),MATCH(K$1,'HS Codes'!$D$1:$K$1,0)),"")</f>
        <v>6505.00.90</v>
      </c>
      <c r="L1642" s="8">
        <f>_xlfn.IFNA(INDEX('HS Codes'!$D$2:$K4196,MATCH($B1642,'HS Codes'!$A$2:$A4196,0),MATCH(L$1,'HS Codes'!$D$1:$K$1,0)),"")</f>
        <v>0</v>
      </c>
      <c r="M1642" s="8" t="str">
        <f>_xlfn.IFNA(INDEX('HS Codes'!$C$2:$C4196,MATCH($B1642,'HS Codes'!$A$2:$A4196,0)),"")</f>
        <v>Head Towel 100% recycled 200 GSM/83% polyester/17% polyamide (no cotton)</v>
      </c>
      <c r="N1642" s="9"/>
      <c r="O1642" s="9"/>
      <c r="P1642" s="9"/>
      <c r="Q1642" s="9"/>
    </row>
    <row r="1643" spans="1:17" ht="15.75" customHeight="1">
      <c r="A1643" s="7" t="s">
        <v>1936</v>
      </c>
      <c r="B1643" s="7" t="s">
        <v>129</v>
      </c>
      <c r="C1643" s="7" t="s">
        <v>278</v>
      </c>
      <c r="D1643" s="7" t="s">
        <v>130</v>
      </c>
      <c r="E1643" s="7" t="s">
        <v>360</v>
      </c>
      <c r="F1643" s="8" t="str">
        <f>_xlfn.IFNA(INDEX('HS Codes'!$D$2:$K4197,MATCH($B1643,'HS Codes'!$A$2:$A4197,0),MATCH(F$1,'HS Codes'!$D$1:$K$1,0)),"")</f>
        <v>6504.00.90.15</v>
      </c>
      <c r="G1643" s="8">
        <f>_xlfn.IFNA(INDEX('HS Codes'!$D$2:$K4197,MATCH($B1643,'HS Codes'!$A$2:$A4197,0),MATCH(G$1,'HS Codes'!$D$1:$K$1,0)),"")</f>
        <v>6505009090</v>
      </c>
      <c r="H1643" s="8" t="str">
        <f>_xlfn.IFNA(INDEX('HS Codes'!$D$2:$K4197,MATCH($B1643,'HS Codes'!$A$2:$A4197,0),MATCH(H$1,'HS Codes'!$D$1:$K$1,0)),"")</f>
        <v>6505.00.40.00</v>
      </c>
      <c r="I1643" s="8" t="str">
        <f>_xlfn.IFNA(INDEX('HS Codes'!$D$2:$K4197,MATCH($B1643,'HS Codes'!$A$2:$A4197,0),MATCH(I$1,'HS Codes'!$D$1:$K$1,0)),"")</f>
        <v>6505.00.90.90</v>
      </c>
      <c r="J1643" s="8">
        <f>_xlfn.IFNA(INDEX('HS Codes'!$D$2:$K4197,MATCH($B1643,'HS Codes'!$A$2:$A4197,0),MATCH(J$1,'HS Codes'!$D$1:$K$1,0)),"")</f>
        <v>0</v>
      </c>
      <c r="K1643" s="8" t="str">
        <f>_xlfn.IFNA(INDEX('HS Codes'!$D$2:$K4197,MATCH($B1643,'HS Codes'!$A$2:$A4197,0),MATCH(K$1,'HS Codes'!$D$1:$K$1,0)),"")</f>
        <v>6505.00.90</v>
      </c>
      <c r="L1643" s="8">
        <f>_xlfn.IFNA(INDEX('HS Codes'!$D$2:$K4197,MATCH($B1643,'HS Codes'!$A$2:$A4197,0),MATCH(L$1,'HS Codes'!$D$1:$K$1,0)),"")</f>
        <v>0</v>
      </c>
      <c r="M1643" s="8" t="str">
        <f>_xlfn.IFNA(INDEX('HS Codes'!$C$2:$C4197,MATCH($B1643,'HS Codes'!$A$2:$A4197,0)),"")</f>
        <v>Head Towel 100% recycled 200 GSM/83% polyester/17% polyamide (no cotton)</v>
      </c>
      <c r="N1643" s="9"/>
      <c r="O1643" s="9"/>
      <c r="P1643" s="9"/>
      <c r="Q1643" s="9"/>
    </row>
    <row r="1644" spans="1:17" ht="15.75" customHeight="1">
      <c r="A1644" s="7" t="s">
        <v>1937</v>
      </c>
      <c r="B1644" s="7" t="s">
        <v>129</v>
      </c>
      <c r="C1644" s="7" t="s">
        <v>278</v>
      </c>
      <c r="D1644" s="7" t="s">
        <v>130</v>
      </c>
      <c r="E1644" s="7" t="s">
        <v>360</v>
      </c>
      <c r="F1644" s="8" t="str">
        <f>_xlfn.IFNA(INDEX('HS Codes'!$D$2:$K4198,MATCH($B1644,'HS Codes'!$A$2:$A4198,0),MATCH(F$1,'HS Codes'!$D$1:$K$1,0)),"")</f>
        <v>6504.00.90.15</v>
      </c>
      <c r="G1644" s="8">
        <f>_xlfn.IFNA(INDEX('HS Codes'!$D$2:$K4198,MATCH($B1644,'HS Codes'!$A$2:$A4198,0),MATCH(G$1,'HS Codes'!$D$1:$K$1,0)),"")</f>
        <v>6505009090</v>
      </c>
      <c r="H1644" s="8" t="str">
        <f>_xlfn.IFNA(INDEX('HS Codes'!$D$2:$K4198,MATCH($B1644,'HS Codes'!$A$2:$A4198,0),MATCH(H$1,'HS Codes'!$D$1:$K$1,0)),"")</f>
        <v>6505.00.40.00</v>
      </c>
      <c r="I1644" s="8" t="str">
        <f>_xlfn.IFNA(INDEX('HS Codes'!$D$2:$K4198,MATCH($B1644,'HS Codes'!$A$2:$A4198,0),MATCH(I$1,'HS Codes'!$D$1:$K$1,0)),"")</f>
        <v>6505.00.90.90</v>
      </c>
      <c r="J1644" s="8">
        <f>_xlfn.IFNA(INDEX('HS Codes'!$D$2:$K4198,MATCH($B1644,'HS Codes'!$A$2:$A4198,0),MATCH(J$1,'HS Codes'!$D$1:$K$1,0)),"")</f>
        <v>0</v>
      </c>
      <c r="K1644" s="8" t="str">
        <f>_xlfn.IFNA(INDEX('HS Codes'!$D$2:$K4198,MATCH($B1644,'HS Codes'!$A$2:$A4198,0),MATCH(K$1,'HS Codes'!$D$1:$K$1,0)),"")</f>
        <v>6505.00.90</v>
      </c>
      <c r="L1644" s="8">
        <f>_xlfn.IFNA(INDEX('HS Codes'!$D$2:$K4198,MATCH($B1644,'HS Codes'!$A$2:$A4198,0),MATCH(L$1,'HS Codes'!$D$1:$K$1,0)),"")</f>
        <v>0</v>
      </c>
      <c r="M1644" s="8" t="str">
        <f>_xlfn.IFNA(INDEX('HS Codes'!$C$2:$C4198,MATCH($B1644,'HS Codes'!$A$2:$A4198,0)),"")</f>
        <v>Head Towel 100% recycled 200 GSM/83% polyester/17% polyamide (no cotton)</v>
      </c>
      <c r="N1644" s="9"/>
      <c r="O1644" s="9"/>
      <c r="P1644" s="9"/>
      <c r="Q1644" s="9"/>
    </row>
    <row r="1645" spans="1:17" ht="15.75" customHeight="1">
      <c r="A1645" s="7" t="s">
        <v>1938</v>
      </c>
      <c r="B1645" s="7" t="s">
        <v>129</v>
      </c>
      <c r="C1645" s="7" t="s">
        <v>278</v>
      </c>
      <c r="D1645" s="7" t="s">
        <v>130</v>
      </c>
      <c r="E1645" s="7" t="s">
        <v>360</v>
      </c>
      <c r="F1645" s="8" t="str">
        <f>_xlfn.IFNA(INDEX('HS Codes'!$D$2:$K4199,MATCH($B1645,'HS Codes'!$A$2:$A4199,0),MATCH(F$1,'HS Codes'!$D$1:$K$1,0)),"")</f>
        <v>6504.00.90.15</v>
      </c>
      <c r="G1645" s="8">
        <f>_xlfn.IFNA(INDEX('HS Codes'!$D$2:$K4199,MATCH($B1645,'HS Codes'!$A$2:$A4199,0),MATCH(G$1,'HS Codes'!$D$1:$K$1,0)),"")</f>
        <v>6505009090</v>
      </c>
      <c r="H1645" s="8" t="str">
        <f>_xlfn.IFNA(INDEX('HS Codes'!$D$2:$K4199,MATCH($B1645,'HS Codes'!$A$2:$A4199,0),MATCH(H$1,'HS Codes'!$D$1:$K$1,0)),"")</f>
        <v>6505.00.40.00</v>
      </c>
      <c r="I1645" s="8" t="str">
        <f>_xlfn.IFNA(INDEX('HS Codes'!$D$2:$K4199,MATCH($B1645,'HS Codes'!$A$2:$A4199,0),MATCH(I$1,'HS Codes'!$D$1:$K$1,0)),"")</f>
        <v>6505.00.90.90</v>
      </c>
      <c r="J1645" s="8">
        <f>_xlfn.IFNA(INDEX('HS Codes'!$D$2:$K4199,MATCH($B1645,'HS Codes'!$A$2:$A4199,0),MATCH(J$1,'HS Codes'!$D$1:$K$1,0)),"")</f>
        <v>0</v>
      </c>
      <c r="K1645" s="8" t="str">
        <f>_xlfn.IFNA(INDEX('HS Codes'!$D$2:$K4199,MATCH($B1645,'HS Codes'!$A$2:$A4199,0),MATCH(K$1,'HS Codes'!$D$1:$K$1,0)),"")</f>
        <v>6505.00.90</v>
      </c>
      <c r="L1645" s="8">
        <f>_xlfn.IFNA(INDEX('HS Codes'!$D$2:$K4199,MATCH($B1645,'HS Codes'!$A$2:$A4199,0),MATCH(L$1,'HS Codes'!$D$1:$K$1,0)),"")</f>
        <v>0</v>
      </c>
      <c r="M1645" s="8" t="str">
        <f>_xlfn.IFNA(INDEX('HS Codes'!$C$2:$C4199,MATCH($B1645,'HS Codes'!$A$2:$A4199,0)),"")</f>
        <v>Head Towel 100% recycled 200 GSM/83% polyester/17% polyamide (no cotton)</v>
      </c>
      <c r="N1645" s="9"/>
      <c r="O1645" s="9"/>
      <c r="P1645" s="9"/>
      <c r="Q1645" s="9"/>
    </row>
    <row r="1646" spans="1:17" ht="15.75" customHeight="1">
      <c r="A1646" s="7" t="s">
        <v>1939</v>
      </c>
      <c r="B1646" s="7" t="s">
        <v>129</v>
      </c>
      <c r="C1646" s="7" t="s">
        <v>278</v>
      </c>
      <c r="D1646" s="7" t="s">
        <v>130</v>
      </c>
      <c r="E1646" s="7" t="s">
        <v>360</v>
      </c>
      <c r="F1646" s="8" t="str">
        <f>_xlfn.IFNA(INDEX('HS Codes'!$D$2:$K4200,MATCH($B1646,'HS Codes'!$A$2:$A4200,0),MATCH(F$1,'HS Codes'!$D$1:$K$1,0)),"")</f>
        <v>6504.00.90.15</v>
      </c>
      <c r="G1646" s="8">
        <f>_xlfn.IFNA(INDEX('HS Codes'!$D$2:$K4200,MATCH($B1646,'HS Codes'!$A$2:$A4200,0),MATCH(G$1,'HS Codes'!$D$1:$K$1,0)),"")</f>
        <v>6505009090</v>
      </c>
      <c r="H1646" s="8" t="str">
        <f>_xlfn.IFNA(INDEX('HS Codes'!$D$2:$K4200,MATCH($B1646,'HS Codes'!$A$2:$A4200,0),MATCH(H$1,'HS Codes'!$D$1:$K$1,0)),"")</f>
        <v>6505.00.40.00</v>
      </c>
      <c r="I1646" s="8" t="str">
        <f>_xlfn.IFNA(INDEX('HS Codes'!$D$2:$K4200,MATCH($B1646,'HS Codes'!$A$2:$A4200,0),MATCH(I$1,'HS Codes'!$D$1:$K$1,0)),"")</f>
        <v>6505.00.90.90</v>
      </c>
      <c r="J1646" s="8">
        <f>_xlfn.IFNA(INDEX('HS Codes'!$D$2:$K4200,MATCH($B1646,'HS Codes'!$A$2:$A4200,0),MATCH(J$1,'HS Codes'!$D$1:$K$1,0)),"")</f>
        <v>0</v>
      </c>
      <c r="K1646" s="8" t="str">
        <f>_xlfn.IFNA(INDEX('HS Codes'!$D$2:$K4200,MATCH($B1646,'HS Codes'!$A$2:$A4200,0),MATCH(K$1,'HS Codes'!$D$1:$K$1,0)),"")</f>
        <v>6505.00.90</v>
      </c>
      <c r="L1646" s="8">
        <f>_xlfn.IFNA(INDEX('HS Codes'!$D$2:$K4200,MATCH($B1646,'HS Codes'!$A$2:$A4200,0),MATCH(L$1,'HS Codes'!$D$1:$K$1,0)),"")</f>
        <v>0</v>
      </c>
      <c r="M1646" s="8" t="str">
        <f>_xlfn.IFNA(INDEX('HS Codes'!$C$2:$C4200,MATCH($B1646,'HS Codes'!$A$2:$A4200,0)),"")</f>
        <v>Head Towel 100% recycled 200 GSM/83% polyester/17% polyamide (no cotton)</v>
      </c>
      <c r="N1646" s="9"/>
      <c r="O1646" s="9"/>
      <c r="P1646" s="9"/>
      <c r="Q1646" s="9"/>
    </row>
    <row r="1647" spans="1:17" ht="15.75" customHeight="1">
      <c r="A1647" s="7" t="s">
        <v>1940</v>
      </c>
      <c r="B1647" s="7" t="s">
        <v>129</v>
      </c>
      <c r="C1647" s="7" t="s">
        <v>278</v>
      </c>
      <c r="D1647" s="7" t="s">
        <v>130</v>
      </c>
      <c r="E1647" s="7" t="s">
        <v>360</v>
      </c>
      <c r="F1647" s="8" t="str">
        <f>_xlfn.IFNA(INDEX('HS Codes'!$D$2:$K4201,MATCH($B1647,'HS Codes'!$A$2:$A4201,0),MATCH(F$1,'HS Codes'!$D$1:$K$1,0)),"")</f>
        <v>6504.00.90.15</v>
      </c>
      <c r="G1647" s="8">
        <f>_xlfn.IFNA(INDEX('HS Codes'!$D$2:$K4201,MATCH($B1647,'HS Codes'!$A$2:$A4201,0),MATCH(G$1,'HS Codes'!$D$1:$K$1,0)),"")</f>
        <v>6505009090</v>
      </c>
      <c r="H1647" s="8" t="str">
        <f>_xlfn.IFNA(INDEX('HS Codes'!$D$2:$K4201,MATCH($B1647,'HS Codes'!$A$2:$A4201,0),MATCH(H$1,'HS Codes'!$D$1:$K$1,0)),"")</f>
        <v>6505.00.40.00</v>
      </c>
      <c r="I1647" s="8" t="str">
        <f>_xlfn.IFNA(INDEX('HS Codes'!$D$2:$K4201,MATCH($B1647,'HS Codes'!$A$2:$A4201,0),MATCH(I$1,'HS Codes'!$D$1:$K$1,0)),"")</f>
        <v>6505.00.90.90</v>
      </c>
      <c r="J1647" s="8">
        <f>_xlfn.IFNA(INDEX('HS Codes'!$D$2:$K4201,MATCH($B1647,'HS Codes'!$A$2:$A4201,0),MATCH(J$1,'HS Codes'!$D$1:$K$1,0)),"")</f>
        <v>0</v>
      </c>
      <c r="K1647" s="8" t="str">
        <f>_xlfn.IFNA(INDEX('HS Codes'!$D$2:$K4201,MATCH($B1647,'HS Codes'!$A$2:$A4201,0),MATCH(K$1,'HS Codes'!$D$1:$K$1,0)),"")</f>
        <v>6505.00.90</v>
      </c>
      <c r="L1647" s="8">
        <f>_xlfn.IFNA(INDEX('HS Codes'!$D$2:$K4201,MATCH($B1647,'HS Codes'!$A$2:$A4201,0),MATCH(L$1,'HS Codes'!$D$1:$K$1,0)),"")</f>
        <v>0</v>
      </c>
      <c r="M1647" s="8" t="str">
        <f>_xlfn.IFNA(INDEX('HS Codes'!$C$2:$C4201,MATCH($B1647,'HS Codes'!$A$2:$A4201,0)),"")</f>
        <v>Head Towel 100% recycled 200 GSM/83% polyester/17% polyamide (no cotton)</v>
      </c>
      <c r="N1647" s="9"/>
      <c r="O1647" s="9"/>
      <c r="P1647" s="9"/>
      <c r="Q1647" s="9"/>
    </row>
    <row r="1648" spans="1:17" ht="15.75" customHeight="1">
      <c r="A1648" s="7" t="s">
        <v>1941</v>
      </c>
      <c r="B1648" s="7" t="s">
        <v>129</v>
      </c>
      <c r="C1648" s="7" t="s">
        <v>278</v>
      </c>
      <c r="D1648" s="7" t="s">
        <v>130</v>
      </c>
      <c r="E1648" s="7" t="s">
        <v>360</v>
      </c>
      <c r="F1648" s="8" t="str">
        <f>_xlfn.IFNA(INDEX('HS Codes'!$D$2:$K4202,MATCH($B1648,'HS Codes'!$A$2:$A4202,0),MATCH(F$1,'HS Codes'!$D$1:$K$1,0)),"")</f>
        <v>6504.00.90.15</v>
      </c>
      <c r="G1648" s="8">
        <f>_xlfn.IFNA(INDEX('HS Codes'!$D$2:$K4202,MATCH($B1648,'HS Codes'!$A$2:$A4202,0),MATCH(G$1,'HS Codes'!$D$1:$K$1,0)),"")</f>
        <v>6505009090</v>
      </c>
      <c r="H1648" s="8" t="str">
        <f>_xlfn.IFNA(INDEX('HS Codes'!$D$2:$K4202,MATCH($B1648,'HS Codes'!$A$2:$A4202,0),MATCH(H$1,'HS Codes'!$D$1:$K$1,0)),"")</f>
        <v>6505.00.40.00</v>
      </c>
      <c r="I1648" s="8" t="str">
        <f>_xlfn.IFNA(INDEX('HS Codes'!$D$2:$K4202,MATCH($B1648,'HS Codes'!$A$2:$A4202,0),MATCH(I$1,'HS Codes'!$D$1:$K$1,0)),"")</f>
        <v>6505.00.90.90</v>
      </c>
      <c r="J1648" s="8">
        <f>_xlfn.IFNA(INDEX('HS Codes'!$D$2:$K4202,MATCH($B1648,'HS Codes'!$A$2:$A4202,0),MATCH(J$1,'HS Codes'!$D$1:$K$1,0)),"")</f>
        <v>0</v>
      </c>
      <c r="K1648" s="8" t="str">
        <f>_xlfn.IFNA(INDEX('HS Codes'!$D$2:$K4202,MATCH($B1648,'HS Codes'!$A$2:$A4202,0),MATCH(K$1,'HS Codes'!$D$1:$K$1,0)),"")</f>
        <v>6505.00.90</v>
      </c>
      <c r="L1648" s="8">
        <f>_xlfn.IFNA(INDEX('HS Codes'!$D$2:$K4202,MATCH($B1648,'HS Codes'!$A$2:$A4202,0),MATCH(L$1,'HS Codes'!$D$1:$K$1,0)),"")</f>
        <v>0</v>
      </c>
      <c r="M1648" s="8" t="str">
        <f>_xlfn.IFNA(INDEX('HS Codes'!$C$2:$C4202,MATCH($B1648,'HS Codes'!$A$2:$A4202,0)),"")</f>
        <v>Head Towel 100% recycled 200 GSM/83% polyester/17% polyamide (no cotton)</v>
      </c>
      <c r="N1648" s="9"/>
      <c r="O1648" s="9"/>
      <c r="P1648" s="9"/>
      <c r="Q1648" s="9"/>
    </row>
    <row r="1649" spans="1:17" ht="15.75" customHeight="1">
      <c r="A1649" s="7" t="s">
        <v>1942</v>
      </c>
      <c r="B1649" s="7" t="s">
        <v>129</v>
      </c>
      <c r="C1649" s="7" t="s">
        <v>278</v>
      </c>
      <c r="D1649" s="7" t="s">
        <v>130</v>
      </c>
      <c r="E1649" s="7" t="s">
        <v>360</v>
      </c>
      <c r="F1649" s="8" t="str">
        <f>_xlfn.IFNA(INDEX('HS Codes'!$D$2:$K4203,MATCH($B1649,'HS Codes'!$A$2:$A4203,0),MATCH(F$1,'HS Codes'!$D$1:$K$1,0)),"")</f>
        <v>6504.00.90.15</v>
      </c>
      <c r="G1649" s="8">
        <f>_xlfn.IFNA(INDEX('HS Codes'!$D$2:$K4203,MATCH($B1649,'HS Codes'!$A$2:$A4203,0),MATCH(G$1,'HS Codes'!$D$1:$K$1,0)),"")</f>
        <v>6505009090</v>
      </c>
      <c r="H1649" s="8" t="str">
        <f>_xlfn.IFNA(INDEX('HS Codes'!$D$2:$K4203,MATCH($B1649,'HS Codes'!$A$2:$A4203,0),MATCH(H$1,'HS Codes'!$D$1:$K$1,0)),"")</f>
        <v>6505.00.40.00</v>
      </c>
      <c r="I1649" s="8" t="str">
        <f>_xlfn.IFNA(INDEX('HS Codes'!$D$2:$K4203,MATCH($B1649,'HS Codes'!$A$2:$A4203,0),MATCH(I$1,'HS Codes'!$D$1:$K$1,0)),"")</f>
        <v>6505.00.90.90</v>
      </c>
      <c r="J1649" s="8">
        <f>_xlfn.IFNA(INDEX('HS Codes'!$D$2:$K4203,MATCH($B1649,'HS Codes'!$A$2:$A4203,0),MATCH(J$1,'HS Codes'!$D$1:$K$1,0)),"")</f>
        <v>0</v>
      </c>
      <c r="K1649" s="8" t="str">
        <f>_xlfn.IFNA(INDEX('HS Codes'!$D$2:$K4203,MATCH($B1649,'HS Codes'!$A$2:$A4203,0),MATCH(K$1,'HS Codes'!$D$1:$K$1,0)),"")</f>
        <v>6505.00.90</v>
      </c>
      <c r="L1649" s="8">
        <f>_xlfn.IFNA(INDEX('HS Codes'!$D$2:$K4203,MATCH($B1649,'HS Codes'!$A$2:$A4203,0),MATCH(L$1,'HS Codes'!$D$1:$K$1,0)),"")</f>
        <v>0</v>
      </c>
      <c r="M1649" s="8" t="str">
        <f>_xlfn.IFNA(INDEX('HS Codes'!$C$2:$C4203,MATCH($B1649,'HS Codes'!$A$2:$A4203,0)),"")</f>
        <v>Head Towel 100% recycled 200 GSM/83% polyester/17% polyamide (no cotton)</v>
      </c>
      <c r="N1649" s="9"/>
      <c r="O1649" s="9"/>
      <c r="P1649" s="9"/>
      <c r="Q1649" s="9"/>
    </row>
    <row r="1650" spans="1:17" ht="15.75" customHeight="1">
      <c r="A1650" s="7" t="s">
        <v>1943</v>
      </c>
      <c r="B1650" s="7" t="s">
        <v>129</v>
      </c>
      <c r="C1650" s="7" t="s">
        <v>278</v>
      </c>
      <c r="D1650" s="7" t="s">
        <v>130</v>
      </c>
      <c r="E1650" s="7" t="s">
        <v>360</v>
      </c>
      <c r="F1650" s="8" t="str">
        <f>_xlfn.IFNA(INDEX('HS Codes'!$D$2:$K4204,MATCH($B1650,'HS Codes'!$A$2:$A4204,0),MATCH(F$1,'HS Codes'!$D$1:$K$1,0)),"")</f>
        <v>6504.00.90.15</v>
      </c>
      <c r="G1650" s="8">
        <f>_xlfn.IFNA(INDEX('HS Codes'!$D$2:$K4204,MATCH($B1650,'HS Codes'!$A$2:$A4204,0),MATCH(G$1,'HS Codes'!$D$1:$K$1,0)),"")</f>
        <v>6505009090</v>
      </c>
      <c r="H1650" s="8" t="str">
        <f>_xlfn.IFNA(INDEX('HS Codes'!$D$2:$K4204,MATCH($B1650,'HS Codes'!$A$2:$A4204,0),MATCH(H$1,'HS Codes'!$D$1:$K$1,0)),"")</f>
        <v>6505.00.40.00</v>
      </c>
      <c r="I1650" s="8" t="str">
        <f>_xlfn.IFNA(INDEX('HS Codes'!$D$2:$K4204,MATCH($B1650,'HS Codes'!$A$2:$A4204,0),MATCH(I$1,'HS Codes'!$D$1:$K$1,0)),"")</f>
        <v>6505.00.90.90</v>
      </c>
      <c r="J1650" s="8">
        <f>_xlfn.IFNA(INDEX('HS Codes'!$D$2:$K4204,MATCH($B1650,'HS Codes'!$A$2:$A4204,0),MATCH(J$1,'HS Codes'!$D$1:$K$1,0)),"")</f>
        <v>0</v>
      </c>
      <c r="K1650" s="8" t="str">
        <f>_xlfn.IFNA(INDEX('HS Codes'!$D$2:$K4204,MATCH($B1650,'HS Codes'!$A$2:$A4204,0),MATCH(K$1,'HS Codes'!$D$1:$K$1,0)),"")</f>
        <v>6505.00.90</v>
      </c>
      <c r="L1650" s="8">
        <f>_xlfn.IFNA(INDEX('HS Codes'!$D$2:$K4204,MATCH($B1650,'HS Codes'!$A$2:$A4204,0),MATCH(L$1,'HS Codes'!$D$1:$K$1,0)),"")</f>
        <v>0</v>
      </c>
      <c r="M1650" s="8" t="str">
        <f>_xlfn.IFNA(INDEX('HS Codes'!$C$2:$C4204,MATCH($B1650,'HS Codes'!$A$2:$A4204,0)),"")</f>
        <v>Head Towel 100% recycled 200 GSM/83% polyester/17% polyamide (no cotton)</v>
      </c>
      <c r="N1650" s="9"/>
      <c r="O1650" s="9"/>
      <c r="P1650" s="9"/>
      <c r="Q1650" s="9"/>
    </row>
    <row r="1651" spans="1:17" ht="15.75" customHeight="1">
      <c r="A1651" s="7" t="s">
        <v>1944</v>
      </c>
      <c r="B1651" s="7" t="s">
        <v>129</v>
      </c>
      <c r="C1651" s="7" t="s">
        <v>278</v>
      </c>
      <c r="D1651" s="7" t="s">
        <v>130</v>
      </c>
      <c r="E1651" s="7" t="s">
        <v>360</v>
      </c>
      <c r="F1651" s="8" t="str">
        <f>_xlfn.IFNA(INDEX('HS Codes'!$D$2:$K4205,MATCH($B1651,'HS Codes'!$A$2:$A4205,0),MATCH(F$1,'HS Codes'!$D$1:$K$1,0)),"")</f>
        <v>6504.00.90.15</v>
      </c>
      <c r="G1651" s="8">
        <f>_xlfn.IFNA(INDEX('HS Codes'!$D$2:$K4205,MATCH($B1651,'HS Codes'!$A$2:$A4205,0),MATCH(G$1,'HS Codes'!$D$1:$K$1,0)),"")</f>
        <v>6505009090</v>
      </c>
      <c r="H1651" s="8" t="str">
        <f>_xlfn.IFNA(INDEX('HS Codes'!$D$2:$K4205,MATCH($B1651,'HS Codes'!$A$2:$A4205,0),MATCH(H$1,'HS Codes'!$D$1:$K$1,0)),"")</f>
        <v>6505.00.40.00</v>
      </c>
      <c r="I1651" s="8" t="str">
        <f>_xlfn.IFNA(INDEX('HS Codes'!$D$2:$K4205,MATCH($B1651,'HS Codes'!$A$2:$A4205,0),MATCH(I$1,'HS Codes'!$D$1:$K$1,0)),"")</f>
        <v>6505.00.90.90</v>
      </c>
      <c r="J1651" s="8">
        <f>_xlfn.IFNA(INDEX('HS Codes'!$D$2:$K4205,MATCH($B1651,'HS Codes'!$A$2:$A4205,0),MATCH(J$1,'HS Codes'!$D$1:$K$1,0)),"")</f>
        <v>0</v>
      </c>
      <c r="K1651" s="8" t="str">
        <f>_xlfn.IFNA(INDEX('HS Codes'!$D$2:$K4205,MATCH($B1651,'HS Codes'!$A$2:$A4205,0),MATCH(K$1,'HS Codes'!$D$1:$K$1,0)),"")</f>
        <v>6505.00.90</v>
      </c>
      <c r="L1651" s="8">
        <f>_xlfn.IFNA(INDEX('HS Codes'!$D$2:$K4205,MATCH($B1651,'HS Codes'!$A$2:$A4205,0),MATCH(L$1,'HS Codes'!$D$1:$K$1,0)),"")</f>
        <v>0</v>
      </c>
      <c r="M1651" s="8" t="str">
        <f>_xlfn.IFNA(INDEX('HS Codes'!$C$2:$C4205,MATCH($B1651,'HS Codes'!$A$2:$A4205,0)),"")</f>
        <v>Head Towel 100% recycled 200 GSM/83% polyester/17% polyamide (no cotton)</v>
      </c>
      <c r="N1651" s="9"/>
      <c r="O1651" s="9"/>
      <c r="P1651" s="9"/>
      <c r="Q1651" s="9"/>
    </row>
    <row r="1652" spans="1:17" ht="15.75" customHeight="1">
      <c r="A1652" s="7" t="s">
        <v>1945</v>
      </c>
      <c r="B1652" s="7" t="s">
        <v>129</v>
      </c>
      <c r="C1652" s="7" t="s">
        <v>278</v>
      </c>
      <c r="D1652" s="7" t="s">
        <v>130</v>
      </c>
      <c r="E1652" s="7" t="s">
        <v>360</v>
      </c>
      <c r="F1652" s="8" t="str">
        <f>_xlfn.IFNA(INDEX('HS Codes'!$D$2:$K4206,MATCH($B1652,'HS Codes'!$A$2:$A4206,0),MATCH(F$1,'HS Codes'!$D$1:$K$1,0)),"")</f>
        <v>6504.00.90.15</v>
      </c>
      <c r="G1652" s="8">
        <f>_xlfn.IFNA(INDEX('HS Codes'!$D$2:$K4206,MATCH($B1652,'HS Codes'!$A$2:$A4206,0),MATCH(G$1,'HS Codes'!$D$1:$K$1,0)),"")</f>
        <v>6505009090</v>
      </c>
      <c r="H1652" s="8" t="str">
        <f>_xlfn.IFNA(INDEX('HS Codes'!$D$2:$K4206,MATCH($B1652,'HS Codes'!$A$2:$A4206,0),MATCH(H$1,'HS Codes'!$D$1:$K$1,0)),"")</f>
        <v>6505.00.40.00</v>
      </c>
      <c r="I1652" s="8" t="str">
        <f>_xlfn.IFNA(INDEX('HS Codes'!$D$2:$K4206,MATCH($B1652,'HS Codes'!$A$2:$A4206,0),MATCH(I$1,'HS Codes'!$D$1:$K$1,0)),"")</f>
        <v>6505.00.90.90</v>
      </c>
      <c r="J1652" s="8">
        <f>_xlfn.IFNA(INDEX('HS Codes'!$D$2:$K4206,MATCH($B1652,'HS Codes'!$A$2:$A4206,0),MATCH(J$1,'HS Codes'!$D$1:$K$1,0)),"")</f>
        <v>0</v>
      </c>
      <c r="K1652" s="8" t="str">
        <f>_xlfn.IFNA(INDEX('HS Codes'!$D$2:$K4206,MATCH($B1652,'HS Codes'!$A$2:$A4206,0),MATCH(K$1,'HS Codes'!$D$1:$K$1,0)),"")</f>
        <v>6505.00.90</v>
      </c>
      <c r="L1652" s="8">
        <f>_xlfn.IFNA(INDEX('HS Codes'!$D$2:$K4206,MATCH($B1652,'HS Codes'!$A$2:$A4206,0),MATCH(L$1,'HS Codes'!$D$1:$K$1,0)),"")</f>
        <v>0</v>
      </c>
      <c r="M1652" s="8" t="str">
        <f>_xlfn.IFNA(INDEX('HS Codes'!$C$2:$C4206,MATCH($B1652,'HS Codes'!$A$2:$A4206,0)),"")</f>
        <v>Head Towel 100% recycled 200 GSM/83% polyester/17% polyamide (no cotton)</v>
      </c>
      <c r="N1652" s="9"/>
      <c r="O1652" s="9"/>
      <c r="P1652" s="9"/>
      <c r="Q1652" s="9"/>
    </row>
    <row r="1653" spans="1:17" ht="15.75" customHeight="1">
      <c r="A1653" s="7" t="s">
        <v>1946</v>
      </c>
      <c r="B1653" s="7" t="s">
        <v>129</v>
      </c>
      <c r="C1653" s="7" t="s">
        <v>278</v>
      </c>
      <c r="D1653" s="7" t="s">
        <v>130</v>
      </c>
      <c r="E1653" s="7" t="s">
        <v>360</v>
      </c>
      <c r="F1653" s="8" t="str">
        <f>_xlfn.IFNA(INDEX('HS Codes'!$D$2:$K4207,MATCH($B1653,'HS Codes'!$A$2:$A4207,0),MATCH(F$1,'HS Codes'!$D$1:$K$1,0)),"")</f>
        <v>6504.00.90.15</v>
      </c>
      <c r="G1653" s="8">
        <f>_xlfn.IFNA(INDEX('HS Codes'!$D$2:$K4207,MATCH($B1653,'HS Codes'!$A$2:$A4207,0),MATCH(G$1,'HS Codes'!$D$1:$K$1,0)),"")</f>
        <v>6505009090</v>
      </c>
      <c r="H1653" s="8" t="str">
        <f>_xlfn.IFNA(INDEX('HS Codes'!$D$2:$K4207,MATCH($B1653,'HS Codes'!$A$2:$A4207,0),MATCH(H$1,'HS Codes'!$D$1:$K$1,0)),"")</f>
        <v>6505.00.40.00</v>
      </c>
      <c r="I1653" s="8" t="str">
        <f>_xlfn.IFNA(INDEX('HS Codes'!$D$2:$K4207,MATCH($B1653,'HS Codes'!$A$2:$A4207,0),MATCH(I$1,'HS Codes'!$D$1:$K$1,0)),"")</f>
        <v>6505.00.90.90</v>
      </c>
      <c r="J1653" s="8">
        <f>_xlfn.IFNA(INDEX('HS Codes'!$D$2:$K4207,MATCH($B1653,'HS Codes'!$A$2:$A4207,0),MATCH(J$1,'HS Codes'!$D$1:$K$1,0)),"")</f>
        <v>0</v>
      </c>
      <c r="K1653" s="8" t="str">
        <f>_xlfn.IFNA(INDEX('HS Codes'!$D$2:$K4207,MATCH($B1653,'HS Codes'!$A$2:$A4207,0),MATCH(K$1,'HS Codes'!$D$1:$K$1,0)),"")</f>
        <v>6505.00.90</v>
      </c>
      <c r="L1653" s="8">
        <f>_xlfn.IFNA(INDEX('HS Codes'!$D$2:$K4207,MATCH($B1653,'HS Codes'!$A$2:$A4207,0),MATCH(L$1,'HS Codes'!$D$1:$K$1,0)),"")</f>
        <v>0</v>
      </c>
      <c r="M1653" s="8" t="str">
        <f>_xlfn.IFNA(INDEX('HS Codes'!$C$2:$C4207,MATCH($B1653,'HS Codes'!$A$2:$A4207,0)),"")</f>
        <v>Head Towel 100% recycled 200 GSM/83% polyester/17% polyamide (no cotton)</v>
      </c>
      <c r="N1653" s="9"/>
      <c r="O1653" s="9"/>
      <c r="P1653" s="9"/>
      <c r="Q1653" s="9"/>
    </row>
    <row r="1654" spans="1:17" ht="15.75" customHeight="1">
      <c r="A1654" s="7" t="s">
        <v>1947</v>
      </c>
      <c r="B1654" s="7" t="s">
        <v>129</v>
      </c>
      <c r="C1654" s="7" t="s">
        <v>278</v>
      </c>
      <c r="D1654" s="7" t="s">
        <v>130</v>
      </c>
      <c r="E1654" s="7" t="s">
        <v>360</v>
      </c>
      <c r="F1654" s="8" t="str">
        <f>_xlfn.IFNA(INDEX('HS Codes'!$D$2:$K4208,MATCH($B1654,'HS Codes'!$A$2:$A4208,0),MATCH(F$1,'HS Codes'!$D$1:$K$1,0)),"")</f>
        <v>6504.00.90.15</v>
      </c>
      <c r="G1654" s="8">
        <f>_xlfn.IFNA(INDEX('HS Codes'!$D$2:$K4208,MATCH($B1654,'HS Codes'!$A$2:$A4208,0),MATCH(G$1,'HS Codes'!$D$1:$K$1,0)),"")</f>
        <v>6505009090</v>
      </c>
      <c r="H1654" s="8" t="str">
        <f>_xlfn.IFNA(INDEX('HS Codes'!$D$2:$K4208,MATCH($B1654,'HS Codes'!$A$2:$A4208,0),MATCH(H$1,'HS Codes'!$D$1:$K$1,0)),"")</f>
        <v>6505.00.40.00</v>
      </c>
      <c r="I1654" s="8" t="str">
        <f>_xlfn.IFNA(INDEX('HS Codes'!$D$2:$K4208,MATCH($B1654,'HS Codes'!$A$2:$A4208,0),MATCH(I$1,'HS Codes'!$D$1:$K$1,0)),"")</f>
        <v>6505.00.90.90</v>
      </c>
      <c r="J1654" s="8">
        <f>_xlfn.IFNA(INDEX('HS Codes'!$D$2:$K4208,MATCH($B1654,'HS Codes'!$A$2:$A4208,0),MATCH(J$1,'HS Codes'!$D$1:$K$1,0)),"")</f>
        <v>0</v>
      </c>
      <c r="K1654" s="8" t="str">
        <f>_xlfn.IFNA(INDEX('HS Codes'!$D$2:$K4208,MATCH($B1654,'HS Codes'!$A$2:$A4208,0),MATCH(K$1,'HS Codes'!$D$1:$K$1,0)),"")</f>
        <v>6505.00.90</v>
      </c>
      <c r="L1654" s="8">
        <f>_xlfn.IFNA(INDEX('HS Codes'!$D$2:$K4208,MATCH($B1654,'HS Codes'!$A$2:$A4208,0),MATCH(L$1,'HS Codes'!$D$1:$K$1,0)),"")</f>
        <v>0</v>
      </c>
      <c r="M1654" s="8" t="str">
        <f>_xlfn.IFNA(INDEX('HS Codes'!$C$2:$C4208,MATCH($B1654,'HS Codes'!$A$2:$A4208,0)),"")</f>
        <v>Head Towel 100% recycled 200 GSM/83% polyester/17% polyamide (no cotton)</v>
      </c>
      <c r="N1654" s="9"/>
      <c r="O1654" s="9"/>
      <c r="P1654" s="9"/>
      <c r="Q1654" s="9"/>
    </row>
    <row r="1655" spans="1:17" ht="15.75" customHeight="1">
      <c r="A1655" s="7" t="s">
        <v>1948</v>
      </c>
      <c r="B1655" s="7" t="s">
        <v>129</v>
      </c>
      <c r="C1655" s="7" t="s">
        <v>278</v>
      </c>
      <c r="D1655" s="7" t="s">
        <v>130</v>
      </c>
      <c r="E1655" s="7" t="s">
        <v>360</v>
      </c>
      <c r="F1655" s="8" t="str">
        <f>_xlfn.IFNA(INDEX('HS Codes'!$D$2:$K4209,MATCH($B1655,'HS Codes'!$A$2:$A4209,0),MATCH(F$1,'HS Codes'!$D$1:$K$1,0)),"")</f>
        <v>6504.00.90.15</v>
      </c>
      <c r="G1655" s="8">
        <f>_xlfn.IFNA(INDEX('HS Codes'!$D$2:$K4209,MATCH($B1655,'HS Codes'!$A$2:$A4209,0),MATCH(G$1,'HS Codes'!$D$1:$K$1,0)),"")</f>
        <v>6505009090</v>
      </c>
      <c r="H1655" s="8" t="str">
        <f>_xlfn.IFNA(INDEX('HS Codes'!$D$2:$K4209,MATCH($B1655,'HS Codes'!$A$2:$A4209,0),MATCH(H$1,'HS Codes'!$D$1:$K$1,0)),"")</f>
        <v>6505.00.40.00</v>
      </c>
      <c r="I1655" s="8" t="str">
        <f>_xlfn.IFNA(INDEX('HS Codes'!$D$2:$K4209,MATCH($B1655,'HS Codes'!$A$2:$A4209,0),MATCH(I$1,'HS Codes'!$D$1:$K$1,0)),"")</f>
        <v>6505.00.90.90</v>
      </c>
      <c r="J1655" s="8">
        <f>_xlfn.IFNA(INDEX('HS Codes'!$D$2:$K4209,MATCH($B1655,'HS Codes'!$A$2:$A4209,0),MATCH(J$1,'HS Codes'!$D$1:$K$1,0)),"")</f>
        <v>0</v>
      </c>
      <c r="K1655" s="8" t="str">
        <f>_xlfn.IFNA(INDEX('HS Codes'!$D$2:$K4209,MATCH($B1655,'HS Codes'!$A$2:$A4209,0),MATCH(K$1,'HS Codes'!$D$1:$K$1,0)),"")</f>
        <v>6505.00.90</v>
      </c>
      <c r="L1655" s="8">
        <f>_xlfn.IFNA(INDEX('HS Codes'!$D$2:$K4209,MATCH($B1655,'HS Codes'!$A$2:$A4209,0),MATCH(L$1,'HS Codes'!$D$1:$K$1,0)),"")</f>
        <v>0</v>
      </c>
      <c r="M1655" s="8" t="str">
        <f>_xlfn.IFNA(INDEX('HS Codes'!$C$2:$C4209,MATCH($B1655,'HS Codes'!$A$2:$A4209,0)),"")</f>
        <v>Head Towel 100% recycled 200 GSM/83% polyester/17% polyamide (no cotton)</v>
      </c>
      <c r="N1655" s="9"/>
      <c r="O1655" s="9"/>
      <c r="P1655" s="9"/>
      <c r="Q1655" s="9"/>
    </row>
    <row r="1656" spans="1:17" ht="15.75" customHeight="1">
      <c r="A1656" s="7" t="s">
        <v>1949</v>
      </c>
      <c r="B1656" s="7" t="s">
        <v>129</v>
      </c>
      <c r="C1656" s="7" t="s">
        <v>278</v>
      </c>
      <c r="D1656" s="7" t="s">
        <v>130</v>
      </c>
      <c r="E1656" s="7" t="s">
        <v>360</v>
      </c>
      <c r="F1656" s="8" t="str">
        <f>_xlfn.IFNA(INDEX('HS Codes'!$D$2:$K4210,MATCH($B1656,'HS Codes'!$A$2:$A4210,0),MATCH(F$1,'HS Codes'!$D$1:$K$1,0)),"")</f>
        <v>6504.00.90.15</v>
      </c>
      <c r="G1656" s="8">
        <f>_xlfn.IFNA(INDEX('HS Codes'!$D$2:$K4210,MATCH($B1656,'HS Codes'!$A$2:$A4210,0),MATCH(G$1,'HS Codes'!$D$1:$K$1,0)),"")</f>
        <v>6505009090</v>
      </c>
      <c r="H1656" s="8" t="str">
        <f>_xlfn.IFNA(INDEX('HS Codes'!$D$2:$K4210,MATCH($B1656,'HS Codes'!$A$2:$A4210,0),MATCH(H$1,'HS Codes'!$D$1:$K$1,0)),"")</f>
        <v>6505.00.40.00</v>
      </c>
      <c r="I1656" s="8" t="str">
        <f>_xlfn.IFNA(INDEX('HS Codes'!$D$2:$K4210,MATCH($B1656,'HS Codes'!$A$2:$A4210,0),MATCH(I$1,'HS Codes'!$D$1:$K$1,0)),"")</f>
        <v>6505.00.90.90</v>
      </c>
      <c r="J1656" s="8">
        <f>_xlfn.IFNA(INDEX('HS Codes'!$D$2:$K4210,MATCH($B1656,'HS Codes'!$A$2:$A4210,0),MATCH(J$1,'HS Codes'!$D$1:$K$1,0)),"")</f>
        <v>0</v>
      </c>
      <c r="K1656" s="8" t="str">
        <f>_xlfn.IFNA(INDEX('HS Codes'!$D$2:$K4210,MATCH($B1656,'HS Codes'!$A$2:$A4210,0),MATCH(K$1,'HS Codes'!$D$1:$K$1,0)),"")</f>
        <v>6505.00.90</v>
      </c>
      <c r="L1656" s="8">
        <f>_xlfn.IFNA(INDEX('HS Codes'!$D$2:$K4210,MATCH($B1656,'HS Codes'!$A$2:$A4210,0),MATCH(L$1,'HS Codes'!$D$1:$K$1,0)),"")</f>
        <v>0</v>
      </c>
      <c r="M1656" s="8" t="str">
        <f>_xlfn.IFNA(INDEX('HS Codes'!$C$2:$C4210,MATCH($B1656,'HS Codes'!$A$2:$A4210,0)),"")</f>
        <v>Head Towel 100% recycled 200 GSM/83% polyester/17% polyamide (no cotton)</v>
      </c>
      <c r="N1656" s="9"/>
      <c r="O1656" s="9"/>
      <c r="P1656" s="9"/>
      <c r="Q1656" s="9"/>
    </row>
    <row r="1657" spans="1:17" ht="15.75" customHeight="1">
      <c r="A1657" s="7" t="s">
        <v>1950</v>
      </c>
      <c r="B1657" s="7" t="s">
        <v>129</v>
      </c>
      <c r="C1657" s="7" t="s">
        <v>278</v>
      </c>
      <c r="D1657" s="7" t="s">
        <v>130</v>
      </c>
      <c r="E1657" s="7" t="s">
        <v>360</v>
      </c>
      <c r="F1657" s="8" t="str">
        <f>_xlfn.IFNA(INDEX('HS Codes'!$D$2:$K4211,MATCH($B1657,'HS Codes'!$A$2:$A4211,0),MATCH(F$1,'HS Codes'!$D$1:$K$1,0)),"")</f>
        <v>6504.00.90.15</v>
      </c>
      <c r="G1657" s="8">
        <f>_xlfn.IFNA(INDEX('HS Codes'!$D$2:$K4211,MATCH($B1657,'HS Codes'!$A$2:$A4211,0),MATCH(G$1,'HS Codes'!$D$1:$K$1,0)),"")</f>
        <v>6505009090</v>
      </c>
      <c r="H1657" s="8" t="str">
        <f>_xlfn.IFNA(INDEX('HS Codes'!$D$2:$K4211,MATCH($B1657,'HS Codes'!$A$2:$A4211,0),MATCH(H$1,'HS Codes'!$D$1:$K$1,0)),"")</f>
        <v>6505.00.40.00</v>
      </c>
      <c r="I1657" s="8" t="str">
        <f>_xlfn.IFNA(INDEX('HS Codes'!$D$2:$K4211,MATCH($B1657,'HS Codes'!$A$2:$A4211,0),MATCH(I$1,'HS Codes'!$D$1:$K$1,0)),"")</f>
        <v>6505.00.90.90</v>
      </c>
      <c r="J1657" s="8">
        <f>_xlfn.IFNA(INDEX('HS Codes'!$D$2:$K4211,MATCH($B1657,'HS Codes'!$A$2:$A4211,0),MATCH(J$1,'HS Codes'!$D$1:$K$1,0)),"")</f>
        <v>0</v>
      </c>
      <c r="K1657" s="8" t="str">
        <f>_xlfn.IFNA(INDEX('HS Codes'!$D$2:$K4211,MATCH($B1657,'HS Codes'!$A$2:$A4211,0),MATCH(K$1,'HS Codes'!$D$1:$K$1,0)),"")</f>
        <v>6505.00.90</v>
      </c>
      <c r="L1657" s="8">
        <f>_xlfn.IFNA(INDEX('HS Codes'!$D$2:$K4211,MATCH($B1657,'HS Codes'!$A$2:$A4211,0),MATCH(L$1,'HS Codes'!$D$1:$K$1,0)),"")</f>
        <v>0</v>
      </c>
      <c r="M1657" s="8" t="str">
        <f>_xlfn.IFNA(INDEX('HS Codes'!$C$2:$C4211,MATCH($B1657,'HS Codes'!$A$2:$A4211,0)),"")</f>
        <v>Head Towel 100% recycled 200 GSM/83% polyester/17% polyamide (no cotton)</v>
      </c>
      <c r="N1657" s="9"/>
      <c r="O1657" s="9"/>
      <c r="P1657" s="9"/>
      <c r="Q1657" s="9"/>
    </row>
    <row r="1658" spans="1:17" ht="15.75" customHeight="1">
      <c r="A1658" s="7" t="s">
        <v>1951</v>
      </c>
      <c r="B1658" s="7" t="s">
        <v>126</v>
      </c>
      <c r="C1658" s="7" t="s">
        <v>278</v>
      </c>
      <c r="D1658" s="7" t="s">
        <v>127</v>
      </c>
      <c r="E1658" s="7" t="s">
        <v>360</v>
      </c>
      <c r="F1658" s="8" t="str">
        <f>_xlfn.IFNA(INDEX('HS Codes'!$D$2:$K4212,MATCH($B1658,'HS Codes'!$A$2:$A4212,0),MATCH(F$1,'HS Codes'!$D$1:$K$1,0)),"")</f>
        <v>6504.00.90.15</v>
      </c>
      <c r="G1658" s="8">
        <f>_xlfn.IFNA(INDEX('HS Codes'!$D$2:$K4212,MATCH($B1658,'HS Codes'!$A$2:$A4212,0),MATCH(G$1,'HS Codes'!$D$1:$K$1,0)),"")</f>
        <v>6505009090</v>
      </c>
      <c r="H1658" s="8" t="str">
        <f>_xlfn.IFNA(INDEX('HS Codes'!$D$2:$K4212,MATCH($B1658,'HS Codes'!$A$2:$A4212,0),MATCH(H$1,'HS Codes'!$D$1:$K$1,0)),"")</f>
        <v>6505.00.40.00</v>
      </c>
      <c r="I1658" s="8" t="str">
        <f>_xlfn.IFNA(INDEX('HS Codes'!$D$2:$K4212,MATCH($B1658,'HS Codes'!$A$2:$A4212,0),MATCH(I$1,'HS Codes'!$D$1:$K$1,0)),"")</f>
        <v>6505.00.90.90</v>
      </c>
      <c r="J1658" s="8">
        <f>_xlfn.IFNA(INDEX('HS Codes'!$D$2:$K4212,MATCH($B1658,'HS Codes'!$A$2:$A4212,0),MATCH(J$1,'HS Codes'!$D$1:$K$1,0)),"")</f>
        <v>0</v>
      </c>
      <c r="K1658" s="8" t="str">
        <f>_xlfn.IFNA(INDEX('HS Codes'!$D$2:$K4212,MATCH($B1658,'HS Codes'!$A$2:$A4212,0),MATCH(K$1,'HS Codes'!$D$1:$K$1,0)),"")</f>
        <v>6505.00.90</v>
      </c>
      <c r="L1658" s="8">
        <f>_xlfn.IFNA(INDEX('HS Codes'!$D$2:$K4212,MATCH($B1658,'HS Codes'!$A$2:$A4212,0),MATCH(L$1,'HS Codes'!$D$1:$K$1,0)),"")</f>
        <v>6507</v>
      </c>
      <c r="M1658" s="8" t="str">
        <f>_xlfn.IFNA(INDEX('HS Codes'!$C$2:$C4212,MATCH($B1658,'HS Codes'!$A$2:$A4212,0)),"")</f>
        <v>Head Towel 100% recycled 340 GSM/83% polyester/17% polyamide (no cotton)</v>
      </c>
      <c r="N1658" s="9"/>
      <c r="O1658" s="9"/>
      <c r="P1658" s="9"/>
      <c r="Q1658" s="9"/>
    </row>
    <row r="1659" spans="1:17" ht="15.75" customHeight="1">
      <c r="A1659" s="7" t="s">
        <v>1952</v>
      </c>
      <c r="B1659" s="7" t="s">
        <v>129</v>
      </c>
      <c r="C1659" s="7" t="s">
        <v>278</v>
      </c>
      <c r="D1659" s="7" t="s">
        <v>130</v>
      </c>
      <c r="E1659" s="7" t="s">
        <v>360</v>
      </c>
      <c r="F1659" s="8" t="str">
        <f>_xlfn.IFNA(INDEX('HS Codes'!$D$2:$K4213,MATCH($B1659,'HS Codes'!$A$2:$A4213,0),MATCH(F$1,'HS Codes'!$D$1:$K$1,0)),"")</f>
        <v>6504.00.90.15</v>
      </c>
      <c r="G1659" s="8">
        <f>_xlfn.IFNA(INDEX('HS Codes'!$D$2:$K4213,MATCH($B1659,'HS Codes'!$A$2:$A4213,0),MATCH(G$1,'HS Codes'!$D$1:$K$1,0)),"")</f>
        <v>6505009090</v>
      </c>
      <c r="H1659" s="8" t="str">
        <f>_xlfn.IFNA(INDEX('HS Codes'!$D$2:$K4213,MATCH($B1659,'HS Codes'!$A$2:$A4213,0),MATCH(H$1,'HS Codes'!$D$1:$K$1,0)),"")</f>
        <v>6505.00.40.00</v>
      </c>
      <c r="I1659" s="8" t="str">
        <f>_xlfn.IFNA(INDEX('HS Codes'!$D$2:$K4213,MATCH($B1659,'HS Codes'!$A$2:$A4213,0),MATCH(I$1,'HS Codes'!$D$1:$K$1,0)),"")</f>
        <v>6505.00.90.90</v>
      </c>
      <c r="J1659" s="8">
        <f>_xlfn.IFNA(INDEX('HS Codes'!$D$2:$K4213,MATCH($B1659,'HS Codes'!$A$2:$A4213,0),MATCH(J$1,'HS Codes'!$D$1:$K$1,0)),"")</f>
        <v>0</v>
      </c>
      <c r="K1659" s="8" t="str">
        <f>_xlfn.IFNA(INDEX('HS Codes'!$D$2:$K4213,MATCH($B1659,'HS Codes'!$A$2:$A4213,0),MATCH(K$1,'HS Codes'!$D$1:$K$1,0)),"")</f>
        <v>6505.00.90</v>
      </c>
      <c r="L1659" s="8">
        <f>_xlfn.IFNA(INDEX('HS Codes'!$D$2:$K4213,MATCH($B1659,'HS Codes'!$A$2:$A4213,0),MATCH(L$1,'HS Codes'!$D$1:$K$1,0)),"")</f>
        <v>0</v>
      </c>
      <c r="M1659" s="8" t="str">
        <f>_xlfn.IFNA(INDEX('HS Codes'!$C$2:$C4213,MATCH($B1659,'HS Codes'!$A$2:$A4213,0)),"")</f>
        <v>Head Towel 100% recycled 200 GSM/83% polyester/17% polyamide (no cotton)</v>
      </c>
      <c r="N1659" s="9"/>
      <c r="O1659" s="9"/>
      <c r="P1659" s="9"/>
      <c r="Q1659" s="9"/>
    </row>
    <row r="1660" spans="1:17" ht="15.75" customHeight="1">
      <c r="A1660" s="7" t="s">
        <v>1953</v>
      </c>
      <c r="B1660" s="7" t="s">
        <v>129</v>
      </c>
      <c r="C1660" s="7" t="s">
        <v>278</v>
      </c>
      <c r="D1660" s="7" t="s">
        <v>130</v>
      </c>
      <c r="E1660" s="7" t="s">
        <v>360</v>
      </c>
      <c r="F1660" s="8" t="str">
        <f>_xlfn.IFNA(INDEX('HS Codes'!$D$2:$K4214,MATCH($B1660,'HS Codes'!$A$2:$A4214,0),MATCH(F$1,'HS Codes'!$D$1:$K$1,0)),"")</f>
        <v>6504.00.90.15</v>
      </c>
      <c r="G1660" s="8">
        <f>_xlfn.IFNA(INDEX('HS Codes'!$D$2:$K4214,MATCH($B1660,'HS Codes'!$A$2:$A4214,0),MATCH(G$1,'HS Codes'!$D$1:$K$1,0)),"")</f>
        <v>6505009090</v>
      </c>
      <c r="H1660" s="8" t="str">
        <f>_xlfn.IFNA(INDEX('HS Codes'!$D$2:$K4214,MATCH($B1660,'HS Codes'!$A$2:$A4214,0),MATCH(H$1,'HS Codes'!$D$1:$K$1,0)),"")</f>
        <v>6505.00.40.00</v>
      </c>
      <c r="I1660" s="8" t="str">
        <f>_xlfn.IFNA(INDEX('HS Codes'!$D$2:$K4214,MATCH($B1660,'HS Codes'!$A$2:$A4214,0),MATCH(I$1,'HS Codes'!$D$1:$K$1,0)),"")</f>
        <v>6505.00.90.90</v>
      </c>
      <c r="J1660" s="8">
        <f>_xlfn.IFNA(INDEX('HS Codes'!$D$2:$K4214,MATCH($B1660,'HS Codes'!$A$2:$A4214,0),MATCH(J$1,'HS Codes'!$D$1:$K$1,0)),"")</f>
        <v>0</v>
      </c>
      <c r="K1660" s="8" t="str">
        <f>_xlfn.IFNA(INDEX('HS Codes'!$D$2:$K4214,MATCH($B1660,'HS Codes'!$A$2:$A4214,0),MATCH(K$1,'HS Codes'!$D$1:$K$1,0)),"")</f>
        <v>6505.00.90</v>
      </c>
      <c r="L1660" s="8">
        <f>_xlfn.IFNA(INDEX('HS Codes'!$D$2:$K4214,MATCH($B1660,'HS Codes'!$A$2:$A4214,0),MATCH(L$1,'HS Codes'!$D$1:$K$1,0)),"")</f>
        <v>0</v>
      </c>
      <c r="M1660" s="8" t="str">
        <f>_xlfn.IFNA(INDEX('HS Codes'!$C$2:$C4214,MATCH($B1660,'HS Codes'!$A$2:$A4214,0)),"")</f>
        <v>Head Towel 100% recycled 200 GSM/83% polyester/17% polyamide (no cotton)</v>
      </c>
      <c r="N1660" s="9"/>
      <c r="O1660" s="9"/>
      <c r="P1660" s="9"/>
      <c r="Q1660" s="9"/>
    </row>
    <row r="1661" spans="1:17" ht="15.75" customHeight="1">
      <c r="A1661" s="7" t="s">
        <v>1954</v>
      </c>
      <c r="B1661" s="7" t="s">
        <v>129</v>
      </c>
      <c r="C1661" s="7" t="s">
        <v>278</v>
      </c>
      <c r="D1661" s="7" t="s">
        <v>130</v>
      </c>
      <c r="E1661" s="7" t="s">
        <v>360</v>
      </c>
      <c r="F1661" s="8" t="str">
        <f>_xlfn.IFNA(INDEX('HS Codes'!$D$2:$K4215,MATCH($B1661,'HS Codes'!$A$2:$A4215,0),MATCH(F$1,'HS Codes'!$D$1:$K$1,0)),"")</f>
        <v>6504.00.90.15</v>
      </c>
      <c r="G1661" s="8">
        <f>_xlfn.IFNA(INDEX('HS Codes'!$D$2:$K4215,MATCH($B1661,'HS Codes'!$A$2:$A4215,0),MATCH(G$1,'HS Codes'!$D$1:$K$1,0)),"")</f>
        <v>6505009090</v>
      </c>
      <c r="H1661" s="8" t="str">
        <f>_xlfn.IFNA(INDEX('HS Codes'!$D$2:$K4215,MATCH($B1661,'HS Codes'!$A$2:$A4215,0),MATCH(H$1,'HS Codes'!$D$1:$K$1,0)),"")</f>
        <v>6505.00.40.00</v>
      </c>
      <c r="I1661" s="8" t="str">
        <f>_xlfn.IFNA(INDEX('HS Codes'!$D$2:$K4215,MATCH($B1661,'HS Codes'!$A$2:$A4215,0),MATCH(I$1,'HS Codes'!$D$1:$K$1,0)),"")</f>
        <v>6505.00.90.90</v>
      </c>
      <c r="J1661" s="8">
        <f>_xlfn.IFNA(INDEX('HS Codes'!$D$2:$K4215,MATCH($B1661,'HS Codes'!$A$2:$A4215,0),MATCH(J$1,'HS Codes'!$D$1:$K$1,0)),"")</f>
        <v>0</v>
      </c>
      <c r="K1661" s="8" t="str">
        <f>_xlfn.IFNA(INDEX('HS Codes'!$D$2:$K4215,MATCH($B1661,'HS Codes'!$A$2:$A4215,0),MATCH(K$1,'HS Codes'!$D$1:$K$1,0)),"")</f>
        <v>6505.00.90</v>
      </c>
      <c r="L1661" s="8">
        <f>_xlfn.IFNA(INDEX('HS Codes'!$D$2:$K4215,MATCH($B1661,'HS Codes'!$A$2:$A4215,0),MATCH(L$1,'HS Codes'!$D$1:$K$1,0)),"")</f>
        <v>0</v>
      </c>
      <c r="M1661" s="8" t="str">
        <f>_xlfn.IFNA(INDEX('HS Codes'!$C$2:$C4215,MATCH($B1661,'HS Codes'!$A$2:$A4215,0)),"")</f>
        <v>Head Towel 100% recycled 200 GSM/83% polyester/17% polyamide (no cotton)</v>
      </c>
      <c r="N1661" s="9"/>
      <c r="O1661" s="9"/>
      <c r="P1661" s="9"/>
      <c r="Q1661" s="9"/>
    </row>
    <row r="1662" spans="1:17" ht="15.75" customHeight="1">
      <c r="A1662" s="7" t="s">
        <v>1955</v>
      </c>
      <c r="B1662" s="7" t="s">
        <v>129</v>
      </c>
      <c r="C1662" s="7" t="s">
        <v>278</v>
      </c>
      <c r="D1662" s="7" t="s">
        <v>130</v>
      </c>
      <c r="E1662" s="7" t="s">
        <v>360</v>
      </c>
      <c r="F1662" s="8" t="str">
        <f>_xlfn.IFNA(INDEX('HS Codes'!$D$2:$K4216,MATCH($B1662,'HS Codes'!$A$2:$A4216,0),MATCH(F$1,'HS Codes'!$D$1:$K$1,0)),"")</f>
        <v>6504.00.90.15</v>
      </c>
      <c r="G1662" s="8">
        <f>_xlfn.IFNA(INDEX('HS Codes'!$D$2:$K4216,MATCH($B1662,'HS Codes'!$A$2:$A4216,0),MATCH(G$1,'HS Codes'!$D$1:$K$1,0)),"")</f>
        <v>6505009090</v>
      </c>
      <c r="H1662" s="8" t="str">
        <f>_xlfn.IFNA(INDEX('HS Codes'!$D$2:$K4216,MATCH($B1662,'HS Codes'!$A$2:$A4216,0),MATCH(H$1,'HS Codes'!$D$1:$K$1,0)),"")</f>
        <v>6505.00.40.00</v>
      </c>
      <c r="I1662" s="8" t="str">
        <f>_xlfn.IFNA(INDEX('HS Codes'!$D$2:$K4216,MATCH($B1662,'HS Codes'!$A$2:$A4216,0),MATCH(I$1,'HS Codes'!$D$1:$K$1,0)),"")</f>
        <v>6505.00.90.90</v>
      </c>
      <c r="J1662" s="8">
        <f>_xlfn.IFNA(INDEX('HS Codes'!$D$2:$K4216,MATCH($B1662,'HS Codes'!$A$2:$A4216,0),MATCH(J$1,'HS Codes'!$D$1:$K$1,0)),"")</f>
        <v>0</v>
      </c>
      <c r="K1662" s="8" t="str">
        <f>_xlfn.IFNA(INDEX('HS Codes'!$D$2:$K4216,MATCH($B1662,'HS Codes'!$A$2:$A4216,0),MATCH(K$1,'HS Codes'!$D$1:$K$1,0)),"")</f>
        <v>6505.00.90</v>
      </c>
      <c r="L1662" s="8">
        <f>_xlfn.IFNA(INDEX('HS Codes'!$D$2:$K4216,MATCH($B1662,'HS Codes'!$A$2:$A4216,0),MATCH(L$1,'HS Codes'!$D$1:$K$1,0)),"")</f>
        <v>0</v>
      </c>
      <c r="M1662" s="8" t="str">
        <f>_xlfn.IFNA(INDEX('HS Codes'!$C$2:$C4216,MATCH($B1662,'HS Codes'!$A$2:$A4216,0)),"")</f>
        <v>Head Towel 100% recycled 200 GSM/83% polyester/17% polyamide (no cotton)</v>
      </c>
      <c r="N1662" s="9"/>
      <c r="O1662" s="9"/>
      <c r="P1662" s="9"/>
      <c r="Q1662" s="9"/>
    </row>
    <row r="1663" spans="1:17" ht="15.75" customHeight="1">
      <c r="A1663" s="7" t="s">
        <v>1956</v>
      </c>
      <c r="B1663" s="7" t="s">
        <v>129</v>
      </c>
      <c r="C1663" s="7" t="s">
        <v>278</v>
      </c>
      <c r="D1663" s="7" t="s">
        <v>130</v>
      </c>
      <c r="E1663" s="7" t="s">
        <v>360</v>
      </c>
      <c r="F1663" s="8" t="str">
        <f>_xlfn.IFNA(INDEX('HS Codes'!$D$2:$K4217,MATCH($B1663,'HS Codes'!$A$2:$A4217,0),MATCH(F$1,'HS Codes'!$D$1:$K$1,0)),"")</f>
        <v>6504.00.90.15</v>
      </c>
      <c r="G1663" s="8">
        <f>_xlfn.IFNA(INDEX('HS Codes'!$D$2:$K4217,MATCH($B1663,'HS Codes'!$A$2:$A4217,0),MATCH(G$1,'HS Codes'!$D$1:$K$1,0)),"")</f>
        <v>6505009090</v>
      </c>
      <c r="H1663" s="8" t="str">
        <f>_xlfn.IFNA(INDEX('HS Codes'!$D$2:$K4217,MATCH($B1663,'HS Codes'!$A$2:$A4217,0),MATCH(H$1,'HS Codes'!$D$1:$K$1,0)),"")</f>
        <v>6505.00.40.00</v>
      </c>
      <c r="I1663" s="8" t="str">
        <f>_xlfn.IFNA(INDEX('HS Codes'!$D$2:$K4217,MATCH($B1663,'HS Codes'!$A$2:$A4217,0),MATCH(I$1,'HS Codes'!$D$1:$K$1,0)),"")</f>
        <v>6505.00.90.90</v>
      </c>
      <c r="J1663" s="8">
        <f>_xlfn.IFNA(INDEX('HS Codes'!$D$2:$K4217,MATCH($B1663,'HS Codes'!$A$2:$A4217,0),MATCH(J$1,'HS Codes'!$D$1:$K$1,0)),"")</f>
        <v>0</v>
      </c>
      <c r="K1663" s="8" t="str">
        <f>_xlfn.IFNA(INDEX('HS Codes'!$D$2:$K4217,MATCH($B1663,'HS Codes'!$A$2:$A4217,0),MATCH(K$1,'HS Codes'!$D$1:$K$1,0)),"")</f>
        <v>6505.00.90</v>
      </c>
      <c r="L1663" s="8">
        <f>_xlfn.IFNA(INDEX('HS Codes'!$D$2:$K4217,MATCH($B1663,'HS Codes'!$A$2:$A4217,0),MATCH(L$1,'HS Codes'!$D$1:$K$1,0)),"")</f>
        <v>0</v>
      </c>
      <c r="M1663" s="8" t="str">
        <f>_xlfn.IFNA(INDEX('HS Codes'!$C$2:$C4217,MATCH($B1663,'HS Codes'!$A$2:$A4217,0)),"")</f>
        <v>Head Towel 100% recycled 200 GSM/83% polyester/17% polyamide (no cotton)</v>
      </c>
      <c r="N1663" s="9"/>
      <c r="O1663" s="9"/>
      <c r="P1663" s="9"/>
      <c r="Q1663" s="9"/>
    </row>
    <row r="1664" spans="1:17" ht="15.75" customHeight="1">
      <c r="A1664" s="7" t="s">
        <v>1957</v>
      </c>
      <c r="B1664" s="7" t="s">
        <v>126</v>
      </c>
      <c r="C1664" s="7" t="s">
        <v>278</v>
      </c>
      <c r="D1664" s="7" t="s">
        <v>127</v>
      </c>
      <c r="E1664" s="7" t="s">
        <v>360</v>
      </c>
      <c r="F1664" s="8" t="str">
        <f>_xlfn.IFNA(INDEX('HS Codes'!$D$2:$K4218,MATCH($B1664,'HS Codes'!$A$2:$A4218,0),MATCH(F$1,'HS Codes'!$D$1:$K$1,0)),"")</f>
        <v>6504.00.90.15</v>
      </c>
      <c r="G1664" s="8">
        <f>_xlfn.IFNA(INDEX('HS Codes'!$D$2:$K4218,MATCH($B1664,'HS Codes'!$A$2:$A4218,0),MATCH(G$1,'HS Codes'!$D$1:$K$1,0)),"")</f>
        <v>6505009090</v>
      </c>
      <c r="H1664" s="8" t="str">
        <f>_xlfn.IFNA(INDEX('HS Codes'!$D$2:$K4218,MATCH($B1664,'HS Codes'!$A$2:$A4218,0),MATCH(H$1,'HS Codes'!$D$1:$K$1,0)),"")</f>
        <v>6505.00.40.00</v>
      </c>
      <c r="I1664" s="8" t="str">
        <f>_xlfn.IFNA(INDEX('HS Codes'!$D$2:$K4218,MATCH($B1664,'HS Codes'!$A$2:$A4218,0),MATCH(I$1,'HS Codes'!$D$1:$K$1,0)),"")</f>
        <v>6505.00.90.90</v>
      </c>
      <c r="J1664" s="8">
        <f>_xlfn.IFNA(INDEX('HS Codes'!$D$2:$K4218,MATCH($B1664,'HS Codes'!$A$2:$A4218,0),MATCH(J$1,'HS Codes'!$D$1:$K$1,0)),"")</f>
        <v>0</v>
      </c>
      <c r="K1664" s="8" t="str">
        <f>_xlfn.IFNA(INDEX('HS Codes'!$D$2:$K4218,MATCH($B1664,'HS Codes'!$A$2:$A4218,0),MATCH(K$1,'HS Codes'!$D$1:$K$1,0)),"")</f>
        <v>6505.00.90</v>
      </c>
      <c r="L1664" s="8">
        <f>_xlfn.IFNA(INDEX('HS Codes'!$D$2:$K4218,MATCH($B1664,'HS Codes'!$A$2:$A4218,0),MATCH(L$1,'HS Codes'!$D$1:$K$1,0)),"")</f>
        <v>6507</v>
      </c>
      <c r="M1664" s="8" t="str">
        <f>_xlfn.IFNA(INDEX('HS Codes'!$C$2:$C4218,MATCH($B1664,'HS Codes'!$A$2:$A4218,0)),"")</f>
        <v>Head Towel 100% recycled 340 GSM/83% polyester/17% polyamide (no cotton)</v>
      </c>
      <c r="N1664" s="9"/>
      <c r="O1664" s="9"/>
      <c r="P1664" s="9"/>
      <c r="Q1664" s="9"/>
    </row>
    <row r="1665" spans="1:17" ht="15.75" customHeight="1">
      <c r="A1665" s="7" t="s">
        <v>1958</v>
      </c>
      <c r="B1665" s="7" t="s">
        <v>126</v>
      </c>
      <c r="C1665" s="7" t="s">
        <v>278</v>
      </c>
      <c r="D1665" s="7" t="s">
        <v>127</v>
      </c>
      <c r="E1665" s="7" t="s">
        <v>360</v>
      </c>
      <c r="F1665" s="8" t="str">
        <f>_xlfn.IFNA(INDEX('HS Codes'!$D$2:$K4219,MATCH($B1665,'HS Codes'!$A$2:$A4219,0),MATCH(F$1,'HS Codes'!$D$1:$K$1,0)),"")</f>
        <v>6504.00.90.15</v>
      </c>
      <c r="G1665" s="8">
        <f>_xlfn.IFNA(INDEX('HS Codes'!$D$2:$K4219,MATCH($B1665,'HS Codes'!$A$2:$A4219,0),MATCH(G$1,'HS Codes'!$D$1:$K$1,0)),"")</f>
        <v>6505009090</v>
      </c>
      <c r="H1665" s="8" t="str">
        <f>_xlfn.IFNA(INDEX('HS Codes'!$D$2:$K4219,MATCH($B1665,'HS Codes'!$A$2:$A4219,0),MATCH(H$1,'HS Codes'!$D$1:$K$1,0)),"")</f>
        <v>6505.00.40.00</v>
      </c>
      <c r="I1665" s="8" t="str">
        <f>_xlfn.IFNA(INDEX('HS Codes'!$D$2:$K4219,MATCH($B1665,'HS Codes'!$A$2:$A4219,0),MATCH(I$1,'HS Codes'!$D$1:$K$1,0)),"")</f>
        <v>6505.00.90.90</v>
      </c>
      <c r="J1665" s="8">
        <f>_xlfn.IFNA(INDEX('HS Codes'!$D$2:$K4219,MATCH($B1665,'HS Codes'!$A$2:$A4219,0),MATCH(J$1,'HS Codes'!$D$1:$K$1,0)),"")</f>
        <v>0</v>
      </c>
      <c r="K1665" s="8" t="str">
        <f>_xlfn.IFNA(INDEX('HS Codes'!$D$2:$K4219,MATCH($B1665,'HS Codes'!$A$2:$A4219,0),MATCH(K$1,'HS Codes'!$D$1:$K$1,0)),"")</f>
        <v>6505.00.90</v>
      </c>
      <c r="L1665" s="8">
        <f>_xlfn.IFNA(INDEX('HS Codes'!$D$2:$K4219,MATCH($B1665,'HS Codes'!$A$2:$A4219,0),MATCH(L$1,'HS Codes'!$D$1:$K$1,0)),"")</f>
        <v>6507</v>
      </c>
      <c r="M1665" s="8" t="str">
        <f>_xlfn.IFNA(INDEX('HS Codes'!$C$2:$C4219,MATCH($B1665,'HS Codes'!$A$2:$A4219,0)),"")</f>
        <v>Head Towel 100% recycled 340 GSM/83% polyester/17% polyamide (no cotton)</v>
      </c>
      <c r="N1665" s="9"/>
      <c r="O1665" s="9"/>
      <c r="P1665" s="9"/>
      <c r="Q1665" s="9"/>
    </row>
    <row r="1666" spans="1:17" ht="15.75" customHeight="1">
      <c r="A1666" s="7" t="s">
        <v>1959</v>
      </c>
      <c r="B1666" s="7" t="s">
        <v>126</v>
      </c>
      <c r="C1666" s="7" t="s">
        <v>278</v>
      </c>
      <c r="D1666" s="7" t="s">
        <v>127</v>
      </c>
      <c r="E1666" s="7" t="s">
        <v>360</v>
      </c>
      <c r="F1666" s="8" t="str">
        <f>_xlfn.IFNA(INDEX('HS Codes'!$D$2:$K4220,MATCH($B1666,'HS Codes'!$A$2:$A4220,0),MATCH(F$1,'HS Codes'!$D$1:$K$1,0)),"")</f>
        <v>6504.00.90.15</v>
      </c>
      <c r="G1666" s="8">
        <f>_xlfn.IFNA(INDEX('HS Codes'!$D$2:$K4220,MATCH($B1666,'HS Codes'!$A$2:$A4220,0),MATCH(G$1,'HS Codes'!$D$1:$K$1,0)),"")</f>
        <v>6505009090</v>
      </c>
      <c r="H1666" s="8" t="str">
        <f>_xlfn.IFNA(INDEX('HS Codes'!$D$2:$K4220,MATCH($B1666,'HS Codes'!$A$2:$A4220,0),MATCH(H$1,'HS Codes'!$D$1:$K$1,0)),"")</f>
        <v>6505.00.40.00</v>
      </c>
      <c r="I1666" s="8" t="str">
        <f>_xlfn.IFNA(INDEX('HS Codes'!$D$2:$K4220,MATCH($B1666,'HS Codes'!$A$2:$A4220,0),MATCH(I$1,'HS Codes'!$D$1:$K$1,0)),"")</f>
        <v>6505.00.90.90</v>
      </c>
      <c r="J1666" s="8">
        <f>_xlfn.IFNA(INDEX('HS Codes'!$D$2:$K4220,MATCH($B1666,'HS Codes'!$A$2:$A4220,0),MATCH(J$1,'HS Codes'!$D$1:$K$1,0)),"")</f>
        <v>0</v>
      </c>
      <c r="K1666" s="8" t="str">
        <f>_xlfn.IFNA(INDEX('HS Codes'!$D$2:$K4220,MATCH($B1666,'HS Codes'!$A$2:$A4220,0),MATCH(K$1,'HS Codes'!$D$1:$K$1,0)),"")</f>
        <v>6505.00.90</v>
      </c>
      <c r="L1666" s="8">
        <f>_xlfn.IFNA(INDEX('HS Codes'!$D$2:$K4220,MATCH($B1666,'HS Codes'!$A$2:$A4220,0),MATCH(L$1,'HS Codes'!$D$1:$K$1,0)),"")</f>
        <v>6507</v>
      </c>
      <c r="M1666" s="8" t="str">
        <f>_xlfn.IFNA(INDEX('HS Codes'!$C$2:$C4220,MATCH($B1666,'HS Codes'!$A$2:$A4220,0)),"")</f>
        <v>Head Towel 100% recycled 340 GSM/83% polyester/17% polyamide (no cotton)</v>
      </c>
      <c r="N1666" s="9"/>
      <c r="O1666" s="9"/>
      <c r="P1666" s="9"/>
      <c r="Q1666" s="9"/>
    </row>
    <row r="1667" spans="1:17" ht="15.75" customHeight="1">
      <c r="A1667" s="7" t="s">
        <v>1960</v>
      </c>
      <c r="B1667" s="7" t="s">
        <v>126</v>
      </c>
      <c r="C1667" s="7" t="s">
        <v>278</v>
      </c>
      <c r="D1667" s="7" t="s">
        <v>127</v>
      </c>
      <c r="E1667" s="7" t="s">
        <v>360</v>
      </c>
      <c r="F1667" s="8" t="str">
        <f>_xlfn.IFNA(INDEX('HS Codes'!$D$2:$K4221,MATCH($B1667,'HS Codes'!$A$2:$A4221,0),MATCH(F$1,'HS Codes'!$D$1:$K$1,0)),"")</f>
        <v>6504.00.90.15</v>
      </c>
      <c r="G1667" s="8">
        <f>_xlfn.IFNA(INDEX('HS Codes'!$D$2:$K4221,MATCH($B1667,'HS Codes'!$A$2:$A4221,0),MATCH(G$1,'HS Codes'!$D$1:$K$1,0)),"")</f>
        <v>6505009090</v>
      </c>
      <c r="H1667" s="8" t="str">
        <f>_xlfn.IFNA(INDEX('HS Codes'!$D$2:$K4221,MATCH($B1667,'HS Codes'!$A$2:$A4221,0),MATCH(H$1,'HS Codes'!$D$1:$K$1,0)),"")</f>
        <v>6505.00.40.00</v>
      </c>
      <c r="I1667" s="8" t="str">
        <f>_xlfn.IFNA(INDEX('HS Codes'!$D$2:$K4221,MATCH($B1667,'HS Codes'!$A$2:$A4221,0),MATCH(I$1,'HS Codes'!$D$1:$K$1,0)),"")</f>
        <v>6505.00.90.90</v>
      </c>
      <c r="J1667" s="8">
        <f>_xlfn.IFNA(INDEX('HS Codes'!$D$2:$K4221,MATCH($B1667,'HS Codes'!$A$2:$A4221,0),MATCH(J$1,'HS Codes'!$D$1:$K$1,0)),"")</f>
        <v>0</v>
      </c>
      <c r="K1667" s="8" t="str">
        <f>_xlfn.IFNA(INDEX('HS Codes'!$D$2:$K4221,MATCH($B1667,'HS Codes'!$A$2:$A4221,0),MATCH(K$1,'HS Codes'!$D$1:$K$1,0)),"")</f>
        <v>6505.00.90</v>
      </c>
      <c r="L1667" s="8">
        <f>_xlfn.IFNA(INDEX('HS Codes'!$D$2:$K4221,MATCH($B1667,'HS Codes'!$A$2:$A4221,0),MATCH(L$1,'HS Codes'!$D$1:$K$1,0)),"")</f>
        <v>6507</v>
      </c>
      <c r="M1667" s="8" t="str">
        <f>_xlfn.IFNA(INDEX('HS Codes'!$C$2:$C4221,MATCH($B1667,'HS Codes'!$A$2:$A4221,0)),"")</f>
        <v>Head Towel 100% recycled 340 GSM/83% polyester/17% polyamide (no cotton)</v>
      </c>
      <c r="N1667" s="9"/>
      <c r="O1667" s="9"/>
      <c r="P1667" s="9"/>
      <c r="Q1667" s="9"/>
    </row>
    <row r="1668" spans="1:17" ht="15.75" customHeight="1">
      <c r="A1668" s="7" t="s">
        <v>1961</v>
      </c>
      <c r="B1668" s="7" t="s">
        <v>126</v>
      </c>
      <c r="C1668" s="7" t="s">
        <v>278</v>
      </c>
      <c r="D1668" s="7" t="s">
        <v>127</v>
      </c>
      <c r="E1668" s="7" t="s">
        <v>360</v>
      </c>
      <c r="F1668" s="8" t="str">
        <f>_xlfn.IFNA(INDEX('HS Codes'!$D$2:$K4222,MATCH($B1668,'HS Codes'!$A$2:$A4222,0),MATCH(F$1,'HS Codes'!$D$1:$K$1,0)),"")</f>
        <v>6504.00.90.15</v>
      </c>
      <c r="G1668" s="8">
        <f>_xlfn.IFNA(INDEX('HS Codes'!$D$2:$K4222,MATCH($B1668,'HS Codes'!$A$2:$A4222,0),MATCH(G$1,'HS Codes'!$D$1:$K$1,0)),"")</f>
        <v>6505009090</v>
      </c>
      <c r="H1668" s="8" t="str">
        <f>_xlfn.IFNA(INDEX('HS Codes'!$D$2:$K4222,MATCH($B1668,'HS Codes'!$A$2:$A4222,0),MATCH(H$1,'HS Codes'!$D$1:$K$1,0)),"")</f>
        <v>6505.00.40.00</v>
      </c>
      <c r="I1668" s="8" t="str">
        <f>_xlfn.IFNA(INDEX('HS Codes'!$D$2:$K4222,MATCH($B1668,'HS Codes'!$A$2:$A4222,0),MATCH(I$1,'HS Codes'!$D$1:$K$1,0)),"")</f>
        <v>6505.00.90.90</v>
      </c>
      <c r="J1668" s="8">
        <f>_xlfn.IFNA(INDEX('HS Codes'!$D$2:$K4222,MATCH($B1668,'HS Codes'!$A$2:$A4222,0),MATCH(J$1,'HS Codes'!$D$1:$K$1,0)),"")</f>
        <v>0</v>
      </c>
      <c r="K1668" s="8" t="str">
        <f>_xlfn.IFNA(INDEX('HS Codes'!$D$2:$K4222,MATCH($B1668,'HS Codes'!$A$2:$A4222,0),MATCH(K$1,'HS Codes'!$D$1:$K$1,0)),"")</f>
        <v>6505.00.90</v>
      </c>
      <c r="L1668" s="8">
        <f>_xlfn.IFNA(INDEX('HS Codes'!$D$2:$K4222,MATCH($B1668,'HS Codes'!$A$2:$A4222,0),MATCH(L$1,'HS Codes'!$D$1:$K$1,0)),"")</f>
        <v>6507</v>
      </c>
      <c r="M1668" s="8" t="str">
        <f>_xlfn.IFNA(INDEX('HS Codes'!$C$2:$C4222,MATCH($B1668,'HS Codes'!$A$2:$A4222,0)),"")</f>
        <v>Head Towel 100% recycled 340 GSM/83% polyester/17% polyamide (no cotton)</v>
      </c>
      <c r="N1668" s="9"/>
      <c r="O1668" s="9"/>
      <c r="P1668" s="9"/>
      <c r="Q1668" s="9"/>
    </row>
    <row r="1669" spans="1:17" ht="15.75" customHeight="1">
      <c r="A1669" s="7" t="s">
        <v>1962</v>
      </c>
      <c r="B1669" s="7" t="s">
        <v>126</v>
      </c>
      <c r="C1669" s="7" t="s">
        <v>278</v>
      </c>
      <c r="D1669" s="7" t="s">
        <v>127</v>
      </c>
      <c r="E1669" s="7" t="s">
        <v>360</v>
      </c>
      <c r="F1669" s="8" t="str">
        <f>_xlfn.IFNA(INDEX('HS Codes'!$D$2:$K4223,MATCH($B1669,'HS Codes'!$A$2:$A4223,0),MATCH(F$1,'HS Codes'!$D$1:$K$1,0)),"")</f>
        <v>6504.00.90.15</v>
      </c>
      <c r="G1669" s="8">
        <f>_xlfn.IFNA(INDEX('HS Codes'!$D$2:$K4223,MATCH($B1669,'HS Codes'!$A$2:$A4223,0),MATCH(G$1,'HS Codes'!$D$1:$K$1,0)),"")</f>
        <v>6505009090</v>
      </c>
      <c r="H1669" s="8" t="str">
        <f>_xlfn.IFNA(INDEX('HS Codes'!$D$2:$K4223,MATCH($B1669,'HS Codes'!$A$2:$A4223,0),MATCH(H$1,'HS Codes'!$D$1:$K$1,0)),"")</f>
        <v>6505.00.40.00</v>
      </c>
      <c r="I1669" s="8" t="str">
        <f>_xlfn.IFNA(INDEX('HS Codes'!$D$2:$K4223,MATCH($B1669,'HS Codes'!$A$2:$A4223,0),MATCH(I$1,'HS Codes'!$D$1:$K$1,0)),"")</f>
        <v>6505.00.90.90</v>
      </c>
      <c r="J1669" s="8">
        <f>_xlfn.IFNA(INDEX('HS Codes'!$D$2:$K4223,MATCH($B1669,'HS Codes'!$A$2:$A4223,0),MATCH(J$1,'HS Codes'!$D$1:$K$1,0)),"")</f>
        <v>0</v>
      </c>
      <c r="K1669" s="8" t="str">
        <f>_xlfn.IFNA(INDEX('HS Codes'!$D$2:$K4223,MATCH($B1669,'HS Codes'!$A$2:$A4223,0),MATCH(K$1,'HS Codes'!$D$1:$K$1,0)),"")</f>
        <v>6505.00.90</v>
      </c>
      <c r="L1669" s="8">
        <f>_xlfn.IFNA(INDEX('HS Codes'!$D$2:$K4223,MATCH($B1669,'HS Codes'!$A$2:$A4223,0),MATCH(L$1,'HS Codes'!$D$1:$K$1,0)),"")</f>
        <v>6507</v>
      </c>
      <c r="M1669" s="8" t="str">
        <f>_xlfn.IFNA(INDEX('HS Codes'!$C$2:$C4223,MATCH($B1669,'HS Codes'!$A$2:$A4223,0)),"")</f>
        <v>Head Towel 100% recycled 340 GSM/83% polyester/17% polyamide (no cotton)</v>
      </c>
      <c r="N1669" s="9"/>
      <c r="O1669" s="9"/>
      <c r="P1669" s="9"/>
      <c r="Q1669" s="9"/>
    </row>
    <row r="1670" spans="1:17" ht="15.75" customHeight="1">
      <c r="A1670" s="7" t="s">
        <v>1963</v>
      </c>
      <c r="B1670" s="7" t="s">
        <v>126</v>
      </c>
      <c r="C1670" s="7" t="s">
        <v>278</v>
      </c>
      <c r="D1670" s="7" t="s">
        <v>127</v>
      </c>
      <c r="E1670" s="7" t="s">
        <v>360</v>
      </c>
      <c r="F1670" s="8" t="str">
        <f>_xlfn.IFNA(INDEX('HS Codes'!$D$2:$K4224,MATCH($B1670,'HS Codes'!$A$2:$A4224,0),MATCH(F$1,'HS Codes'!$D$1:$K$1,0)),"")</f>
        <v>6504.00.90.15</v>
      </c>
      <c r="G1670" s="8">
        <f>_xlfn.IFNA(INDEX('HS Codes'!$D$2:$K4224,MATCH($B1670,'HS Codes'!$A$2:$A4224,0),MATCH(G$1,'HS Codes'!$D$1:$K$1,0)),"")</f>
        <v>6505009090</v>
      </c>
      <c r="H1670" s="8" t="str">
        <f>_xlfn.IFNA(INDEX('HS Codes'!$D$2:$K4224,MATCH($B1670,'HS Codes'!$A$2:$A4224,0),MATCH(H$1,'HS Codes'!$D$1:$K$1,0)),"")</f>
        <v>6505.00.40.00</v>
      </c>
      <c r="I1670" s="8" t="str">
        <f>_xlfn.IFNA(INDEX('HS Codes'!$D$2:$K4224,MATCH($B1670,'HS Codes'!$A$2:$A4224,0),MATCH(I$1,'HS Codes'!$D$1:$K$1,0)),"")</f>
        <v>6505.00.90.90</v>
      </c>
      <c r="J1670" s="8">
        <f>_xlfn.IFNA(INDEX('HS Codes'!$D$2:$K4224,MATCH($B1670,'HS Codes'!$A$2:$A4224,0),MATCH(J$1,'HS Codes'!$D$1:$K$1,0)),"")</f>
        <v>0</v>
      </c>
      <c r="K1670" s="8" t="str">
        <f>_xlfn.IFNA(INDEX('HS Codes'!$D$2:$K4224,MATCH($B1670,'HS Codes'!$A$2:$A4224,0),MATCH(K$1,'HS Codes'!$D$1:$K$1,0)),"")</f>
        <v>6505.00.90</v>
      </c>
      <c r="L1670" s="8">
        <f>_xlfn.IFNA(INDEX('HS Codes'!$D$2:$K4224,MATCH($B1670,'HS Codes'!$A$2:$A4224,0),MATCH(L$1,'HS Codes'!$D$1:$K$1,0)),"")</f>
        <v>6507</v>
      </c>
      <c r="M1670" s="8" t="str">
        <f>_xlfn.IFNA(INDEX('HS Codes'!$C$2:$C4224,MATCH($B1670,'HS Codes'!$A$2:$A4224,0)),"")</f>
        <v>Head Towel 100% recycled 340 GSM/83% polyester/17% polyamide (no cotton)</v>
      </c>
      <c r="N1670" s="9"/>
      <c r="O1670" s="9"/>
      <c r="P1670" s="9"/>
      <c r="Q1670" s="9"/>
    </row>
    <row r="1671" spans="1:17" ht="15.75" customHeight="1">
      <c r="A1671" s="7" t="s">
        <v>1964</v>
      </c>
      <c r="B1671" s="7" t="s">
        <v>126</v>
      </c>
      <c r="C1671" s="7" t="s">
        <v>278</v>
      </c>
      <c r="D1671" s="7" t="s">
        <v>127</v>
      </c>
      <c r="E1671" s="7" t="s">
        <v>360</v>
      </c>
      <c r="F1671" s="8" t="str">
        <f>_xlfn.IFNA(INDEX('HS Codes'!$D$2:$K4225,MATCH($B1671,'HS Codes'!$A$2:$A4225,0),MATCH(F$1,'HS Codes'!$D$1:$K$1,0)),"")</f>
        <v>6504.00.90.15</v>
      </c>
      <c r="G1671" s="8">
        <f>_xlfn.IFNA(INDEX('HS Codes'!$D$2:$K4225,MATCH($B1671,'HS Codes'!$A$2:$A4225,0),MATCH(G$1,'HS Codes'!$D$1:$K$1,0)),"")</f>
        <v>6505009090</v>
      </c>
      <c r="H1671" s="8" t="str">
        <f>_xlfn.IFNA(INDEX('HS Codes'!$D$2:$K4225,MATCH($B1671,'HS Codes'!$A$2:$A4225,0),MATCH(H$1,'HS Codes'!$D$1:$K$1,0)),"")</f>
        <v>6505.00.40.00</v>
      </c>
      <c r="I1671" s="8" t="str">
        <f>_xlfn.IFNA(INDEX('HS Codes'!$D$2:$K4225,MATCH($B1671,'HS Codes'!$A$2:$A4225,0),MATCH(I$1,'HS Codes'!$D$1:$K$1,0)),"")</f>
        <v>6505.00.90.90</v>
      </c>
      <c r="J1671" s="8">
        <f>_xlfn.IFNA(INDEX('HS Codes'!$D$2:$K4225,MATCH($B1671,'HS Codes'!$A$2:$A4225,0),MATCH(J$1,'HS Codes'!$D$1:$K$1,0)),"")</f>
        <v>0</v>
      </c>
      <c r="K1671" s="8" t="str">
        <f>_xlfn.IFNA(INDEX('HS Codes'!$D$2:$K4225,MATCH($B1671,'HS Codes'!$A$2:$A4225,0),MATCH(K$1,'HS Codes'!$D$1:$K$1,0)),"")</f>
        <v>6505.00.90</v>
      </c>
      <c r="L1671" s="8">
        <f>_xlfn.IFNA(INDEX('HS Codes'!$D$2:$K4225,MATCH($B1671,'HS Codes'!$A$2:$A4225,0),MATCH(L$1,'HS Codes'!$D$1:$K$1,0)),"")</f>
        <v>6507</v>
      </c>
      <c r="M1671" s="8" t="str">
        <f>_xlfn.IFNA(INDEX('HS Codes'!$C$2:$C4225,MATCH($B1671,'HS Codes'!$A$2:$A4225,0)),"")</f>
        <v>Head Towel 100% recycled 340 GSM/83% polyester/17% polyamide (no cotton)</v>
      </c>
      <c r="N1671" s="9"/>
      <c r="O1671" s="9"/>
      <c r="P1671" s="9"/>
      <c r="Q1671" s="9"/>
    </row>
    <row r="1672" spans="1:17" ht="15.75" customHeight="1">
      <c r="A1672" s="7" t="s">
        <v>1965</v>
      </c>
      <c r="B1672" s="7" t="s">
        <v>126</v>
      </c>
      <c r="C1672" s="7" t="s">
        <v>278</v>
      </c>
      <c r="D1672" s="7" t="s">
        <v>127</v>
      </c>
      <c r="E1672" s="7" t="s">
        <v>360</v>
      </c>
      <c r="F1672" s="8" t="str">
        <f>_xlfn.IFNA(INDEX('HS Codes'!$D$2:$K4226,MATCH($B1672,'HS Codes'!$A$2:$A4226,0),MATCH(F$1,'HS Codes'!$D$1:$K$1,0)),"")</f>
        <v>6504.00.90.15</v>
      </c>
      <c r="G1672" s="8">
        <f>_xlfn.IFNA(INDEX('HS Codes'!$D$2:$K4226,MATCH($B1672,'HS Codes'!$A$2:$A4226,0),MATCH(G$1,'HS Codes'!$D$1:$K$1,0)),"")</f>
        <v>6505009090</v>
      </c>
      <c r="H1672" s="8" t="str">
        <f>_xlfn.IFNA(INDEX('HS Codes'!$D$2:$K4226,MATCH($B1672,'HS Codes'!$A$2:$A4226,0),MATCH(H$1,'HS Codes'!$D$1:$K$1,0)),"")</f>
        <v>6505.00.40.00</v>
      </c>
      <c r="I1672" s="8" t="str">
        <f>_xlfn.IFNA(INDEX('HS Codes'!$D$2:$K4226,MATCH($B1672,'HS Codes'!$A$2:$A4226,0),MATCH(I$1,'HS Codes'!$D$1:$K$1,0)),"")</f>
        <v>6505.00.90.90</v>
      </c>
      <c r="J1672" s="8">
        <f>_xlfn.IFNA(INDEX('HS Codes'!$D$2:$K4226,MATCH($B1672,'HS Codes'!$A$2:$A4226,0),MATCH(J$1,'HS Codes'!$D$1:$K$1,0)),"")</f>
        <v>0</v>
      </c>
      <c r="K1672" s="8" t="str">
        <f>_xlfn.IFNA(INDEX('HS Codes'!$D$2:$K4226,MATCH($B1672,'HS Codes'!$A$2:$A4226,0),MATCH(K$1,'HS Codes'!$D$1:$K$1,0)),"")</f>
        <v>6505.00.90</v>
      </c>
      <c r="L1672" s="8">
        <f>_xlfn.IFNA(INDEX('HS Codes'!$D$2:$K4226,MATCH($B1672,'HS Codes'!$A$2:$A4226,0),MATCH(L$1,'HS Codes'!$D$1:$K$1,0)),"")</f>
        <v>6507</v>
      </c>
      <c r="M1672" s="8" t="str">
        <f>_xlfn.IFNA(INDEX('HS Codes'!$C$2:$C4226,MATCH($B1672,'HS Codes'!$A$2:$A4226,0)),"")</f>
        <v>Head Towel 100% recycled 340 GSM/83% polyester/17% polyamide (no cotton)</v>
      </c>
      <c r="N1672" s="9"/>
      <c r="O1672" s="9"/>
      <c r="P1672" s="9"/>
      <c r="Q1672" s="9"/>
    </row>
    <row r="1673" spans="1:17" ht="15.75" customHeight="1">
      <c r="A1673" s="7" t="s">
        <v>1966</v>
      </c>
      <c r="B1673" s="7" t="s">
        <v>126</v>
      </c>
      <c r="C1673" s="7" t="s">
        <v>278</v>
      </c>
      <c r="D1673" s="7" t="s">
        <v>127</v>
      </c>
      <c r="E1673" s="7" t="s">
        <v>360</v>
      </c>
      <c r="F1673" s="8" t="str">
        <f>_xlfn.IFNA(INDEX('HS Codes'!$D$2:$K4227,MATCH($B1673,'HS Codes'!$A$2:$A4227,0),MATCH(F$1,'HS Codes'!$D$1:$K$1,0)),"")</f>
        <v>6504.00.90.15</v>
      </c>
      <c r="G1673" s="8">
        <f>_xlfn.IFNA(INDEX('HS Codes'!$D$2:$K4227,MATCH($B1673,'HS Codes'!$A$2:$A4227,0),MATCH(G$1,'HS Codes'!$D$1:$K$1,0)),"")</f>
        <v>6505009090</v>
      </c>
      <c r="H1673" s="8" t="str">
        <f>_xlfn.IFNA(INDEX('HS Codes'!$D$2:$K4227,MATCH($B1673,'HS Codes'!$A$2:$A4227,0),MATCH(H$1,'HS Codes'!$D$1:$K$1,0)),"")</f>
        <v>6505.00.40.00</v>
      </c>
      <c r="I1673" s="8" t="str">
        <f>_xlfn.IFNA(INDEX('HS Codes'!$D$2:$K4227,MATCH($B1673,'HS Codes'!$A$2:$A4227,0),MATCH(I$1,'HS Codes'!$D$1:$K$1,0)),"")</f>
        <v>6505.00.90.90</v>
      </c>
      <c r="J1673" s="8">
        <f>_xlfn.IFNA(INDEX('HS Codes'!$D$2:$K4227,MATCH($B1673,'HS Codes'!$A$2:$A4227,0),MATCH(J$1,'HS Codes'!$D$1:$K$1,0)),"")</f>
        <v>0</v>
      </c>
      <c r="K1673" s="8" t="str">
        <f>_xlfn.IFNA(INDEX('HS Codes'!$D$2:$K4227,MATCH($B1673,'HS Codes'!$A$2:$A4227,0),MATCH(K$1,'HS Codes'!$D$1:$K$1,0)),"")</f>
        <v>6505.00.90</v>
      </c>
      <c r="L1673" s="8">
        <f>_xlfn.IFNA(INDEX('HS Codes'!$D$2:$K4227,MATCH($B1673,'HS Codes'!$A$2:$A4227,0),MATCH(L$1,'HS Codes'!$D$1:$K$1,0)),"")</f>
        <v>6507</v>
      </c>
      <c r="M1673" s="8" t="str">
        <f>_xlfn.IFNA(INDEX('HS Codes'!$C$2:$C4227,MATCH($B1673,'HS Codes'!$A$2:$A4227,0)),"")</f>
        <v>Head Towel 100% recycled 340 GSM/83% polyester/17% polyamide (no cotton)</v>
      </c>
      <c r="N1673" s="9"/>
      <c r="O1673" s="9"/>
      <c r="P1673" s="9"/>
      <c r="Q1673" s="9"/>
    </row>
    <row r="1674" spans="1:17" ht="15.75" customHeight="1">
      <c r="A1674" s="7" t="s">
        <v>1967</v>
      </c>
      <c r="B1674" s="7" t="s">
        <v>126</v>
      </c>
      <c r="C1674" s="7" t="s">
        <v>278</v>
      </c>
      <c r="D1674" s="7" t="s">
        <v>127</v>
      </c>
      <c r="E1674" s="7" t="s">
        <v>360</v>
      </c>
      <c r="F1674" s="8" t="str">
        <f>_xlfn.IFNA(INDEX('HS Codes'!$D$2:$K4228,MATCH($B1674,'HS Codes'!$A$2:$A4228,0),MATCH(F$1,'HS Codes'!$D$1:$K$1,0)),"")</f>
        <v>6504.00.90.15</v>
      </c>
      <c r="G1674" s="8">
        <f>_xlfn.IFNA(INDEX('HS Codes'!$D$2:$K4228,MATCH($B1674,'HS Codes'!$A$2:$A4228,0),MATCH(G$1,'HS Codes'!$D$1:$K$1,0)),"")</f>
        <v>6505009090</v>
      </c>
      <c r="H1674" s="8" t="str">
        <f>_xlfn.IFNA(INDEX('HS Codes'!$D$2:$K4228,MATCH($B1674,'HS Codes'!$A$2:$A4228,0),MATCH(H$1,'HS Codes'!$D$1:$K$1,0)),"")</f>
        <v>6505.00.40.00</v>
      </c>
      <c r="I1674" s="8" t="str">
        <f>_xlfn.IFNA(INDEX('HS Codes'!$D$2:$K4228,MATCH($B1674,'HS Codes'!$A$2:$A4228,0),MATCH(I$1,'HS Codes'!$D$1:$K$1,0)),"")</f>
        <v>6505.00.90.90</v>
      </c>
      <c r="J1674" s="8">
        <f>_xlfn.IFNA(INDEX('HS Codes'!$D$2:$K4228,MATCH($B1674,'HS Codes'!$A$2:$A4228,0),MATCH(J$1,'HS Codes'!$D$1:$K$1,0)),"")</f>
        <v>0</v>
      </c>
      <c r="K1674" s="8" t="str">
        <f>_xlfn.IFNA(INDEX('HS Codes'!$D$2:$K4228,MATCH($B1674,'HS Codes'!$A$2:$A4228,0),MATCH(K$1,'HS Codes'!$D$1:$K$1,0)),"")</f>
        <v>6505.00.90</v>
      </c>
      <c r="L1674" s="8">
        <f>_xlfn.IFNA(INDEX('HS Codes'!$D$2:$K4228,MATCH($B1674,'HS Codes'!$A$2:$A4228,0),MATCH(L$1,'HS Codes'!$D$1:$K$1,0)),"")</f>
        <v>6507</v>
      </c>
      <c r="M1674" s="8" t="str">
        <f>_xlfn.IFNA(INDEX('HS Codes'!$C$2:$C4228,MATCH($B1674,'HS Codes'!$A$2:$A4228,0)),"")</f>
        <v>Head Towel 100% recycled 340 GSM/83% polyester/17% polyamide (no cotton)</v>
      </c>
      <c r="N1674" s="9"/>
      <c r="O1674" s="9"/>
      <c r="P1674" s="9"/>
      <c r="Q1674" s="9"/>
    </row>
    <row r="1675" spans="1:17" ht="15.75" customHeight="1">
      <c r="A1675" s="7" t="s">
        <v>1968</v>
      </c>
      <c r="B1675" s="7" t="s">
        <v>126</v>
      </c>
      <c r="C1675" s="7" t="s">
        <v>278</v>
      </c>
      <c r="D1675" s="7" t="s">
        <v>127</v>
      </c>
      <c r="E1675" s="7" t="s">
        <v>360</v>
      </c>
      <c r="F1675" s="8" t="str">
        <f>_xlfn.IFNA(INDEX('HS Codes'!$D$2:$K4229,MATCH($B1675,'HS Codes'!$A$2:$A4229,0),MATCH(F$1,'HS Codes'!$D$1:$K$1,0)),"")</f>
        <v>6504.00.90.15</v>
      </c>
      <c r="G1675" s="8">
        <f>_xlfn.IFNA(INDEX('HS Codes'!$D$2:$K4229,MATCH($B1675,'HS Codes'!$A$2:$A4229,0),MATCH(G$1,'HS Codes'!$D$1:$K$1,0)),"")</f>
        <v>6505009090</v>
      </c>
      <c r="H1675" s="8" t="str">
        <f>_xlfn.IFNA(INDEX('HS Codes'!$D$2:$K4229,MATCH($B1675,'HS Codes'!$A$2:$A4229,0),MATCH(H$1,'HS Codes'!$D$1:$K$1,0)),"")</f>
        <v>6505.00.40.00</v>
      </c>
      <c r="I1675" s="8" t="str">
        <f>_xlfn.IFNA(INDEX('HS Codes'!$D$2:$K4229,MATCH($B1675,'HS Codes'!$A$2:$A4229,0),MATCH(I$1,'HS Codes'!$D$1:$K$1,0)),"")</f>
        <v>6505.00.90.90</v>
      </c>
      <c r="J1675" s="8">
        <f>_xlfn.IFNA(INDEX('HS Codes'!$D$2:$K4229,MATCH($B1675,'HS Codes'!$A$2:$A4229,0),MATCH(J$1,'HS Codes'!$D$1:$K$1,0)),"")</f>
        <v>0</v>
      </c>
      <c r="K1675" s="8" t="str">
        <f>_xlfn.IFNA(INDEX('HS Codes'!$D$2:$K4229,MATCH($B1675,'HS Codes'!$A$2:$A4229,0),MATCH(K$1,'HS Codes'!$D$1:$K$1,0)),"")</f>
        <v>6505.00.90</v>
      </c>
      <c r="L1675" s="8">
        <f>_xlfn.IFNA(INDEX('HS Codes'!$D$2:$K4229,MATCH($B1675,'HS Codes'!$A$2:$A4229,0),MATCH(L$1,'HS Codes'!$D$1:$K$1,0)),"")</f>
        <v>6507</v>
      </c>
      <c r="M1675" s="8" t="str">
        <f>_xlfn.IFNA(INDEX('HS Codes'!$C$2:$C4229,MATCH($B1675,'HS Codes'!$A$2:$A4229,0)),"")</f>
        <v>Head Towel 100% recycled 340 GSM/83% polyester/17% polyamide (no cotton)</v>
      </c>
      <c r="N1675" s="9"/>
      <c r="O1675" s="9"/>
      <c r="P1675" s="9"/>
      <c r="Q1675" s="9"/>
    </row>
    <row r="1676" spans="1:17" ht="15.75" customHeight="1">
      <c r="A1676" s="7" t="s">
        <v>1969</v>
      </c>
      <c r="B1676" s="7" t="s">
        <v>126</v>
      </c>
      <c r="C1676" s="7" t="s">
        <v>278</v>
      </c>
      <c r="D1676" s="7" t="s">
        <v>127</v>
      </c>
      <c r="E1676" s="7" t="s">
        <v>360</v>
      </c>
      <c r="F1676" s="8" t="str">
        <f>_xlfn.IFNA(INDEX('HS Codes'!$D$2:$K4230,MATCH($B1676,'HS Codes'!$A$2:$A4230,0),MATCH(F$1,'HS Codes'!$D$1:$K$1,0)),"")</f>
        <v>6504.00.90.15</v>
      </c>
      <c r="G1676" s="8">
        <f>_xlfn.IFNA(INDEX('HS Codes'!$D$2:$K4230,MATCH($B1676,'HS Codes'!$A$2:$A4230,0),MATCH(G$1,'HS Codes'!$D$1:$K$1,0)),"")</f>
        <v>6505009090</v>
      </c>
      <c r="H1676" s="8" t="str">
        <f>_xlfn.IFNA(INDEX('HS Codes'!$D$2:$K4230,MATCH($B1676,'HS Codes'!$A$2:$A4230,0),MATCH(H$1,'HS Codes'!$D$1:$K$1,0)),"")</f>
        <v>6505.00.40.00</v>
      </c>
      <c r="I1676" s="8" t="str">
        <f>_xlfn.IFNA(INDEX('HS Codes'!$D$2:$K4230,MATCH($B1676,'HS Codes'!$A$2:$A4230,0),MATCH(I$1,'HS Codes'!$D$1:$K$1,0)),"")</f>
        <v>6505.00.90.90</v>
      </c>
      <c r="J1676" s="8">
        <f>_xlfn.IFNA(INDEX('HS Codes'!$D$2:$K4230,MATCH($B1676,'HS Codes'!$A$2:$A4230,0),MATCH(J$1,'HS Codes'!$D$1:$K$1,0)),"")</f>
        <v>0</v>
      </c>
      <c r="K1676" s="8" t="str">
        <f>_xlfn.IFNA(INDEX('HS Codes'!$D$2:$K4230,MATCH($B1676,'HS Codes'!$A$2:$A4230,0),MATCH(K$1,'HS Codes'!$D$1:$K$1,0)),"")</f>
        <v>6505.00.90</v>
      </c>
      <c r="L1676" s="8">
        <f>_xlfn.IFNA(INDEX('HS Codes'!$D$2:$K4230,MATCH($B1676,'HS Codes'!$A$2:$A4230,0),MATCH(L$1,'HS Codes'!$D$1:$K$1,0)),"")</f>
        <v>6507</v>
      </c>
      <c r="M1676" s="8" t="str">
        <f>_xlfn.IFNA(INDEX('HS Codes'!$C$2:$C4230,MATCH($B1676,'HS Codes'!$A$2:$A4230,0)),"")</f>
        <v>Head Towel 100% recycled 340 GSM/83% polyester/17% polyamide (no cotton)</v>
      </c>
      <c r="N1676" s="9"/>
      <c r="O1676" s="9"/>
      <c r="P1676" s="9"/>
      <c r="Q1676" s="9"/>
    </row>
    <row r="1677" spans="1:17" ht="15.75" customHeight="1">
      <c r="A1677" s="7" t="s">
        <v>1970</v>
      </c>
      <c r="B1677" s="7" t="s">
        <v>126</v>
      </c>
      <c r="C1677" s="7" t="s">
        <v>278</v>
      </c>
      <c r="D1677" s="7" t="s">
        <v>127</v>
      </c>
      <c r="E1677" s="7" t="s">
        <v>360</v>
      </c>
      <c r="F1677" s="8" t="str">
        <f>_xlfn.IFNA(INDEX('HS Codes'!$D$2:$K4231,MATCH($B1677,'HS Codes'!$A$2:$A4231,0),MATCH(F$1,'HS Codes'!$D$1:$K$1,0)),"")</f>
        <v>6504.00.90.15</v>
      </c>
      <c r="G1677" s="8">
        <f>_xlfn.IFNA(INDEX('HS Codes'!$D$2:$K4231,MATCH($B1677,'HS Codes'!$A$2:$A4231,0),MATCH(G$1,'HS Codes'!$D$1:$K$1,0)),"")</f>
        <v>6505009090</v>
      </c>
      <c r="H1677" s="8" t="str">
        <f>_xlfn.IFNA(INDEX('HS Codes'!$D$2:$K4231,MATCH($B1677,'HS Codes'!$A$2:$A4231,0),MATCH(H$1,'HS Codes'!$D$1:$K$1,0)),"")</f>
        <v>6505.00.40.00</v>
      </c>
      <c r="I1677" s="8" t="str">
        <f>_xlfn.IFNA(INDEX('HS Codes'!$D$2:$K4231,MATCH($B1677,'HS Codes'!$A$2:$A4231,0),MATCH(I$1,'HS Codes'!$D$1:$K$1,0)),"")</f>
        <v>6505.00.90.90</v>
      </c>
      <c r="J1677" s="8">
        <f>_xlfn.IFNA(INDEX('HS Codes'!$D$2:$K4231,MATCH($B1677,'HS Codes'!$A$2:$A4231,0),MATCH(J$1,'HS Codes'!$D$1:$K$1,0)),"")</f>
        <v>0</v>
      </c>
      <c r="K1677" s="8" t="str">
        <f>_xlfn.IFNA(INDEX('HS Codes'!$D$2:$K4231,MATCH($B1677,'HS Codes'!$A$2:$A4231,0),MATCH(K$1,'HS Codes'!$D$1:$K$1,0)),"")</f>
        <v>6505.00.90</v>
      </c>
      <c r="L1677" s="8">
        <f>_xlfn.IFNA(INDEX('HS Codes'!$D$2:$K4231,MATCH($B1677,'HS Codes'!$A$2:$A4231,0),MATCH(L$1,'HS Codes'!$D$1:$K$1,0)),"")</f>
        <v>6507</v>
      </c>
      <c r="M1677" s="8" t="str">
        <f>_xlfn.IFNA(INDEX('HS Codes'!$C$2:$C4231,MATCH($B1677,'HS Codes'!$A$2:$A4231,0)),"")</f>
        <v>Head Towel 100% recycled 340 GSM/83% polyester/17% polyamide (no cotton)</v>
      </c>
      <c r="N1677" s="9"/>
      <c r="O1677" s="9"/>
      <c r="P1677" s="9"/>
      <c r="Q1677" s="9"/>
    </row>
    <row r="1678" spans="1:17" ht="15.75" customHeight="1">
      <c r="A1678" s="7" t="s">
        <v>1971</v>
      </c>
      <c r="B1678" s="7" t="s">
        <v>126</v>
      </c>
      <c r="C1678" s="7" t="s">
        <v>278</v>
      </c>
      <c r="D1678" s="7" t="s">
        <v>127</v>
      </c>
      <c r="E1678" s="7" t="s">
        <v>360</v>
      </c>
      <c r="F1678" s="8" t="str">
        <f>_xlfn.IFNA(INDEX('HS Codes'!$D$2:$K4232,MATCH($B1678,'HS Codes'!$A$2:$A4232,0),MATCH(F$1,'HS Codes'!$D$1:$K$1,0)),"")</f>
        <v>6504.00.90.15</v>
      </c>
      <c r="G1678" s="8">
        <f>_xlfn.IFNA(INDEX('HS Codes'!$D$2:$K4232,MATCH($B1678,'HS Codes'!$A$2:$A4232,0),MATCH(G$1,'HS Codes'!$D$1:$K$1,0)),"")</f>
        <v>6505009090</v>
      </c>
      <c r="H1678" s="8" t="str">
        <f>_xlfn.IFNA(INDEX('HS Codes'!$D$2:$K4232,MATCH($B1678,'HS Codes'!$A$2:$A4232,0),MATCH(H$1,'HS Codes'!$D$1:$K$1,0)),"")</f>
        <v>6505.00.40.00</v>
      </c>
      <c r="I1678" s="8" t="str">
        <f>_xlfn.IFNA(INDEX('HS Codes'!$D$2:$K4232,MATCH($B1678,'HS Codes'!$A$2:$A4232,0),MATCH(I$1,'HS Codes'!$D$1:$K$1,0)),"")</f>
        <v>6505.00.90.90</v>
      </c>
      <c r="J1678" s="8">
        <f>_xlfn.IFNA(INDEX('HS Codes'!$D$2:$K4232,MATCH($B1678,'HS Codes'!$A$2:$A4232,0),MATCH(J$1,'HS Codes'!$D$1:$K$1,0)),"")</f>
        <v>0</v>
      </c>
      <c r="K1678" s="8" t="str">
        <f>_xlfn.IFNA(INDEX('HS Codes'!$D$2:$K4232,MATCH($B1678,'HS Codes'!$A$2:$A4232,0),MATCH(K$1,'HS Codes'!$D$1:$K$1,0)),"")</f>
        <v>6505.00.90</v>
      </c>
      <c r="L1678" s="8">
        <f>_xlfn.IFNA(INDEX('HS Codes'!$D$2:$K4232,MATCH($B1678,'HS Codes'!$A$2:$A4232,0),MATCH(L$1,'HS Codes'!$D$1:$K$1,0)),"")</f>
        <v>6507</v>
      </c>
      <c r="M1678" s="8" t="str">
        <f>_xlfn.IFNA(INDEX('HS Codes'!$C$2:$C4232,MATCH($B1678,'HS Codes'!$A$2:$A4232,0)),"")</f>
        <v>Head Towel 100% recycled 340 GSM/83% polyester/17% polyamide (no cotton)</v>
      </c>
      <c r="N1678" s="9"/>
      <c r="O1678" s="9"/>
      <c r="P1678" s="9"/>
      <c r="Q1678" s="9"/>
    </row>
    <row r="1679" spans="1:17" ht="15.75" customHeight="1">
      <c r="A1679" s="7" t="s">
        <v>1972</v>
      </c>
      <c r="B1679" s="7" t="s">
        <v>126</v>
      </c>
      <c r="C1679" s="7" t="s">
        <v>278</v>
      </c>
      <c r="D1679" s="7" t="s">
        <v>127</v>
      </c>
      <c r="E1679" s="7" t="s">
        <v>360</v>
      </c>
      <c r="F1679" s="8" t="str">
        <f>_xlfn.IFNA(INDEX('HS Codes'!$D$2:$K4233,MATCH($B1679,'HS Codes'!$A$2:$A4233,0),MATCH(F$1,'HS Codes'!$D$1:$K$1,0)),"")</f>
        <v>6504.00.90.15</v>
      </c>
      <c r="G1679" s="8">
        <f>_xlfn.IFNA(INDEX('HS Codes'!$D$2:$K4233,MATCH($B1679,'HS Codes'!$A$2:$A4233,0),MATCH(G$1,'HS Codes'!$D$1:$K$1,0)),"")</f>
        <v>6505009090</v>
      </c>
      <c r="H1679" s="8" t="str">
        <f>_xlfn.IFNA(INDEX('HS Codes'!$D$2:$K4233,MATCH($B1679,'HS Codes'!$A$2:$A4233,0),MATCH(H$1,'HS Codes'!$D$1:$K$1,0)),"")</f>
        <v>6505.00.40.00</v>
      </c>
      <c r="I1679" s="8" t="str">
        <f>_xlfn.IFNA(INDEX('HS Codes'!$D$2:$K4233,MATCH($B1679,'HS Codes'!$A$2:$A4233,0),MATCH(I$1,'HS Codes'!$D$1:$K$1,0)),"")</f>
        <v>6505.00.90.90</v>
      </c>
      <c r="J1679" s="8">
        <f>_xlfn.IFNA(INDEX('HS Codes'!$D$2:$K4233,MATCH($B1679,'HS Codes'!$A$2:$A4233,0),MATCH(J$1,'HS Codes'!$D$1:$K$1,0)),"")</f>
        <v>0</v>
      </c>
      <c r="K1679" s="8" t="str">
        <f>_xlfn.IFNA(INDEX('HS Codes'!$D$2:$K4233,MATCH($B1679,'HS Codes'!$A$2:$A4233,0),MATCH(K$1,'HS Codes'!$D$1:$K$1,0)),"")</f>
        <v>6505.00.90</v>
      </c>
      <c r="L1679" s="8">
        <f>_xlfn.IFNA(INDEX('HS Codes'!$D$2:$K4233,MATCH($B1679,'HS Codes'!$A$2:$A4233,0),MATCH(L$1,'HS Codes'!$D$1:$K$1,0)),"")</f>
        <v>6507</v>
      </c>
      <c r="M1679" s="8" t="str">
        <f>_xlfn.IFNA(INDEX('HS Codes'!$C$2:$C4233,MATCH($B1679,'HS Codes'!$A$2:$A4233,0)),"")</f>
        <v>Head Towel 100% recycled 340 GSM/83% polyester/17% polyamide (no cotton)</v>
      </c>
      <c r="N1679" s="9"/>
      <c r="O1679" s="9"/>
      <c r="P1679" s="9"/>
      <c r="Q1679" s="9"/>
    </row>
    <row r="1680" spans="1:17" ht="15.75" customHeight="1">
      <c r="A1680" s="7" t="s">
        <v>1973</v>
      </c>
      <c r="B1680" s="7" t="s">
        <v>126</v>
      </c>
      <c r="C1680" s="7" t="s">
        <v>278</v>
      </c>
      <c r="D1680" s="7" t="s">
        <v>127</v>
      </c>
      <c r="E1680" s="7" t="s">
        <v>360</v>
      </c>
      <c r="F1680" s="8" t="str">
        <f>_xlfn.IFNA(INDEX('HS Codes'!$D$2:$K4234,MATCH($B1680,'HS Codes'!$A$2:$A4234,0),MATCH(F$1,'HS Codes'!$D$1:$K$1,0)),"")</f>
        <v>6504.00.90.15</v>
      </c>
      <c r="G1680" s="8">
        <f>_xlfn.IFNA(INDEX('HS Codes'!$D$2:$K4234,MATCH($B1680,'HS Codes'!$A$2:$A4234,0),MATCH(G$1,'HS Codes'!$D$1:$K$1,0)),"")</f>
        <v>6505009090</v>
      </c>
      <c r="H1680" s="8" t="str">
        <f>_xlfn.IFNA(INDEX('HS Codes'!$D$2:$K4234,MATCH($B1680,'HS Codes'!$A$2:$A4234,0),MATCH(H$1,'HS Codes'!$D$1:$K$1,0)),"")</f>
        <v>6505.00.40.00</v>
      </c>
      <c r="I1680" s="8" t="str">
        <f>_xlfn.IFNA(INDEX('HS Codes'!$D$2:$K4234,MATCH($B1680,'HS Codes'!$A$2:$A4234,0),MATCH(I$1,'HS Codes'!$D$1:$K$1,0)),"")</f>
        <v>6505.00.90.90</v>
      </c>
      <c r="J1680" s="8">
        <f>_xlfn.IFNA(INDEX('HS Codes'!$D$2:$K4234,MATCH($B1680,'HS Codes'!$A$2:$A4234,0),MATCH(J$1,'HS Codes'!$D$1:$K$1,0)),"")</f>
        <v>0</v>
      </c>
      <c r="K1680" s="8" t="str">
        <f>_xlfn.IFNA(INDEX('HS Codes'!$D$2:$K4234,MATCH($B1680,'HS Codes'!$A$2:$A4234,0),MATCH(K$1,'HS Codes'!$D$1:$K$1,0)),"")</f>
        <v>6505.00.90</v>
      </c>
      <c r="L1680" s="8">
        <f>_xlfn.IFNA(INDEX('HS Codes'!$D$2:$K4234,MATCH($B1680,'HS Codes'!$A$2:$A4234,0),MATCH(L$1,'HS Codes'!$D$1:$K$1,0)),"")</f>
        <v>6507</v>
      </c>
      <c r="M1680" s="8" t="str">
        <f>_xlfn.IFNA(INDEX('HS Codes'!$C$2:$C4234,MATCH($B1680,'HS Codes'!$A$2:$A4234,0)),"")</f>
        <v>Head Towel 100% recycled 340 GSM/83% polyester/17% polyamide (no cotton)</v>
      </c>
      <c r="N1680" s="9"/>
      <c r="O1680" s="9"/>
      <c r="P1680" s="9"/>
      <c r="Q1680" s="9"/>
    </row>
    <row r="1681" spans="1:17" ht="15.75" customHeight="1">
      <c r="A1681" s="7" t="s">
        <v>1974</v>
      </c>
      <c r="B1681" s="7" t="s">
        <v>126</v>
      </c>
      <c r="C1681" s="7" t="s">
        <v>278</v>
      </c>
      <c r="D1681" s="7" t="s">
        <v>127</v>
      </c>
      <c r="E1681" s="7" t="s">
        <v>360</v>
      </c>
      <c r="F1681" s="8" t="str">
        <f>_xlfn.IFNA(INDEX('HS Codes'!$D$2:$K4235,MATCH($B1681,'HS Codes'!$A$2:$A4235,0),MATCH(F$1,'HS Codes'!$D$1:$K$1,0)),"")</f>
        <v>6504.00.90.15</v>
      </c>
      <c r="G1681" s="8">
        <f>_xlfn.IFNA(INDEX('HS Codes'!$D$2:$K4235,MATCH($B1681,'HS Codes'!$A$2:$A4235,0),MATCH(G$1,'HS Codes'!$D$1:$K$1,0)),"")</f>
        <v>6505009090</v>
      </c>
      <c r="H1681" s="8" t="str">
        <f>_xlfn.IFNA(INDEX('HS Codes'!$D$2:$K4235,MATCH($B1681,'HS Codes'!$A$2:$A4235,0),MATCH(H$1,'HS Codes'!$D$1:$K$1,0)),"")</f>
        <v>6505.00.40.00</v>
      </c>
      <c r="I1681" s="8" t="str">
        <f>_xlfn.IFNA(INDEX('HS Codes'!$D$2:$K4235,MATCH($B1681,'HS Codes'!$A$2:$A4235,0),MATCH(I$1,'HS Codes'!$D$1:$K$1,0)),"")</f>
        <v>6505.00.90.90</v>
      </c>
      <c r="J1681" s="8">
        <f>_xlfn.IFNA(INDEX('HS Codes'!$D$2:$K4235,MATCH($B1681,'HS Codes'!$A$2:$A4235,0),MATCH(J$1,'HS Codes'!$D$1:$K$1,0)),"")</f>
        <v>0</v>
      </c>
      <c r="K1681" s="8" t="str">
        <f>_xlfn.IFNA(INDEX('HS Codes'!$D$2:$K4235,MATCH($B1681,'HS Codes'!$A$2:$A4235,0),MATCH(K$1,'HS Codes'!$D$1:$K$1,0)),"")</f>
        <v>6505.00.90</v>
      </c>
      <c r="L1681" s="8">
        <f>_xlfn.IFNA(INDEX('HS Codes'!$D$2:$K4235,MATCH($B1681,'HS Codes'!$A$2:$A4235,0),MATCH(L$1,'HS Codes'!$D$1:$K$1,0)),"")</f>
        <v>6507</v>
      </c>
      <c r="M1681" s="8" t="str">
        <f>_xlfn.IFNA(INDEX('HS Codes'!$C$2:$C4235,MATCH($B1681,'HS Codes'!$A$2:$A4235,0)),"")</f>
        <v>Head Towel 100% recycled 340 GSM/83% polyester/17% polyamide (no cotton)</v>
      </c>
      <c r="N1681" s="9"/>
      <c r="O1681" s="9"/>
      <c r="P1681" s="9"/>
      <c r="Q1681" s="9"/>
    </row>
    <row r="1682" spans="1:17" ht="15.75" customHeight="1">
      <c r="A1682" s="7" t="s">
        <v>1975</v>
      </c>
      <c r="B1682" s="7" t="s">
        <v>126</v>
      </c>
      <c r="C1682" s="7" t="s">
        <v>278</v>
      </c>
      <c r="D1682" s="7" t="s">
        <v>127</v>
      </c>
      <c r="E1682" s="7" t="s">
        <v>360</v>
      </c>
      <c r="F1682" s="8" t="str">
        <f>_xlfn.IFNA(INDEX('HS Codes'!$D$2:$K4236,MATCH($B1682,'HS Codes'!$A$2:$A4236,0),MATCH(F$1,'HS Codes'!$D$1:$K$1,0)),"")</f>
        <v>6504.00.90.15</v>
      </c>
      <c r="G1682" s="8">
        <f>_xlfn.IFNA(INDEX('HS Codes'!$D$2:$K4236,MATCH($B1682,'HS Codes'!$A$2:$A4236,0),MATCH(G$1,'HS Codes'!$D$1:$K$1,0)),"")</f>
        <v>6505009090</v>
      </c>
      <c r="H1682" s="8" t="str">
        <f>_xlfn.IFNA(INDEX('HS Codes'!$D$2:$K4236,MATCH($B1682,'HS Codes'!$A$2:$A4236,0),MATCH(H$1,'HS Codes'!$D$1:$K$1,0)),"")</f>
        <v>6505.00.40.00</v>
      </c>
      <c r="I1682" s="8" t="str">
        <f>_xlfn.IFNA(INDEX('HS Codes'!$D$2:$K4236,MATCH($B1682,'HS Codes'!$A$2:$A4236,0),MATCH(I$1,'HS Codes'!$D$1:$K$1,0)),"")</f>
        <v>6505.00.90.90</v>
      </c>
      <c r="J1682" s="8">
        <f>_xlfn.IFNA(INDEX('HS Codes'!$D$2:$K4236,MATCH($B1682,'HS Codes'!$A$2:$A4236,0),MATCH(J$1,'HS Codes'!$D$1:$K$1,0)),"")</f>
        <v>0</v>
      </c>
      <c r="K1682" s="8" t="str">
        <f>_xlfn.IFNA(INDEX('HS Codes'!$D$2:$K4236,MATCH($B1682,'HS Codes'!$A$2:$A4236,0),MATCH(K$1,'HS Codes'!$D$1:$K$1,0)),"")</f>
        <v>6505.00.90</v>
      </c>
      <c r="L1682" s="8">
        <f>_xlfn.IFNA(INDEX('HS Codes'!$D$2:$K4236,MATCH($B1682,'HS Codes'!$A$2:$A4236,0),MATCH(L$1,'HS Codes'!$D$1:$K$1,0)),"")</f>
        <v>6507</v>
      </c>
      <c r="M1682" s="8" t="str">
        <f>_xlfn.IFNA(INDEX('HS Codes'!$C$2:$C4236,MATCH($B1682,'HS Codes'!$A$2:$A4236,0)),"")</f>
        <v>Head Towel 100% recycled 340 GSM/83% polyester/17% polyamide (no cotton)</v>
      </c>
      <c r="N1682" s="9"/>
      <c r="O1682" s="9"/>
      <c r="P1682" s="9"/>
      <c r="Q1682" s="9"/>
    </row>
    <row r="1683" spans="1:17" ht="15.75" customHeight="1">
      <c r="A1683" s="7" t="s">
        <v>1976</v>
      </c>
      <c r="B1683" s="7" t="s">
        <v>126</v>
      </c>
      <c r="C1683" s="7" t="s">
        <v>278</v>
      </c>
      <c r="D1683" s="7" t="s">
        <v>127</v>
      </c>
      <c r="E1683" s="7" t="s">
        <v>360</v>
      </c>
      <c r="F1683" s="8" t="str">
        <f>_xlfn.IFNA(INDEX('HS Codes'!$D$2:$K4237,MATCH($B1683,'HS Codes'!$A$2:$A4237,0),MATCH(F$1,'HS Codes'!$D$1:$K$1,0)),"")</f>
        <v>6504.00.90.15</v>
      </c>
      <c r="G1683" s="8">
        <f>_xlfn.IFNA(INDEX('HS Codes'!$D$2:$K4237,MATCH($B1683,'HS Codes'!$A$2:$A4237,0),MATCH(G$1,'HS Codes'!$D$1:$K$1,0)),"")</f>
        <v>6505009090</v>
      </c>
      <c r="H1683" s="8" t="str">
        <f>_xlfn.IFNA(INDEX('HS Codes'!$D$2:$K4237,MATCH($B1683,'HS Codes'!$A$2:$A4237,0),MATCH(H$1,'HS Codes'!$D$1:$K$1,0)),"")</f>
        <v>6505.00.40.00</v>
      </c>
      <c r="I1683" s="8" t="str">
        <f>_xlfn.IFNA(INDEX('HS Codes'!$D$2:$K4237,MATCH($B1683,'HS Codes'!$A$2:$A4237,0),MATCH(I$1,'HS Codes'!$D$1:$K$1,0)),"")</f>
        <v>6505.00.90.90</v>
      </c>
      <c r="J1683" s="8">
        <f>_xlfn.IFNA(INDEX('HS Codes'!$D$2:$K4237,MATCH($B1683,'HS Codes'!$A$2:$A4237,0),MATCH(J$1,'HS Codes'!$D$1:$K$1,0)),"")</f>
        <v>0</v>
      </c>
      <c r="K1683" s="8" t="str">
        <f>_xlfn.IFNA(INDEX('HS Codes'!$D$2:$K4237,MATCH($B1683,'HS Codes'!$A$2:$A4237,0),MATCH(K$1,'HS Codes'!$D$1:$K$1,0)),"")</f>
        <v>6505.00.90</v>
      </c>
      <c r="L1683" s="8">
        <f>_xlfn.IFNA(INDEX('HS Codes'!$D$2:$K4237,MATCH($B1683,'HS Codes'!$A$2:$A4237,0),MATCH(L$1,'HS Codes'!$D$1:$K$1,0)),"")</f>
        <v>6507</v>
      </c>
      <c r="M1683" s="8" t="str">
        <f>_xlfn.IFNA(INDEX('HS Codes'!$C$2:$C4237,MATCH($B1683,'HS Codes'!$A$2:$A4237,0)),"")</f>
        <v>Head Towel 100% recycled 340 GSM/83% polyester/17% polyamide (no cotton)</v>
      </c>
      <c r="N1683" s="9"/>
      <c r="O1683" s="9"/>
      <c r="P1683" s="9"/>
      <c r="Q1683" s="9"/>
    </row>
    <row r="1684" spans="1:17" ht="15.75" customHeight="1">
      <c r="A1684" s="7" t="s">
        <v>1977</v>
      </c>
      <c r="B1684" s="7" t="s">
        <v>126</v>
      </c>
      <c r="C1684" s="7" t="s">
        <v>278</v>
      </c>
      <c r="D1684" s="7" t="s">
        <v>127</v>
      </c>
      <c r="E1684" s="7" t="s">
        <v>360</v>
      </c>
      <c r="F1684" s="8" t="str">
        <f>_xlfn.IFNA(INDEX('HS Codes'!$D$2:$K4238,MATCH($B1684,'HS Codes'!$A$2:$A4238,0),MATCH(F$1,'HS Codes'!$D$1:$K$1,0)),"")</f>
        <v>6504.00.90.15</v>
      </c>
      <c r="G1684" s="8">
        <f>_xlfn.IFNA(INDEX('HS Codes'!$D$2:$K4238,MATCH($B1684,'HS Codes'!$A$2:$A4238,0),MATCH(G$1,'HS Codes'!$D$1:$K$1,0)),"")</f>
        <v>6505009090</v>
      </c>
      <c r="H1684" s="8" t="str">
        <f>_xlfn.IFNA(INDEX('HS Codes'!$D$2:$K4238,MATCH($B1684,'HS Codes'!$A$2:$A4238,0),MATCH(H$1,'HS Codes'!$D$1:$K$1,0)),"")</f>
        <v>6505.00.40.00</v>
      </c>
      <c r="I1684" s="8" t="str">
        <f>_xlfn.IFNA(INDEX('HS Codes'!$D$2:$K4238,MATCH($B1684,'HS Codes'!$A$2:$A4238,0),MATCH(I$1,'HS Codes'!$D$1:$K$1,0)),"")</f>
        <v>6505.00.90.90</v>
      </c>
      <c r="J1684" s="8">
        <f>_xlfn.IFNA(INDEX('HS Codes'!$D$2:$K4238,MATCH($B1684,'HS Codes'!$A$2:$A4238,0),MATCH(J$1,'HS Codes'!$D$1:$K$1,0)),"")</f>
        <v>0</v>
      </c>
      <c r="K1684" s="8" t="str">
        <f>_xlfn.IFNA(INDEX('HS Codes'!$D$2:$K4238,MATCH($B1684,'HS Codes'!$A$2:$A4238,0),MATCH(K$1,'HS Codes'!$D$1:$K$1,0)),"")</f>
        <v>6505.00.90</v>
      </c>
      <c r="L1684" s="8">
        <f>_xlfn.IFNA(INDEX('HS Codes'!$D$2:$K4238,MATCH($B1684,'HS Codes'!$A$2:$A4238,0),MATCH(L$1,'HS Codes'!$D$1:$K$1,0)),"")</f>
        <v>6507</v>
      </c>
      <c r="M1684" s="8" t="str">
        <f>_xlfn.IFNA(INDEX('HS Codes'!$C$2:$C4238,MATCH($B1684,'HS Codes'!$A$2:$A4238,0)),"")</f>
        <v>Head Towel 100% recycled 340 GSM/83% polyester/17% polyamide (no cotton)</v>
      </c>
      <c r="N1684" s="9"/>
      <c r="O1684" s="9"/>
      <c r="P1684" s="9"/>
      <c r="Q1684" s="9"/>
    </row>
    <row r="1685" spans="1:17" ht="15.75" customHeight="1">
      <c r="A1685" s="7" t="s">
        <v>1978</v>
      </c>
      <c r="B1685" s="7" t="s">
        <v>126</v>
      </c>
      <c r="C1685" s="7" t="s">
        <v>278</v>
      </c>
      <c r="D1685" s="7" t="s">
        <v>127</v>
      </c>
      <c r="E1685" s="7" t="s">
        <v>360</v>
      </c>
      <c r="F1685" s="8" t="str">
        <f>_xlfn.IFNA(INDEX('HS Codes'!$D$2:$K4239,MATCH($B1685,'HS Codes'!$A$2:$A4239,0),MATCH(F$1,'HS Codes'!$D$1:$K$1,0)),"")</f>
        <v>6504.00.90.15</v>
      </c>
      <c r="G1685" s="8">
        <f>_xlfn.IFNA(INDEX('HS Codes'!$D$2:$K4239,MATCH($B1685,'HS Codes'!$A$2:$A4239,0),MATCH(G$1,'HS Codes'!$D$1:$K$1,0)),"")</f>
        <v>6505009090</v>
      </c>
      <c r="H1685" s="8" t="str">
        <f>_xlfn.IFNA(INDEX('HS Codes'!$D$2:$K4239,MATCH($B1685,'HS Codes'!$A$2:$A4239,0),MATCH(H$1,'HS Codes'!$D$1:$K$1,0)),"")</f>
        <v>6505.00.40.00</v>
      </c>
      <c r="I1685" s="8" t="str">
        <f>_xlfn.IFNA(INDEX('HS Codes'!$D$2:$K4239,MATCH($B1685,'HS Codes'!$A$2:$A4239,0),MATCH(I$1,'HS Codes'!$D$1:$K$1,0)),"")</f>
        <v>6505.00.90.90</v>
      </c>
      <c r="J1685" s="8">
        <f>_xlfn.IFNA(INDEX('HS Codes'!$D$2:$K4239,MATCH($B1685,'HS Codes'!$A$2:$A4239,0),MATCH(J$1,'HS Codes'!$D$1:$K$1,0)),"")</f>
        <v>0</v>
      </c>
      <c r="K1685" s="8" t="str">
        <f>_xlfn.IFNA(INDEX('HS Codes'!$D$2:$K4239,MATCH($B1685,'HS Codes'!$A$2:$A4239,0),MATCH(K$1,'HS Codes'!$D$1:$K$1,0)),"")</f>
        <v>6505.00.90</v>
      </c>
      <c r="L1685" s="8">
        <f>_xlfn.IFNA(INDEX('HS Codes'!$D$2:$K4239,MATCH($B1685,'HS Codes'!$A$2:$A4239,0),MATCH(L$1,'HS Codes'!$D$1:$K$1,0)),"")</f>
        <v>6507</v>
      </c>
      <c r="M1685" s="8" t="str">
        <f>_xlfn.IFNA(INDEX('HS Codes'!$C$2:$C4239,MATCH($B1685,'HS Codes'!$A$2:$A4239,0)),"")</f>
        <v>Head Towel 100% recycled 340 GSM/83% polyester/17% polyamide (no cotton)</v>
      </c>
      <c r="N1685" s="9"/>
      <c r="O1685" s="9"/>
      <c r="P1685" s="9"/>
      <c r="Q1685" s="9"/>
    </row>
    <row r="1686" spans="1:17" ht="15.75" customHeight="1">
      <c r="A1686" s="7" t="s">
        <v>1979</v>
      </c>
      <c r="B1686" s="7" t="s">
        <v>126</v>
      </c>
      <c r="C1686" s="7" t="s">
        <v>278</v>
      </c>
      <c r="D1686" s="7" t="s">
        <v>127</v>
      </c>
      <c r="E1686" s="7" t="s">
        <v>360</v>
      </c>
      <c r="F1686" s="8" t="str">
        <f>_xlfn.IFNA(INDEX('HS Codes'!$D$2:$K4240,MATCH($B1686,'HS Codes'!$A$2:$A4240,0),MATCH(F$1,'HS Codes'!$D$1:$K$1,0)),"")</f>
        <v>6504.00.90.15</v>
      </c>
      <c r="G1686" s="8">
        <f>_xlfn.IFNA(INDEX('HS Codes'!$D$2:$K4240,MATCH($B1686,'HS Codes'!$A$2:$A4240,0),MATCH(G$1,'HS Codes'!$D$1:$K$1,0)),"")</f>
        <v>6505009090</v>
      </c>
      <c r="H1686" s="8" t="str">
        <f>_xlfn.IFNA(INDEX('HS Codes'!$D$2:$K4240,MATCH($B1686,'HS Codes'!$A$2:$A4240,0),MATCH(H$1,'HS Codes'!$D$1:$K$1,0)),"")</f>
        <v>6505.00.40.00</v>
      </c>
      <c r="I1686" s="8" t="str">
        <f>_xlfn.IFNA(INDEX('HS Codes'!$D$2:$K4240,MATCH($B1686,'HS Codes'!$A$2:$A4240,0),MATCH(I$1,'HS Codes'!$D$1:$K$1,0)),"")</f>
        <v>6505.00.90.90</v>
      </c>
      <c r="J1686" s="8">
        <f>_xlfn.IFNA(INDEX('HS Codes'!$D$2:$K4240,MATCH($B1686,'HS Codes'!$A$2:$A4240,0),MATCH(J$1,'HS Codes'!$D$1:$K$1,0)),"")</f>
        <v>0</v>
      </c>
      <c r="K1686" s="8" t="str">
        <f>_xlfn.IFNA(INDEX('HS Codes'!$D$2:$K4240,MATCH($B1686,'HS Codes'!$A$2:$A4240,0),MATCH(K$1,'HS Codes'!$D$1:$K$1,0)),"")</f>
        <v>6505.00.90</v>
      </c>
      <c r="L1686" s="8">
        <f>_xlfn.IFNA(INDEX('HS Codes'!$D$2:$K4240,MATCH($B1686,'HS Codes'!$A$2:$A4240,0),MATCH(L$1,'HS Codes'!$D$1:$K$1,0)),"")</f>
        <v>6507</v>
      </c>
      <c r="M1686" s="8" t="str">
        <f>_xlfn.IFNA(INDEX('HS Codes'!$C$2:$C4240,MATCH($B1686,'HS Codes'!$A$2:$A4240,0)),"")</f>
        <v>Head Towel 100% recycled 340 GSM/83% polyester/17% polyamide (no cotton)</v>
      </c>
      <c r="N1686" s="9"/>
      <c r="O1686" s="9"/>
      <c r="P1686" s="9"/>
      <c r="Q1686" s="9"/>
    </row>
    <row r="1687" spans="1:17" ht="15.75" customHeight="1">
      <c r="A1687" s="7" t="s">
        <v>1980</v>
      </c>
      <c r="B1687" s="7" t="s">
        <v>126</v>
      </c>
      <c r="C1687" s="7" t="s">
        <v>278</v>
      </c>
      <c r="D1687" s="7" t="s">
        <v>127</v>
      </c>
      <c r="E1687" s="7" t="s">
        <v>360</v>
      </c>
      <c r="F1687" s="8" t="str">
        <f>_xlfn.IFNA(INDEX('HS Codes'!$D$2:$K4241,MATCH($B1687,'HS Codes'!$A$2:$A4241,0),MATCH(F$1,'HS Codes'!$D$1:$K$1,0)),"")</f>
        <v>6504.00.90.15</v>
      </c>
      <c r="G1687" s="8">
        <f>_xlfn.IFNA(INDEX('HS Codes'!$D$2:$K4241,MATCH($B1687,'HS Codes'!$A$2:$A4241,0),MATCH(G$1,'HS Codes'!$D$1:$K$1,0)),"")</f>
        <v>6505009090</v>
      </c>
      <c r="H1687" s="8" t="str">
        <f>_xlfn.IFNA(INDEX('HS Codes'!$D$2:$K4241,MATCH($B1687,'HS Codes'!$A$2:$A4241,0),MATCH(H$1,'HS Codes'!$D$1:$K$1,0)),"")</f>
        <v>6505.00.40.00</v>
      </c>
      <c r="I1687" s="8" t="str">
        <f>_xlfn.IFNA(INDEX('HS Codes'!$D$2:$K4241,MATCH($B1687,'HS Codes'!$A$2:$A4241,0),MATCH(I$1,'HS Codes'!$D$1:$K$1,0)),"")</f>
        <v>6505.00.90.90</v>
      </c>
      <c r="J1687" s="8">
        <f>_xlfn.IFNA(INDEX('HS Codes'!$D$2:$K4241,MATCH($B1687,'HS Codes'!$A$2:$A4241,0),MATCH(J$1,'HS Codes'!$D$1:$K$1,0)),"")</f>
        <v>0</v>
      </c>
      <c r="K1687" s="8" t="str">
        <f>_xlfn.IFNA(INDEX('HS Codes'!$D$2:$K4241,MATCH($B1687,'HS Codes'!$A$2:$A4241,0),MATCH(K$1,'HS Codes'!$D$1:$K$1,0)),"")</f>
        <v>6505.00.90</v>
      </c>
      <c r="L1687" s="8">
        <f>_xlfn.IFNA(INDEX('HS Codes'!$D$2:$K4241,MATCH($B1687,'HS Codes'!$A$2:$A4241,0),MATCH(L$1,'HS Codes'!$D$1:$K$1,0)),"")</f>
        <v>6507</v>
      </c>
      <c r="M1687" s="8" t="str">
        <f>_xlfn.IFNA(INDEX('HS Codes'!$C$2:$C4241,MATCH($B1687,'HS Codes'!$A$2:$A4241,0)),"")</f>
        <v>Head Towel 100% recycled 340 GSM/83% polyester/17% polyamide (no cotton)</v>
      </c>
      <c r="N1687" s="9"/>
      <c r="O1687" s="9"/>
      <c r="P1687" s="9"/>
      <c r="Q1687" s="9"/>
    </row>
    <row r="1688" spans="1:17" ht="15.75" customHeight="1">
      <c r="A1688" s="7" t="s">
        <v>1981</v>
      </c>
      <c r="B1688" s="7" t="s">
        <v>126</v>
      </c>
      <c r="C1688" s="7" t="s">
        <v>278</v>
      </c>
      <c r="D1688" s="7" t="s">
        <v>127</v>
      </c>
      <c r="E1688" s="7" t="s">
        <v>360</v>
      </c>
      <c r="F1688" s="8" t="str">
        <f>_xlfn.IFNA(INDEX('HS Codes'!$D$2:$K4242,MATCH($B1688,'HS Codes'!$A$2:$A4242,0),MATCH(F$1,'HS Codes'!$D$1:$K$1,0)),"")</f>
        <v>6504.00.90.15</v>
      </c>
      <c r="G1688" s="8">
        <f>_xlfn.IFNA(INDEX('HS Codes'!$D$2:$K4242,MATCH($B1688,'HS Codes'!$A$2:$A4242,0),MATCH(G$1,'HS Codes'!$D$1:$K$1,0)),"")</f>
        <v>6505009090</v>
      </c>
      <c r="H1688" s="8" t="str">
        <f>_xlfn.IFNA(INDEX('HS Codes'!$D$2:$K4242,MATCH($B1688,'HS Codes'!$A$2:$A4242,0),MATCH(H$1,'HS Codes'!$D$1:$K$1,0)),"")</f>
        <v>6505.00.40.00</v>
      </c>
      <c r="I1688" s="8" t="str">
        <f>_xlfn.IFNA(INDEX('HS Codes'!$D$2:$K4242,MATCH($B1688,'HS Codes'!$A$2:$A4242,0),MATCH(I$1,'HS Codes'!$D$1:$K$1,0)),"")</f>
        <v>6505.00.90.90</v>
      </c>
      <c r="J1688" s="8">
        <f>_xlfn.IFNA(INDEX('HS Codes'!$D$2:$K4242,MATCH($B1688,'HS Codes'!$A$2:$A4242,0),MATCH(J$1,'HS Codes'!$D$1:$K$1,0)),"")</f>
        <v>0</v>
      </c>
      <c r="K1688" s="8" t="str">
        <f>_xlfn.IFNA(INDEX('HS Codes'!$D$2:$K4242,MATCH($B1688,'HS Codes'!$A$2:$A4242,0),MATCH(K$1,'HS Codes'!$D$1:$K$1,0)),"")</f>
        <v>6505.00.90</v>
      </c>
      <c r="L1688" s="8">
        <f>_xlfn.IFNA(INDEX('HS Codes'!$D$2:$K4242,MATCH($B1688,'HS Codes'!$A$2:$A4242,0),MATCH(L$1,'HS Codes'!$D$1:$K$1,0)),"")</f>
        <v>6507</v>
      </c>
      <c r="M1688" s="8" t="str">
        <f>_xlfn.IFNA(INDEX('HS Codes'!$C$2:$C4242,MATCH($B1688,'HS Codes'!$A$2:$A4242,0)),"")</f>
        <v>Head Towel 100% recycled 340 GSM/83% polyester/17% polyamide (no cotton)</v>
      </c>
      <c r="N1688" s="9"/>
      <c r="O1688" s="9"/>
      <c r="P1688" s="9"/>
      <c r="Q1688" s="9"/>
    </row>
    <row r="1689" spans="1:17" ht="15.75" customHeight="1">
      <c r="A1689" s="7" t="s">
        <v>1982</v>
      </c>
      <c r="B1689" s="7" t="s">
        <v>126</v>
      </c>
      <c r="C1689" s="7" t="s">
        <v>278</v>
      </c>
      <c r="D1689" s="7" t="s">
        <v>127</v>
      </c>
      <c r="E1689" s="7" t="s">
        <v>360</v>
      </c>
      <c r="F1689" s="8" t="str">
        <f>_xlfn.IFNA(INDEX('HS Codes'!$D$2:$K4243,MATCH($B1689,'HS Codes'!$A$2:$A4243,0),MATCH(F$1,'HS Codes'!$D$1:$K$1,0)),"")</f>
        <v>6504.00.90.15</v>
      </c>
      <c r="G1689" s="8">
        <f>_xlfn.IFNA(INDEX('HS Codes'!$D$2:$K4243,MATCH($B1689,'HS Codes'!$A$2:$A4243,0),MATCH(G$1,'HS Codes'!$D$1:$K$1,0)),"")</f>
        <v>6505009090</v>
      </c>
      <c r="H1689" s="8" t="str">
        <f>_xlfn.IFNA(INDEX('HS Codes'!$D$2:$K4243,MATCH($B1689,'HS Codes'!$A$2:$A4243,0),MATCH(H$1,'HS Codes'!$D$1:$K$1,0)),"")</f>
        <v>6505.00.40.00</v>
      </c>
      <c r="I1689" s="8" t="str">
        <f>_xlfn.IFNA(INDEX('HS Codes'!$D$2:$K4243,MATCH($B1689,'HS Codes'!$A$2:$A4243,0),MATCH(I$1,'HS Codes'!$D$1:$K$1,0)),"")</f>
        <v>6505.00.90.90</v>
      </c>
      <c r="J1689" s="8">
        <f>_xlfn.IFNA(INDEX('HS Codes'!$D$2:$K4243,MATCH($B1689,'HS Codes'!$A$2:$A4243,0),MATCH(J$1,'HS Codes'!$D$1:$K$1,0)),"")</f>
        <v>0</v>
      </c>
      <c r="K1689" s="8" t="str">
        <f>_xlfn.IFNA(INDEX('HS Codes'!$D$2:$K4243,MATCH($B1689,'HS Codes'!$A$2:$A4243,0),MATCH(K$1,'HS Codes'!$D$1:$K$1,0)),"")</f>
        <v>6505.00.90</v>
      </c>
      <c r="L1689" s="8">
        <f>_xlfn.IFNA(INDEX('HS Codes'!$D$2:$K4243,MATCH($B1689,'HS Codes'!$A$2:$A4243,0),MATCH(L$1,'HS Codes'!$D$1:$K$1,0)),"")</f>
        <v>6507</v>
      </c>
      <c r="M1689" s="8" t="str">
        <f>_xlfn.IFNA(INDEX('HS Codes'!$C$2:$C4243,MATCH($B1689,'HS Codes'!$A$2:$A4243,0)),"")</f>
        <v>Head Towel 100% recycled 340 GSM/83% polyester/17% polyamide (no cotton)</v>
      </c>
      <c r="N1689" s="9"/>
      <c r="O1689" s="9"/>
      <c r="P1689" s="9"/>
      <c r="Q1689" s="9"/>
    </row>
    <row r="1690" spans="1:17" ht="15.75" customHeight="1">
      <c r="A1690" s="7" t="s">
        <v>1983</v>
      </c>
      <c r="B1690" s="7" t="s">
        <v>126</v>
      </c>
      <c r="C1690" s="7" t="s">
        <v>278</v>
      </c>
      <c r="D1690" s="7" t="s">
        <v>127</v>
      </c>
      <c r="E1690" s="7" t="s">
        <v>360</v>
      </c>
      <c r="F1690" s="8" t="str">
        <f>_xlfn.IFNA(INDEX('HS Codes'!$D$2:$K4244,MATCH($B1690,'HS Codes'!$A$2:$A4244,0),MATCH(F$1,'HS Codes'!$D$1:$K$1,0)),"")</f>
        <v>6504.00.90.15</v>
      </c>
      <c r="G1690" s="8">
        <f>_xlfn.IFNA(INDEX('HS Codes'!$D$2:$K4244,MATCH($B1690,'HS Codes'!$A$2:$A4244,0),MATCH(G$1,'HS Codes'!$D$1:$K$1,0)),"")</f>
        <v>6505009090</v>
      </c>
      <c r="H1690" s="8" t="str">
        <f>_xlfn.IFNA(INDEX('HS Codes'!$D$2:$K4244,MATCH($B1690,'HS Codes'!$A$2:$A4244,0),MATCH(H$1,'HS Codes'!$D$1:$K$1,0)),"")</f>
        <v>6505.00.40.00</v>
      </c>
      <c r="I1690" s="8" t="str">
        <f>_xlfn.IFNA(INDEX('HS Codes'!$D$2:$K4244,MATCH($B1690,'HS Codes'!$A$2:$A4244,0),MATCH(I$1,'HS Codes'!$D$1:$K$1,0)),"")</f>
        <v>6505.00.90.90</v>
      </c>
      <c r="J1690" s="8">
        <f>_xlfn.IFNA(INDEX('HS Codes'!$D$2:$K4244,MATCH($B1690,'HS Codes'!$A$2:$A4244,0),MATCH(J$1,'HS Codes'!$D$1:$K$1,0)),"")</f>
        <v>0</v>
      </c>
      <c r="K1690" s="8" t="str">
        <f>_xlfn.IFNA(INDEX('HS Codes'!$D$2:$K4244,MATCH($B1690,'HS Codes'!$A$2:$A4244,0),MATCH(K$1,'HS Codes'!$D$1:$K$1,0)),"")</f>
        <v>6505.00.90</v>
      </c>
      <c r="L1690" s="8">
        <f>_xlfn.IFNA(INDEX('HS Codes'!$D$2:$K4244,MATCH($B1690,'HS Codes'!$A$2:$A4244,0),MATCH(L$1,'HS Codes'!$D$1:$K$1,0)),"")</f>
        <v>6507</v>
      </c>
      <c r="M1690" s="8" t="str">
        <f>_xlfn.IFNA(INDEX('HS Codes'!$C$2:$C4244,MATCH($B1690,'HS Codes'!$A$2:$A4244,0)),"")</f>
        <v>Head Towel 100% recycled 340 GSM/83% polyester/17% polyamide (no cotton)</v>
      </c>
      <c r="N1690" s="9"/>
      <c r="O1690" s="9"/>
      <c r="P1690" s="9"/>
      <c r="Q1690" s="9"/>
    </row>
    <row r="1691" spans="1:17" ht="15.75" customHeight="1">
      <c r="A1691" s="7" t="s">
        <v>1984</v>
      </c>
      <c r="B1691" s="7" t="s">
        <v>126</v>
      </c>
      <c r="C1691" s="7" t="s">
        <v>278</v>
      </c>
      <c r="D1691" s="7" t="s">
        <v>127</v>
      </c>
      <c r="E1691" s="7" t="s">
        <v>360</v>
      </c>
      <c r="F1691" s="8" t="str">
        <f>_xlfn.IFNA(INDEX('HS Codes'!$D$2:$K4245,MATCH($B1691,'HS Codes'!$A$2:$A4245,0),MATCH(F$1,'HS Codes'!$D$1:$K$1,0)),"")</f>
        <v>6504.00.90.15</v>
      </c>
      <c r="G1691" s="8">
        <f>_xlfn.IFNA(INDEX('HS Codes'!$D$2:$K4245,MATCH($B1691,'HS Codes'!$A$2:$A4245,0),MATCH(G$1,'HS Codes'!$D$1:$K$1,0)),"")</f>
        <v>6505009090</v>
      </c>
      <c r="H1691" s="8" t="str">
        <f>_xlfn.IFNA(INDEX('HS Codes'!$D$2:$K4245,MATCH($B1691,'HS Codes'!$A$2:$A4245,0),MATCH(H$1,'HS Codes'!$D$1:$K$1,0)),"")</f>
        <v>6505.00.40.00</v>
      </c>
      <c r="I1691" s="8" t="str">
        <f>_xlfn.IFNA(INDEX('HS Codes'!$D$2:$K4245,MATCH($B1691,'HS Codes'!$A$2:$A4245,0),MATCH(I$1,'HS Codes'!$D$1:$K$1,0)),"")</f>
        <v>6505.00.90.90</v>
      </c>
      <c r="J1691" s="8">
        <f>_xlfn.IFNA(INDEX('HS Codes'!$D$2:$K4245,MATCH($B1691,'HS Codes'!$A$2:$A4245,0),MATCH(J$1,'HS Codes'!$D$1:$K$1,0)),"")</f>
        <v>0</v>
      </c>
      <c r="K1691" s="8" t="str">
        <f>_xlfn.IFNA(INDEX('HS Codes'!$D$2:$K4245,MATCH($B1691,'HS Codes'!$A$2:$A4245,0),MATCH(K$1,'HS Codes'!$D$1:$K$1,0)),"")</f>
        <v>6505.00.90</v>
      </c>
      <c r="L1691" s="8">
        <f>_xlfn.IFNA(INDEX('HS Codes'!$D$2:$K4245,MATCH($B1691,'HS Codes'!$A$2:$A4245,0),MATCH(L$1,'HS Codes'!$D$1:$K$1,0)),"")</f>
        <v>6507</v>
      </c>
      <c r="M1691" s="8" t="str">
        <f>_xlfn.IFNA(INDEX('HS Codes'!$C$2:$C4245,MATCH($B1691,'HS Codes'!$A$2:$A4245,0)),"")</f>
        <v>Head Towel 100% recycled 340 GSM/83% polyester/17% polyamide (no cotton)</v>
      </c>
      <c r="N1691" s="9"/>
      <c r="O1691" s="9"/>
      <c r="P1691" s="9"/>
      <c r="Q1691" s="9"/>
    </row>
    <row r="1692" spans="1:17" ht="15.75" customHeight="1">
      <c r="A1692" s="7" t="s">
        <v>1985</v>
      </c>
      <c r="B1692" s="7" t="s">
        <v>126</v>
      </c>
      <c r="C1692" s="7" t="s">
        <v>278</v>
      </c>
      <c r="D1692" s="7" t="s">
        <v>127</v>
      </c>
      <c r="E1692" s="7" t="s">
        <v>360</v>
      </c>
      <c r="F1692" s="8" t="str">
        <f>_xlfn.IFNA(INDEX('HS Codes'!$D$2:$K4246,MATCH($B1692,'HS Codes'!$A$2:$A4246,0),MATCH(F$1,'HS Codes'!$D$1:$K$1,0)),"")</f>
        <v>6504.00.90.15</v>
      </c>
      <c r="G1692" s="8">
        <f>_xlfn.IFNA(INDEX('HS Codes'!$D$2:$K4246,MATCH($B1692,'HS Codes'!$A$2:$A4246,0),MATCH(G$1,'HS Codes'!$D$1:$K$1,0)),"")</f>
        <v>6505009090</v>
      </c>
      <c r="H1692" s="8" t="str">
        <f>_xlfn.IFNA(INDEX('HS Codes'!$D$2:$K4246,MATCH($B1692,'HS Codes'!$A$2:$A4246,0),MATCH(H$1,'HS Codes'!$D$1:$K$1,0)),"")</f>
        <v>6505.00.40.00</v>
      </c>
      <c r="I1692" s="8" t="str">
        <f>_xlfn.IFNA(INDEX('HS Codes'!$D$2:$K4246,MATCH($B1692,'HS Codes'!$A$2:$A4246,0),MATCH(I$1,'HS Codes'!$D$1:$K$1,0)),"")</f>
        <v>6505.00.90.90</v>
      </c>
      <c r="J1692" s="8">
        <f>_xlfn.IFNA(INDEX('HS Codes'!$D$2:$K4246,MATCH($B1692,'HS Codes'!$A$2:$A4246,0),MATCH(J$1,'HS Codes'!$D$1:$K$1,0)),"")</f>
        <v>0</v>
      </c>
      <c r="K1692" s="8" t="str">
        <f>_xlfn.IFNA(INDEX('HS Codes'!$D$2:$K4246,MATCH($B1692,'HS Codes'!$A$2:$A4246,0),MATCH(K$1,'HS Codes'!$D$1:$K$1,0)),"")</f>
        <v>6505.00.90</v>
      </c>
      <c r="L1692" s="8">
        <f>_xlfn.IFNA(INDEX('HS Codes'!$D$2:$K4246,MATCH($B1692,'HS Codes'!$A$2:$A4246,0),MATCH(L$1,'HS Codes'!$D$1:$K$1,0)),"")</f>
        <v>6507</v>
      </c>
      <c r="M1692" s="8" t="str">
        <f>_xlfn.IFNA(INDEX('HS Codes'!$C$2:$C4246,MATCH($B1692,'HS Codes'!$A$2:$A4246,0)),"")</f>
        <v>Head Towel 100% recycled 340 GSM/83% polyester/17% polyamide (no cotton)</v>
      </c>
      <c r="N1692" s="9"/>
      <c r="O1692" s="9"/>
      <c r="P1692" s="9"/>
      <c r="Q1692" s="9"/>
    </row>
    <row r="1693" spans="1:17" ht="15.75" customHeight="1">
      <c r="A1693" s="7" t="s">
        <v>1986</v>
      </c>
      <c r="B1693" s="7" t="s">
        <v>126</v>
      </c>
      <c r="C1693" s="7" t="s">
        <v>278</v>
      </c>
      <c r="D1693" s="7" t="s">
        <v>127</v>
      </c>
      <c r="E1693" s="7" t="s">
        <v>360</v>
      </c>
      <c r="F1693" s="8" t="str">
        <f>_xlfn.IFNA(INDEX('HS Codes'!$D$2:$K4247,MATCH($B1693,'HS Codes'!$A$2:$A4247,0),MATCH(F$1,'HS Codes'!$D$1:$K$1,0)),"")</f>
        <v>6504.00.90.15</v>
      </c>
      <c r="G1693" s="8">
        <f>_xlfn.IFNA(INDEX('HS Codes'!$D$2:$K4247,MATCH($B1693,'HS Codes'!$A$2:$A4247,0),MATCH(G$1,'HS Codes'!$D$1:$K$1,0)),"")</f>
        <v>6505009090</v>
      </c>
      <c r="H1693" s="8" t="str">
        <f>_xlfn.IFNA(INDEX('HS Codes'!$D$2:$K4247,MATCH($B1693,'HS Codes'!$A$2:$A4247,0),MATCH(H$1,'HS Codes'!$D$1:$K$1,0)),"")</f>
        <v>6505.00.40.00</v>
      </c>
      <c r="I1693" s="8" t="str">
        <f>_xlfn.IFNA(INDEX('HS Codes'!$D$2:$K4247,MATCH($B1693,'HS Codes'!$A$2:$A4247,0),MATCH(I$1,'HS Codes'!$D$1:$K$1,0)),"")</f>
        <v>6505.00.90.90</v>
      </c>
      <c r="J1693" s="8">
        <f>_xlfn.IFNA(INDEX('HS Codes'!$D$2:$K4247,MATCH($B1693,'HS Codes'!$A$2:$A4247,0),MATCH(J$1,'HS Codes'!$D$1:$K$1,0)),"")</f>
        <v>0</v>
      </c>
      <c r="K1693" s="8" t="str">
        <f>_xlfn.IFNA(INDEX('HS Codes'!$D$2:$K4247,MATCH($B1693,'HS Codes'!$A$2:$A4247,0),MATCH(K$1,'HS Codes'!$D$1:$K$1,0)),"")</f>
        <v>6505.00.90</v>
      </c>
      <c r="L1693" s="8">
        <f>_xlfn.IFNA(INDEX('HS Codes'!$D$2:$K4247,MATCH($B1693,'HS Codes'!$A$2:$A4247,0),MATCH(L$1,'HS Codes'!$D$1:$K$1,0)),"")</f>
        <v>6507</v>
      </c>
      <c r="M1693" s="8" t="str">
        <f>_xlfn.IFNA(INDEX('HS Codes'!$C$2:$C4247,MATCH($B1693,'HS Codes'!$A$2:$A4247,0)),"")</f>
        <v>Head Towel 100% recycled 340 GSM/83% polyester/17% polyamide (no cotton)</v>
      </c>
      <c r="N1693" s="9"/>
      <c r="O1693" s="9"/>
      <c r="P1693" s="9"/>
      <c r="Q1693" s="9"/>
    </row>
    <row r="1694" spans="1:17" ht="15.75" customHeight="1">
      <c r="A1694" s="7" t="s">
        <v>1987</v>
      </c>
      <c r="B1694" s="7" t="s">
        <v>126</v>
      </c>
      <c r="C1694" s="7" t="s">
        <v>278</v>
      </c>
      <c r="D1694" s="7" t="s">
        <v>127</v>
      </c>
      <c r="E1694" s="7" t="s">
        <v>360</v>
      </c>
      <c r="F1694" s="8" t="str">
        <f>_xlfn.IFNA(INDEX('HS Codes'!$D$2:$K4248,MATCH($B1694,'HS Codes'!$A$2:$A4248,0),MATCH(F$1,'HS Codes'!$D$1:$K$1,0)),"")</f>
        <v>6504.00.90.15</v>
      </c>
      <c r="G1694" s="8">
        <f>_xlfn.IFNA(INDEX('HS Codes'!$D$2:$K4248,MATCH($B1694,'HS Codes'!$A$2:$A4248,0),MATCH(G$1,'HS Codes'!$D$1:$K$1,0)),"")</f>
        <v>6505009090</v>
      </c>
      <c r="H1694" s="8" t="str">
        <f>_xlfn.IFNA(INDEX('HS Codes'!$D$2:$K4248,MATCH($B1694,'HS Codes'!$A$2:$A4248,0),MATCH(H$1,'HS Codes'!$D$1:$K$1,0)),"")</f>
        <v>6505.00.40.00</v>
      </c>
      <c r="I1694" s="8" t="str">
        <f>_xlfn.IFNA(INDEX('HS Codes'!$D$2:$K4248,MATCH($B1694,'HS Codes'!$A$2:$A4248,0),MATCH(I$1,'HS Codes'!$D$1:$K$1,0)),"")</f>
        <v>6505.00.90.90</v>
      </c>
      <c r="J1694" s="8">
        <f>_xlfn.IFNA(INDEX('HS Codes'!$D$2:$K4248,MATCH($B1694,'HS Codes'!$A$2:$A4248,0),MATCH(J$1,'HS Codes'!$D$1:$K$1,0)),"")</f>
        <v>0</v>
      </c>
      <c r="K1694" s="8" t="str">
        <f>_xlfn.IFNA(INDEX('HS Codes'!$D$2:$K4248,MATCH($B1694,'HS Codes'!$A$2:$A4248,0),MATCH(K$1,'HS Codes'!$D$1:$K$1,0)),"")</f>
        <v>6505.00.90</v>
      </c>
      <c r="L1694" s="8">
        <f>_xlfn.IFNA(INDEX('HS Codes'!$D$2:$K4248,MATCH($B1694,'HS Codes'!$A$2:$A4248,0),MATCH(L$1,'HS Codes'!$D$1:$K$1,0)),"")</f>
        <v>6507</v>
      </c>
      <c r="M1694" s="8" t="str">
        <f>_xlfn.IFNA(INDEX('HS Codes'!$C$2:$C4248,MATCH($B1694,'HS Codes'!$A$2:$A4248,0)),"")</f>
        <v>Head Towel 100% recycled 340 GSM/83% polyester/17% polyamide (no cotton)</v>
      </c>
      <c r="N1694" s="9"/>
      <c r="O1694" s="9"/>
      <c r="P1694" s="9"/>
      <c r="Q1694" s="9"/>
    </row>
    <row r="1695" spans="1:17" ht="15.75" customHeight="1">
      <c r="A1695" s="7" t="s">
        <v>1988</v>
      </c>
      <c r="B1695" s="7" t="s">
        <v>126</v>
      </c>
      <c r="C1695" s="7" t="s">
        <v>278</v>
      </c>
      <c r="D1695" s="7" t="s">
        <v>127</v>
      </c>
      <c r="E1695" s="7" t="s">
        <v>360</v>
      </c>
      <c r="F1695" s="8" t="str">
        <f>_xlfn.IFNA(INDEX('HS Codes'!$D$2:$K4249,MATCH($B1695,'HS Codes'!$A$2:$A4249,0),MATCH(F$1,'HS Codes'!$D$1:$K$1,0)),"")</f>
        <v>6504.00.90.15</v>
      </c>
      <c r="G1695" s="8">
        <f>_xlfn.IFNA(INDEX('HS Codes'!$D$2:$K4249,MATCH($B1695,'HS Codes'!$A$2:$A4249,0),MATCH(G$1,'HS Codes'!$D$1:$K$1,0)),"")</f>
        <v>6505009090</v>
      </c>
      <c r="H1695" s="8" t="str">
        <f>_xlfn.IFNA(INDEX('HS Codes'!$D$2:$K4249,MATCH($B1695,'HS Codes'!$A$2:$A4249,0),MATCH(H$1,'HS Codes'!$D$1:$K$1,0)),"")</f>
        <v>6505.00.40.00</v>
      </c>
      <c r="I1695" s="8" t="str">
        <f>_xlfn.IFNA(INDEX('HS Codes'!$D$2:$K4249,MATCH($B1695,'HS Codes'!$A$2:$A4249,0),MATCH(I$1,'HS Codes'!$D$1:$K$1,0)),"")</f>
        <v>6505.00.90.90</v>
      </c>
      <c r="J1695" s="8">
        <f>_xlfn.IFNA(INDEX('HS Codes'!$D$2:$K4249,MATCH($B1695,'HS Codes'!$A$2:$A4249,0),MATCH(J$1,'HS Codes'!$D$1:$K$1,0)),"")</f>
        <v>0</v>
      </c>
      <c r="K1695" s="8" t="str">
        <f>_xlfn.IFNA(INDEX('HS Codes'!$D$2:$K4249,MATCH($B1695,'HS Codes'!$A$2:$A4249,0),MATCH(K$1,'HS Codes'!$D$1:$K$1,0)),"")</f>
        <v>6505.00.90</v>
      </c>
      <c r="L1695" s="8">
        <f>_xlfn.IFNA(INDEX('HS Codes'!$D$2:$K4249,MATCH($B1695,'HS Codes'!$A$2:$A4249,0),MATCH(L$1,'HS Codes'!$D$1:$K$1,0)),"")</f>
        <v>6507</v>
      </c>
      <c r="M1695" s="8" t="str">
        <f>_xlfn.IFNA(INDEX('HS Codes'!$C$2:$C4249,MATCH($B1695,'HS Codes'!$A$2:$A4249,0)),"")</f>
        <v>Head Towel 100% recycled 340 GSM/83% polyester/17% polyamide (no cotton)</v>
      </c>
      <c r="N1695" s="9"/>
      <c r="O1695" s="9"/>
      <c r="P1695" s="9"/>
      <c r="Q1695" s="9"/>
    </row>
    <row r="1696" spans="1:17" ht="15.75" customHeight="1">
      <c r="A1696" s="7" t="s">
        <v>1989</v>
      </c>
      <c r="B1696" s="7" t="s">
        <v>126</v>
      </c>
      <c r="C1696" s="7" t="s">
        <v>278</v>
      </c>
      <c r="D1696" s="7" t="s">
        <v>127</v>
      </c>
      <c r="E1696" s="7" t="s">
        <v>360</v>
      </c>
      <c r="F1696" s="8" t="str">
        <f>_xlfn.IFNA(INDEX('HS Codes'!$D$2:$K4250,MATCH($B1696,'HS Codes'!$A$2:$A4250,0),MATCH(F$1,'HS Codes'!$D$1:$K$1,0)),"")</f>
        <v>6504.00.90.15</v>
      </c>
      <c r="G1696" s="8">
        <f>_xlfn.IFNA(INDEX('HS Codes'!$D$2:$K4250,MATCH($B1696,'HS Codes'!$A$2:$A4250,0),MATCH(G$1,'HS Codes'!$D$1:$K$1,0)),"")</f>
        <v>6505009090</v>
      </c>
      <c r="H1696" s="8" t="str">
        <f>_xlfn.IFNA(INDEX('HS Codes'!$D$2:$K4250,MATCH($B1696,'HS Codes'!$A$2:$A4250,0),MATCH(H$1,'HS Codes'!$D$1:$K$1,0)),"")</f>
        <v>6505.00.40.00</v>
      </c>
      <c r="I1696" s="8" t="str">
        <f>_xlfn.IFNA(INDEX('HS Codes'!$D$2:$K4250,MATCH($B1696,'HS Codes'!$A$2:$A4250,0),MATCH(I$1,'HS Codes'!$D$1:$K$1,0)),"")</f>
        <v>6505.00.90.90</v>
      </c>
      <c r="J1696" s="8">
        <f>_xlfn.IFNA(INDEX('HS Codes'!$D$2:$K4250,MATCH($B1696,'HS Codes'!$A$2:$A4250,0),MATCH(J$1,'HS Codes'!$D$1:$K$1,0)),"")</f>
        <v>0</v>
      </c>
      <c r="K1696" s="8" t="str">
        <f>_xlfn.IFNA(INDEX('HS Codes'!$D$2:$K4250,MATCH($B1696,'HS Codes'!$A$2:$A4250,0),MATCH(K$1,'HS Codes'!$D$1:$K$1,0)),"")</f>
        <v>6505.00.90</v>
      </c>
      <c r="L1696" s="8">
        <f>_xlfn.IFNA(INDEX('HS Codes'!$D$2:$K4250,MATCH($B1696,'HS Codes'!$A$2:$A4250,0),MATCH(L$1,'HS Codes'!$D$1:$K$1,0)),"")</f>
        <v>6507</v>
      </c>
      <c r="M1696" s="8" t="str">
        <f>_xlfn.IFNA(INDEX('HS Codes'!$C$2:$C4250,MATCH($B1696,'HS Codes'!$A$2:$A4250,0)),"")</f>
        <v>Head Towel 100% recycled 340 GSM/83% polyester/17% polyamide (no cotton)</v>
      </c>
      <c r="N1696" s="9"/>
      <c r="O1696" s="9"/>
      <c r="P1696" s="9"/>
      <c r="Q1696" s="9"/>
    </row>
    <row r="1697" spans="1:17" ht="15.75" customHeight="1">
      <c r="A1697" s="7" t="s">
        <v>1990</v>
      </c>
      <c r="B1697" s="7" t="s">
        <v>126</v>
      </c>
      <c r="C1697" s="7" t="s">
        <v>278</v>
      </c>
      <c r="D1697" s="7" t="s">
        <v>127</v>
      </c>
      <c r="E1697" s="7" t="s">
        <v>360</v>
      </c>
      <c r="F1697" s="8" t="str">
        <f>_xlfn.IFNA(INDEX('HS Codes'!$D$2:$K4251,MATCH($B1697,'HS Codes'!$A$2:$A4251,0),MATCH(F$1,'HS Codes'!$D$1:$K$1,0)),"")</f>
        <v>6504.00.90.15</v>
      </c>
      <c r="G1697" s="8">
        <f>_xlfn.IFNA(INDEX('HS Codes'!$D$2:$K4251,MATCH($B1697,'HS Codes'!$A$2:$A4251,0),MATCH(G$1,'HS Codes'!$D$1:$K$1,0)),"")</f>
        <v>6505009090</v>
      </c>
      <c r="H1697" s="8" t="str">
        <f>_xlfn.IFNA(INDEX('HS Codes'!$D$2:$K4251,MATCH($B1697,'HS Codes'!$A$2:$A4251,0),MATCH(H$1,'HS Codes'!$D$1:$K$1,0)),"")</f>
        <v>6505.00.40.00</v>
      </c>
      <c r="I1697" s="8" t="str">
        <f>_xlfn.IFNA(INDEX('HS Codes'!$D$2:$K4251,MATCH($B1697,'HS Codes'!$A$2:$A4251,0),MATCH(I$1,'HS Codes'!$D$1:$K$1,0)),"")</f>
        <v>6505.00.90.90</v>
      </c>
      <c r="J1697" s="8">
        <f>_xlfn.IFNA(INDEX('HS Codes'!$D$2:$K4251,MATCH($B1697,'HS Codes'!$A$2:$A4251,0),MATCH(J$1,'HS Codes'!$D$1:$K$1,0)),"")</f>
        <v>0</v>
      </c>
      <c r="K1697" s="8" t="str">
        <f>_xlfn.IFNA(INDEX('HS Codes'!$D$2:$K4251,MATCH($B1697,'HS Codes'!$A$2:$A4251,0),MATCH(K$1,'HS Codes'!$D$1:$K$1,0)),"")</f>
        <v>6505.00.90</v>
      </c>
      <c r="L1697" s="8">
        <f>_xlfn.IFNA(INDEX('HS Codes'!$D$2:$K4251,MATCH($B1697,'HS Codes'!$A$2:$A4251,0),MATCH(L$1,'HS Codes'!$D$1:$K$1,0)),"")</f>
        <v>6507</v>
      </c>
      <c r="M1697" s="8" t="str">
        <f>_xlfn.IFNA(INDEX('HS Codes'!$C$2:$C4251,MATCH($B1697,'HS Codes'!$A$2:$A4251,0)),"")</f>
        <v>Head Towel 100% recycled 340 GSM/83% polyester/17% polyamide (no cotton)</v>
      </c>
      <c r="N1697" s="9"/>
      <c r="O1697" s="9"/>
      <c r="P1697" s="9"/>
      <c r="Q1697" s="9"/>
    </row>
    <row r="1698" spans="1:17" ht="15.75" customHeight="1">
      <c r="A1698" s="7" t="s">
        <v>1991</v>
      </c>
      <c r="B1698" s="7" t="s">
        <v>129</v>
      </c>
      <c r="C1698" s="7" t="s">
        <v>278</v>
      </c>
      <c r="D1698" s="7" t="s">
        <v>130</v>
      </c>
      <c r="E1698" s="7" t="s">
        <v>360</v>
      </c>
      <c r="F1698" s="8" t="str">
        <f>_xlfn.IFNA(INDEX('HS Codes'!$D$2:$K4252,MATCH($B1698,'HS Codes'!$A$2:$A4252,0),MATCH(F$1,'HS Codes'!$D$1:$K$1,0)),"")</f>
        <v>6504.00.90.15</v>
      </c>
      <c r="G1698" s="8">
        <f>_xlfn.IFNA(INDEX('HS Codes'!$D$2:$K4252,MATCH($B1698,'HS Codes'!$A$2:$A4252,0),MATCH(G$1,'HS Codes'!$D$1:$K$1,0)),"")</f>
        <v>6505009090</v>
      </c>
      <c r="H1698" s="8" t="str">
        <f>_xlfn.IFNA(INDEX('HS Codes'!$D$2:$K4252,MATCH($B1698,'HS Codes'!$A$2:$A4252,0),MATCH(H$1,'HS Codes'!$D$1:$K$1,0)),"")</f>
        <v>6505.00.40.00</v>
      </c>
      <c r="I1698" s="8" t="str">
        <f>_xlfn.IFNA(INDEX('HS Codes'!$D$2:$K4252,MATCH($B1698,'HS Codes'!$A$2:$A4252,0),MATCH(I$1,'HS Codes'!$D$1:$K$1,0)),"")</f>
        <v>6505.00.90.90</v>
      </c>
      <c r="J1698" s="8">
        <f>_xlfn.IFNA(INDEX('HS Codes'!$D$2:$K4252,MATCH($B1698,'HS Codes'!$A$2:$A4252,0),MATCH(J$1,'HS Codes'!$D$1:$K$1,0)),"")</f>
        <v>0</v>
      </c>
      <c r="K1698" s="8" t="str">
        <f>_xlfn.IFNA(INDEX('HS Codes'!$D$2:$K4252,MATCH($B1698,'HS Codes'!$A$2:$A4252,0),MATCH(K$1,'HS Codes'!$D$1:$K$1,0)),"")</f>
        <v>6505.00.90</v>
      </c>
      <c r="L1698" s="8">
        <f>_xlfn.IFNA(INDEX('HS Codes'!$D$2:$K4252,MATCH($B1698,'HS Codes'!$A$2:$A4252,0),MATCH(L$1,'HS Codes'!$D$1:$K$1,0)),"")</f>
        <v>0</v>
      </c>
      <c r="M1698" s="8" t="str">
        <f>_xlfn.IFNA(INDEX('HS Codes'!$C$2:$C4252,MATCH($B1698,'HS Codes'!$A$2:$A4252,0)),"")</f>
        <v>Head Towel 100% recycled 200 GSM/83% polyester/17% polyamide (no cotton)</v>
      </c>
      <c r="N1698" s="9"/>
      <c r="O1698" s="9"/>
      <c r="P1698" s="9"/>
      <c r="Q1698" s="9"/>
    </row>
    <row r="1699" spans="1:17" ht="15.75" customHeight="1">
      <c r="A1699" s="7" t="s">
        <v>1992</v>
      </c>
      <c r="B1699" s="7" t="s">
        <v>129</v>
      </c>
      <c r="C1699" s="7" t="s">
        <v>278</v>
      </c>
      <c r="D1699" s="7" t="s">
        <v>130</v>
      </c>
      <c r="E1699" s="7" t="s">
        <v>360</v>
      </c>
      <c r="F1699" s="8" t="str">
        <f>_xlfn.IFNA(INDEX('HS Codes'!$D$2:$K4253,MATCH($B1699,'HS Codes'!$A$2:$A4253,0),MATCH(F$1,'HS Codes'!$D$1:$K$1,0)),"")</f>
        <v>6504.00.90.15</v>
      </c>
      <c r="G1699" s="8">
        <f>_xlfn.IFNA(INDEX('HS Codes'!$D$2:$K4253,MATCH($B1699,'HS Codes'!$A$2:$A4253,0),MATCH(G$1,'HS Codes'!$D$1:$K$1,0)),"")</f>
        <v>6505009090</v>
      </c>
      <c r="H1699" s="8" t="str">
        <f>_xlfn.IFNA(INDEX('HS Codes'!$D$2:$K4253,MATCH($B1699,'HS Codes'!$A$2:$A4253,0),MATCH(H$1,'HS Codes'!$D$1:$K$1,0)),"")</f>
        <v>6505.00.40.00</v>
      </c>
      <c r="I1699" s="8" t="str">
        <f>_xlfn.IFNA(INDEX('HS Codes'!$D$2:$K4253,MATCH($B1699,'HS Codes'!$A$2:$A4253,0),MATCH(I$1,'HS Codes'!$D$1:$K$1,0)),"")</f>
        <v>6505.00.90.90</v>
      </c>
      <c r="J1699" s="8">
        <f>_xlfn.IFNA(INDEX('HS Codes'!$D$2:$K4253,MATCH($B1699,'HS Codes'!$A$2:$A4253,0),MATCH(J$1,'HS Codes'!$D$1:$K$1,0)),"")</f>
        <v>0</v>
      </c>
      <c r="K1699" s="8" t="str">
        <f>_xlfn.IFNA(INDEX('HS Codes'!$D$2:$K4253,MATCH($B1699,'HS Codes'!$A$2:$A4253,0),MATCH(K$1,'HS Codes'!$D$1:$K$1,0)),"")</f>
        <v>6505.00.90</v>
      </c>
      <c r="L1699" s="8">
        <f>_xlfn.IFNA(INDEX('HS Codes'!$D$2:$K4253,MATCH($B1699,'HS Codes'!$A$2:$A4253,0),MATCH(L$1,'HS Codes'!$D$1:$K$1,0)),"")</f>
        <v>0</v>
      </c>
      <c r="M1699" s="8" t="str">
        <f>_xlfn.IFNA(INDEX('HS Codes'!$C$2:$C4253,MATCH($B1699,'HS Codes'!$A$2:$A4253,0)),"")</f>
        <v>Head Towel 100% recycled 200 GSM/83% polyester/17% polyamide (no cotton)</v>
      </c>
      <c r="N1699" s="9"/>
      <c r="O1699" s="9"/>
      <c r="P1699" s="9"/>
      <c r="Q1699" s="9"/>
    </row>
    <row r="1700" spans="1:17" ht="15.75" customHeight="1">
      <c r="A1700" s="7" t="s">
        <v>1993</v>
      </c>
      <c r="B1700" s="7" t="s">
        <v>129</v>
      </c>
      <c r="C1700" s="7" t="s">
        <v>278</v>
      </c>
      <c r="D1700" s="7" t="s">
        <v>130</v>
      </c>
      <c r="E1700" s="7" t="s">
        <v>360</v>
      </c>
      <c r="F1700" s="8" t="str">
        <f>_xlfn.IFNA(INDEX('HS Codes'!$D$2:$K4254,MATCH($B1700,'HS Codes'!$A$2:$A4254,0),MATCH(F$1,'HS Codes'!$D$1:$K$1,0)),"")</f>
        <v>6504.00.90.15</v>
      </c>
      <c r="G1700" s="8">
        <f>_xlfn.IFNA(INDEX('HS Codes'!$D$2:$K4254,MATCH($B1700,'HS Codes'!$A$2:$A4254,0),MATCH(G$1,'HS Codes'!$D$1:$K$1,0)),"")</f>
        <v>6505009090</v>
      </c>
      <c r="H1700" s="8" t="str">
        <f>_xlfn.IFNA(INDEX('HS Codes'!$D$2:$K4254,MATCH($B1700,'HS Codes'!$A$2:$A4254,0),MATCH(H$1,'HS Codes'!$D$1:$K$1,0)),"")</f>
        <v>6505.00.40.00</v>
      </c>
      <c r="I1700" s="8" t="str">
        <f>_xlfn.IFNA(INDEX('HS Codes'!$D$2:$K4254,MATCH($B1700,'HS Codes'!$A$2:$A4254,0),MATCH(I$1,'HS Codes'!$D$1:$K$1,0)),"")</f>
        <v>6505.00.90.90</v>
      </c>
      <c r="J1700" s="8">
        <f>_xlfn.IFNA(INDEX('HS Codes'!$D$2:$K4254,MATCH($B1700,'HS Codes'!$A$2:$A4254,0),MATCH(J$1,'HS Codes'!$D$1:$K$1,0)),"")</f>
        <v>0</v>
      </c>
      <c r="K1700" s="8" t="str">
        <f>_xlfn.IFNA(INDEX('HS Codes'!$D$2:$K4254,MATCH($B1700,'HS Codes'!$A$2:$A4254,0),MATCH(K$1,'HS Codes'!$D$1:$K$1,0)),"")</f>
        <v>6505.00.90</v>
      </c>
      <c r="L1700" s="8">
        <f>_xlfn.IFNA(INDEX('HS Codes'!$D$2:$K4254,MATCH($B1700,'HS Codes'!$A$2:$A4254,0),MATCH(L$1,'HS Codes'!$D$1:$K$1,0)),"")</f>
        <v>0</v>
      </c>
      <c r="M1700" s="8" t="str">
        <f>_xlfn.IFNA(INDEX('HS Codes'!$C$2:$C4254,MATCH($B1700,'HS Codes'!$A$2:$A4254,0)),"")</f>
        <v>Head Towel 100% recycled 200 GSM/83% polyester/17% polyamide (no cotton)</v>
      </c>
      <c r="N1700" s="9"/>
      <c r="O1700" s="9"/>
      <c r="P1700" s="9"/>
      <c r="Q1700" s="9"/>
    </row>
    <row r="1701" spans="1:17" ht="15.75" customHeight="1">
      <c r="A1701" s="7" t="s">
        <v>1994</v>
      </c>
      <c r="B1701" s="7" t="s">
        <v>129</v>
      </c>
      <c r="C1701" s="7" t="s">
        <v>278</v>
      </c>
      <c r="D1701" s="7" t="s">
        <v>130</v>
      </c>
      <c r="E1701" s="7" t="s">
        <v>360</v>
      </c>
      <c r="F1701" s="8" t="str">
        <f>_xlfn.IFNA(INDEX('HS Codes'!$D$2:$K4255,MATCH($B1701,'HS Codes'!$A$2:$A4255,0),MATCH(F$1,'HS Codes'!$D$1:$K$1,0)),"")</f>
        <v>6504.00.90.15</v>
      </c>
      <c r="G1701" s="8">
        <f>_xlfn.IFNA(INDEX('HS Codes'!$D$2:$K4255,MATCH($B1701,'HS Codes'!$A$2:$A4255,0),MATCH(G$1,'HS Codes'!$D$1:$K$1,0)),"")</f>
        <v>6505009090</v>
      </c>
      <c r="H1701" s="8" t="str">
        <f>_xlfn.IFNA(INDEX('HS Codes'!$D$2:$K4255,MATCH($B1701,'HS Codes'!$A$2:$A4255,0),MATCH(H$1,'HS Codes'!$D$1:$K$1,0)),"")</f>
        <v>6505.00.40.00</v>
      </c>
      <c r="I1701" s="8" t="str">
        <f>_xlfn.IFNA(INDEX('HS Codes'!$D$2:$K4255,MATCH($B1701,'HS Codes'!$A$2:$A4255,0),MATCH(I$1,'HS Codes'!$D$1:$K$1,0)),"")</f>
        <v>6505.00.90.90</v>
      </c>
      <c r="J1701" s="8">
        <f>_xlfn.IFNA(INDEX('HS Codes'!$D$2:$K4255,MATCH($B1701,'HS Codes'!$A$2:$A4255,0),MATCH(J$1,'HS Codes'!$D$1:$K$1,0)),"")</f>
        <v>0</v>
      </c>
      <c r="K1701" s="8" t="str">
        <f>_xlfn.IFNA(INDEX('HS Codes'!$D$2:$K4255,MATCH($B1701,'HS Codes'!$A$2:$A4255,0),MATCH(K$1,'HS Codes'!$D$1:$K$1,0)),"")</f>
        <v>6505.00.90</v>
      </c>
      <c r="L1701" s="8">
        <f>_xlfn.IFNA(INDEX('HS Codes'!$D$2:$K4255,MATCH($B1701,'HS Codes'!$A$2:$A4255,0),MATCH(L$1,'HS Codes'!$D$1:$K$1,0)),"")</f>
        <v>0</v>
      </c>
      <c r="M1701" s="8" t="str">
        <f>_xlfn.IFNA(INDEX('HS Codes'!$C$2:$C4255,MATCH($B1701,'HS Codes'!$A$2:$A4255,0)),"")</f>
        <v>Head Towel 100% recycled 200 GSM/83% polyester/17% polyamide (no cotton)</v>
      </c>
      <c r="N1701" s="9"/>
      <c r="O1701" s="9"/>
      <c r="P1701" s="9"/>
      <c r="Q1701" s="9"/>
    </row>
    <row r="1702" spans="1:17" ht="15.75" customHeight="1">
      <c r="A1702" s="7" t="s">
        <v>1995</v>
      </c>
      <c r="B1702" s="7" t="s">
        <v>129</v>
      </c>
      <c r="C1702" s="7" t="s">
        <v>278</v>
      </c>
      <c r="D1702" s="7" t="s">
        <v>130</v>
      </c>
      <c r="E1702" s="7" t="s">
        <v>360</v>
      </c>
      <c r="F1702" s="8" t="str">
        <f>_xlfn.IFNA(INDEX('HS Codes'!$D$2:$K4256,MATCH($B1702,'HS Codes'!$A$2:$A4256,0),MATCH(F$1,'HS Codes'!$D$1:$K$1,0)),"")</f>
        <v>6504.00.90.15</v>
      </c>
      <c r="G1702" s="8">
        <f>_xlfn.IFNA(INDEX('HS Codes'!$D$2:$K4256,MATCH($B1702,'HS Codes'!$A$2:$A4256,0),MATCH(G$1,'HS Codes'!$D$1:$K$1,0)),"")</f>
        <v>6505009090</v>
      </c>
      <c r="H1702" s="8" t="str">
        <f>_xlfn.IFNA(INDEX('HS Codes'!$D$2:$K4256,MATCH($B1702,'HS Codes'!$A$2:$A4256,0),MATCH(H$1,'HS Codes'!$D$1:$K$1,0)),"")</f>
        <v>6505.00.40.00</v>
      </c>
      <c r="I1702" s="8" t="str">
        <f>_xlfn.IFNA(INDEX('HS Codes'!$D$2:$K4256,MATCH($B1702,'HS Codes'!$A$2:$A4256,0),MATCH(I$1,'HS Codes'!$D$1:$K$1,0)),"")</f>
        <v>6505.00.90.90</v>
      </c>
      <c r="J1702" s="8">
        <f>_xlfn.IFNA(INDEX('HS Codes'!$D$2:$K4256,MATCH($B1702,'HS Codes'!$A$2:$A4256,0),MATCH(J$1,'HS Codes'!$D$1:$K$1,0)),"")</f>
        <v>0</v>
      </c>
      <c r="K1702" s="8" t="str">
        <f>_xlfn.IFNA(INDEX('HS Codes'!$D$2:$K4256,MATCH($B1702,'HS Codes'!$A$2:$A4256,0),MATCH(K$1,'HS Codes'!$D$1:$K$1,0)),"")</f>
        <v>6505.00.90</v>
      </c>
      <c r="L1702" s="8">
        <f>_xlfn.IFNA(INDEX('HS Codes'!$D$2:$K4256,MATCH($B1702,'HS Codes'!$A$2:$A4256,0),MATCH(L$1,'HS Codes'!$D$1:$K$1,0)),"")</f>
        <v>0</v>
      </c>
      <c r="M1702" s="8" t="str">
        <f>_xlfn.IFNA(INDEX('HS Codes'!$C$2:$C4256,MATCH($B1702,'HS Codes'!$A$2:$A4256,0)),"")</f>
        <v>Head Towel 100% recycled 200 GSM/83% polyester/17% polyamide (no cotton)</v>
      </c>
      <c r="N1702" s="9"/>
      <c r="O1702" s="9"/>
      <c r="P1702" s="9"/>
      <c r="Q1702" s="9"/>
    </row>
    <row r="1703" spans="1:17" ht="15.75" customHeight="1">
      <c r="A1703" s="7" t="s">
        <v>1996</v>
      </c>
      <c r="B1703" s="7" t="s">
        <v>129</v>
      </c>
      <c r="C1703" s="7" t="s">
        <v>278</v>
      </c>
      <c r="D1703" s="7" t="s">
        <v>130</v>
      </c>
      <c r="E1703" s="7" t="s">
        <v>360</v>
      </c>
      <c r="F1703" s="8" t="str">
        <f>_xlfn.IFNA(INDEX('HS Codes'!$D$2:$K4257,MATCH($B1703,'HS Codes'!$A$2:$A4257,0),MATCH(F$1,'HS Codes'!$D$1:$K$1,0)),"")</f>
        <v>6504.00.90.15</v>
      </c>
      <c r="G1703" s="8">
        <f>_xlfn.IFNA(INDEX('HS Codes'!$D$2:$K4257,MATCH($B1703,'HS Codes'!$A$2:$A4257,0),MATCH(G$1,'HS Codes'!$D$1:$K$1,0)),"")</f>
        <v>6505009090</v>
      </c>
      <c r="H1703" s="8" t="str">
        <f>_xlfn.IFNA(INDEX('HS Codes'!$D$2:$K4257,MATCH($B1703,'HS Codes'!$A$2:$A4257,0),MATCH(H$1,'HS Codes'!$D$1:$K$1,0)),"")</f>
        <v>6505.00.40.00</v>
      </c>
      <c r="I1703" s="8" t="str">
        <f>_xlfn.IFNA(INDEX('HS Codes'!$D$2:$K4257,MATCH($B1703,'HS Codes'!$A$2:$A4257,0),MATCH(I$1,'HS Codes'!$D$1:$K$1,0)),"")</f>
        <v>6505.00.90.90</v>
      </c>
      <c r="J1703" s="8">
        <f>_xlfn.IFNA(INDEX('HS Codes'!$D$2:$K4257,MATCH($B1703,'HS Codes'!$A$2:$A4257,0),MATCH(J$1,'HS Codes'!$D$1:$K$1,0)),"")</f>
        <v>0</v>
      </c>
      <c r="K1703" s="8" t="str">
        <f>_xlfn.IFNA(INDEX('HS Codes'!$D$2:$K4257,MATCH($B1703,'HS Codes'!$A$2:$A4257,0),MATCH(K$1,'HS Codes'!$D$1:$K$1,0)),"")</f>
        <v>6505.00.90</v>
      </c>
      <c r="L1703" s="8">
        <f>_xlfn.IFNA(INDEX('HS Codes'!$D$2:$K4257,MATCH($B1703,'HS Codes'!$A$2:$A4257,0),MATCH(L$1,'HS Codes'!$D$1:$K$1,0)),"")</f>
        <v>0</v>
      </c>
      <c r="M1703" s="8" t="str">
        <f>_xlfn.IFNA(INDEX('HS Codes'!$C$2:$C4257,MATCH($B1703,'HS Codes'!$A$2:$A4257,0)),"")</f>
        <v>Head Towel 100% recycled 200 GSM/83% polyester/17% polyamide (no cotton)</v>
      </c>
      <c r="N1703" s="9"/>
      <c r="O1703" s="9"/>
      <c r="P1703" s="9"/>
      <c r="Q1703" s="9"/>
    </row>
    <row r="1704" spans="1:17" ht="15.75" customHeight="1">
      <c r="A1704" s="7" t="s">
        <v>1997</v>
      </c>
      <c r="B1704" s="7" t="s">
        <v>126</v>
      </c>
      <c r="C1704" s="7" t="s">
        <v>278</v>
      </c>
      <c r="D1704" s="7" t="s">
        <v>127</v>
      </c>
      <c r="E1704" s="7" t="s">
        <v>360</v>
      </c>
      <c r="F1704" s="8" t="str">
        <f>_xlfn.IFNA(INDEX('HS Codes'!$D$2:$K4258,MATCH($B1704,'HS Codes'!$A$2:$A4258,0),MATCH(F$1,'HS Codes'!$D$1:$K$1,0)),"")</f>
        <v>6504.00.90.15</v>
      </c>
      <c r="G1704" s="8">
        <f>_xlfn.IFNA(INDEX('HS Codes'!$D$2:$K4258,MATCH($B1704,'HS Codes'!$A$2:$A4258,0),MATCH(G$1,'HS Codes'!$D$1:$K$1,0)),"")</f>
        <v>6505009090</v>
      </c>
      <c r="H1704" s="8" t="str">
        <f>_xlfn.IFNA(INDEX('HS Codes'!$D$2:$K4258,MATCH($B1704,'HS Codes'!$A$2:$A4258,0),MATCH(H$1,'HS Codes'!$D$1:$K$1,0)),"")</f>
        <v>6505.00.40.00</v>
      </c>
      <c r="I1704" s="8" t="str">
        <f>_xlfn.IFNA(INDEX('HS Codes'!$D$2:$K4258,MATCH($B1704,'HS Codes'!$A$2:$A4258,0),MATCH(I$1,'HS Codes'!$D$1:$K$1,0)),"")</f>
        <v>6505.00.90.90</v>
      </c>
      <c r="J1704" s="8">
        <f>_xlfn.IFNA(INDEX('HS Codes'!$D$2:$K4258,MATCH($B1704,'HS Codes'!$A$2:$A4258,0),MATCH(J$1,'HS Codes'!$D$1:$K$1,0)),"")</f>
        <v>0</v>
      </c>
      <c r="K1704" s="8" t="str">
        <f>_xlfn.IFNA(INDEX('HS Codes'!$D$2:$K4258,MATCH($B1704,'HS Codes'!$A$2:$A4258,0),MATCH(K$1,'HS Codes'!$D$1:$K$1,0)),"")</f>
        <v>6505.00.90</v>
      </c>
      <c r="L1704" s="8">
        <f>_xlfn.IFNA(INDEX('HS Codes'!$D$2:$K4258,MATCH($B1704,'HS Codes'!$A$2:$A4258,0),MATCH(L$1,'HS Codes'!$D$1:$K$1,0)),"")</f>
        <v>6507</v>
      </c>
      <c r="M1704" s="8" t="str">
        <f>_xlfn.IFNA(INDEX('HS Codes'!$C$2:$C4258,MATCH($B1704,'HS Codes'!$A$2:$A4258,0)),"")</f>
        <v>Head Towel 100% recycled 340 GSM/83% polyester/17% polyamide (no cotton)</v>
      </c>
      <c r="N1704" s="9"/>
      <c r="O1704" s="9"/>
      <c r="P1704" s="9"/>
      <c r="Q1704" s="9"/>
    </row>
    <row r="1705" spans="1:17" ht="15.75" customHeight="1">
      <c r="A1705" s="7" t="s">
        <v>1998</v>
      </c>
      <c r="B1705" s="7" t="s">
        <v>129</v>
      </c>
      <c r="C1705" s="7" t="s">
        <v>278</v>
      </c>
      <c r="D1705" s="7" t="s">
        <v>130</v>
      </c>
      <c r="E1705" s="7" t="s">
        <v>360</v>
      </c>
      <c r="F1705" s="8" t="str">
        <f>_xlfn.IFNA(INDEX('HS Codes'!$D$2:$K4259,MATCH($B1705,'HS Codes'!$A$2:$A4259,0),MATCH(F$1,'HS Codes'!$D$1:$K$1,0)),"")</f>
        <v>6504.00.90.15</v>
      </c>
      <c r="G1705" s="8">
        <f>_xlfn.IFNA(INDEX('HS Codes'!$D$2:$K4259,MATCH($B1705,'HS Codes'!$A$2:$A4259,0),MATCH(G$1,'HS Codes'!$D$1:$K$1,0)),"")</f>
        <v>6505009090</v>
      </c>
      <c r="H1705" s="8" t="str">
        <f>_xlfn.IFNA(INDEX('HS Codes'!$D$2:$K4259,MATCH($B1705,'HS Codes'!$A$2:$A4259,0),MATCH(H$1,'HS Codes'!$D$1:$K$1,0)),"")</f>
        <v>6505.00.40.00</v>
      </c>
      <c r="I1705" s="8" t="str">
        <f>_xlfn.IFNA(INDEX('HS Codes'!$D$2:$K4259,MATCH($B1705,'HS Codes'!$A$2:$A4259,0),MATCH(I$1,'HS Codes'!$D$1:$K$1,0)),"")</f>
        <v>6505.00.90.90</v>
      </c>
      <c r="J1705" s="8">
        <f>_xlfn.IFNA(INDEX('HS Codes'!$D$2:$K4259,MATCH($B1705,'HS Codes'!$A$2:$A4259,0),MATCH(J$1,'HS Codes'!$D$1:$K$1,0)),"")</f>
        <v>0</v>
      </c>
      <c r="K1705" s="8" t="str">
        <f>_xlfn.IFNA(INDEX('HS Codes'!$D$2:$K4259,MATCH($B1705,'HS Codes'!$A$2:$A4259,0),MATCH(K$1,'HS Codes'!$D$1:$K$1,0)),"")</f>
        <v>6505.00.90</v>
      </c>
      <c r="L1705" s="8">
        <f>_xlfn.IFNA(INDEX('HS Codes'!$D$2:$K4259,MATCH($B1705,'HS Codes'!$A$2:$A4259,0),MATCH(L$1,'HS Codes'!$D$1:$K$1,0)),"")</f>
        <v>0</v>
      </c>
      <c r="M1705" s="8" t="str">
        <f>_xlfn.IFNA(INDEX('HS Codes'!$C$2:$C4259,MATCH($B1705,'HS Codes'!$A$2:$A4259,0)),"")</f>
        <v>Head Towel 100% recycled 200 GSM/83% polyester/17% polyamide (no cotton)</v>
      </c>
      <c r="N1705" s="9"/>
      <c r="O1705" s="9"/>
      <c r="P1705" s="9"/>
      <c r="Q1705" s="9"/>
    </row>
    <row r="1706" spans="1:17" ht="15.75" customHeight="1">
      <c r="A1706" s="7" t="s">
        <v>1999</v>
      </c>
      <c r="B1706" s="7" t="s">
        <v>129</v>
      </c>
      <c r="C1706" s="7" t="s">
        <v>278</v>
      </c>
      <c r="D1706" s="7" t="s">
        <v>130</v>
      </c>
      <c r="E1706" s="7" t="s">
        <v>360</v>
      </c>
      <c r="F1706" s="8" t="str">
        <f>_xlfn.IFNA(INDEX('HS Codes'!$D$2:$K4260,MATCH($B1706,'HS Codes'!$A$2:$A4260,0),MATCH(F$1,'HS Codes'!$D$1:$K$1,0)),"")</f>
        <v>6504.00.90.15</v>
      </c>
      <c r="G1706" s="8">
        <f>_xlfn.IFNA(INDEX('HS Codes'!$D$2:$K4260,MATCH($B1706,'HS Codes'!$A$2:$A4260,0),MATCH(G$1,'HS Codes'!$D$1:$K$1,0)),"")</f>
        <v>6505009090</v>
      </c>
      <c r="H1706" s="8" t="str">
        <f>_xlfn.IFNA(INDEX('HS Codes'!$D$2:$K4260,MATCH($B1706,'HS Codes'!$A$2:$A4260,0),MATCH(H$1,'HS Codes'!$D$1:$K$1,0)),"")</f>
        <v>6505.00.40.00</v>
      </c>
      <c r="I1706" s="8" t="str">
        <f>_xlfn.IFNA(INDEX('HS Codes'!$D$2:$K4260,MATCH($B1706,'HS Codes'!$A$2:$A4260,0),MATCH(I$1,'HS Codes'!$D$1:$K$1,0)),"")</f>
        <v>6505.00.90.90</v>
      </c>
      <c r="J1706" s="8">
        <f>_xlfn.IFNA(INDEX('HS Codes'!$D$2:$K4260,MATCH($B1706,'HS Codes'!$A$2:$A4260,0),MATCH(J$1,'HS Codes'!$D$1:$K$1,0)),"")</f>
        <v>0</v>
      </c>
      <c r="K1706" s="8" t="str">
        <f>_xlfn.IFNA(INDEX('HS Codes'!$D$2:$K4260,MATCH($B1706,'HS Codes'!$A$2:$A4260,0),MATCH(K$1,'HS Codes'!$D$1:$K$1,0)),"")</f>
        <v>6505.00.90</v>
      </c>
      <c r="L1706" s="8">
        <f>_xlfn.IFNA(INDEX('HS Codes'!$D$2:$K4260,MATCH($B1706,'HS Codes'!$A$2:$A4260,0),MATCH(L$1,'HS Codes'!$D$1:$K$1,0)),"")</f>
        <v>0</v>
      </c>
      <c r="M1706" s="8" t="str">
        <f>_xlfn.IFNA(INDEX('HS Codes'!$C$2:$C4260,MATCH($B1706,'HS Codes'!$A$2:$A4260,0)),"")</f>
        <v>Head Towel 100% recycled 200 GSM/83% polyester/17% polyamide (no cotton)</v>
      </c>
      <c r="N1706" s="9"/>
      <c r="O1706" s="9"/>
      <c r="P1706" s="9"/>
      <c r="Q1706" s="9"/>
    </row>
    <row r="1707" spans="1:17" ht="15.75" customHeight="1">
      <c r="A1707" s="7" t="s">
        <v>2000</v>
      </c>
      <c r="B1707" s="7" t="s">
        <v>129</v>
      </c>
      <c r="C1707" s="7" t="s">
        <v>278</v>
      </c>
      <c r="D1707" s="7" t="s">
        <v>130</v>
      </c>
      <c r="E1707" s="7" t="s">
        <v>360</v>
      </c>
      <c r="F1707" s="8" t="str">
        <f>_xlfn.IFNA(INDEX('HS Codes'!$D$2:$K4261,MATCH($B1707,'HS Codes'!$A$2:$A4261,0),MATCH(F$1,'HS Codes'!$D$1:$K$1,0)),"")</f>
        <v>6504.00.90.15</v>
      </c>
      <c r="G1707" s="8">
        <f>_xlfn.IFNA(INDEX('HS Codes'!$D$2:$K4261,MATCH($B1707,'HS Codes'!$A$2:$A4261,0),MATCH(G$1,'HS Codes'!$D$1:$K$1,0)),"")</f>
        <v>6505009090</v>
      </c>
      <c r="H1707" s="8" t="str">
        <f>_xlfn.IFNA(INDEX('HS Codes'!$D$2:$K4261,MATCH($B1707,'HS Codes'!$A$2:$A4261,0),MATCH(H$1,'HS Codes'!$D$1:$K$1,0)),"")</f>
        <v>6505.00.40.00</v>
      </c>
      <c r="I1707" s="8" t="str">
        <f>_xlfn.IFNA(INDEX('HS Codes'!$D$2:$K4261,MATCH($B1707,'HS Codes'!$A$2:$A4261,0),MATCH(I$1,'HS Codes'!$D$1:$K$1,0)),"")</f>
        <v>6505.00.90.90</v>
      </c>
      <c r="J1707" s="8">
        <f>_xlfn.IFNA(INDEX('HS Codes'!$D$2:$K4261,MATCH($B1707,'HS Codes'!$A$2:$A4261,0),MATCH(J$1,'HS Codes'!$D$1:$K$1,0)),"")</f>
        <v>0</v>
      </c>
      <c r="K1707" s="8" t="str">
        <f>_xlfn.IFNA(INDEX('HS Codes'!$D$2:$K4261,MATCH($B1707,'HS Codes'!$A$2:$A4261,0),MATCH(K$1,'HS Codes'!$D$1:$K$1,0)),"")</f>
        <v>6505.00.90</v>
      </c>
      <c r="L1707" s="8">
        <f>_xlfn.IFNA(INDEX('HS Codes'!$D$2:$K4261,MATCH($B1707,'HS Codes'!$A$2:$A4261,0),MATCH(L$1,'HS Codes'!$D$1:$K$1,0)),"")</f>
        <v>0</v>
      </c>
      <c r="M1707" s="8" t="str">
        <f>_xlfn.IFNA(INDEX('HS Codes'!$C$2:$C4261,MATCH($B1707,'HS Codes'!$A$2:$A4261,0)),"")</f>
        <v>Head Towel 100% recycled 200 GSM/83% polyester/17% polyamide (no cotton)</v>
      </c>
      <c r="N1707" s="9"/>
      <c r="O1707" s="9"/>
      <c r="P1707" s="9"/>
      <c r="Q1707" s="9"/>
    </row>
    <row r="1708" spans="1:17" ht="15.75" customHeight="1">
      <c r="A1708" s="7" t="s">
        <v>2001</v>
      </c>
      <c r="B1708" s="7" t="s">
        <v>129</v>
      </c>
      <c r="C1708" s="7" t="s">
        <v>278</v>
      </c>
      <c r="D1708" s="7" t="s">
        <v>130</v>
      </c>
      <c r="E1708" s="7" t="s">
        <v>360</v>
      </c>
      <c r="F1708" s="8" t="str">
        <f>_xlfn.IFNA(INDEX('HS Codes'!$D$2:$K4262,MATCH($B1708,'HS Codes'!$A$2:$A4262,0),MATCH(F$1,'HS Codes'!$D$1:$K$1,0)),"")</f>
        <v>6504.00.90.15</v>
      </c>
      <c r="G1708" s="8">
        <f>_xlfn.IFNA(INDEX('HS Codes'!$D$2:$K4262,MATCH($B1708,'HS Codes'!$A$2:$A4262,0),MATCH(G$1,'HS Codes'!$D$1:$K$1,0)),"")</f>
        <v>6505009090</v>
      </c>
      <c r="H1708" s="8" t="str">
        <f>_xlfn.IFNA(INDEX('HS Codes'!$D$2:$K4262,MATCH($B1708,'HS Codes'!$A$2:$A4262,0),MATCH(H$1,'HS Codes'!$D$1:$K$1,0)),"")</f>
        <v>6505.00.40.00</v>
      </c>
      <c r="I1708" s="8" t="str">
        <f>_xlfn.IFNA(INDEX('HS Codes'!$D$2:$K4262,MATCH($B1708,'HS Codes'!$A$2:$A4262,0),MATCH(I$1,'HS Codes'!$D$1:$K$1,0)),"")</f>
        <v>6505.00.90.90</v>
      </c>
      <c r="J1708" s="8">
        <f>_xlfn.IFNA(INDEX('HS Codes'!$D$2:$K4262,MATCH($B1708,'HS Codes'!$A$2:$A4262,0),MATCH(J$1,'HS Codes'!$D$1:$K$1,0)),"")</f>
        <v>0</v>
      </c>
      <c r="K1708" s="8" t="str">
        <f>_xlfn.IFNA(INDEX('HS Codes'!$D$2:$K4262,MATCH($B1708,'HS Codes'!$A$2:$A4262,0),MATCH(K$1,'HS Codes'!$D$1:$K$1,0)),"")</f>
        <v>6505.00.90</v>
      </c>
      <c r="L1708" s="8">
        <f>_xlfn.IFNA(INDEX('HS Codes'!$D$2:$K4262,MATCH($B1708,'HS Codes'!$A$2:$A4262,0),MATCH(L$1,'HS Codes'!$D$1:$K$1,0)),"")</f>
        <v>0</v>
      </c>
      <c r="M1708" s="8" t="str">
        <f>_xlfn.IFNA(INDEX('HS Codes'!$C$2:$C4262,MATCH($B1708,'HS Codes'!$A$2:$A4262,0)),"")</f>
        <v>Head Towel 100% recycled 200 GSM/83% polyester/17% polyamide (no cotton)</v>
      </c>
      <c r="N1708" s="9"/>
      <c r="O1708" s="9"/>
      <c r="P1708" s="9"/>
      <c r="Q1708" s="9"/>
    </row>
    <row r="1709" spans="1:17" ht="15.75" customHeight="1">
      <c r="A1709" s="7" t="s">
        <v>2002</v>
      </c>
      <c r="B1709" s="7" t="s">
        <v>129</v>
      </c>
      <c r="C1709" s="7" t="s">
        <v>278</v>
      </c>
      <c r="D1709" s="7" t="s">
        <v>130</v>
      </c>
      <c r="E1709" s="7" t="s">
        <v>360</v>
      </c>
      <c r="F1709" s="8" t="str">
        <f>_xlfn.IFNA(INDEX('HS Codes'!$D$2:$K4263,MATCH($B1709,'HS Codes'!$A$2:$A4263,0),MATCH(F$1,'HS Codes'!$D$1:$K$1,0)),"")</f>
        <v>6504.00.90.15</v>
      </c>
      <c r="G1709" s="8">
        <f>_xlfn.IFNA(INDEX('HS Codes'!$D$2:$K4263,MATCH($B1709,'HS Codes'!$A$2:$A4263,0),MATCH(G$1,'HS Codes'!$D$1:$K$1,0)),"")</f>
        <v>6505009090</v>
      </c>
      <c r="H1709" s="8" t="str">
        <f>_xlfn.IFNA(INDEX('HS Codes'!$D$2:$K4263,MATCH($B1709,'HS Codes'!$A$2:$A4263,0),MATCH(H$1,'HS Codes'!$D$1:$K$1,0)),"")</f>
        <v>6505.00.40.00</v>
      </c>
      <c r="I1709" s="8" t="str">
        <f>_xlfn.IFNA(INDEX('HS Codes'!$D$2:$K4263,MATCH($B1709,'HS Codes'!$A$2:$A4263,0),MATCH(I$1,'HS Codes'!$D$1:$K$1,0)),"")</f>
        <v>6505.00.90.90</v>
      </c>
      <c r="J1709" s="8">
        <f>_xlfn.IFNA(INDEX('HS Codes'!$D$2:$K4263,MATCH($B1709,'HS Codes'!$A$2:$A4263,0),MATCH(J$1,'HS Codes'!$D$1:$K$1,0)),"")</f>
        <v>0</v>
      </c>
      <c r="K1709" s="8" t="str">
        <f>_xlfn.IFNA(INDEX('HS Codes'!$D$2:$K4263,MATCH($B1709,'HS Codes'!$A$2:$A4263,0),MATCH(K$1,'HS Codes'!$D$1:$K$1,0)),"")</f>
        <v>6505.00.90</v>
      </c>
      <c r="L1709" s="8">
        <f>_xlfn.IFNA(INDEX('HS Codes'!$D$2:$K4263,MATCH($B1709,'HS Codes'!$A$2:$A4263,0),MATCH(L$1,'HS Codes'!$D$1:$K$1,0)),"")</f>
        <v>0</v>
      </c>
      <c r="M1709" s="8" t="str">
        <f>_xlfn.IFNA(INDEX('HS Codes'!$C$2:$C4263,MATCH($B1709,'HS Codes'!$A$2:$A4263,0)),"")</f>
        <v>Head Towel 100% recycled 200 GSM/83% polyester/17% polyamide (no cotton)</v>
      </c>
      <c r="N1709" s="9"/>
      <c r="O1709" s="9"/>
      <c r="P1709" s="9"/>
      <c r="Q1709" s="9"/>
    </row>
    <row r="1710" spans="1:17" ht="15.75" customHeight="1">
      <c r="A1710" s="7" t="s">
        <v>2003</v>
      </c>
      <c r="B1710" s="7" t="s">
        <v>129</v>
      </c>
      <c r="C1710" s="7" t="s">
        <v>278</v>
      </c>
      <c r="D1710" s="7" t="s">
        <v>130</v>
      </c>
      <c r="E1710" s="7" t="s">
        <v>360</v>
      </c>
      <c r="F1710" s="8" t="str">
        <f>_xlfn.IFNA(INDEX('HS Codes'!$D$2:$K4264,MATCH($B1710,'HS Codes'!$A$2:$A4264,0),MATCH(F$1,'HS Codes'!$D$1:$K$1,0)),"")</f>
        <v>6504.00.90.15</v>
      </c>
      <c r="G1710" s="8">
        <f>_xlfn.IFNA(INDEX('HS Codes'!$D$2:$K4264,MATCH($B1710,'HS Codes'!$A$2:$A4264,0),MATCH(G$1,'HS Codes'!$D$1:$K$1,0)),"")</f>
        <v>6505009090</v>
      </c>
      <c r="H1710" s="8" t="str">
        <f>_xlfn.IFNA(INDEX('HS Codes'!$D$2:$K4264,MATCH($B1710,'HS Codes'!$A$2:$A4264,0),MATCH(H$1,'HS Codes'!$D$1:$K$1,0)),"")</f>
        <v>6505.00.40.00</v>
      </c>
      <c r="I1710" s="8" t="str">
        <f>_xlfn.IFNA(INDEX('HS Codes'!$D$2:$K4264,MATCH($B1710,'HS Codes'!$A$2:$A4264,0),MATCH(I$1,'HS Codes'!$D$1:$K$1,0)),"")</f>
        <v>6505.00.90.90</v>
      </c>
      <c r="J1710" s="8">
        <f>_xlfn.IFNA(INDEX('HS Codes'!$D$2:$K4264,MATCH($B1710,'HS Codes'!$A$2:$A4264,0),MATCH(J$1,'HS Codes'!$D$1:$K$1,0)),"")</f>
        <v>0</v>
      </c>
      <c r="K1710" s="8" t="str">
        <f>_xlfn.IFNA(INDEX('HS Codes'!$D$2:$K4264,MATCH($B1710,'HS Codes'!$A$2:$A4264,0),MATCH(K$1,'HS Codes'!$D$1:$K$1,0)),"")</f>
        <v>6505.00.90</v>
      </c>
      <c r="L1710" s="8">
        <f>_xlfn.IFNA(INDEX('HS Codes'!$D$2:$K4264,MATCH($B1710,'HS Codes'!$A$2:$A4264,0),MATCH(L$1,'HS Codes'!$D$1:$K$1,0)),"")</f>
        <v>0</v>
      </c>
      <c r="M1710" s="8" t="str">
        <f>_xlfn.IFNA(INDEX('HS Codes'!$C$2:$C4264,MATCH($B1710,'HS Codes'!$A$2:$A4264,0)),"")</f>
        <v>Head Towel 100% recycled 200 GSM/83% polyester/17% polyamide (no cotton)</v>
      </c>
      <c r="N1710" s="9"/>
      <c r="O1710" s="9"/>
      <c r="P1710" s="9"/>
      <c r="Q1710" s="9"/>
    </row>
    <row r="1711" spans="1:17" ht="15.75" customHeight="1">
      <c r="A1711" s="7" t="s">
        <v>2004</v>
      </c>
      <c r="B1711" s="7" t="s">
        <v>129</v>
      </c>
      <c r="C1711" s="7" t="s">
        <v>278</v>
      </c>
      <c r="D1711" s="7" t="s">
        <v>130</v>
      </c>
      <c r="E1711" s="7" t="s">
        <v>360</v>
      </c>
      <c r="F1711" s="8" t="str">
        <f>_xlfn.IFNA(INDEX('HS Codes'!$D$2:$K4265,MATCH($B1711,'HS Codes'!$A$2:$A4265,0),MATCH(F$1,'HS Codes'!$D$1:$K$1,0)),"")</f>
        <v>6504.00.90.15</v>
      </c>
      <c r="G1711" s="8">
        <f>_xlfn.IFNA(INDEX('HS Codes'!$D$2:$K4265,MATCH($B1711,'HS Codes'!$A$2:$A4265,0),MATCH(G$1,'HS Codes'!$D$1:$K$1,0)),"")</f>
        <v>6505009090</v>
      </c>
      <c r="H1711" s="8" t="str">
        <f>_xlfn.IFNA(INDEX('HS Codes'!$D$2:$K4265,MATCH($B1711,'HS Codes'!$A$2:$A4265,0),MATCH(H$1,'HS Codes'!$D$1:$K$1,0)),"")</f>
        <v>6505.00.40.00</v>
      </c>
      <c r="I1711" s="8" t="str">
        <f>_xlfn.IFNA(INDEX('HS Codes'!$D$2:$K4265,MATCH($B1711,'HS Codes'!$A$2:$A4265,0),MATCH(I$1,'HS Codes'!$D$1:$K$1,0)),"")</f>
        <v>6505.00.90.90</v>
      </c>
      <c r="J1711" s="8">
        <f>_xlfn.IFNA(INDEX('HS Codes'!$D$2:$K4265,MATCH($B1711,'HS Codes'!$A$2:$A4265,0),MATCH(J$1,'HS Codes'!$D$1:$K$1,0)),"")</f>
        <v>0</v>
      </c>
      <c r="K1711" s="8" t="str">
        <f>_xlfn.IFNA(INDEX('HS Codes'!$D$2:$K4265,MATCH($B1711,'HS Codes'!$A$2:$A4265,0),MATCH(K$1,'HS Codes'!$D$1:$K$1,0)),"")</f>
        <v>6505.00.90</v>
      </c>
      <c r="L1711" s="8">
        <f>_xlfn.IFNA(INDEX('HS Codes'!$D$2:$K4265,MATCH($B1711,'HS Codes'!$A$2:$A4265,0),MATCH(L$1,'HS Codes'!$D$1:$K$1,0)),"")</f>
        <v>0</v>
      </c>
      <c r="M1711" s="8" t="str">
        <f>_xlfn.IFNA(INDEX('HS Codes'!$C$2:$C4265,MATCH($B1711,'HS Codes'!$A$2:$A4265,0)),"")</f>
        <v>Head Towel 100% recycled 200 GSM/83% polyester/17% polyamide (no cotton)</v>
      </c>
      <c r="N1711" s="9"/>
      <c r="O1711" s="9"/>
      <c r="P1711" s="9"/>
      <c r="Q1711" s="9"/>
    </row>
    <row r="1712" spans="1:17" ht="15.75" customHeight="1">
      <c r="A1712" s="7" t="s">
        <v>2005</v>
      </c>
      <c r="B1712" s="7" t="s">
        <v>129</v>
      </c>
      <c r="C1712" s="7" t="s">
        <v>278</v>
      </c>
      <c r="D1712" s="7" t="s">
        <v>130</v>
      </c>
      <c r="E1712" s="7" t="s">
        <v>360</v>
      </c>
      <c r="F1712" s="8" t="str">
        <f>_xlfn.IFNA(INDEX('HS Codes'!$D$2:$K4266,MATCH($B1712,'HS Codes'!$A$2:$A4266,0),MATCH(F$1,'HS Codes'!$D$1:$K$1,0)),"")</f>
        <v>6504.00.90.15</v>
      </c>
      <c r="G1712" s="8">
        <f>_xlfn.IFNA(INDEX('HS Codes'!$D$2:$K4266,MATCH($B1712,'HS Codes'!$A$2:$A4266,0),MATCH(G$1,'HS Codes'!$D$1:$K$1,0)),"")</f>
        <v>6505009090</v>
      </c>
      <c r="H1712" s="8" t="str">
        <f>_xlfn.IFNA(INDEX('HS Codes'!$D$2:$K4266,MATCH($B1712,'HS Codes'!$A$2:$A4266,0),MATCH(H$1,'HS Codes'!$D$1:$K$1,0)),"")</f>
        <v>6505.00.40.00</v>
      </c>
      <c r="I1712" s="8" t="str">
        <f>_xlfn.IFNA(INDEX('HS Codes'!$D$2:$K4266,MATCH($B1712,'HS Codes'!$A$2:$A4266,0),MATCH(I$1,'HS Codes'!$D$1:$K$1,0)),"")</f>
        <v>6505.00.90.90</v>
      </c>
      <c r="J1712" s="8">
        <f>_xlfn.IFNA(INDEX('HS Codes'!$D$2:$K4266,MATCH($B1712,'HS Codes'!$A$2:$A4266,0),MATCH(J$1,'HS Codes'!$D$1:$K$1,0)),"")</f>
        <v>0</v>
      </c>
      <c r="K1712" s="8" t="str">
        <f>_xlfn.IFNA(INDEX('HS Codes'!$D$2:$K4266,MATCH($B1712,'HS Codes'!$A$2:$A4266,0),MATCH(K$1,'HS Codes'!$D$1:$K$1,0)),"")</f>
        <v>6505.00.90</v>
      </c>
      <c r="L1712" s="8">
        <f>_xlfn.IFNA(INDEX('HS Codes'!$D$2:$K4266,MATCH($B1712,'HS Codes'!$A$2:$A4266,0),MATCH(L$1,'HS Codes'!$D$1:$K$1,0)),"")</f>
        <v>0</v>
      </c>
      <c r="M1712" s="8" t="str">
        <f>_xlfn.IFNA(INDEX('HS Codes'!$C$2:$C4266,MATCH($B1712,'HS Codes'!$A$2:$A4266,0)),"")</f>
        <v>Head Towel 100% recycled 200 GSM/83% polyester/17% polyamide (no cotton)</v>
      </c>
      <c r="N1712" s="9"/>
      <c r="O1712" s="9"/>
      <c r="P1712" s="9"/>
      <c r="Q1712" s="9"/>
    </row>
    <row r="1713" spans="1:17" ht="15.75" customHeight="1">
      <c r="A1713" s="7" t="s">
        <v>2006</v>
      </c>
      <c r="B1713" s="7" t="s">
        <v>129</v>
      </c>
      <c r="C1713" s="7" t="s">
        <v>278</v>
      </c>
      <c r="D1713" s="7" t="s">
        <v>130</v>
      </c>
      <c r="E1713" s="7" t="s">
        <v>360</v>
      </c>
      <c r="F1713" s="8" t="str">
        <f>_xlfn.IFNA(INDEX('HS Codes'!$D$2:$K4267,MATCH($B1713,'HS Codes'!$A$2:$A4267,0),MATCH(F$1,'HS Codes'!$D$1:$K$1,0)),"")</f>
        <v>6504.00.90.15</v>
      </c>
      <c r="G1713" s="8">
        <f>_xlfn.IFNA(INDEX('HS Codes'!$D$2:$K4267,MATCH($B1713,'HS Codes'!$A$2:$A4267,0),MATCH(G$1,'HS Codes'!$D$1:$K$1,0)),"")</f>
        <v>6505009090</v>
      </c>
      <c r="H1713" s="8" t="str">
        <f>_xlfn.IFNA(INDEX('HS Codes'!$D$2:$K4267,MATCH($B1713,'HS Codes'!$A$2:$A4267,0),MATCH(H$1,'HS Codes'!$D$1:$K$1,0)),"")</f>
        <v>6505.00.40.00</v>
      </c>
      <c r="I1713" s="8" t="str">
        <f>_xlfn.IFNA(INDEX('HS Codes'!$D$2:$K4267,MATCH($B1713,'HS Codes'!$A$2:$A4267,0),MATCH(I$1,'HS Codes'!$D$1:$K$1,0)),"")</f>
        <v>6505.00.90.90</v>
      </c>
      <c r="J1713" s="8">
        <f>_xlfn.IFNA(INDEX('HS Codes'!$D$2:$K4267,MATCH($B1713,'HS Codes'!$A$2:$A4267,0),MATCH(J$1,'HS Codes'!$D$1:$K$1,0)),"")</f>
        <v>0</v>
      </c>
      <c r="K1713" s="8" t="str">
        <f>_xlfn.IFNA(INDEX('HS Codes'!$D$2:$K4267,MATCH($B1713,'HS Codes'!$A$2:$A4267,0),MATCH(K$1,'HS Codes'!$D$1:$K$1,0)),"")</f>
        <v>6505.00.90</v>
      </c>
      <c r="L1713" s="8">
        <f>_xlfn.IFNA(INDEX('HS Codes'!$D$2:$K4267,MATCH($B1713,'HS Codes'!$A$2:$A4267,0),MATCH(L$1,'HS Codes'!$D$1:$K$1,0)),"")</f>
        <v>0</v>
      </c>
      <c r="M1713" s="8" t="str">
        <f>_xlfn.IFNA(INDEX('HS Codes'!$C$2:$C4267,MATCH($B1713,'HS Codes'!$A$2:$A4267,0)),"")</f>
        <v>Head Towel 100% recycled 200 GSM/83% polyester/17% polyamide (no cotton)</v>
      </c>
      <c r="N1713" s="9"/>
      <c r="O1713" s="9"/>
      <c r="P1713" s="9"/>
      <c r="Q1713" s="9"/>
    </row>
    <row r="1714" spans="1:17" ht="15.75" customHeight="1">
      <c r="A1714" s="7" t="s">
        <v>2007</v>
      </c>
      <c r="B1714" s="7" t="s">
        <v>129</v>
      </c>
      <c r="C1714" s="7" t="s">
        <v>278</v>
      </c>
      <c r="D1714" s="7" t="s">
        <v>130</v>
      </c>
      <c r="E1714" s="7" t="s">
        <v>360</v>
      </c>
      <c r="F1714" s="8" t="str">
        <f>_xlfn.IFNA(INDEX('HS Codes'!$D$2:$K4268,MATCH($B1714,'HS Codes'!$A$2:$A4268,0),MATCH(F$1,'HS Codes'!$D$1:$K$1,0)),"")</f>
        <v>6504.00.90.15</v>
      </c>
      <c r="G1714" s="8">
        <f>_xlfn.IFNA(INDEX('HS Codes'!$D$2:$K4268,MATCH($B1714,'HS Codes'!$A$2:$A4268,0),MATCH(G$1,'HS Codes'!$D$1:$K$1,0)),"")</f>
        <v>6505009090</v>
      </c>
      <c r="H1714" s="8" t="str">
        <f>_xlfn.IFNA(INDEX('HS Codes'!$D$2:$K4268,MATCH($B1714,'HS Codes'!$A$2:$A4268,0),MATCH(H$1,'HS Codes'!$D$1:$K$1,0)),"")</f>
        <v>6505.00.40.00</v>
      </c>
      <c r="I1714" s="8" t="str">
        <f>_xlfn.IFNA(INDEX('HS Codes'!$D$2:$K4268,MATCH($B1714,'HS Codes'!$A$2:$A4268,0),MATCH(I$1,'HS Codes'!$D$1:$K$1,0)),"")</f>
        <v>6505.00.90.90</v>
      </c>
      <c r="J1714" s="8">
        <f>_xlfn.IFNA(INDEX('HS Codes'!$D$2:$K4268,MATCH($B1714,'HS Codes'!$A$2:$A4268,0),MATCH(J$1,'HS Codes'!$D$1:$K$1,0)),"")</f>
        <v>0</v>
      </c>
      <c r="K1714" s="8" t="str">
        <f>_xlfn.IFNA(INDEX('HS Codes'!$D$2:$K4268,MATCH($B1714,'HS Codes'!$A$2:$A4268,0),MATCH(K$1,'HS Codes'!$D$1:$K$1,0)),"")</f>
        <v>6505.00.90</v>
      </c>
      <c r="L1714" s="8">
        <f>_xlfn.IFNA(INDEX('HS Codes'!$D$2:$K4268,MATCH($B1714,'HS Codes'!$A$2:$A4268,0),MATCH(L$1,'HS Codes'!$D$1:$K$1,0)),"")</f>
        <v>0</v>
      </c>
      <c r="M1714" s="8" t="str">
        <f>_xlfn.IFNA(INDEX('HS Codes'!$C$2:$C4268,MATCH($B1714,'HS Codes'!$A$2:$A4268,0)),"")</f>
        <v>Head Towel 100% recycled 200 GSM/83% polyester/17% polyamide (no cotton)</v>
      </c>
      <c r="N1714" s="9"/>
      <c r="O1714" s="9"/>
      <c r="P1714" s="9"/>
      <c r="Q1714" s="9"/>
    </row>
    <row r="1715" spans="1:17" ht="15.75" customHeight="1">
      <c r="A1715" s="7" t="s">
        <v>2008</v>
      </c>
      <c r="B1715" s="7" t="s">
        <v>129</v>
      </c>
      <c r="C1715" s="7" t="s">
        <v>278</v>
      </c>
      <c r="D1715" s="7" t="s">
        <v>130</v>
      </c>
      <c r="E1715" s="7" t="s">
        <v>360</v>
      </c>
      <c r="F1715" s="8" t="str">
        <f>_xlfn.IFNA(INDEX('HS Codes'!$D$2:$K4269,MATCH($B1715,'HS Codes'!$A$2:$A4269,0),MATCH(F$1,'HS Codes'!$D$1:$K$1,0)),"")</f>
        <v>6504.00.90.15</v>
      </c>
      <c r="G1715" s="8">
        <f>_xlfn.IFNA(INDEX('HS Codes'!$D$2:$K4269,MATCH($B1715,'HS Codes'!$A$2:$A4269,0),MATCH(G$1,'HS Codes'!$D$1:$K$1,0)),"")</f>
        <v>6505009090</v>
      </c>
      <c r="H1715" s="8" t="str">
        <f>_xlfn.IFNA(INDEX('HS Codes'!$D$2:$K4269,MATCH($B1715,'HS Codes'!$A$2:$A4269,0),MATCH(H$1,'HS Codes'!$D$1:$K$1,0)),"")</f>
        <v>6505.00.40.00</v>
      </c>
      <c r="I1715" s="8" t="str">
        <f>_xlfn.IFNA(INDEX('HS Codes'!$D$2:$K4269,MATCH($B1715,'HS Codes'!$A$2:$A4269,0),MATCH(I$1,'HS Codes'!$D$1:$K$1,0)),"")</f>
        <v>6505.00.90.90</v>
      </c>
      <c r="J1715" s="8">
        <f>_xlfn.IFNA(INDEX('HS Codes'!$D$2:$K4269,MATCH($B1715,'HS Codes'!$A$2:$A4269,0),MATCH(J$1,'HS Codes'!$D$1:$K$1,0)),"")</f>
        <v>0</v>
      </c>
      <c r="K1715" s="8" t="str">
        <f>_xlfn.IFNA(INDEX('HS Codes'!$D$2:$K4269,MATCH($B1715,'HS Codes'!$A$2:$A4269,0),MATCH(K$1,'HS Codes'!$D$1:$K$1,0)),"")</f>
        <v>6505.00.90</v>
      </c>
      <c r="L1715" s="8">
        <f>_xlfn.IFNA(INDEX('HS Codes'!$D$2:$K4269,MATCH($B1715,'HS Codes'!$A$2:$A4269,0),MATCH(L$1,'HS Codes'!$D$1:$K$1,0)),"")</f>
        <v>0</v>
      </c>
      <c r="M1715" s="8" t="str">
        <f>_xlfn.IFNA(INDEX('HS Codes'!$C$2:$C4269,MATCH($B1715,'HS Codes'!$A$2:$A4269,0)),"")</f>
        <v>Head Towel 100% recycled 200 GSM/83% polyester/17% polyamide (no cotton)</v>
      </c>
      <c r="N1715" s="9"/>
      <c r="O1715" s="9"/>
      <c r="P1715" s="9"/>
      <c r="Q1715" s="9"/>
    </row>
    <row r="1716" spans="1:17" ht="15.75" customHeight="1">
      <c r="A1716" s="7" t="s">
        <v>2009</v>
      </c>
      <c r="B1716" s="7" t="s">
        <v>129</v>
      </c>
      <c r="C1716" s="7" t="s">
        <v>278</v>
      </c>
      <c r="D1716" s="7" t="s">
        <v>130</v>
      </c>
      <c r="E1716" s="7" t="s">
        <v>360</v>
      </c>
      <c r="F1716" s="8" t="str">
        <f>_xlfn.IFNA(INDEX('HS Codes'!$D$2:$K4270,MATCH($B1716,'HS Codes'!$A$2:$A4270,0),MATCH(F$1,'HS Codes'!$D$1:$K$1,0)),"")</f>
        <v>6504.00.90.15</v>
      </c>
      <c r="G1716" s="8">
        <f>_xlfn.IFNA(INDEX('HS Codes'!$D$2:$K4270,MATCH($B1716,'HS Codes'!$A$2:$A4270,0),MATCH(G$1,'HS Codes'!$D$1:$K$1,0)),"")</f>
        <v>6505009090</v>
      </c>
      <c r="H1716" s="8" t="str">
        <f>_xlfn.IFNA(INDEX('HS Codes'!$D$2:$K4270,MATCH($B1716,'HS Codes'!$A$2:$A4270,0),MATCH(H$1,'HS Codes'!$D$1:$K$1,0)),"")</f>
        <v>6505.00.40.00</v>
      </c>
      <c r="I1716" s="8" t="str">
        <f>_xlfn.IFNA(INDEX('HS Codes'!$D$2:$K4270,MATCH($B1716,'HS Codes'!$A$2:$A4270,0),MATCH(I$1,'HS Codes'!$D$1:$K$1,0)),"")</f>
        <v>6505.00.90.90</v>
      </c>
      <c r="J1716" s="8">
        <f>_xlfn.IFNA(INDEX('HS Codes'!$D$2:$K4270,MATCH($B1716,'HS Codes'!$A$2:$A4270,0),MATCH(J$1,'HS Codes'!$D$1:$K$1,0)),"")</f>
        <v>0</v>
      </c>
      <c r="K1716" s="8" t="str">
        <f>_xlfn.IFNA(INDEX('HS Codes'!$D$2:$K4270,MATCH($B1716,'HS Codes'!$A$2:$A4270,0),MATCH(K$1,'HS Codes'!$D$1:$K$1,0)),"")</f>
        <v>6505.00.90</v>
      </c>
      <c r="L1716" s="8">
        <f>_xlfn.IFNA(INDEX('HS Codes'!$D$2:$K4270,MATCH($B1716,'HS Codes'!$A$2:$A4270,0),MATCH(L$1,'HS Codes'!$D$1:$K$1,0)),"")</f>
        <v>0</v>
      </c>
      <c r="M1716" s="8" t="str">
        <f>_xlfn.IFNA(INDEX('HS Codes'!$C$2:$C4270,MATCH($B1716,'HS Codes'!$A$2:$A4270,0)),"")</f>
        <v>Head Towel 100% recycled 200 GSM/83% polyester/17% polyamide (no cotton)</v>
      </c>
      <c r="N1716" s="9"/>
      <c r="O1716" s="9"/>
      <c r="P1716" s="9"/>
      <c r="Q1716" s="9"/>
    </row>
    <row r="1717" spans="1:17" ht="15.75" customHeight="1">
      <c r="A1717" s="7" t="s">
        <v>2010</v>
      </c>
      <c r="B1717" s="7" t="s">
        <v>129</v>
      </c>
      <c r="C1717" s="7" t="s">
        <v>278</v>
      </c>
      <c r="D1717" s="7" t="s">
        <v>130</v>
      </c>
      <c r="E1717" s="7" t="s">
        <v>360</v>
      </c>
      <c r="F1717" s="8" t="str">
        <f>_xlfn.IFNA(INDEX('HS Codes'!$D$2:$K4271,MATCH($B1717,'HS Codes'!$A$2:$A4271,0),MATCH(F$1,'HS Codes'!$D$1:$K$1,0)),"")</f>
        <v>6504.00.90.15</v>
      </c>
      <c r="G1717" s="8">
        <f>_xlfn.IFNA(INDEX('HS Codes'!$D$2:$K4271,MATCH($B1717,'HS Codes'!$A$2:$A4271,0),MATCH(G$1,'HS Codes'!$D$1:$K$1,0)),"")</f>
        <v>6505009090</v>
      </c>
      <c r="H1717" s="8" t="str">
        <f>_xlfn.IFNA(INDEX('HS Codes'!$D$2:$K4271,MATCH($B1717,'HS Codes'!$A$2:$A4271,0),MATCH(H$1,'HS Codes'!$D$1:$K$1,0)),"")</f>
        <v>6505.00.40.00</v>
      </c>
      <c r="I1717" s="8" t="str">
        <f>_xlfn.IFNA(INDEX('HS Codes'!$D$2:$K4271,MATCH($B1717,'HS Codes'!$A$2:$A4271,0),MATCH(I$1,'HS Codes'!$D$1:$K$1,0)),"")</f>
        <v>6505.00.90.90</v>
      </c>
      <c r="J1717" s="8">
        <f>_xlfn.IFNA(INDEX('HS Codes'!$D$2:$K4271,MATCH($B1717,'HS Codes'!$A$2:$A4271,0),MATCH(J$1,'HS Codes'!$D$1:$K$1,0)),"")</f>
        <v>0</v>
      </c>
      <c r="K1717" s="8" t="str">
        <f>_xlfn.IFNA(INDEX('HS Codes'!$D$2:$K4271,MATCH($B1717,'HS Codes'!$A$2:$A4271,0),MATCH(K$1,'HS Codes'!$D$1:$K$1,0)),"")</f>
        <v>6505.00.90</v>
      </c>
      <c r="L1717" s="8">
        <f>_xlfn.IFNA(INDEX('HS Codes'!$D$2:$K4271,MATCH($B1717,'HS Codes'!$A$2:$A4271,0),MATCH(L$1,'HS Codes'!$D$1:$K$1,0)),"")</f>
        <v>0</v>
      </c>
      <c r="M1717" s="8" t="str">
        <f>_xlfn.IFNA(INDEX('HS Codes'!$C$2:$C4271,MATCH($B1717,'HS Codes'!$A$2:$A4271,0)),"")</f>
        <v>Head Towel 100% recycled 200 GSM/83% polyester/17% polyamide (no cotton)</v>
      </c>
      <c r="N1717" s="9"/>
      <c r="O1717" s="9"/>
      <c r="P1717" s="9"/>
      <c r="Q1717" s="9"/>
    </row>
    <row r="1718" spans="1:17" ht="15.75" customHeight="1">
      <c r="A1718" s="7" t="s">
        <v>2011</v>
      </c>
      <c r="B1718" s="7" t="s">
        <v>129</v>
      </c>
      <c r="C1718" s="7" t="s">
        <v>278</v>
      </c>
      <c r="D1718" s="7" t="s">
        <v>130</v>
      </c>
      <c r="E1718" s="7" t="s">
        <v>360</v>
      </c>
      <c r="F1718" s="8" t="str">
        <f>_xlfn.IFNA(INDEX('HS Codes'!$D$2:$K4272,MATCH($B1718,'HS Codes'!$A$2:$A4272,0),MATCH(F$1,'HS Codes'!$D$1:$K$1,0)),"")</f>
        <v>6504.00.90.15</v>
      </c>
      <c r="G1718" s="8">
        <f>_xlfn.IFNA(INDEX('HS Codes'!$D$2:$K4272,MATCH($B1718,'HS Codes'!$A$2:$A4272,0),MATCH(G$1,'HS Codes'!$D$1:$K$1,0)),"")</f>
        <v>6505009090</v>
      </c>
      <c r="H1718" s="8" t="str">
        <f>_xlfn.IFNA(INDEX('HS Codes'!$D$2:$K4272,MATCH($B1718,'HS Codes'!$A$2:$A4272,0),MATCH(H$1,'HS Codes'!$D$1:$K$1,0)),"")</f>
        <v>6505.00.40.00</v>
      </c>
      <c r="I1718" s="8" t="str">
        <f>_xlfn.IFNA(INDEX('HS Codes'!$D$2:$K4272,MATCH($B1718,'HS Codes'!$A$2:$A4272,0),MATCH(I$1,'HS Codes'!$D$1:$K$1,0)),"")</f>
        <v>6505.00.90.90</v>
      </c>
      <c r="J1718" s="8">
        <f>_xlfn.IFNA(INDEX('HS Codes'!$D$2:$K4272,MATCH($B1718,'HS Codes'!$A$2:$A4272,0),MATCH(J$1,'HS Codes'!$D$1:$K$1,0)),"")</f>
        <v>0</v>
      </c>
      <c r="K1718" s="8" t="str">
        <f>_xlfn.IFNA(INDEX('HS Codes'!$D$2:$K4272,MATCH($B1718,'HS Codes'!$A$2:$A4272,0),MATCH(K$1,'HS Codes'!$D$1:$K$1,0)),"")</f>
        <v>6505.00.90</v>
      </c>
      <c r="L1718" s="8">
        <f>_xlfn.IFNA(INDEX('HS Codes'!$D$2:$K4272,MATCH($B1718,'HS Codes'!$A$2:$A4272,0),MATCH(L$1,'HS Codes'!$D$1:$K$1,0)),"")</f>
        <v>0</v>
      </c>
      <c r="M1718" s="8" t="str">
        <f>_xlfn.IFNA(INDEX('HS Codes'!$C$2:$C4272,MATCH($B1718,'HS Codes'!$A$2:$A4272,0)),"")</f>
        <v>Head Towel 100% recycled 200 GSM/83% polyester/17% polyamide (no cotton)</v>
      </c>
      <c r="N1718" s="9"/>
      <c r="O1718" s="9"/>
      <c r="P1718" s="9"/>
      <c r="Q1718" s="9"/>
    </row>
    <row r="1719" spans="1:17" ht="15.75" customHeight="1">
      <c r="A1719" s="7" t="s">
        <v>2012</v>
      </c>
      <c r="B1719" s="7" t="s">
        <v>129</v>
      </c>
      <c r="C1719" s="7" t="s">
        <v>278</v>
      </c>
      <c r="D1719" s="7" t="s">
        <v>130</v>
      </c>
      <c r="E1719" s="7" t="s">
        <v>360</v>
      </c>
      <c r="F1719" s="8" t="str">
        <f>_xlfn.IFNA(INDEX('HS Codes'!$D$2:$K4273,MATCH($B1719,'HS Codes'!$A$2:$A4273,0),MATCH(F$1,'HS Codes'!$D$1:$K$1,0)),"")</f>
        <v>6504.00.90.15</v>
      </c>
      <c r="G1719" s="8">
        <f>_xlfn.IFNA(INDEX('HS Codes'!$D$2:$K4273,MATCH($B1719,'HS Codes'!$A$2:$A4273,0),MATCH(G$1,'HS Codes'!$D$1:$K$1,0)),"")</f>
        <v>6505009090</v>
      </c>
      <c r="H1719" s="8" t="str">
        <f>_xlfn.IFNA(INDEX('HS Codes'!$D$2:$K4273,MATCH($B1719,'HS Codes'!$A$2:$A4273,0),MATCH(H$1,'HS Codes'!$D$1:$K$1,0)),"")</f>
        <v>6505.00.40.00</v>
      </c>
      <c r="I1719" s="8" t="str">
        <f>_xlfn.IFNA(INDEX('HS Codes'!$D$2:$K4273,MATCH($B1719,'HS Codes'!$A$2:$A4273,0),MATCH(I$1,'HS Codes'!$D$1:$K$1,0)),"")</f>
        <v>6505.00.90.90</v>
      </c>
      <c r="J1719" s="8">
        <f>_xlfn.IFNA(INDEX('HS Codes'!$D$2:$K4273,MATCH($B1719,'HS Codes'!$A$2:$A4273,0),MATCH(J$1,'HS Codes'!$D$1:$K$1,0)),"")</f>
        <v>0</v>
      </c>
      <c r="K1719" s="8" t="str">
        <f>_xlfn.IFNA(INDEX('HS Codes'!$D$2:$K4273,MATCH($B1719,'HS Codes'!$A$2:$A4273,0),MATCH(K$1,'HS Codes'!$D$1:$K$1,0)),"")</f>
        <v>6505.00.90</v>
      </c>
      <c r="L1719" s="8">
        <f>_xlfn.IFNA(INDEX('HS Codes'!$D$2:$K4273,MATCH($B1719,'HS Codes'!$A$2:$A4273,0),MATCH(L$1,'HS Codes'!$D$1:$K$1,0)),"")</f>
        <v>0</v>
      </c>
      <c r="M1719" s="8" t="str">
        <f>_xlfn.IFNA(INDEX('HS Codes'!$C$2:$C4273,MATCH($B1719,'HS Codes'!$A$2:$A4273,0)),"")</f>
        <v>Head Towel 100% recycled 200 GSM/83% polyester/17% polyamide (no cotton)</v>
      </c>
      <c r="N1719" s="9"/>
      <c r="O1719" s="9"/>
      <c r="P1719" s="9"/>
      <c r="Q1719" s="9"/>
    </row>
    <row r="1720" spans="1:17" ht="15.75" customHeight="1">
      <c r="A1720" s="7" t="s">
        <v>2013</v>
      </c>
      <c r="B1720" s="7" t="s">
        <v>129</v>
      </c>
      <c r="C1720" s="7" t="s">
        <v>278</v>
      </c>
      <c r="D1720" s="7" t="s">
        <v>130</v>
      </c>
      <c r="E1720" s="7" t="s">
        <v>360</v>
      </c>
      <c r="F1720" s="8" t="str">
        <f>_xlfn.IFNA(INDEX('HS Codes'!$D$2:$K4274,MATCH($B1720,'HS Codes'!$A$2:$A4274,0),MATCH(F$1,'HS Codes'!$D$1:$K$1,0)),"")</f>
        <v>6504.00.90.15</v>
      </c>
      <c r="G1720" s="8">
        <f>_xlfn.IFNA(INDEX('HS Codes'!$D$2:$K4274,MATCH($B1720,'HS Codes'!$A$2:$A4274,0),MATCH(G$1,'HS Codes'!$D$1:$K$1,0)),"")</f>
        <v>6505009090</v>
      </c>
      <c r="H1720" s="8" t="str">
        <f>_xlfn.IFNA(INDEX('HS Codes'!$D$2:$K4274,MATCH($B1720,'HS Codes'!$A$2:$A4274,0),MATCH(H$1,'HS Codes'!$D$1:$K$1,0)),"")</f>
        <v>6505.00.40.00</v>
      </c>
      <c r="I1720" s="8" t="str">
        <f>_xlfn.IFNA(INDEX('HS Codes'!$D$2:$K4274,MATCH($B1720,'HS Codes'!$A$2:$A4274,0),MATCH(I$1,'HS Codes'!$D$1:$K$1,0)),"")</f>
        <v>6505.00.90.90</v>
      </c>
      <c r="J1720" s="8">
        <f>_xlfn.IFNA(INDEX('HS Codes'!$D$2:$K4274,MATCH($B1720,'HS Codes'!$A$2:$A4274,0),MATCH(J$1,'HS Codes'!$D$1:$K$1,0)),"")</f>
        <v>0</v>
      </c>
      <c r="K1720" s="8" t="str">
        <f>_xlfn.IFNA(INDEX('HS Codes'!$D$2:$K4274,MATCH($B1720,'HS Codes'!$A$2:$A4274,0),MATCH(K$1,'HS Codes'!$D$1:$K$1,0)),"")</f>
        <v>6505.00.90</v>
      </c>
      <c r="L1720" s="8">
        <f>_xlfn.IFNA(INDEX('HS Codes'!$D$2:$K4274,MATCH($B1720,'HS Codes'!$A$2:$A4274,0),MATCH(L$1,'HS Codes'!$D$1:$K$1,0)),"")</f>
        <v>0</v>
      </c>
      <c r="M1720" s="8" t="str">
        <f>_xlfn.IFNA(INDEX('HS Codes'!$C$2:$C4274,MATCH($B1720,'HS Codes'!$A$2:$A4274,0)),"")</f>
        <v>Head Towel 100% recycled 200 GSM/83% polyester/17% polyamide (no cotton)</v>
      </c>
      <c r="N1720" s="9"/>
      <c r="O1720" s="9"/>
      <c r="P1720" s="9"/>
      <c r="Q1720" s="9"/>
    </row>
    <row r="1721" spans="1:17" ht="15.75" customHeight="1">
      <c r="A1721" s="7" t="s">
        <v>2014</v>
      </c>
      <c r="B1721" s="7" t="s">
        <v>129</v>
      </c>
      <c r="C1721" s="7" t="s">
        <v>278</v>
      </c>
      <c r="D1721" s="7" t="s">
        <v>130</v>
      </c>
      <c r="E1721" s="7" t="s">
        <v>360</v>
      </c>
      <c r="F1721" s="8" t="str">
        <f>_xlfn.IFNA(INDEX('HS Codes'!$D$2:$K4275,MATCH($B1721,'HS Codes'!$A$2:$A4275,0),MATCH(F$1,'HS Codes'!$D$1:$K$1,0)),"")</f>
        <v>6504.00.90.15</v>
      </c>
      <c r="G1721" s="8">
        <f>_xlfn.IFNA(INDEX('HS Codes'!$D$2:$K4275,MATCH($B1721,'HS Codes'!$A$2:$A4275,0),MATCH(G$1,'HS Codes'!$D$1:$K$1,0)),"")</f>
        <v>6505009090</v>
      </c>
      <c r="H1721" s="8" t="str">
        <f>_xlfn.IFNA(INDEX('HS Codes'!$D$2:$K4275,MATCH($B1721,'HS Codes'!$A$2:$A4275,0),MATCH(H$1,'HS Codes'!$D$1:$K$1,0)),"")</f>
        <v>6505.00.40.00</v>
      </c>
      <c r="I1721" s="8" t="str">
        <f>_xlfn.IFNA(INDEX('HS Codes'!$D$2:$K4275,MATCH($B1721,'HS Codes'!$A$2:$A4275,0),MATCH(I$1,'HS Codes'!$D$1:$K$1,0)),"")</f>
        <v>6505.00.90.90</v>
      </c>
      <c r="J1721" s="8">
        <f>_xlfn.IFNA(INDEX('HS Codes'!$D$2:$K4275,MATCH($B1721,'HS Codes'!$A$2:$A4275,0),MATCH(J$1,'HS Codes'!$D$1:$K$1,0)),"")</f>
        <v>0</v>
      </c>
      <c r="K1721" s="8" t="str">
        <f>_xlfn.IFNA(INDEX('HS Codes'!$D$2:$K4275,MATCH($B1721,'HS Codes'!$A$2:$A4275,0),MATCH(K$1,'HS Codes'!$D$1:$K$1,0)),"")</f>
        <v>6505.00.90</v>
      </c>
      <c r="L1721" s="8">
        <f>_xlfn.IFNA(INDEX('HS Codes'!$D$2:$K4275,MATCH($B1721,'HS Codes'!$A$2:$A4275,0),MATCH(L$1,'HS Codes'!$D$1:$K$1,0)),"")</f>
        <v>0</v>
      </c>
      <c r="M1721" s="8" t="str">
        <f>_xlfn.IFNA(INDEX('HS Codes'!$C$2:$C4275,MATCH($B1721,'HS Codes'!$A$2:$A4275,0)),"")</f>
        <v>Head Towel 100% recycled 200 GSM/83% polyester/17% polyamide (no cotton)</v>
      </c>
      <c r="N1721" s="9"/>
      <c r="O1721" s="9"/>
      <c r="P1721" s="9"/>
      <c r="Q1721" s="9"/>
    </row>
    <row r="1722" spans="1:17" ht="15.75" customHeight="1">
      <c r="A1722" s="7" t="s">
        <v>2015</v>
      </c>
      <c r="B1722" s="7" t="s">
        <v>129</v>
      </c>
      <c r="C1722" s="7" t="s">
        <v>278</v>
      </c>
      <c r="D1722" s="7" t="s">
        <v>130</v>
      </c>
      <c r="E1722" s="7" t="s">
        <v>360</v>
      </c>
      <c r="F1722" s="8" t="str">
        <f>_xlfn.IFNA(INDEX('HS Codes'!$D$2:$K4276,MATCH($B1722,'HS Codes'!$A$2:$A4276,0),MATCH(F$1,'HS Codes'!$D$1:$K$1,0)),"")</f>
        <v>6504.00.90.15</v>
      </c>
      <c r="G1722" s="8">
        <f>_xlfn.IFNA(INDEX('HS Codes'!$D$2:$K4276,MATCH($B1722,'HS Codes'!$A$2:$A4276,0),MATCH(G$1,'HS Codes'!$D$1:$K$1,0)),"")</f>
        <v>6505009090</v>
      </c>
      <c r="H1722" s="8" t="str">
        <f>_xlfn.IFNA(INDEX('HS Codes'!$D$2:$K4276,MATCH($B1722,'HS Codes'!$A$2:$A4276,0),MATCH(H$1,'HS Codes'!$D$1:$K$1,0)),"")</f>
        <v>6505.00.40.00</v>
      </c>
      <c r="I1722" s="8" t="str">
        <f>_xlfn.IFNA(INDEX('HS Codes'!$D$2:$K4276,MATCH($B1722,'HS Codes'!$A$2:$A4276,0),MATCH(I$1,'HS Codes'!$D$1:$K$1,0)),"")</f>
        <v>6505.00.90.90</v>
      </c>
      <c r="J1722" s="8">
        <f>_xlfn.IFNA(INDEX('HS Codes'!$D$2:$K4276,MATCH($B1722,'HS Codes'!$A$2:$A4276,0),MATCH(J$1,'HS Codes'!$D$1:$K$1,0)),"")</f>
        <v>0</v>
      </c>
      <c r="K1722" s="8" t="str">
        <f>_xlfn.IFNA(INDEX('HS Codes'!$D$2:$K4276,MATCH($B1722,'HS Codes'!$A$2:$A4276,0),MATCH(K$1,'HS Codes'!$D$1:$K$1,0)),"")</f>
        <v>6505.00.90</v>
      </c>
      <c r="L1722" s="8">
        <f>_xlfn.IFNA(INDEX('HS Codes'!$D$2:$K4276,MATCH($B1722,'HS Codes'!$A$2:$A4276,0),MATCH(L$1,'HS Codes'!$D$1:$K$1,0)),"")</f>
        <v>0</v>
      </c>
      <c r="M1722" s="8" t="str">
        <f>_xlfn.IFNA(INDEX('HS Codes'!$C$2:$C4276,MATCH($B1722,'HS Codes'!$A$2:$A4276,0)),"")</f>
        <v>Head Towel 100% recycled 200 GSM/83% polyester/17% polyamide (no cotton)</v>
      </c>
      <c r="N1722" s="9"/>
      <c r="O1722" s="9"/>
      <c r="P1722" s="9"/>
      <c r="Q1722" s="9"/>
    </row>
    <row r="1723" spans="1:17" ht="15.75" customHeight="1">
      <c r="A1723" s="7" t="s">
        <v>2016</v>
      </c>
      <c r="B1723" s="7" t="s">
        <v>129</v>
      </c>
      <c r="C1723" s="7" t="s">
        <v>278</v>
      </c>
      <c r="D1723" s="7" t="s">
        <v>130</v>
      </c>
      <c r="E1723" s="7" t="s">
        <v>360</v>
      </c>
      <c r="F1723" s="8" t="str">
        <f>_xlfn.IFNA(INDEX('HS Codes'!$D$2:$K4277,MATCH($B1723,'HS Codes'!$A$2:$A4277,0),MATCH(F$1,'HS Codes'!$D$1:$K$1,0)),"")</f>
        <v>6504.00.90.15</v>
      </c>
      <c r="G1723" s="8">
        <f>_xlfn.IFNA(INDEX('HS Codes'!$D$2:$K4277,MATCH($B1723,'HS Codes'!$A$2:$A4277,0),MATCH(G$1,'HS Codes'!$D$1:$K$1,0)),"")</f>
        <v>6505009090</v>
      </c>
      <c r="H1723" s="8" t="str">
        <f>_xlfn.IFNA(INDEX('HS Codes'!$D$2:$K4277,MATCH($B1723,'HS Codes'!$A$2:$A4277,0),MATCH(H$1,'HS Codes'!$D$1:$K$1,0)),"")</f>
        <v>6505.00.40.00</v>
      </c>
      <c r="I1723" s="8" t="str">
        <f>_xlfn.IFNA(INDEX('HS Codes'!$D$2:$K4277,MATCH($B1723,'HS Codes'!$A$2:$A4277,0),MATCH(I$1,'HS Codes'!$D$1:$K$1,0)),"")</f>
        <v>6505.00.90.90</v>
      </c>
      <c r="J1723" s="8">
        <f>_xlfn.IFNA(INDEX('HS Codes'!$D$2:$K4277,MATCH($B1723,'HS Codes'!$A$2:$A4277,0),MATCH(J$1,'HS Codes'!$D$1:$K$1,0)),"")</f>
        <v>0</v>
      </c>
      <c r="K1723" s="8" t="str">
        <f>_xlfn.IFNA(INDEX('HS Codes'!$D$2:$K4277,MATCH($B1723,'HS Codes'!$A$2:$A4277,0),MATCH(K$1,'HS Codes'!$D$1:$K$1,0)),"")</f>
        <v>6505.00.90</v>
      </c>
      <c r="L1723" s="8">
        <f>_xlfn.IFNA(INDEX('HS Codes'!$D$2:$K4277,MATCH($B1723,'HS Codes'!$A$2:$A4277,0),MATCH(L$1,'HS Codes'!$D$1:$K$1,0)),"")</f>
        <v>0</v>
      </c>
      <c r="M1723" s="8" t="str">
        <f>_xlfn.IFNA(INDEX('HS Codes'!$C$2:$C4277,MATCH($B1723,'HS Codes'!$A$2:$A4277,0)),"")</f>
        <v>Head Towel 100% recycled 200 GSM/83% polyester/17% polyamide (no cotton)</v>
      </c>
      <c r="N1723" s="9"/>
      <c r="O1723" s="9"/>
      <c r="P1723" s="9"/>
      <c r="Q1723" s="9"/>
    </row>
    <row r="1724" spans="1:17" ht="15.75" customHeight="1">
      <c r="A1724" s="7" t="s">
        <v>2017</v>
      </c>
      <c r="B1724" s="7" t="s">
        <v>129</v>
      </c>
      <c r="C1724" s="7" t="s">
        <v>278</v>
      </c>
      <c r="D1724" s="7" t="s">
        <v>130</v>
      </c>
      <c r="E1724" s="7" t="s">
        <v>360</v>
      </c>
      <c r="F1724" s="8" t="str">
        <f>_xlfn.IFNA(INDEX('HS Codes'!$D$2:$K4278,MATCH($B1724,'HS Codes'!$A$2:$A4278,0),MATCH(F$1,'HS Codes'!$D$1:$K$1,0)),"")</f>
        <v>6504.00.90.15</v>
      </c>
      <c r="G1724" s="8">
        <f>_xlfn.IFNA(INDEX('HS Codes'!$D$2:$K4278,MATCH($B1724,'HS Codes'!$A$2:$A4278,0),MATCH(G$1,'HS Codes'!$D$1:$K$1,0)),"")</f>
        <v>6505009090</v>
      </c>
      <c r="H1724" s="8" t="str">
        <f>_xlfn.IFNA(INDEX('HS Codes'!$D$2:$K4278,MATCH($B1724,'HS Codes'!$A$2:$A4278,0),MATCH(H$1,'HS Codes'!$D$1:$K$1,0)),"")</f>
        <v>6505.00.40.00</v>
      </c>
      <c r="I1724" s="8" t="str">
        <f>_xlfn.IFNA(INDEX('HS Codes'!$D$2:$K4278,MATCH($B1724,'HS Codes'!$A$2:$A4278,0),MATCH(I$1,'HS Codes'!$D$1:$K$1,0)),"")</f>
        <v>6505.00.90.90</v>
      </c>
      <c r="J1724" s="8">
        <f>_xlfn.IFNA(INDEX('HS Codes'!$D$2:$K4278,MATCH($B1724,'HS Codes'!$A$2:$A4278,0),MATCH(J$1,'HS Codes'!$D$1:$K$1,0)),"")</f>
        <v>0</v>
      </c>
      <c r="K1724" s="8" t="str">
        <f>_xlfn.IFNA(INDEX('HS Codes'!$D$2:$K4278,MATCH($B1724,'HS Codes'!$A$2:$A4278,0),MATCH(K$1,'HS Codes'!$D$1:$K$1,0)),"")</f>
        <v>6505.00.90</v>
      </c>
      <c r="L1724" s="8">
        <f>_xlfn.IFNA(INDEX('HS Codes'!$D$2:$K4278,MATCH($B1724,'HS Codes'!$A$2:$A4278,0),MATCH(L$1,'HS Codes'!$D$1:$K$1,0)),"")</f>
        <v>0</v>
      </c>
      <c r="M1724" s="8" t="str">
        <f>_xlfn.IFNA(INDEX('HS Codes'!$C$2:$C4278,MATCH($B1724,'HS Codes'!$A$2:$A4278,0)),"")</f>
        <v>Head Towel 100% recycled 200 GSM/83% polyester/17% polyamide (no cotton)</v>
      </c>
      <c r="N1724" s="9"/>
      <c r="O1724" s="9"/>
      <c r="P1724" s="9"/>
      <c r="Q1724" s="9"/>
    </row>
    <row r="1725" spans="1:17" ht="15.75" customHeight="1">
      <c r="A1725" s="7" t="s">
        <v>2018</v>
      </c>
      <c r="B1725" s="7" t="s">
        <v>129</v>
      </c>
      <c r="C1725" s="7" t="s">
        <v>278</v>
      </c>
      <c r="D1725" s="7" t="s">
        <v>130</v>
      </c>
      <c r="E1725" s="7" t="s">
        <v>360</v>
      </c>
      <c r="F1725" s="8" t="str">
        <f>_xlfn.IFNA(INDEX('HS Codes'!$D$2:$K4279,MATCH($B1725,'HS Codes'!$A$2:$A4279,0),MATCH(F$1,'HS Codes'!$D$1:$K$1,0)),"")</f>
        <v>6504.00.90.15</v>
      </c>
      <c r="G1725" s="8">
        <f>_xlfn.IFNA(INDEX('HS Codes'!$D$2:$K4279,MATCH($B1725,'HS Codes'!$A$2:$A4279,0),MATCH(G$1,'HS Codes'!$D$1:$K$1,0)),"")</f>
        <v>6505009090</v>
      </c>
      <c r="H1725" s="8" t="str">
        <f>_xlfn.IFNA(INDEX('HS Codes'!$D$2:$K4279,MATCH($B1725,'HS Codes'!$A$2:$A4279,0),MATCH(H$1,'HS Codes'!$D$1:$K$1,0)),"")</f>
        <v>6505.00.40.00</v>
      </c>
      <c r="I1725" s="8" t="str">
        <f>_xlfn.IFNA(INDEX('HS Codes'!$D$2:$K4279,MATCH($B1725,'HS Codes'!$A$2:$A4279,0),MATCH(I$1,'HS Codes'!$D$1:$K$1,0)),"")</f>
        <v>6505.00.90.90</v>
      </c>
      <c r="J1725" s="8">
        <f>_xlfn.IFNA(INDEX('HS Codes'!$D$2:$K4279,MATCH($B1725,'HS Codes'!$A$2:$A4279,0),MATCH(J$1,'HS Codes'!$D$1:$K$1,0)),"")</f>
        <v>0</v>
      </c>
      <c r="K1725" s="8" t="str">
        <f>_xlfn.IFNA(INDEX('HS Codes'!$D$2:$K4279,MATCH($B1725,'HS Codes'!$A$2:$A4279,0),MATCH(K$1,'HS Codes'!$D$1:$K$1,0)),"")</f>
        <v>6505.00.90</v>
      </c>
      <c r="L1725" s="8">
        <f>_xlfn.IFNA(INDEX('HS Codes'!$D$2:$K4279,MATCH($B1725,'HS Codes'!$A$2:$A4279,0),MATCH(L$1,'HS Codes'!$D$1:$K$1,0)),"")</f>
        <v>0</v>
      </c>
      <c r="M1725" s="8" t="str">
        <f>_xlfn.IFNA(INDEX('HS Codes'!$C$2:$C4279,MATCH($B1725,'HS Codes'!$A$2:$A4279,0)),"")</f>
        <v>Head Towel 100% recycled 200 GSM/83% polyester/17% polyamide (no cotton)</v>
      </c>
      <c r="N1725" s="9"/>
      <c r="O1725" s="9"/>
      <c r="P1725" s="9"/>
      <c r="Q1725" s="9"/>
    </row>
    <row r="1726" spans="1:17" ht="15.75" customHeight="1">
      <c r="A1726" s="7" t="s">
        <v>2019</v>
      </c>
      <c r="B1726" s="7" t="s">
        <v>129</v>
      </c>
      <c r="C1726" s="7" t="s">
        <v>278</v>
      </c>
      <c r="D1726" s="7" t="s">
        <v>130</v>
      </c>
      <c r="E1726" s="7" t="s">
        <v>360</v>
      </c>
      <c r="F1726" s="8" t="str">
        <f>_xlfn.IFNA(INDEX('HS Codes'!$D$2:$K4280,MATCH($B1726,'HS Codes'!$A$2:$A4280,0),MATCH(F$1,'HS Codes'!$D$1:$K$1,0)),"")</f>
        <v>6504.00.90.15</v>
      </c>
      <c r="G1726" s="8">
        <f>_xlfn.IFNA(INDEX('HS Codes'!$D$2:$K4280,MATCH($B1726,'HS Codes'!$A$2:$A4280,0),MATCH(G$1,'HS Codes'!$D$1:$K$1,0)),"")</f>
        <v>6505009090</v>
      </c>
      <c r="H1726" s="8" t="str">
        <f>_xlfn.IFNA(INDEX('HS Codes'!$D$2:$K4280,MATCH($B1726,'HS Codes'!$A$2:$A4280,0),MATCH(H$1,'HS Codes'!$D$1:$K$1,0)),"")</f>
        <v>6505.00.40.00</v>
      </c>
      <c r="I1726" s="8" t="str">
        <f>_xlfn.IFNA(INDEX('HS Codes'!$D$2:$K4280,MATCH($B1726,'HS Codes'!$A$2:$A4280,0),MATCH(I$1,'HS Codes'!$D$1:$K$1,0)),"")</f>
        <v>6505.00.90.90</v>
      </c>
      <c r="J1726" s="8">
        <f>_xlfn.IFNA(INDEX('HS Codes'!$D$2:$K4280,MATCH($B1726,'HS Codes'!$A$2:$A4280,0),MATCH(J$1,'HS Codes'!$D$1:$K$1,0)),"")</f>
        <v>0</v>
      </c>
      <c r="K1726" s="8" t="str">
        <f>_xlfn.IFNA(INDEX('HS Codes'!$D$2:$K4280,MATCH($B1726,'HS Codes'!$A$2:$A4280,0),MATCH(K$1,'HS Codes'!$D$1:$K$1,0)),"")</f>
        <v>6505.00.90</v>
      </c>
      <c r="L1726" s="8">
        <f>_xlfn.IFNA(INDEX('HS Codes'!$D$2:$K4280,MATCH($B1726,'HS Codes'!$A$2:$A4280,0),MATCH(L$1,'HS Codes'!$D$1:$K$1,0)),"")</f>
        <v>0</v>
      </c>
      <c r="M1726" s="8" t="str">
        <f>_xlfn.IFNA(INDEX('HS Codes'!$C$2:$C4280,MATCH($B1726,'HS Codes'!$A$2:$A4280,0)),"")</f>
        <v>Head Towel 100% recycled 200 GSM/83% polyester/17% polyamide (no cotton)</v>
      </c>
      <c r="N1726" s="9"/>
      <c r="O1726" s="9"/>
      <c r="P1726" s="9"/>
      <c r="Q1726" s="9"/>
    </row>
    <row r="1727" spans="1:17" ht="15.75" customHeight="1">
      <c r="A1727" s="7" t="s">
        <v>2020</v>
      </c>
      <c r="B1727" s="7" t="s">
        <v>129</v>
      </c>
      <c r="C1727" s="7" t="s">
        <v>278</v>
      </c>
      <c r="D1727" s="7" t="s">
        <v>130</v>
      </c>
      <c r="E1727" s="7" t="s">
        <v>360</v>
      </c>
      <c r="F1727" s="8" t="str">
        <f>_xlfn.IFNA(INDEX('HS Codes'!$D$2:$K4281,MATCH($B1727,'HS Codes'!$A$2:$A4281,0),MATCH(F$1,'HS Codes'!$D$1:$K$1,0)),"")</f>
        <v>6504.00.90.15</v>
      </c>
      <c r="G1727" s="8">
        <f>_xlfn.IFNA(INDEX('HS Codes'!$D$2:$K4281,MATCH($B1727,'HS Codes'!$A$2:$A4281,0),MATCH(G$1,'HS Codes'!$D$1:$K$1,0)),"")</f>
        <v>6505009090</v>
      </c>
      <c r="H1727" s="8" t="str">
        <f>_xlfn.IFNA(INDEX('HS Codes'!$D$2:$K4281,MATCH($B1727,'HS Codes'!$A$2:$A4281,0),MATCH(H$1,'HS Codes'!$D$1:$K$1,0)),"")</f>
        <v>6505.00.40.00</v>
      </c>
      <c r="I1727" s="8" t="str">
        <f>_xlfn.IFNA(INDEX('HS Codes'!$D$2:$K4281,MATCH($B1727,'HS Codes'!$A$2:$A4281,0),MATCH(I$1,'HS Codes'!$D$1:$K$1,0)),"")</f>
        <v>6505.00.90.90</v>
      </c>
      <c r="J1727" s="8">
        <f>_xlfn.IFNA(INDEX('HS Codes'!$D$2:$K4281,MATCH($B1727,'HS Codes'!$A$2:$A4281,0),MATCH(J$1,'HS Codes'!$D$1:$K$1,0)),"")</f>
        <v>0</v>
      </c>
      <c r="K1727" s="8" t="str">
        <f>_xlfn.IFNA(INDEX('HS Codes'!$D$2:$K4281,MATCH($B1727,'HS Codes'!$A$2:$A4281,0),MATCH(K$1,'HS Codes'!$D$1:$K$1,0)),"")</f>
        <v>6505.00.90</v>
      </c>
      <c r="L1727" s="8">
        <f>_xlfn.IFNA(INDEX('HS Codes'!$D$2:$K4281,MATCH($B1727,'HS Codes'!$A$2:$A4281,0),MATCH(L$1,'HS Codes'!$D$1:$K$1,0)),"")</f>
        <v>0</v>
      </c>
      <c r="M1727" s="8" t="str">
        <f>_xlfn.IFNA(INDEX('HS Codes'!$C$2:$C4281,MATCH($B1727,'HS Codes'!$A$2:$A4281,0)),"")</f>
        <v>Head Towel 100% recycled 200 GSM/83% polyester/17% polyamide (no cotton)</v>
      </c>
      <c r="N1727" s="9"/>
      <c r="O1727" s="9"/>
      <c r="P1727" s="9"/>
      <c r="Q1727" s="9"/>
    </row>
    <row r="1728" spans="1:17" ht="15.75" customHeight="1">
      <c r="A1728" s="7" t="s">
        <v>2021</v>
      </c>
      <c r="B1728" s="7" t="s">
        <v>129</v>
      </c>
      <c r="C1728" s="7" t="s">
        <v>278</v>
      </c>
      <c r="D1728" s="7" t="s">
        <v>130</v>
      </c>
      <c r="E1728" s="7" t="s">
        <v>360</v>
      </c>
      <c r="F1728" s="8" t="str">
        <f>_xlfn.IFNA(INDEX('HS Codes'!$D$2:$K4282,MATCH($B1728,'HS Codes'!$A$2:$A4282,0),MATCH(F$1,'HS Codes'!$D$1:$K$1,0)),"")</f>
        <v>6504.00.90.15</v>
      </c>
      <c r="G1728" s="8">
        <f>_xlfn.IFNA(INDEX('HS Codes'!$D$2:$K4282,MATCH($B1728,'HS Codes'!$A$2:$A4282,0),MATCH(G$1,'HS Codes'!$D$1:$K$1,0)),"")</f>
        <v>6505009090</v>
      </c>
      <c r="H1728" s="8" t="str">
        <f>_xlfn.IFNA(INDEX('HS Codes'!$D$2:$K4282,MATCH($B1728,'HS Codes'!$A$2:$A4282,0),MATCH(H$1,'HS Codes'!$D$1:$K$1,0)),"")</f>
        <v>6505.00.40.00</v>
      </c>
      <c r="I1728" s="8" t="str">
        <f>_xlfn.IFNA(INDEX('HS Codes'!$D$2:$K4282,MATCH($B1728,'HS Codes'!$A$2:$A4282,0),MATCH(I$1,'HS Codes'!$D$1:$K$1,0)),"")</f>
        <v>6505.00.90.90</v>
      </c>
      <c r="J1728" s="8">
        <f>_xlfn.IFNA(INDEX('HS Codes'!$D$2:$K4282,MATCH($B1728,'HS Codes'!$A$2:$A4282,0),MATCH(J$1,'HS Codes'!$D$1:$K$1,0)),"")</f>
        <v>0</v>
      </c>
      <c r="K1728" s="8" t="str">
        <f>_xlfn.IFNA(INDEX('HS Codes'!$D$2:$K4282,MATCH($B1728,'HS Codes'!$A$2:$A4282,0),MATCH(K$1,'HS Codes'!$D$1:$K$1,0)),"")</f>
        <v>6505.00.90</v>
      </c>
      <c r="L1728" s="8">
        <f>_xlfn.IFNA(INDEX('HS Codes'!$D$2:$K4282,MATCH($B1728,'HS Codes'!$A$2:$A4282,0),MATCH(L$1,'HS Codes'!$D$1:$K$1,0)),"")</f>
        <v>0</v>
      </c>
      <c r="M1728" s="8" t="str">
        <f>_xlfn.IFNA(INDEX('HS Codes'!$C$2:$C4282,MATCH($B1728,'HS Codes'!$A$2:$A4282,0)),"")</f>
        <v>Head Towel 100% recycled 200 GSM/83% polyester/17% polyamide (no cotton)</v>
      </c>
      <c r="N1728" s="9"/>
      <c r="O1728" s="9"/>
      <c r="P1728" s="9"/>
      <c r="Q1728" s="9"/>
    </row>
    <row r="1729" spans="1:17" ht="15.75" customHeight="1">
      <c r="A1729" s="7" t="s">
        <v>2022</v>
      </c>
      <c r="B1729" s="7" t="s">
        <v>129</v>
      </c>
      <c r="C1729" s="7" t="s">
        <v>278</v>
      </c>
      <c r="D1729" s="7" t="s">
        <v>130</v>
      </c>
      <c r="E1729" s="7" t="s">
        <v>360</v>
      </c>
      <c r="F1729" s="8" t="str">
        <f>_xlfn.IFNA(INDEX('HS Codes'!$D$2:$K4283,MATCH($B1729,'HS Codes'!$A$2:$A4283,0),MATCH(F$1,'HS Codes'!$D$1:$K$1,0)),"")</f>
        <v>6504.00.90.15</v>
      </c>
      <c r="G1729" s="8">
        <f>_xlfn.IFNA(INDEX('HS Codes'!$D$2:$K4283,MATCH($B1729,'HS Codes'!$A$2:$A4283,0),MATCH(G$1,'HS Codes'!$D$1:$K$1,0)),"")</f>
        <v>6505009090</v>
      </c>
      <c r="H1729" s="8" t="str">
        <f>_xlfn.IFNA(INDEX('HS Codes'!$D$2:$K4283,MATCH($B1729,'HS Codes'!$A$2:$A4283,0),MATCH(H$1,'HS Codes'!$D$1:$K$1,0)),"")</f>
        <v>6505.00.40.00</v>
      </c>
      <c r="I1729" s="8" t="str">
        <f>_xlfn.IFNA(INDEX('HS Codes'!$D$2:$K4283,MATCH($B1729,'HS Codes'!$A$2:$A4283,0),MATCH(I$1,'HS Codes'!$D$1:$K$1,0)),"")</f>
        <v>6505.00.90.90</v>
      </c>
      <c r="J1729" s="8">
        <f>_xlfn.IFNA(INDEX('HS Codes'!$D$2:$K4283,MATCH($B1729,'HS Codes'!$A$2:$A4283,0),MATCH(J$1,'HS Codes'!$D$1:$K$1,0)),"")</f>
        <v>0</v>
      </c>
      <c r="K1729" s="8" t="str">
        <f>_xlfn.IFNA(INDEX('HS Codes'!$D$2:$K4283,MATCH($B1729,'HS Codes'!$A$2:$A4283,0),MATCH(K$1,'HS Codes'!$D$1:$K$1,0)),"")</f>
        <v>6505.00.90</v>
      </c>
      <c r="L1729" s="8">
        <f>_xlfn.IFNA(INDEX('HS Codes'!$D$2:$K4283,MATCH($B1729,'HS Codes'!$A$2:$A4283,0),MATCH(L$1,'HS Codes'!$D$1:$K$1,0)),"")</f>
        <v>0</v>
      </c>
      <c r="M1729" s="8" t="str">
        <f>_xlfn.IFNA(INDEX('HS Codes'!$C$2:$C4283,MATCH($B1729,'HS Codes'!$A$2:$A4283,0)),"")</f>
        <v>Head Towel 100% recycled 200 GSM/83% polyester/17% polyamide (no cotton)</v>
      </c>
      <c r="N1729" s="9"/>
      <c r="O1729" s="9"/>
      <c r="P1729" s="9"/>
      <c r="Q1729" s="9"/>
    </row>
    <row r="1730" spans="1:17" ht="15.75" customHeight="1">
      <c r="A1730" s="7" t="s">
        <v>2023</v>
      </c>
      <c r="B1730" s="7" t="s">
        <v>129</v>
      </c>
      <c r="C1730" s="7" t="s">
        <v>278</v>
      </c>
      <c r="D1730" s="7" t="s">
        <v>130</v>
      </c>
      <c r="E1730" s="7" t="s">
        <v>360</v>
      </c>
      <c r="F1730" s="8" t="str">
        <f>_xlfn.IFNA(INDEX('HS Codes'!$D$2:$K4284,MATCH($B1730,'HS Codes'!$A$2:$A4284,0),MATCH(F$1,'HS Codes'!$D$1:$K$1,0)),"")</f>
        <v>6504.00.90.15</v>
      </c>
      <c r="G1730" s="8">
        <f>_xlfn.IFNA(INDEX('HS Codes'!$D$2:$K4284,MATCH($B1730,'HS Codes'!$A$2:$A4284,0),MATCH(G$1,'HS Codes'!$D$1:$K$1,0)),"")</f>
        <v>6505009090</v>
      </c>
      <c r="H1730" s="8" t="str">
        <f>_xlfn.IFNA(INDEX('HS Codes'!$D$2:$K4284,MATCH($B1730,'HS Codes'!$A$2:$A4284,0),MATCH(H$1,'HS Codes'!$D$1:$K$1,0)),"")</f>
        <v>6505.00.40.00</v>
      </c>
      <c r="I1730" s="8" t="str">
        <f>_xlfn.IFNA(INDEX('HS Codes'!$D$2:$K4284,MATCH($B1730,'HS Codes'!$A$2:$A4284,0),MATCH(I$1,'HS Codes'!$D$1:$K$1,0)),"")</f>
        <v>6505.00.90.90</v>
      </c>
      <c r="J1730" s="8">
        <f>_xlfn.IFNA(INDEX('HS Codes'!$D$2:$K4284,MATCH($B1730,'HS Codes'!$A$2:$A4284,0),MATCH(J$1,'HS Codes'!$D$1:$K$1,0)),"")</f>
        <v>0</v>
      </c>
      <c r="K1730" s="8" t="str">
        <f>_xlfn.IFNA(INDEX('HS Codes'!$D$2:$K4284,MATCH($B1730,'HS Codes'!$A$2:$A4284,0),MATCH(K$1,'HS Codes'!$D$1:$K$1,0)),"")</f>
        <v>6505.00.90</v>
      </c>
      <c r="L1730" s="8">
        <f>_xlfn.IFNA(INDEX('HS Codes'!$D$2:$K4284,MATCH($B1730,'HS Codes'!$A$2:$A4284,0),MATCH(L$1,'HS Codes'!$D$1:$K$1,0)),"")</f>
        <v>0</v>
      </c>
      <c r="M1730" s="8" t="str">
        <f>_xlfn.IFNA(INDEX('HS Codes'!$C$2:$C4284,MATCH($B1730,'HS Codes'!$A$2:$A4284,0)),"")</f>
        <v>Head Towel 100% recycled 200 GSM/83% polyester/17% polyamide (no cotton)</v>
      </c>
      <c r="N1730" s="9"/>
      <c r="O1730" s="9"/>
      <c r="P1730" s="9"/>
      <c r="Q1730" s="9"/>
    </row>
    <row r="1731" spans="1:17" ht="15.75" customHeight="1">
      <c r="A1731" s="7" t="s">
        <v>2024</v>
      </c>
      <c r="B1731" s="7" t="s">
        <v>129</v>
      </c>
      <c r="C1731" s="7" t="s">
        <v>278</v>
      </c>
      <c r="D1731" s="7" t="s">
        <v>130</v>
      </c>
      <c r="E1731" s="7" t="s">
        <v>360</v>
      </c>
      <c r="F1731" s="8" t="str">
        <f>_xlfn.IFNA(INDEX('HS Codes'!$D$2:$K4285,MATCH($B1731,'HS Codes'!$A$2:$A4285,0),MATCH(F$1,'HS Codes'!$D$1:$K$1,0)),"")</f>
        <v>6504.00.90.15</v>
      </c>
      <c r="G1731" s="8">
        <f>_xlfn.IFNA(INDEX('HS Codes'!$D$2:$K4285,MATCH($B1731,'HS Codes'!$A$2:$A4285,0),MATCH(G$1,'HS Codes'!$D$1:$K$1,0)),"")</f>
        <v>6505009090</v>
      </c>
      <c r="H1731" s="8" t="str">
        <f>_xlfn.IFNA(INDEX('HS Codes'!$D$2:$K4285,MATCH($B1731,'HS Codes'!$A$2:$A4285,0),MATCH(H$1,'HS Codes'!$D$1:$K$1,0)),"")</f>
        <v>6505.00.40.00</v>
      </c>
      <c r="I1731" s="8" t="str">
        <f>_xlfn.IFNA(INDEX('HS Codes'!$D$2:$K4285,MATCH($B1731,'HS Codes'!$A$2:$A4285,0),MATCH(I$1,'HS Codes'!$D$1:$K$1,0)),"")</f>
        <v>6505.00.90.90</v>
      </c>
      <c r="J1731" s="8">
        <f>_xlfn.IFNA(INDEX('HS Codes'!$D$2:$K4285,MATCH($B1731,'HS Codes'!$A$2:$A4285,0),MATCH(J$1,'HS Codes'!$D$1:$K$1,0)),"")</f>
        <v>0</v>
      </c>
      <c r="K1731" s="8" t="str">
        <f>_xlfn.IFNA(INDEX('HS Codes'!$D$2:$K4285,MATCH($B1731,'HS Codes'!$A$2:$A4285,0),MATCH(K$1,'HS Codes'!$D$1:$K$1,0)),"")</f>
        <v>6505.00.90</v>
      </c>
      <c r="L1731" s="8">
        <f>_xlfn.IFNA(INDEX('HS Codes'!$D$2:$K4285,MATCH($B1731,'HS Codes'!$A$2:$A4285,0),MATCH(L$1,'HS Codes'!$D$1:$K$1,0)),"")</f>
        <v>0</v>
      </c>
      <c r="M1731" s="8" t="str">
        <f>_xlfn.IFNA(INDEX('HS Codes'!$C$2:$C4285,MATCH($B1731,'HS Codes'!$A$2:$A4285,0)),"")</f>
        <v>Head Towel 100% recycled 200 GSM/83% polyester/17% polyamide (no cotton)</v>
      </c>
      <c r="N1731" s="9"/>
      <c r="O1731" s="9"/>
      <c r="P1731" s="9"/>
      <c r="Q1731" s="9"/>
    </row>
    <row r="1732" spans="1:17" ht="15.75" customHeight="1">
      <c r="A1732" s="7" t="s">
        <v>2025</v>
      </c>
      <c r="B1732" s="7" t="s">
        <v>129</v>
      </c>
      <c r="C1732" s="7" t="s">
        <v>278</v>
      </c>
      <c r="D1732" s="7" t="s">
        <v>130</v>
      </c>
      <c r="E1732" s="7" t="s">
        <v>360</v>
      </c>
      <c r="F1732" s="8" t="str">
        <f>_xlfn.IFNA(INDEX('HS Codes'!$D$2:$K4286,MATCH($B1732,'HS Codes'!$A$2:$A4286,0),MATCH(F$1,'HS Codes'!$D$1:$K$1,0)),"")</f>
        <v>6504.00.90.15</v>
      </c>
      <c r="G1732" s="8">
        <f>_xlfn.IFNA(INDEX('HS Codes'!$D$2:$K4286,MATCH($B1732,'HS Codes'!$A$2:$A4286,0),MATCH(G$1,'HS Codes'!$D$1:$K$1,0)),"")</f>
        <v>6505009090</v>
      </c>
      <c r="H1732" s="8" t="str">
        <f>_xlfn.IFNA(INDEX('HS Codes'!$D$2:$K4286,MATCH($B1732,'HS Codes'!$A$2:$A4286,0),MATCH(H$1,'HS Codes'!$D$1:$K$1,0)),"")</f>
        <v>6505.00.40.00</v>
      </c>
      <c r="I1732" s="8" t="str">
        <f>_xlfn.IFNA(INDEX('HS Codes'!$D$2:$K4286,MATCH($B1732,'HS Codes'!$A$2:$A4286,0),MATCH(I$1,'HS Codes'!$D$1:$K$1,0)),"")</f>
        <v>6505.00.90.90</v>
      </c>
      <c r="J1732" s="8">
        <f>_xlfn.IFNA(INDEX('HS Codes'!$D$2:$K4286,MATCH($B1732,'HS Codes'!$A$2:$A4286,0),MATCH(J$1,'HS Codes'!$D$1:$K$1,0)),"")</f>
        <v>0</v>
      </c>
      <c r="K1732" s="8" t="str">
        <f>_xlfn.IFNA(INDEX('HS Codes'!$D$2:$K4286,MATCH($B1732,'HS Codes'!$A$2:$A4286,0),MATCH(K$1,'HS Codes'!$D$1:$K$1,0)),"")</f>
        <v>6505.00.90</v>
      </c>
      <c r="L1732" s="8">
        <f>_xlfn.IFNA(INDEX('HS Codes'!$D$2:$K4286,MATCH($B1732,'HS Codes'!$A$2:$A4286,0),MATCH(L$1,'HS Codes'!$D$1:$K$1,0)),"")</f>
        <v>0</v>
      </c>
      <c r="M1732" s="8" t="str">
        <f>_xlfn.IFNA(INDEX('HS Codes'!$C$2:$C4286,MATCH($B1732,'HS Codes'!$A$2:$A4286,0)),"")</f>
        <v>Head Towel 100% recycled 200 GSM/83% polyester/17% polyamide (no cotton)</v>
      </c>
      <c r="N1732" s="9"/>
      <c r="O1732" s="9"/>
      <c r="P1732" s="9"/>
      <c r="Q1732" s="9"/>
    </row>
    <row r="1733" spans="1:17" ht="15.75" customHeight="1">
      <c r="A1733" s="7" t="s">
        <v>2026</v>
      </c>
      <c r="B1733" s="7" t="s">
        <v>129</v>
      </c>
      <c r="C1733" s="7" t="s">
        <v>278</v>
      </c>
      <c r="D1733" s="7" t="s">
        <v>130</v>
      </c>
      <c r="E1733" s="7" t="s">
        <v>360</v>
      </c>
      <c r="F1733" s="8" t="str">
        <f>_xlfn.IFNA(INDEX('HS Codes'!$D$2:$K4287,MATCH($B1733,'HS Codes'!$A$2:$A4287,0),MATCH(F$1,'HS Codes'!$D$1:$K$1,0)),"")</f>
        <v>6504.00.90.15</v>
      </c>
      <c r="G1733" s="8">
        <f>_xlfn.IFNA(INDEX('HS Codes'!$D$2:$K4287,MATCH($B1733,'HS Codes'!$A$2:$A4287,0),MATCH(G$1,'HS Codes'!$D$1:$K$1,0)),"")</f>
        <v>6505009090</v>
      </c>
      <c r="H1733" s="8" t="str">
        <f>_xlfn.IFNA(INDEX('HS Codes'!$D$2:$K4287,MATCH($B1733,'HS Codes'!$A$2:$A4287,0),MATCH(H$1,'HS Codes'!$D$1:$K$1,0)),"")</f>
        <v>6505.00.40.00</v>
      </c>
      <c r="I1733" s="8" t="str">
        <f>_xlfn.IFNA(INDEX('HS Codes'!$D$2:$K4287,MATCH($B1733,'HS Codes'!$A$2:$A4287,0),MATCH(I$1,'HS Codes'!$D$1:$K$1,0)),"")</f>
        <v>6505.00.90.90</v>
      </c>
      <c r="J1733" s="8">
        <f>_xlfn.IFNA(INDEX('HS Codes'!$D$2:$K4287,MATCH($B1733,'HS Codes'!$A$2:$A4287,0),MATCH(J$1,'HS Codes'!$D$1:$K$1,0)),"")</f>
        <v>0</v>
      </c>
      <c r="K1733" s="8" t="str">
        <f>_xlfn.IFNA(INDEX('HS Codes'!$D$2:$K4287,MATCH($B1733,'HS Codes'!$A$2:$A4287,0),MATCH(K$1,'HS Codes'!$D$1:$K$1,0)),"")</f>
        <v>6505.00.90</v>
      </c>
      <c r="L1733" s="8">
        <f>_xlfn.IFNA(INDEX('HS Codes'!$D$2:$K4287,MATCH($B1733,'HS Codes'!$A$2:$A4287,0),MATCH(L$1,'HS Codes'!$D$1:$K$1,0)),"")</f>
        <v>0</v>
      </c>
      <c r="M1733" s="8" t="str">
        <f>_xlfn.IFNA(INDEX('HS Codes'!$C$2:$C4287,MATCH($B1733,'HS Codes'!$A$2:$A4287,0)),"")</f>
        <v>Head Towel 100% recycled 200 GSM/83% polyester/17% polyamide (no cotton)</v>
      </c>
      <c r="N1733" s="9"/>
      <c r="O1733" s="9"/>
      <c r="P1733" s="9"/>
      <c r="Q1733" s="9"/>
    </row>
    <row r="1734" spans="1:17" ht="15.75" customHeight="1">
      <c r="A1734" s="7" t="s">
        <v>2027</v>
      </c>
      <c r="B1734" s="7" t="s">
        <v>129</v>
      </c>
      <c r="C1734" s="7" t="s">
        <v>278</v>
      </c>
      <c r="D1734" s="7" t="s">
        <v>130</v>
      </c>
      <c r="E1734" s="7" t="s">
        <v>360</v>
      </c>
      <c r="F1734" s="8" t="str">
        <f>_xlfn.IFNA(INDEX('HS Codes'!$D$2:$K4288,MATCH($B1734,'HS Codes'!$A$2:$A4288,0),MATCH(F$1,'HS Codes'!$D$1:$K$1,0)),"")</f>
        <v>6504.00.90.15</v>
      </c>
      <c r="G1734" s="8">
        <f>_xlfn.IFNA(INDEX('HS Codes'!$D$2:$K4288,MATCH($B1734,'HS Codes'!$A$2:$A4288,0),MATCH(G$1,'HS Codes'!$D$1:$K$1,0)),"")</f>
        <v>6505009090</v>
      </c>
      <c r="H1734" s="8" t="str">
        <f>_xlfn.IFNA(INDEX('HS Codes'!$D$2:$K4288,MATCH($B1734,'HS Codes'!$A$2:$A4288,0),MATCH(H$1,'HS Codes'!$D$1:$K$1,0)),"")</f>
        <v>6505.00.40.00</v>
      </c>
      <c r="I1734" s="8" t="str">
        <f>_xlfn.IFNA(INDEX('HS Codes'!$D$2:$K4288,MATCH($B1734,'HS Codes'!$A$2:$A4288,0),MATCH(I$1,'HS Codes'!$D$1:$K$1,0)),"")</f>
        <v>6505.00.90.90</v>
      </c>
      <c r="J1734" s="8">
        <f>_xlfn.IFNA(INDEX('HS Codes'!$D$2:$K4288,MATCH($B1734,'HS Codes'!$A$2:$A4288,0),MATCH(J$1,'HS Codes'!$D$1:$K$1,0)),"")</f>
        <v>0</v>
      </c>
      <c r="K1734" s="8" t="str">
        <f>_xlfn.IFNA(INDEX('HS Codes'!$D$2:$K4288,MATCH($B1734,'HS Codes'!$A$2:$A4288,0),MATCH(K$1,'HS Codes'!$D$1:$K$1,0)),"")</f>
        <v>6505.00.90</v>
      </c>
      <c r="L1734" s="8">
        <f>_xlfn.IFNA(INDEX('HS Codes'!$D$2:$K4288,MATCH($B1734,'HS Codes'!$A$2:$A4288,0),MATCH(L$1,'HS Codes'!$D$1:$K$1,0)),"")</f>
        <v>0</v>
      </c>
      <c r="M1734" s="8" t="str">
        <f>_xlfn.IFNA(INDEX('HS Codes'!$C$2:$C4288,MATCH($B1734,'HS Codes'!$A$2:$A4288,0)),"")</f>
        <v>Head Towel 100% recycled 200 GSM/83% polyester/17% polyamide (no cotton)</v>
      </c>
      <c r="N1734" s="9"/>
      <c r="O1734" s="9"/>
      <c r="P1734" s="9"/>
      <c r="Q1734" s="9"/>
    </row>
    <row r="1735" spans="1:17" ht="15.75" customHeight="1">
      <c r="A1735" s="7" t="s">
        <v>2028</v>
      </c>
      <c r="B1735" s="7" t="s">
        <v>129</v>
      </c>
      <c r="C1735" s="7" t="s">
        <v>278</v>
      </c>
      <c r="D1735" s="7" t="s">
        <v>130</v>
      </c>
      <c r="E1735" s="7" t="s">
        <v>360</v>
      </c>
      <c r="F1735" s="8" t="str">
        <f>_xlfn.IFNA(INDEX('HS Codes'!$D$2:$K4289,MATCH($B1735,'HS Codes'!$A$2:$A4289,0),MATCH(F$1,'HS Codes'!$D$1:$K$1,0)),"")</f>
        <v>6504.00.90.15</v>
      </c>
      <c r="G1735" s="8">
        <f>_xlfn.IFNA(INDEX('HS Codes'!$D$2:$K4289,MATCH($B1735,'HS Codes'!$A$2:$A4289,0),MATCH(G$1,'HS Codes'!$D$1:$K$1,0)),"")</f>
        <v>6505009090</v>
      </c>
      <c r="H1735" s="8" t="str">
        <f>_xlfn.IFNA(INDEX('HS Codes'!$D$2:$K4289,MATCH($B1735,'HS Codes'!$A$2:$A4289,0),MATCH(H$1,'HS Codes'!$D$1:$K$1,0)),"")</f>
        <v>6505.00.40.00</v>
      </c>
      <c r="I1735" s="8" t="str">
        <f>_xlfn.IFNA(INDEX('HS Codes'!$D$2:$K4289,MATCH($B1735,'HS Codes'!$A$2:$A4289,0),MATCH(I$1,'HS Codes'!$D$1:$K$1,0)),"")</f>
        <v>6505.00.90.90</v>
      </c>
      <c r="J1735" s="8">
        <f>_xlfn.IFNA(INDEX('HS Codes'!$D$2:$K4289,MATCH($B1735,'HS Codes'!$A$2:$A4289,0),MATCH(J$1,'HS Codes'!$D$1:$K$1,0)),"")</f>
        <v>0</v>
      </c>
      <c r="K1735" s="8" t="str">
        <f>_xlfn.IFNA(INDEX('HS Codes'!$D$2:$K4289,MATCH($B1735,'HS Codes'!$A$2:$A4289,0),MATCH(K$1,'HS Codes'!$D$1:$K$1,0)),"")</f>
        <v>6505.00.90</v>
      </c>
      <c r="L1735" s="8">
        <f>_xlfn.IFNA(INDEX('HS Codes'!$D$2:$K4289,MATCH($B1735,'HS Codes'!$A$2:$A4289,0),MATCH(L$1,'HS Codes'!$D$1:$K$1,0)),"")</f>
        <v>0</v>
      </c>
      <c r="M1735" s="8" t="str">
        <f>_xlfn.IFNA(INDEX('HS Codes'!$C$2:$C4289,MATCH($B1735,'HS Codes'!$A$2:$A4289,0)),"")</f>
        <v>Head Towel 100% recycled 200 GSM/83% polyester/17% polyamide (no cotton)</v>
      </c>
      <c r="N1735" s="9"/>
      <c r="O1735" s="9"/>
      <c r="P1735" s="9"/>
      <c r="Q1735" s="9"/>
    </row>
    <row r="1736" spans="1:17" ht="15.75" customHeight="1">
      <c r="A1736" s="7" t="s">
        <v>2029</v>
      </c>
      <c r="B1736" s="7" t="s">
        <v>240</v>
      </c>
      <c r="C1736" s="7"/>
      <c r="D1736" s="7" t="s">
        <v>241</v>
      </c>
      <c r="E1736" s="7" t="s">
        <v>523</v>
      </c>
      <c r="F1736" s="8" t="str">
        <f>_xlfn.IFNA(INDEX('HS Codes'!$D$2:$K4290,MATCH($B1736,'HS Codes'!$A$2:$A4290,0),MATCH(F$1,'HS Codes'!$D$1:$K$1,0)),"")</f>
        <v>4819.10.0040</v>
      </c>
      <c r="G1736" s="8">
        <f>_xlfn.IFNA(INDEX('HS Codes'!$D$2:$K4290,MATCH($B1736,'HS Codes'!$A$2:$A4290,0),MATCH(G$1,'HS Codes'!$D$1:$K$1,0)),"")</f>
        <v>4819100000</v>
      </c>
      <c r="H1736" s="8">
        <f>_xlfn.IFNA(INDEX('HS Codes'!$D$2:$K4290,MATCH($B1736,'HS Codes'!$A$2:$A4290,0),MATCH(H$1,'HS Codes'!$D$1:$K$1,0)),"")</f>
        <v>4819100000</v>
      </c>
      <c r="I1736" s="8">
        <f>_xlfn.IFNA(INDEX('HS Codes'!$D$2:$K4290,MATCH($B1736,'HS Codes'!$A$2:$A4290,0),MATCH(I$1,'HS Codes'!$D$1:$K$1,0)),"")</f>
        <v>48191000</v>
      </c>
      <c r="J1736" s="8">
        <f>_xlfn.IFNA(INDEX('HS Codes'!$D$2:$K4290,MATCH($B1736,'HS Codes'!$A$2:$A4290,0),MATCH(J$1,'HS Codes'!$D$1:$K$1,0)),"")</f>
        <v>0</v>
      </c>
      <c r="K1736" s="8" t="str">
        <f>_xlfn.IFNA(INDEX('HS Codes'!$D$2:$K4290,MATCH($B1736,'HS Codes'!$A$2:$A4290,0),MATCH(K$1,'HS Codes'!$D$1:$K$1,0)),"")</f>
        <v>4819.10.00</v>
      </c>
      <c r="L1736" s="8">
        <f>_xlfn.IFNA(INDEX('HS Codes'!$D$2:$K4290,MATCH($B1736,'HS Codes'!$A$2:$A4290,0),MATCH(L$1,'HS Codes'!$D$1:$K$1,0)),"")</f>
        <v>0</v>
      </c>
      <c r="M1736" s="8" t="str">
        <f>_xlfn.IFNA(INDEX('HS Codes'!$C$2:$C4290,MATCH($B1736,'HS Codes'!$A$2:$A4290,0)),"")</f>
        <v>Paperboard 100% recycled cardboard</v>
      </c>
      <c r="N1736" s="9"/>
      <c r="O1736" s="9"/>
      <c r="P1736" s="9"/>
      <c r="Q1736" s="9"/>
    </row>
    <row r="1737" spans="1:17" ht="15.75" customHeight="1">
      <c r="A1737" s="7" t="s">
        <v>2030</v>
      </c>
      <c r="B1737" s="7" t="s">
        <v>264</v>
      </c>
      <c r="C1737" s="7"/>
      <c r="D1737" s="7" t="s">
        <v>265</v>
      </c>
      <c r="E1737" s="7" t="s">
        <v>360</v>
      </c>
      <c r="F1737" s="8" t="str">
        <f>_xlfn.IFNA(INDEX('HS Codes'!$D$2:$K4291,MATCH($B1737,'HS Codes'!$A$2:$A4291,0),MATCH(F$1,'HS Codes'!$D$1:$K$1,0)),"")</f>
        <v>6504.00.90.15</v>
      </c>
      <c r="G1737" s="8">
        <f>_xlfn.IFNA(INDEX('HS Codes'!$D$2:$K4291,MATCH($B1737,'HS Codes'!$A$2:$A4291,0),MATCH(G$1,'HS Codes'!$D$1:$K$1,0)),"")</f>
        <v>6505009090</v>
      </c>
      <c r="H1737" s="8" t="str">
        <f>_xlfn.IFNA(INDEX('HS Codes'!$D$2:$K4291,MATCH($B1737,'HS Codes'!$A$2:$A4291,0),MATCH(H$1,'HS Codes'!$D$1:$K$1,0)),"")</f>
        <v>6505.00.40.00</v>
      </c>
      <c r="I1737" s="8">
        <f>_xlfn.IFNA(INDEX('HS Codes'!$D$2:$K4291,MATCH($B1737,'HS Codes'!$A$2:$A4291,0),MATCH(I$1,'HS Codes'!$D$1:$K$1,0)),"")</f>
        <v>6217100090</v>
      </c>
      <c r="J1737" s="8">
        <f>_xlfn.IFNA(INDEX('HS Codes'!$D$2:$K4291,MATCH($B1737,'HS Codes'!$A$2:$A4291,0),MATCH(J$1,'HS Codes'!$D$1:$K$1,0)),"")</f>
        <v>0</v>
      </c>
      <c r="K1737" s="8" t="str">
        <f>_xlfn.IFNA(INDEX('HS Codes'!$D$2:$K4291,MATCH($B1737,'HS Codes'!$A$2:$A4291,0),MATCH(K$1,'HS Codes'!$D$1:$K$1,0)),"")</f>
        <v>6505.00.90</v>
      </c>
      <c r="L1737" s="8">
        <f>_xlfn.IFNA(INDEX('HS Codes'!$D$2:$K4291,MATCH($B1737,'HS Codes'!$A$2:$A4291,0),MATCH(L$1,'HS Codes'!$D$1:$K$1,0)),"")</f>
        <v>6507</v>
      </c>
      <c r="M1737" s="8">
        <f>_xlfn.IFNA(INDEX('HS Codes'!$C$2:$C4291,MATCH($B1737,'HS Codes'!$A$2:$A4291,0)),"")</f>
        <v>0</v>
      </c>
      <c r="N1737" s="9"/>
      <c r="O1737" s="9"/>
      <c r="P1737" s="9"/>
      <c r="Q1737" s="9"/>
    </row>
    <row r="1738" spans="1:17" ht="15.75" customHeight="1">
      <c r="A1738" s="7" t="s">
        <v>2031</v>
      </c>
      <c r="B1738" s="7" t="s">
        <v>264</v>
      </c>
      <c r="C1738" s="7"/>
      <c r="D1738" s="7" t="s">
        <v>265</v>
      </c>
      <c r="E1738" s="7" t="s">
        <v>360</v>
      </c>
      <c r="F1738" s="8" t="str">
        <f>_xlfn.IFNA(INDEX('HS Codes'!$D$2:$K4292,MATCH($B1738,'HS Codes'!$A$2:$A4292,0),MATCH(F$1,'HS Codes'!$D$1:$K$1,0)),"")</f>
        <v>6504.00.90.15</v>
      </c>
      <c r="G1738" s="8">
        <f>_xlfn.IFNA(INDEX('HS Codes'!$D$2:$K4292,MATCH($B1738,'HS Codes'!$A$2:$A4292,0),MATCH(G$1,'HS Codes'!$D$1:$K$1,0)),"")</f>
        <v>6505009090</v>
      </c>
      <c r="H1738" s="8" t="str">
        <f>_xlfn.IFNA(INDEX('HS Codes'!$D$2:$K4292,MATCH($B1738,'HS Codes'!$A$2:$A4292,0),MATCH(H$1,'HS Codes'!$D$1:$K$1,0)),"")</f>
        <v>6505.00.40.00</v>
      </c>
      <c r="I1738" s="8">
        <f>_xlfn.IFNA(INDEX('HS Codes'!$D$2:$K4292,MATCH($B1738,'HS Codes'!$A$2:$A4292,0),MATCH(I$1,'HS Codes'!$D$1:$K$1,0)),"")</f>
        <v>6217100090</v>
      </c>
      <c r="J1738" s="8">
        <f>_xlfn.IFNA(INDEX('HS Codes'!$D$2:$K4292,MATCH($B1738,'HS Codes'!$A$2:$A4292,0),MATCH(J$1,'HS Codes'!$D$1:$K$1,0)),"")</f>
        <v>0</v>
      </c>
      <c r="K1738" s="8" t="str">
        <f>_xlfn.IFNA(INDEX('HS Codes'!$D$2:$K4292,MATCH($B1738,'HS Codes'!$A$2:$A4292,0),MATCH(K$1,'HS Codes'!$D$1:$K$1,0)),"")</f>
        <v>6505.00.90</v>
      </c>
      <c r="L1738" s="8">
        <f>_xlfn.IFNA(INDEX('HS Codes'!$D$2:$K4292,MATCH($B1738,'HS Codes'!$A$2:$A4292,0),MATCH(L$1,'HS Codes'!$D$1:$K$1,0)),"")</f>
        <v>6507</v>
      </c>
      <c r="M1738" s="8">
        <f>_xlfn.IFNA(INDEX('HS Codes'!$C$2:$C4292,MATCH($B1738,'HS Codes'!$A$2:$A4292,0)),"")</f>
        <v>0</v>
      </c>
      <c r="N1738" s="9"/>
      <c r="O1738" s="9"/>
      <c r="P1738" s="9"/>
      <c r="Q1738" s="9"/>
    </row>
    <row r="1739" spans="1:17" ht="15.75" customHeight="1">
      <c r="A1739" s="7" t="s">
        <v>2032</v>
      </c>
      <c r="B1739" s="7" t="s">
        <v>264</v>
      </c>
      <c r="C1739" s="7"/>
      <c r="D1739" s="7" t="s">
        <v>265</v>
      </c>
      <c r="E1739" s="7" t="s">
        <v>360</v>
      </c>
      <c r="F1739" s="8" t="str">
        <f>_xlfn.IFNA(INDEX('HS Codes'!$D$2:$K4293,MATCH($B1739,'HS Codes'!$A$2:$A4293,0),MATCH(F$1,'HS Codes'!$D$1:$K$1,0)),"")</f>
        <v>6504.00.90.15</v>
      </c>
      <c r="G1739" s="8">
        <f>_xlfn.IFNA(INDEX('HS Codes'!$D$2:$K4293,MATCH($B1739,'HS Codes'!$A$2:$A4293,0),MATCH(G$1,'HS Codes'!$D$1:$K$1,0)),"")</f>
        <v>6505009090</v>
      </c>
      <c r="H1739" s="8" t="str">
        <f>_xlfn.IFNA(INDEX('HS Codes'!$D$2:$K4293,MATCH($B1739,'HS Codes'!$A$2:$A4293,0),MATCH(H$1,'HS Codes'!$D$1:$K$1,0)),"")</f>
        <v>6505.00.40.00</v>
      </c>
      <c r="I1739" s="8">
        <f>_xlfn.IFNA(INDEX('HS Codes'!$D$2:$K4293,MATCH($B1739,'HS Codes'!$A$2:$A4293,0),MATCH(I$1,'HS Codes'!$D$1:$K$1,0)),"")</f>
        <v>6217100090</v>
      </c>
      <c r="J1739" s="8">
        <f>_xlfn.IFNA(INDEX('HS Codes'!$D$2:$K4293,MATCH($B1739,'HS Codes'!$A$2:$A4293,0),MATCH(J$1,'HS Codes'!$D$1:$K$1,0)),"")</f>
        <v>0</v>
      </c>
      <c r="K1739" s="8" t="str">
        <f>_xlfn.IFNA(INDEX('HS Codes'!$D$2:$K4293,MATCH($B1739,'HS Codes'!$A$2:$A4293,0),MATCH(K$1,'HS Codes'!$D$1:$K$1,0)),"")</f>
        <v>6505.00.90</v>
      </c>
      <c r="L1739" s="8">
        <f>_xlfn.IFNA(INDEX('HS Codes'!$D$2:$K4293,MATCH($B1739,'HS Codes'!$A$2:$A4293,0),MATCH(L$1,'HS Codes'!$D$1:$K$1,0)),"")</f>
        <v>6507</v>
      </c>
      <c r="M1739" s="8">
        <f>_xlfn.IFNA(INDEX('HS Codes'!$C$2:$C4293,MATCH($B1739,'HS Codes'!$A$2:$A4293,0)),"")</f>
        <v>0</v>
      </c>
      <c r="N1739" s="9"/>
      <c r="O1739" s="9"/>
      <c r="P1739" s="9"/>
      <c r="Q1739" s="9"/>
    </row>
    <row r="1740" spans="1:17" ht="15.75" customHeight="1">
      <c r="A1740" s="7" t="s">
        <v>2033</v>
      </c>
      <c r="B1740" s="7" t="s">
        <v>264</v>
      </c>
      <c r="C1740" s="7"/>
      <c r="D1740" s="7" t="s">
        <v>265</v>
      </c>
      <c r="E1740" s="7" t="s">
        <v>360</v>
      </c>
      <c r="F1740" s="8" t="str">
        <f>_xlfn.IFNA(INDEX('HS Codes'!$D$2:$K4294,MATCH($B1740,'HS Codes'!$A$2:$A4294,0),MATCH(F$1,'HS Codes'!$D$1:$K$1,0)),"")</f>
        <v>6504.00.90.15</v>
      </c>
      <c r="G1740" s="8">
        <f>_xlfn.IFNA(INDEX('HS Codes'!$D$2:$K4294,MATCH($B1740,'HS Codes'!$A$2:$A4294,0),MATCH(G$1,'HS Codes'!$D$1:$K$1,0)),"")</f>
        <v>6505009090</v>
      </c>
      <c r="H1740" s="8" t="str">
        <f>_xlfn.IFNA(INDEX('HS Codes'!$D$2:$K4294,MATCH($B1740,'HS Codes'!$A$2:$A4294,0),MATCH(H$1,'HS Codes'!$D$1:$K$1,0)),"")</f>
        <v>6505.00.40.00</v>
      </c>
      <c r="I1740" s="8">
        <f>_xlfn.IFNA(INDEX('HS Codes'!$D$2:$K4294,MATCH($B1740,'HS Codes'!$A$2:$A4294,0),MATCH(I$1,'HS Codes'!$D$1:$K$1,0)),"")</f>
        <v>6217100090</v>
      </c>
      <c r="J1740" s="8">
        <f>_xlfn.IFNA(INDEX('HS Codes'!$D$2:$K4294,MATCH($B1740,'HS Codes'!$A$2:$A4294,0),MATCH(J$1,'HS Codes'!$D$1:$K$1,0)),"")</f>
        <v>0</v>
      </c>
      <c r="K1740" s="8" t="str">
        <f>_xlfn.IFNA(INDEX('HS Codes'!$D$2:$K4294,MATCH($B1740,'HS Codes'!$A$2:$A4294,0),MATCH(K$1,'HS Codes'!$D$1:$K$1,0)),"")</f>
        <v>6505.00.90</v>
      </c>
      <c r="L1740" s="8">
        <f>_xlfn.IFNA(INDEX('HS Codes'!$D$2:$K4294,MATCH($B1740,'HS Codes'!$A$2:$A4294,0),MATCH(L$1,'HS Codes'!$D$1:$K$1,0)),"")</f>
        <v>6507</v>
      </c>
      <c r="M1740" s="8">
        <f>_xlfn.IFNA(INDEX('HS Codes'!$C$2:$C4294,MATCH($B1740,'HS Codes'!$A$2:$A4294,0)),"")</f>
        <v>0</v>
      </c>
      <c r="N1740" s="9"/>
      <c r="O1740" s="9"/>
      <c r="P1740" s="9"/>
      <c r="Q1740" s="9"/>
    </row>
    <row r="1741" spans="1:17" ht="15.75" customHeight="1">
      <c r="A1741" s="7" t="s">
        <v>2034</v>
      </c>
      <c r="B1741" s="7" t="s">
        <v>266</v>
      </c>
      <c r="C1741" s="7"/>
      <c r="D1741" s="7" t="s">
        <v>267</v>
      </c>
      <c r="E1741" s="7" t="s">
        <v>905</v>
      </c>
      <c r="F1741" s="8" t="str">
        <f>_xlfn.IFNA(INDEX('HS Codes'!$D$2:$K4295,MATCH($B1741,'HS Codes'!$A$2:$A4295,0),MATCH(F$1,'HS Codes'!$D$1:$K$1,0)),"")</f>
        <v>6302.93.2000</v>
      </c>
      <c r="G1741" s="8">
        <f>_xlfn.IFNA(INDEX('HS Codes'!$D$2:$K4295,MATCH($B1741,'HS Codes'!$A$2:$A4295,0),MATCH(G$1,'HS Codes'!$D$1:$K$1,0)),"")</f>
        <v>6302600090</v>
      </c>
      <c r="H1741" s="8" t="str">
        <f>_xlfn.IFNA(INDEX('HS Codes'!$D$2:$K4295,MATCH($B1741,'HS Codes'!$A$2:$A4295,0),MATCH(H$1,'HS Codes'!$D$1:$K$1,0)),"")</f>
        <v>6302.93.00.00</v>
      </c>
      <c r="I1741" s="8">
        <f>_xlfn.IFNA(INDEX('HS Codes'!$D$2:$K4295,MATCH($B1741,'HS Codes'!$A$2:$A4295,0),MATCH(I$1,'HS Codes'!$D$1:$K$1,0)),"")</f>
        <v>6302939000</v>
      </c>
      <c r="J1741" s="8">
        <f>_xlfn.IFNA(INDEX('HS Codes'!$D$2:$K4295,MATCH($B1741,'HS Codes'!$A$2:$A4295,0),MATCH(J$1,'HS Codes'!$D$1:$K$1,0)),"")</f>
        <v>0</v>
      </c>
      <c r="K1741" s="8" t="str">
        <f>_xlfn.IFNA(INDEX('HS Codes'!$D$2:$K4295,MATCH($B1741,'HS Codes'!$A$2:$A4295,0),MATCH(K$1,'HS Codes'!$D$1:$K$1,0)),"")</f>
        <v>6302.39.00</v>
      </c>
      <c r="L1741" s="8">
        <f>_xlfn.IFNA(INDEX('HS Codes'!$D$2:$K4295,MATCH($B1741,'HS Codes'!$A$2:$A4295,0),MATCH(L$1,'HS Codes'!$D$1:$K$1,0)),"")</f>
        <v>0</v>
      </c>
      <c r="M1741" s="8">
        <f>_xlfn.IFNA(INDEX('HS Codes'!$C$2:$C4295,MATCH($B1741,'HS Codes'!$A$2:$A4295,0)),"")</f>
        <v>0</v>
      </c>
      <c r="N1741" s="9"/>
      <c r="O1741" s="9"/>
      <c r="P1741" s="9"/>
      <c r="Q1741" s="9"/>
    </row>
    <row r="1742" spans="1:17" ht="15.75" customHeight="1">
      <c r="A1742" s="7" t="s">
        <v>2035</v>
      </c>
      <c r="B1742" s="7" t="s">
        <v>266</v>
      </c>
      <c r="C1742" s="7"/>
      <c r="D1742" s="7" t="s">
        <v>267</v>
      </c>
      <c r="E1742" s="7" t="s">
        <v>905</v>
      </c>
      <c r="F1742" s="8" t="str">
        <f>_xlfn.IFNA(INDEX('HS Codes'!$D$2:$K4296,MATCH($B1742,'HS Codes'!$A$2:$A4296,0),MATCH(F$1,'HS Codes'!$D$1:$K$1,0)),"")</f>
        <v>6302.93.2000</v>
      </c>
      <c r="G1742" s="8">
        <f>_xlfn.IFNA(INDEX('HS Codes'!$D$2:$K4296,MATCH($B1742,'HS Codes'!$A$2:$A4296,0),MATCH(G$1,'HS Codes'!$D$1:$K$1,0)),"")</f>
        <v>6302600090</v>
      </c>
      <c r="H1742" s="8" t="str">
        <f>_xlfn.IFNA(INDEX('HS Codes'!$D$2:$K4296,MATCH($B1742,'HS Codes'!$A$2:$A4296,0),MATCH(H$1,'HS Codes'!$D$1:$K$1,0)),"")</f>
        <v>6302.93.00.00</v>
      </c>
      <c r="I1742" s="8">
        <f>_xlfn.IFNA(INDEX('HS Codes'!$D$2:$K4296,MATCH($B1742,'HS Codes'!$A$2:$A4296,0),MATCH(I$1,'HS Codes'!$D$1:$K$1,0)),"")</f>
        <v>6302939000</v>
      </c>
      <c r="J1742" s="8">
        <f>_xlfn.IFNA(INDEX('HS Codes'!$D$2:$K4296,MATCH($B1742,'HS Codes'!$A$2:$A4296,0),MATCH(J$1,'HS Codes'!$D$1:$K$1,0)),"")</f>
        <v>0</v>
      </c>
      <c r="K1742" s="8" t="str">
        <f>_xlfn.IFNA(INDEX('HS Codes'!$D$2:$K4296,MATCH($B1742,'HS Codes'!$A$2:$A4296,0),MATCH(K$1,'HS Codes'!$D$1:$K$1,0)),"")</f>
        <v>6302.39.00</v>
      </c>
      <c r="L1742" s="8">
        <f>_xlfn.IFNA(INDEX('HS Codes'!$D$2:$K4296,MATCH($B1742,'HS Codes'!$A$2:$A4296,0),MATCH(L$1,'HS Codes'!$D$1:$K$1,0)),"")</f>
        <v>0</v>
      </c>
      <c r="M1742" s="8">
        <f>_xlfn.IFNA(INDEX('HS Codes'!$C$2:$C4296,MATCH($B1742,'HS Codes'!$A$2:$A4296,0)),"")</f>
        <v>0</v>
      </c>
      <c r="N1742" s="9"/>
      <c r="O1742" s="9"/>
      <c r="P1742" s="9"/>
      <c r="Q1742" s="9"/>
    </row>
    <row r="1743" spans="1:17" ht="15.75" customHeight="1">
      <c r="A1743" s="7" t="s">
        <v>2036</v>
      </c>
      <c r="B1743" s="7" t="s">
        <v>266</v>
      </c>
      <c r="C1743" s="7"/>
      <c r="D1743" s="7" t="s">
        <v>267</v>
      </c>
      <c r="E1743" s="7" t="s">
        <v>905</v>
      </c>
      <c r="F1743" s="8" t="str">
        <f>_xlfn.IFNA(INDEX('HS Codes'!$D$2:$K4297,MATCH($B1743,'HS Codes'!$A$2:$A4297,0),MATCH(F$1,'HS Codes'!$D$1:$K$1,0)),"")</f>
        <v>6302.93.2000</v>
      </c>
      <c r="G1743" s="8">
        <f>_xlfn.IFNA(INDEX('HS Codes'!$D$2:$K4297,MATCH($B1743,'HS Codes'!$A$2:$A4297,0),MATCH(G$1,'HS Codes'!$D$1:$K$1,0)),"")</f>
        <v>6302600090</v>
      </c>
      <c r="H1743" s="8" t="str">
        <f>_xlfn.IFNA(INDEX('HS Codes'!$D$2:$K4297,MATCH($B1743,'HS Codes'!$A$2:$A4297,0),MATCH(H$1,'HS Codes'!$D$1:$K$1,0)),"")</f>
        <v>6302.93.00.00</v>
      </c>
      <c r="I1743" s="8">
        <f>_xlfn.IFNA(INDEX('HS Codes'!$D$2:$K4297,MATCH($B1743,'HS Codes'!$A$2:$A4297,0),MATCH(I$1,'HS Codes'!$D$1:$K$1,0)),"")</f>
        <v>6302939000</v>
      </c>
      <c r="J1743" s="8">
        <f>_xlfn.IFNA(INDEX('HS Codes'!$D$2:$K4297,MATCH($B1743,'HS Codes'!$A$2:$A4297,0),MATCH(J$1,'HS Codes'!$D$1:$K$1,0)),"")</f>
        <v>0</v>
      </c>
      <c r="K1743" s="8" t="str">
        <f>_xlfn.IFNA(INDEX('HS Codes'!$D$2:$K4297,MATCH($B1743,'HS Codes'!$A$2:$A4297,0),MATCH(K$1,'HS Codes'!$D$1:$K$1,0)),"")</f>
        <v>6302.39.00</v>
      </c>
      <c r="L1743" s="8">
        <f>_xlfn.IFNA(INDEX('HS Codes'!$D$2:$K4297,MATCH($B1743,'HS Codes'!$A$2:$A4297,0),MATCH(L$1,'HS Codes'!$D$1:$K$1,0)),"")</f>
        <v>0</v>
      </c>
      <c r="M1743" s="8">
        <f>_xlfn.IFNA(INDEX('HS Codes'!$C$2:$C4297,MATCH($B1743,'HS Codes'!$A$2:$A4297,0)),"")</f>
        <v>0</v>
      </c>
      <c r="N1743" s="9"/>
      <c r="O1743" s="9"/>
      <c r="P1743" s="9"/>
      <c r="Q1743" s="9"/>
    </row>
    <row r="1744" spans="1:17" ht="15.75" customHeight="1">
      <c r="A1744" s="7" t="s">
        <v>2037</v>
      </c>
      <c r="B1744" s="7" t="s">
        <v>266</v>
      </c>
      <c r="C1744" s="7"/>
      <c r="D1744" s="7" t="s">
        <v>267</v>
      </c>
      <c r="E1744" s="7" t="s">
        <v>905</v>
      </c>
      <c r="F1744" s="8" t="str">
        <f>_xlfn.IFNA(INDEX('HS Codes'!$D$2:$K4298,MATCH($B1744,'HS Codes'!$A$2:$A4298,0),MATCH(F$1,'HS Codes'!$D$1:$K$1,0)),"")</f>
        <v>6302.93.2000</v>
      </c>
      <c r="G1744" s="8">
        <f>_xlfn.IFNA(INDEX('HS Codes'!$D$2:$K4298,MATCH($B1744,'HS Codes'!$A$2:$A4298,0),MATCH(G$1,'HS Codes'!$D$1:$K$1,0)),"")</f>
        <v>6302600090</v>
      </c>
      <c r="H1744" s="8" t="str">
        <f>_xlfn.IFNA(INDEX('HS Codes'!$D$2:$K4298,MATCH($B1744,'HS Codes'!$A$2:$A4298,0),MATCH(H$1,'HS Codes'!$D$1:$K$1,0)),"")</f>
        <v>6302.93.00.00</v>
      </c>
      <c r="I1744" s="8">
        <f>_xlfn.IFNA(INDEX('HS Codes'!$D$2:$K4298,MATCH($B1744,'HS Codes'!$A$2:$A4298,0),MATCH(I$1,'HS Codes'!$D$1:$K$1,0)),"")</f>
        <v>6302939000</v>
      </c>
      <c r="J1744" s="8">
        <f>_xlfn.IFNA(INDEX('HS Codes'!$D$2:$K4298,MATCH($B1744,'HS Codes'!$A$2:$A4298,0),MATCH(J$1,'HS Codes'!$D$1:$K$1,0)),"")</f>
        <v>0</v>
      </c>
      <c r="K1744" s="8" t="str">
        <f>_xlfn.IFNA(INDEX('HS Codes'!$D$2:$K4298,MATCH($B1744,'HS Codes'!$A$2:$A4298,0),MATCH(K$1,'HS Codes'!$D$1:$K$1,0)),"")</f>
        <v>6302.39.00</v>
      </c>
      <c r="L1744" s="8">
        <f>_xlfn.IFNA(INDEX('HS Codes'!$D$2:$K4298,MATCH($B1744,'HS Codes'!$A$2:$A4298,0),MATCH(L$1,'HS Codes'!$D$1:$K$1,0)),"")</f>
        <v>0</v>
      </c>
      <c r="M1744" s="8">
        <f>_xlfn.IFNA(INDEX('HS Codes'!$C$2:$C4298,MATCH($B1744,'HS Codes'!$A$2:$A4298,0)),"")</f>
        <v>0</v>
      </c>
      <c r="N1744" s="9"/>
      <c r="O1744" s="9"/>
      <c r="P1744" s="9"/>
      <c r="Q1744" s="9"/>
    </row>
    <row r="1745" spans="1:17" ht="15.75" customHeight="1">
      <c r="A1745" s="7" t="s">
        <v>2038</v>
      </c>
      <c r="B1745" s="7" t="s">
        <v>266</v>
      </c>
      <c r="C1745" s="7"/>
      <c r="D1745" s="7" t="s">
        <v>267</v>
      </c>
      <c r="E1745" s="7" t="s">
        <v>905</v>
      </c>
      <c r="F1745" s="8" t="str">
        <f>_xlfn.IFNA(INDEX('HS Codes'!$D$2:$K4299,MATCH($B1745,'HS Codes'!$A$2:$A4299,0),MATCH(F$1,'HS Codes'!$D$1:$K$1,0)),"")</f>
        <v>6302.93.2000</v>
      </c>
      <c r="G1745" s="8">
        <f>_xlfn.IFNA(INDEX('HS Codes'!$D$2:$K4299,MATCH($B1745,'HS Codes'!$A$2:$A4299,0),MATCH(G$1,'HS Codes'!$D$1:$K$1,0)),"")</f>
        <v>6302600090</v>
      </c>
      <c r="H1745" s="8" t="str">
        <f>_xlfn.IFNA(INDEX('HS Codes'!$D$2:$K4299,MATCH($B1745,'HS Codes'!$A$2:$A4299,0),MATCH(H$1,'HS Codes'!$D$1:$K$1,0)),"")</f>
        <v>6302.93.00.00</v>
      </c>
      <c r="I1745" s="8">
        <f>_xlfn.IFNA(INDEX('HS Codes'!$D$2:$K4299,MATCH($B1745,'HS Codes'!$A$2:$A4299,0),MATCH(I$1,'HS Codes'!$D$1:$K$1,0)),"")</f>
        <v>6302939000</v>
      </c>
      <c r="J1745" s="8">
        <f>_xlfn.IFNA(INDEX('HS Codes'!$D$2:$K4299,MATCH($B1745,'HS Codes'!$A$2:$A4299,0),MATCH(J$1,'HS Codes'!$D$1:$K$1,0)),"")</f>
        <v>0</v>
      </c>
      <c r="K1745" s="8" t="str">
        <f>_xlfn.IFNA(INDEX('HS Codes'!$D$2:$K4299,MATCH($B1745,'HS Codes'!$A$2:$A4299,0),MATCH(K$1,'HS Codes'!$D$1:$K$1,0)),"")</f>
        <v>6302.39.00</v>
      </c>
      <c r="L1745" s="8">
        <f>_xlfn.IFNA(INDEX('HS Codes'!$D$2:$K4299,MATCH($B1745,'HS Codes'!$A$2:$A4299,0),MATCH(L$1,'HS Codes'!$D$1:$K$1,0)),"")</f>
        <v>0</v>
      </c>
      <c r="M1745" s="8">
        <f>_xlfn.IFNA(INDEX('HS Codes'!$C$2:$C4299,MATCH($B1745,'HS Codes'!$A$2:$A4299,0)),"")</f>
        <v>0</v>
      </c>
      <c r="N1745" s="9"/>
      <c r="O1745" s="9"/>
      <c r="P1745" s="9"/>
      <c r="Q1745" s="9"/>
    </row>
    <row r="1746" spans="1:17" ht="15.75" customHeight="1">
      <c r="A1746" s="7" t="s">
        <v>2039</v>
      </c>
      <c r="B1746" s="7" t="s">
        <v>266</v>
      </c>
      <c r="C1746" s="7"/>
      <c r="D1746" s="7" t="s">
        <v>267</v>
      </c>
      <c r="E1746" s="7" t="s">
        <v>905</v>
      </c>
      <c r="F1746" s="8" t="str">
        <f>_xlfn.IFNA(INDEX('HS Codes'!$D$2:$K4300,MATCH($B1746,'HS Codes'!$A$2:$A4300,0),MATCH(F$1,'HS Codes'!$D$1:$K$1,0)),"")</f>
        <v>6302.93.2000</v>
      </c>
      <c r="G1746" s="8">
        <f>_xlfn.IFNA(INDEX('HS Codes'!$D$2:$K4300,MATCH($B1746,'HS Codes'!$A$2:$A4300,0),MATCH(G$1,'HS Codes'!$D$1:$K$1,0)),"")</f>
        <v>6302600090</v>
      </c>
      <c r="H1746" s="8" t="str">
        <f>_xlfn.IFNA(INDEX('HS Codes'!$D$2:$K4300,MATCH($B1746,'HS Codes'!$A$2:$A4300,0),MATCH(H$1,'HS Codes'!$D$1:$K$1,0)),"")</f>
        <v>6302.93.00.00</v>
      </c>
      <c r="I1746" s="8">
        <f>_xlfn.IFNA(INDEX('HS Codes'!$D$2:$K4300,MATCH($B1746,'HS Codes'!$A$2:$A4300,0),MATCH(I$1,'HS Codes'!$D$1:$K$1,0)),"")</f>
        <v>6302939000</v>
      </c>
      <c r="J1746" s="8">
        <f>_xlfn.IFNA(INDEX('HS Codes'!$D$2:$K4300,MATCH($B1746,'HS Codes'!$A$2:$A4300,0),MATCH(J$1,'HS Codes'!$D$1:$K$1,0)),"")</f>
        <v>0</v>
      </c>
      <c r="K1746" s="8" t="str">
        <f>_xlfn.IFNA(INDEX('HS Codes'!$D$2:$K4300,MATCH($B1746,'HS Codes'!$A$2:$A4300,0),MATCH(K$1,'HS Codes'!$D$1:$K$1,0)),"")</f>
        <v>6302.39.00</v>
      </c>
      <c r="L1746" s="8">
        <f>_xlfn.IFNA(INDEX('HS Codes'!$D$2:$K4300,MATCH($B1746,'HS Codes'!$A$2:$A4300,0),MATCH(L$1,'HS Codes'!$D$1:$K$1,0)),"")</f>
        <v>0</v>
      </c>
      <c r="M1746" s="8">
        <f>_xlfn.IFNA(INDEX('HS Codes'!$C$2:$C4300,MATCH($B1746,'HS Codes'!$A$2:$A4300,0)),"")</f>
        <v>0</v>
      </c>
      <c r="N1746" s="9"/>
      <c r="O1746" s="9"/>
      <c r="P1746" s="9"/>
      <c r="Q1746" s="9"/>
    </row>
    <row r="1747" spans="1:17" ht="15.75" customHeight="1">
      <c r="A1747" s="7" t="s">
        <v>2040</v>
      </c>
      <c r="B1747" s="7" t="s">
        <v>266</v>
      </c>
      <c r="C1747" s="7"/>
      <c r="D1747" s="7" t="s">
        <v>267</v>
      </c>
      <c r="E1747" s="7" t="s">
        <v>905</v>
      </c>
      <c r="F1747" s="8" t="str">
        <f>_xlfn.IFNA(INDEX('HS Codes'!$D$2:$K4301,MATCH($B1747,'HS Codes'!$A$2:$A4301,0),MATCH(F$1,'HS Codes'!$D$1:$K$1,0)),"")</f>
        <v>6302.93.2000</v>
      </c>
      <c r="G1747" s="8">
        <f>_xlfn.IFNA(INDEX('HS Codes'!$D$2:$K4301,MATCH($B1747,'HS Codes'!$A$2:$A4301,0),MATCH(G$1,'HS Codes'!$D$1:$K$1,0)),"")</f>
        <v>6302600090</v>
      </c>
      <c r="H1747" s="8" t="str">
        <f>_xlfn.IFNA(INDEX('HS Codes'!$D$2:$K4301,MATCH($B1747,'HS Codes'!$A$2:$A4301,0),MATCH(H$1,'HS Codes'!$D$1:$K$1,0)),"")</f>
        <v>6302.93.00.00</v>
      </c>
      <c r="I1747" s="8">
        <f>_xlfn.IFNA(INDEX('HS Codes'!$D$2:$K4301,MATCH($B1747,'HS Codes'!$A$2:$A4301,0),MATCH(I$1,'HS Codes'!$D$1:$K$1,0)),"")</f>
        <v>6302939000</v>
      </c>
      <c r="J1747" s="8">
        <f>_xlfn.IFNA(INDEX('HS Codes'!$D$2:$K4301,MATCH($B1747,'HS Codes'!$A$2:$A4301,0),MATCH(J$1,'HS Codes'!$D$1:$K$1,0)),"")</f>
        <v>0</v>
      </c>
      <c r="K1747" s="8" t="str">
        <f>_xlfn.IFNA(INDEX('HS Codes'!$D$2:$K4301,MATCH($B1747,'HS Codes'!$A$2:$A4301,0),MATCH(K$1,'HS Codes'!$D$1:$K$1,0)),"")</f>
        <v>6302.39.00</v>
      </c>
      <c r="L1747" s="8">
        <f>_xlfn.IFNA(INDEX('HS Codes'!$D$2:$K4301,MATCH($B1747,'HS Codes'!$A$2:$A4301,0),MATCH(L$1,'HS Codes'!$D$1:$K$1,0)),"")</f>
        <v>0</v>
      </c>
      <c r="M1747" s="8">
        <f>_xlfn.IFNA(INDEX('HS Codes'!$C$2:$C4301,MATCH($B1747,'HS Codes'!$A$2:$A4301,0)),"")</f>
        <v>0</v>
      </c>
      <c r="N1747" s="9"/>
      <c r="O1747" s="9"/>
      <c r="P1747" s="9"/>
      <c r="Q1747" s="9"/>
    </row>
    <row r="1748" spans="1:17" ht="15.75" customHeight="1">
      <c r="A1748" s="7" t="s">
        <v>2041</v>
      </c>
      <c r="B1748" s="7" t="s">
        <v>266</v>
      </c>
      <c r="C1748" s="7"/>
      <c r="D1748" s="7" t="s">
        <v>267</v>
      </c>
      <c r="E1748" s="7" t="s">
        <v>905</v>
      </c>
      <c r="F1748" s="8" t="str">
        <f>_xlfn.IFNA(INDEX('HS Codes'!$D$2:$K4302,MATCH($B1748,'HS Codes'!$A$2:$A4302,0),MATCH(F$1,'HS Codes'!$D$1:$K$1,0)),"")</f>
        <v>6302.93.2000</v>
      </c>
      <c r="G1748" s="8">
        <f>_xlfn.IFNA(INDEX('HS Codes'!$D$2:$K4302,MATCH($B1748,'HS Codes'!$A$2:$A4302,0),MATCH(G$1,'HS Codes'!$D$1:$K$1,0)),"")</f>
        <v>6302600090</v>
      </c>
      <c r="H1748" s="8" t="str">
        <f>_xlfn.IFNA(INDEX('HS Codes'!$D$2:$K4302,MATCH($B1748,'HS Codes'!$A$2:$A4302,0),MATCH(H$1,'HS Codes'!$D$1:$K$1,0)),"")</f>
        <v>6302.93.00.00</v>
      </c>
      <c r="I1748" s="8">
        <f>_xlfn.IFNA(INDEX('HS Codes'!$D$2:$K4302,MATCH($B1748,'HS Codes'!$A$2:$A4302,0),MATCH(I$1,'HS Codes'!$D$1:$K$1,0)),"")</f>
        <v>6302939000</v>
      </c>
      <c r="J1748" s="8">
        <f>_xlfn.IFNA(INDEX('HS Codes'!$D$2:$K4302,MATCH($B1748,'HS Codes'!$A$2:$A4302,0),MATCH(J$1,'HS Codes'!$D$1:$K$1,0)),"")</f>
        <v>0</v>
      </c>
      <c r="K1748" s="8" t="str">
        <f>_xlfn.IFNA(INDEX('HS Codes'!$D$2:$K4302,MATCH($B1748,'HS Codes'!$A$2:$A4302,0),MATCH(K$1,'HS Codes'!$D$1:$K$1,0)),"")</f>
        <v>6302.39.00</v>
      </c>
      <c r="L1748" s="8">
        <f>_xlfn.IFNA(INDEX('HS Codes'!$D$2:$K4302,MATCH($B1748,'HS Codes'!$A$2:$A4302,0),MATCH(L$1,'HS Codes'!$D$1:$K$1,0)),"")</f>
        <v>0</v>
      </c>
      <c r="M1748" s="8">
        <f>_xlfn.IFNA(INDEX('HS Codes'!$C$2:$C4302,MATCH($B1748,'HS Codes'!$A$2:$A4302,0)),"")</f>
        <v>0</v>
      </c>
      <c r="N1748" s="9"/>
      <c r="O1748" s="9"/>
      <c r="P1748" s="9"/>
      <c r="Q1748" s="9"/>
    </row>
    <row r="1749" spans="1:17" ht="15.75" customHeight="1">
      <c r="A1749" s="7" t="s">
        <v>2042</v>
      </c>
      <c r="B1749" s="7" t="s">
        <v>266</v>
      </c>
      <c r="C1749" s="7"/>
      <c r="D1749" s="7" t="s">
        <v>267</v>
      </c>
      <c r="E1749" s="7" t="s">
        <v>905</v>
      </c>
      <c r="F1749" s="8" t="str">
        <f>_xlfn.IFNA(INDEX('HS Codes'!$D$2:$K4303,MATCH($B1749,'HS Codes'!$A$2:$A4303,0),MATCH(F$1,'HS Codes'!$D$1:$K$1,0)),"")</f>
        <v>6302.93.2000</v>
      </c>
      <c r="G1749" s="8">
        <f>_xlfn.IFNA(INDEX('HS Codes'!$D$2:$K4303,MATCH($B1749,'HS Codes'!$A$2:$A4303,0),MATCH(G$1,'HS Codes'!$D$1:$K$1,0)),"")</f>
        <v>6302600090</v>
      </c>
      <c r="H1749" s="8" t="str">
        <f>_xlfn.IFNA(INDEX('HS Codes'!$D$2:$K4303,MATCH($B1749,'HS Codes'!$A$2:$A4303,0),MATCH(H$1,'HS Codes'!$D$1:$K$1,0)),"")</f>
        <v>6302.93.00.00</v>
      </c>
      <c r="I1749" s="8">
        <f>_xlfn.IFNA(INDEX('HS Codes'!$D$2:$K4303,MATCH($B1749,'HS Codes'!$A$2:$A4303,0),MATCH(I$1,'HS Codes'!$D$1:$K$1,0)),"")</f>
        <v>6302939000</v>
      </c>
      <c r="J1749" s="8">
        <f>_xlfn.IFNA(INDEX('HS Codes'!$D$2:$K4303,MATCH($B1749,'HS Codes'!$A$2:$A4303,0),MATCH(J$1,'HS Codes'!$D$1:$K$1,0)),"")</f>
        <v>0</v>
      </c>
      <c r="K1749" s="8" t="str">
        <f>_xlfn.IFNA(INDEX('HS Codes'!$D$2:$K4303,MATCH($B1749,'HS Codes'!$A$2:$A4303,0),MATCH(K$1,'HS Codes'!$D$1:$K$1,0)),"")</f>
        <v>6302.39.00</v>
      </c>
      <c r="L1749" s="8">
        <f>_xlfn.IFNA(INDEX('HS Codes'!$D$2:$K4303,MATCH($B1749,'HS Codes'!$A$2:$A4303,0),MATCH(L$1,'HS Codes'!$D$1:$K$1,0)),"")</f>
        <v>0</v>
      </c>
      <c r="M1749" s="8">
        <f>_xlfn.IFNA(INDEX('HS Codes'!$C$2:$C4303,MATCH($B1749,'HS Codes'!$A$2:$A4303,0)),"")</f>
        <v>0</v>
      </c>
      <c r="N1749" s="9"/>
      <c r="O1749" s="9"/>
      <c r="P1749" s="9"/>
      <c r="Q1749" s="9"/>
    </row>
    <row r="1750" spans="1:17" ht="15.75" customHeight="1">
      <c r="A1750" s="7" t="s">
        <v>2043</v>
      </c>
      <c r="B1750" s="7" t="s">
        <v>266</v>
      </c>
      <c r="C1750" s="7"/>
      <c r="D1750" s="7" t="s">
        <v>267</v>
      </c>
      <c r="E1750" s="7" t="s">
        <v>905</v>
      </c>
      <c r="F1750" s="8" t="str">
        <f>_xlfn.IFNA(INDEX('HS Codes'!$D$2:$K4304,MATCH($B1750,'HS Codes'!$A$2:$A4304,0),MATCH(F$1,'HS Codes'!$D$1:$K$1,0)),"")</f>
        <v>6302.93.2000</v>
      </c>
      <c r="G1750" s="8">
        <f>_xlfn.IFNA(INDEX('HS Codes'!$D$2:$K4304,MATCH($B1750,'HS Codes'!$A$2:$A4304,0),MATCH(G$1,'HS Codes'!$D$1:$K$1,0)),"")</f>
        <v>6302600090</v>
      </c>
      <c r="H1750" s="8" t="str">
        <f>_xlfn.IFNA(INDEX('HS Codes'!$D$2:$K4304,MATCH($B1750,'HS Codes'!$A$2:$A4304,0),MATCH(H$1,'HS Codes'!$D$1:$K$1,0)),"")</f>
        <v>6302.93.00.00</v>
      </c>
      <c r="I1750" s="8">
        <f>_xlfn.IFNA(INDEX('HS Codes'!$D$2:$K4304,MATCH($B1750,'HS Codes'!$A$2:$A4304,0),MATCH(I$1,'HS Codes'!$D$1:$K$1,0)),"")</f>
        <v>6302939000</v>
      </c>
      <c r="J1750" s="8">
        <f>_xlfn.IFNA(INDEX('HS Codes'!$D$2:$K4304,MATCH($B1750,'HS Codes'!$A$2:$A4304,0),MATCH(J$1,'HS Codes'!$D$1:$K$1,0)),"")</f>
        <v>0</v>
      </c>
      <c r="K1750" s="8" t="str">
        <f>_xlfn.IFNA(INDEX('HS Codes'!$D$2:$K4304,MATCH($B1750,'HS Codes'!$A$2:$A4304,0),MATCH(K$1,'HS Codes'!$D$1:$K$1,0)),"")</f>
        <v>6302.39.00</v>
      </c>
      <c r="L1750" s="8">
        <f>_xlfn.IFNA(INDEX('HS Codes'!$D$2:$K4304,MATCH($B1750,'HS Codes'!$A$2:$A4304,0),MATCH(L$1,'HS Codes'!$D$1:$K$1,0)),"")</f>
        <v>0</v>
      </c>
      <c r="M1750" s="8">
        <f>_xlfn.IFNA(INDEX('HS Codes'!$C$2:$C4304,MATCH($B1750,'HS Codes'!$A$2:$A4304,0)),"")</f>
        <v>0</v>
      </c>
      <c r="N1750" s="9"/>
      <c r="O1750" s="9"/>
      <c r="P1750" s="9"/>
      <c r="Q1750" s="9"/>
    </row>
    <row r="1751" spans="1:17" ht="15.75" customHeight="1">
      <c r="A1751" s="7" t="s">
        <v>2044</v>
      </c>
      <c r="B1751" s="7" t="s">
        <v>266</v>
      </c>
      <c r="C1751" s="7"/>
      <c r="D1751" s="7" t="s">
        <v>267</v>
      </c>
      <c r="E1751" s="7" t="s">
        <v>905</v>
      </c>
      <c r="F1751" s="8" t="str">
        <f>_xlfn.IFNA(INDEX('HS Codes'!$D$2:$K4305,MATCH($B1751,'HS Codes'!$A$2:$A4305,0),MATCH(F$1,'HS Codes'!$D$1:$K$1,0)),"")</f>
        <v>6302.93.2000</v>
      </c>
      <c r="G1751" s="8">
        <f>_xlfn.IFNA(INDEX('HS Codes'!$D$2:$K4305,MATCH($B1751,'HS Codes'!$A$2:$A4305,0),MATCH(G$1,'HS Codes'!$D$1:$K$1,0)),"")</f>
        <v>6302600090</v>
      </c>
      <c r="H1751" s="8" t="str">
        <f>_xlfn.IFNA(INDEX('HS Codes'!$D$2:$K4305,MATCH($B1751,'HS Codes'!$A$2:$A4305,0),MATCH(H$1,'HS Codes'!$D$1:$K$1,0)),"")</f>
        <v>6302.93.00.00</v>
      </c>
      <c r="I1751" s="8">
        <f>_xlfn.IFNA(INDEX('HS Codes'!$D$2:$K4305,MATCH($B1751,'HS Codes'!$A$2:$A4305,0),MATCH(I$1,'HS Codes'!$D$1:$K$1,0)),"")</f>
        <v>6302939000</v>
      </c>
      <c r="J1751" s="8">
        <f>_xlfn.IFNA(INDEX('HS Codes'!$D$2:$K4305,MATCH($B1751,'HS Codes'!$A$2:$A4305,0),MATCH(J$1,'HS Codes'!$D$1:$K$1,0)),"")</f>
        <v>0</v>
      </c>
      <c r="K1751" s="8" t="str">
        <f>_xlfn.IFNA(INDEX('HS Codes'!$D$2:$K4305,MATCH($B1751,'HS Codes'!$A$2:$A4305,0),MATCH(K$1,'HS Codes'!$D$1:$K$1,0)),"")</f>
        <v>6302.39.00</v>
      </c>
      <c r="L1751" s="8">
        <f>_xlfn.IFNA(INDEX('HS Codes'!$D$2:$K4305,MATCH($B1751,'HS Codes'!$A$2:$A4305,0),MATCH(L$1,'HS Codes'!$D$1:$K$1,0)),"")</f>
        <v>0</v>
      </c>
      <c r="M1751" s="8">
        <f>_xlfn.IFNA(INDEX('HS Codes'!$C$2:$C4305,MATCH($B1751,'HS Codes'!$A$2:$A4305,0)),"")</f>
        <v>0</v>
      </c>
      <c r="N1751" s="9"/>
      <c r="O1751" s="9"/>
      <c r="P1751" s="9"/>
      <c r="Q1751" s="9"/>
    </row>
    <row r="1752" spans="1:17" ht="15.75" customHeight="1">
      <c r="A1752" s="7" t="s">
        <v>2045</v>
      </c>
      <c r="B1752" s="7" t="s">
        <v>266</v>
      </c>
      <c r="C1752" s="7"/>
      <c r="D1752" s="7" t="s">
        <v>267</v>
      </c>
      <c r="E1752" s="7" t="s">
        <v>905</v>
      </c>
      <c r="F1752" s="8" t="str">
        <f>_xlfn.IFNA(INDEX('HS Codes'!$D$2:$K4306,MATCH($B1752,'HS Codes'!$A$2:$A4306,0),MATCH(F$1,'HS Codes'!$D$1:$K$1,0)),"")</f>
        <v>6302.93.2000</v>
      </c>
      <c r="G1752" s="8">
        <f>_xlfn.IFNA(INDEX('HS Codes'!$D$2:$K4306,MATCH($B1752,'HS Codes'!$A$2:$A4306,0),MATCH(G$1,'HS Codes'!$D$1:$K$1,0)),"")</f>
        <v>6302600090</v>
      </c>
      <c r="H1752" s="8" t="str">
        <f>_xlfn.IFNA(INDEX('HS Codes'!$D$2:$K4306,MATCH($B1752,'HS Codes'!$A$2:$A4306,0),MATCH(H$1,'HS Codes'!$D$1:$K$1,0)),"")</f>
        <v>6302.93.00.00</v>
      </c>
      <c r="I1752" s="8">
        <f>_xlfn.IFNA(INDEX('HS Codes'!$D$2:$K4306,MATCH($B1752,'HS Codes'!$A$2:$A4306,0),MATCH(I$1,'HS Codes'!$D$1:$K$1,0)),"")</f>
        <v>6302939000</v>
      </c>
      <c r="J1752" s="8">
        <f>_xlfn.IFNA(INDEX('HS Codes'!$D$2:$K4306,MATCH($B1752,'HS Codes'!$A$2:$A4306,0),MATCH(J$1,'HS Codes'!$D$1:$K$1,0)),"")</f>
        <v>0</v>
      </c>
      <c r="K1752" s="8" t="str">
        <f>_xlfn.IFNA(INDEX('HS Codes'!$D$2:$K4306,MATCH($B1752,'HS Codes'!$A$2:$A4306,0),MATCH(K$1,'HS Codes'!$D$1:$K$1,0)),"")</f>
        <v>6302.39.00</v>
      </c>
      <c r="L1752" s="8">
        <f>_xlfn.IFNA(INDEX('HS Codes'!$D$2:$K4306,MATCH($B1752,'HS Codes'!$A$2:$A4306,0),MATCH(L$1,'HS Codes'!$D$1:$K$1,0)),"")</f>
        <v>0</v>
      </c>
      <c r="M1752" s="8">
        <f>_xlfn.IFNA(INDEX('HS Codes'!$C$2:$C4306,MATCH($B1752,'HS Codes'!$A$2:$A4306,0)),"")</f>
        <v>0</v>
      </c>
      <c r="N1752" s="9"/>
      <c r="O1752" s="9"/>
      <c r="P1752" s="9"/>
      <c r="Q1752" s="9"/>
    </row>
    <row r="1753" spans="1:17" ht="15.75" customHeight="1">
      <c r="A1753" s="7" t="s">
        <v>2046</v>
      </c>
      <c r="B1753" s="7" t="s">
        <v>266</v>
      </c>
      <c r="C1753" s="7"/>
      <c r="D1753" s="7" t="s">
        <v>267</v>
      </c>
      <c r="E1753" s="7" t="s">
        <v>905</v>
      </c>
      <c r="F1753" s="8" t="str">
        <f>_xlfn.IFNA(INDEX('HS Codes'!$D$2:$K4307,MATCH($B1753,'HS Codes'!$A$2:$A4307,0),MATCH(F$1,'HS Codes'!$D$1:$K$1,0)),"")</f>
        <v>6302.93.2000</v>
      </c>
      <c r="G1753" s="8">
        <f>_xlfn.IFNA(INDEX('HS Codes'!$D$2:$K4307,MATCH($B1753,'HS Codes'!$A$2:$A4307,0),MATCH(G$1,'HS Codes'!$D$1:$K$1,0)),"")</f>
        <v>6302600090</v>
      </c>
      <c r="H1753" s="8" t="str">
        <f>_xlfn.IFNA(INDEX('HS Codes'!$D$2:$K4307,MATCH($B1753,'HS Codes'!$A$2:$A4307,0),MATCH(H$1,'HS Codes'!$D$1:$K$1,0)),"")</f>
        <v>6302.93.00.00</v>
      </c>
      <c r="I1753" s="8">
        <f>_xlfn.IFNA(INDEX('HS Codes'!$D$2:$K4307,MATCH($B1753,'HS Codes'!$A$2:$A4307,0),MATCH(I$1,'HS Codes'!$D$1:$K$1,0)),"")</f>
        <v>6302939000</v>
      </c>
      <c r="J1753" s="8">
        <f>_xlfn.IFNA(INDEX('HS Codes'!$D$2:$K4307,MATCH($B1753,'HS Codes'!$A$2:$A4307,0),MATCH(J$1,'HS Codes'!$D$1:$K$1,0)),"")</f>
        <v>0</v>
      </c>
      <c r="K1753" s="8" t="str">
        <f>_xlfn.IFNA(INDEX('HS Codes'!$D$2:$K4307,MATCH($B1753,'HS Codes'!$A$2:$A4307,0),MATCH(K$1,'HS Codes'!$D$1:$K$1,0)),"")</f>
        <v>6302.39.00</v>
      </c>
      <c r="L1753" s="8">
        <f>_xlfn.IFNA(INDEX('HS Codes'!$D$2:$K4307,MATCH($B1753,'HS Codes'!$A$2:$A4307,0),MATCH(L$1,'HS Codes'!$D$1:$K$1,0)),"")</f>
        <v>0</v>
      </c>
      <c r="M1753" s="8">
        <f>_xlfn.IFNA(INDEX('HS Codes'!$C$2:$C4307,MATCH($B1753,'HS Codes'!$A$2:$A4307,0)),"")</f>
        <v>0</v>
      </c>
      <c r="N1753" s="9"/>
      <c r="O1753" s="9"/>
      <c r="P1753" s="9"/>
      <c r="Q1753" s="9"/>
    </row>
    <row r="1754" spans="1:17" ht="15.75" customHeight="1">
      <c r="A1754" s="7" t="s">
        <v>2047</v>
      </c>
      <c r="B1754" s="7" t="s">
        <v>266</v>
      </c>
      <c r="C1754" s="7"/>
      <c r="D1754" s="7" t="s">
        <v>267</v>
      </c>
      <c r="E1754" s="7" t="s">
        <v>905</v>
      </c>
      <c r="F1754" s="8" t="str">
        <f>_xlfn.IFNA(INDEX('HS Codes'!$D$2:$K4308,MATCH($B1754,'HS Codes'!$A$2:$A4308,0),MATCH(F$1,'HS Codes'!$D$1:$K$1,0)),"")</f>
        <v>6302.93.2000</v>
      </c>
      <c r="G1754" s="8">
        <f>_xlfn.IFNA(INDEX('HS Codes'!$D$2:$K4308,MATCH($B1754,'HS Codes'!$A$2:$A4308,0),MATCH(G$1,'HS Codes'!$D$1:$K$1,0)),"")</f>
        <v>6302600090</v>
      </c>
      <c r="H1754" s="8" t="str">
        <f>_xlfn.IFNA(INDEX('HS Codes'!$D$2:$K4308,MATCH($B1754,'HS Codes'!$A$2:$A4308,0),MATCH(H$1,'HS Codes'!$D$1:$K$1,0)),"")</f>
        <v>6302.93.00.00</v>
      </c>
      <c r="I1754" s="8">
        <f>_xlfn.IFNA(INDEX('HS Codes'!$D$2:$K4308,MATCH($B1754,'HS Codes'!$A$2:$A4308,0),MATCH(I$1,'HS Codes'!$D$1:$K$1,0)),"")</f>
        <v>6302939000</v>
      </c>
      <c r="J1754" s="8">
        <f>_xlfn.IFNA(INDEX('HS Codes'!$D$2:$K4308,MATCH($B1754,'HS Codes'!$A$2:$A4308,0),MATCH(J$1,'HS Codes'!$D$1:$K$1,0)),"")</f>
        <v>0</v>
      </c>
      <c r="K1754" s="8" t="str">
        <f>_xlfn.IFNA(INDEX('HS Codes'!$D$2:$K4308,MATCH($B1754,'HS Codes'!$A$2:$A4308,0),MATCH(K$1,'HS Codes'!$D$1:$K$1,0)),"")</f>
        <v>6302.39.00</v>
      </c>
      <c r="L1754" s="8">
        <f>_xlfn.IFNA(INDEX('HS Codes'!$D$2:$K4308,MATCH($B1754,'HS Codes'!$A$2:$A4308,0),MATCH(L$1,'HS Codes'!$D$1:$K$1,0)),"")</f>
        <v>0</v>
      </c>
      <c r="M1754" s="8">
        <f>_xlfn.IFNA(INDEX('HS Codes'!$C$2:$C4308,MATCH($B1754,'HS Codes'!$A$2:$A4308,0)),"")</f>
        <v>0</v>
      </c>
      <c r="N1754" s="9"/>
      <c r="O1754" s="9"/>
      <c r="P1754" s="9"/>
      <c r="Q1754" s="9"/>
    </row>
    <row r="1755" spans="1:17" ht="15.75" customHeight="1">
      <c r="A1755" s="7" t="s">
        <v>2048</v>
      </c>
      <c r="B1755" s="7" t="s">
        <v>266</v>
      </c>
      <c r="C1755" s="7"/>
      <c r="D1755" s="7" t="s">
        <v>267</v>
      </c>
      <c r="E1755" s="7" t="s">
        <v>905</v>
      </c>
      <c r="F1755" s="8" t="str">
        <f>_xlfn.IFNA(INDEX('HS Codes'!$D$2:$K4309,MATCH($B1755,'HS Codes'!$A$2:$A4309,0),MATCH(F$1,'HS Codes'!$D$1:$K$1,0)),"")</f>
        <v>6302.93.2000</v>
      </c>
      <c r="G1755" s="8">
        <f>_xlfn.IFNA(INDEX('HS Codes'!$D$2:$K4309,MATCH($B1755,'HS Codes'!$A$2:$A4309,0),MATCH(G$1,'HS Codes'!$D$1:$K$1,0)),"")</f>
        <v>6302600090</v>
      </c>
      <c r="H1755" s="8" t="str">
        <f>_xlfn.IFNA(INDEX('HS Codes'!$D$2:$K4309,MATCH($B1755,'HS Codes'!$A$2:$A4309,0),MATCH(H$1,'HS Codes'!$D$1:$K$1,0)),"")</f>
        <v>6302.93.00.00</v>
      </c>
      <c r="I1755" s="8">
        <f>_xlfn.IFNA(INDEX('HS Codes'!$D$2:$K4309,MATCH($B1755,'HS Codes'!$A$2:$A4309,0),MATCH(I$1,'HS Codes'!$D$1:$K$1,0)),"")</f>
        <v>6302939000</v>
      </c>
      <c r="J1755" s="8">
        <f>_xlfn.IFNA(INDEX('HS Codes'!$D$2:$K4309,MATCH($B1755,'HS Codes'!$A$2:$A4309,0),MATCH(J$1,'HS Codes'!$D$1:$K$1,0)),"")</f>
        <v>0</v>
      </c>
      <c r="K1755" s="8" t="str">
        <f>_xlfn.IFNA(INDEX('HS Codes'!$D$2:$K4309,MATCH($B1755,'HS Codes'!$A$2:$A4309,0),MATCH(K$1,'HS Codes'!$D$1:$K$1,0)),"")</f>
        <v>6302.39.00</v>
      </c>
      <c r="L1755" s="8">
        <f>_xlfn.IFNA(INDEX('HS Codes'!$D$2:$K4309,MATCH($B1755,'HS Codes'!$A$2:$A4309,0),MATCH(L$1,'HS Codes'!$D$1:$K$1,0)),"")</f>
        <v>0</v>
      </c>
      <c r="M1755" s="8">
        <f>_xlfn.IFNA(INDEX('HS Codes'!$C$2:$C4309,MATCH($B1755,'HS Codes'!$A$2:$A4309,0)),"")</f>
        <v>0</v>
      </c>
      <c r="N1755" s="9"/>
      <c r="O1755" s="9"/>
      <c r="P1755" s="9"/>
      <c r="Q1755" s="9"/>
    </row>
    <row r="1756" spans="1:17" ht="15.75" customHeight="1">
      <c r="A1756" s="7" t="s">
        <v>2049</v>
      </c>
      <c r="B1756" s="7" t="s">
        <v>266</v>
      </c>
      <c r="C1756" s="7"/>
      <c r="D1756" s="7" t="s">
        <v>267</v>
      </c>
      <c r="E1756" s="7" t="s">
        <v>905</v>
      </c>
      <c r="F1756" s="8" t="str">
        <f>_xlfn.IFNA(INDEX('HS Codes'!$D$2:$K4310,MATCH($B1756,'HS Codes'!$A$2:$A4310,0),MATCH(F$1,'HS Codes'!$D$1:$K$1,0)),"")</f>
        <v>6302.93.2000</v>
      </c>
      <c r="G1756" s="8">
        <f>_xlfn.IFNA(INDEX('HS Codes'!$D$2:$K4310,MATCH($B1756,'HS Codes'!$A$2:$A4310,0),MATCH(G$1,'HS Codes'!$D$1:$K$1,0)),"")</f>
        <v>6302600090</v>
      </c>
      <c r="H1756" s="8" t="str">
        <f>_xlfn.IFNA(INDEX('HS Codes'!$D$2:$K4310,MATCH($B1756,'HS Codes'!$A$2:$A4310,0),MATCH(H$1,'HS Codes'!$D$1:$K$1,0)),"")</f>
        <v>6302.93.00.00</v>
      </c>
      <c r="I1756" s="8">
        <f>_xlfn.IFNA(INDEX('HS Codes'!$D$2:$K4310,MATCH($B1756,'HS Codes'!$A$2:$A4310,0),MATCH(I$1,'HS Codes'!$D$1:$K$1,0)),"")</f>
        <v>6302939000</v>
      </c>
      <c r="J1756" s="8">
        <f>_xlfn.IFNA(INDEX('HS Codes'!$D$2:$K4310,MATCH($B1756,'HS Codes'!$A$2:$A4310,0),MATCH(J$1,'HS Codes'!$D$1:$K$1,0)),"")</f>
        <v>0</v>
      </c>
      <c r="K1756" s="8" t="str">
        <f>_xlfn.IFNA(INDEX('HS Codes'!$D$2:$K4310,MATCH($B1756,'HS Codes'!$A$2:$A4310,0),MATCH(K$1,'HS Codes'!$D$1:$K$1,0)),"")</f>
        <v>6302.39.00</v>
      </c>
      <c r="L1756" s="8">
        <f>_xlfn.IFNA(INDEX('HS Codes'!$D$2:$K4310,MATCH($B1756,'HS Codes'!$A$2:$A4310,0),MATCH(L$1,'HS Codes'!$D$1:$K$1,0)),"")</f>
        <v>0</v>
      </c>
      <c r="M1756" s="8">
        <f>_xlfn.IFNA(INDEX('HS Codes'!$C$2:$C4310,MATCH($B1756,'HS Codes'!$A$2:$A4310,0)),"")</f>
        <v>0</v>
      </c>
      <c r="N1756" s="9"/>
      <c r="O1756" s="9"/>
      <c r="P1756" s="9"/>
      <c r="Q1756" s="9"/>
    </row>
    <row r="1757" spans="1:17" ht="15.75" customHeight="1">
      <c r="A1757" s="7" t="s">
        <v>2050</v>
      </c>
      <c r="B1757" s="7" t="s">
        <v>266</v>
      </c>
      <c r="C1757" s="7"/>
      <c r="D1757" s="7" t="s">
        <v>267</v>
      </c>
      <c r="E1757" s="7" t="s">
        <v>905</v>
      </c>
      <c r="F1757" s="8" t="str">
        <f>_xlfn.IFNA(INDEX('HS Codes'!$D$2:$K4311,MATCH($B1757,'HS Codes'!$A$2:$A4311,0),MATCH(F$1,'HS Codes'!$D$1:$K$1,0)),"")</f>
        <v>6302.93.2000</v>
      </c>
      <c r="G1757" s="8">
        <f>_xlfn.IFNA(INDEX('HS Codes'!$D$2:$K4311,MATCH($B1757,'HS Codes'!$A$2:$A4311,0),MATCH(G$1,'HS Codes'!$D$1:$K$1,0)),"")</f>
        <v>6302600090</v>
      </c>
      <c r="H1757" s="8" t="str">
        <f>_xlfn.IFNA(INDEX('HS Codes'!$D$2:$K4311,MATCH($B1757,'HS Codes'!$A$2:$A4311,0),MATCH(H$1,'HS Codes'!$D$1:$K$1,0)),"")</f>
        <v>6302.93.00.00</v>
      </c>
      <c r="I1757" s="8">
        <f>_xlfn.IFNA(INDEX('HS Codes'!$D$2:$K4311,MATCH($B1757,'HS Codes'!$A$2:$A4311,0),MATCH(I$1,'HS Codes'!$D$1:$K$1,0)),"")</f>
        <v>6302939000</v>
      </c>
      <c r="J1757" s="8">
        <f>_xlfn.IFNA(INDEX('HS Codes'!$D$2:$K4311,MATCH($B1757,'HS Codes'!$A$2:$A4311,0),MATCH(J$1,'HS Codes'!$D$1:$K$1,0)),"")</f>
        <v>0</v>
      </c>
      <c r="K1757" s="8" t="str">
        <f>_xlfn.IFNA(INDEX('HS Codes'!$D$2:$K4311,MATCH($B1757,'HS Codes'!$A$2:$A4311,0),MATCH(K$1,'HS Codes'!$D$1:$K$1,0)),"")</f>
        <v>6302.39.00</v>
      </c>
      <c r="L1757" s="8">
        <f>_xlfn.IFNA(INDEX('HS Codes'!$D$2:$K4311,MATCH($B1757,'HS Codes'!$A$2:$A4311,0),MATCH(L$1,'HS Codes'!$D$1:$K$1,0)),"")</f>
        <v>0</v>
      </c>
      <c r="M1757" s="8">
        <f>_xlfn.IFNA(INDEX('HS Codes'!$C$2:$C4311,MATCH($B1757,'HS Codes'!$A$2:$A4311,0)),"")</f>
        <v>0</v>
      </c>
      <c r="N1757" s="9"/>
      <c r="O1757" s="9"/>
      <c r="P1757" s="9"/>
      <c r="Q1757" s="9"/>
    </row>
    <row r="1758" spans="1:17" ht="15.75" customHeight="1">
      <c r="A1758" s="7" t="s">
        <v>2051</v>
      </c>
      <c r="B1758" s="7" t="s">
        <v>172</v>
      </c>
      <c r="C1758" s="7" t="s">
        <v>278</v>
      </c>
      <c r="D1758" s="7" t="s">
        <v>173</v>
      </c>
      <c r="E1758" s="7" t="s">
        <v>377</v>
      </c>
      <c r="F1758" s="8" t="str">
        <f>_xlfn.IFNA(INDEX('HS Codes'!$D$2:$K4312,MATCH($B1758,'HS Codes'!$A$2:$A4312,0),MATCH(F$1,'HS Codes'!$D$1:$K$1,0)),"")</f>
        <v>6302.93.2000</v>
      </c>
      <c r="G1758" s="8">
        <f>_xlfn.IFNA(INDEX('HS Codes'!$D$2:$K4312,MATCH($B1758,'HS Codes'!$A$2:$A4312,0),MATCH(G$1,'HS Codes'!$D$1:$K$1,0)),"")</f>
        <v>6302600090</v>
      </c>
      <c r="H1758" s="8" t="str">
        <f>_xlfn.IFNA(INDEX('HS Codes'!$D$2:$K4312,MATCH($B1758,'HS Codes'!$A$2:$A4312,0),MATCH(H$1,'HS Codes'!$D$1:$K$1,0)),"")</f>
        <v>6302.93.00.00</v>
      </c>
      <c r="I1758" s="8">
        <f>_xlfn.IFNA(INDEX('HS Codes'!$D$2:$K4312,MATCH($B1758,'HS Codes'!$A$2:$A4312,0),MATCH(I$1,'HS Codes'!$D$1:$K$1,0)),"")</f>
        <v>6302939000</v>
      </c>
      <c r="J1758" s="8">
        <f>_xlfn.IFNA(INDEX('HS Codes'!$D$2:$K4312,MATCH($B1758,'HS Codes'!$A$2:$A4312,0),MATCH(J$1,'HS Codes'!$D$1:$K$1,0)),"")</f>
        <v>0</v>
      </c>
      <c r="K1758" s="8" t="str">
        <f>_xlfn.IFNA(INDEX('HS Codes'!$D$2:$K4312,MATCH($B1758,'HS Codes'!$A$2:$A4312,0),MATCH(K$1,'HS Codes'!$D$1:$K$1,0)),"")</f>
        <v>6302.39.00</v>
      </c>
      <c r="L1758" s="8">
        <f>_xlfn.IFNA(INDEX('HS Codes'!$D$2:$K4312,MATCH($B1758,'HS Codes'!$A$2:$A4312,0),MATCH(L$1,'HS Codes'!$D$1:$K$1,0)),"")</f>
        <v>63029120</v>
      </c>
      <c r="M1758" s="8" t="str">
        <f>_xlfn.IFNA(INDEX('HS Codes'!$C$2:$C4312,MATCH($B1758,'HS Codes'!$A$2:$A4312,0)),"")</f>
        <v>Bath Towel - Toilet Linen 100% recycled 340 GSM/83% polyester/17% polyamide (no cotton)</v>
      </c>
      <c r="N1758" s="9"/>
      <c r="O1758" s="9"/>
      <c r="P1758" s="9"/>
      <c r="Q1758" s="9"/>
    </row>
    <row r="1759" spans="1:17" ht="15.75" customHeight="1">
      <c r="A1759" s="7" t="s">
        <v>2052</v>
      </c>
      <c r="B1759" s="7" t="s">
        <v>172</v>
      </c>
      <c r="C1759" s="7" t="s">
        <v>278</v>
      </c>
      <c r="D1759" s="7" t="s">
        <v>173</v>
      </c>
      <c r="E1759" s="7" t="s">
        <v>377</v>
      </c>
      <c r="F1759" s="8" t="str">
        <f>_xlfn.IFNA(INDEX('HS Codes'!$D$2:$K4313,MATCH($B1759,'HS Codes'!$A$2:$A4313,0),MATCH(F$1,'HS Codes'!$D$1:$K$1,0)),"")</f>
        <v>6302.93.2000</v>
      </c>
      <c r="G1759" s="8">
        <f>_xlfn.IFNA(INDEX('HS Codes'!$D$2:$K4313,MATCH($B1759,'HS Codes'!$A$2:$A4313,0),MATCH(G$1,'HS Codes'!$D$1:$K$1,0)),"")</f>
        <v>6302600090</v>
      </c>
      <c r="H1759" s="8" t="str">
        <f>_xlfn.IFNA(INDEX('HS Codes'!$D$2:$K4313,MATCH($B1759,'HS Codes'!$A$2:$A4313,0),MATCH(H$1,'HS Codes'!$D$1:$K$1,0)),"")</f>
        <v>6302.93.00.00</v>
      </c>
      <c r="I1759" s="8">
        <f>_xlfn.IFNA(INDEX('HS Codes'!$D$2:$K4313,MATCH($B1759,'HS Codes'!$A$2:$A4313,0),MATCH(I$1,'HS Codes'!$D$1:$K$1,0)),"")</f>
        <v>6302939000</v>
      </c>
      <c r="J1759" s="8">
        <f>_xlfn.IFNA(INDEX('HS Codes'!$D$2:$K4313,MATCH($B1759,'HS Codes'!$A$2:$A4313,0),MATCH(J$1,'HS Codes'!$D$1:$K$1,0)),"")</f>
        <v>0</v>
      </c>
      <c r="K1759" s="8" t="str">
        <f>_xlfn.IFNA(INDEX('HS Codes'!$D$2:$K4313,MATCH($B1759,'HS Codes'!$A$2:$A4313,0),MATCH(K$1,'HS Codes'!$D$1:$K$1,0)),"")</f>
        <v>6302.39.00</v>
      </c>
      <c r="L1759" s="8">
        <f>_xlfn.IFNA(INDEX('HS Codes'!$D$2:$K4313,MATCH($B1759,'HS Codes'!$A$2:$A4313,0),MATCH(L$1,'HS Codes'!$D$1:$K$1,0)),"")</f>
        <v>63029120</v>
      </c>
      <c r="M1759" s="8" t="str">
        <f>_xlfn.IFNA(INDEX('HS Codes'!$C$2:$C4313,MATCH($B1759,'HS Codes'!$A$2:$A4313,0)),"")</f>
        <v>Bath Towel - Toilet Linen 100% recycled 340 GSM/83% polyester/17% polyamide (no cotton)</v>
      </c>
      <c r="N1759" s="9"/>
      <c r="O1759" s="9"/>
      <c r="P1759" s="9"/>
      <c r="Q1759" s="9"/>
    </row>
    <row r="1760" spans="1:17" ht="15.75" customHeight="1">
      <c r="A1760" s="7" t="s">
        <v>2053</v>
      </c>
      <c r="B1760" s="7" t="s">
        <v>172</v>
      </c>
      <c r="C1760" s="7" t="s">
        <v>278</v>
      </c>
      <c r="D1760" s="7" t="s">
        <v>173</v>
      </c>
      <c r="E1760" s="7" t="s">
        <v>377</v>
      </c>
      <c r="F1760" s="8" t="str">
        <f>_xlfn.IFNA(INDEX('HS Codes'!$D$2:$K4314,MATCH($B1760,'HS Codes'!$A$2:$A4314,0),MATCH(F$1,'HS Codes'!$D$1:$K$1,0)),"")</f>
        <v>6302.93.2000</v>
      </c>
      <c r="G1760" s="8">
        <f>_xlfn.IFNA(INDEX('HS Codes'!$D$2:$K4314,MATCH($B1760,'HS Codes'!$A$2:$A4314,0),MATCH(G$1,'HS Codes'!$D$1:$K$1,0)),"")</f>
        <v>6302600090</v>
      </c>
      <c r="H1760" s="8" t="str">
        <f>_xlfn.IFNA(INDEX('HS Codes'!$D$2:$K4314,MATCH($B1760,'HS Codes'!$A$2:$A4314,0),MATCH(H$1,'HS Codes'!$D$1:$K$1,0)),"")</f>
        <v>6302.93.00.00</v>
      </c>
      <c r="I1760" s="8">
        <f>_xlfn.IFNA(INDEX('HS Codes'!$D$2:$K4314,MATCH($B1760,'HS Codes'!$A$2:$A4314,0),MATCH(I$1,'HS Codes'!$D$1:$K$1,0)),"")</f>
        <v>6302939000</v>
      </c>
      <c r="J1760" s="8">
        <f>_xlfn.IFNA(INDEX('HS Codes'!$D$2:$K4314,MATCH($B1760,'HS Codes'!$A$2:$A4314,0),MATCH(J$1,'HS Codes'!$D$1:$K$1,0)),"")</f>
        <v>0</v>
      </c>
      <c r="K1760" s="8" t="str">
        <f>_xlfn.IFNA(INDEX('HS Codes'!$D$2:$K4314,MATCH($B1760,'HS Codes'!$A$2:$A4314,0),MATCH(K$1,'HS Codes'!$D$1:$K$1,0)),"")</f>
        <v>6302.39.00</v>
      </c>
      <c r="L1760" s="8">
        <f>_xlfn.IFNA(INDEX('HS Codes'!$D$2:$K4314,MATCH($B1760,'HS Codes'!$A$2:$A4314,0),MATCH(L$1,'HS Codes'!$D$1:$K$1,0)),"")</f>
        <v>63029120</v>
      </c>
      <c r="M1760" s="8" t="str">
        <f>_xlfn.IFNA(INDEX('HS Codes'!$C$2:$C4314,MATCH($B1760,'HS Codes'!$A$2:$A4314,0)),"")</f>
        <v>Bath Towel - Toilet Linen 100% recycled 340 GSM/83% polyester/17% polyamide (no cotton)</v>
      </c>
      <c r="N1760" s="9"/>
      <c r="O1760" s="9"/>
      <c r="P1760" s="9"/>
      <c r="Q1760" s="9"/>
    </row>
    <row r="1761" spans="1:17" ht="15.75" customHeight="1">
      <c r="A1761" s="7" t="s">
        <v>2054</v>
      </c>
      <c r="B1761" s="7" t="s">
        <v>172</v>
      </c>
      <c r="C1761" s="7" t="s">
        <v>278</v>
      </c>
      <c r="D1761" s="7" t="s">
        <v>173</v>
      </c>
      <c r="E1761" s="7" t="s">
        <v>377</v>
      </c>
      <c r="F1761" s="8" t="str">
        <f>_xlfn.IFNA(INDEX('HS Codes'!$D$2:$K4315,MATCH($B1761,'HS Codes'!$A$2:$A4315,0),MATCH(F$1,'HS Codes'!$D$1:$K$1,0)),"")</f>
        <v>6302.93.2000</v>
      </c>
      <c r="G1761" s="8">
        <f>_xlfn.IFNA(INDEX('HS Codes'!$D$2:$K4315,MATCH($B1761,'HS Codes'!$A$2:$A4315,0),MATCH(G$1,'HS Codes'!$D$1:$K$1,0)),"")</f>
        <v>6302600090</v>
      </c>
      <c r="H1761" s="8" t="str">
        <f>_xlfn.IFNA(INDEX('HS Codes'!$D$2:$K4315,MATCH($B1761,'HS Codes'!$A$2:$A4315,0),MATCH(H$1,'HS Codes'!$D$1:$K$1,0)),"")</f>
        <v>6302.93.00.00</v>
      </c>
      <c r="I1761" s="8">
        <f>_xlfn.IFNA(INDEX('HS Codes'!$D$2:$K4315,MATCH($B1761,'HS Codes'!$A$2:$A4315,0),MATCH(I$1,'HS Codes'!$D$1:$K$1,0)),"")</f>
        <v>6302939000</v>
      </c>
      <c r="J1761" s="8">
        <f>_xlfn.IFNA(INDEX('HS Codes'!$D$2:$K4315,MATCH($B1761,'HS Codes'!$A$2:$A4315,0),MATCH(J$1,'HS Codes'!$D$1:$K$1,0)),"")</f>
        <v>0</v>
      </c>
      <c r="K1761" s="8" t="str">
        <f>_xlfn.IFNA(INDEX('HS Codes'!$D$2:$K4315,MATCH($B1761,'HS Codes'!$A$2:$A4315,0),MATCH(K$1,'HS Codes'!$D$1:$K$1,0)),"")</f>
        <v>6302.39.00</v>
      </c>
      <c r="L1761" s="8">
        <f>_xlfn.IFNA(INDEX('HS Codes'!$D$2:$K4315,MATCH($B1761,'HS Codes'!$A$2:$A4315,0),MATCH(L$1,'HS Codes'!$D$1:$K$1,0)),"")</f>
        <v>63029120</v>
      </c>
      <c r="M1761" s="8" t="str">
        <f>_xlfn.IFNA(INDEX('HS Codes'!$C$2:$C4315,MATCH($B1761,'HS Codes'!$A$2:$A4315,0)),"")</f>
        <v>Bath Towel - Toilet Linen 100% recycled 340 GSM/83% polyester/17% polyamide (no cotton)</v>
      </c>
      <c r="N1761" s="9"/>
      <c r="O1761" s="9"/>
      <c r="P1761" s="9"/>
      <c r="Q1761" s="9"/>
    </row>
    <row r="1762" spans="1:17" ht="15.75" customHeight="1">
      <c r="A1762" s="7" t="s">
        <v>2055</v>
      </c>
      <c r="B1762" s="7" t="s">
        <v>172</v>
      </c>
      <c r="C1762" s="7" t="s">
        <v>278</v>
      </c>
      <c r="D1762" s="7" t="s">
        <v>173</v>
      </c>
      <c r="E1762" s="7" t="s">
        <v>377</v>
      </c>
      <c r="F1762" s="8" t="str">
        <f>_xlfn.IFNA(INDEX('HS Codes'!$D$2:$K4316,MATCH($B1762,'HS Codes'!$A$2:$A4316,0),MATCH(F$1,'HS Codes'!$D$1:$K$1,0)),"")</f>
        <v>6302.93.2000</v>
      </c>
      <c r="G1762" s="8">
        <f>_xlfn.IFNA(INDEX('HS Codes'!$D$2:$K4316,MATCH($B1762,'HS Codes'!$A$2:$A4316,0),MATCH(G$1,'HS Codes'!$D$1:$K$1,0)),"")</f>
        <v>6302600090</v>
      </c>
      <c r="H1762" s="8" t="str">
        <f>_xlfn.IFNA(INDEX('HS Codes'!$D$2:$K4316,MATCH($B1762,'HS Codes'!$A$2:$A4316,0),MATCH(H$1,'HS Codes'!$D$1:$K$1,0)),"")</f>
        <v>6302.93.00.00</v>
      </c>
      <c r="I1762" s="8">
        <f>_xlfn.IFNA(INDEX('HS Codes'!$D$2:$K4316,MATCH($B1762,'HS Codes'!$A$2:$A4316,0),MATCH(I$1,'HS Codes'!$D$1:$K$1,0)),"")</f>
        <v>6302939000</v>
      </c>
      <c r="J1762" s="8">
        <f>_xlfn.IFNA(INDEX('HS Codes'!$D$2:$K4316,MATCH($B1762,'HS Codes'!$A$2:$A4316,0),MATCH(J$1,'HS Codes'!$D$1:$K$1,0)),"")</f>
        <v>0</v>
      </c>
      <c r="K1762" s="8" t="str">
        <f>_xlfn.IFNA(INDEX('HS Codes'!$D$2:$K4316,MATCH($B1762,'HS Codes'!$A$2:$A4316,0),MATCH(K$1,'HS Codes'!$D$1:$K$1,0)),"")</f>
        <v>6302.39.00</v>
      </c>
      <c r="L1762" s="8">
        <f>_xlfn.IFNA(INDEX('HS Codes'!$D$2:$K4316,MATCH($B1762,'HS Codes'!$A$2:$A4316,0),MATCH(L$1,'HS Codes'!$D$1:$K$1,0)),"")</f>
        <v>63029120</v>
      </c>
      <c r="M1762" s="8" t="str">
        <f>_xlfn.IFNA(INDEX('HS Codes'!$C$2:$C4316,MATCH($B1762,'HS Codes'!$A$2:$A4316,0)),"")</f>
        <v>Bath Towel - Toilet Linen 100% recycled 340 GSM/83% polyester/17% polyamide (no cotton)</v>
      </c>
      <c r="N1762" s="9"/>
      <c r="O1762" s="9"/>
      <c r="P1762" s="9"/>
      <c r="Q1762" s="9"/>
    </row>
    <row r="1763" spans="1:17" ht="15.75" customHeight="1">
      <c r="A1763" s="7" t="s">
        <v>2056</v>
      </c>
      <c r="B1763" s="7" t="s">
        <v>132</v>
      </c>
      <c r="C1763" s="7"/>
      <c r="D1763" s="7" t="s">
        <v>133</v>
      </c>
      <c r="E1763" s="7" t="s">
        <v>364</v>
      </c>
      <c r="F1763" s="8" t="str">
        <f>_xlfn.IFNA(INDEX('HS Codes'!$D$2:$K4317,MATCH($B1763,'HS Codes'!$A$2:$A4317,0),MATCH(F$1,'HS Codes'!$D$1:$K$1,0)),"")</f>
        <v>9616.20.00.00</v>
      </c>
      <c r="G1763" s="8">
        <f>_xlfn.IFNA(INDEX('HS Codes'!$D$2:$K4317,MATCH($B1763,'HS Codes'!$A$2:$A4317,0),MATCH(G$1,'HS Codes'!$D$1:$K$1,0)),"")</f>
        <v>9616200000</v>
      </c>
      <c r="H1763" s="8" t="str">
        <f>_xlfn.IFNA(INDEX('HS Codes'!$D$2:$K4317,MATCH($B1763,'HS Codes'!$A$2:$A4317,0),MATCH(H$1,'HS Codes'!$D$1:$K$1,0)),"")</f>
        <v>9616.20.00.00</v>
      </c>
      <c r="I1763" s="8">
        <f>_xlfn.IFNA(INDEX('HS Codes'!$D$2:$K4317,MATCH($B1763,'HS Codes'!$A$2:$A4317,0),MATCH(I$1,'HS Codes'!$D$1:$K$1,0)),"")</f>
        <v>9616200000</v>
      </c>
      <c r="J1763" s="8">
        <f>_xlfn.IFNA(INDEX('HS Codes'!$D$2:$K4317,MATCH($B1763,'HS Codes'!$A$2:$A4317,0),MATCH(J$1,'HS Codes'!$D$1:$K$1,0)),"")</f>
        <v>0</v>
      </c>
      <c r="K1763" s="8" t="str">
        <f>_xlfn.IFNA(INDEX('HS Codes'!$D$2:$K4317,MATCH($B1763,'HS Codes'!$A$2:$A4317,0),MATCH(K$1,'HS Codes'!$D$1:$K$1,0)),"")</f>
        <v>9616.20.00</v>
      </c>
      <c r="L1763" s="8">
        <f>_xlfn.IFNA(INDEX('HS Codes'!$D$2:$K4317,MATCH($B1763,'HS Codes'!$A$2:$A4317,0),MATCH(L$1,'HS Codes'!$D$1:$K$1,0)),"")</f>
        <v>0</v>
      </c>
      <c r="M1763" s="8" t="str">
        <f>_xlfn.IFNA(INDEX('HS Codes'!$C$2:$C4317,MATCH($B1763,'HS Codes'!$A$2:$A4317,0)),"")</f>
        <v>Makeup Wipe 100% recycled polyester (no cotton)</v>
      </c>
      <c r="N1763" s="9"/>
      <c r="O1763" s="9"/>
      <c r="P1763" s="9"/>
      <c r="Q1763" s="9"/>
    </row>
    <row r="1764" spans="1:17" ht="15.75" customHeight="1">
      <c r="A1764" s="7" t="s">
        <v>2057</v>
      </c>
      <c r="B1764" s="7" t="s">
        <v>132</v>
      </c>
      <c r="C1764" s="7"/>
      <c r="D1764" s="7" t="s">
        <v>133</v>
      </c>
      <c r="E1764" s="7" t="s">
        <v>364</v>
      </c>
      <c r="F1764" s="8" t="str">
        <f>_xlfn.IFNA(INDEX('HS Codes'!$D$2:$K4318,MATCH($B1764,'HS Codes'!$A$2:$A4318,0),MATCH(F$1,'HS Codes'!$D$1:$K$1,0)),"")</f>
        <v>9616.20.00.00</v>
      </c>
      <c r="G1764" s="8">
        <f>_xlfn.IFNA(INDEX('HS Codes'!$D$2:$K4318,MATCH($B1764,'HS Codes'!$A$2:$A4318,0),MATCH(G$1,'HS Codes'!$D$1:$K$1,0)),"")</f>
        <v>9616200000</v>
      </c>
      <c r="H1764" s="8" t="str">
        <f>_xlfn.IFNA(INDEX('HS Codes'!$D$2:$K4318,MATCH($B1764,'HS Codes'!$A$2:$A4318,0),MATCH(H$1,'HS Codes'!$D$1:$K$1,0)),"")</f>
        <v>9616.20.00.00</v>
      </c>
      <c r="I1764" s="8">
        <f>_xlfn.IFNA(INDEX('HS Codes'!$D$2:$K4318,MATCH($B1764,'HS Codes'!$A$2:$A4318,0),MATCH(I$1,'HS Codes'!$D$1:$K$1,0)),"")</f>
        <v>9616200000</v>
      </c>
      <c r="J1764" s="8">
        <f>_xlfn.IFNA(INDEX('HS Codes'!$D$2:$K4318,MATCH($B1764,'HS Codes'!$A$2:$A4318,0),MATCH(J$1,'HS Codes'!$D$1:$K$1,0)),"")</f>
        <v>0</v>
      </c>
      <c r="K1764" s="8" t="str">
        <f>_xlfn.IFNA(INDEX('HS Codes'!$D$2:$K4318,MATCH($B1764,'HS Codes'!$A$2:$A4318,0),MATCH(K$1,'HS Codes'!$D$1:$K$1,0)),"")</f>
        <v>9616.20.00</v>
      </c>
      <c r="L1764" s="8">
        <f>_xlfn.IFNA(INDEX('HS Codes'!$D$2:$K4318,MATCH($B1764,'HS Codes'!$A$2:$A4318,0),MATCH(L$1,'HS Codes'!$D$1:$K$1,0)),"")</f>
        <v>0</v>
      </c>
      <c r="M1764" s="8" t="str">
        <f>_xlfn.IFNA(INDEX('HS Codes'!$C$2:$C4318,MATCH($B1764,'HS Codes'!$A$2:$A4318,0)),"")</f>
        <v>Makeup Wipe 100% recycled polyester (no cotton)</v>
      </c>
      <c r="N1764" s="9"/>
      <c r="O1764" s="9"/>
      <c r="P1764" s="9"/>
      <c r="Q1764" s="9"/>
    </row>
    <row r="1765" spans="1:17" ht="15.75" customHeight="1">
      <c r="A1765" s="7" t="s">
        <v>2058</v>
      </c>
      <c r="B1765" s="7" t="s">
        <v>132</v>
      </c>
      <c r="C1765" s="7"/>
      <c r="D1765" s="7" t="s">
        <v>133</v>
      </c>
      <c r="E1765" s="7" t="s">
        <v>364</v>
      </c>
      <c r="F1765" s="8" t="str">
        <f>_xlfn.IFNA(INDEX('HS Codes'!$D$2:$K4319,MATCH($B1765,'HS Codes'!$A$2:$A4319,0),MATCH(F$1,'HS Codes'!$D$1:$K$1,0)),"")</f>
        <v>9616.20.00.00</v>
      </c>
      <c r="G1765" s="8">
        <f>_xlfn.IFNA(INDEX('HS Codes'!$D$2:$K4319,MATCH($B1765,'HS Codes'!$A$2:$A4319,0),MATCH(G$1,'HS Codes'!$D$1:$K$1,0)),"")</f>
        <v>9616200000</v>
      </c>
      <c r="H1765" s="8" t="str">
        <f>_xlfn.IFNA(INDEX('HS Codes'!$D$2:$K4319,MATCH($B1765,'HS Codes'!$A$2:$A4319,0),MATCH(H$1,'HS Codes'!$D$1:$K$1,0)),"")</f>
        <v>9616.20.00.00</v>
      </c>
      <c r="I1765" s="8">
        <f>_xlfn.IFNA(INDEX('HS Codes'!$D$2:$K4319,MATCH($B1765,'HS Codes'!$A$2:$A4319,0),MATCH(I$1,'HS Codes'!$D$1:$K$1,0)),"")</f>
        <v>9616200000</v>
      </c>
      <c r="J1765" s="8">
        <f>_xlfn.IFNA(INDEX('HS Codes'!$D$2:$K4319,MATCH($B1765,'HS Codes'!$A$2:$A4319,0),MATCH(J$1,'HS Codes'!$D$1:$K$1,0)),"")</f>
        <v>0</v>
      </c>
      <c r="K1765" s="8" t="str">
        <f>_xlfn.IFNA(INDEX('HS Codes'!$D$2:$K4319,MATCH($B1765,'HS Codes'!$A$2:$A4319,0),MATCH(K$1,'HS Codes'!$D$1:$K$1,0)),"")</f>
        <v>9616.20.00</v>
      </c>
      <c r="L1765" s="8">
        <f>_xlfn.IFNA(INDEX('HS Codes'!$D$2:$K4319,MATCH($B1765,'HS Codes'!$A$2:$A4319,0),MATCH(L$1,'HS Codes'!$D$1:$K$1,0)),"")</f>
        <v>0</v>
      </c>
      <c r="M1765" s="8" t="str">
        <f>_xlfn.IFNA(INDEX('HS Codes'!$C$2:$C4319,MATCH($B1765,'HS Codes'!$A$2:$A4319,0)),"")</f>
        <v>Makeup Wipe 100% recycled polyester (no cotton)</v>
      </c>
      <c r="N1765" s="9"/>
      <c r="O1765" s="9"/>
      <c r="P1765" s="9"/>
      <c r="Q1765" s="9"/>
    </row>
    <row r="1766" spans="1:17" ht="15.75" customHeight="1">
      <c r="A1766" s="7" t="s">
        <v>2059</v>
      </c>
      <c r="B1766" s="7" t="s">
        <v>132</v>
      </c>
      <c r="C1766" s="7"/>
      <c r="D1766" s="7" t="s">
        <v>133</v>
      </c>
      <c r="E1766" s="7" t="s">
        <v>364</v>
      </c>
      <c r="F1766" s="8" t="str">
        <f>_xlfn.IFNA(INDEX('HS Codes'!$D$2:$K4320,MATCH($B1766,'HS Codes'!$A$2:$A4320,0),MATCH(F$1,'HS Codes'!$D$1:$K$1,0)),"")</f>
        <v>9616.20.00.00</v>
      </c>
      <c r="G1766" s="8">
        <f>_xlfn.IFNA(INDEX('HS Codes'!$D$2:$K4320,MATCH($B1766,'HS Codes'!$A$2:$A4320,0),MATCH(G$1,'HS Codes'!$D$1:$K$1,0)),"")</f>
        <v>9616200000</v>
      </c>
      <c r="H1766" s="8" t="str">
        <f>_xlfn.IFNA(INDEX('HS Codes'!$D$2:$K4320,MATCH($B1766,'HS Codes'!$A$2:$A4320,0),MATCH(H$1,'HS Codes'!$D$1:$K$1,0)),"")</f>
        <v>9616.20.00.00</v>
      </c>
      <c r="I1766" s="8">
        <f>_xlfn.IFNA(INDEX('HS Codes'!$D$2:$K4320,MATCH($B1766,'HS Codes'!$A$2:$A4320,0),MATCH(I$1,'HS Codes'!$D$1:$K$1,0)),"")</f>
        <v>9616200000</v>
      </c>
      <c r="J1766" s="8">
        <f>_xlfn.IFNA(INDEX('HS Codes'!$D$2:$K4320,MATCH($B1766,'HS Codes'!$A$2:$A4320,0),MATCH(J$1,'HS Codes'!$D$1:$K$1,0)),"")</f>
        <v>0</v>
      </c>
      <c r="K1766" s="8" t="str">
        <f>_xlfn.IFNA(INDEX('HS Codes'!$D$2:$K4320,MATCH($B1766,'HS Codes'!$A$2:$A4320,0),MATCH(K$1,'HS Codes'!$D$1:$K$1,0)),"")</f>
        <v>9616.20.00</v>
      </c>
      <c r="L1766" s="8">
        <f>_xlfn.IFNA(INDEX('HS Codes'!$D$2:$K4320,MATCH($B1766,'HS Codes'!$A$2:$A4320,0),MATCH(L$1,'HS Codes'!$D$1:$K$1,0)),"")</f>
        <v>0</v>
      </c>
      <c r="M1766" s="8" t="str">
        <f>_xlfn.IFNA(INDEX('HS Codes'!$C$2:$C4320,MATCH($B1766,'HS Codes'!$A$2:$A4320,0)),"")</f>
        <v>Makeup Wipe 100% recycled polyester (no cotton)</v>
      </c>
      <c r="N1766" s="9"/>
      <c r="O1766" s="9"/>
      <c r="P1766" s="9"/>
      <c r="Q1766" s="9"/>
    </row>
    <row r="1767" spans="1:17" ht="15.75" customHeight="1">
      <c r="A1767" s="7" t="s">
        <v>2060</v>
      </c>
      <c r="B1767" s="7" t="s">
        <v>132</v>
      </c>
      <c r="C1767" s="7"/>
      <c r="D1767" s="7" t="s">
        <v>133</v>
      </c>
      <c r="E1767" s="7" t="s">
        <v>364</v>
      </c>
      <c r="F1767" s="8" t="str">
        <f>_xlfn.IFNA(INDEX('HS Codes'!$D$2:$K4321,MATCH($B1767,'HS Codes'!$A$2:$A4321,0),MATCH(F$1,'HS Codes'!$D$1:$K$1,0)),"")</f>
        <v>9616.20.00.00</v>
      </c>
      <c r="G1767" s="8">
        <f>_xlfn.IFNA(INDEX('HS Codes'!$D$2:$K4321,MATCH($B1767,'HS Codes'!$A$2:$A4321,0),MATCH(G$1,'HS Codes'!$D$1:$K$1,0)),"")</f>
        <v>9616200000</v>
      </c>
      <c r="H1767" s="8" t="str">
        <f>_xlfn.IFNA(INDEX('HS Codes'!$D$2:$K4321,MATCH($B1767,'HS Codes'!$A$2:$A4321,0),MATCH(H$1,'HS Codes'!$D$1:$K$1,0)),"")</f>
        <v>9616.20.00.00</v>
      </c>
      <c r="I1767" s="8">
        <f>_xlfn.IFNA(INDEX('HS Codes'!$D$2:$K4321,MATCH($B1767,'HS Codes'!$A$2:$A4321,0),MATCH(I$1,'HS Codes'!$D$1:$K$1,0)),"")</f>
        <v>9616200000</v>
      </c>
      <c r="J1767" s="8">
        <f>_xlfn.IFNA(INDEX('HS Codes'!$D$2:$K4321,MATCH($B1767,'HS Codes'!$A$2:$A4321,0),MATCH(J$1,'HS Codes'!$D$1:$K$1,0)),"")</f>
        <v>0</v>
      </c>
      <c r="K1767" s="8" t="str">
        <f>_xlfn.IFNA(INDEX('HS Codes'!$D$2:$K4321,MATCH($B1767,'HS Codes'!$A$2:$A4321,0),MATCH(K$1,'HS Codes'!$D$1:$K$1,0)),"")</f>
        <v>9616.20.00</v>
      </c>
      <c r="L1767" s="8">
        <f>_xlfn.IFNA(INDEX('HS Codes'!$D$2:$K4321,MATCH($B1767,'HS Codes'!$A$2:$A4321,0),MATCH(L$1,'HS Codes'!$D$1:$K$1,0)),"")</f>
        <v>0</v>
      </c>
      <c r="M1767" s="8" t="str">
        <f>_xlfn.IFNA(INDEX('HS Codes'!$C$2:$C4321,MATCH($B1767,'HS Codes'!$A$2:$A4321,0)),"")</f>
        <v>Makeup Wipe 100% recycled polyester (no cotton)</v>
      </c>
      <c r="N1767" s="9"/>
      <c r="O1767" s="9"/>
      <c r="P1767" s="9"/>
      <c r="Q1767" s="9"/>
    </row>
    <row r="1768" spans="1:17" ht="15.75" customHeight="1">
      <c r="A1768" s="7" t="s">
        <v>2061</v>
      </c>
      <c r="B1768" s="7" t="s">
        <v>132</v>
      </c>
      <c r="C1768" s="7"/>
      <c r="D1768" s="7" t="s">
        <v>133</v>
      </c>
      <c r="E1768" s="7" t="s">
        <v>364</v>
      </c>
      <c r="F1768" s="8" t="str">
        <f>_xlfn.IFNA(INDEX('HS Codes'!$D$2:$K4322,MATCH($B1768,'HS Codes'!$A$2:$A4322,0),MATCH(F$1,'HS Codes'!$D$1:$K$1,0)),"")</f>
        <v>9616.20.00.00</v>
      </c>
      <c r="G1768" s="8">
        <f>_xlfn.IFNA(INDEX('HS Codes'!$D$2:$K4322,MATCH($B1768,'HS Codes'!$A$2:$A4322,0),MATCH(G$1,'HS Codes'!$D$1:$K$1,0)),"")</f>
        <v>9616200000</v>
      </c>
      <c r="H1768" s="8" t="str">
        <f>_xlfn.IFNA(INDEX('HS Codes'!$D$2:$K4322,MATCH($B1768,'HS Codes'!$A$2:$A4322,0),MATCH(H$1,'HS Codes'!$D$1:$K$1,0)),"")</f>
        <v>9616.20.00.00</v>
      </c>
      <c r="I1768" s="8">
        <f>_xlfn.IFNA(INDEX('HS Codes'!$D$2:$K4322,MATCH($B1768,'HS Codes'!$A$2:$A4322,0),MATCH(I$1,'HS Codes'!$D$1:$K$1,0)),"")</f>
        <v>9616200000</v>
      </c>
      <c r="J1768" s="8">
        <f>_xlfn.IFNA(INDEX('HS Codes'!$D$2:$K4322,MATCH($B1768,'HS Codes'!$A$2:$A4322,0),MATCH(J$1,'HS Codes'!$D$1:$K$1,0)),"")</f>
        <v>0</v>
      </c>
      <c r="K1768" s="8" t="str">
        <f>_xlfn.IFNA(INDEX('HS Codes'!$D$2:$K4322,MATCH($B1768,'HS Codes'!$A$2:$A4322,0),MATCH(K$1,'HS Codes'!$D$1:$K$1,0)),"")</f>
        <v>9616.20.00</v>
      </c>
      <c r="L1768" s="8">
        <f>_xlfn.IFNA(INDEX('HS Codes'!$D$2:$K4322,MATCH($B1768,'HS Codes'!$A$2:$A4322,0),MATCH(L$1,'HS Codes'!$D$1:$K$1,0)),"")</f>
        <v>0</v>
      </c>
      <c r="M1768" s="8" t="str">
        <f>_xlfn.IFNA(INDEX('HS Codes'!$C$2:$C4322,MATCH($B1768,'HS Codes'!$A$2:$A4322,0)),"")</f>
        <v>Makeup Wipe 100% recycled polyester (no cotton)</v>
      </c>
      <c r="N1768" s="9"/>
      <c r="O1768" s="9"/>
      <c r="P1768" s="9"/>
      <c r="Q1768" s="9"/>
    </row>
    <row r="1769" spans="1:17" ht="15.75" customHeight="1">
      <c r="A1769" s="7" t="s">
        <v>2062</v>
      </c>
      <c r="B1769" s="7" t="s">
        <v>132</v>
      </c>
      <c r="C1769" s="7"/>
      <c r="D1769" s="7" t="s">
        <v>133</v>
      </c>
      <c r="E1769" s="7" t="s">
        <v>364</v>
      </c>
      <c r="F1769" s="8" t="str">
        <f>_xlfn.IFNA(INDEX('HS Codes'!$D$2:$K4323,MATCH($B1769,'HS Codes'!$A$2:$A4323,0),MATCH(F$1,'HS Codes'!$D$1:$K$1,0)),"")</f>
        <v>9616.20.00.00</v>
      </c>
      <c r="G1769" s="8">
        <f>_xlfn.IFNA(INDEX('HS Codes'!$D$2:$K4323,MATCH($B1769,'HS Codes'!$A$2:$A4323,0),MATCH(G$1,'HS Codes'!$D$1:$K$1,0)),"")</f>
        <v>9616200000</v>
      </c>
      <c r="H1769" s="8" t="str">
        <f>_xlfn.IFNA(INDEX('HS Codes'!$D$2:$K4323,MATCH($B1769,'HS Codes'!$A$2:$A4323,0),MATCH(H$1,'HS Codes'!$D$1:$K$1,0)),"")</f>
        <v>9616.20.00.00</v>
      </c>
      <c r="I1769" s="8">
        <f>_xlfn.IFNA(INDEX('HS Codes'!$D$2:$K4323,MATCH($B1769,'HS Codes'!$A$2:$A4323,0),MATCH(I$1,'HS Codes'!$D$1:$K$1,0)),"")</f>
        <v>9616200000</v>
      </c>
      <c r="J1769" s="8">
        <f>_xlfn.IFNA(INDEX('HS Codes'!$D$2:$K4323,MATCH($B1769,'HS Codes'!$A$2:$A4323,0),MATCH(J$1,'HS Codes'!$D$1:$K$1,0)),"")</f>
        <v>0</v>
      </c>
      <c r="K1769" s="8" t="str">
        <f>_xlfn.IFNA(INDEX('HS Codes'!$D$2:$K4323,MATCH($B1769,'HS Codes'!$A$2:$A4323,0),MATCH(K$1,'HS Codes'!$D$1:$K$1,0)),"")</f>
        <v>9616.20.00</v>
      </c>
      <c r="L1769" s="8">
        <f>_xlfn.IFNA(INDEX('HS Codes'!$D$2:$K4323,MATCH($B1769,'HS Codes'!$A$2:$A4323,0),MATCH(L$1,'HS Codes'!$D$1:$K$1,0)),"")</f>
        <v>0</v>
      </c>
      <c r="M1769" s="8" t="str">
        <f>_xlfn.IFNA(INDEX('HS Codes'!$C$2:$C4323,MATCH($B1769,'HS Codes'!$A$2:$A4323,0)),"")</f>
        <v>Makeup Wipe 100% recycled polyester (no cotton)</v>
      </c>
      <c r="N1769" s="9"/>
      <c r="O1769" s="9"/>
      <c r="P1769" s="9"/>
      <c r="Q1769" s="9"/>
    </row>
    <row r="1770" spans="1:17" ht="15.75" customHeight="1">
      <c r="A1770" s="7" t="s">
        <v>2063</v>
      </c>
      <c r="B1770" s="7" t="s">
        <v>132</v>
      </c>
      <c r="C1770" s="7"/>
      <c r="D1770" s="7" t="s">
        <v>133</v>
      </c>
      <c r="E1770" s="7" t="s">
        <v>364</v>
      </c>
      <c r="F1770" s="8" t="str">
        <f>_xlfn.IFNA(INDEX('HS Codes'!$D$2:$K4324,MATCH($B1770,'HS Codes'!$A$2:$A4324,0),MATCH(F$1,'HS Codes'!$D$1:$K$1,0)),"")</f>
        <v>9616.20.00.00</v>
      </c>
      <c r="G1770" s="8">
        <f>_xlfn.IFNA(INDEX('HS Codes'!$D$2:$K4324,MATCH($B1770,'HS Codes'!$A$2:$A4324,0),MATCH(G$1,'HS Codes'!$D$1:$K$1,0)),"")</f>
        <v>9616200000</v>
      </c>
      <c r="H1770" s="8" t="str">
        <f>_xlfn.IFNA(INDEX('HS Codes'!$D$2:$K4324,MATCH($B1770,'HS Codes'!$A$2:$A4324,0),MATCH(H$1,'HS Codes'!$D$1:$K$1,0)),"")</f>
        <v>9616.20.00.00</v>
      </c>
      <c r="I1770" s="8">
        <f>_xlfn.IFNA(INDEX('HS Codes'!$D$2:$K4324,MATCH($B1770,'HS Codes'!$A$2:$A4324,0),MATCH(I$1,'HS Codes'!$D$1:$K$1,0)),"")</f>
        <v>9616200000</v>
      </c>
      <c r="J1770" s="8">
        <f>_xlfn.IFNA(INDEX('HS Codes'!$D$2:$K4324,MATCH($B1770,'HS Codes'!$A$2:$A4324,0),MATCH(J$1,'HS Codes'!$D$1:$K$1,0)),"")</f>
        <v>0</v>
      </c>
      <c r="K1770" s="8" t="str">
        <f>_xlfn.IFNA(INDEX('HS Codes'!$D$2:$K4324,MATCH($B1770,'HS Codes'!$A$2:$A4324,0),MATCH(K$1,'HS Codes'!$D$1:$K$1,0)),"")</f>
        <v>9616.20.00</v>
      </c>
      <c r="L1770" s="8">
        <f>_xlfn.IFNA(INDEX('HS Codes'!$D$2:$K4324,MATCH($B1770,'HS Codes'!$A$2:$A4324,0),MATCH(L$1,'HS Codes'!$D$1:$K$1,0)),"")</f>
        <v>0</v>
      </c>
      <c r="M1770" s="8" t="str">
        <f>_xlfn.IFNA(INDEX('HS Codes'!$C$2:$C4324,MATCH($B1770,'HS Codes'!$A$2:$A4324,0)),"")</f>
        <v>Makeup Wipe 100% recycled polyester (no cotton)</v>
      </c>
      <c r="N1770" s="9"/>
      <c r="O1770" s="9"/>
      <c r="P1770" s="9"/>
      <c r="Q1770" s="9"/>
    </row>
    <row r="1771" spans="1:17" ht="15.75" customHeight="1">
      <c r="A1771" s="7" t="s">
        <v>2064</v>
      </c>
      <c r="B1771" s="7" t="s">
        <v>132</v>
      </c>
      <c r="C1771" s="7"/>
      <c r="D1771" s="7" t="s">
        <v>133</v>
      </c>
      <c r="E1771" s="7" t="s">
        <v>364</v>
      </c>
      <c r="F1771" s="8" t="str">
        <f>_xlfn.IFNA(INDEX('HS Codes'!$D$2:$K4325,MATCH($B1771,'HS Codes'!$A$2:$A4325,0),MATCH(F$1,'HS Codes'!$D$1:$K$1,0)),"")</f>
        <v>9616.20.00.00</v>
      </c>
      <c r="G1771" s="8">
        <f>_xlfn.IFNA(INDEX('HS Codes'!$D$2:$K4325,MATCH($B1771,'HS Codes'!$A$2:$A4325,0),MATCH(G$1,'HS Codes'!$D$1:$K$1,0)),"")</f>
        <v>9616200000</v>
      </c>
      <c r="H1771" s="8" t="str">
        <f>_xlfn.IFNA(INDEX('HS Codes'!$D$2:$K4325,MATCH($B1771,'HS Codes'!$A$2:$A4325,0),MATCH(H$1,'HS Codes'!$D$1:$K$1,0)),"")</f>
        <v>9616.20.00.00</v>
      </c>
      <c r="I1771" s="8">
        <f>_xlfn.IFNA(INDEX('HS Codes'!$D$2:$K4325,MATCH($B1771,'HS Codes'!$A$2:$A4325,0),MATCH(I$1,'HS Codes'!$D$1:$K$1,0)),"")</f>
        <v>9616200000</v>
      </c>
      <c r="J1771" s="8">
        <f>_xlfn.IFNA(INDEX('HS Codes'!$D$2:$K4325,MATCH($B1771,'HS Codes'!$A$2:$A4325,0),MATCH(J$1,'HS Codes'!$D$1:$K$1,0)),"")</f>
        <v>0</v>
      </c>
      <c r="K1771" s="8" t="str">
        <f>_xlfn.IFNA(INDEX('HS Codes'!$D$2:$K4325,MATCH($B1771,'HS Codes'!$A$2:$A4325,0),MATCH(K$1,'HS Codes'!$D$1:$K$1,0)),"")</f>
        <v>9616.20.00</v>
      </c>
      <c r="L1771" s="8">
        <f>_xlfn.IFNA(INDEX('HS Codes'!$D$2:$K4325,MATCH($B1771,'HS Codes'!$A$2:$A4325,0),MATCH(L$1,'HS Codes'!$D$1:$K$1,0)),"")</f>
        <v>0</v>
      </c>
      <c r="M1771" s="8" t="str">
        <f>_xlfn.IFNA(INDEX('HS Codes'!$C$2:$C4325,MATCH($B1771,'HS Codes'!$A$2:$A4325,0)),"")</f>
        <v>Makeup Wipe 100% recycled polyester (no cotton)</v>
      </c>
      <c r="N1771" s="9"/>
      <c r="O1771" s="9"/>
      <c r="P1771" s="9"/>
      <c r="Q1771" s="9"/>
    </row>
    <row r="1772" spans="1:17" ht="15.75" customHeight="1">
      <c r="A1772" s="7" t="s">
        <v>2065</v>
      </c>
      <c r="B1772" s="7" t="s">
        <v>132</v>
      </c>
      <c r="C1772" s="7"/>
      <c r="D1772" s="7" t="s">
        <v>133</v>
      </c>
      <c r="E1772" s="7" t="s">
        <v>364</v>
      </c>
      <c r="F1772" s="8" t="str">
        <f>_xlfn.IFNA(INDEX('HS Codes'!$D$2:$K4326,MATCH($B1772,'HS Codes'!$A$2:$A4326,0),MATCH(F$1,'HS Codes'!$D$1:$K$1,0)),"")</f>
        <v>9616.20.00.00</v>
      </c>
      <c r="G1772" s="8">
        <f>_xlfn.IFNA(INDEX('HS Codes'!$D$2:$K4326,MATCH($B1772,'HS Codes'!$A$2:$A4326,0),MATCH(G$1,'HS Codes'!$D$1:$K$1,0)),"")</f>
        <v>9616200000</v>
      </c>
      <c r="H1772" s="8" t="str">
        <f>_xlfn.IFNA(INDEX('HS Codes'!$D$2:$K4326,MATCH($B1772,'HS Codes'!$A$2:$A4326,0),MATCH(H$1,'HS Codes'!$D$1:$K$1,0)),"")</f>
        <v>9616.20.00.00</v>
      </c>
      <c r="I1772" s="8">
        <f>_xlfn.IFNA(INDEX('HS Codes'!$D$2:$K4326,MATCH($B1772,'HS Codes'!$A$2:$A4326,0),MATCH(I$1,'HS Codes'!$D$1:$K$1,0)),"")</f>
        <v>9616200000</v>
      </c>
      <c r="J1772" s="8">
        <f>_xlfn.IFNA(INDEX('HS Codes'!$D$2:$K4326,MATCH($B1772,'HS Codes'!$A$2:$A4326,0),MATCH(J$1,'HS Codes'!$D$1:$K$1,0)),"")</f>
        <v>0</v>
      </c>
      <c r="K1772" s="8" t="str">
        <f>_xlfn.IFNA(INDEX('HS Codes'!$D$2:$K4326,MATCH($B1772,'HS Codes'!$A$2:$A4326,0),MATCH(K$1,'HS Codes'!$D$1:$K$1,0)),"")</f>
        <v>9616.20.00</v>
      </c>
      <c r="L1772" s="8">
        <f>_xlfn.IFNA(INDEX('HS Codes'!$D$2:$K4326,MATCH($B1772,'HS Codes'!$A$2:$A4326,0),MATCH(L$1,'HS Codes'!$D$1:$K$1,0)),"")</f>
        <v>0</v>
      </c>
      <c r="M1772" s="8" t="str">
        <f>_xlfn.IFNA(INDEX('HS Codes'!$C$2:$C4326,MATCH($B1772,'HS Codes'!$A$2:$A4326,0)),"")</f>
        <v>Makeup Wipe 100% recycled polyester (no cotton)</v>
      </c>
      <c r="N1772" s="9"/>
      <c r="O1772" s="9"/>
      <c r="P1772" s="9"/>
      <c r="Q1772" s="9"/>
    </row>
    <row r="1773" spans="1:17" ht="15.75" customHeight="1">
      <c r="A1773" s="7" t="s">
        <v>2066</v>
      </c>
      <c r="B1773" s="7" t="s">
        <v>132</v>
      </c>
      <c r="C1773" s="7"/>
      <c r="D1773" s="7" t="s">
        <v>133</v>
      </c>
      <c r="E1773" s="7" t="s">
        <v>364</v>
      </c>
      <c r="F1773" s="8" t="str">
        <f>_xlfn.IFNA(INDEX('HS Codes'!$D$2:$K4327,MATCH($B1773,'HS Codes'!$A$2:$A4327,0),MATCH(F$1,'HS Codes'!$D$1:$K$1,0)),"")</f>
        <v>9616.20.00.00</v>
      </c>
      <c r="G1773" s="8">
        <f>_xlfn.IFNA(INDEX('HS Codes'!$D$2:$K4327,MATCH($B1773,'HS Codes'!$A$2:$A4327,0),MATCH(G$1,'HS Codes'!$D$1:$K$1,0)),"")</f>
        <v>9616200000</v>
      </c>
      <c r="H1773" s="8" t="str">
        <f>_xlfn.IFNA(INDEX('HS Codes'!$D$2:$K4327,MATCH($B1773,'HS Codes'!$A$2:$A4327,0),MATCH(H$1,'HS Codes'!$D$1:$K$1,0)),"")</f>
        <v>9616.20.00.00</v>
      </c>
      <c r="I1773" s="8">
        <f>_xlfn.IFNA(INDEX('HS Codes'!$D$2:$K4327,MATCH($B1773,'HS Codes'!$A$2:$A4327,0),MATCH(I$1,'HS Codes'!$D$1:$K$1,0)),"")</f>
        <v>9616200000</v>
      </c>
      <c r="J1773" s="8">
        <f>_xlfn.IFNA(INDEX('HS Codes'!$D$2:$K4327,MATCH($B1773,'HS Codes'!$A$2:$A4327,0),MATCH(J$1,'HS Codes'!$D$1:$K$1,0)),"")</f>
        <v>0</v>
      </c>
      <c r="K1773" s="8" t="str">
        <f>_xlfn.IFNA(INDEX('HS Codes'!$D$2:$K4327,MATCH($B1773,'HS Codes'!$A$2:$A4327,0),MATCH(K$1,'HS Codes'!$D$1:$K$1,0)),"")</f>
        <v>9616.20.00</v>
      </c>
      <c r="L1773" s="8">
        <f>_xlfn.IFNA(INDEX('HS Codes'!$D$2:$K4327,MATCH($B1773,'HS Codes'!$A$2:$A4327,0),MATCH(L$1,'HS Codes'!$D$1:$K$1,0)),"")</f>
        <v>0</v>
      </c>
      <c r="M1773" s="8" t="str">
        <f>_xlfn.IFNA(INDEX('HS Codes'!$C$2:$C4327,MATCH($B1773,'HS Codes'!$A$2:$A4327,0)),"")</f>
        <v>Makeup Wipe 100% recycled polyester (no cotton)</v>
      </c>
      <c r="N1773" s="9"/>
      <c r="O1773" s="9"/>
      <c r="P1773" s="9"/>
      <c r="Q1773" s="9"/>
    </row>
    <row r="1774" spans="1:17" ht="15.75" customHeight="1">
      <c r="A1774" s="7" t="s">
        <v>2067</v>
      </c>
      <c r="B1774" s="7" t="s">
        <v>132</v>
      </c>
      <c r="C1774" s="7"/>
      <c r="D1774" s="7" t="s">
        <v>133</v>
      </c>
      <c r="E1774" s="7" t="s">
        <v>364</v>
      </c>
      <c r="F1774" s="8" t="str">
        <f>_xlfn.IFNA(INDEX('HS Codes'!$D$2:$K4328,MATCH($B1774,'HS Codes'!$A$2:$A4328,0),MATCH(F$1,'HS Codes'!$D$1:$K$1,0)),"")</f>
        <v>9616.20.00.00</v>
      </c>
      <c r="G1774" s="8">
        <f>_xlfn.IFNA(INDEX('HS Codes'!$D$2:$K4328,MATCH($B1774,'HS Codes'!$A$2:$A4328,0),MATCH(G$1,'HS Codes'!$D$1:$K$1,0)),"")</f>
        <v>9616200000</v>
      </c>
      <c r="H1774" s="8" t="str">
        <f>_xlfn.IFNA(INDEX('HS Codes'!$D$2:$K4328,MATCH($B1774,'HS Codes'!$A$2:$A4328,0),MATCH(H$1,'HS Codes'!$D$1:$K$1,0)),"")</f>
        <v>9616.20.00.00</v>
      </c>
      <c r="I1774" s="8">
        <f>_xlfn.IFNA(INDEX('HS Codes'!$D$2:$K4328,MATCH($B1774,'HS Codes'!$A$2:$A4328,0),MATCH(I$1,'HS Codes'!$D$1:$K$1,0)),"")</f>
        <v>9616200000</v>
      </c>
      <c r="J1774" s="8">
        <f>_xlfn.IFNA(INDEX('HS Codes'!$D$2:$K4328,MATCH($B1774,'HS Codes'!$A$2:$A4328,0),MATCH(J$1,'HS Codes'!$D$1:$K$1,0)),"")</f>
        <v>0</v>
      </c>
      <c r="K1774" s="8" t="str">
        <f>_xlfn.IFNA(INDEX('HS Codes'!$D$2:$K4328,MATCH($B1774,'HS Codes'!$A$2:$A4328,0),MATCH(K$1,'HS Codes'!$D$1:$K$1,0)),"")</f>
        <v>9616.20.00</v>
      </c>
      <c r="L1774" s="8">
        <f>_xlfn.IFNA(INDEX('HS Codes'!$D$2:$K4328,MATCH($B1774,'HS Codes'!$A$2:$A4328,0),MATCH(L$1,'HS Codes'!$D$1:$K$1,0)),"")</f>
        <v>0</v>
      </c>
      <c r="M1774" s="8" t="str">
        <f>_xlfn.IFNA(INDEX('HS Codes'!$C$2:$C4328,MATCH($B1774,'HS Codes'!$A$2:$A4328,0)),"")</f>
        <v>Makeup Wipe 100% recycled polyester (no cotton)</v>
      </c>
      <c r="N1774" s="9"/>
      <c r="O1774" s="9"/>
      <c r="P1774" s="9"/>
      <c r="Q1774" s="9"/>
    </row>
    <row r="1775" spans="1:17" ht="15.75" customHeight="1">
      <c r="A1775" s="7" t="s">
        <v>2068</v>
      </c>
      <c r="B1775" s="7" t="s">
        <v>132</v>
      </c>
      <c r="C1775" s="7"/>
      <c r="D1775" s="7" t="s">
        <v>133</v>
      </c>
      <c r="E1775" s="7" t="s">
        <v>364</v>
      </c>
      <c r="F1775" s="8" t="str">
        <f>_xlfn.IFNA(INDEX('HS Codes'!$D$2:$K4329,MATCH($B1775,'HS Codes'!$A$2:$A4329,0),MATCH(F$1,'HS Codes'!$D$1:$K$1,0)),"")</f>
        <v>9616.20.00.00</v>
      </c>
      <c r="G1775" s="8">
        <f>_xlfn.IFNA(INDEX('HS Codes'!$D$2:$K4329,MATCH($B1775,'HS Codes'!$A$2:$A4329,0),MATCH(G$1,'HS Codes'!$D$1:$K$1,0)),"")</f>
        <v>9616200000</v>
      </c>
      <c r="H1775" s="8" t="str">
        <f>_xlfn.IFNA(INDEX('HS Codes'!$D$2:$K4329,MATCH($B1775,'HS Codes'!$A$2:$A4329,0),MATCH(H$1,'HS Codes'!$D$1:$K$1,0)),"")</f>
        <v>9616.20.00.00</v>
      </c>
      <c r="I1775" s="8">
        <f>_xlfn.IFNA(INDEX('HS Codes'!$D$2:$K4329,MATCH($B1775,'HS Codes'!$A$2:$A4329,0),MATCH(I$1,'HS Codes'!$D$1:$K$1,0)),"")</f>
        <v>9616200000</v>
      </c>
      <c r="J1775" s="8">
        <f>_xlfn.IFNA(INDEX('HS Codes'!$D$2:$K4329,MATCH($B1775,'HS Codes'!$A$2:$A4329,0),MATCH(J$1,'HS Codes'!$D$1:$K$1,0)),"")</f>
        <v>0</v>
      </c>
      <c r="K1775" s="8" t="str">
        <f>_xlfn.IFNA(INDEX('HS Codes'!$D$2:$K4329,MATCH($B1775,'HS Codes'!$A$2:$A4329,0),MATCH(K$1,'HS Codes'!$D$1:$K$1,0)),"")</f>
        <v>9616.20.00</v>
      </c>
      <c r="L1775" s="8">
        <f>_xlfn.IFNA(INDEX('HS Codes'!$D$2:$K4329,MATCH($B1775,'HS Codes'!$A$2:$A4329,0),MATCH(L$1,'HS Codes'!$D$1:$K$1,0)),"")</f>
        <v>0</v>
      </c>
      <c r="M1775" s="8" t="str">
        <f>_xlfn.IFNA(INDEX('HS Codes'!$C$2:$C4329,MATCH($B1775,'HS Codes'!$A$2:$A4329,0)),"")</f>
        <v>Makeup Wipe 100% recycled polyester (no cotton)</v>
      </c>
      <c r="N1775" s="9"/>
      <c r="O1775" s="9"/>
      <c r="P1775" s="9"/>
      <c r="Q1775" s="9"/>
    </row>
    <row r="1776" spans="1:17" ht="15.75" customHeight="1">
      <c r="A1776" s="7" t="s">
        <v>2069</v>
      </c>
      <c r="B1776" s="7" t="s">
        <v>132</v>
      </c>
      <c r="C1776" s="7"/>
      <c r="D1776" s="7" t="s">
        <v>133</v>
      </c>
      <c r="E1776" s="7" t="s">
        <v>364</v>
      </c>
      <c r="F1776" s="8" t="str">
        <f>_xlfn.IFNA(INDEX('HS Codes'!$D$2:$K4330,MATCH($B1776,'HS Codes'!$A$2:$A4330,0),MATCH(F$1,'HS Codes'!$D$1:$K$1,0)),"")</f>
        <v>9616.20.00.00</v>
      </c>
      <c r="G1776" s="8">
        <f>_xlfn.IFNA(INDEX('HS Codes'!$D$2:$K4330,MATCH($B1776,'HS Codes'!$A$2:$A4330,0),MATCH(G$1,'HS Codes'!$D$1:$K$1,0)),"")</f>
        <v>9616200000</v>
      </c>
      <c r="H1776" s="8" t="str">
        <f>_xlfn.IFNA(INDEX('HS Codes'!$D$2:$K4330,MATCH($B1776,'HS Codes'!$A$2:$A4330,0),MATCH(H$1,'HS Codes'!$D$1:$K$1,0)),"")</f>
        <v>9616.20.00.00</v>
      </c>
      <c r="I1776" s="8">
        <f>_xlfn.IFNA(INDEX('HS Codes'!$D$2:$K4330,MATCH($B1776,'HS Codes'!$A$2:$A4330,0),MATCH(I$1,'HS Codes'!$D$1:$K$1,0)),"")</f>
        <v>9616200000</v>
      </c>
      <c r="J1776" s="8">
        <f>_xlfn.IFNA(INDEX('HS Codes'!$D$2:$K4330,MATCH($B1776,'HS Codes'!$A$2:$A4330,0),MATCH(J$1,'HS Codes'!$D$1:$K$1,0)),"")</f>
        <v>0</v>
      </c>
      <c r="K1776" s="8" t="str">
        <f>_xlfn.IFNA(INDEX('HS Codes'!$D$2:$K4330,MATCH($B1776,'HS Codes'!$A$2:$A4330,0),MATCH(K$1,'HS Codes'!$D$1:$K$1,0)),"")</f>
        <v>9616.20.00</v>
      </c>
      <c r="L1776" s="8">
        <f>_xlfn.IFNA(INDEX('HS Codes'!$D$2:$K4330,MATCH($B1776,'HS Codes'!$A$2:$A4330,0),MATCH(L$1,'HS Codes'!$D$1:$K$1,0)),"")</f>
        <v>0</v>
      </c>
      <c r="M1776" s="8" t="str">
        <f>_xlfn.IFNA(INDEX('HS Codes'!$C$2:$C4330,MATCH($B1776,'HS Codes'!$A$2:$A4330,0)),"")</f>
        <v>Makeup Wipe 100% recycled polyester (no cotton)</v>
      </c>
      <c r="N1776" s="9"/>
      <c r="O1776" s="9"/>
      <c r="P1776" s="9"/>
      <c r="Q1776" s="9"/>
    </row>
    <row r="1777" spans="1:17" ht="15.75" customHeight="1">
      <c r="A1777" s="7" t="s">
        <v>2070</v>
      </c>
      <c r="B1777" s="7" t="s">
        <v>132</v>
      </c>
      <c r="C1777" s="7"/>
      <c r="D1777" s="7" t="s">
        <v>133</v>
      </c>
      <c r="E1777" s="7" t="s">
        <v>364</v>
      </c>
      <c r="F1777" s="8" t="str">
        <f>_xlfn.IFNA(INDEX('HS Codes'!$D$2:$K4331,MATCH($B1777,'HS Codes'!$A$2:$A4331,0),MATCH(F$1,'HS Codes'!$D$1:$K$1,0)),"")</f>
        <v>9616.20.00.00</v>
      </c>
      <c r="G1777" s="8">
        <f>_xlfn.IFNA(INDEX('HS Codes'!$D$2:$K4331,MATCH($B1777,'HS Codes'!$A$2:$A4331,0),MATCH(G$1,'HS Codes'!$D$1:$K$1,0)),"")</f>
        <v>9616200000</v>
      </c>
      <c r="H1777" s="8" t="str">
        <f>_xlfn.IFNA(INDEX('HS Codes'!$D$2:$K4331,MATCH($B1777,'HS Codes'!$A$2:$A4331,0),MATCH(H$1,'HS Codes'!$D$1:$K$1,0)),"")</f>
        <v>9616.20.00.00</v>
      </c>
      <c r="I1777" s="8">
        <f>_xlfn.IFNA(INDEX('HS Codes'!$D$2:$K4331,MATCH($B1777,'HS Codes'!$A$2:$A4331,0),MATCH(I$1,'HS Codes'!$D$1:$K$1,0)),"")</f>
        <v>9616200000</v>
      </c>
      <c r="J1777" s="8">
        <f>_xlfn.IFNA(INDEX('HS Codes'!$D$2:$K4331,MATCH($B1777,'HS Codes'!$A$2:$A4331,0),MATCH(J$1,'HS Codes'!$D$1:$K$1,0)),"")</f>
        <v>0</v>
      </c>
      <c r="K1777" s="8" t="str">
        <f>_xlfn.IFNA(INDEX('HS Codes'!$D$2:$K4331,MATCH($B1777,'HS Codes'!$A$2:$A4331,0),MATCH(K$1,'HS Codes'!$D$1:$K$1,0)),"")</f>
        <v>9616.20.00</v>
      </c>
      <c r="L1777" s="8">
        <f>_xlfn.IFNA(INDEX('HS Codes'!$D$2:$K4331,MATCH($B1777,'HS Codes'!$A$2:$A4331,0),MATCH(L$1,'HS Codes'!$D$1:$K$1,0)),"")</f>
        <v>0</v>
      </c>
      <c r="M1777" s="8" t="str">
        <f>_xlfn.IFNA(INDEX('HS Codes'!$C$2:$C4331,MATCH($B1777,'HS Codes'!$A$2:$A4331,0)),"")</f>
        <v>Makeup Wipe 100% recycled polyester (no cotton)</v>
      </c>
      <c r="N1777" s="9"/>
      <c r="O1777" s="9"/>
      <c r="P1777" s="9"/>
      <c r="Q1777" s="9"/>
    </row>
    <row r="1778" spans="1:17" ht="15.75" customHeight="1">
      <c r="A1778" s="7" t="s">
        <v>2071</v>
      </c>
      <c r="B1778" s="7" t="s">
        <v>132</v>
      </c>
      <c r="C1778" s="7"/>
      <c r="D1778" s="7" t="s">
        <v>133</v>
      </c>
      <c r="E1778" s="7" t="s">
        <v>364</v>
      </c>
      <c r="F1778" s="8" t="str">
        <f>_xlfn.IFNA(INDEX('HS Codes'!$D$2:$K4332,MATCH($B1778,'HS Codes'!$A$2:$A4332,0),MATCH(F$1,'HS Codes'!$D$1:$K$1,0)),"")</f>
        <v>9616.20.00.00</v>
      </c>
      <c r="G1778" s="8">
        <f>_xlfn.IFNA(INDEX('HS Codes'!$D$2:$K4332,MATCH($B1778,'HS Codes'!$A$2:$A4332,0),MATCH(G$1,'HS Codes'!$D$1:$K$1,0)),"")</f>
        <v>9616200000</v>
      </c>
      <c r="H1778" s="8" t="str">
        <f>_xlfn.IFNA(INDEX('HS Codes'!$D$2:$K4332,MATCH($B1778,'HS Codes'!$A$2:$A4332,0),MATCH(H$1,'HS Codes'!$D$1:$K$1,0)),"")</f>
        <v>9616.20.00.00</v>
      </c>
      <c r="I1778" s="8">
        <f>_xlfn.IFNA(INDEX('HS Codes'!$D$2:$K4332,MATCH($B1778,'HS Codes'!$A$2:$A4332,0),MATCH(I$1,'HS Codes'!$D$1:$K$1,0)),"")</f>
        <v>9616200000</v>
      </c>
      <c r="J1778" s="8">
        <f>_xlfn.IFNA(INDEX('HS Codes'!$D$2:$K4332,MATCH($B1778,'HS Codes'!$A$2:$A4332,0),MATCH(J$1,'HS Codes'!$D$1:$K$1,0)),"")</f>
        <v>0</v>
      </c>
      <c r="K1778" s="8" t="str">
        <f>_xlfn.IFNA(INDEX('HS Codes'!$D$2:$K4332,MATCH($B1778,'HS Codes'!$A$2:$A4332,0),MATCH(K$1,'HS Codes'!$D$1:$K$1,0)),"")</f>
        <v>9616.20.00</v>
      </c>
      <c r="L1778" s="8">
        <f>_xlfn.IFNA(INDEX('HS Codes'!$D$2:$K4332,MATCH($B1778,'HS Codes'!$A$2:$A4332,0),MATCH(L$1,'HS Codes'!$D$1:$K$1,0)),"")</f>
        <v>0</v>
      </c>
      <c r="M1778" s="8" t="str">
        <f>_xlfn.IFNA(INDEX('HS Codes'!$C$2:$C4332,MATCH($B1778,'HS Codes'!$A$2:$A4332,0)),"")</f>
        <v>Makeup Wipe 100% recycled polyester (no cotton)</v>
      </c>
      <c r="N1778" s="9"/>
      <c r="O1778" s="9"/>
      <c r="P1778" s="9"/>
      <c r="Q1778" s="9"/>
    </row>
    <row r="1779" spans="1:17" ht="15.75" customHeight="1">
      <c r="A1779" s="7" t="s">
        <v>2072</v>
      </c>
      <c r="B1779" s="7" t="s">
        <v>132</v>
      </c>
      <c r="C1779" s="7"/>
      <c r="D1779" s="7" t="s">
        <v>133</v>
      </c>
      <c r="E1779" s="7" t="s">
        <v>364</v>
      </c>
      <c r="F1779" s="8" t="str">
        <f>_xlfn.IFNA(INDEX('HS Codes'!$D$2:$K4333,MATCH($B1779,'HS Codes'!$A$2:$A4333,0),MATCH(F$1,'HS Codes'!$D$1:$K$1,0)),"")</f>
        <v>9616.20.00.00</v>
      </c>
      <c r="G1779" s="8">
        <f>_xlfn.IFNA(INDEX('HS Codes'!$D$2:$K4333,MATCH($B1779,'HS Codes'!$A$2:$A4333,0),MATCH(G$1,'HS Codes'!$D$1:$K$1,0)),"")</f>
        <v>9616200000</v>
      </c>
      <c r="H1779" s="8" t="str">
        <f>_xlfn.IFNA(INDEX('HS Codes'!$D$2:$K4333,MATCH($B1779,'HS Codes'!$A$2:$A4333,0),MATCH(H$1,'HS Codes'!$D$1:$K$1,0)),"")</f>
        <v>9616.20.00.00</v>
      </c>
      <c r="I1779" s="8">
        <f>_xlfn.IFNA(INDEX('HS Codes'!$D$2:$K4333,MATCH($B1779,'HS Codes'!$A$2:$A4333,0),MATCH(I$1,'HS Codes'!$D$1:$K$1,0)),"")</f>
        <v>9616200000</v>
      </c>
      <c r="J1779" s="8">
        <f>_xlfn.IFNA(INDEX('HS Codes'!$D$2:$K4333,MATCH($B1779,'HS Codes'!$A$2:$A4333,0),MATCH(J$1,'HS Codes'!$D$1:$K$1,0)),"")</f>
        <v>0</v>
      </c>
      <c r="K1779" s="8" t="str">
        <f>_xlfn.IFNA(INDEX('HS Codes'!$D$2:$K4333,MATCH($B1779,'HS Codes'!$A$2:$A4333,0),MATCH(K$1,'HS Codes'!$D$1:$K$1,0)),"")</f>
        <v>9616.20.00</v>
      </c>
      <c r="L1779" s="8">
        <f>_xlfn.IFNA(INDEX('HS Codes'!$D$2:$K4333,MATCH($B1779,'HS Codes'!$A$2:$A4333,0),MATCH(L$1,'HS Codes'!$D$1:$K$1,0)),"")</f>
        <v>0</v>
      </c>
      <c r="M1779" s="8" t="str">
        <f>_xlfn.IFNA(INDEX('HS Codes'!$C$2:$C4333,MATCH($B1779,'HS Codes'!$A$2:$A4333,0)),"")</f>
        <v>Makeup Wipe 100% recycled polyester (no cotton)</v>
      </c>
      <c r="N1779" s="9"/>
      <c r="O1779" s="9"/>
      <c r="P1779" s="9"/>
      <c r="Q1779" s="9"/>
    </row>
    <row r="1780" spans="1:17" ht="15.75" customHeight="1">
      <c r="A1780" s="7" t="s">
        <v>2073</v>
      </c>
      <c r="B1780" s="7" t="s">
        <v>132</v>
      </c>
      <c r="C1780" s="7"/>
      <c r="D1780" s="7" t="s">
        <v>133</v>
      </c>
      <c r="E1780" s="7" t="s">
        <v>364</v>
      </c>
      <c r="F1780" s="8" t="str">
        <f>_xlfn.IFNA(INDEX('HS Codes'!$D$2:$K4334,MATCH($B1780,'HS Codes'!$A$2:$A4334,0),MATCH(F$1,'HS Codes'!$D$1:$K$1,0)),"")</f>
        <v>9616.20.00.00</v>
      </c>
      <c r="G1780" s="8">
        <f>_xlfn.IFNA(INDEX('HS Codes'!$D$2:$K4334,MATCH($B1780,'HS Codes'!$A$2:$A4334,0),MATCH(G$1,'HS Codes'!$D$1:$K$1,0)),"")</f>
        <v>9616200000</v>
      </c>
      <c r="H1780" s="8" t="str">
        <f>_xlfn.IFNA(INDEX('HS Codes'!$D$2:$K4334,MATCH($B1780,'HS Codes'!$A$2:$A4334,0),MATCH(H$1,'HS Codes'!$D$1:$K$1,0)),"")</f>
        <v>9616.20.00.00</v>
      </c>
      <c r="I1780" s="8">
        <f>_xlfn.IFNA(INDEX('HS Codes'!$D$2:$K4334,MATCH($B1780,'HS Codes'!$A$2:$A4334,0),MATCH(I$1,'HS Codes'!$D$1:$K$1,0)),"")</f>
        <v>9616200000</v>
      </c>
      <c r="J1780" s="8">
        <f>_xlfn.IFNA(INDEX('HS Codes'!$D$2:$K4334,MATCH($B1780,'HS Codes'!$A$2:$A4334,0),MATCH(J$1,'HS Codes'!$D$1:$K$1,0)),"")</f>
        <v>0</v>
      </c>
      <c r="K1780" s="8" t="str">
        <f>_xlfn.IFNA(INDEX('HS Codes'!$D$2:$K4334,MATCH($B1780,'HS Codes'!$A$2:$A4334,0),MATCH(K$1,'HS Codes'!$D$1:$K$1,0)),"")</f>
        <v>9616.20.00</v>
      </c>
      <c r="L1780" s="8">
        <f>_xlfn.IFNA(INDEX('HS Codes'!$D$2:$K4334,MATCH($B1780,'HS Codes'!$A$2:$A4334,0),MATCH(L$1,'HS Codes'!$D$1:$K$1,0)),"")</f>
        <v>0</v>
      </c>
      <c r="M1780" s="8" t="str">
        <f>_xlfn.IFNA(INDEX('HS Codes'!$C$2:$C4334,MATCH($B1780,'HS Codes'!$A$2:$A4334,0)),"")</f>
        <v>Makeup Wipe 100% recycled polyester (no cotton)</v>
      </c>
      <c r="N1780" s="9"/>
      <c r="O1780" s="9"/>
      <c r="P1780" s="9"/>
      <c r="Q1780" s="9"/>
    </row>
    <row r="1781" spans="1:17" ht="15.75" customHeight="1">
      <c r="A1781" s="7" t="s">
        <v>2074</v>
      </c>
      <c r="B1781" s="7" t="s">
        <v>132</v>
      </c>
      <c r="C1781" s="7"/>
      <c r="D1781" s="7" t="s">
        <v>133</v>
      </c>
      <c r="E1781" s="7" t="s">
        <v>364</v>
      </c>
      <c r="F1781" s="8" t="str">
        <f>_xlfn.IFNA(INDEX('HS Codes'!$D$2:$K4335,MATCH($B1781,'HS Codes'!$A$2:$A4335,0),MATCH(F$1,'HS Codes'!$D$1:$K$1,0)),"")</f>
        <v>9616.20.00.00</v>
      </c>
      <c r="G1781" s="8">
        <f>_xlfn.IFNA(INDEX('HS Codes'!$D$2:$K4335,MATCH($B1781,'HS Codes'!$A$2:$A4335,0),MATCH(G$1,'HS Codes'!$D$1:$K$1,0)),"")</f>
        <v>9616200000</v>
      </c>
      <c r="H1781" s="8" t="str">
        <f>_xlfn.IFNA(INDEX('HS Codes'!$D$2:$K4335,MATCH($B1781,'HS Codes'!$A$2:$A4335,0),MATCH(H$1,'HS Codes'!$D$1:$K$1,0)),"")</f>
        <v>9616.20.00.00</v>
      </c>
      <c r="I1781" s="8">
        <f>_xlfn.IFNA(INDEX('HS Codes'!$D$2:$K4335,MATCH($B1781,'HS Codes'!$A$2:$A4335,0),MATCH(I$1,'HS Codes'!$D$1:$K$1,0)),"")</f>
        <v>9616200000</v>
      </c>
      <c r="J1781" s="8">
        <f>_xlfn.IFNA(INDEX('HS Codes'!$D$2:$K4335,MATCH($B1781,'HS Codes'!$A$2:$A4335,0),MATCH(J$1,'HS Codes'!$D$1:$K$1,0)),"")</f>
        <v>0</v>
      </c>
      <c r="K1781" s="8" t="str">
        <f>_xlfn.IFNA(INDEX('HS Codes'!$D$2:$K4335,MATCH($B1781,'HS Codes'!$A$2:$A4335,0),MATCH(K$1,'HS Codes'!$D$1:$K$1,0)),"")</f>
        <v>9616.20.00</v>
      </c>
      <c r="L1781" s="8">
        <f>_xlfn.IFNA(INDEX('HS Codes'!$D$2:$K4335,MATCH($B1781,'HS Codes'!$A$2:$A4335,0),MATCH(L$1,'HS Codes'!$D$1:$K$1,0)),"")</f>
        <v>0</v>
      </c>
      <c r="M1781" s="8" t="str">
        <f>_xlfn.IFNA(INDEX('HS Codes'!$C$2:$C4335,MATCH($B1781,'HS Codes'!$A$2:$A4335,0)),"")</f>
        <v>Makeup Wipe 100% recycled polyester (no cotton)</v>
      </c>
      <c r="N1781" s="9"/>
      <c r="O1781" s="9"/>
      <c r="P1781" s="9"/>
      <c r="Q1781" s="9"/>
    </row>
    <row r="1782" spans="1:17" ht="15.75" customHeight="1">
      <c r="A1782" s="7" t="s">
        <v>2075</v>
      </c>
      <c r="B1782" s="7" t="s">
        <v>132</v>
      </c>
      <c r="C1782" s="7"/>
      <c r="D1782" s="7" t="s">
        <v>133</v>
      </c>
      <c r="E1782" s="7" t="s">
        <v>364</v>
      </c>
      <c r="F1782" s="8" t="str">
        <f>_xlfn.IFNA(INDEX('HS Codes'!$D$2:$K4336,MATCH($B1782,'HS Codes'!$A$2:$A4336,0),MATCH(F$1,'HS Codes'!$D$1:$K$1,0)),"")</f>
        <v>9616.20.00.00</v>
      </c>
      <c r="G1782" s="8">
        <f>_xlfn.IFNA(INDEX('HS Codes'!$D$2:$K4336,MATCH($B1782,'HS Codes'!$A$2:$A4336,0),MATCH(G$1,'HS Codes'!$D$1:$K$1,0)),"")</f>
        <v>9616200000</v>
      </c>
      <c r="H1782" s="8" t="str">
        <f>_xlfn.IFNA(INDEX('HS Codes'!$D$2:$K4336,MATCH($B1782,'HS Codes'!$A$2:$A4336,0),MATCH(H$1,'HS Codes'!$D$1:$K$1,0)),"")</f>
        <v>9616.20.00.00</v>
      </c>
      <c r="I1782" s="8">
        <f>_xlfn.IFNA(INDEX('HS Codes'!$D$2:$K4336,MATCH($B1782,'HS Codes'!$A$2:$A4336,0),MATCH(I$1,'HS Codes'!$D$1:$K$1,0)),"")</f>
        <v>9616200000</v>
      </c>
      <c r="J1782" s="8">
        <f>_xlfn.IFNA(INDEX('HS Codes'!$D$2:$K4336,MATCH($B1782,'HS Codes'!$A$2:$A4336,0),MATCH(J$1,'HS Codes'!$D$1:$K$1,0)),"")</f>
        <v>0</v>
      </c>
      <c r="K1782" s="8" t="str">
        <f>_xlfn.IFNA(INDEX('HS Codes'!$D$2:$K4336,MATCH($B1782,'HS Codes'!$A$2:$A4336,0),MATCH(K$1,'HS Codes'!$D$1:$K$1,0)),"")</f>
        <v>9616.20.00</v>
      </c>
      <c r="L1782" s="8">
        <f>_xlfn.IFNA(INDEX('HS Codes'!$D$2:$K4336,MATCH($B1782,'HS Codes'!$A$2:$A4336,0),MATCH(L$1,'HS Codes'!$D$1:$K$1,0)),"")</f>
        <v>0</v>
      </c>
      <c r="M1782" s="8" t="str">
        <f>_xlfn.IFNA(INDEX('HS Codes'!$C$2:$C4336,MATCH($B1782,'HS Codes'!$A$2:$A4336,0)),"")</f>
        <v>Makeup Wipe 100% recycled polyester (no cotton)</v>
      </c>
      <c r="N1782" s="9"/>
      <c r="O1782" s="9"/>
      <c r="P1782" s="9"/>
      <c r="Q1782" s="9"/>
    </row>
    <row r="1783" spans="1:17" ht="15.75" customHeight="1">
      <c r="A1783" s="7" t="s">
        <v>2076</v>
      </c>
      <c r="B1783" s="7" t="s">
        <v>132</v>
      </c>
      <c r="C1783" s="7"/>
      <c r="D1783" s="7" t="s">
        <v>133</v>
      </c>
      <c r="E1783" s="7" t="s">
        <v>364</v>
      </c>
      <c r="F1783" s="8" t="str">
        <f>_xlfn.IFNA(INDEX('HS Codes'!$D$2:$K4337,MATCH($B1783,'HS Codes'!$A$2:$A4337,0),MATCH(F$1,'HS Codes'!$D$1:$K$1,0)),"")</f>
        <v>9616.20.00.00</v>
      </c>
      <c r="G1783" s="8">
        <f>_xlfn.IFNA(INDEX('HS Codes'!$D$2:$K4337,MATCH($B1783,'HS Codes'!$A$2:$A4337,0),MATCH(G$1,'HS Codes'!$D$1:$K$1,0)),"")</f>
        <v>9616200000</v>
      </c>
      <c r="H1783" s="8" t="str">
        <f>_xlfn.IFNA(INDEX('HS Codes'!$D$2:$K4337,MATCH($B1783,'HS Codes'!$A$2:$A4337,0),MATCH(H$1,'HS Codes'!$D$1:$K$1,0)),"")</f>
        <v>9616.20.00.00</v>
      </c>
      <c r="I1783" s="8">
        <f>_xlfn.IFNA(INDEX('HS Codes'!$D$2:$K4337,MATCH($B1783,'HS Codes'!$A$2:$A4337,0),MATCH(I$1,'HS Codes'!$D$1:$K$1,0)),"")</f>
        <v>9616200000</v>
      </c>
      <c r="J1783" s="8">
        <f>_xlfn.IFNA(INDEX('HS Codes'!$D$2:$K4337,MATCH($B1783,'HS Codes'!$A$2:$A4337,0),MATCH(J$1,'HS Codes'!$D$1:$K$1,0)),"")</f>
        <v>0</v>
      </c>
      <c r="K1783" s="8" t="str">
        <f>_xlfn.IFNA(INDEX('HS Codes'!$D$2:$K4337,MATCH($B1783,'HS Codes'!$A$2:$A4337,0),MATCH(K$1,'HS Codes'!$D$1:$K$1,0)),"")</f>
        <v>9616.20.00</v>
      </c>
      <c r="L1783" s="8">
        <f>_xlfn.IFNA(INDEX('HS Codes'!$D$2:$K4337,MATCH($B1783,'HS Codes'!$A$2:$A4337,0),MATCH(L$1,'HS Codes'!$D$1:$K$1,0)),"")</f>
        <v>0</v>
      </c>
      <c r="M1783" s="8" t="str">
        <f>_xlfn.IFNA(INDEX('HS Codes'!$C$2:$C4337,MATCH($B1783,'HS Codes'!$A$2:$A4337,0)),"")</f>
        <v>Makeup Wipe 100% recycled polyester (no cotton)</v>
      </c>
      <c r="N1783" s="9"/>
      <c r="O1783" s="9"/>
      <c r="P1783" s="9"/>
      <c r="Q1783" s="9"/>
    </row>
    <row r="1784" spans="1:17" ht="15.75" customHeight="1">
      <c r="A1784" s="7" t="s">
        <v>2077</v>
      </c>
      <c r="B1784" s="7" t="s">
        <v>132</v>
      </c>
      <c r="C1784" s="7"/>
      <c r="D1784" s="7" t="s">
        <v>133</v>
      </c>
      <c r="E1784" s="7" t="s">
        <v>364</v>
      </c>
      <c r="F1784" s="8" t="str">
        <f>_xlfn.IFNA(INDEX('HS Codes'!$D$2:$K4338,MATCH($B1784,'HS Codes'!$A$2:$A4338,0),MATCH(F$1,'HS Codes'!$D$1:$K$1,0)),"")</f>
        <v>9616.20.00.00</v>
      </c>
      <c r="G1784" s="8">
        <f>_xlfn.IFNA(INDEX('HS Codes'!$D$2:$K4338,MATCH($B1784,'HS Codes'!$A$2:$A4338,0),MATCH(G$1,'HS Codes'!$D$1:$K$1,0)),"")</f>
        <v>9616200000</v>
      </c>
      <c r="H1784" s="8" t="str">
        <f>_xlfn.IFNA(INDEX('HS Codes'!$D$2:$K4338,MATCH($B1784,'HS Codes'!$A$2:$A4338,0),MATCH(H$1,'HS Codes'!$D$1:$K$1,0)),"")</f>
        <v>9616.20.00.00</v>
      </c>
      <c r="I1784" s="8">
        <f>_xlfn.IFNA(INDEX('HS Codes'!$D$2:$K4338,MATCH($B1784,'HS Codes'!$A$2:$A4338,0),MATCH(I$1,'HS Codes'!$D$1:$K$1,0)),"")</f>
        <v>9616200000</v>
      </c>
      <c r="J1784" s="8">
        <f>_xlfn.IFNA(INDEX('HS Codes'!$D$2:$K4338,MATCH($B1784,'HS Codes'!$A$2:$A4338,0),MATCH(J$1,'HS Codes'!$D$1:$K$1,0)),"")</f>
        <v>0</v>
      </c>
      <c r="K1784" s="8" t="str">
        <f>_xlfn.IFNA(INDEX('HS Codes'!$D$2:$K4338,MATCH($B1784,'HS Codes'!$A$2:$A4338,0),MATCH(K$1,'HS Codes'!$D$1:$K$1,0)),"")</f>
        <v>9616.20.00</v>
      </c>
      <c r="L1784" s="8">
        <f>_xlfn.IFNA(INDEX('HS Codes'!$D$2:$K4338,MATCH($B1784,'HS Codes'!$A$2:$A4338,0),MATCH(L$1,'HS Codes'!$D$1:$K$1,0)),"")</f>
        <v>0</v>
      </c>
      <c r="M1784" s="8" t="str">
        <f>_xlfn.IFNA(INDEX('HS Codes'!$C$2:$C4338,MATCH($B1784,'HS Codes'!$A$2:$A4338,0)),"")</f>
        <v>Makeup Wipe 100% recycled polyester (no cotton)</v>
      </c>
      <c r="N1784" s="9"/>
      <c r="O1784" s="9"/>
      <c r="P1784" s="9"/>
      <c r="Q1784" s="9"/>
    </row>
    <row r="1785" spans="1:17" ht="15.75" customHeight="1">
      <c r="A1785" s="7" t="s">
        <v>2078</v>
      </c>
      <c r="B1785" s="7"/>
      <c r="C1785" s="7"/>
      <c r="D1785" s="7"/>
      <c r="E1785" s="7"/>
      <c r="F1785" s="8" t="str">
        <f>_xlfn.IFNA(INDEX('HS Codes'!$D$2:$K4339,MATCH($B1785,'HS Codes'!$A$2:$A4339,0),MATCH(F$1,'HS Codes'!$D$1:$K$1,0)),"")</f>
        <v/>
      </c>
      <c r="G1785" s="8" t="str">
        <f>_xlfn.IFNA(INDEX('HS Codes'!$D$2:$K4339,MATCH($B1785,'HS Codes'!$A$2:$A4339,0),MATCH(G$1,'HS Codes'!$D$1:$K$1,0)),"")</f>
        <v/>
      </c>
      <c r="H1785" s="8" t="str">
        <f>_xlfn.IFNA(INDEX('HS Codes'!$D$2:$K4339,MATCH($B1785,'HS Codes'!$A$2:$A4339,0),MATCH(H$1,'HS Codes'!$D$1:$K$1,0)),"")</f>
        <v/>
      </c>
      <c r="I1785" s="8" t="str">
        <f>_xlfn.IFNA(INDEX('HS Codes'!$D$2:$K4339,MATCH($B1785,'HS Codes'!$A$2:$A4339,0),MATCH(I$1,'HS Codes'!$D$1:$K$1,0)),"")</f>
        <v/>
      </c>
      <c r="J1785" s="8" t="str">
        <f>_xlfn.IFNA(INDEX('HS Codes'!$D$2:$K4339,MATCH($B1785,'HS Codes'!$A$2:$A4339,0),MATCH(J$1,'HS Codes'!$D$1:$K$1,0)),"")</f>
        <v/>
      </c>
      <c r="K1785" s="8" t="str">
        <f>_xlfn.IFNA(INDEX('HS Codes'!$D$2:$K4339,MATCH($B1785,'HS Codes'!$A$2:$A4339,0),MATCH(K$1,'HS Codes'!$D$1:$K$1,0)),"")</f>
        <v/>
      </c>
      <c r="L1785" s="8" t="str">
        <f>_xlfn.IFNA(INDEX('HS Codes'!$D$2:$K4339,MATCH($B1785,'HS Codes'!$A$2:$A4339,0),MATCH(L$1,'HS Codes'!$D$1:$K$1,0)),"")</f>
        <v/>
      </c>
      <c r="M1785" s="8" t="str">
        <f>_xlfn.IFNA(INDEX('HS Codes'!$C$2:$C4339,MATCH($B1785,'HS Codes'!$A$2:$A4339,0)),"")</f>
        <v/>
      </c>
      <c r="N1785" s="9"/>
      <c r="O1785" s="9"/>
      <c r="P1785" s="9"/>
      <c r="Q1785" s="9"/>
    </row>
    <row r="1786" spans="1:17" ht="15.75" customHeight="1">
      <c r="A1786" s="7" t="s">
        <v>2079</v>
      </c>
      <c r="B1786" s="7"/>
      <c r="C1786" s="7"/>
      <c r="D1786" s="7"/>
      <c r="E1786" s="7"/>
      <c r="F1786" s="8" t="str">
        <f>_xlfn.IFNA(INDEX('HS Codes'!$D$2:$K4340,MATCH($B1786,'HS Codes'!$A$2:$A4340,0),MATCH(F$1,'HS Codes'!$D$1:$K$1,0)),"")</f>
        <v/>
      </c>
      <c r="G1786" s="8" t="str">
        <f>_xlfn.IFNA(INDEX('HS Codes'!$D$2:$K4340,MATCH($B1786,'HS Codes'!$A$2:$A4340,0),MATCH(G$1,'HS Codes'!$D$1:$K$1,0)),"")</f>
        <v/>
      </c>
      <c r="H1786" s="8" t="str">
        <f>_xlfn.IFNA(INDEX('HS Codes'!$D$2:$K4340,MATCH($B1786,'HS Codes'!$A$2:$A4340,0),MATCH(H$1,'HS Codes'!$D$1:$K$1,0)),"")</f>
        <v/>
      </c>
      <c r="I1786" s="8" t="str">
        <f>_xlfn.IFNA(INDEX('HS Codes'!$D$2:$K4340,MATCH($B1786,'HS Codes'!$A$2:$A4340,0),MATCH(I$1,'HS Codes'!$D$1:$K$1,0)),"")</f>
        <v/>
      </c>
      <c r="J1786" s="8" t="str">
        <f>_xlfn.IFNA(INDEX('HS Codes'!$D$2:$K4340,MATCH($B1786,'HS Codes'!$A$2:$A4340,0),MATCH(J$1,'HS Codes'!$D$1:$K$1,0)),"")</f>
        <v/>
      </c>
      <c r="K1786" s="8" t="str">
        <f>_xlfn.IFNA(INDEX('HS Codes'!$D$2:$K4340,MATCH($B1786,'HS Codes'!$A$2:$A4340,0),MATCH(K$1,'HS Codes'!$D$1:$K$1,0)),"")</f>
        <v/>
      </c>
      <c r="L1786" s="8" t="str">
        <f>_xlfn.IFNA(INDEX('HS Codes'!$D$2:$K4340,MATCH($B1786,'HS Codes'!$A$2:$A4340,0),MATCH(L$1,'HS Codes'!$D$1:$K$1,0)),"")</f>
        <v/>
      </c>
      <c r="M1786" s="8" t="str">
        <f>_xlfn.IFNA(INDEX('HS Codes'!$C$2:$C4340,MATCH($B1786,'HS Codes'!$A$2:$A4340,0)),"")</f>
        <v/>
      </c>
      <c r="N1786" s="9"/>
      <c r="O1786" s="9"/>
      <c r="P1786" s="9"/>
      <c r="Q1786" s="9"/>
    </row>
    <row r="1787" spans="1:17" ht="15.75" customHeight="1">
      <c r="A1787" s="7" t="s">
        <v>2080</v>
      </c>
      <c r="B1787" s="7"/>
      <c r="C1787" s="7"/>
      <c r="D1787" s="7"/>
      <c r="E1787" s="7"/>
      <c r="F1787" s="8" t="str">
        <f>_xlfn.IFNA(INDEX('HS Codes'!$D$2:$K4341,MATCH($B1787,'HS Codes'!$A$2:$A4341,0),MATCH(F$1,'HS Codes'!$D$1:$K$1,0)),"")</f>
        <v/>
      </c>
      <c r="G1787" s="8" t="str">
        <f>_xlfn.IFNA(INDEX('HS Codes'!$D$2:$K4341,MATCH($B1787,'HS Codes'!$A$2:$A4341,0),MATCH(G$1,'HS Codes'!$D$1:$K$1,0)),"")</f>
        <v/>
      </c>
      <c r="H1787" s="8" t="str">
        <f>_xlfn.IFNA(INDEX('HS Codes'!$D$2:$K4341,MATCH($B1787,'HS Codes'!$A$2:$A4341,0),MATCH(H$1,'HS Codes'!$D$1:$K$1,0)),"")</f>
        <v/>
      </c>
      <c r="I1787" s="8" t="str">
        <f>_xlfn.IFNA(INDEX('HS Codes'!$D$2:$K4341,MATCH($B1787,'HS Codes'!$A$2:$A4341,0),MATCH(I$1,'HS Codes'!$D$1:$K$1,0)),"")</f>
        <v/>
      </c>
      <c r="J1787" s="8" t="str">
        <f>_xlfn.IFNA(INDEX('HS Codes'!$D$2:$K4341,MATCH($B1787,'HS Codes'!$A$2:$A4341,0),MATCH(J$1,'HS Codes'!$D$1:$K$1,0)),"")</f>
        <v/>
      </c>
      <c r="K1787" s="8" t="str">
        <f>_xlfn.IFNA(INDEX('HS Codes'!$D$2:$K4341,MATCH($B1787,'HS Codes'!$A$2:$A4341,0),MATCH(K$1,'HS Codes'!$D$1:$K$1,0)),"")</f>
        <v/>
      </c>
      <c r="L1787" s="8" t="str">
        <f>_xlfn.IFNA(INDEX('HS Codes'!$D$2:$K4341,MATCH($B1787,'HS Codes'!$A$2:$A4341,0),MATCH(L$1,'HS Codes'!$D$1:$K$1,0)),"")</f>
        <v/>
      </c>
      <c r="M1787" s="8" t="str">
        <f>_xlfn.IFNA(INDEX('HS Codes'!$C$2:$C4341,MATCH($B1787,'HS Codes'!$A$2:$A4341,0)),"")</f>
        <v/>
      </c>
      <c r="N1787" s="9"/>
      <c r="O1787" s="9"/>
      <c r="P1787" s="9"/>
      <c r="Q1787" s="9"/>
    </row>
    <row r="1788" spans="1:17" ht="15.75" customHeight="1">
      <c r="A1788" s="7" t="s">
        <v>2081</v>
      </c>
      <c r="B1788" s="7"/>
      <c r="C1788" s="7"/>
      <c r="D1788" s="7"/>
      <c r="E1788" s="7"/>
      <c r="F1788" s="8" t="str">
        <f>_xlfn.IFNA(INDEX('HS Codes'!$D$2:$K4342,MATCH($B1788,'HS Codes'!$A$2:$A4342,0),MATCH(F$1,'HS Codes'!$D$1:$K$1,0)),"")</f>
        <v/>
      </c>
      <c r="G1788" s="8" t="str">
        <f>_xlfn.IFNA(INDEX('HS Codes'!$D$2:$K4342,MATCH($B1788,'HS Codes'!$A$2:$A4342,0),MATCH(G$1,'HS Codes'!$D$1:$K$1,0)),"")</f>
        <v/>
      </c>
      <c r="H1788" s="8" t="str">
        <f>_xlfn.IFNA(INDEX('HS Codes'!$D$2:$K4342,MATCH($B1788,'HS Codes'!$A$2:$A4342,0),MATCH(H$1,'HS Codes'!$D$1:$K$1,0)),"")</f>
        <v/>
      </c>
      <c r="I1788" s="8" t="str">
        <f>_xlfn.IFNA(INDEX('HS Codes'!$D$2:$K4342,MATCH($B1788,'HS Codes'!$A$2:$A4342,0),MATCH(I$1,'HS Codes'!$D$1:$K$1,0)),"")</f>
        <v/>
      </c>
      <c r="J1788" s="8" t="str">
        <f>_xlfn.IFNA(INDEX('HS Codes'!$D$2:$K4342,MATCH($B1788,'HS Codes'!$A$2:$A4342,0),MATCH(J$1,'HS Codes'!$D$1:$K$1,0)),"")</f>
        <v/>
      </c>
      <c r="K1788" s="8" t="str">
        <f>_xlfn.IFNA(INDEX('HS Codes'!$D$2:$K4342,MATCH($B1788,'HS Codes'!$A$2:$A4342,0),MATCH(K$1,'HS Codes'!$D$1:$K$1,0)),"")</f>
        <v/>
      </c>
      <c r="L1788" s="8" t="str">
        <f>_xlfn.IFNA(INDEX('HS Codes'!$D$2:$K4342,MATCH($B1788,'HS Codes'!$A$2:$A4342,0),MATCH(L$1,'HS Codes'!$D$1:$K$1,0)),"")</f>
        <v/>
      </c>
      <c r="M1788" s="8" t="str">
        <f>_xlfn.IFNA(INDEX('HS Codes'!$C$2:$C4342,MATCH($B1788,'HS Codes'!$A$2:$A4342,0)),"")</f>
        <v/>
      </c>
      <c r="N1788" s="9"/>
      <c r="O1788" s="9"/>
      <c r="P1788" s="9"/>
      <c r="Q1788" s="9"/>
    </row>
    <row r="1789" spans="1:17" ht="15.75" customHeight="1">
      <c r="A1789" s="7" t="s">
        <v>2082</v>
      </c>
      <c r="B1789" s="7"/>
      <c r="C1789" s="7"/>
      <c r="D1789" s="7"/>
      <c r="E1789" s="7"/>
      <c r="F1789" s="8" t="str">
        <f>_xlfn.IFNA(INDEX('HS Codes'!$D$2:$K4343,MATCH($B1789,'HS Codes'!$A$2:$A4343,0),MATCH(F$1,'HS Codes'!$D$1:$K$1,0)),"")</f>
        <v/>
      </c>
      <c r="G1789" s="8" t="str">
        <f>_xlfn.IFNA(INDEX('HS Codes'!$D$2:$K4343,MATCH($B1789,'HS Codes'!$A$2:$A4343,0),MATCH(G$1,'HS Codes'!$D$1:$K$1,0)),"")</f>
        <v/>
      </c>
      <c r="H1789" s="8" t="str">
        <f>_xlfn.IFNA(INDEX('HS Codes'!$D$2:$K4343,MATCH($B1789,'HS Codes'!$A$2:$A4343,0),MATCH(H$1,'HS Codes'!$D$1:$K$1,0)),"")</f>
        <v/>
      </c>
      <c r="I1789" s="8" t="str">
        <f>_xlfn.IFNA(INDEX('HS Codes'!$D$2:$K4343,MATCH($B1789,'HS Codes'!$A$2:$A4343,0),MATCH(I$1,'HS Codes'!$D$1:$K$1,0)),"")</f>
        <v/>
      </c>
      <c r="J1789" s="8" t="str">
        <f>_xlfn.IFNA(INDEX('HS Codes'!$D$2:$K4343,MATCH($B1789,'HS Codes'!$A$2:$A4343,0),MATCH(J$1,'HS Codes'!$D$1:$K$1,0)),"")</f>
        <v/>
      </c>
      <c r="K1789" s="8" t="str">
        <f>_xlfn.IFNA(INDEX('HS Codes'!$D$2:$K4343,MATCH($B1789,'HS Codes'!$A$2:$A4343,0),MATCH(K$1,'HS Codes'!$D$1:$K$1,0)),"")</f>
        <v/>
      </c>
      <c r="L1789" s="8" t="str">
        <f>_xlfn.IFNA(INDEX('HS Codes'!$D$2:$K4343,MATCH($B1789,'HS Codes'!$A$2:$A4343,0),MATCH(L$1,'HS Codes'!$D$1:$K$1,0)),"")</f>
        <v/>
      </c>
      <c r="M1789" s="8" t="str">
        <f>_xlfn.IFNA(INDEX('HS Codes'!$C$2:$C4343,MATCH($B1789,'HS Codes'!$A$2:$A4343,0)),"")</f>
        <v/>
      </c>
      <c r="N1789" s="9"/>
      <c r="O1789" s="9"/>
      <c r="P1789" s="9"/>
      <c r="Q1789" s="9"/>
    </row>
    <row r="1790" spans="1:17" ht="15.75" customHeight="1">
      <c r="A1790" s="7" t="s">
        <v>2083</v>
      </c>
      <c r="B1790" s="7"/>
      <c r="C1790" s="7"/>
      <c r="D1790" s="7"/>
      <c r="E1790" s="7"/>
      <c r="F1790" s="8" t="str">
        <f>_xlfn.IFNA(INDEX('HS Codes'!$D$2:$K4344,MATCH($B1790,'HS Codes'!$A$2:$A4344,0),MATCH(F$1,'HS Codes'!$D$1:$K$1,0)),"")</f>
        <v/>
      </c>
      <c r="G1790" s="8" t="str">
        <f>_xlfn.IFNA(INDEX('HS Codes'!$D$2:$K4344,MATCH($B1790,'HS Codes'!$A$2:$A4344,0),MATCH(G$1,'HS Codes'!$D$1:$K$1,0)),"")</f>
        <v/>
      </c>
      <c r="H1790" s="8" t="str">
        <f>_xlfn.IFNA(INDEX('HS Codes'!$D$2:$K4344,MATCH($B1790,'HS Codes'!$A$2:$A4344,0),MATCH(H$1,'HS Codes'!$D$1:$K$1,0)),"")</f>
        <v/>
      </c>
      <c r="I1790" s="8" t="str">
        <f>_xlfn.IFNA(INDEX('HS Codes'!$D$2:$K4344,MATCH($B1790,'HS Codes'!$A$2:$A4344,0),MATCH(I$1,'HS Codes'!$D$1:$K$1,0)),"")</f>
        <v/>
      </c>
      <c r="J1790" s="8" t="str">
        <f>_xlfn.IFNA(INDEX('HS Codes'!$D$2:$K4344,MATCH($B1790,'HS Codes'!$A$2:$A4344,0),MATCH(J$1,'HS Codes'!$D$1:$K$1,0)),"")</f>
        <v/>
      </c>
      <c r="K1790" s="8" t="str">
        <f>_xlfn.IFNA(INDEX('HS Codes'!$D$2:$K4344,MATCH($B1790,'HS Codes'!$A$2:$A4344,0),MATCH(K$1,'HS Codes'!$D$1:$K$1,0)),"")</f>
        <v/>
      </c>
      <c r="L1790" s="8" t="str">
        <f>_xlfn.IFNA(INDEX('HS Codes'!$D$2:$K4344,MATCH($B1790,'HS Codes'!$A$2:$A4344,0),MATCH(L$1,'HS Codes'!$D$1:$K$1,0)),"")</f>
        <v/>
      </c>
      <c r="M1790" s="8" t="str">
        <f>_xlfn.IFNA(INDEX('HS Codes'!$C$2:$C4344,MATCH($B1790,'HS Codes'!$A$2:$A4344,0)),"")</f>
        <v/>
      </c>
      <c r="N1790" s="9"/>
      <c r="O1790" s="9"/>
      <c r="P1790" s="9"/>
      <c r="Q1790" s="9"/>
    </row>
    <row r="1791" spans="1:17" ht="15.75" customHeight="1">
      <c r="A1791" s="7" t="s">
        <v>2084</v>
      </c>
      <c r="B1791" s="7"/>
      <c r="C1791" s="7"/>
      <c r="D1791" s="7"/>
      <c r="E1791" s="7"/>
      <c r="F1791" s="8" t="str">
        <f>_xlfn.IFNA(INDEX('HS Codes'!$D$2:$K4345,MATCH($B1791,'HS Codes'!$A$2:$A4345,0),MATCH(F$1,'HS Codes'!$D$1:$K$1,0)),"")</f>
        <v/>
      </c>
      <c r="G1791" s="8" t="str">
        <f>_xlfn.IFNA(INDEX('HS Codes'!$D$2:$K4345,MATCH($B1791,'HS Codes'!$A$2:$A4345,0),MATCH(G$1,'HS Codes'!$D$1:$K$1,0)),"")</f>
        <v/>
      </c>
      <c r="H1791" s="8" t="str">
        <f>_xlfn.IFNA(INDEX('HS Codes'!$D$2:$K4345,MATCH($B1791,'HS Codes'!$A$2:$A4345,0),MATCH(H$1,'HS Codes'!$D$1:$K$1,0)),"")</f>
        <v/>
      </c>
      <c r="I1791" s="8" t="str">
        <f>_xlfn.IFNA(INDEX('HS Codes'!$D$2:$K4345,MATCH($B1791,'HS Codes'!$A$2:$A4345,0),MATCH(I$1,'HS Codes'!$D$1:$K$1,0)),"")</f>
        <v/>
      </c>
      <c r="J1791" s="8" t="str">
        <f>_xlfn.IFNA(INDEX('HS Codes'!$D$2:$K4345,MATCH($B1791,'HS Codes'!$A$2:$A4345,0),MATCH(J$1,'HS Codes'!$D$1:$K$1,0)),"")</f>
        <v/>
      </c>
      <c r="K1791" s="8" t="str">
        <f>_xlfn.IFNA(INDEX('HS Codes'!$D$2:$K4345,MATCH($B1791,'HS Codes'!$A$2:$A4345,0),MATCH(K$1,'HS Codes'!$D$1:$K$1,0)),"")</f>
        <v/>
      </c>
      <c r="L1791" s="8" t="str">
        <f>_xlfn.IFNA(INDEX('HS Codes'!$D$2:$K4345,MATCH($B1791,'HS Codes'!$A$2:$A4345,0),MATCH(L$1,'HS Codes'!$D$1:$K$1,0)),"")</f>
        <v/>
      </c>
      <c r="M1791" s="8" t="str">
        <f>_xlfn.IFNA(INDEX('HS Codes'!$C$2:$C4345,MATCH($B1791,'HS Codes'!$A$2:$A4345,0)),"")</f>
        <v/>
      </c>
      <c r="N1791" s="9"/>
      <c r="O1791" s="9"/>
      <c r="P1791" s="9"/>
      <c r="Q1791" s="9"/>
    </row>
    <row r="1792" spans="1:17" ht="15.75" customHeight="1">
      <c r="A1792" s="7" t="s">
        <v>2085</v>
      </c>
      <c r="B1792" s="7"/>
      <c r="C1792" s="7"/>
      <c r="D1792" s="7"/>
      <c r="E1792" s="7"/>
      <c r="F1792" s="8" t="str">
        <f>_xlfn.IFNA(INDEX('HS Codes'!$D$2:$K4346,MATCH($B1792,'HS Codes'!$A$2:$A4346,0),MATCH(F$1,'HS Codes'!$D$1:$K$1,0)),"")</f>
        <v/>
      </c>
      <c r="G1792" s="8" t="str">
        <f>_xlfn.IFNA(INDEX('HS Codes'!$D$2:$K4346,MATCH($B1792,'HS Codes'!$A$2:$A4346,0),MATCH(G$1,'HS Codes'!$D$1:$K$1,0)),"")</f>
        <v/>
      </c>
      <c r="H1792" s="8" t="str">
        <f>_xlfn.IFNA(INDEX('HS Codes'!$D$2:$K4346,MATCH($B1792,'HS Codes'!$A$2:$A4346,0),MATCH(H$1,'HS Codes'!$D$1:$K$1,0)),"")</f>
        <v/>
      </c>
      <c r="I1792" s="8" t="str">
        <f>_xlfn.IFNA(INDEX('HS Codes'!$D$2:$K4346,MATCH($B1792,'HS Codes'!$A$2:$A4346,0),MATCH(I$1,'HS Codes'!$D$1:$K$1,0)),"")</f>
        <v/>
      </c>
      <c r="J1792" s="8" t="str">
        <f>_xlfn.IFNA(INDEX('HS Codes'!$D$2:$K4346,MATCH($B1792,'HS Codes'!$A$2:$A4346,0),MATCH(J$1,'HS Codes'!$D$1:$K$1,0)),"")</f>
        <v/>
      </c>
      <c r="K1792" s="8" t="str">
        <f>_xlfn.IFNA(INDEX('HS Codes'!$D$2:$K4346,MATCH($B1792,'HS Codes'!$A$2:$A4346,0),MATCH(K$1,'HS Codes'!$D$1:$K$1,0)),"")</f>
        <v/>
      </c>
      <c r="L1792" s="8" t="str">
        <f>_xlfn.IFNA(INDEX('HS Codes'!$D$2:$K4346,MATCH($B1792,'HS Codes'!$A$2:$A4346,0),MATCH(L$1,'HS Codes'!$D$1:$K$1,0)),"")</f>
        <v/>
      </c>
      <c r="M1792" s="8" t="str">
        <f>_xlfn.IFNA(INDEX('HS Codes'!$C$2:$C4346,MATCH($B1792,'HS Codes'!$A$2:$A4346,0)),"")</f>
        <v/>
      </c>
      <c r="N1792" s="9"/>
      <c r="O1792" s="9"/>
      <c r="P1792" s="9"/>
      <c r="Q1792" s="9"/>
    </row>
    <row r="1793" spans="1:17" ht="15.75" customHeight="1">
      <c r="A1793" s="7" t="s">
        <v>2086</v>
      </c>
      <c r="B1793" s="7"/>
      <c r="C1793" s="7"/>
      <c r="D1793" s="7"/>
      <c r="E1793" s="7"/>
      <c r="F1793" s="8" t="str">
        <f>_xlfn.IFNA(INDEX('HS Codes'!$D$2:$K4347,MATCH($B1793,'HS Codes'!$A$2:$A4347,0),MATCH(F$1,'HS Codes'!$D$1:$K$1,0)),"")</f>
        <v/>
      </c>
      <c r="G1793" s="8" t="str">
        <f>_xlfn.IFNA(INDEX('HS Codes'!$D$2:$K4347,MATCH($B1793,'HS Codes'!$A$2:$A4347,0),MATCH(G$1,'HS Codes'!$D$1:$K$1,0)),"")</f>
        <v/>
      </c>
      <c r="H1793" s="8" t="str">
        <f>_xlfn.IFNA(INDEX('HS Codes'!$D$2:$K4347,MATCH($B1793,'HS Codes'!$A$2:$A4347,0),MATCH(H$1,'HS Codes'!$D$1:$K$1,0)),"")</f>
        <v/>
      </c>
      <c r="I1793" s="8" t="str">
        <f>_xlfn.IFNA(INDEX('HS Codes'!$D$2:$K4347,MATCH($B1793,'HS Codes'!$A$2:$A4347,0),MATCH(I$1,'HS Codes'!$D$1:$K$1,0)),"")</f>
        <v/>
      </c>
      <c r="J1793" s="8" t="str">
        <f>_xlfn.IFNA(INDEX('HS Codes'!$D$2:$K4347,MATCH($B1793,'HS Codes'!$A$2:$A4347,0),MATCH(J$1,'HS Codes'!$D$1:$K$1,0)),"")</f>
        <v/>
      </c>
      <c r="K1793" s="8" t="str">
        <f>_xlfn.IFNA(INDEX('HS Codes'!$D$2:$K4347,MATCH($B1793,'HS Codes'!$A$2:$A4347,0),MATCH(K$1,'HS Codes'!$D$1:$K$1,0)),"")</f>
        <v/>
      </c>
      <c r="L1793" s="8" t="str">
        <f>_xlfn.IFNA(INDEX('HS Codes'!$D$2:$K4347,MATCH($B1793,'HS Codes'!$A$2:$A4347,0),MATCH(L$1,'HS Codes'!$D$1:$K$1,0)),"")</f>
        <v/>
      </c>
      <c r="M1793" s="8" t="str">
        <f>_xlfn.IFNA(INDEX('HS Codes'!$C$2:$C4347,MATCH($B1793,'HS Codes'!$A$2:$A4347,0)),"")</f>
        <v/>
      </c>
      <c r="N1793" s="9"/>
      <c r="O1793" s="9"/>
      <c r="P1793" s="9"/>
      <c r="Q1793" s="9"/>
    </row>
    <row r="1794" spans="1:17" ht="15.75" customHeight="1">
      <c r="A1794" s="7" t="s">
        <v>2087</v>
      </c>
      <c r="B1794" s="7"/>
      <c r="C1794" s="7"/>
      <c r="D1794" s="7"/>
      <c r="E1794" s="7"/>
      <c r="F1794" s="8" t="str">
        <f>_xlfn.IFNA(INDEX('HS Codes'!$D$2:$K4348,MATCH($B1794,'HS Codes'!$A$2:$A4348,0),MATCH(F$1,'HS Codes'!$D$1:$K$1,0)),"")</f>
        <v/>
      </c>
      <c r="G1794" s="8" t="str">
        <f>_xlfn.IFNA(INDEX('HS Codes'!$D$2:$K4348,MATCH($B1794,'HS Codes'!$A$2:$A4348,0),MATCH(G$1,'HS Codes'!$D$1:$K$1,0)),"")</f>
        <v/>
      </c>
      <c r="H1794" s="8" t="str">
        <f>_xlfn.IFNA(INDEX('HS Codes'!$D$2:$K4348,MATCH($B1794,'HS Codes'!$A$2:$A4348,0),MATCH(H$1,'HS Codes'!$D$1:$K$1,0)),"")</f>
        <v/>
      </c>
      <c r="I1794" s="8" t="str">
        <f>_xlfn.IFNA(INDEX('HS Codes'!$D$2:$K4348,MATCH($B1794,'HS Codes'!$A$2:$A4348,0),MATCH(I$1,'HS Codes'!$D$1:$K$1,0)),"")</f>
        <v/>
      </c>
      <c r="J1794" s="8" t="str">
        <f>_xlfn.IFNA(INDEX('HS Codes'!$D$2:$K4348,MATCH($B1794,'HS Codes'!$A$2:$A4348,0),MATCH(J$1,'HS Codes'!$D$1:$K$1,0)),"")</f>
        <v/>
      </c>
      <c r="K1794" s="8" t="str">
        <f>_xlfn.IFNA(INDEX('HS Codes'!$D$2:$K4348,MATCH($B1794,'HS Codes'!$A$2:$A4348,0),MATCH(K$1,'HS Codes'!$D$1:$K$1,0)),"")</f>
        <v/>
      </c>
      <c r="L1794" s="8" t="str">
        <f>_xlfn.IFNA(INDEX('HS Codes'!$D$2:$K4348,MATCH($B1794,'HS Codes'!$A$2:$A4348,0),MATCH(L$1,'HS Codes'!$D$1:$K$1,0)),"")</f>
        <v/>
      </c>
      <c r="M1794" s="8" t="str">
        <f>_xlfn.IFNA(INDEX('HS Codes'!$C$2:$C4348,MATCH($B1794,'HS Codes'!$A$2:$A4348,0)),"")</f>
        <v/>
      </c>
      <c r="N1794" s="9"/>
      <c r="O1794" s="9"/>
      <c r="P1794" s="9"/>
      <c r="Q1794" s="9"/>
    </row>
    <row r="1795" spans="1:17" ht="15.75" customHeight="1">
      <c r="A1795" s="7" t="s">
        <v>2088</v>
      </c>
      <c r="B1795" s="7"/>
      <c r="C1795" s="7"/>
      <c r="D1795" s="7"/>
      <c r="E1795" s="7"/>
      <c r="F1795" s="8" t="str">
        <f>_xlfn.IFNA(INDEX('HS Codes'!$D$2:$K4349,MATCH($B1795,'HS Codes'!$A$2:$A4349,0),MATCH(F$1,'HS Codes'!$D$1:$K$1,0)),"")</f>
        <v/>
      </c>
      <c r="G1795" s="8" t="str">
        <f>_xlfn.IFNA(INDEX('HS Codes'!$D$2:$K4349,MATCH($B1795,'HS Codes'!$A$2:$A4349,0),MATCH(G$1,'HS Codes'!$D$1:$K$1,0)),"")</f>
        <v/>
      </c>
      <c r="H1795" s="8" t="str">
        <f>_xlfn.IFNA(INDEX('HS Codes'!$D$2:$K4349,MATCH($B1795,'HS Codes'!$A$2:$A4349,0),MATCH(H$1,'HS Codes'!$D$1:$K$1,0)),"")</f>
        <v/>
      </c>
      <c r="I1795" s="8" t="str">
        <f>_xlfn.IFNA(INDEX('HS Codes'!$D$2:$K4349,MATCH($B1795,'HS Codes'!$A$2:$A4349,0),MATCH(I$1,'HS Codes'!$D$1:$K$1,0)),"")</f>
        <v/>
      </c>
      <c r="J1795" s="8" t="str">
        <f>_xlfn.IFNA(INDEX('HS Codes'!$D$2:$K4349,MATCH($B1795,'HS Codes'!$A$2:$A4349,0),MATCH(J$1,'HS Codes'!$D$1:$K$1,0)),"")</f>
        <v/>
      </c>
      <c r="K1795" s="8" t="str">
        <f>_xlfn.IFNA(INDEX('HS Codes'!$D$2:$K4349,MATCH($B1795,'HS Codes'!$A$2:$A4349,0),MATCH(K$1,'HS Codes'!$D$1:$K$1,0)),"")</f>
        <v/>
      </c>
      <c r="L1795" s="8" t="str">
        <f>_xlfn.IFNA(INDEX('HS Codes'!$D$2:$K4349,MATCH($B1795,'HS Codes'!$A$2:$A4349,0),MATCH(L$1,'HS Codes'!$D$1:$K$1,0)),"")</f>
        <v/>
      </c>
      <c r="M1795" s="8" t="str">
        <f>_xlfn.IFNA(INDEX('HS Codes'!$C$2:$C4349,MATCH($B1795,'HS Codes'!$A$2:$A4349,0)),"")</f>
        <v/>
      </c>
      <c r="N1795" s="9"/>
      <c r="O1795" s="9"/>
      <c r="P1795" s="9"/>
      <c r="Q1795" s="9"/>
    </row>
    <row r="1796" spans="1:17" ht="15.75" customHeight="1">
      <c r="A1796" s="7" t="s">
        <v>2089</v>
      </c>
      <c r="B1796" s="7"/>
      <c r="C1796" s="7"/>
      <c r="D1796" s="7"/>
      <c r="E1796" s="7"/>
      <c r="F1796" s="8" t="str">
        <f>_xlfn.IFNA(INDEX('HS Codes'!$D$2:$K4350,MATCH($B1796,'HS Codes'!$A$2:$A4350,0),MATCH(F$1,'HS Codes'!$D$1:$K$1,0)),"")</f>
        <v/>
      </c>
      <c r="G1796" s="8" t="str">
        <f>_xlfn.IFNA(INDEX('HS Codes'!$D$2:$K4350,MATCH($B1796,'HS Codes'!$A$2:$A4350,0),MATCH(G$1,'HS Codes'!$D$1:$K$1,0)),"")</f>
        <v/>
      </c>
      <c r="H1796" s="8" t="str">
        <f>_xlfn.IFNA(INDEX('HS Codes'!$D$2:$K4350,MATCH($B1796,'HS Codes'!$A$2:$A4350,0),MATCH(H$1,'HS Codes'!$D$1:$K$1,0)),"")</f>
        <v/>
      </c>
      <c r="I1796" s="8" t="str">
        <f>_xlfn.IFNA(INDEX('HS Codes'!$D$2:$K4350,MATCH($B1796,'HS Codes'!$A$2:$A4350,0),MATCH(I$1,'HS Codes'!$D$1:$K$1,0)),"")</f>
        <v/>
      </c>
      <c r="J1796" s="8" t="str">
        <f>_xlfn.IFNA(INDEX('HS Codes'!$D$2:$K4350,MATCH($B1796,'HS Codes'!$A$2:$A4350,0),MATCH(J$1,'HS Codes'!$D$1:$K$1,0)),"")</f>
        <v/>
      </c>
      <c r="K1796" s="8" t="str">
        <f>_xlfn.IFNA(INDEX('HS Codes'!$D$2:$K4350,MATCH($B1796,'HS Codes'!$A$2:$A4350,0),MATCH(K$1,'HS Codes'!$D$1:$K$1,0)),"")</f>
        <v/>
      </c>
      <c r="L1796" s="8" t="str">
        <f>_xlfn.IFNA(INDEX('HS Codes'!$D$2:$K4350,MATCH($B1796,'HS Codes'!$A$2:$A4350,0),MATCH(L$1,'HS Codes'!$D$1:$K$1,0)),"")</f>
        <v/>
      </c>
      <c r="M1796" s="8" t="str">
        <f>_xlfn.IFNA(INDEX('HS Codes'!$C$2:$C4350,MATCH($B1796,'HS Codes'!$A$2:$A4350,0)),"")</f>
        <v/>
      </c>
      <c r="N1796" s="9"/>
      <c r="O1796" s="9"/>
      <c r="P1796" s="9"/>
      <c r="Q1796" s="9"/>
    </row>
    <row r="1797" spans="1:17" ht="15.75" customHeight="1">
      <c r="A1797" s="7" t="s">
        <v>2090</v>
      </c>
      <c r="B1797" s="7"/>
      <c r="C1797" s="7"/>
      <c r="D1797" s="7"/>
      <c r="E1797" s="7"/>
      <c r="F1797" s="8" t="str">
        <f>_xlfn.IFNA(INDEX('HS Codes'!$D$2:$K4351,MATCH($B1797,'HS Codes'!$A$2:$A4351,0),MATCH(F$1,'HS Codes'!$D$1:$K$1,0)),"")</f>
        <v/>
      </c>
      <c r="G1797" s="8" t="str">
        <f>_xlfn.IFNA(INDEX('HS Codes'!$D$2:$K4351,MATCH($B1797,'HS Codes'!$A$2:$A4351,0),MATCH(G$1,'HS Codes'!$D$1:$K$1,0)),"")</f>
        <v/>
      </c>
      <c r="H1797" s="8" t="str">
        <f>_xlfn.IFNA(INDEX('HS Codes'!$D$2:$K4351,MATCH($B1797,'HS Codes'!$A$2:$A4351,0),MATCH(H$1,'HS Codes'!$D$1:$K$1,0)),"")</f>
        <v/>
      </c>
      <c r="I1797" s="8" t="str">
        <f>_xlfn.IFNA(INDEX('HS Codes'!$D$2:$K4351,MATCH($B1797,'HS Codes'!$A$2:$A4351,0),MATCH(I$1,'HS Codes'!$D$1:$K$1,0)),"")</f>
        <v/>
      </c>
      <c r="J1797" s="8" t="str">
        <f>_xlfn.IFNA(INDEX('HS Codes'!$D$2:$K4351,MATCH($B1797,'HS Codes'!$A$2:$A4351,0),MATCH(J$1,'HS Codes'!$D$1:$K$1,0)),"")</f>
        <v/>
      </c>
      <c r="K1797" s="8" t="str">
        <f>_xlfn.IFNA(INDEX('HS Codes'!$D$2:$K4351,MATCH($B1797,'HS Codes'!$A$2:$A4351,0),MATCH(K$1,'HS Codes'!$D$1:$K$1,0)),"")</f>
        <v/>
      </c>
      <c r="L1797" s="8" t="str">
        <f>_xlfn.IFNA(INDEX('HS Codes'!$D$2:$K4351,MATCH($B1797,'HS Codes'!$A$2:$A4351,0),MATCH(L$1,'HS Codes'!$D$1:$K$1,0)),"")</f>
        <v/>
      </c>
      <c r="M1797" s="8" t="str">
        <f>_xlfn.IFNA(INDEX('HS Codes'!$C$2:$C4351,MATCH($B1797,'HS Codes'!$A$2:$A4351,0)),"")</f>
        <v/>
      </c>
      <c r="N1797" s="9"/>
      <c r="O1797" s="9"/>
      <c r="P1797" s="9"/>
      <c r="Q1797" s="9"/>
    </row>
    <row r="1798" spans="1:17" ht="15.75" customHeight="1">
      <c r="A1798" s="7" t="s">
        <v>2091</v>
      </c>
      <c r="B1798" s="7"/>
      <c r="C1798" s="7"/>
      <c r="D1798" s="7"/>
      <c r="E1798" s="7"/>
      <c r="F1798" s="8" t="str">
        <f>_xlfn.IFNA(INDEX('HS Codes'!$D$2:$K4352,MATCH($B1798,'HS Codes'!$A$2:$A4352,0),MATCH(F$1,'HS Codes'!$D$1:$K$1,0)),"")</f>
        <v/>
      </c>
      <c r="G1798" s="8" t="str">
        <f>_xlfn.IFNA(INDEX('HS Codes'!$D$2:$K4352,MATCH($B1798,'HS Codes'!$A$2:$A4352,0),MATCH(G$1,'HS Codes'!$D$1:$K$1,0)),"")</f>
        <v/>
      </c>
      <c r="H1798" s="8" t="str">
        <f>_xlfn.IFNA(INDEX('HS Codes'!$D$2:$K4352,MATCH($B1798,'HS Codes'!$A$2:$A4352,0),MATCH(H$1,'HS Codes'!$D$1:$K$1,0)),"")</f>
        <v/>
      </c>
      <c r="I1798" s="8" t="str">
        <f>_xlfn.IFNA(INDEX('HS Codes'!$D$2:$K4352,MATCH($B1798,'HS Codes'!$A$2:$A4352,0),MATCH(I$1,'HS Codes'!$D$1:$K$1,0)),"")</f>
        <v/>
      </c>
      <c r="J1798" s="8" t="str">
        <f>_xlfn.IFNA(INDEX('HS Codes'!$D$2:$K4352,MATCH($B1798,'HS Codes'!$A$2:$A4352,0),MATCH(J$1,'HS Codes'!$D$1:$K$1,0)),"")</f>
        <v/>
      </c>
      <c r="K1798" s="8" t="str">
        <f>_xlfn.IFNA(INDEX('HS Codes'!$D$2:$K4352,MATCH($B1798,'HS Codes'!$A$2:$A4352,0),MATCH(K$1,'HS Codes'!$D$1:$K$1,0)),"")</f>
        <v/>
      </c>
      <c r="L1798" s="8" t="str">
        <f>_xlfn.IFNA(INDEX('HS Codes'!$D$2:$K4352,MATCH($B1798,'HS Codes'!$A$2:$A4352,0),MATCH(L$1,'HS Codes'!$D$1:$K$1,0)),"")</f>
        <v/>
      </c>
      <c r="M1798" s="8" t="str">
        <f>_xlfn.IFNA(INDEX('HS Codes'!$C$2:$C4352,MATCH($B1798,'HS Codes'!$A$2:$A4352,0)),"")</f>
        <v/>
      </c>
      <c r="N1798" s="9"/>
      <c r="O1798" s="9"/>
      <c r="P1798" s="9"/>
      <c r="Q1798" s="9"/>
    </row>
    <row r="1799" spans="1:17" ht="15.75" customHeight="1">
      <c r="A1799" s="7" t="s">
        <v>2092</v>
      </c>
      <c r="B1799" s="7"/>
      <c r="C1799" s="7"/>
      <c r="D1799" s="7"/>
      <c r="E1799" s="7"/>
      <c r="F1799" s="8" t="str">
        <f>_xlfn.IFNA(INDEX('HS Codes'!$D$2:$K4353,MATCH($B1799,'HS Codes'!$A$2:$A4353,0),MATCH(F$1,'HS Codes'!$D$1:$K$1,0)),"")</f>
        <v/>
      </c>
      <c r="G1799" s="8" t="str">
        <f>_xlfn.IFNA(INDEX('HS Codes'!$D$2:$K4353,MATCH($B1799,'HS Codes'!$A$2:$A4353,0),MATCH(G$1,'HS Codes'!$D$1:$K$1,0)),"")</f>
        <v/>
      </c>
      <c r="H1799" s="8" t="str">
        <f>_xlfn.IFNA(INDEX('HS Codes'!$D$2:$K4353,MATCH($B1799,'HS Codes'!$A$2:$A4353,0),MATCH(H$1,'HS Codes'!$D$1:$K$1,0)),"")</f>
        <v/>
      </c>
      <c r="I1799" s="8" t="str">
        <f>_xlfn.IFNA(INDEX('HS Codes'!$D$2:$K4353,MATCH($B1799,'HS Codes'!$A$2:$A4353,0),MATCH(I$1,'HS Codes'!$D$1:$K$1,0)),"")</f>
        <v/>
      </c>
      <c r="J1799" s="8" t="str">
        <f>_xlfn.IFNA(INDEX('HS Codes'!$D$2:$K4353,MATCH($B1799,'HS Codes'!$A$2:$A4353,0),MATCH(J$1,'HS Codes'!$D$1:$K$1,0)),"")</f>
        <v/>
      </c>
      <c r="K1799" s="8" t="str">
        <f>_xlfn.IFNA(INDEX('HS Codes'!$D$2:$K4353,MATCH($B1799,'HS Codes'!$A$2:$A4353,0),MATCH(K$1,'HS Codes'!$D$1:$K$1,0)),"")</f>
        <v/>
      </c>
      <c r="L1799" s="8" t="str">
        <f>_xlfn.IFNA(INDEX('HS Codes'!$D$2:$K4353,MATCH($B1799,'HS Codes'!$A$2:$A4353,0),MATCH(L$1,'HS Codes'!$D$1:$K$1,0)),"")</f>
        <v/>
      </c>
      <c r="M1799" s="8" t="str">
        <f>_xlfn.IFNA(INDEX('HS Codes'!$C$2:$C4353,MATCH($B1799,'HS Codes'!$A$2:$A4353,0)),"")</f>
        <v/>
      </c>
      <c r="N1799" s="9"/>
      <c r="O1799" s="9"/>
      <c r="P1799" s="9"/>
      <c r="Q1799" s="9"/>
    </row>
    <row r="1800" spans="1:17" ht="15.75" customHeight="1">
      <c r="A1800" s="7" t="s">
        <v>2093</v>
      </c>
      <c r="B1800" s="7"/>
      <c r="C1800" s="7"/>
      <c r="D1800" s="7"/>
      <c r="E1800" s="7"/>
      <c r="F1800" s="8" t="str">
        <f>_xlfn.IFNA(INDEX('HS Codes'!$D$2:$K4354,MATCH($B1800,'HS Codes'!$A$2:$A4354,0),MATCH(F$1,'HS Codes'!$D$1:$K$1,0)),"")</f>
        <v/>
      </c>
      <c r="G1800" s="8" t="str">
        <f>_xlfn.IFNA(INDEX('HS Codes'!$D$2:$K4354,MATCH($B1800,'HS Codes'!$A$2:$A4354,0),MATCH(G$1,'HS Codes'!$D$1:$K$1,0)),"")</f>
        <v/>
      </c>
      <c r="H1800" s="8" t="str">
        <f>_xlfn.IFNA(INDEX('HS Codes'!$D$2:$K4354,MATCH($B1800,'HS Codes'!$A$2:$A4354,0),MATCH(H$1,'HS Codes'!$D$1:$K$1,0)),"")</f>
        <v/>
      </c>
      <c r="I1800" s="8" t="str">
        <f>_xlfn.IFNA(INDEX('HS Codes'!$D$2:$K4354,MATCH($B1800,'HS Codes'!$A$2:$A4354,0),MATCH(I$1,'HS Codes'!$D$1:$K$1,0)),"")</f>
        <v/>
      </c>
      <c r="J1800" s="8" t="str">
        <f>_xlfn.IFNA(INDEX('HS Codes'!$D$2:$K4354,MATCH($B1800,'HS Codes'!$A$2:$A4354,0),MATCH(J$1,'HS Codes'!$D$1:$K$1,0)),"")</f>
        <v/>
      </c>
      <c r="K1800" s="8" t="str">
        <f>_xlfn.IFNA(INDEX('HS Codes'!$D$2:$K4354,MATCH($B1800,'HS Codes'!$A$2:$A4354,0),MATCH(K$1,'HS Codes'!$D$1:$K$1,0)),"")</f>
        <v/>
      </c>
      <c r="L1800" s="8" t="str">
        <f>_xlfn.IFNA(INDEX('HS Codes'!$D$2:$K4354,MATCH($B1800,'HS Codes'!$A$2:$A4354,0),MATCH(L$1,'HS Codes'!$D$1:$K$1,0)),"")</f>
        <v/>
      </c>
      <c r="M1800" s="8" t="str">
        <f>_xlfn.IFNA(INDEX('HS Codes'!$C$2:$C4354,MATCH($B1800,'HS Codes'!$A$2:$A4354,0)),"")</f>
        <v/>
      </c>
      <c r="N1800" s="9"/>
      <c r="O1800" s="9"/>
      <c r="P1800" s="9"/>
      <c r="Q1800" s="9"/>
    </row>
    <row r="1801" spans="1:17" ht="15.75" customHeight="1">
      <c r="A1801" s="7" t="s">
        <v>2094</v>
      </c>
      <c r="B1801" s="7"/>
      <c r="C1801" s="7"/>
      <c r="D1801" s="7"/>
      <c r="E1801" s="7"/>
      <c r="F1801" s="8" t="str">
        <f>_xlfn.IFNA(INDEX('HS Codes'!$D$2:$K4355,MATCH($B1801,'HS Codes'!$A$2:$A4355,0),MATCH(F$1,'HS Codes'!$D$1:$K$1,0)),"")</f>
        <v/>
      </c>
      <c r="G1801" s="8" t="str">
        <f>_xlfn.IFNA(INDEX('HS Codes'!$D$2:$K4355,MATCH($B1801,'HS Codes'!$A$2:$A4355,0),MATCH(G$1,'HS Codes'!$D$1:$K$1,0)),"")</f>
        <v/>
      </c>
      <c r="H1801" s="8" t="str">
        <f>_xlfn.IFNA(INDEX('HS Codes'!$D$2:$K4355,MATCH($B1801,'HS Codes'!$A$2:$A4355,0),MATCH(H$1,'HS Codes'!$D$1:$K$1,0)),"")</f>
        <v/>
      </c>
      <c r="I1801" s="8" t="str">
        <f>_xlfn.IFNA(INDEX('HS Codes'!$D$2:$K4355,MATCH($B1801,'HS Codes'!$A$2:$A4355,0),MATCH(I$1,'HS Codes'!$D$1:$K$1,0)),"")</f>
        <v/>
      </c>
      <c r="J1801" s="8" t="str">
        <f>_xlfn.IFNA(INDEX('HS Codes'!$D$2:$K4355,MATCH($B1801,'HS Codes'!$A$2:$A4355,0),MATCH(J$1,'HS Codes'!$D$1:$K$1,0)),"")</f>
        <v/>
      </c>
      <c r="K1801" s="8" t="str">
        <f>_xlfn.IFNA(INDEX('HS Codes'!$D$2:$K4355,MATCH($B1801,'HS Codes'!$A$2:$A4355,0),MATCH(K$1,'HS Codes'!$D$1:$K$1,0)),"")</f>
        <v/>
      </c>
      <c r="L1801" s="8" t="str">
        <f>_xlfn.IFNA(INDEX('HS Codes'!$D$2:$K4355,MATCH($B1801,'HS Codes'!$A$2:$A4355,0),MATCH(L$1,'HS Codes'!$D$1:$K$1,0)),"")</f>
        <v/>
      </c>
      <c r="M1801" s="8" t="str">
        <f>_xlfn.IFNA(INDEX('HS Codes'!$C$2:$C4355,MATCH($B1801,'HS Codes'!$A$2:$A4355,0)),"")</f>
        <v/>
      </c>
      <c r="N1801" s="9"/>
      <c r="O1801" s="9"/>
      <c r="P1801" s="9"/>
      <c r="Q1801" s="9"/>
    </row>
    <row r="1802" spans="1:17" ht="15.75" customHeight="1">
      <c r="A1802" s="7" t="s">
        <v>2095</v>
      </c>
      <c r="B1802" s="7"/>
      <c r="C1802" s="7"/>
      <c r="D1802" s="7"/>
      <c r="E1802" s="7"/>
      <c r="F1802" s="8" t="str">
        <f>_xlfn.IFNA(INDEX('HS Codes'!$D$2:$K4356,MATCH($B1802,'HS Codes'!$A$2:$A4356,0),MATCH(F$1,'HS Codes'!$D$1:$K$1,0)),"")</f>
        <v/>
      </c>
      <c r="G1802" s="8" t="str">
        <f>_xlfn.IFNA(INDEX('HS Codes'!$D$2:$K4356,MATCH($B1802,'HS Codes'!$A$2:$A4356,0),MATCH(G$1,'HS Codes'!$D$1:$K$1,0)),"")</f>
        <v/>
      </c>
      <c r="H1802" s="8" t="str">
        <f>_xlfn.IFNA(INDEX('HS Codes'!$D$2:$K4356,MATCH($B1802,'HS Codes'!$A$2:$A4356,0),MATCH(H$1,'HS Codes'!$D$1:$K$1,0)),"")</f>
        <v/>
      </c>
      <c r="I1802" s="8" t="str">
        <f>_xlfn.IFNA(INDEX('HS Codes'!$D$2:$K4356,MATCH($B1802,'HS Codes'!$A$2:$A4356,0),MATCH(I$1,'HS Codes'!$D$1:$K$1,0)),"")</f>
        <v/>
      </c>
      <c r="J1802" s="8" t="str">
        <f>_xlfn.IFNA(INDEX('HS Codes'!$D$2:$K4356,MATCH($B1802,'HS Codes'!$A$2:$A4356,0),MATCH(J$1,'HS Codes'!$D$1:$K$1,0)),"")</f>
        <v/>
      </c>
      <c r="K1802" s="8" t="str">
        <f>_xlfn.IFNA(INDEX('HS Codes'!$D$2:$K4356,MATCH($B1802,'HS Codes'!$A$2:$A4356,0),MATCH(K$1,'HS Codes'!$D$1:$K$1,0)),"")</f>
        <v/>
      </c>
      <c r="L1802" s="8" t="str">
        <f>_xlfn.IFNA(INDEX('HS Codes'!$D$2:$K4356,MATCH($B1802,'HS Codes'!$A$2:$A4356,0),MATCH(L$1,'HS Codes'!$D$1:$K$1,0)),"")</f>
        <v/>
      </c>
      <c r="M1802" s="8" t="str">
        <f>_xlfn.IFNA(INDEX('HS Codes'!$C$2:$C4356,MATCH($B1802,'HS Codes'!$A$2:$A4356,0)),"")</f>
        <v/>
      </c>
      <c r="N1802" s="9"/>
      <c r="O1802" s="9"/>
      <c r="P1802" s="9"/>
      <c r="Q1802" s="9"/>
    </row>
    <row r="1803" spans="1:17" ht="15.75" customHeight="1">
      <c r="A1803" s="7" t="s">
        <v>2096</v>
      </c>
      <c r="B1803" s="7"/>
      <c r="C1803" s="7"/>
      <c r="D1803" s="7"/>
      <c r="E1803" s="7"/>
      <c r="F1803" s="8" t="str">
        <f>_xlfn.IFNA(INDEX('HS Codes'!$D$2:$K4357,MATCH($B1803,'HS Codes'!$A$2:$A4357,0),MATCH(F$1,'HS Codes'!$D$1:$K$1,0)),"")</f>
        <v/>
      </c>
      <c r="G1803" s="8" t="str">
        <f>_xlfn.IFNA(INDEX('HS Codes'!$D$2:$K4357,MATCH($B1803,'HS Codes'!$A$2:$A4357,0),MATCH(G$1,'HS Codes'!$D$1:$K$1,0)),"")</f>
        <v/>
      </c>
      <c r="H1803" s="8" t="str">
        <f>_xlfn.IFNA(INDEX('HS Codes'!$D$2:$K4357,MATCH($B1803,'HS Codes'!$A$2:$A4357,0),MATCH(H$1,'HS Codes'!$D$1:$K$1,0)),"")</f>
        <v/>
      </c>
      <c r="I1803" s="8" t="str">
        <f>_xlfn.IFNA(INDEX('HS Codes'!$D$2:$K4357,MATCH($B1803,'HS Codes'!$A$2:$A4357,0),MATCH(I$1,'HS Codes'!$D$1:$K$1,0)),"")</f>
        <v/>
      </c>
      <c r="J1803" s="8" t="str">
        <f>_xlfn.IFNA(INDEX('HS Codes'!$D$2:$K4357,MATCH($B1803,'HS Codes'!$A$2:$A4357,0),MATCH(J$1,'HS Codes'!$D$1:$K$1,0)),"")</f>
        <v/>
      </c>
      <c r="K1803" s="8" t="str">
        <f>_xlfn.IFNA(INDEX('HS Codes'!$D$2:$K4357,MATCH($B1803,'HS Codes'!$A$2:$A4357,0),MATCH(K$1,'HS Codes'!$D$1:$K$1,0)),"")</f>
        <v/>
      </c>
      <c r="L1803" s="8" t="str">
        <f>_xlfn.IFNA(INDEX('HS Codes'!$D$2:$K4357,MATCH($B1803,'HS Codes'!$A$2:$A4357,0),MATCH(L$1,'HS Codes'!$D$1:$K$1,0)),"")</f>
        <v/>
      </c>
      <c r="M1803" s="8" t="str">
        <f>_xlfn.IFNA(INDEX('HS Codes'!$C$2:$C4357,MATCH($B1803,'HS Codes'!$A$2:$A4357,0)),"")</f>
        <v/>
      </c>
      <c r="N1803" s="9"/>
      <c r="O1803" s="9"/>
      <c r="P1803" s="9"/>
      <c r="Q1803" s="9"/>
    </row>
    <row r="1804" spans="1:17" ht="15.75" customHeight="1">
      <c r="A1804" s="7" t="s">
        <v>2097</v>
      </c>
      <c r="B1804" s="7"/>
      <c r="C1804" s="7"/>
      <c r="D1804" s="7"/>
      <c r="E1804" s="7"/>
      <c r="F1804" s="8" t="str">
        <f>_xlfn.IFNA(INDEX('HS Codes'!$D$2:$K4358,MATCH($B1804,'HS Codes'!$A$2:$A4358,0),MATCH(F$1,'HS Codes'!$D$1:$K$1,0)),"")</f>
        <v/>
      </c>
      <c r="G1804" s="8" t="str">
        <f>_xlfn.IFNA(INDEX('HS Codes'!$D$2:$K4358,MATCH($B1804,'HS Codes'!$A$2:$A4358,0),MATCH(G$1,'HS Codes'!$D$1:$K$1,0)),"")</f>
        <v/>
      </c>
      <c r="H1804" s="8" t="str">
        <f>_xlfn.IFNA(INDEX('HS Codes'!$D$2:$K4358,MATCH($B1804,'HS Codes'!$A$2:$A4358,0),MATCH(H$1,'HS Codes'!$D$1:$K$1,0)),"")</f>
        <v/>
      </c>
      <c r="I1804" s="8" t="str">
        <f>_xlfn.IFNA(INDEX('HS Codes'!$D$2:$K4358,MATCH($B1804,'HS Codes'!$A$2:$A4358,0),MATCH(I$1,'HS Codes'!$D$1:$K$1,0)),"")</f>
        <v/>
      </c>
      <c r="J1804" s="8" t="str">
        <f>_xlfn.IFNA(INDEX('HS Codes'!$D$2:$K4358,MATCH($B1804,'HS Codes'!$A$2:$A4358,0),MATCH(J$1,'HS Codes'!$D$1:$K$1,0)),"")</f>
        <v/>
      </c>
      <c r="K1804" s="8" t="str">
        <f>_xlfn.IFNA(INDEX('HS Codes'!$D$2:$K4358,MATCH($B1804,'HS Codes'!$A$2:$A4358,0),MATCH(K$1,'HS Codes'!$D$1:$K$1,0)),"")</f>
        <v/>
      </c>
      <c r="L1804" s="8" t="str">
        <f>_xlfn.IFNA(INDEX('HS Codes'!$D$2:$K4358,MATCH($B1804,'HS Codes'!$A$2:$A4358,0),MATCH(L$1,'HS Codes'!$D$1:$K$1,0)),"")</f>
        <v/>
      </c>
      <c r="M1804" s="8" t="str">
        <f>_xlfn.IFNA(INDEX('HS Codes'!$C$2:$C4358,MATCH($B1804,'HS Codes'!$A$2:$A4358,0)),"")</f>
        <v/>
      </c>
      <c r="N1804" s="9"/>
      <c r="O1804" s="9"/>
      <c r="P1804" s="9"/>
      <c r="Q1804" s="9"/>
    </row>
    <row r="1805" spans="1:17" ht="15.75" customHeight="1">
      <c r="A1805" s="7" t="s">
        <v>2098</v>
      </c>
      <c r="B1805" s="7"/>
      <c r="C1805" s="7"/>
      <c r="D1805" s="7"/>
      <c r="E1805" s="7"/>
      <c r="F1805" s="8" t="str">
        <f>_xlfn.IFNA(INDEX('HS Codes'!$D$2:$K4359,MATCH($B1805,'HS Codes'!$A$2:$A4359,0),MATCH(F$1,'HS Codes'!$D$1:$K$1,0)),"")</f>
        <v/>
      </c>
      <c r="G1805" s="8" t="str">
        <f>_xlfn.IFNA(INDEX('HS Codes'!$D$2:$K4359,MATCH($B1805,'HS Codes'!$A$2:$A4359,0),MATCH(G$1,'HS Codes'!$D$1:$K$1,0)),"")</f>
        <v/>
      </c>
      <c r="H1805" s="8" t="str">
        <f>_xlfn.IFNA(INDEX('HS Codes'!$D$2:$K4359,MATCH($B1805,'HS Codes'!$A$2:$A4359,0),MATCH(H$1,'HS Codes'!$D$1:$K$1,0)),"")</f>
        <v/>
      </c>
      <c r="I1805" s="8" t="str">
        <f>_xlfn.IFNA(INDEX('HS Codes'!$D$2:$K4359,MATCH($B1805,'HS Codes'!$A$2:$A4359,0),MATCH(I$1,'HS Codes'!$D$1:$K$1,0)),"")</f>
        <v/>
      </c>
      <c r="J1805" s="8" t="str">
        <f>_xlfn.IFNA(INDEX('HS Codes'!$D$2:$K4359,MATCH($B1805,'HS Codes'!$A$2:$A4359,0),MATCH(J$1,'HS Codes'!$D$1:$K$1,0)),"")</f>
        <v/>
      </c>
      <c r="K1805" s="8" t="str">
        <f>_xlfn.IFNA(INDEX('HS Codes'!$D$2:$K4359,MATCH($B1805,'HS Codes'!$A$2:$A4359,0),MATCH(K$1,'HS Codes'!$D$1:$K$1,0)),"")</f>
        <v/>
      </c>
      <c r="L1805" s="8" t="str">
        <f>_xlfn.IFNA(INDEX('HS Codes'!$D$2:$K4359,MATCH($B1805,'HS Codes'!$A$2:$A4359,0),MATCH(L$1,'HS Codes'!$D$1:$K$1,0)),"")</f>
        <v/>
      </c>
      <c r="M1805" s="8" t="str">
        <f>_xlfn.IFNA(INDEX('HS Codes'!$C$2:$C4359,MATCH($B1805,'HS Codes'!$A$2:$A4359,0)),"")</f>
        <v/>
      </c>
      <c r="N1805" s="9"/>
      <c r="O1805" s="9"/>
      <c r="P1805" s="9"/>
      <c r="Q1805" s="9"/>
    </row>
    <row r="1806" spans="1:17" ht="15.75" customHeight="1">
      <c r="A1806" s="7" t="s">
        <v>2099</v>
      </c>
      <c r="B1806" s="7"/>
      <c r="C1806" s="7"/>
      <c r="D1806" s="7"/>
      <c r="E1806" s="7"/>
      <c r="F1806" s="8" t="str">
        <f>_xlfn.IFNA(INDEX('HS Codes'!$D$2:$K4360,MATCH($B1806,'HS Codes'!$A$2:$A4360,0),MATCH(F$1,'HS Codes'!$D$1:$K$1,0)),"")</f>
        <v/>
      </c>
      <c r="G1806" s="8" t="str">
        <f>_xlfn.IFNA(INDEX('HS Codes'!$D$2:$K4360,MATCH($B1806,'HS Codes'!$A$2:$A4360,0),MATCH(G$1,'HS Codes'!$D$1:$K$1,0)),"")</f>
        <v/>
      </c>
      <c r="H1806" s="8" t="str">
        <f>_xlfn.IFNA(INDEX('HS Codes'!$D$2:$K4360,MATCH($B1806,'HS Codes'!$A$2:$A4360,0),MATCH(H$1,'HS Codes'!$D$1:$K$1,0)),"")</f>
        <v/>
      </c>
      <c r="I1806" s="8" t="str">
        <f>_xlfn.IFNA(INDEX('HS Codes'!$D$2:$K4360,MATCH($B1806,'HS Codes'!$A$2:$A4360,0),MATCH(I$1,'HS Codes'!$D$1:$K$1,0)),"")</f>
        <v/>
      </c>
      <c r="J1806" s="8" t="str">
        <f>_xlfn.IFNA(INDEX('HS Codes'!$D$2:$K4360,MATCH($B1806,'HS Codes'!$A$2:$A4360,0),MATCH(J$1,'HS Codes'!$D$1:$K$1,0)),"")</f>
        <v/>
      </c>
      <c r="K1806" s="8" t="str">
        <f>_xlfn.IFNA(INDEX('HS Codes'!$D$2:$K4360,MATCH($B1806,'HS Codes'!$A$2:$A4360,0),MATCH(K$1,'HS Codes'!$D$1:$K$1,0)),"")</f>
        <v/>
      </c>
      <c r="L1806" s="8" t="str">
        <f>_xlfn.IFNA(INDEX('HS Codes'!$D$2:$K4360,MATCH($B1806,'HS Codes'!$A$2:$A4360,0),MATCH(L$1,'HS Codes'!$D$1:$K$1,0)),"")</f>
        <v/>
      </c>
      <c r="M1806" s="8" t="str">
        <f>_xlfn.IFNA(INDEX('HS Codes'!$C$2:$C4360,MATCH($B1806,'HS Codes'!$A$2:$A4360,0)),"")</f>
        <v/>
      </c>
      <c r="N1806" s="9"/>
      <c r="O1806" s="9"/>
      <c r="P1806" s="9"/>
      <c r="Q1806" s="9"/>
    </row>
    <row r="1807" spans="1:17" ht="15.75" customHeight="1">
      <c r="A1807" s="7" t="s">
        <v>2100</v>
      </c>
      <c r="B1807" s="7"/>
      <c r="C1807" s="7"/>
      <c r="D1807" s="7"/>
      <c r="E1807" s="7"/>
      <c r="F1807" s="8" t="str">
        <f>_xlfn.IFNA(INDEX('HS Codes'!$D$2:$K4361,MATCH($B1807,'HS Codes'!$A$2:$A4361,0),MATCH(F$1,'HS Codes'!$D$1:$K$1,0)),"")</f>
        <v/>
      </c>
      <c r="G1807" s="8" t="str">
        <f>_xlfn.IFNA(INDEX('HS Codes'!$D$2:$K4361,MATCH($B1807,'HS Codes'!$A$2:$A4361,0),MATCH(G$1,'HS Codes'!$D$1:$K$1,0)),"")</f>
        <v/>
      </c>
      <c r="H1807" s="8" t="str">
        <f>_xlfn.IFNA(INDEX('HS Codes'!$D$2:$K4361,MATCH($B1807,'HS Codes'!$A$2:$A4361,0),MATCH(H$1,'HS Codes'!$D$1:$K$1,0)),"")</f>
        <v/>
      </c>
      <c r="I1807" s="8" t="str">
        <f>_xlfn.IFNA(INDEX('HS Codes'!$D$2:$K4361,MATCH($B1807,'HS Codes'!$A$2:$A4361,0),MATCH(I$1,'HS Codes'!$D$1:$K$1,0)),"")</f>
        <v/>
      </c>
      <c r="J1807" s="8" t="str">
        <f>_xlfn.IFNA(INDEX('HS Codes'!$D$2:$K4361,MATCH($B1807,'HS Codes'!$A$2:$A4361,0),MATCH(J$1,'HS Codes'!$D$1:$K$1,0)),"")</f>
        <v/>
      </c>
      <c r="K1807" s="8" t="str">
        <f>_xlfn.IFNA(INDEX('HS Codes'!$D$2:$K4361,MATCH($B1807,'HS Codes'!$A$2:$A4361,0),MATCH(K$1,'HS Codes'!$D$1:$K$1,0)),"")</f>
        <v/>
      </c>
      <c r="L1807" s="8" t="str">
        <f>_xlfn.IFNA(INDEX('HS Codes'!$D$2:$K4361,MATCH($B1807,'HS Codes'!$A$2:$A4361,0),MATCH(L$1,'HS Codes'!$D$1:$K$1,0)),"")</f>
        <v/>
      </c>
      <c r="M1807" s="8" t="str">
        <f>_xlfn.IFNA(INDEX('HS Codes'!$C$2:$C4361,MATCH($B1807,'HS Codes'!$A$2:$A4361,0)),"")</f>
        <v/>
      </c>
      <c r="N1807" s="9"/>
      <c r="O1807" s="9"/>
      <c r="P1807" s="9"/>
      <c r="Q1807" s="9"/>
    </row>
    <row r="1808" spans="1:17" ht="15.75" customHeight="1">
      <c r="A1808" s="7" t="s">
        <v>2101</v>
      </c>
      <c r="B1808" s="7"/>
      <c r="C1808" s="7"/>
      <c r="D1808" s="7"/>
      <c r="E1808" s="7"/>
      <c r="F1808" s="8" t="str">
        <f>_xlfn.IFNA(INDEX('HS Codes'!$D$2:$K4362,MATCH($B1808,'HS Codes'!$A$2:$A4362,0),MATCH(F$1,'HS Codes'!$D$1:$K$1,0)),"")</f>
        <v/>
      </c>
      <c r="G1808" s="8" t="str">
        <f>_xlfn.IFNA(INDEX('HS Codes'!$D$2:$K4362,MATCH($B1808,'HS Codes'!$A$2:$A4362,0),MATCH(G$1,'HS Codes'!$D$1:$K$1,0)),"")</f>
        <v/>
      </c>
      <c r="H1808" s="8" t="str">
        <f>_xlfn.IFNA(INDEX('HS Codes'!$D$2:$K4362,MATCH($B1808,'HS Codes'!$A$2:$A4362,0),MATCH(H$1,'HS Codes'!$D$1:$K$1,0)),"")</f>
        <v/>
      </c>
      <c r="I1808" s="8" t="str">
        <f>_xlfn.IFNA(INDEX('HS Codes'!$D$2:$K4362,MATCH($B1808,'HS Codes'!$A$2:$A4362,0),MATCH(I$1,'HS Codes'!$D$1:$K$1,0)),"")</f>
        <v/>
      </c>
      <c r="J1808" s="8" t="str">
        <f>_xlfn.IFNA(INDEX('HS Codes'!$D$2:$K4362,MATCH($B1808,'HS Codes'!$A$2:$A4362,0),MATCH(J$1,'HS Codes'!$D$1:$K$1,0)),"")</f>
        <v/>
      </c>
      <c r="K1808" s="8" t="str">
        <f>_xlfn.IFNA(INDEX('HS Codes'!$D$2:$K4362,MATCH($B1808,'HS Codes'!$A$2:$A4362,0),MATCH(K$1,'HS Codes'!$D$1:$K$1,0)),"")</f>
        <v/>
      </c>
      <c r="L1808" s="8" t="str">
        <f>_xlfn.IFNA(INDEX('HS Codes'!$D$2:$K4362,MATCH($B1808,'HS Codes'!$A$2:$A4362,0),MATCH(L$1,'HS Codes'!$D$1:$K$1,0)),"")</f>
        <v/>
      </c>
      <c r="M1808" s="8" t="str">
        <f>_xlfn.IFNA(INDEX('HS Codes'!$C$2:$C4362,MATCH($B1808,'HS Codes'!$A$2:$A4362,0)),"")</f>
        <v/>
      </c>
      <c r="N1808" s="9"/>
      <c r="O1808" s="9"/>
      <c r="P1808" s="9"/>
      <c r="Q1808" s="9"/>
    </row>
    <row r="1809" spans="1:17" ht="15.75" customHeight="1">
      <c r="A1809" s="7" t="s">
        <v>2102</v>
      </c>
      <c r="B1809" s="7"/>
      <c r="C1809" s="7"/>
      <c r="D1809" s="7"/>
      <c r="E1809" s="7"/>
      <c r="F1809" s="8" t="str">
        <f>_xlfn.IFNA(INDEX('HS Codes'!$D$2:$K4363,MATCH($B1809,'HS Codes'!$A$2:$A4363,0),MATCH(F$1,'HS Codes'!$D$1:$K$1,0)),"")</f>
        <v/>
      </c>
      <c r="G1809" s="8" t="str">
        <f>_xlfn.IFNA(INDEX('HS Codes'!$D$2:$K4363,MATCH($B1809,'HS Codes'!$A$2:$A4363,0),MATCH(G$1,'HS Codes'!$D$1:$K$1,0)),"")</f>
        <v/>
      </c>
      <c r="H1809" s="8" t="str">
        <f>_xlfn.IFNA(INDEX('HS Codes'!$D$2:$K4363,MATCH($B1809,'HS Codes'!$A$2:$A4363,0),MATCH(H$1,'HS Codes'!$D$1:$K$1,0)),"")</f>
        <v/>
      </c>
      <c r="I1809" s="8" t="str">
        <f>_xlfn.IFNA(INDEX('HS Codes'!$D$2:$K4363,MATCH($B1809,'HS Codes'!$A$2:$A4363,0),MATCH(I$1,'HS Codes'!$D$1:$K$1,0)),"")</f>
        <v/>
      </c>
      <c r="J1809" s="8" t="str">
        <f>_xlfn.IFNA(INDEX('HS Codes'!$D$2:$K4363,MATCH($B1809,'HS Codes'!$A$2:$A4363,0),MATCH(J$1,'HS Codes'!$D$1:$K$1,0)),"")</f>
        <v/>
      </c>
      <c r="K1809" s="8" t="str">
        <f>_xlfn.IFNA(INDEX('HS Codes'!$D$2:$K4363,MATCH($B1809,'HS Codes'!$A$2:$A4363,0),MATCH(K$1,'HS Codes'!$D$1:$K$1,0)),"")</f>
        <v/>
      </c>
      <c r="L1809" s="8" t="str">
        <f>_xlfn.IFNA(INDEX('HS Codes'!$D$2:$K4363,MATCH($B1809,'HS Codes'!$A$2:$A4363,0),MATCH(L$1,'HS Codes'!$D$1:$K$1,0)),"")</f>
        <v/>
      </c>
      <c r="M1809" s="8" t="str">
        <f>_xlfn.IFNA(INDEX('HS Codes'!$C$2:$C4363,MATCH($B1809,'HS Codes'!$A$2:$A4363,0)),"")</f>
        <v/>
      </c>
      <c r="N1809" s="9"/>
      <c r="O1809" s="9"/>
      <c r="P1809" s="9"/>
      <c r="Q1809" s="9"/>
    </row>
    <row r="1810" spans="1:17" ht="15.75" customHeight="1">
      <c r="A1810" s="7" t="s">
        <v>2103</v>
      </c>
      <c r="B1810" s="7"/>
      <c r="C1810" s="7"/>
      <c r="D1810" s="7"/>
      <c r="E1810" s="7"/>
      <c r="F1810" s="8" t="str">
        <f>_xlfn.IFNA(INDEX('HS Codes'!$D$2:$K4364,MATCH($B1810,'HS Codes'!$A$2:$A4364,0),MATCH(F$1,'HS Codes'!$D$1:$K$1,0)),"")</f>
        <v/>
      </c>
      <c r="G1810" s="8" t="str">
        <f>_xlfn.IFNA(INDEX('HS Codes'!$D$2:$K4364,MATCH($B1810,'HS Codes'!$A$2:$A4364,0),MATCH(G$1,'HS Codes'!$D$1:$K$1,0)),"")</f>
        <v/>
      </c>
      <c r="H1810" s="8" t="str">
        <f>_xlfn.IFNA(INDEX('HS Codes'!$D$2:$K4364,MATCH($B1810,'HS Codes'!$A$2:$A4364,0),MATCH(H$1,'HS Codes'!$D$1:$K$1,0)),"")</f>
        <v/>
      </c>
      <c r="I1810" s="8" t="str">
        <f>_xlfn.IFNA(INDEX('HS Codes'!$D$2:$K4364,MATCH($B1810,'HS Codes'!$A$2:$A4364,0),MATCH(I$1,'HS Codes'!$D$1:$K$1,0)),"")</f>
        <v/>
      </c>
      <c r="J1810" s="8" t="str">
        <f>_xlfn.IFNA(INDEX('HS Codes'!$D$2:$K4364,MATCH($B1810,'HS Codes'!$A$2:$A4364,0),MATCH(J$1,'HS Codes'!$D$1:$K$1,0)),"")</f>
        <v/>
      </c>
      <c r="K1810" s="8" t="str">
        <f>_xlfn.IFNA(INDEX('HS Codes'!$D$2:$K4364,MATCH($B1810,'HS Codes'!$A$2:$A4364,0),MATCH(K$1,'HS Codes'!$D$1:$K$1,0)),"")</f>
        <v/>
      </c>
      <c r="L1810" s="8" t="str">
        <f>_xlfn.IFNA(INDEX('HS Codes'!$D$2:$K4364,MATCH($B1810,'HS Codes'!$A$2:$A4364,0),MATCH(L$1,'HS Codes'!$D$1:$K$1,0)),"")</f>
        <v/>
      </c>
      <c r="M1810" s="8" t="str">
        <f>_xlfn.IFNA(INDEX('HS Codes'!$C$2:$C4364,MATCH($B1810,'HS Codes'!$A$2:$A4364,0)),"")</f>
        <v/>
      </c>
      <c r="N1810" s="9"/>
      <c r="O1810" s="9"/>
      <c r="P1810" s="9"/>
      <c r="Q1810" s="9"/>
    </row>
    <row r="1811" spans="1:17" ht="15.75" customHeight="1">
      <c r="A1811" s="7" t="s">
        <v>2104</v>
      </c>
      <c r="B1811" s="7"/>
      <c r="C1811" s="7"/>
      <c r="D1811" s="7"/>
      <c r="E1811" s="7"/>
      <c r="F1811" s="8" t="str">
        <f>_xlfn.IFNA(INDEX('HS Codes'!$D$2:$K4365,MATCH($B1811,'HS Codes'!$A$2:$A4365,0),MATCH(F$1,'HS Codes'!$D$1:$K$1,0)),"")</f>
        <v/>
      </c>
      <c r="G1811" s="8" t="str">
        <f>_xlfn.IFNA(INDEX('HS Codes'!$D$2:$K4365,MATCH($B1811,'HS Codes'!$A$2:$A4365,0),MATCH(G$1,'HS Codes'!$D$1:$K$1,0)),"")</f>
        <v/>
      </c>
      <c r="H1811" s="8" t="str">
        <f>_xlfn.IFNA(INDEX('HS Codes'!$D$2:$K4365,MATCH($B1811,'HS Codes'!$A$2:$A4365,0),MATCH(H$1,'HS Codes'!$D$1:$K$1,0)),"")</f>
        <v/>
      </c>
      <c r="I1811" s="8" t="str">
        <f>_xlfn.IFNA(INDEX('HS Codes'!$D$2:$K4365,MATCH($B1811,'HS Codes'!$A$2:$A4365,0),MATCH(I$1,'HS Codes'!$D$1:$K$1,0)),"")</f>
        <v/>
      </c>
      <c r="J1811" s="8" t="str">
        <f>_xlfn.IFNA(INDEX('HS Codes'!$D$2:$K4365,MATCH($B1811,'HS Codes'!$A$2:$A4365,0),MATCH(J$1,'HS Codes'!$D$1:$K$1,0)),"")</f>
        <v/>
      </c>
      <c r="K1811" s="8" t="str">
        <f>_xlfn.IFNA(INDEX('HS Codes'!$D$2:$K4365,MATCH($B1811,'HS Codes'!$A$2:$A4365,0),MATCH(K$1,'HS Codes'!$D$1:$K$1,0)),"")</f>
        <v/>
      </c>
      <c r="L1811" s="8" t="str">
        <f>_xlfn.IFNA(INDEX('HS Codes'!$D$2:$K4365,MATCH($B1811,'HS Codes'!$A$2:$A4365,0),MATCH(L$1,'HS Codes'!$D$1:$K$1,0)),"")</f>
        <v/>
      </c>
      <c r="M1811" s="8" t="str">
        <f>_xlfn.IFNA(INDEX('HS Codes'!$C$2:$C4365,MATCH($B1811,'HS Codes'!$A$2:$A4365,0)),"")</f>
        <v/>
      </c>
      <c r="N1811" s="9"/>
      <c r="O1811" s="9"/>
      <c r="P1811" s="9"/>
      <c r="Q1811" s="9"/>
    </row>
    <row r="1812" spans="1:17" ht="15.75" customHeight="1">
      <c r="A1812" s="7" t="s">
        <v>2105</v>
      </c>
      <c r="B1812" s="7"/>
      <c r="C1812" s="7"/>
      <c r="D1812" s="7"/>
      <c r="E1812" s="7"/>
      <c r="F1812" s="8" t="str">
        <f>_xlfn.IFNA(INDEX('HS Codes'!$D$2:$K4366,MATCH($B1812,'HS Codes'!$A$2:$A4366,0),MATCH(F$1,'HS Codes'!$D$1:$K$1,0)),"")</f>
        <v/>
      </c>
      <c r="G1812" s="8" t="str">
        <f>_xlfn.IFNA(INDEX('HS Codes'!$D$2:$K4366,MATCH($B1812,'HS Codes'!$A$2:$A4366,0),MATCH(G$1,'HS Codes'!$D$1:$K$1,0)),"")</f>
        <v/>
      </c>
      <c r="H1812" s="8" t="str">
        <f>_xlfn.IFNA(INDEX('HS Codes'!$D$2:$K4366,MATCH($B1812,'HS Codes'!$A$2:$A4366,0),MATCH(H$1,'HS Codes'!$D$1:$K$1,0)),"")</f>
        <v/>
      </c>
      <c r="I1812" s="8" t="str">
        <f>_xlfn.IFNA(INDEX('HS Codes'!$D$2:$K4366,MATCH($B1812,'HS Codes'!$A$2:$A4366,0),MATCH(I$1,'HS Codes'!$D$1:$K$1,0)),"")</f>
        <v/>
      </c>
      <c r="J1812" s="8" t="str">
        <f>_xlfn.IFNA(INDEX('HS Codes'!$D$2:$K4366,MATCH($B1812,'HS Codes'!$A$2:$A4366,0),MATCH(J$1,'HS Codes'!$D$1:$K$1,0)),"")</f>
        <v/>
      </c>
      <c r="K1812" s="8" t="str">
        <f>_xlfn.IFNA(INDEX('HS Codes'!$D$2:$K4366,MATCH($B1812,'HS Codes'!$A$2:$A4366,0),MATCH(K$1,'HS Codes'!$D$1:$K$1,0)),"")</f>
        <v/>
      </c>
      <c r="L1812" s="8" t="str">
        <f>_xlfn.IFNA(INDEX('HS Codes'!$D$2:$K4366,MATCH($B1812,'HS Codes'!$A$2:$A4366,0),MATCH(L$1,'HS Codes'!$D$1:$K$1,0)),"")</f>
        <v/>
      </c>
      <c r="M1812" s="8" t="str">
        <f>_xlfn.IFNA(INDEX('HS Codes'!$C$2:$C4366,MATCH($B1812,'HS Codes'!$A$2:$A4366,0)),"")</f>
        <v/>
      </c>
      <c r="N1812" s="9"/>
      <c r="O1812" s="9"/>
      <c r="P1812" s="9"/>
      <c r="Q1812" s="9"/>
    </row>
    <row r="1813" spans="1:17" ht="15.75" customHeight="1">
      <c r="A1813" s="7" t="s">
        <v>2106</v>
      </c>
      <c r="B1813" s="7"/>
      <c r="C1813" s="7"/>
      <c r="D1813" s="7"/>
      <c r="E1813" s="7"/>
      <c r="F1813" s="8" t="str">
        <f>_xlfn.IFNA(INDEX('HS Codes'!$D$2:$K4367,MATCH($B1813,'HS Codes'!$A$2:$A4367,0),MATCH(F$1,'HS Codes'!$D$1:$K$1,0)),"")</f>
        <v/>
      </c>
      <c r="G1813" s="8" t="str">
        <f>_xlfn.IFNA(INDEX('HS Codes'!$D$2:$K4367,MATCH($B1813,'HS Codes'!$A$2:$A4367,0),MATCH(G$1,'HS Codes'!$D$1:$K$1,0)),"")</f>
        <v/>
      </c>
      <c r="H1813" s="8" t="str">
        <f>_xlfn.IFNA(INDEX('HS Codes'!$D$2:$K4367,MATCH($B1813,'HS Codes'!$A$2:$A4367,0),MATCH(H$1,'HS Codes'!$D$1:$K$1,0)),"")</f>
        <v/>
      </c>
      <c r="I1813" s="8" t="str">
        <f>_xlfn.IFNA(INDEX('HS Codes'!$D$2:$K4367,MATCH($B1813,'HS Codes'!$A$2:$A4367,0),MATCH(I$1,'HS Codes'!$D$1:$K$1,0)),"")</f>
        <v/>
      </c>
      <c r="J1813" s="8" t="str">
        <f>_xlfn.IFNA(INDEX('HS Codes'!$D$2:$K4367,MATCH($B1813,'HS Codes'!$A$2:$A4367,0),MATCH(J$1,'HS Codes'!$D$1:$K$1,0)),"")</f>
        <v/>
      </c>
      <c r="K1813" s="8" t="str">
        <f>_xlfn.IFNA(INDEX('HS Codes'!$D$2:$K4367,MATCH($B1813,'HS Codes'!$A$2:$A4367,0),MATCH(K$1,'HS Codes'!$D$1:$K$1,0)),"")</f>
        <v/>
      </c>
      <c r="L1813" s="8" t="str">
        <f>_xlfn.IFNA(INDEX('HS Codes'!$D$2:$K4367,MATCH($B1813,'HS Codes'!$A$2:$A4367,0),MATCH(L$1,'HS Codes'!$D$1:$K$1,0)),"")</f>
        <v/>
      </c>
      <c r="M1813" s="8" t="str">
        <f>_xlfn.IFNA(INDEX('HS Codes'!$C$2:$C4367,MATCH($B1813,'HS Codes'!$A$2:$A4367,0)),"")</f>
        <v/>
      </c>
      <c r="N1813" s="9"/>
      <c r="O1813" s="9"/>
      <c r="P1813" s="9"/>
      <c r="Q1813" s="9"/>
    </row>
    <row r="1814" spans="1:17" ht="15.75" customHeight="1">
      <c r="A1814" s="7" t="s">
        <v>2107</v>
      </c>
      <c r="B1814" s="7" t="s">
        <v>137</v>
      </c>
      <c r="C1814" s="7" t="s">
        <v>281</v>
      </c>
      <c r="D1814" s="7" t="s">
        <v>138</v>
      </c>
      <c r="E1814" s="7" t="s">
        <v>138</v>
      </c>
      <c r="F1814" s="8" t="str">
        <f>_xlfn.IFNA(INDEX('HS Codes'!$D$2:$K4368,MATCH($B1814,'HS Codes'!$A$2:$A4368,0),MATCH(F$1,'HS Codes'!$D$1:$K$1,0)),"")</f>
        <v>6301.40.0020</v>
      </c>
      <c r="G1814" s="8">
        <f>_xlfn.IFNA(INDEX('HS Codes'!$D$2:$K4368,MATCH($B1814,'HS Codes'!$A$2:$A4368,0),MATCH(G$1,'HS Codes'!$D$1:$K$1,0)),"")</f>
        <v>6301409099</v>
      </c>
      <c r="H1814" s="8" t="str">
        <f>_xlfn.IFNA(INDEX('HS Codes'!$D$2:$K4368,MATCH($B1814,'HS Codes'!$A$2:$A4368,0),MATCH(H$1,'HS Codes'!$D$1:$K$1,0)),"")</f>
        <v>6301.40.0020</v>
      </c>
      <c r="I1814" s="8">
        <f>_xlfn.IFNA(INDEX('HS Codes'!$D$2:$K4368,MATCH($B1814,'HS Codes'!$A$2:$A4368,0),MATCH(I$1,'HS Codes'!$D$1:$K$1,0)),"")</f>
        <v>6301409099</v>
      </c>
      <c r="J1814" s="8">
        <f>_xlfn.IFNA(INDEX('HS Codes'!$D$2:$K4368,MATCH($B1814,'HS Codes'!$A$2:$A4368,0),MATCH(J$1,'HS Codes'!$D$1:$K$1,0)),"")</f>
        <v>0</v>
      </c>
      <c r="K1814" s="8" t="str">
        <f>_xlfn.IFNA(INDEX('HS Codes'!$D$2:$K4368,MATCH($B1814,'HS Codes'!$A$2:$A4368,0),MATCH(K$1,'HS Codes'!$D$1:$K$1,0)),"")</f>
        <v>6301.40.00</v>
      </c>
      <c r="L1814" s="8">
        <f>_xlfn.IFNA(INDEX('HS Codes'!$D$2:$K4368,MATCH($B1814,'HS Codes'!$A$2:$A4368,0),MATCH(L$1,'HS Codes'!$D$1:$K$1,0)),"")</f>
        <v>6301</v>
      </c>
      <c r="M1814" s="8" t="str">
        <f>_xlfn.IFNA(INDEX('HS Codes'!$C$2:$C4368,MATCH($B1814,'HS Codes'!$A$2:$A4368,0)),"")</f>
        <v>Travelling Rug 100% recycled. BOTTOM: 100% polyester. TOP: 220 GSM/83% polyester/17% polyamide includes cotton on the packing pouch drawstring</v>
      </c>
      <c r="N1814" s="9"/>
      <c r="O1814" s="9"/>
      <c r="P1814" s="9"/>
      <c r="Q1814" s="9"/>
    </row>
    <row r="1815" spans="1:17" ht="15.75" customHeight="1">
      <c r="A1815" s="7" t="s">
        <v>2108</v>
      </c>
      <c r="B1815" s="7" t="s">
        <v>137</v>
      </c>
      <c r="C1815" s="7" t="s">
        <v>281</v>
      </c>
      <c r="D1815" s="7" t="s">
        <v>138</v>
      </c>
      <c r="E1815" s="7" t="s">
        <v>138</v>
      </c>
      <c r="F1815" s="8" t="str">
        <f>_xlfn.IFNA(INDEX('HS Codes'!$D$2:$K4369,MATCH($B1815,'HS Codes'!$A$2:$A4369,0),MATCH(F$1,'HS Codes'!$D$1:$K$1,0)),"")</f>
        <v>6301.40.0020</v>
      </c>
      <c r="G1815" s="8">
        <f>_xlfn.IFNA(INDEX('HS Codes'!$D$2:$K4369,MATCH($B1815,'HS Codes'!$A$2:$A4369,0),MATCH(G$1,'HS Codes'!$D$1:$K$1,0)),"")</f>
        <v>6301409099</v>
      </c>
      <c r="H1815" s="8" t="str">
        <f>_xlfn.IFNA(INDEX('HS Codes'!$D$2:$K4369,MATCH($B1815,'HS Codes'!$A$2:$A4369,0),MATCH(H$1,'HS Codes'!$D$1:$K$1,0)),"")</f>
        <v>6301.40.0020</v>
      </c>
      <c r="I1815" s="8">
        <f>_xlfn.IFNA(INDEX('HS Codes'!$D$2:$K4369,MATCH($B1815,'HS Codes'!$A$2:$A4369,0),MATCH(I$1,'HS Codes'!$D$1:$K$1,0)),"")</f>
        <v>6301409099</v>
      </c>
      <c r="J1815" s="8">
        <f>_xlfn.IFNA(INDEX('HS Codes'!$D$2:$K4369,MATCH($B1815,'HS Codes'!$A$2:$A4369,0),MATCH(J$1,'HS Codes'!$D$1:$K$1,0)),"")</f>
        <v>0</v>
      </c>
      <c r="K1815" s="8" t="str">
        <f>_xlfn.IFNA(INDEX('HS Codes'!$D$2:$K4369,MATCH($B1815,'HS Codes'!$A$2:$A4369,0),MATCH(K$1,'HS Codes'!$D$1:$K$1,0)),"")</f>
        <v>6301.40.00</v>
      </c>
      <c r="L1815" s="8">
        <f>_xlfn.IFNA(INDEX('HS Codes'!$D$2:$K4369,MATCH($B1815,'HS Codes'!$A$2:$A4369,0),MATCH(L$1,'HS Codes'!$D$1:$K$1,0)),"")</f>
        <v>6301</v>
      </c>
      <c r="M1815" s="8" t="str">
        <f>_xlfn.IFNA(INDEX('HS Codes'!$C$2:$C4369,MATCH($B1815,'HS Codes'!$A$2:$A4369,0)),"")</f>
        <v>Travelling Rug 100% recycled. BOTTOM: 100% polyester. TOP: 220 GSM/83% polyester/17% polyamide includes cotton on the packing pouch drawstring</v>
      </c>
      <c r="N1815" s="9"/>
      <c r="O1815" s="9"/>
      <c r="P1815" s="9"/>
      <c r="Q1815" s="9"/>
    </row>
    <row r="1816" spans="1:17" ht="15.75" customHeight="1">
      <c r="A1816" s="7" t="s">
        <v>2109</v>
      </c>
      <c r="B1816" s="7" t="s">
        <v>137</v>
      </c>
      <c r="C1816" s="7" t="s">
        <v>281</v>
      </c>
      <c r="D1816" s="7" t="s">
        <v>138</v>
      </c>
      <c r="E1816" s="7" t="s">
        <v>138</v>
      </c>
      <c r="F1816" s="8" t="str">
        <f>_xlfn.IFNA(INDEX('HS Codes'!$D$2:$K4370,MATCH($B1816,'HS Codes'!$A$2:$A4370,0),MATCH(F$1,'HS Codes'!$D$1:$K$1,0)),"")</f>
        <v>6301.40.0020</v>
      </c>
      <c r="G1816" s="8">
        <f>_xlfn.IFNA(INDEX('HS Codes'!$D$2:$K4370,MATCH($B1816,'HS Codes'!$A$2:$A4370,0),MATCH(G$1,'HS Codes'!$D$1:$K$1,0)),"")</f>
        <v>6301409099</v>
      </c>
      <c r="H1816" s="8" t="str">
        <f>_xlfn.IFNA(INDEX('HS Codes'!$D$2:$K4370,MATCH($B1816,'HS Codes'!$A$2:$A4370,0),MATCH(H$1,'HS Codes'!$D$1:$K$1,0)),"")</f>
        <v>6301.40.0020</v>
      </c>
      <c r="I1816" s="8">
        <f>_xlfn.IFNA(INDEX('HS Codes'!$D$2:$K4370,MATCH($B1816,'HS Codes'!$A$2:$A4370,0),MATCH(I$1,'HS Codes'!$D$1:$K$1,0)),"")</f>
        <v>6301409099</v>
      </c>
      <c r="J1816" s="8">
        <f>_xlfn.IFNA(INDEX('HS Codes'!$D$2:$K4370,MATCH($B1816,'HS Codes'!$A$2:$A4370,0),MATCH(J$1,'HS Codes'!$D$1:$K$1,0)),"")</f>
        <v>0</v>
      </c>
      <c r="K1816" s="8" t="str">
        <f>_xlfn.IFNA(INDEX('HS Codes'!$D$2:$K4370,MATCH($B1816,'HS Codes'!$A$2:$A4370,0),MATCH(K$1,'HS Codes'!$D$1:$K$1,0)),"")</f>
        <v>6301.40.00</v>
      </c>
      <c r="L1816" s="8">
        <f>_xlfn.IFNA(INDEX('HS Codes'!$D$2:$K4370,MATCH($B1816,'HS Codes'!$A$2:$A4370,0),MATCH(L$1,'HS Codes'!$D$1:$K$1,0)),"")</f>
        <v>6301</v>
      </c>
      <c r="M1816" s="8" t="str">
        <f>_xlfn.IFNA(INDEX('HS Codes'!$C$2:$C4370,MATCH($B1816,'HS Codes'!$A$2:$A4370,0)),"")</f>
        <v>Travelling Rug 100% recycled. BOTTOM: 100% polyester. TOP: 220 GSM/83% polyester/17% polyamide includes cotton on the packing pouch drawstring</v>
      </c>
      <c r="N1816" s="9"/>
      <c r="O1816" s="9"/>
      <c r="P1816" s="9"/>
      <c r="Q1816" s="9"/>
    </row>
    <row r="1817" spans="1:17" ht="15.75" customHeight="1">
      <c r="A1817" s="7" t="s">
        <v>2110</v>
      </c>
      <c r="B1817" s="7" t="s">
        <v>137</v>
      </c>
      <c r="C1817" s="7" t="s">
        <v>281</v>
      </c>
      <c r="D1817" s="7" t="s">
        <v>138</v>
      </c>
      <c r="E1817" s="7" t="s">
        <v>138</v>
      </c>
      <c r="F1817" s="8" t="str">
        <f>_xlfn.IFNA(INDEX('HS Codes'!$D$2:$K4371,MATCH($B1817,'HS Codes'!$A$2:$A4371,0),MATCH(F$1,'HS Codes'!$D$1:$K$1,0)),"")</f>
        <v>6301.40.0020</v>
      </c>
      <c r="G1817" s="8">
        <f>_xlfn.IFNA(INDEX('HS Codes'!$D$2:$K4371,MATCH($B1817,'HS Codes'!$A$2:$A4371,0),MATCH(G$1,'HS Codes'!$D$1:$K$1,0)),"")</f>
        <v>6301409099</v>
      </c>
      <c r="H1817" s="8" t="str">
        <f>_xlfn.IFNA(INDEX('HS Codes'!$D$2:$K4371,MATCH($B1817,'HS Codes'!$A$2:$A4371,0),MATCH(H$1,'HS Codes'!$D$1:$K$1,0)),"")</f>
        <v>6301.40.0020</v>
      </c>
      <c r="I1817" s="8">
        <f>_xlfn.IFNA(INDEX('HS Codes'!$D$2:$K4371,MATCH($B1817,'HS Codes'!$A$2:$A4371,0),MATCH(I$1,'HS Codes'!$D$1:$K$1,0)),"")</f>
        <v>6301409099</v>
      </c>
      <c r="J1817" s="8">
        <f>_xlfn.IFNA(INDEX('HS Codes'!$D$2:$K4371,MATCH($B1817,'HS Codes'!$A$2:$A4371,0),MATCH(J$1,'HS Codes'!$D$1:$K$1,0)),"")</f>
        <v>0</v>
      </c>
      <c r="K1817" s="8" t="str">
        <f>_xlfn.IFNA(INDEX('HS Codes'!$D$2:$K4371,MATCH($B1817,'HS Codes'!$A$2:$A4371,0),MATCH(K$1,'HS Codes'!$D$1:$K$1,0)),"")</f>
        <v>6301.40.00</v>
      </c>
      <c r="L1817" s="8">
        <f>_xlfn.IFNA(INDEX('HS Codes'!$D$2:$K4371,MATCH($B1817,'HS Codes'!$A$2:$A4371,0),MATCH(L$1,'HS Codes'!$D$1:$K$1,0)),"")</f>
        <v>6301</v>
      </c>
      <c r="M1817" s="8" t="str">
        <f>_xlfn.IFNA(INDEX('HS Codes'!$C$2:$C4371,MATCH($B1817,'HS Codes'!$A$2:$A4371,0)),"")</f>
        <v>Travelling Rug 100% recycled. BOTTOM: 100% polyester. TOP: 220 GSM/83% polyester/17% polyamide includes cotton on the packing pouch drawstring</v>
      </c>
      <c r="N1817" s="9"/>
      <c r="O1817" s="9"/>
      <c r="P1817" s="9"/>
      <c r="Q1817" s="9"/>
    </row>
    <row r="1818" spans="1:17" ht="15.75" customHeight="1">
      <c r="A1818" s="7" t="s">
        <v>2111</v>
      </c>
      <c r="B1818" s="7" t="s">
        <v>137</v>
      </c>
      <c r="C1818" s="7" t="s">
        <v>281</v>
      </c>
      <c r="D1818" s="7" t="s">
        <v>138</v>
      </c>
      <c r="E1818" s="7" t="s">
        <v>138</v>
      </c>
      <c r="F1818" s="8" t="str">
        <f>_xlfn.IFNA(INDEX('HS Codes'!$D$2:$K4372,MATCH($B1818,'HS Codes'!$A$2:$A4372,0),MATCH(F$1,'HS Codes'!$D$1:$K$1,0)),"")</f>
        <v>6301.40.0020</v>
      </c>
      <c r="G1818" s="8">
        <f>_xlfn.IFNA(INDEX('HS Codes'!$D$2:$K4372,MATCH($B1818,'HS Codes'!$A$2:$A4372,0),MATCH(G$1,'HS Codes'!$D$1:$K$1,0)),"")</f>
        <v>6301409099</v>
      </c>
      <c r="H1818" s="8" t="str">
        <f>_xlfn.IFNA(INDEX('HS Codes'!$D$2:$K4372,MATCH($B1818,'HS Codes'!$A$2:$A4372,0),MATCH(H$1,'HS Codes'!$D$1:$K$1,0)),"")</f>
        <v>6301.40.0020</v>
      </c>
      <c r="I1818" s="8">
        <f>_xlfn.IFNA(INDEX('HS Codes'!$D$2:$K4372,MATCH($B1818,'HS Codes'!$A$2:$A4372,0),MATCH(I$1,'HS Codes'!$D$1:$K$1,0)),"")</f>
        <v>6301409099</v>
      </c>
      <c r="J1818" s="8">
        <f>_xlfn.IFNA(INDEX('HS Codes'!$D$2:$K4372,MATCH($B1818,'HS Codes'!$A$2:$A4372,0),MATCH(J$1,'HS Codes'!$D$1:$K$1,0)),"")</f>
        <v>0</v>
      </c>
      <c r="K1818" s="8" t="str">
        <f>_xlfn.IFNA(INDEX('HS Codes'!$D$2:$K4372,MATCH($B1818,'HS Codes'!$A$2:$A4372,0),MATCH(K$1,'HS Codes'!$D$1:$K$1,0)),"")</f>
        <v>6301.40.00</v>
      </c>
      <c r="L1818" s="8">
        <f>_xlfn.IFNA(INDEX('HS Codes'!$D$2:$K4372,MATCH($B1818,'HS Codes'!$A$2:$A4372,0),MATCH(L$1,'HS Codes'!$D$1:$K$1,0)),"")</f>
        <v>6301</v>
      </c>
      <c r="M1818" s="8" t="str">
        <f>_xlfn.IFNA(INDEX('HS Codes'!$C$2:$C4372,MATCH($B1818,'HS Codes'!$A$2:$A4372,0)),"")</f>
        <v>Travelling Rug 100% recycled. BOTTOM: 100% polyester. TOP: 220 GSM/83% polyester/17% polyamide includes cotton on the packing pouch drawstring</v>
      </c>
      <c r="N1818" s="9"/>
      <c r="O1818" s="9"/>
      <c r="P1818" s="9"/>
      <c r="Q1818" s="9"/>
    </row>
    <row r="1819" spans="1:17" ht="15.75" customHeight="1">
      <c r="A1819" s="7" t="s">
        <v>2112</v>
      </c>
      <c r="B1819" s="7" t="s">
        <v>137</v>
      </c>
      <c r="C1819" s="7" t="s">
        <v>281</v>
      </c>
      <c r="D1819" s="7" t="s">
        <v>138</v>
      </c>
      <c r="E1819" s="7" t="s">
        <v>138</v>
      </c>
      <c r="F1819" s="8" t="str">
        <f>_xlfn.IFNA(INDEX('HS Codes'!$D$2:$K4373,MATCH($B1819,'HS Codes'!$A$2:$A4373,0),MATCH(F$1,'HS Codes'!$D$1:$K$1,0)),"")</f>
        <v>6301.40.0020</v>
      </c>
      <c r="G1819" s="8">
        <f>_xlfn.IFNA(INDEX('HS Codes'!$D$2:$K4373,MATCH($B1819,'HS Codes'!$A$2:$A4373,0),MATCH(G$1,'HS Codes'!$D$1:$K$1,0)),"")</f>
        <v>6301409099</v>
      </c>
      <c r="H1819" s="8" t="str">
        <f>_xlfn.IFNA(INDEX('HS Codes'!$D$2:$K4373,MATCH($B1819,'HS Codes'!$A$2:$A4373,0),MATCH(H$1,'HS Codes'!$D$1:$K$1,0)),"")</f>
        <v>6301.40.0020</v>
      </c>
      <c r="I1819" s="8">
        <f>_xlfn.IFNA(INDEX('HS Codes'!$D$2:$K4373,MATCH($B1819,'HS Codes'!$A$2:$A4373,0),MATCH(I$1,'HS Codes'!$D$1:$K$1,0)),"")</f>
        <v>6301409099</v>
      </c>
      <c r="J1819" s="8">
        <f>_xlfn.IFNA(INDEX('HS Codes'!$D$2:$K4373,MATCH($B1819,'HS Codes'!$A$2:$A4373,0),MATCH(J$1,'HS Codes'!$D$1:$K$1,0)),"")</f>
        <v>0</v>
      </c>
      <c r="K1819" s="8" t="str">
        <f>_xlfn.IFNA(INDEX('HS Codes'!$D$2:$K4373,MATCH($B1819,'HS Codes'!$A$2:$A4373,0),MATCH(K$1,'HS Codes'!$D$1:$K$1,0)),"")</f>
        <v>6301.40.00</v>
      </c>
      <c r="L1819" s="8">
        <f>_xlfn.IFNA(INDEX('HS Codes'!$D$2:$K4373,MATCH($B1819,'HS Codes'!$A$2:$A4373,0),MATCH(L$1,'HS Codes'!$D$1:$K$1,0)),"")</f>
        <v>6301</v>
      </c>
      <c r="M1819" s="8" t="str">
        <f>_xlfn.IFNA(INDEX('HS Codes'!$C$2:$C4373,MATCH($B1819,'HS Codes'!$A$2:$A4373,0)),"")</f>
        <v>Travelling Rug 100% recycled. BOTTOM: 100% polyester. TOP: 220 GSM/83% polyester/17% polyamide includes cotton on the packing pouch drawstring</v>
      </c>
      <c r="N1819" s="9"/>
      <c r="O1819" s="9"/>
      <c r="P1819" s="9"/>
      <c r="Q1819" s="9"/>
    </row>
    <row r="1820" spans="1:17" ht="15.75" customHeight="1">
      <c r="A1820" s="7" t="s">
        <v>2113</v>
      </c>
      <c r="B1820" s="7" t="s">
        <v>137</v>
      </c>
      <c r="C1820" s="7" t="s">
        <v>281</v>
      </c>
      <c r="D1820" s="7" t="s">
        <v>138</v>
      </c>
      <c r="E1820" s="7" t="s">
        <v>138</v>
      </c>
      <c r="F1820" s="8" t="str">
        <f>_xlfn.IFNA(INDEX('HS Codes'!$D$2:$K4374,MATCH($B1820,'HS Codes'!$A$2:$A4374,0),MATCH(F$1,'HS Codes'!$D$1:$K$1,0)),"")</f>
        <v>6301.40.0020</v>
      </c>
      <c r="G1820" s="8">
        <f>_xlfn.IFNA(INDEX('HS Codes'!$D$2:$K4374,MATCH($B1820,'HS Codes'!$A$2:$A4374,0),MATCH(G$1,'HS Codes'!$D$1:$K$1,0)),"")</f>
        <v>6301409099</v>
      </c>
      <c r="H1820" s="8" t="str">
        <f>_xlfn.IFNA(INDEX('HS Codes'!$D$2:$K4374,MATCH($B1820,'HS Codes'!$A$2:$A4374,0),MATCH(H$1,'HS Codes'!$D$1:$K$1,0)),"")</f>
        <v>6301.40.0020</v>
      </c>
      <c r="I1820" s="8">
        <f>_xlfn.IFNA(INDEX('HS Codes'!$D$2:$K4374,MATCH($B1820,'HS Codes'!$A$2:$A4374,0),MATCH(I$1,'HS Codes'!$D$1:$K$1,0)),"")</f>
        <v>6301409099</v>
      </c>
      <c r="J1820" s="8">
        <f>_xlfn.IFNA(INDEX('HS Codes'!$D$2:$K4374,MATCH($B1820,'HS Codes'!$A$2:$A4374,0),MATCH(J$1,'HS Codes'!$D$1:$K$1,0)),"")</f>
        <v>0</v>
      </c>
      <c r="K1820" s="8" t="str">
        <f>_xlfn.IFNA(INDEX('HS Codes'!$D$2:$K4374,MATCH($B1820,'HS Codes'!$A$2:$A4374,0),MATCH(K$1,'HS Codes'!$D$1:$K$1,0)),"")</f>
        <v>6301.40.00</v>
      </c>
      <c r="L1820" s="8">
        <f>_xlfn.IFNA(INDEX('HS Codes'!$D$2:$K4374,MATCH($B1820,'HS Codes'!$A$2:$A4374,0),MATCH(L$1,'HS Codes'!$D$1:$K$1,0)),"")</f>
        <v>6301</v>
      </c>
      <c r="M1820" s="8" t="str">
        <f>_xlfn.IFNA(INDEX('HS Codes'!$C$2:$C4374,MATCH($B1820,'HS Codes'!$A$2:$A4374,0)),"")</f>
        <v>Travelling Rug 100% recycled. BOTTOM: 100% polyester. TOP: 220 GSM/83% polyester/17% polyamide includes cotton on the packing pouch drawstring</v>
      </c>
      <c r="N1820" s="9"/>
      <c r="O1820" s="9"/>
      <c r="P1820" s="9"/>
      <c r="Q1820" s="9"/>
    </row>
    <row r="1821" spans="1:17" ht="15.75" customHeight="1">
      <c r="A1821" s="7" t="s">
        <v>2114</v>
      </c>
      <c r="B1821" s="7" t="s">
        <v>142</v>
      </c>
      <c r="C1821" s="7" t="s">
        <v>278</v>
      </c>
      <c r="D1821" s="7" t="s">
        <v>143</v>
      </c>
      <c r="E1821" s="7" t="s">
        <v>143</v>
      </c>
      <c r="F1821" s="8" t="str">
        <f>_xlfn.IFNA(INDEX('HS Codes'!$D$2:$K4375,MATCH($B1821,'HS Codes'!$A$2:$A4375,0),MATCH(F$1,'HS Codes'!$D$1:$K$1,0)),"")</f>
        <v>6101.90.90.30</v>
      </c>
      <c r="G1821" s="8">
        <f>_xlfn.IFNA(INDEX('HS Codes'!$D$2:$K4375,MATCH($B1821,'HS Codes'!$A$2:$A4375,0),MATCH(G$1,'HS Codes'!$D$1:$K$1,0)),"")</f>
        <v>6101309000</v>
      </c>
      <c r="H1821" s="8">
        <f>_xlfn.IFNA(INDEX('HS Codes'!$D$2:$K4375,MATCH($B1821,'HS Codes'!$A$2:$A4375,0),MATCH(H$1,'HS Codes'!$D$1:$K$1,0)),"")</f>
        <v>6112399000</v>
      </c>
      <c r="I1821" s="8" t="str">
        <f>_xlfn.IFNA(INDEX('HS Codes'!$D$2:$K4375,MATCH($B1821,'HS Codes'!$A$2:$A4375,0),MATCH(I$1,'HS Codes'!$D$1:$K$1,0)),"")</f>
        <v>6211 4390 00</v>
      </c>
      <c r="J1821" s="8">
        <f>_xlfn.IFNA(INDEX('HS Codes'!$D$2:$K4375,MATCH($B1821,'HS Codes'!$A$2:$A4375,0),MATCH(J$1,'HS Codes'!$D$1:$K$1,0)),"")</f>
        <v>6117109000</v>
      </c>
      <c r="K1821" s="8" t="str">
        <f>_xlfn.IFNA(INDEX('HS Codes'!$D$2:$K4375,MATCH($B1821,'HS Codes'!$A$2:$A4375,0),MATCH(K$1,'HS Codes'!$D$1:$K$1,0)),"")</f>
        <v>6112.39.00</v>
      </c>
      <c r="L1821" s="8">
        <f>_xlfn.IFNA(INDEX('HS Codes'!$D$2:$K4375,MATCH($B1821,'HS Codes'!$A$2:$A4375,0),MATCH(L$1,'HS Codes'!$D$1:$K$1,0)),"")</f>
        <v>6202</v>
      </c>
      <c r="M1821" s="8" t="str">
        <f>_xlfn.IFNA(INDEX('HS Codes'!$C$2:$C4375,MATCH($B1821,'HS Codes'!$A$2:$A4375,0)),"")</f>
        <v>Beach Robe or Cloak 100% recycled 220 GSM/83% polyester/17% polyamide includes cotton on the packing pouch drawstring</v>
      </c>
      <c r="N1821" s="9"/>
      <c r="O1821" s="9"/>
      <c r="P1821" s="9"/>
      <c r="Q1821" s="9"/>
    </row>
    <row r="1822" spans="1:17" ht="15.75" customHeight="1">
      <c r="A1822" s="7" t="s">
        <v>2115</v>
      </c>
      <c r="B1822" s="7" t="s">
        <v>142</v>
      </c>
      <c r="C1822" s="7" t="s">
        <v>278</v>
      </c>
      <c r="D1822" s="7" t="s">
        <v>143</v>
      </c>
      <c r="E1822" s="7" t="s">
        <v>143</v>
      </c>
      <c r="F1822" s="8" t="str">
        <f>_xlfn.IFNA(INDEX('HS Codes'!$D$2:$K4376,MATCH($B1822,'HS Codes'!$A$2:$A4376,0),MATCH(F$1,'HS Codes'!$D$1:$K$1,0)),"")</f>
        <v>6101.90.90.30</v>
      </c>
      <c r="G1822" s="8">
        <f>_xlfn.IFNA(INDEX('HS Codes'!$D$2:$K4376,MATCH($B1822,'HS Codes'!$A$2:$A4376,0),MATCH(G$1,'HS Codes'!$D$1:$K$1,0)),"")</f>
        <v>6101309000</v>
      </c>
      <c r="H1822" s="8">
        <f>_xlfn.IFNA(INDEX('HS Codes'!$D$2:$K4376,MATCH($B1822,'HS Codes'!$A$2:$A4376,0),MATCH(H$1,'HS Codes'!$D$1:$K$1,0)),"")</f>
        <v>6112399000</v>
      </c>
      <c r="I1822" s="8" t="str">
        <f>_xlfn.IFNA(INDEX('HS Codes'!$D$2:$K4376,MATCH($B1822,'HS Codes'!$A$2:$A4376,0),MATCH(I$1,'HS Codes'!$D$1:$K$1,0)),"")</f>
        <v>6211 4390 00</v>
      </c>
      <c r="J1822" s="8">
        <f>_xlfn.IFNA(INDEX('HS Codes'!$D$2:$K4376,MATCH($B1822,'HS Codes'!$A$2:$A4376,0),MATCH(J$1,'HS Codes'!$D$1:$K$1,0)),"")</f>
        <v>6117109000</v>
      </c>
      <c r="K1822" s="8" t="str">
        <f>_xlfn.IFNA(INDEX('HS Codes'!$D$2:$K4376,MATCH($B1822,'HS Codes'!$A$2:$A4376,0),MATCH(K$1,'HS Codes'!$D$1:$K$1,0)),"")</f>
        <v>6112.39.00</v>
      </c>
      <c r="L1822" s="8">
        <f>_xlfn.IFNA(INDEX('HS Codes'!$D$2:$K4376,MATCH($B1822,'HS Codes'!$A$2:$A4376,0),MATCH(L$1,'HS Codes'!$D$1:$K$1,0)),"")</f>
        <v>6202</v>
      </c>
      <c r="M1822" s="8" t="str">
        <f>_xlfn.IFNA(INDEX('HS Codes'!$C$2:$C4376,MATCH($B1822,'HS Codes'!$A$2:$A4376,0)),"")</f>
        <v>Beach Robe or Cloak 100% recycled 220 GSM/83% polyester/17% polyamide includes cotton on the packing pouch drawstring</v>
      </c>
      <c r="N1822" s="9"/>
      <c r="O1822" s="9"/>
      <c r="P1822" s="9"/>
      <c r="Q1822" s="9"/>
    </row>
    <row r="1823" spans="1:17" ht="15.75" customHeight="1">
      <c r="A1823" s="7" t="s">
        <v>2116</v>
      </c>
      <c r="B1823" s="7" t="s">
        <v>142</v>
      </c>
      <c r="C1823" s="7" t="s">
        <v>278</v>
      </c>
      <c r="D1823" s="7" t="s">
        <v>143</v>
      </c>
      <c r="E1823" s="7" t="s">
        <v>143</v>
      </c>
      <c r="F1823" s="8" t="str">
        <f>_xlfn.IFNA(INDEX('HS Codes'!$D$2:$K4377,MATCH($B1823,'HS Codes'!$A$2:$A4377,0),MATCH(F$1,'HS Codes'!$D$1:$K$1,0)),"")</f>
        <v>6101.90.90.30</v>
      </c>
      <c r="G1823" s="8">
        <f>_xlfn.IFNA(INDEX('HS Codes'!$D$2:$K4377,MATCH($B1823,'HS Codes'!$A$2:$A4377,0),MATCH(G$1,'HS Codes'!$D$1:$K$1,0)),"")</f>
        <v>6101309000</v>
      </c>
      <c r="H1823" s="8">
        <f>_xlfn.IFNA(INDEX('HS Codes'!$D$2:$K4377,MATCH($B1823,'HS Codes'!$A$2:$A4377,0),MATCH(H$1,'HS Codes'!$D$1:$K$1,0)),"")</f>
        <v>6112399000</v>
      </c>
      <c r="I1823" s="8" t="str">
        <f>_xlfn.IFNA(INDEX('HS Codes'!$D$2:$K4377,MATCH($B1823,'HS Codes'!$A$2:$A4377,0),MATCH(I$1,'HS Codes'!$D$1:$K$1,0)),"")</f>
        <v>6211 4390 00</v>
      </c>
      <c r="J1823" s="8">
        <f>_xlfn.IFNA(INDEX('HS Codes'!$D$2:$K4377,MATCH($B1823,'HS Codes'!$A$2:$A4377,0),MATCH(J$1,'HS Codes'!$D$1:$K$1,0)),"")</f>
        <v>6117109000</v>
      </c>
      <c r="K1823" s="8" t="str">
        <f>_xlfn.IFNA(INDEX('HS Codes'!$D$2:$K4377,MATCH($B1823,'HS Codes'!$A$2:$A4377,0),MATCH(K$1,'HS Codes'!$D$1:$K$1,0)),"")</f>
        <v>6112.39.00</v>
      </c>
      <c r="L1823" s="8">
        <f>_xlfn.IFNA(INDEX('HS Codes'!$D$2:$K4377,MATCH($B1823,'HS Codes'!$A$2:$A4377,0),MATCH(L$1,'HS Codes'!$D$1:$K$1,0)),"")</f>
        <v>6202</v>
      </c>
      <c r="M1823" s="8" t="str">
        <f>_xlfn.IFNA(INDEX('HS Codes'!$C$2:$C4377,MATCH($B1823,'HS Codes'!$A$2:$A4377,0)),"")</f>
        <v>Beach Robe or Cloak 100% recycled 220 GSM/83% polyester/17% polyamide includes cotton on the packing pouch drawstring</v>
      </c>
      <c r="N1823" s="9"/>
      <c r="O1823" s="9"/>
      <c r="P1823" s="9"/>
      <c r="Q1823" s="9"/>
    </row>
    <row r="1824" spans="1:17" ht="15.75" customHeight="1">
      <c r="A1824" s="7" t="s">
        <v>2117</v>
      </c>
      <c r="B1824" s="7" t="s">
        <v>142</v>
      </c>
      <c r="C1824" s="7" t="s">
        <v>278</v>
      </c>
      <c r="D1824" s="7" t="s">
        <v>143</v>
      </c>
      <c r="E1824" s="7" t="s">
        <v>143</v>
      </c>
      <c r="F1824" s="8" t="str">
        <f>_xlfn.IFNA(INDEX('HS Codes'!$D$2:$K4378,MATCH($B1824,'HS Codes'!$A$2:$A4378,0),MATCH(F$1,'HS Codes'!$D$1:$K$1,0)),"")</f>
        <v>6101.90.90.30</v>
      </c>
      <c r="G1824" s="8">
        <f>_xlfn.IFNA(INDEX('HS Codes'!$D$2:$K4378,MATCH($B1824,'HS Codes'!$A$2:$A4378,0),MATCH(G$1,'HS Codes'!$D$1:$K$1,0)),"")</f>
        <v>6101309000</v>
      </c>
      <c r="H1824" s="8">
        <f>_xlfn.IFNA(INDEX('HS Codes'!$D$2:$K4378,MATCH($B1824,'HS Codes'!$A$2:$A4378,0),MATCH(H$1,'HS Codes'!$D$1:$K$1,0)),"")</f>
        <v>6112399000</v>
      </c>
      <c r="I1824" s="8" t="str">
        <f>_xlfn.IFNA(INDEX('HS Codes'!$D$2:$K4378,MATCH($B1824,'HS Codes'!$A$2:$A4378,0),MATCH(I$1,'HS Codes'!$D$1:$K$1,0)),"")</f>
        <v>6211 4390 00</v>
      </c>
      <c r="J1824" s="8">
        <f>_xlfn.IFNA(INDEX('HS Codes'!$D$2:$K4378,MATCH($B1824,'HS Codes'!$A$2:$A4378,0),MATCH(J$1,'HS Codes'!$D$1:$K$1,0)),"")</f>
        <v>6117109000</v>
      </c>
      <c r="K1824" s="8" t="str">
        <f>_xlfn.IFNA(INDEX('HS Codes'!$D$2:$K4378,MATCH($B1824,'HS Codes'!$A$2:$A4378,0),MATCH(K$1,'HS Codes'!$D$1:$K$1,0)),"")</f>
        <v>6112.39.00</v>
      </c>
      <c r="L1824" s="8">
        <f>_xlfn.IFNA(INDEX('HS Codes'!$D$2:$K4378,MATCH($B1824,'HS Codes'!$A$2:$A4378,0),MATCH(L$1,'HS Codes'!$D$1:$K$1,0)),"")</f>
        <v>6202</v>
      </c>
      <c r="M1824" s="8" t="str">
        <f>_xlfn.IFNA(INDEX('HS Codes'!$C$2:$C4378,MATCH($B1824,'HS Codes'!$A$2:$A4378,0)),"")</f>
        <v>Beach Robe or Cloak 100% recycled 220 GSM/83% polyester/17% polyamide includes cotton on the packing pouch drawstring</v>
      </c>
      <c r="N1824" s="9"/>
      <c r="O1824" s="9"/>
      <c r="P1824" s="9"/>
      <c r="Q1824" s="9"/>
    </row>
    <row r="1825" spans="1:17" ht="15.75" customHeight="1">
      <c r="A1825" s="7" t="s">
        <v>2118</v>
      </c>
      <c r="B1825" s="7" t="s">
        <v>142</v>
      </c>
      <c r="C1825" s="7" t="s">
        <v>278</v>
      </c>
      <c r="D1825" s="7" t="s">
        <v>143</v>
      </c>
      <c r="E1825" s="7" t="s">
        <v>143</v>
      </c>
      <c r="F1825" s="8" t="str">
        <f>_xlfn.IFNA(INDEX('HS Codes'!$D$2:$K4379,MATCH($B1825,'HS Codes'!$A$2:$A4379,0),MATCH(F$1,'HS Codes'!$D$1:$K$1,0)),"")</f>
        <v>6101.90.90.30</v>
      </c>
      <c r="G1825" s="8">
        <f>_xlfn.IFNA(INDEX('HS Codes'!$D$2:$K4379,MATCH($B1825,'HS Codes'!$A$2:$A4379,0),MATCH(G$1,'HS Codes'!$D$1:$K$1,0)),"")</f>
        <v>6101309000</v>
      </c>
      <c r="H1825" s="8">
        <f>_xlfn.IFNA(INDEX('HS Codes'!$D$2:$K4379,MATCH($B1825,'HS Codes'!$A$2:$A4379,0),MATCH(H$1,'HS Codes'!$D$1:$K$1,0)),"")</f>
        <v>6112399000</v>
      </c>
      <c r="I1825" s="8" t="str">
        <f>_xlfn.IFNA(INDEX('HS Codes'!$D$2:$K4379,MATCH($B1825,'HS Codes'!$A$2:$A4379,0),MATCH(I$1,'HS Codes'!$D$1:$K$1,0)),"")</f>
        <v>6211 4390 00</v>
      </c>
      <c r="J1825" s="8">
        <f>_xlfn.IFNA(INDEX('HS Codes'!$D$2:$K4379,MATCH($B1825,'HS Codes'!$A$2:$A4379,0),MATCH(J$1,'HS Codes'!$D$1:$K$1,0)),"")</f>
        <v>6117109000</v>
      </c>
      <c r="K1825" s="8" t="str">
        <f>_xlfn.IFNA(INDEX('HS Codes'!$D$2:$K4379,MATCH($B1825,'HS Codes'!$A$2:$A4379,0),MATCH(K$1,'HS Codes'!$D$1:$K$1,0)),"")</f>
        <v>6112.39.00</v>
      </c>
      <c r="L1825" s="8">
        <f>_xlfn.IFNA(INDEX('HS Codes'!$D$2:$K4379,MATCH($B1825,'HS Codes'!$A$2:$A4379,0),MATCH(L$1,'HS Codes'!$D$1:$K$1,0)),"")</f>
        <v>6202</v>
      </c>
      <c r="M1825" s="8" t="str">
        <f>_xlfn.IFNA(INDEX('HS Codes'!$C$2:$C4379,MATCH($B1825,'HS Codes'!$A$2:$A4379,0)),"")</f>
        <v>Beach Robe or Cloak 100% recycled 220 GSM/83% polyester/17% polyamide includes cotton on the packing pouch drawstring</v>
      </c>
      <c r="N1825" s="9"/>
      <c r="O1825" s="9"/>
      <c r="P1825" s="9"/>
      <c r="Q1825" s="9"/>
    </row>
    <row r="1826" spans="1:17" ht="15.75" customHeight="1">
      <c r="A1826" s="7" t="s">
        <v>2119</v>
      </c>
      <c r="B1826" s="7" t="s">
        <v>142</v>
      </c>
      <c r="C1826" s="7" t="s">
        <v>278</v>
      </c>
      <c r="D1826" s="7" t="s">
        <v>143</v>
      </c>
      <c r="E1826" s="7" t="s">
        <v>143</v>
      </c>
      <c r="F1826" s="8" t="str">
        <f>_xlfn.IFNA(INDEX('HS Codes'!$D$2:$K4380,MATCH($B1826,'HS Codes'!$A$2:$A4380,0),MATCH(F$1,'HS Codes'!$D$1:$K$1,0)),"")</f>
        <v>6101.90.90.30</v>
      </c>
      <c r="G1826" s="8">
        <f>_xlfn.IFNA(INDEX('HS Codes'!$D$2:$K4380,MATCH($B1826,'HS Codes'!$A$2:$A4380,0),MATCH(G$1,'HS Codes'!$D$1:$K$1,0)),"")</f>
        <v>6101309000</v>
      </c>
      <c r="H1826" s="8">
        <f>_xlfn.IFNA(INDEX('HS Codes'!$D$2:$K4380,MATCH($B1826,'HS Codes'!$A$2:$A4380,0),MATCH(H$1,'HS Codes'!$D$1:$K$1,0)),"")</f>
        <v>6112399000</v>
      </c>
      <c r="I1826" s="8" t="str">
        <f>_xlfn.IFNA(INDEX('HS Codes'!$D$2:$K4380,MATCH($B1826,'HS Codes'!$A$2:$A4380,0),MATCH(I$1,'HS Codes'!$D$1:$K$1,0)),"")</f>
        <v>6211 4390 00</v>
      </c>
      <c r="J1826" s="8">
        <f>_xlfn.IFNA(INDEX('HS Codes'!$D$2:$K4380,MATCH($B1826,'HS Codes'!$A$2:$A4380,0),MATCH(J$1,'HS Codes'!$D$1:$K$1,0)),"")</f>
        <v>6117109000</v>
      </c>
      <c r="K1826" s="8" t="str">
        <f>_xlfn.IFNA(INDEX('HS Codes'!$D$2:$K4380,MATCH($B1826,'HS Codes'!$A$2:$A4380,0),MATCH(K$1,'HS Codes'!$D$1:$K$1,0)),"")</f>
        <v>6112.39.00</v>
      </c>
      <c r="L1826" s="8">
        <f>_xlfn.IFNA(INDEX('HS Codes'!$D$2:$K4380,MATCH($B1826,'HS Codes'!$A$2:$A4380,0),MATCH(L$1,'HS Codes'!$D$1:$K$1,0)),"")</f>
        <v>6202</v>
      </c>
      <c r="M1826" s="8" t="str">
        <f>_xlfn.IFNA(INDEX('HS Codes'!$C$2:$C4380,MATCH($B1826,'HS Codes'!$A$2:$A4380,0)),"")</f>
        <v>Beach Robe or Cloak 100% recycled 220 GSM/83% polyester/17% polyamide includes cotton on the packing pouch drawstring</v>
      </c>
      <c r="N1826" s="9"/>
      <c r="O1826" s="9"/>
      <c r="P1826" s="9"/>
      <c r="Q1826" s="9"/>
    </row>
    <row r="1827" spans="1:17" ht="15.75" customHeight="1">
      <c r="A1827" s="7" t="s">
        <v>2120</v>
      </c>
      <c r="B1827" s="7" t="s">
        <v>142</v>
      </c>
      <c r="C1827" s="7" t="s">
        <v>278</v>
      </c>
      <c r="D1827" s="7" t="s">
        <v>143</v>
      </c>
      <c r="E1827" s="7" t="s">
        <v>143</v>
      </c>
      <c r="F1827" s="8" t="str">
        <f>_xlfn.IFNA(INDEX('HS Codes'!$D$2:$K4381,MATCH($B1827,'HS Codes'!$A$2:$A4381,0),MATCH(F$1,'HS Codes'!$D$1:$K$1,0)),"")</f>
        <v>6101.90.90.30</v>
      </c>
      <c r="G1827" s="8">
        <f>_xlfn.IFNA(INDEX('HS Codes'!$D$2:$K4381,MATCH($B1827,'HS Codes'!$A$2:$A4381,0),MATCH(G$1,'HS Codes'!$D$1:$K$1,0)),"")</f>
        <v>6101309000</v>
      </c>
      <c r="H1827" s="8">
        <f>_xlfn.IFNA(INDEX('HS Codes'!$D$2:$K4381,MATCH($B1827,'HS Codes'!$A$2:$A4381,0),MATCH(H$1,'HS Codes'!$D$1:$K$1,0)),"")</f>
        <v>6112399000</v>
      </c>
      <c r="I1827" s="8" t="str">
        <f>_xlfn.IFNA(INDEX('HS Codes'!$D$2:$K4381,MATCH($B1827,'HS Codes'!$A$2:$A4381,0),MATCH(I$1,'HS Codes'!$D$1:$K$1,0)),"")</f>
        <v>6211 4390 00</v>
      </c>
      <c r="J1827" s="8">
        <f>_xlfn.IFNA(INDEX('HS Codes'!$D$2:$K4381,MATCH($B1827,'HS Codes'!$A$2:$A4381,0),MATCH(J$1,'HS Codes'!$D$1:$K$1,0)),"")</f>
        <v>6117109000</v>
      </c>
      <c r="K1827" s="8" t="str">
        <f>_xlfn.IFNA(INDEX('HS Codes'!$D$2:$K4381,MATCH($B1827,'HS Codes'!$A$2:$A4381,0),MATCH(K$1,'HS Codes'!$D$1:$K$1,0)),"")</f>
        <v>6112.39.00</v>
      </c>
      <c r="L1827" s="8">
        <f>_xlfn.IFNA(INDEX('HS Codes'!$D$2:$K4381,MATCH($B1827,'HS Codes'!$A$2:$A4381,0),MATCH(L$1,'HS Codes'!$D$1:$K$1,0)),"")</f>
        <v>6202</v>
      </c>
      <c r="M1827" s="8" t="str">
        <f>_xlfn.IFNA(INDEX('HS Codes'!$C$2:$C4381,MATCH($B1827,'HS Codes'!$A$2:$A4381,0)),"")</f>
        <v>Beach Robe or Cloak 100% recycled 220 GSM/83% polyester/17% polyamide includes cotton on the packing pouch drawstring</v>
      </c>
      <c r="N1827" s="9"/>
      <c r="O1827" s="9"/>
      <c r="P1827" s="9"/>
      <c r="Q1827" s="9"/>
    </row>
    <row r="1828" spans="1:17" ht="15.75" customHeight="1">
      <c r="A1828" s="7" t="s">
        <v>2121</v>
      </c>
      <c r="B1828" s="7" t="s">
        <v>142</v>
      </c>
      <c r="C1828" s="7" t="s">
        <v>278</v>
      </c>
      <c r="D1828" s="7" t="s">
        <v>143</v>
      </c>
      <c r="E1828" s="7" t="s">
        <v>143</v>
      </c>
      <c r="F1828" s="8" t="str">
        <f>_xlfn.IFNA(INDEX('HS Codes'!$D$2:$K4382,MATCH($B1828,'HS Codes'!$A$2:$A4382,0),MATCH(F$1,'HS Codes'!$D$1:$K$1,0)),"")</f>
        <v>6101.90.90.30</v>
      </c>
      <c r="G1828" s="8">
        <f>_xlfn.IFNA(INDEX('HS Codes'!$D$2:$K4382,MATCH($B1828,'HS Codes'!$A$2:$A4382,0),MATCH(G$1,'HS Codes'!$D$1:$K$1,0)),"")</f>
        <v>6101309000</v>
      </c>
      <c r="H1828" s="8">
        <f>_xlfn.IFNA(INDEX('HS Codes'!$D$2:$K4382,MATCH($B1828,'HS Codes'!$A$2:$A4382,0),MATCH(H$1,'HS Codes'!$D$1:$K$1,0)),"")</f>
        <v>6112399000</v>
      </c>
      <c r="I1828" s="8" t="str">
        <f>_xlfn.IFNA(INDEX('HS Codes'!$D$2:$K4382,MATCH($B1828,'HS Codes'!$A$2:$A4382,0),MATCH(I$1,'HS Codes'!$D$1:$K$1,0)),"")</f>
        <v>6211 4390 00</v>
      </c>
      <c r="J1828" s="8">
        <f>_xlfn.IFNA(INDEX('HS Codes'!$D$2:$K4382,MATCH($B1828,'HS Codes'!$A$2:$A4382,0),MATCH(J$1,'HS Codes'!$D$1:$K$1,0)),"")</f>
        <v>6117109000</v>
      </c>
      <c r="K1828" s="8" t="str">
        <f>_xlfn.IFNA(INDEX('HS Codes'!$D$2:$K4382,MATCH($B1828,'HS Codes'!$A$2:$A4382,0),MATCH(K$1,'HS Codes'!$D$1:$K$1,0)),"")</f>
        <v>6112.39.00</v>
      </c>
      <c r="L1828" s="8">
        <f>_xlfn.IFNA(INDEX('HS Codes'!$D$2:$K4382,MATCH($B1828,'HS Codes'!$A$2:$A4382,0),MATCH(L$1,'HS Codes'!$D$1:$K$1,0)),"")</f>
        <v>6202</v>
      </c>
      <c r="M1828" s="8" t="str">
        <f>_xlfn.IFNA(INDEX('HS Codes'!$C$2:$C4382,MATCH($B1828,'HS Codes'!$A$2:$A4382,0)),"")</f>
        <v>Beach Robe or Cloak 100% recycled 220 GSM/83% polyester/17% polyamide includes cotton on the packing pouch drawstring</v>
      </c>
      <c r="N1828" s="9"/>
      <c r="O1828" s="9"/>
      <c r="P1828" s="9"/>
      <c r="Q1828" s="9"/>
    </row>
    <row r="1829" spans="1:17" ht="15.75" customHeight="1">
      <c r="A1829" s="7" t="s">
        <v>2122</v>
      </c>
      <c r="B1829" s="7" t="s">
        <v>142</v>
      </c>
      <c r="C1829" s="7" t="s">
        <v>278</v>
      </c>
      <c r="D1829" s="7" t="s">
        <v>143</v>
      </c>
      <c r="E1829" s="7" t="s">
        <v>143</v>
      </c>
      <c r="F1829" s="8" t="str">
        <f>_xlfn.IFNA(INDEX('HS Codes'!$D$2:$K4383,MATCH($B1829,'HS Codes'!$A$2:$A4383,0),MATCH(F$1,'HS Codes'!$D$1:$K$1,0)),"")</f>
        <v>6101.90.90.30</v>
      </c>
      <c r="G1829" s="8">
        <f>_xlfn.IFNA(INDEX('HS Codes'!$D$2:$K4383,MATCH($B1829,'HS Codes'!$A$2:$A4383,0),MATCH(G$1,'HS Codes'!$D$1:$K$1,0)),"")</f>
        <v>6101309000</v>
      </c>
      <c r="H1829" s="8">
        <f>_xlfn.IFNA(INDEX('HS Codes'!$D$2:$K4383,MATCH($B1829,'HS Codes'!$A$2:$A4383,0),MATCH(H$1,'HS Codes'!$D$1:$K$1,0)),"")</f>
        <v>6112399000</v>
      </c>
      <c r="I1829" s="8" t="str">
        <f>_xlfn.IFNA(INDEX('HS Codes'!$D$2:$K4383,MATCH($B1829,'HS Codes'!$A$2:$A4383,0),MATCH(I$1,'HS Codes'!$D$1:$K$1,0)),"")</f>
        <v>6211 4390 00</v>
      </c>
      <c r="J1829" s="8">
        <f>_xlfn.IFNA(INDEX('HS Codes'!$D$2:$K4383,MATCH($B1829,'HS Codes'!$A$2:$A4383,0),MATCH(J$1,'HS Codes'!$D$1:$K$1,0)),"")</f>
        <v>6117109000</v>
      </c>
      <c r="K1829" s="8" t="str">
        <f>_xlfn.IFNA(INDEX('HS Codes'!$D$2:$K4383,MATCH($B1829,'HS Codes'!$A$2:$A4383,0),MATCH(K$1,'HS Codes'!$D$1:$K$1,0)),"")</f>
        <v>6112.39.00</v>
      </c>
      <c r="L1829" s="8">
        <f>_xlfn.IFNA(INDEX('HS Codes'!$D$2:$K4383,MATCH($B1829,'HS Codes'!$A$2:$A4383,0),MATCH(L$1,'HS Codes'!$D$1:$K$1,0)),"")</f>
        <v>6202</v>
      </c>
      <c r="M1829" s="8" t="str">
        <f>_xlfn.IFNA(INDEX('HS Codes'!$C$2:$C4383,MATCH($B1829,'HS Codes'!$A$2:$A4383,0)),"")</f>
        <v>Beach Robe or Cloak 100% recycled 220 GSM/83% polyester/17% polyamide includes cotton on the packing pouch drawstring</v>
      </c>
      <c r="N1829" s="9"/>
      <c r="O1829" s="9"/>
      <c r="P1829" s="9"/>
      <c r="Q1829" s="9"/>
    </row>
    <row r="1830" spans="1:17" ht="15.75" customHeight="1">
      <c r="A1830" s="7" t="s">
        <v>2123</v>
      </c>
      <c r="B1830" s="7" t="s">
        <v>142</v>
      </c>
      <c r="C1830" s="7" t="s">
        <v>278</v>
      </c>
      <c r="D1830" s="7" t="s">
        <v>143</v>
      </c>
      <c r="E1830" s="7" t="s">
        <v>143</v>
      </c>
      <c r="F1830" s="8" t="str">
        <f>_xlfn.IFNA(INDEX('HS Codes'!$D$2:$K4384,MATCH($B1830,'HS Codes'!$A$2:$A4384,0),MATCH(F$1,'HS Codes'!$D$1:$K$1,0)),"")</f>
        <v>6101.90.90.30</v>
      </c>
      <c r="G1830" s="8">
        <f>_xlfn.IFNA(INDEX('HS Codes'!$D$2:$K4384,MATCH($B1830,'HS Codes'!$A$2:$A4384,0),MATCH(G$1,'HS Codes'!$D$1:$K$1,0)),"")</f>
        <v>6101309000</v>
      </c>
      <c r="H1830" s="8">
        <f>_xlfn.IFNA(INDEX('HS Codes'!$D$2:$K4384,MATCH($B1830,'HS Codes'!$A$2:$A4384,0),MATCH(H$1,'HS Codes'!$D$1:$K$1,0)),"")</f>
        <v>6112399000</v>
      </c>
      <c r="I1830" s="8" t="str">
        <f>_xlfn.IFNA(INDEX('HS Codes'!$D$2:$K4384,MATCH($B1830,'HS Codes'!$A$2:$A4384,0),MATCH(I$1,'HS Codes'!$D$1:$K$1,0)),"")</f>
        <v>6211 4390 00</v>
      </c>
      <c r="J1830" s="8">
        <f>_xlfn.IFNA(INDEX('HS Codes'!$D$2:$K4384,MATCH($B1830,'HS Codes'!$A$2:$A4384,0),MATCH(J$1,'HS Codes'!$D$1:$K$1,0)),"")</f>
        <v>6117109000</v>
      </c>
      <c r="K1830" s="8" t="str">
        <f>_xlfn.IFNA(INDEX('HS Codes'!$D$2:$K4384,MATCH($B1830,'HS Codes'!$A$2:$A4384,0),MATCH(K$1,'HS Codes'!$D$1:$K$1,0)),"")</f>
        <v>6112.39.00</v>
      </c>
      <c r="L1830" s="8">
        <f>_xlfn.IFNA(INDEX('HS Codes'!$D$2:$K4384,MATCH($B1830,'HS Codes'!$A$2:$A4384,0),MATCH(L$1,'HS Codes'!$D$1:$K$1,0)),"")</f>
        <v>6202</v>
      </c>
      <c r="M1830" s="8" t="str">
        <f>_xlfn.IFNA(INDEX('HS Codes'!$C$2:$C4384,MATCH($B1830,'HS Codes'!$A$2:$A4384,0)),"")</f>
        <v>Beach Robe or Cloak 100% recycled 220 GSM/83% polyester/17% polyamide includes cotton on the packing pouch drawstring</v>
      </c>
      <c r="N1830" s="9"/>
      <c r="O1830" s="9"/>
      <c r="P1830" s="9"/>
      <c r="Q1830" s="9"/>
    </row>
    <row r="1831" spans="1:17" ht="15.75" customHeight="1">
      <c r="A1831" s="7" t="s">
        <v>2124</v>
      </c>
      <c r="B1831" s="7" t="s">
        <v>142</v>
      </c>
      <c r="C1831" s="7" t="s">
        <v>278</v>
      </c>
      <c r="D1831" s="7" t="s">
        <v>143</v>
      </c>
      <c r="E1831" s="7" t="s">
        <v>143</v>
      </c>
      <c r="F1831" s="8" t="str">
        <f>_xlfn.IFNA(INDEX('HS Codes'!$D$2:$K4385,MATCH($B1831,'HS Codes'!$A$2:$A4385,0),MATCH(F$1,'HS Codes'!$D$1:$K$1,0)),"")</f>
        <v>6101.90.90.30</v>
      </c>
      <c r="G1831" s="8">
        <f>_xlfn.IFNA(INDEX('HS Codes'!$D$2:$K4385,MATCH($B1831,'HS Codes'!$A$2:$A4385,0),MATCH(G$1,'HS Codes'!$D$1:$K$1,0)),"")</f>
        <v>6101309000</v>
      </c>
      <c r="H1831" s="8">
        <f>_xlfn.IFNA(INDEX('HS Codes'!$D$2:$K4385,MATCH($B1831,'HS Codes'!$A$2:$A4385,0),MATCH(H$1,'HS Codes'!$D$1:$K$1,0)),"")</f>
        <v>6112399000</v>
      </c>
      <c r="I1831" s="8" t="str">
        <f>_xlfn.IFNA(INDEX('HS Codes'!$D$2:$K4385,MATCH($B1831,'HS Codes'!$A$2:$A4385,0),MATCH(I$1,'HS Codes'!$D$1:$K$1,0)),"")</f>
        <v>6211 4390 00</v>
      </c>
      <c r="J1831" s="8">
        <f>_xlfn.IFNA(INDEX('HS Codes'!$D$2:$K4385,MATCH($B1831,'HS Codes'!$A$2:$A4385,0),MATCH(J$1,'HS Codes'!$D$1:$K$1,0)),"")</f>
        <v>6117109000</v>
      </c>
      <c r="K1831" s="8" t="str">
        <f>_xlfn.IFNA(INDEX('HS Codes'!$D$2:$K4385,MATCH($B1831,'HS Codes'!$A$2:$A4385,0),MATCH(K$1,'HS Codes'!$D$1:$K$1,0)),"")</f>
        <v>6112.39.00</v>
      </c>
      <c r="L1831" s="8">
        <f>_xlfn.IFNA(INDEX('HS Codes'!$D$2:$K4385,MATCH($B1831,'HS Codes'!$A$2:$A4385,0),MATCH(L$1,'HS Codes'!$D$1:$K$1,0)),"")</f>
        <v>6202</v>
      </c>
      <c r="M1831" s="8" t="str">
        <f>_xlfn.IFNA(INDEX('HS Codes'!$C$2:$C4385,MATCH($B1831,'HS Codes'!$A$2:$A4385,0)),"")</f>
        <v>Beach Robe or Cloak 100% recycled 220 GSM/83% polyester/17% polyamide includes cotton on the packing pouch drawstring</v>
      </c>
      <c r="N1831" s="9"/>
      <c r="O1831" s="9"/>
      <c r="P1831" s="9"/>
      <c r="Q1831" s="9"/>
    </row>
    <row r="1832" spans="1:17" ht="15.75" customHeight="1">
      <c r="A1832" s="7" t="s">
        <v>2125</v>
      </c>
      <c r="B1832" s="7" t="s">
        <v>142</v>
      </c>
      <c r="C1832" s="7" t="s">
        <v>278</v>
      </c>
      <c r="D1832" s="7" t="s">
        <v>143</v>
      </c>
      <c r="E1832" s="7" t="s">
        <v>143</v>
      </c>
      <c r="F1832" s="8" t="str">
        <f>_xlfn.IFNA(INDEX('HS Codes'!$D$2:$K4386,MATCH($B1832,'HS Codes'!$A$2:$A4386,0),MATCH(F$1,'HS Codes'!$D$1:$K$1,0)),"")</f>
        <v>6101.90.90.30</v>
      </c>
      <c r="G1832" s="8">
        <f>_xlfn.IFNA(INDEX('HS Codes'!$D$2:$K4386,MATCH($B1832,'HS Codes'!$A$2:$A4386,0),MATCH(G$1,'HS Codes'!$D$1:$K$1,0)),"")</f>
        <v>6101309000</v>
      </c>
      <c r="H1832" s="8">
        <f>_xlfn.IFNA(INDEX('HS Codes'!$D$2:$K4386,MATCH($B1832,'HS Codes'!$A$2:$A4386,0),MATCH(H$1,'HS Codes'!$D$1:$K$1,0)),"")</f>
        <v>6112399000</v>
      </c>
      <c r="I1832" s="8" t="str">
        <f>_xlfn.IFNA(INDEX('HS Codes'!$D$2:$K4386,MATCH($B1832,'HS Codes'!$A$2:$A4386,0),MATCH(I$1,'HS Codes'!$D$1:$K$1,0)),"")</f>
        <v>6211 4390 00</v>
      </c>
      <c r="J1832" s="8">
        <f>_xlfn.IFNA(INDEX('HS Codes'!$D$2:$K4386,MATCH($B1832,'HS Codes'!$A$2:$A4386,0),MATCH(J$1,'HS Codes'!$D$1:$K$1,0)),"")</f>
        <v>6117109000</v>
      </c>
      <c r="K1832" s="8" t="str">
        <f>_xlfn.IFNA(INDEX('HS Codes'!$D$2:$K4386,MATCH($B1832,'HS Codes'!$A$2:$A4386,0),MATCH(K$1,'HS Codes'!$D$1:$K$1,0)),"")</f>
        <v>6112.39.00</v>
      </c>
      <c r="L1832" s="8">
        <f>_xlfn.IFNA(INDEX('HS Codes'!$D$2:$K4386,MATCH($B1832,'HS Codes'!$A$2:$A4386,0),MATCH(L$1,'HS Codes'!$D$1:$K$1,0)),"")</f>
        <v>6202</v>
      </c>
      <c r="M1832" s="8" t="str">
        <f>_xlfn.IFNA(INDEX('HS Codes'!$C$2:$C4386,MATCH($B1832,'HS Codes'!$A$2:$A4386,0)),"")</f>
        <v>Beach Robe or Cloak 100% recycled 220 GSM/83% polyester/17% polyamide includes cotton on the packing pouch drawstring</v>
      </c>
      <c r="N1832" s="9"/>
      <c r="O1832" s="9"/>
      <c r="P1832" s="9"/>
      <c r="Q1832" s="9"/>
    </row>
    <row r="1833" spans="1:17" ht="15.75" customHeight="1">
      <c r="A1833" s="7" t="s">
        <v>2126</v>
      </c>
      <c r="B1833" s="7" t="s">
        <v>142</v>
      </c>
      <c r="C1833" s="7" t="s">
        <v>278</v>
      </c>
      <c r="D1833" s="7" t="s">
        <v>143</v>
      </c>
      <c r="E1833" s="7" t="s">
        <v>143</v>
      </c>
      <c r="F1833" s="8" t="str">
        <f>_xlfn.IFNA(INDEX('HS Codes'!$D$2:$K4387,MATCH($B1833,'HS Codes'!$A$2:$A4387,0),MATCH(F$1,'HS Codes'!$D$1:$K$1,0)),"")</f>
        <v>6101.90.90.30</v>
      </c>
      <c r="G1833" s="8">
        <f>_xlfn.IFNA(INDEX('HS Codes'!$D$2:$K4387,MATCH($B1833,'HS Codes'!$A$2:$A4387,0),MATCH(G$1,'HS Codes'!$D$1:$K$1,0)),"")</f>
        <v>6101309000</v>
      </c>
      <c r="H1833" s="8">
        <f>_xlfn.IFNA(INDEX('HS Codes'!$D$2:$K4387,MATCH($B1833,'HS Codes'!$A$2:$A4387,0),MATCH(H$1,'HS Codes'!$D$1:$K$1,0)),"")</f>
        <v>6112399000</v>
      </c>
      <c r="I1833" s="8" t="str">
        <f>_xlfn.IFNA(INDEX('HS Codes'!$D$2:$K4387,MATCH($B1833,'HS Codes'!$A$2:$A4387,0),MATCH(I$1,'HS Codes'!$D$1:$K$1,0)),"")</f>
        <v>6211 4390 00</v>
      </c>
      <c r="J1833" s="8">
        <f>_xlfn.IFNA(INDEX('HS Codes'!$D$2:$K4387,MATCH($B1833,'HS Codes'!$A$2:$A4387,0),MATCH(J$1,'HS Codes'!$D$1:$K$1,0)),"")</f>
        <v>6117109000</v>
      </c>
      <c r="K1833" s="8" t="str">
        <f>_xlfn.IFNA(INDEX('HS Codes'!$D$2:$K4387,MATCH($B1833,'HS Codes'!$A$2:$A4387,0),MATCH(K$1,'HS Codes'!$D$1:$K$1,0)),"")</f>
        <v>6112.39.00</v>
      </c>
      <c r="L1833" s="8">
        <f>_xlfn.IFNA(INDEX('HS Codes'!$D$2:$K4387,MATCH($B1833,'HS Codes'!$A$2:$A4387,0),MATCH(L$1,'HS Codes'!$D$1:$K$1,0)),"")</f>
        <v>6202</v>
      </c>
      <c r="M1833" s="8" t="str">
        <f>_xlfn.IFNA(INDEX('HS Codes'!$C$2:$C4387,MATCH($B1833,'HS Codes'!$A$2:$A4387,0)),"")</f>
        <v>Beach Robe or Cloak 100% recycled 220 GSM/83% polyester/17% polyamide includes cotton on the packing pouch drawstring</v>
      </c>
      <c r="N1833" s="9"/>
      <c r="O1833" s="9"/>
      <c r="P1833" s="9"/>
      <c r="Q1833" s="9"/>
    </row>
    <row r="1834" spans="1:17" ht="15.75" customHeight="1">
      <c r="A1834" s="7" t="s">
        <v>2127</v>
      </c>
      <c r="B1834" s="7" t="s">
        <v>142</v>
      </c>
      <c r="C1834" s="7" t="s">
        <v>278</v>
      </c>
      <c r="D1834" s="7" t="s">
        <v>143</v>
      </c>
      <c r="E1834" s="7" t="s">
        <v>143</v>
      </c>
      <c r="F1834" s="8" t="str">
        <f>_xlfn.IFNA(INDEX('HS Codes'!$D$2:$K4388,MATCH($B1834,'HS Codes'!$A$2:$A4388,0),MATCH(F$1,'HS Codes'!$D$1:$K$1,0)),"")</f>
        <v>6101.90.90.30</v>
      </c>
      <c r="G1834" s="8">
        <f>_xlfn.IFNA(INDEX('HS Codes'!$D$2:$K4388,MATCH($B1834,'HS Codes'!$A$2:$A4388,0),MATCH(G$1,'HS Codes'!$D$1:$K$1,0)),"")</f>
        <v>6101309000</v>
      </c>
      <c r="H1834" s="8">
        <f>_xlfn.IFNA(INDEX('HS Codes'!$D$2:$K4388,MATCH($B1834,'HS Codes'!$A$2:$A4388,0),MATCH(H$1,'HS Codes'!$D$1:$K$1,0)),"")</f>
        <v>6112399000</v>
      </c>
      <c r="I1834" s="8" t="str">
        <f>_xlfn.IFNA(INDEX('HS Codes'!$D$2:$K4388,MATCH($B1834,'HS Codes'!$A$2:$A4388,0),MATCH(I$1,'HS Codes'!$D$1:$K$1,0)),"")</f>
        <v>6211 4390 00</v>
      </c>
      <c r="J1834" s="8">
        <f>_xlfn.IFNA(INDEX('HS Codes'!$D$2:$K4388,MATCH($B1834,'HS Codes'!$A$2:$A4388,0),MATCH(J$1,'HS Codes'!$D$1:$K$1,0)),"")</f>
        <v>6117109000</v>
      </c>
      <c r="K1834" s="8" t="str">
        <f>_xlfn.IFNA(INDEX('HS Codes'!$D$2:$K4388,MATCH($B1834,'HS Codes'!$A$2:$A4388,0),MATCH(K$1,'HS Codes'!$D$1:$K$1,0)),"")</f>
        <v>6112.39.00</v>
      </c>
      <c r="L1834" s="8">
        <f>_xlfn.IFNA(INDEX('HS Codes'!$D$2:$K4388,MATCH($B1834,'HS Codes'!$A$2:$A4388,0),MATCH(L$1,'HS Codes'!$D$1:$K$1,0)),"")</f>
        <v>6202</v>
      </c>
      <c r="M1834" s="8" t="str">
        <f>_xlfn.IFNA(INDEX('HS Codes'!$C$2:$C4388,MATCH($B1834,'HS Codes'!$A$2:$A4388,0)),"")</f>
        <v>Beach Robe or Cloak 100% recycled 220 GSM/83% polyester/17% polyamide includes cotton on the packing pouch drawstring</v>
      </c>
      <c r="N1834" s="9"/>
      <c r="O1834" s="9"/>
      <c r="P1834" s="9"/>
      <c r="Q1834" s="9"/>
    </row>
    <row r="1835" spans="1:17" ht="15.75" customHeight="1">
      <c r="A1835" s="7" t="s">
        <v>2128</v>
      </c>
      <c r="B1835" s="7" t="s">
        <v>142</v>
      </c>
      <c r="C1835" s="7" t="s">
        <v>278</v>
      </c>
      <c r="D1835" s="7" t="s">
        <v>143</v>
      </c>
      <c r="E1835" s="7" t="s">
        <v>143</v>
      </c>
      <c r="F1835" s="8" t="str">
        <f>_xlfn.IFNA(INDEX('HS Codes'!$D$2:$K4389,MATCH($B1835,'HS Codes'!$A$2:$A4389,0),MATCH(F$1,'HS Codes'!$D$1:$K$1,0)),"")</f>
        <v>6101.90.90.30</v>
      </c>
      <c r="G1835" s="8">
        <f>_xlfn.IFNA(INDEX('HS Codes'!$D$2:$K4389,MATCH($B1835,'HS Codes'!$A$2:$A4389,0),MATCH(G$1,'HS Codes'!$D$1:$K$1,0)),"")</f>
        <v>6101309000</v>
      </c>
      <c r="H1835" s="8">
        <f>_xlfn.IFNA(INDEX('HS Codes'!$D$2:$K4389,MATCH($B1835,'HS Codes'!$A$2:$A4389,0),MATCH(H$1,'HS Codes'!$D$1:$K$1,0)),"")</f>
        <v>6112399000</v>
      </c>
      <c r="I1835" s="8" t="str">
        <f>_xlfn.IFNA(INDEX('HS Codes'!$D$2:$K4389,MATCH($B1835,'HS Codes'!$A$2:$A4389,0),MATCH(I$1,'HS Codes'!$D$1:$K$1,0)),"")</f>
        <v>6211 4390 00</v>
      </c>
      <c r="J1835" s="8">
        <f>_xlfn.IFNA(INDEX('HS Codes'!$D$2:$K4389,MATCH($B1835,'HS Codes'!$A$2:$A4389,0),MATCH(J$1,'HS Codes'!$D$1:$K$1,0)),"")</f>
        <v>6117109000</v>
      </c>
      <c r="K1835" s="8" t="str">
        <f>_xlfn.IFNA(INDEX('HS Codes'!$D$2:$K4389,MATCH($B1835,'HS Codes'!$A$2:$A4389,0),MATCH(K$1,'HS Codes'!$D$1:$K$1,0)),"")</f>
        <v>6112.39.00</v>
      </c>
      <c r="L1835" s="8">
        <f>_xlfn.IFNA(INDEX('HS Codes'!$D$2:$K4389,MATCH($B1835,'HS Codes'!$A$2:$A4389,0),MATCH(L$1,'HS Codes'!$D$1:$K$1,0)),"")</f>
        <v>6202</v>
      </c>
      <c r="M1835" s="8" t="str">
        <f>_xlfn.IFNA(INDEX('HS Codes'!$C$2:$C4389,MATCH($B1835,'HS Codes'!$A$2:$A4389,0)),"")</f>
        <v>Beach Robe or Cloak 100% recycled 220 GSM/83% polyester/17% polyamide includes cotton on the packing pouch drawstring</v>
      </c>
      <c r="N1835" s="9"/>
      <c r="O1835" s="9"/>
      <c r="P1835" s="9"/>
      <c r="Q1835" s="9"/>
    </row>
    <row r="1836" spans="1:17" ht="15.75" customHeight="1">
      <c r="A1836" s="7" t="s">
        <v>2129</v>
      </c>
      <c r="B1836" s="7" t="s">
        <v>142</v>
      </c>
      <c r="C1836" s="7" t="s">
        <v>278</v>
      </c>
      <c r="D1836" s="7" t="s">
        <v>143</v>
      </c>
      <c r="E1836" s="7" t="s">
        <v>143</v>
      </c>
      <c r="F1836" s="8" t="str">
        <f>_xlfn.IFNA(INDEX('HS Codes'!$D$2:$K4390,MATCH($B1836,'HS Codes'!$A$2:$A4390,0),MATCH(F$1,'HS Codes'!$D$1:$K$1,0)),"")</f>
        <v>6101.90.90.30</v>
      </c>
      <c r="G1836" s="8">
        <f>_xlfn.IFNA(INDEX('HS Codes'!$D$2:$K4390,MATCH($B1836,'HS Codes'!$A$2:$A4390,0),MATCH(G$1,'HS Codes'!$D$1:$K$1,0)),"")</f>
        <v>6101309000</v>
      </c>
      <c r="H1836" s="8">
        <f>_xlfn.IFNA(INDEX('HS Codes'!$D$2:$K4390,MATCH($B1836,'HS Codes'!$A$2:$A4390,0),MATCH(H$1,'HS Codes'!$D$1:$K$1,0)),"")</f>
        <v>6112399000</v>
      </c>
      <c r="I1836" s="8" t="str">
        <f>_xlfn.IFNA(INDEX('HS Codes'!$D$2:$K4390,MATCH($B1836,'HS Codes'!$A$2:$A4390,0),MATCH(I$1,'HS Codes'!$D$1:$K$1,0)),"")</f>
        <v>6211 4390 00</v>
      </c>
      <c r="J1836" s="8">
        <f>_xlfn.IFNA(INDEX('HS Codes'!$D$2:$K4390,MATCH($B1836,'HS Codes'!$A$2:$A4390,0),MATCH(J$1,'HS Codes'!$D$1:$K$1,0)),"")</f>
        <v>6117109000</v>
      </c>
      <c r="K1836" s="8" t="str">
        <f>_xlfn.IFNA(INDEX('HS Codes'!$D$2:$K4390,MATCH($B1836,'HS Codes'!$A$2:$A4390,0),MATCH(K$1,'HS Codes'!$D$1:$K$1,0)),"")</f>
        <v>6112.39.00</v>
      </c>
      <c r="L1836" s="8">
        <f>_xlfn.IFNA(INDEX('HS Codes'!$D$2:$K4390,MATCH($B1836,'HS Codes'!$A$2:$A4390,0),MATCH(L$1,'HS Codes'!$D$1:$K$1,0)),"")</f>
        <v>6202</v>
      </c>
      <c r="M1836" s="8" t="str">
        <f>_xlfn.IFNA(INDEX('HS Codes'!$C$2:$C4390,MATCH($B1836,'HS Codes'!$A$2:$A4390,0)),"")</f>
        <v>Beach Robe or Cloak 100% recycled 220 GSM/83% polyester/17% polyamide includes cotton on the packing pouch drawstring</v>
      </c>
      <c r="N1836" s="9"/>
      <c r="O1836" s="9"/>
      <c r="P1836" s="9"/>
      <c r="Q1836" s="9"/>
    </row>
    <row r="1837" spans="1:17" ht="15.75" customHeight="1">
      <c r="A1837" s="7" t="s">
        <v>2130</v>
      </c>
      <c r="B1837" s="7" t="s">
        <v>142</v>
      </c>
      <c r="C1837" s="7" t="s">
        <v>278</v>
      </c>
      <c r="D1837" s="7" t="s">
        <v>143</v>
      </c>
      <c r="E1837" s="7" t="s">
        <v>143</v>
      </c>
      <c r="F1837" s="8" t="str">
        <f>_xlfn.IFNA(INDEX('HS Codes'!$D$2:$K4391,MATCH($B1837,'HS Codes'!$A$2:$A4391,0),MATCH(F$1,'HS Codes'!$D$1:$K$1,0)),"")</f>
        <v>6101.90.90.30</v>
      </c>
      <c r="G1837" s="8">
        <f>_xlfn.IFNA(INDEX('HS Codes'!$D$2:$K4391,MATCH($B1837,'HS Codes'!$A$2:$A4391,0),MATCH(G$1,'HS Codes'!$D$1:$K$1,0)),"")</f>
        <v>6101309000</v>
      </c>
      <c r="H1837" s="8">
        <f>_xlfn.IFNA(INDEX('HS Codes'!$D$2:$K4391,MATCH($B1837,'HS Codes'!$A$2:$A4391,0),MATCH(H$1,'HS Codes'!$D$1:$K$1,0)),"")</f>
        <v>6112399000</v>
      </c>
      <c r="I1837" s="8" t="str">
        <f>_xlfn.IFNA(INDEX('HS Codes'!$D$2:$K4391,MATCH($B1837,'HS Codes'!$A$2:$A4391,0),MATCH(I$1,'HS Codes'!$D$1:$K$1,0)),"")</f>
        <v>6211 4390 00</v>
      </c>
      <c r="J1837" s="8">
        <f>_xlfn.IFNA(INDEX('HS Codes'!$D$2:$K4391,MATCH($B1837,'HS Codes'!$A$2:$A4391,0),MATCH(J$1,'HS Codes'!$D$1:$K$1,0)),"")</f>
        <v>6117109000</v>
      </c>
      <c r="K1837" s="8" t="str">
        <f>_xlfn.IFNA(INDEX('HS Codes'!$D$2:$K4391,MATCH($B1837,'HS Codes'!$A$2:$A4391,0),MATCH(K$1,'HS Codes'!$D$1:$K$1,0)),"")</f>
        <v>6112.39.00</v>
      </c>
      <c r="L1837" s="8">
        <f>_xlfn.IFNA(INDEX('HS Codes'!$D$2:$K4391,MATCH($B1837,'HS Codes'!$A$2:$A4391,0),MATCH(L$1,'HS Codes'!$D$1:$K$1,0)),"")</f>
        <v>6202</v>
      </c>
      <c r="M1837" s="8" t="str">
        <f>_xlfn.IFNA(INDEX('HS Codes'!$C$2:$C4391,MATCH($B1837,'HS Codes'!$A$2:$A4391,0)),"")</f>
        <v>Beach Robe or Cloak 100% recycled 220 GSM/83% polyester/17% polyamide includes cotton on the packing pouch drawstring</v>
      </c>
      <c r="N1837" s="9"/>
      <c r="O1837" s="9"/>
      <c r="P1837" s="9"/>
      <c r="Q1837" s="9"/>
    </row>
    <row r="1838" spans="1:17" ht="15.75" customHeight="1">
      <c r="A1838" s="7" t="s">
        <v>2131</v>
      </c>
      <c r="B1838" s="7" t="s">
        <v>142</v>
      </c>
      <c r="C1838" s="7" t="s">
        <v>278</v>
      </c>
      <c r="D1838" s="7" t="s">
        <v>143</v>
      </c>
      <c r="E1838" s="7" t="s">
        <v>143</v>
      </c>
      <c r="F1838" s="8" t="str">
        <f>_xlfn.IFNA(INDEX('HS Codes'!$D$2:$K4392,MATCH($B1838,'HS Codes'!$A$2:$A4392,0),MATCH(F$1,'HS Codes'!$D$1:$K$1,0)),"")</f>
        <v>6101.90.90.30</v>
      </c>
      <c r="G1838" s="8">
        <f>_xlfn.IFNA(INDEX('HS Codes'!$D$2:$K4392,MATCH($B1838,'HS Codes'!$A$2:$A4392,0),MATCH(G$1,'HS Codes'!$D$1:$K$1,0)),"")</f>
        <v>6101309000</v>
      </c>
      <c r="H1838" s="8">
        <f>_xlfn.IFNA(INDEX('HS Codes'!$D$2:$K4392,MATCH($B1838,'HS Codes'!$A$2:$A4392,0),MATCH(H$1,'HS Codes'!$D$1:$K$1,0)),"")</f>
        <v>6112399000</v>
      </c>
      <c r="I1838" s="8" t="str">
        <f>_xlfn.IFNA(INDEX('HS Codes'!$D$2:$K4392,MATCH($B1838,'HS Codes'!$A$2:$A4392,0),MATCH(I$1,'HS Codes'!$D$1:$K$1,0)),"")</f>
        <v>6211 4390 00</v>
      </c>
      <c r="J1838" s="8">
        <f>_xlfn.IFNA(INDEX('HS Codes'!$D$2:$K4392,MATCH($B1838,'HS Codes'!$A$2:$A4392,0),MATCH(J$1,'HS Codes'!$D$1:$K$1,0)),"")</f>
        <v>6117109000</v>
      </c>
      <c r="K1838" s="8" t="str">
        <f>_xlfn.IFNA(INDEX('HS Codes'!$D$2:$K4392,MATCH($B1838,'HS Codes'!$A$2:$A4392,0),MATCH(K$1,'HS Codes'!$D$1:$K$1,0)),"")</f>
        <v>6112.39.00</v>
      </c>
      <c r="L1838" s="8">
        <f>_xlfn.IFNA(INDEX('HS Codes'!$D$2:$K4392,MATCH($B1838,'HS Codes'!$A$2:$A4392,0),MATCH(L$1,'HS Codes'!$D$1:$K$1,0)),"")</f>
        <v>6202</v>
      </c>
      <c r="M1838" s="8" t="str">
        <f>_xlfn.IFNA(INDEX('HS Codes'!$C$2:$C4392,MATCH($B1838,'HS Codes'!$A$2:$A4392,0)),"")</f>
        <v>Beach Robe or Cloak 100% recycled 220 GSM/83% polyester/17% polyamide includes cotton on the packing pouch drawstring</v>
      </c>
      <c r="N1838" s="9"/>
      <c r="O1838" s="9"/>
      <c r="P1838" s="9"/>
      <c r="Q1838" s="9"/>
    </row>
    <row r="1839" spans="1:17" ht="15.75" customHeight="1">
      <c r="A1839" s="7" t="s">
        <v>2132</v>
      </c>
      <c r="B1839" s="7" t="s">
        <v>142</v>
      </c>
      <c r="C1839" s="7" t="s">
        <v>278</v>
      </c>
      <c r="D1839" s="7" t="s">
        <v>143</v>
      </c>
      <c r="E1839" s="7" t="s">
        <v>143</v>
      </c>
      <c r="F1839" s="8" t="str">
        <f>_xlfn.IFNA(INDEX('HS Codes'!$D$2:$K4393,MATCH($B1839,'HS Codes'!$A$2:$A4393,0),MATCH(F$1,'HS Codes'!$D$1:$K$1,0)),"")</f>
        <v>6101.90.90.30</v>
      </c>
      <c r="G1839" s="8">
        <f>_xlfn.IFNA(INDEX('HS Codes'!$D$2:$K4393,MATCH($B1839,'HS Codes'!$A$2:$A4393,0),MATCH(G$1,'HS Codes'!$D$1:$K$1,0)),"")</f>
        <v>6101309000</v>
      </c>
      <c r="H1839" s="8">
        <f>_xlfn.IFNA(INDEX('HS Codes'!$D$2:$K4393,MATCH($B1839,'HS Codes'!$A$2:$A4393,0),MATCH(H$1,'HS Codes'!$D$1:$K$1,0)),"")</f>
        <v>6112399000</v>
      </c>
      <c r="I1839" s="8" t="str">
        <f>_xlfn.IFNA(INDEX('HS Codes'!$D$2:$K4393,MATCH($B1839,'HS Codes'!$A$2:$A4393,0),MATCH(I$1,'HS Codes'!$D$1:$K$1,0)),"")</f>
        <v>6211 4390 00</v>
      </c>
      <c r="J1839" s="8">
        <f>_xlfn.IFNA(INDEX('HS Codes'!$D$2:$K4393,MATCH($B1839,'HS Codes'!$A$2:$A4393,0),MATCH(J$1,'HS Codes'!$D$1:$K$1,0)),"")</f>
        <v>6117109000</v>
      </c>
      <c r="K1839" s="8" t="str">
        <f>_xlfn.IFNA(INDEX('HS Codes'!$D$2:$K4393,MATCH($B1839,'HS Codes'!$A$2:$A4393,0),MATCH(K$1,'HS Codes'!$D$1:$K$1,0)),"")</f>
        <v>6112.39.00</v>
      </c>
      <c r="L1839" s="8">
        <f>_xlfn.IFNA(INDEX('HS Codes'!$D$2:$K4393,MATCH($B1839,'HS Codes'!$A$2:$A4393,0),MATCH(L$1,'HS Codes'!$D$1:$K$1,0)),"")</f>
        <v>6202</v>
      </c>
      <c r="M1839" s="8" t="str">
        <f>_xlfn.IFNA(INDEX('HS Codes'!$C$2:$C4393,MATCH($B1839,'HS Codes'!$A$2:$A4393,0)),"")</f>
        <v>Beach Robe or Cloak 100% recycled 220 GSM/83% polyester/17% polyamide includes cotton on the packing pouch drawstring</v>
      </c>
      <c r="N1839" s="9"/>
      <c r="O1839" s="9"/>
      <c r="P1839" s="9"/>
      <c r="Q1839" s="9"/>
    </row>
    <row r="1840" spans="1:17" ht="15.75" customHeight="1">
      <c r="A1840" s="7" t="s">
        <v>2133</v>
      </c>
      <c r="B1840" s="7" t="s">
        <v>142</v>
      </c>
      <c r="C1840" s="7" t="s">
        <v>278</v>
      </c>
      <c r="D1840" s="7" t="s">
        <v>143</v>
      </c>
      <c r="E1840" s="7" t="s">
        <v>143</v>
      </c>
      <c r="F1840" s="8" t="str">
        <f>_xlfn.IFNA(INDEX('HS Codes'!$D$2:$K4394,MATCH($B1840,'HS Codes'!$A$2:$A4394,0),MATCH(F$1,'HS Codes'!$D$1:$K$1,0)),"")</f>
        <v>6101.90.90.30</v>
      </c>
      <c r="G1840" s="8">
        <f>_xlfn.IFNA(INDEX('HS Codes'!$D$2:$K4394,MATCH($B1840,'HS Codes'!$A$2:$A4394,0),MATCH(G$1,'HS Codes'!$D$1:$K$1,0)),"")</f>
        <v>6101309000</v>
      </c>
      <c r="H1840" s="8">
        <f>_xlfn.IFNA(INDEX('HS Codes'!$D$2:$K4394,MATCH($B1840,'HS Codes'!$A$2:$A4394,0),MATCH(H$1,'HS Codes'!$D$1:$K$1,0)),"")</f>
        <v>6112399000</v>
      </c>
      <c r="I1840" s="8" t="str">
        <f>_xlfn.IFNA(INDEX('HS Codes'!$D$2:$K4394,MATCH($B1840,'HS Codes'!$A$2:$A4394,0),MATCH(I$1,'HS Codes'!$D$1:$K$1,0)),"")</f>
        <v>6211 4390 00</v>
      </c>
      <c r="J1840" s="8">
        <f>_xlfn.IFNA(INDEX('HS Codes'!$D$2:$K4394,MATCH($B1840,'HS Codes'!$A$2:$A4394,0),MATCH(J$1,'HS Codes'!$D$1:$K$1,0)),"")</f>
        <v>6117109000</v>
      </c>
      <c r="K1840" s="8" t="str">
        <f>_xlfn.IFNA(INDEX('HS Codes'!$D$2:$K4394,MATCH($B1840,'HS Codes'!$A$2:$A4394,0),MATCH(K$1,'HS Codes'!$D$1:$K$1,0)),"")</f>
        <v>6112.39.00</v>
      </c>
      <c r="L1840" s="8">
        <f>_xlfn.IFNA(INDEX('HS Codes'!$D$2:$K4394,MATCH($B1840,'HS Codes'!$A$2:$A4394,0),MATCH(L$1,'HS Codes'!$D$1:$K$1,0)),"")</f>
        <v>6202</v>
      </c>
      <c r="M1840" s="8" t="str">
        <f>_xlfn.IFNA(INDEX('HS Codes'!$C$2:$C4394,MATCH($B1840,'HS Codes'!$A$2:$A4394,0)),"")</f>
        <v>Beach Robe or Cloak 100% recycled 220 GSM/83% polyester/17% polyamide includes cotton on the packing pouch drawstring</v>
      </c>
      <c r="N1840" s="9"/>
      <c r="O1840" s="9"/>
      <c r="P1840" s="9"/>
      <c r="Q1840" s="9"/>
    </row>
    <row r="1841" spans="1:17" ht="15.75" customHeight="1">
      <c r="A1841" s="7" t="s">
        <v>2134</v>
      </c>
      <c r="B1841" s="7" t="s">
        <v>142</v>
      </c>
      <c r="C1841" s="7" t="s">
        <v>278</v>
      </c>
      <c r="D1841" s="7" t="s">
        <v>143</v>
      </c>
      <c r="E1841" s="7" t="s">
        <v>143</v>
      </c>
      <c r="F1841" s="8" t="str">
        <f>_xlfn.IFNA(INDEX('HS Codes'!$D$2:$K4395,MATCH($B1841,'HS Codes'!$A$2:$A4395,0),MATCH(F$1,'HS Codes'!$D$1:$K$1,0)),"")</f>
        <v>6101.90.90.30</v>
      </c>
      <c r="G1841" s="8">
        <f>_xlfn.IFNA(INDEX('HS Codes'!$D$2:$K4395,MATCH($B1841,'HS Codes'!$A$2:$A4395,0),MATCH(G$1,'HS Codes'!$D$1:$K$1,0)),"")</f>
        <v>6101309000</v>
      </c>
      <c r="H1841" s="8">
        <f>_xlfn.IFNA(INDEX('HS Codes'!$D$2:$K4395,MATCH($B1841,'HS Codes'!$A$2:$A4395,0),MATCH(H$1,'HS Codes'!$D$1:$K$1,0)),"")</f>
        <v>6112399000</v>
      </c>
      <c r="I1841" s="8" t="str">
        <f>_xlfn.IFNA(INDEX('HS Codes'!$D$2:$K4395,MATCH($B1841,'HS Codes'!$A$2:$A4395,0),MATCH(I$1,'HS Codes'!$D$1:$K$1,0)),"")</f>
        <v>6211 4390 00</v>
      </c>
      <c r="J1841" s="8">
        <f>_xlfn.IFNA(INDEX('HS Codes'!$D$2:$K4395,MATCH($B1841,'HS Codes'!$A$2:$A4395,0),MATCH(J$1,'HS Codes'!$D$1:$K$1,0)),"")</f>
        <v>6117109000</v>
      </c>
      <c r="K1841" s="8" t="str">
        <f>_xlfn.IFNA(INDEX('HS Codes'!$D$2:$K4395,MATCH($B1841,'HS Codes'!$A$2:$A4395,0),MATCH(K$1,'HS Codes'!$D$1:$K$1,0)),"")</f>
        <v>6112.39.00</v>
      </c>
      <c r="L1841" s="8">
        <f>_xlfn.IFNA(INDEX('HS Codes'!$D$2:$K4395,MATCH($B1841,'HS Codes'!$A$2:$A4395,0),MATCH(L$1,'HS Codes'!$D$1:$K$1,0)),"")</f>
        <v>6202</v>
      </c>
      <c r="M1841" s="8" t="str">
        <f>_xlfn.IFNA(INDEX('HS Codes'!$C$2:$C4395,MATCH($B1841,'HS Codes'!$A$2:$A4395,0)),"")</f>
        <v>Beach Robe or Cloak 100% recycled 220 GSM/83% polyester/17% polyamide includes cotton on the packing pouch drawstring</v>
      </c>
      <c r="N1841" s="9"/>
      <c r="O1841" s="9"/>
      <c r="P1841" s="9"/>
      <c r="Q1841" s="9"/>
    </row>
    <row r="1842" spans="1:17" ht="15.75" customHeight="1">
      <c r="A1842" s="7" t="s">
        <v>2135</v>
      </c>
      <c r="B1842" s="7" t="s">
        <v>142</v>
      </c>
      <c r="C1842" s="7" t="s">
        <v>278</v>
      </c>
      <c r="D1842" s="7" t="s">
        <v>143</v>
      </c>
      <c r="E1842" s="7" t="s">
        <v>143</v>
      </c>
      <c r="F1842" s="8" t="str">
        <f>_xlfn.IFNA(INDEX('HS Codes'!$D$2:$K4396,MATCH($B1842,'HS Codes'!$A$2:$A4396,0),MATCH(F$1,'HS Codes'!$D$1:$K$1,0)),"")</f>
        <v>6101.90.90.30</v>
      </c>
      <c r="G1842" s="8">
        <f>_xlfn.IFNA(INDEX('HS Codes'!$D$2:$K4396,MATCH($B1842,'HS Codes'!$A$2:$A4396,0),MATCH(G$1,'HS Codes'!$D$1:$K$1,0)),"")</f>
        <v>6101309000</v>
      </c>
      <c r="H1842" s="8">
        <f>_xlfn.IFNA(INDEX('HS Codes'!$D$2:$K4396,MATCH($B1842,'HS Codes'!$A$2:$A4396,0),MATCH(H$1,'HS Codes'!$D$1:$K$1,0)),"")</f>
        <v>6112399000</v>
      </c>
      <c r="I1842" s="8" t="str">
        <f>_xlfn.IFNA(INDEX('HS Codes'!$D$2:$K4396,MATCH($B1842,'HS Codes'!$A$2:$A4396,0),MATCH(I$1,'HS Codes'!$D$1:$K$1,0)),"")</f>
        <v>6211 4390 00</v>
      </c>
      <c r="J1842" s="8">
        <f>_xlfn.IFNA(INDEX('HS Codes'!$D$2:$K4396,MATCH($B1842,'HS Codes'!$A$2:$A4396,0),MATCH(J$1,'HS Codes'!$D$1:$K$1,0)),"")</f>
        <v>6117109000</v>
      </c>
      <c r="K1842" s="8" t="str">
        <f>_xlfn.IFNA(INDEX('HS Codes'!$D$2:$K4396,MATCH($B1842,'HS Codes'!$A$2:$A4396,0),MATCH(K$1,'HS Codes'!$D$1:$K$1,0)),"")</f>
        <v>6112.39.00</v>
      </c>
      <c r="L1842" s="8">
        <f>_xlfn.IFNA(INDEX('HS Codes'!$D$2:$K4396,MATCH($B1842,'HS Codes'!$A$2:$A4396,0),MATCH(L$1,'HS Codes'!$D$1:$K$1,0)),"")</f>
        <v>6202</v>
      </c>
      <c r="M1842" s="8" t="str">
        <f>_xlfn.IFNA(INDEX('HS Codes'!$C$2:$C4396,MATCH($B1842,'HS Codes'!$A$2:$A4396,0)),"")</f>
        <v>Beach Robe or Cloak 100% recycled 220 GSM/83% polyester/17% polyamide includes cotton on the packing pouch drawstring</v>
      </c>
      <c r="N1842" s="9"/>
      <c r="O1842" s="9"/>
      <c r="P1842" s="9"/>
      <c r="Q1842" s="9"/>
    </row>
    <row r="1843" spans="1:17" ht="15.75" customHeight="1">
      <c r="A1843" s="7" t="s">
        <v>2136</v>
      </c>
      <c r="B1843" s="7" t="s">
        <v>142</v>
      </c>
      <c r="C1843" s="7" t="s">
        <v>278</v>
      </c>
      <c r="D1843" s="7" t="s">
        <v>143</v>
      </c>
      <c r="E1843" s="7" t="s">
        <v>143</v>
      </c>
      <c r="F1843" s="8" t="str">
        <f>_xlfn.IFNA(INDEX('HS Codes'!$D$2:$K4397,MATCH($B1843,'HS Codes'!$A$2:$A4397,0),MATCH(F$1,'HS Codes'!$D$1:$K$1,0)),"")</f>
        <v>6101.90.90.30</v>
      </c>
      <c r="G1843" s="8">
        <f>_xlfn.IFNA(INDEX('HS Codes'!$D$2:$K4397,MATCH($B1843,'HS Codes'!$A$2:$A4397,0),MATCH(G$1,'HS Codes'!$D$1:$K$1,0)),"")</f>
        <v>6101309000</v>
      </c>
      <c r="H1843" s="8">
        <f>_xlfn.IFNA(INDEX('HS Codes'!$D$2:$K4397,MATCH($B1843,'HS Codes'!$A$2:$A4397,0),MATCH(H$1,'HS Codes'!$D$1:$K$1,0)),"")</f>
        <v>6112399000</v>
      </c>
      <c r="I1843" s="8" t="str">
        <f>_xlfn.IFNA(INDEX('HS Codes'!$D$2:$K4397,MATCH($B1843,'HS Codes'!$A$2:$A4397,0),MATCH(I$1,'HS Codes'!$D$1:$K$1,0)),"")</f>
        <v>6211 4390 00</v>
      </c>
      <c r="J1843" s="8">
        <f>_xlfn.IFNA(INDEX('HS Codes'!$D$2:$K4397,MATCH($B1843,'HS Codes'!$A$2:$A4397,0),MATCH(J$1,'HS Codes'!$D$1:$K$1,0)),"")</f>
        <v>6117109000</v>
      </c>
      <c r="K1843" s="8" t="str">
        <f>_xlfn.IFNA(INDEX('HS Codes'!$D$2:$K4397,MATCH($B1843,'HS Codes'!$A$2:$A4397,0),MATCH(K$1,'HS Codes'!$D$1:$K$1,0)),"")</f>
        <v>6112.39.00</v>
      </c>
      <c r="L1843" s="8">
        <f>_xlfn.IFNA(INDEX('HS Codes'!$D$2:$K4397,MATCH($B1843,'HS Codes'!$A$2:$A4397,0),MATCH(L$1,'HS Codes'!$D$1:$K$1,0)),"")</f>
        <v>6202</v>
      </c>
      <c r="M1843" s="8" t="str">
        <f>_xlfn.IFNA(INDEX('HS Codes'!$C$2:$C4397,MATCH($B1843,'HS Codes'!$A$2:$A4397,0)),"")</f>
        <v>Beach Robe or Cloak 100% recycled 220 GSM/83% polyester/17% polyamide includes cotton on the packing pouch drawstring</v>
      </c>
      <c r="N1843" s="9"/>
      <c r="O1843" s="9"/>
      <c r="P1843" s="9"/>
      <c r="Q1843" s="9"/>
    </row>
    <row r="1844" spans="1:17" ht="15.75" customHeight="1">
      <c r="A1844" s="7" t="s">
        <v>2137</v>
      </c>
      <c r="B1844" s="7" t="s">
        <v>142</v>
      </c>
      <c r="C1844" s="7" t="s">
        <v>278</v>
      </c>
      <c r="D1844" s="7" t="s">
        <v>143</v>
      </c>
      <c r="E1844" s="7" t="s">
        <v>143</v>
      </c>
      <c r="F1844" s="8" t="str">
        <f>_xlfn.IFNA(INDEX('HS Codes'!$D$2:$K4398,MATCH($B1844,'HS Codes'!$A$2:$A4398,0),MATCH(F$1,'HS Codes'!$D$1:$K$1,0)),"")</f>
        <v>6101.90.90.30</v>
      </c>
      <c r="G1844" s="8">
        <f>_xlfn.IFNA(INDEX('HS Codes'!$D$2:$K4398,MATCH($B1844,'HS Codes'!$A$2:$A4398,0),MATCH(G$1,'HS Codes'!$D$1:$K$1,0)),"")</f>
        <v>6101309000</v>
      </c>
      <c r="H1844" s="8">
        <f>_xlfn.IFNA(INDEX('HS Codes'!$D$2:$K4398,MATCH($B1844,'HS Codes'!$A$2:$A4398,0),MATCH(H$1,'HS Codes'!$D$1:$K$1,0)),"")</f>
        <v>6112399000</v>
      </c>
      <c r="I1844" s="8" t="str">
        <f>_xlfn.IFNA(INDEX('HS Codes'!$D$2:$K4398,MATCH($B1844,'HS Codes'!$A$2:$A4398,0),MATCH(I$1,'HS Codes'!$D$1:$K$1,0)),"")</f>
        <v>6211 4390 00</v>
      </c>
      <c r="J1844" s="8">
        <f>_xlfn.IFNA(INDEX('HS Codes'!$D$2:$K4398,MATCH($B1844,'HS Codes'!$A$2:$A4398,0),MATCH(J$1,'HS Codes'!$D$1:$K$1,0)),"")</f>
        <v>6117109000</v>
      </c>
      <c r="K1844" s="8" t="str">
        <f>_xlfn.IFNA(INDEX('HS Codes'!$D$2:$K4398,MATCH($B1844,'HS Codes'!$A$2:$A4398,0),MATCH(K$1,'HS Codes'!$D$1:$K$1,0)),"")</f>
        <v>6112.39.00</v>
      </c>
      <c r="L1844" s="8">
        <f>_xlfn.IFNA(INDEX('HS Codes'!$D$2:$K4398,MATCH($B1844,'HS Codes'!$A$2:$A4398,0),MATCH(L$1,'HS Codes'!$D$1:$K$1,0)),"")</f>
        <v>6202</v>
      </c>
      <c r="M1844" s="8" t="str">
        <f>_xlfn.IFNA(INDEX('HS Codes'!$C$2:$C4398,MATCH($B1844,'HS Codes'!$A$2:$A4398,0)),"")</f>
        <v>Beach Robe or Cloak 100% recycled 220 GSM/83% polyester/17% polyamide includes cotton on the packing pouch drawstring</v>
      </c>
      <c r="N1844" s="9"/>
      <c r="O1844" s="9"/>
      <c r="P1844" s="9"/>
      <c r="Q1844" s="9"/>
    </row>
    <row r="1845" spans="1:17" ht="15.75" customHeight="1">
      <c r="A1845" s="7" t="s">
        <v>2138</v>
      </c>
      <c r="B1845" s="7" t="s">
        <v>142</v>
      </c>
      <c r="C1845" s="7" t="s">
        <v>278</v>
      </c>
      <c r="D1845" s="7" t="s">
        <v>143</v>
      </c>
      <c r="E1845" s="7" t="s">
        <v>143</v>
      </c>
      <c r="F1845" s="8" t="str">
        <f>_xlfn.IFNA(INDEX('HS Codes'!$D$2:$K4399,MATCH($B1845,'HS Codes'!$A$2:$A4399,0),MATCH(F$1,'HS Codes'!$D$1:$K$1,0)),"")</f>
        <v>6101.90.90.30</v>
      </c>
      <c r="G1845" s="8">
        <f>_xlfn.IFNA(INDEX('HS Codes'!$D$2:$K4399,MATCH($B1845,'HS Codes'!$A$2:$A4399,0),MATCH(G$1,'HS Codes'!$D$1:$K$1,0)),"")</f>
        <v>6101309000</v>
      </c>
      <c r="H1845" s="8">
        <f>_xlfn.IFNA(INDEX('HS Codes'!$D$2:$K4399,MATCH($B1845,'HS Codes'!$A$2:$A4399,0),MATCH(H$1,'HS Codes'!$D$1:$K$1,0)),"")</f>
        <v>6112399000</v>
      </c>
      <c r="I1845" s="8" t="str">
        <f>_xlfn.IFNA(INDEX('HS Codes'!$D$2:$K4399,MATCH($B1845,'HS Codes'!$A$2:$A4399,0),MATCH(I$1,'HS Codes'!$D$1:$K$1,0)),"")</f>
        <v>6211 4390 00</v>
      </c>
      <c r="J1845" s="8">
        <f>_xlfn.IFNA(INDEX('HS Codes'!$D$2:$K4399,MATCH($B1845,'HS Codes'!$A$2:$A4399,0),MATCH(J$1,'HS Codes'!$D$1:$K$1,0)),"")</f>
        <v>6117109000</v>
      </c>
      <c r="K1845" s="8" t="str">
        <f>_xlfn.IFNA(INDEX('HS Codes'!$D$2:$K4399,MATCH($B1845,'HS Codes'!$A$2:$A4399,0),MATCH(K$1,'HS Codes'!$D$1:$K$1,0)),"")</f>
        <v>6112.39.00</v>
      </c>
      <c r="L1845" s="8">
        <f>_xlfn.IFNA(INDEX('HS Codes'!$D$2:$K4399,MATCH($B1845,'HS Codes'!$A$2:$A4399,0),MATCH(L$1,'HS Codes'!$D$1:$K$1,0)),"")</f>
        <v>6202</v>
      </c>
      <c r="M1845" s="8" t="str">
        <f>_xlfn.IFNA(INDEX('HS Codes'!$C$2:$C4399,MATCH($B1845,'HS Codes'!$A$2:$A4399,0)),"")</f>
        <v>Beach Robe or Cloak 100% recycled 220 GSM/83% polyester/17% polyamide includes cotton on the packing pouch drawstring</v>
      </c>
      <c r="N1845" s="9"/>
      <c r="O1845" s="9"/>
      <c r="P1845" s="9"/>
      <c r="Q1845" s="9"/>
    </row>
    <row r="1846" spans="1:17" ht="15.75" customHeight="1">
      <c r="A1846" s="7" t="s">
        <v>2139</v>
      </c>
      <c r="B1846" s="7" t="s">
        <v>142</v>
      </c>
      <c r="C1846" s="7" t="s">
        <v>278</v>
      </c>
      <c r="D1846" s="7" t="s">
        <v>143</v>
      </c>
      <c r="E1846" s="7" t="s">
        <v>143</v>
      </c>
      <c r="F1846" s="8" t="str">
        <f>_xlfn.IFNA(INDEX('HS Codes'!$D$2:$K4400,MATCH($B1846,'HS Codes'!$A$2:$A4400,0),MATCH(F$1,'HS Codes'!$D$1:$K$1,0)),"")</f>
        <v>6101.90.90.30</v>
      </c>
      <c r="G1846" s="8">
        <f>_xlfn.IFNA(INDEX('HS Codes'!$D$2:$K4400,MATCH($B1846,'HS Codes'!$A$2:$A4400,0),MATCH(G$1,'HS Codes'!$D$1:$K$1,0)),"")</f>
        <v>6101309000</v>
      </c>
      <c r="H1846" s="8">
        <f>_xlfn.IFNA(INDEX('HS Codes'!$D$2:$K4400,MATCH($B1846,'HS Codes'!$A$2:$A4400,0),MATCH(H$1,'HS Codes'!$D$1:$K$1,0)),"")</f>
        <v>6112399000</v>
      </c>
      <c r="I1846" s="8" t="str">
        <f>_xlfn.IFNA(INDEX('HS Codes'!$D$2:$K4400,MATCH($B1846,'HS Codes'!$A$2:$A4400,0),MATCH(I$1,'HS Codes'!$D$1:$K$1,0)),"")</f>
        <v>6211 4390 00</v>
      </c>
      <c r="J1846" s="8">
        <f>_xlfn.IFNA(INDEX('HS Codes'!$D$2:$K4400,MATCH($B1846,'HS Codes'!$A$2:$A4400,0),MATCH(J$1,'HS Codes'!$D$1:$K$1,0)),"")</f>
        <v>6117109000</v>
      </c>
      <c r="K1846" s="8" t="str">
        <f>_xlfn.IFNA(INDEX('HS Codes'!$D$2:$K4400,MATCH($B1846,'HS Codes'!$A$2:$A4400,0),MATCH(K$1,'HS Codes'!$D$1:$K$1,0)),"")</f>
        <v>6112.39.00</v>
      </c>
      <c r="L1846" s="8">
        <f>_xlfn.IFNA(INDEX('HS Codes'!$D$2:$K4400,MATCH($B1846,'HS Codes'!$A$2:$A4400,0),MATCH(L$1,'HS Codes'!$D$1:$K$1,0)),"")</f>
        <v>6202</v>
      </c>
      <c r="M1846" s="8" t="str">
        <f>_xlfn.IFNA(INDEX('HS Codes'!$C$2:$C4400,MATCH($B1846,'HS Codes'!$A$2:$A4400,0)),"")</f>
        <v>Beach Robe or Cloak 100% recycled 220 GSM/83% polyester/17% polyamide includes cotton on the packing pouch drawstring</v>
      </c>
      <c r="N1846" s="9"/>
      <c r="O1846" s="9"/>
      <c r="P1846" s="9"/>
      <c r="Q1846" s="9"/>
    </row>
    <row r="1847" spans="1:17" ht="15.75" customHeight="1">
      <c r="A1847" s="7" t="s">
        <v>2140</v>
      </c>
      <c r="B1847" s="7" t="s">
        <v>142</v>
      </c>
      <c r="C1847" s="7" t="s">
        <v>278</v>
      </c>
      <c r="D1847" s="7" t="s">
        <v>143</v>
      </c>
      <c r="E1847" s="7" t="s">
        <v>143</v>
      </c>
      <c r="F1847" s="8" t="str">
        <f>_xlfn.IFNA(INDEX('HS Codes'!$D$2:$K4401,MATCH($B1847,'HS Codes'!$A$2:$A4401,0),MATCH(F$1,'HS Codes'!$D$1:$K$1,0)),"")</f>
        <v>6101.90.90.30</v>
      </c>
      <c r="G1847" s="8">
        <f>_xlfn.IFNA(INDEX('HS Codes'!$D$2:$K4401,MATCH($B1847,'HS Codes'!$A$2:$A4401,0),MATCH(G$1,'HS Codes'!$D$1:$K$1,0)),"")</f>
        <v>6101309000</v>
      </c>
      <c r="H1847" s="8">
        <f>_xlfn.IFNA(INDEX('HS Codes'!$D$2:$K4401,MATCH($B1847,'HS Codes'!$A$2:$A4401,0),MATCH(H$1,'HS Codes'!$D$1:$K$1,0)),"")</f>
        <v>6112399000</v>
      </c>
      <c r="I1847" s="8" t="str">
        <f>_xlfn.IFNA(INDEX('HS Codes'!$D$2:$K4401,MATCH($B1847,'HS Codes'!$A$2:$A4401,0),MATCH(I$1,'HS Codes'!$D$1:$K$1,0)),"")</f>
        <v>6211 4390 00</v>
      </c>
      <c r="J1847" s="8">
        <f>_xlfn.IFNA(INDEX('HS Codes'!$D$2:$K4401,MATCH($B1847,'HS Codes'!$A$2:$A4401,0),MATCH(J$1,'HS Codes'!$D$1:$K$1,0)),"")</f>
        <v>6117109000</v>
      </c>
      <c r="K1847" s="8" t="str">
        <f>_xlfn.IFNA(INDEX('HS Codes'!$D$2:$K4401,MATCH($B1847,'HS Codes'!$A$2:$A4401,0),MATCH(K$1,'HS Codes'!$D$1:$K$1,0)),"")</f>
        <v>6112.39.00</v>
      </c>
      <c r="L1847" s="8">
        <f>_xlfn.IFNA(INDEX('HS Codes'!$D$2:$K4401,MATCH($B1847,'HS Codes'!$A$2:$A4401,0),MATCH(L$1,'HS Codes'!$D$1:$K$1,0)),"")</f>
        <v>6202</v>
      </c>
      <c r="M1847" s="8" t="str">
        <f>_xlfn.IFNA(INDEX('HS Codes'!$C$2:$C4401,MATCH($B1847,'HS Codes'!$A$2:$A4401,0)),"")</f>
        <v>Beach Robe or Cloak 100% recycled 220 GSM/83% polyester/17% polyamide includes cotton on the packing pouch drawstring</v>
      </c>
      <c r="N1847" s="9"/>
      <c r="O1847" s="9"/>
      <c r="P1847" s="9"/>
      <c r="Q1847" s="9"/>
    </row>
    <row r="1848" spans="1:17" ht="15.75" customHeight="1">
      <c r="A1848" s="7" t="s">
        <v>2141</v>
      </c>
      <c r="B1848" s="7" t="s">
        <v>142</v>
      </c>
      <c r="C1848" s="7" t="s">
        <v>278</v>
      </c>
      <c r="D1848" s="7" t="s">
        <v>143</v>
      </c>
      <c r="E1848" s="7" t="s">
        <v>143</v>
      </c>
      <c r="F1848" s="8" t="str">
        <f>_xlfn.IFNA(INDEX('HS Codes'!$D$2:$K4402,MATCH($B1848,'HS Codes'!$A$2:$A4402,0),MATCH(F$1,'HS Codes'!$D$1:$K$1,0)),"")</f>
        <v>6101.90.90.30</v>
      </c>
      <c r="G1848" s="8">
        <f>_xlfn.IFNA(INDEX('HS Codes'!$D$2:$K4402,MATCH($B1848,'HS Codes'!$A$2:$A4402,0),MATCH(G$1,'HS Codes'!$D$1:$K$1,0)),"")</f>
        <v>6101309000</v>
      </c>
      <c r="H1848" s="8">
        <f>_xlfn.IFNA(INDEX('HS Codes'!$D$2:$K4402,MATCH($B1848,'HS Codes'!$A$2:$A4402,0),MATCH(H$1,'HS Codes'!$D$1:$K$1,0)),"")</f>
        <v>6112399000</v>
      </c>
      <c r="I1848" s="8" t="str">
        <f>_xlfn.IFNA(INDEX('HS Codes'!$D$2:$K4402,MATCH($B1848,'HS Codes'!$A$2:$A4402,0),MATCH(I$1,'HS Codes'!$D$1:$K$1,0)),"")</f>
        <v>6211 4390 00</v>
      </c>
      <c r="J1848" s="8">
        <f>_xlfn.IFNA(INDEX('HS Codes'!$D$2:$K4402,MATCH($B1848,'HS Codes'!$A$2:$A4402,0),MATCH(J$1,'HS Codes'!$D$1:$K$1,0)),"")</f>
        <v>6117109000</v>
      </c>
      <c r="K1848" s="8" t="str">
        <f>_xlfn.IFNA(INDEX('HS Codes'!$D$2:$K4402,MATCH($B1848,'HS Codes'!$A$2:$A4402,0),MATCH(K$1,'HS Codes'!$D$1:$K$1,0)),"")</f>
        <v>6112.39.00</v>
      </c>
      <c r="L1848" s="8">
        <f>_xlfn.IFNA(INDEX('HS Codes'!$D$2:$K4402,MATCH($B1848,'HS Codes'!$A$2:$A4402,0),MATCH(L$1,'HS Codes'!$D$1:$K$1,0)),"")</f>
        <v>6202</v>
      </c>
      <c r="M1848" s="8" t="str">
        <f>_xlfn.IFNA(INDEX('HS Codes'!$C$2:$C4402,MATCH($B1848,'HS Codes'!$A$2:$A4402,0)),"")</f>
        <v>Beach Robe or Cloak 100% recycled 220 GSM/83% polyester/17% polyamide includes cotton on the packing pouch drawstring</v>
      </c>
      <c r="N1848" s="9"/>
      <c r="O1848" s="9"/>
      <c r="P1848" s="9"/>
      <c r="Q1848" s="9"/>
    </row>
    <row r="1849" spans="1:17" ht="15.75" customHeight="1">
      <c r="A1849" s="7" t="s">
        <v>2142</v>
      </c>
      <c r="B1849" s="7" t="s">
        <v>142</v>
      </c>
      <c r="C1849" s="7" t="s">
        <v>278</v>
      </c>
      <c r="D1849" s="7" t="s">
        <v>143</v>
      </c>
      <c r="E1849" s="7" t="s">
        <v>143</v>
      </c>
      <c r="F1849" s="8" t="str">
        <f>_xlfn.IFNA(INDEX('HS Codes'!$D$2:$K4403,MATCH($B1849,'HS Codes'!$A$2:$A4403,0),MATCH(F$1,'HS Codes'!$D$1:$K$1,0)),"")</f>
        <v>6101.90.90.30</v>
      </c>
      <c r="G1849" s="8">
        <f>_xlfn.IFNA(INDEX('HS Codes'!$D$2:$K4403,MATCH($B1849,'HS Codes'!$A$2:$A4403,0),MATCH(G$1,'HS Codes'!$D$1:$K$1,0)),"")</f>
        <v>6101309000</v>
      </c>
      <c r="H1849" s="8">
        <f>_xlfn.IFNA(INDEX('HS Codes'!$D$2:$K4403,MATCH($B1849,'HS Codes'!$A$2:$A4403,0),MATCH(H$1,'HS Codes'!$D$1:$K$1,0)),"")</f>
        <v>6112399000</v>
      </c>
      <c r="I1849" s="8" t="str">
        <f>_xlfn.IFNA(INDEX('HS Codes'!$D$2:$K4403,MATCH($B1849,'HS Codes'!$A$2:$A4403,0),MATCH(I$1,'HS Codes'!$D$1:$K$1,0)),"")</f>
        <v>6211 4390 00</v>
      </c>
      <c r="J1849" s="8">
        <f>_xlfn.IFNA(INDEX('HS Codes'!$D$2:$K4403,MATCH($B1849,'HS Codes'!$A$2:$A4403,0),MATCH(J$1,'HS Codes'!$D$1:$K$1,0)),"")</f>
        <v>6117109000</v>
      </c>
      <c r="K1849" s="8" t="str">
        <f>_xlfn.IFNA(INDEX('HS Codes'!$D$2:$K4403,MATCH($B1849,'HS Codes'!$A$2:$A4403,0),MATCH(K$1,'HS Codes'!$D$1:$K$1,0)),"")</f>
        <v>6112.39.00</v>
      </c>
      <c r="L1849" s="8">
        <f>_xlfn.IFNA(INDEX('HS Codes'!$D$2:$K4403,MATCH($B1849,'HS Codes'!$A$2:$A4403,0),MATCH(L$1,'HS Codes'!$D$1:$K$1,0)),"")</f>
        <v>6202</v>
      </c>
      <c r="M1849" s="8" t="str">
        <f>_xlfn.IFNA(INDEX('HS Codes'!$C$2:$C4403,MATCH($B1849,'HS Codes'!$A$2:$A4403,0)),"")</f>
        <v>Beach Robe or Cloak 100% recycled 220 GSM/83% polyester/17% polyamide includes cotton on the packing pouch drawstring</v>
      </c>
      <c r="N1849" s="9"/>
      <c r="O1849" s="9"/>
      <c r="P1849" s="9"/>
      <c r="Q1849" s="9"/>
    </row>
    <row r="1850" spans="1:17" ht="15.75" customHeight="1">
      <c r="A1850" s="7" t="s">
        <v>2143</v>
      </c>
      <c r="B1850" s="7" t="s">
        <v>142</v>
      </c>
      <c r="C1850" s="7" t="s">
        <v>278</v>
      </c>
      <c r="D1850" s="7" t="s">
        <v>143</v>
      </c>
      <c r="E1850" s="7" t="s">
        <v>143</v>
      </c>
      <c r="F1850" s="8" t="str">
        <f>_xlfn.IFNA(INDEX('HS Codes'!$D$2:$K4404,MATCH($B1850,'HS Codes'!$A$2:$A4404,0),MATCH(F$1,'HS Codes'!$D$1:$K$1,0)),"")</f>
        <v>6101.90.90.30</v>
      </c>
      <c r="G1850" s="8">
        <f>_xlfn.IFNA(INDEX('HS Codes'!$D$2:$K4404,MATCH($B1850,'HS Codes'!$A$2:$A4404,0),MATCH(G$1,'HS Codes'!$D$1:$K$1,0)),"")</f>
        <v>6101309000</v>
      </c>
      <c r="H1850" s="8">
        <f>_xlfn.IFNA(INDEX('HS Codes'!$D$2:$K4404,MATCH($B1850,'HS Codes'!$A$2:$A4404,0),MATCH(H$1,'HS Codes'!$D$1:$K$1,0)),"")</f>
        <v>6112399000</v>
      </c>
      <c r="I1850" s="8" t="str">
        <f>_xlfn.IFNA(INDEX('HS Codes'!$D$2:$K4404,MATCH($B1850,'HS Codes'!$A$2:$A4404,0),MATCH(I$1,'HS Codes'!$D$1:$K$1,0)),"")</f>
        <v>6211 4390 00</v>
      </c>
      <c r="J1850" s="8">
        <f>_xlfn.IFNA(INDEX('HS Codes'!$D$2:$K4404,MATCH($B1850,'HS Codes'!$A$2:$A4404,0),MATCH(J$1,'HS Codes'!$D$1:$K$1,0)),"")</f>
        <v>6117109000</v>
      </c>
      <c r="K1850" s="8" t="str">
        <f>_xlfn.IFNA(INDEX('HS Codes'!$D$2:$K4404,MATCH($B1850,'HS Codes'!$A$2:$A4404,0),MATCH(K$1,'HS Codes'!$D$1:$K$1,0)),"")</f>
        <v>6112.39.00</v>
      </c>
      <c r="L1850" s="8">
        <f>_xlfn.IFNA(INDEX('HS Codes'!$D$2:$K4404,MATCH($B1850,'HS Codes'!$A$2:$A4404,0),MATCH(L$1,'HS Codes'!$D$1:$K$1,0)),"")</f>
        <v>6202</v>
      </c>
      <c r="M1850" s="8" t="str">
        <f>_xlfn.IFNA(INDEX('HS Codes'!$C$2:$C4404,MATCH($B1850,'HS Codes'!$A$2:$A4404,0)),"")</f>
        <v>Beach Robe or Cloak 100% recycled 220 GSM/83% polyester/17% polyamide includes cotton on the packing pouch drawstring</v>
      </c>
      <c r="N1850" s="9"/>
      <c r="O1850" s="9"/>
      <c r="P1850" s="9"/>
      <c r="Q1850" s="9"/>
    </row>
    <row r="1851" spans="1:17" ht="15.75" customHeight="1">
      <c r="A1851" s="7" t="s">
        <v>2144</v>
      </c>
      <c r="B1851" s="7" t="s">
        <v>142</v>
      </c>
      <c r="C1851" s="7" t="s">
        <v>278</v>
      </c>
      <c r="D1851" s="7" t="s">
        <v>143</v>
      </c>
      <c r="E1851" s="7" t="s">
        <v>143</v>
      </c>
      <c r="F1851" s="8" t="str">
        <f>_xlfn.IFNA(INDEX('HS Codes'!$D$2:$K4405,MATCH($B1851,'HS Codes'!$A$2:$A4405,0),MATCH(F$1,'HS Codes'!$D$1:$K$1,0)),"")</f>
        <v>6101.90.90.30</v>
      </c>
      <c r="G1851" s="8">
        <f>_xlfn.IFNA(INDEX('HS Codes'!$D$2:$K4405,MATCH($B1851,'HS Codes'!$A$2:$A4405,0),MATCH(G$1,'HS Codes'!$D$1:$K$1,0)),"")</f>
        <v>6101309000</v>
      </c>
      <c r="H1851" s="8">
        <f>_xlfn.IFNA(INDEX('HS Codes'!$D$2:$K4405,MATCH($B1851,'HS Codes'!$A$2:$A4405,0),MATCH(H$1,'HS Codes'!$D$1:$K$1,0)),"")</f>
        <v>6112399000</v>
      </c>
      <c r="I1851" s="8" t="str">
        <f>_xlfn.IFNA(INDEX('HS Codes'!$D$2:$K4405,MATCH($B1851,'HS Codes'!$A$2:$A4405,0),MATCH(I$1,'HS Codes'!$D$1:$K$1,0)),"")</f>
        <v>6211 4390 00</v>
      </c>
      <c r="J1851" s="8">
        <f>_xlfn.IFNA(INDEX('HS Codes'!$D$2:$K4405,MATCH($B1851,'HS Codes'!$A$2:$A4405,0),MATCH(J$1,'HS Codes'!$D$1:$K$1,0)),"")</f>
        <v>6117109000</v>
      </c>
      <c r="K1851" s="8" t="str">
        <f>_xlfn.IFNA(INDEX('HS Codes'!$D$2:$K4405,MATCH($B1851,'HS Codes'!$A$2:$A4405,0),MATCH(K$1,'HS Codes'!$D$1:$K$1,0)),"")</f>
        <v>6112.39.00</v>
      </c>
      <c r="L1851" s="8">
        <f>_xlfn.IFNA(INDEX('HS Codes'!$D$2:$K4405,MATCH($B1851,'HS Codes'!$A$2:$A4405,0),MATCH(L$1,'HS Codes'!$D$1:$K$1,0)),"")</f>
        <v>6202</v>
      </c>
      <c r="M1851" s="8" t="str">
        <f>_xlfn.IFNA(INDEX('HS Codes'!$C$2:$C4405,MATCH($B1851,'HS Codes'!$A$2:$A4405,0)),"")</f>
        <v>Beach Robe or Cloak 100% recycled 220 GSM/83% polyester/17% polyamide includes cotton on the packing pouch drawstring</v>
      </c>
      <c r="N1851" s="9"/>
      <c r="O1851" s="9"/>
      <c r="P1851" s="9"/>
      <c r="Q1851" s="9"/>
    </row>
    <row r="1852" spans="1:17" ht="15.75" customHeight="1">
      <c r="A1852" s="7" t="s">
        <v>2145</v>
      </c>
      <c r="B1852" s="7" t="s">
        <v>142</v>
      </c>
      <c r="C1852" s="7" t="s">
        <v>278</v>
      </c>
      <c r="D1852" s="7" t="s">
        <v>143</v>
      </c>
      <c r="E1852" s="7" t="s">
        <v>143</v>
      </c>
      <c r="F1852" s="8" t="str">
        <f>_xlfn.IFNA(INDEX('HS Codes'!$D$2:$K4406,MATCH($B1852,'HS Codes'!$A$2:$A4406,0),MATCH(F$1,'HS Codes'!$D$1:$K$1,0)),"")</f>
        <v>6101.90.90.30</v>
      </c>
      <c r="G1852" s="8">
        <f>_xlfn.IFNA(INDEX('HS Codes'!$D$2:$K4406,MATCH($B1852,'HS Codes'!$A$2:$A4406,0),MATCH(G$1,'HS Codes'!$D$1:$K$1,0)),"")</f>
        <v>6101309000</v>
      </c>
      <c r="H1852" s="8">
        <f>_xlfn.IFNA(INDEX('HS Codes'!$D$2:$K4406,MATCH($B1852,'HS Codes'!$A$2:$A4406,0),MATCH(H$1,'HS Codes'!$D$1:$K$1,0)),"")</f>
        <v>6112399000</v>
      </c>
      <c r="I1852" s="8" t="str">
        <f>_xlfn.IFNA(INDEX('HS Codes'!$D$2:$K4406,MATCH($B1852,'HS Codes'!$A$2:$A4406,0),MATCH(I$1,'HS Codes'!$D$1:$K$1,0)),"")</f>
        <v>6211 4390 00</v>
      </c>
      <c r="J1852" s="8">
        <f>_xlfn.IFNA(INDEX('HS Codes'!$D$2:$K4406,MATCH($B1852,'HS Codes'!$A$2:$A4406,0),MATCH(J$1,'HS Codes'!$D$1:$K$1,0)),"")</f>
        <v>6117109000</v>
      </c>
      <c r="K1852" s="8" t="str">
        <f>_xlfn.IFNA(INDEX('HS Codes'!$D$2:$K4406,MATCH($B1852,'HS Codes'!$A$2:$A4406,0),MATCH(K$1,'HS Codes'!$D$1:$K$1,0)),"")</f>
        <v>6112.39.00</v>
      </c>
      <c r="L1852" s="8">
        <f>_xlfn.IFNA(INDEX('HS Codes'!$D$2:$K4406,MATCH($B1852,'HS Codes'!$A$2:$A4406,0),MATCH(L$1,'HS Codes'!$D$1:$K$1,0)),"")</f>
        <v>6202</v>
      </c>
      <c r="M1852" s="8" t="str">
        <f>_xlfn.IFNA(INDEX('HS Codes'!$C$2:$C4406,MATCH($B1852,'HS Codes'!$A$2:$A4406,0)),"")</f>
        <v>Beach Robe or Cloak 100% recycled 220 GSM/83% polyester/17% polyamide includes cotton on the packing pouch drawstring</v>
      </c>
      <c r="N1852" s="9"/>
      <c r="O1852" s="9"/>
      <c r="P1852" s="9"/>
      <c r="Q1852" s="9"/>
    </row>
    <row r="1853" spans="1:17" ht="15.75" customHeight="1">
      <c r="A1853" s="7" t="s">
        <v>2146</v>
      </c>
      <c r="B1853" s="7" t="s">
        <v>142</v>
      </c>
      <c r="C1853" s="7" t="s">
        <v>278</v>
      </c>
      <c r="D1853" s="7" t="s">
        <v>143</v>
      </c>
      <c r="E1853" s="7" t="s">
        <v>143</v>
      </c>
      <c r="F1853" s="8" t="str">
        <f>_xlfn.IFNA(INDEX('HS Codes'!$D$2:$K4407,MATCH($B1853,'HS Codes'!$A$2:$A4407,0),MATCH(F$1,'HS Codes'!$D$1:$K$1,0)),"")</f>
        <v>6101.90.90.30</v>
      </c>
      <c r="G1853" s="8">
        <f>_xlfn.IFNA(INDEX('HS Codes'!$D$2:$K4407,MATCH($B1853,'HS Codes'!$A$2:$A4407,0),MATCH(G$1,'HS Codes'!$D$1:$K$1,0)),"")</f>
        <v>6101309000</v>
      </c>
      <c r="H1853" s="8">
        <f>_xlfn.IFNA(INDEX('HS Codes'!$D$2:$K4407,MATCH($B1853,'HS Codes'!$A$2:$A4407,0),MATCH(H$1,'HS Codes'!$D$1:$K$1,0)),"")</f>
        <v>6112399000</v>
      </c>
      <c r="I1853" s="8" t="str">
        <f>_xlfn.IFNA(INDEX('HS Codes'!$D$2:$K4407,MATCH($B1853,'HS Codes'!$A$2:$A4407,0),MATCH(I$1,'HS Codes'!$D$1:$K$1,0)),"")</f>
        <v>6211 4390 00</v>
      </c>
      <c r="J1853" s="8">
        <f>_xlfn.IFNA(INDEX('HS Codes'!$D$2:$K4407,MATCH($B1853,'HS Codes'!$A$2:$A4407,0),MATCH(J$1,'HS Codes'!$D$1:$K$1,0)),"")</f>
        <v>6117109000</v>
      </c>
      <c r="K1853" s="8" t="str">
        <f>_xlfn.IFNA(INDEX('HS Codes'!$D$2:$K4407,MATCH($B1853,'HS Codes'!$A$2:$A4407,0),MATCH(K$1,'HS Codes'!$D$1:$K$1,0)),"")</f>
        <v>6112.39.00</v>
      </c>
      <c r="L1853" s="8">
        <f>_xlfn.IFNA(INDEX('HS Codes'!$D$2:$K4407,MATCH($B1853,'HS Codes'!$A$2:$A4407,0),MATCH(L$1,'HS Codes'!$D$1:$K$1,0)),"")</f>
        <v>6202</v>
      </c>
      <c r="M1853" s="8" t="str">
        <f>_xlfn.IFNA(INDEX('HS Codes'!$C$2:$C4407,MATCH($B1853,'HS Codes'!$A$2:$A4407,0)),"")</f>
        <v>Beach Robe or Cloak 100% recycled 220 GSM/83% polyester/17% polyamide includes cotton on the packing pouch drawstring</v>
      </c>
      <c r="N1853" s="9"/>
      <c r="O1853" s="9"/>
      <c r="P1853" s="9"/>
      <c r="Q1853" s="9"/>
    </row>
    <row r="1854" spans="1:17" ht="15.75" customHeight="1">
      <c r="A1854" s="7" t="s">
        <v>2147</v>
      </c>
      <c r="B1854" s="7" t="s">
        <v>142</v>
      </c>
      <c r="C1854" s="7" t="s">
        <v>278</v>
      </c>
      <c r="D1854" s="7" t="s">
        <v>143</v>
      </c>
      <c r="E1854" s="7" t="s">
        <v>143</v>
      </c>
      <c r="F1854" s="8" t="str">
        <f>_xlfn.IFNA(INDEX('HS Codes'!$D$2:$K4408,MATCH($B1854,'HS Codes'!$A$2:$A4408,0),MATCH(F$1,'HS Codes'!$D$1:$K$1,0)),"")</f>
        <v>6101.90.90.30</v>
      </c>
      <c r="G1854" s="8">
        <f>_xlfn.IFNA(INDEX('HS Codes'!$D$2:$K4408,MATCH($B1854,'HS Codes'!$A$2:$A4408,0),MATCH(G$1,'HS Codes'!$D$1:$K$1,0)),"")</f>
        <v>6101309000</v>
      </c>
      <c r="H1854" s="8">
        <f>_xlfn.IFNA(INDEX('HS Codes'!$D$2:$K4408,MATCH($B1854,'HS Codes'!$A$2:$A4408,0),MATCH(H$1,'HS Codes'!$D$1:$K$1,0)),"")</f>
        <v>6112399000</v>
      </c>
      <c r="I1854" s="8" t="str">
        <f>_xlfn.IFNA(INDEX('HS Codes'!$D$2:$K4408,MATCH($B1854,'HS Codes'!$A$2:$A4408,0),MATCH(I$1,'HS Codes'!$D$1:$K$1,0)),"")</f>
        <v>6211 4390 00</v>
      </c>
      <c r="J1854" s="8">
        <f>_xlfn.IFNA(INDEX('HS Codes'!$D$2:$K4408,MATCH($B1854,'HS Codes'!$A$2:$A4408,0),MATCH(J$1,'HS Codes'!$D$1:$K$1,0)),"")</f>
        <v>6117109000</v>
      </c>
      <c r="K1854" s="8" t="str">
        <f>_xlfn.IFNA(INDEX('HS Codes'!$D$2:$K4408,MATCH($B1854,'HS Codes'!$A$2:$A4408,0),MATCH(K$1,'HS Codes'!$D$1:$K$1,0)),"")</f>
        <v>6112.39.00</v>
      </c>
      <c r="L1854" s="8">
        <f>_xlfn.IFNA(INDEX('HS Codes'!$D$2:$K4408,MATCH($B1854,'HS Codes'!$A$2:$A4408,0),MATCH(L$1,'HS Codes'!$D$1:$K$1,0)),"")</f>
        <v>6202</v>
      </c>
      <c r="M1854" s="8" t="str">
        <f>_xlfn.IFNA(INDEX('HS Codes'!$C$2:$C4408,MATCH($B1854,'HS Codes'!$A$2:$A4408,0)),"")</f>
        <v>Beach Robe or Cloak 100% recycled 220 GSM/83% polyester/17% polyamide includes cotton on the packing pouch drawstring</v>
      </c>
      <c r="N1854" s="9"/>
      <c r="O1854" s="9"/>
      <c r="P1854" s="9"/>
      <c r="Q1854" s="9"/>
    </row>
    <row r="1855" spans="1:17" ht="15.75" customHeight="1">
      <c r="A1855" s="7" t="s">
        <v>2148</v>
      </c>
      <c r="B1855" s="7" t="s">
        <v>142</v>
      </c>
      <c r="C1855" s="7" t="s">
        <v>278</v>
      </c>
      <c r="D1855" s="7" t="s">
        <v>143</v>
      </c>
      <c r="E1855" s="7" t="s">
        <v>143</v>
      </c>
      <c r="F1855" s="8" t="str">
        <f>_xlfn.IFNA(INDEX('HS Codes'!$D$2:$K4409,MATCH($B1855,'HS Codes'!$A$2:$A4409,0),MATCH(F$1,'HS Codes'!$D$1:$K$1,0)),"")</f>
        <v>6101.90.90.30</v>
      </c>
      <c r="G1855" s="8">
        <f>_xlfn.IFNA(INDEX('HS Codes'!$D$2:$K4409,MATCH($B1855,'HS Codes'!$A$2:$A4409,0),MATCH(G$1,'HS Codes'!$D$1:$K$1,0)),"")</f>
        <v>6101309000</v>
      </c>
      <c r="H1855" s="8">
        <f>_xlfn.IFNA(INDEX('HS Codes'!$D$2:$K4409,MATCH($B1855,'HS Codes'!$A$2:$A4409,0),MATCH(H$1,'HS Codes'!$D$1:$K$1,0)),"")</f>
        <v>6112399000</v>
      </c>
      <c r="I1855" s="8" t="str">
        <f>_xlfn.IFNA(INDEX('HS Codes'!$D$2:$K4409,MATCH($B1855,'HS Codes'!$A$2:$A4409,0),MATCH(I$1,'HS Codes'!$D$1:$K$1,0)),"")</f>
        <v>6211 4390 00</v>
      </c>
      <c r="J1855" s="8">
        <f>_xlfn.IFNA(INDEX('HS Codes'!$D$2:$K4409,MATCH($B1855,'HS Codes'!$A$2:$A4409,0),MATCH(J$1,'HS Codes'!$D$1:$K$1,0)),"")</f>
        <v>6117109000</v>
      </c>
      <c r="K1855" s="8" t="str">
        <f>_xlfn.IFNA(INDEX('HS Codes'!$D$2:$K4409,MATCH($B1855,'HS Codes'!$A$2:$A4409,0),MATCH(K$1,'HS Codes'!$D$1:$K$1,0)),"")</f>
        <v>6112.39.00</v>
      </c>
      <c r="L1855" s="8">
        <f>_xlfn.IFNA(INDEX('HS Codes'!$D$2:$K4409,MATCH($B1855,'HS Codes'!$A$2:$A4409,0),MATCH(L$1,'HS Codes'!$D$1:$K$1,0)),"")</f>
        <v>6202</v>
      </c>
      <c r="M1855" s="8" t="str">
        <f>_xlfn.IFNA(INDEX('HS Codes'!$C$2:$C4409,MATCH($B1855,'HS Codes'!$A$2:$A4409,0)),"")</f>
        <v>Beach Robe or Cloak 100% recycled 220 GSM/83% polyester/17% polyamide includes cotton on the packing pouch drawstring</v>
      </c>
      <c r="N1855" s="9"/>
      <c r="O1855" s="9"/>
      <c r="P1855" s="9"/>
      <c r="Q1855" s="9"/>
    </row>
    <row r="1856" spans="1:17" ht="15.75" customHeight="1">
      <c r="A1856" s="7" t="s">
        <v>2149</v>
      </c>
      <c r="B1856" s="7" t="s">
        <v>142</v>
      </c>
      <c r="C1856" s="7" t="s">
        <v>278</v>
      </c>
      <c r="D1856" s="7" t="s">
        <v>143</v>
      </c>
      <c r="E1856" s="7" t="s">
        <v>143</v>
      </c>
      <c r="F1856" s="8" t="str">
        <f>_xlfn.IFNA(INDEX('HS Codes'!$D$2:$K4410,MATCH($B1856,'HS Codes'!$A$2:$A4410,0),MATCH(F$1,'HS Codes'!$D$1:$K$1,0)),"")</f>
        <v>6101.90.90.30</v>
      </c>
      <c r="G1856" s="8">
        <f>_xlfn.IFNA(INDEX('HS Codes'!$D$2:$K4410,MATCH($B1856,'HS Codes'!$A$2:$A4410,0),MATCH(G$1,'HS Codes'!$D$1:$K$1,0)),"")</f>
        <v>6101309000</v>
      </c>
      <c r="H1856" s="8">
        <f>_xlfn.IFNA(INDEX('HS Codes'!$D$2:$K4410,MATCH($B1856,'HS Codes'!$A$2:$A4410,0),MATCH(H$1,'HS Codes'!$D$1:$K$1,0)),"")</f>
        <v>6112399000</v>
      </c>
      <c r="I1856" s="8" t="str">
        <f>_xlfn.IFNA(INDEX('HS Codes'!$D$2:$K4410,MATCH($B1856,'HS Codes'!$A$2:$A4410,0),MATCH(I$1,'HS Codes'!$D$1:$K$1,0)),"")</f>
        <v>6211 4390 00</v>
      </c>
      <c r="J1856" s="8">
        <f>_xlfn.IFNA(INDEX('HS Codes'!$D$2:$K4410,MATCH($B1856,'HS Codes'!$A$2:$A4410,0),MATCH(J$1,'HS Codes'!$D$1:$K$1,0)),"")</f>
        <v>6117109000</v>
      </c>
      <c r="K1856" s="8" t="str">
        <f>_xlfn.IFNA(INDEX('HS Codes'!$D$2:$K4410,MATCH($B1856,'HS Codes'!$A$2:$A4410,0),MATCH(K$1,'HS Codes'!$D$1:$K$1,0)),"")</f>
        <v>6112.39.00</v>
      </c>
      <c r="L1856" s="8">
        <f>_xlfn.IFNA(INDEX('HS Codes'!$D$2:$K4410,MATCH($B1856,'HS Codes'!$A$2:$A4410,0),MATCH(L$1,'HS Codes'!$D$1:$K$1,0)),"")</f>
        <v>6202</v>
      </c>
      <c r="M1856" s="8" t="str">
        <f>_xlfn.IFNA(INDEX('HS Codes'!$C$2:$C4410,MATCH($B1856,'HS Codes'!$A$2:$A4410,0)),"")</f>
        <v>Beach Robe or Cloak 100% recycled 220 GSM/83% polyester/17% polyamide includes cotton on the packing pouch drawstring</v>
      </c>
      <c r="N1856" s="9"/>
      <c r="O1856" s="9"/>
      <c r="P1856" s="9"/>
      <c r="Q1856" s="9"/>
    </row>
    <row r="1857" spans="1:17" ht="15.75" customHeight="1">
      <c r="A1857" s="7" t="s">
        <v>2150</v>
      </c>
      <c r="B1857" s="7" t="s">
        <v>142</v>
      </c>
      <c r="C1857" s="7" t="s">
        <v>278</v>
      </c>
      <c r="D1857" s="7" t="s">
        <v>143</v>
      </c>
      <c r="E1857" s="7" t="s">
        <v>143</v>
      </c>
      <c r="F1857" s="8" t="str">
        <f>_xlfn.IFNA(INDEX('HS Codes'!$D$2:$K4411,MATCH($B1857,'HS Codes'!$A$2:$A4411,0),MATCH(F$1,'HS Codes'!$D$1:$K$1,0)),"")</f>
        <v>6101.90.90.30</v>
      </c>
      <c r="G1857" s="8">
        <f>_xlfn.IFNA(INDEX('HS Codes'!$D$2:$K4411,MATCH($B1857,'HS Codes'!$A$2:$A4411,0),MATCH(G$1,'HS Codes'!$D$1:$K$1,0)),"")</f>
        <v>6101309000</v>
      </c>
      <c r="H1857" s="8">
        <f>_xlfn.IFNA(INDEX('HS Codes'!$D$2:$K4411,MATCH($B1857,'HS Codes'!$A$2:$A4411,0),MATCH(H$1,'HS Codes'!$D$1:$K$1,0)),"")</f>
        <v>6112399000</v>
      </c>
      <c r="I1857" s="8" t="str">
        <f>_xlfn.IFNA(INDEX('HS Codes'!$D$2:$K4411,MATCH($B1857,'HS Codes'!$A$2:$A4411,0),MATCH(I$1,'HS Codes'!$D$1:$K$1,0)),"")</f>
        <v>6211 4390 00</v>
      </c>
      <c r="J1857" s="8">
        <f>_xlfn.IFNA(INDEX('HS Codes'!$D$2:$K4411,MATCH($B1857,'HS Codes'!$A$2:$A4411,0),MATCH(J$1,'HS Codes'!$D$1:$K$1,0)),"")</f>
        <v>6117109000</v>
      </c>
      <c r="K1857" s="8" t="str">
        <f>_xlfn.IFNA(INDEX('HS Codes'!$D$2:$K4411,MATCH($B1857,'HS Codes'!$A$2:$A4411,0),MATCH(K$1,'HS Codes'!$D$1:$K$1,0)),"")</f>
        <v>6112.39.00</v>
      </c>
      <c r="L1857" s="8">
        <f>_xlfn.IFNA(INDEX('HS Codes'!$D$2:$K4411,MATCH($B1857,'HS Codes'!$A$2:$A4411,0),MATCH(L$1,'HS Codes'!$D$1:$K$1,0)),"")</f>
        <v>6202</v>
      </c>
      <c r="M1857" s="8" t="str">
        <f>_xlfn.IFNA(INDEX('HS Codes'!$C$2:$C4411,MATCH($B1857,'HS Codes'!$A$2:$A4411,0)),"")</f>
        <v>Beach Robe or Cloak 100% recycled 220 GSM/83% polyester/17% polyamide includes cotton on the packing pouch drawstring</v>
      </c>
      <c r="N1857" s="9"/>
      <c r="O1857" s="9"/>
      <c r="P1857" s="9"/>
      <c r="Q1857" s="9"/>
    </row>
    <row r="1858" spans="1:17" ht="15.75" customHeight="1">
      <c r="A1858" s="7" t="s">
        <v>2151</v>
      </c>
      <c r="B1858" s="7" t="s">
        <v>142</v>
      </c>
      <c r="C1858" s="7" t="s">
        <v>278</v>
      </c>
      <c r="D1858" s="7" t="s">
        <v>143</v>
      </c>
      <c r="E1858" s="7" t="s">
        <v>143</v>
      </c>
      <c r="F1858" s="8" t="str">
        <f>_xlfn.IFNA(INDEX('HS Codes'!$D$2:$K4412,MATCH($B1858,'HS Codes'!$A$2:$A4412,0),MATCH(F$1,'HS Codes'!$D$1:$K$1,0)),"")</f>
        <v>6101.90.90.30</v>
      </c>
      <c r="G1858" s="8">
        <f>_xlfn.IFNA(INDEX('HS Codes'!$D$2:$K4412,MATCH($B1858,'HS Codes'!$A$2:$A4412,0),MATCH(G$1,'HS Codes'!$D$1:$K$1,0)),"")</f>
        <v>6101309000</v>
      </c>
      <c r="H1858" s="8">
        <f>_xlfn.IFNA(INDEX('HS Codes'!$D$2:$K4412,MATCH($B1858,'HS Codes'!$A$2:$A4412,0),MATCH(H$1,'HS Codes'!$D$1:$K$1,0)),"")</f>
        <v>6112399000</v>
      </c>
      <c r="I1858" s="8" t="str">
        <f>_xlfn.IFNA(INDEX('HS Codes'!$D$2:$K4412,MATCH($B1858,'HS Codes'!$A$2:$A4412,0),MATCH(I$1,'HS Codes'!$D$1:$K$1,0)),"")</f>
        <v>6211 4390 00</v>
      </c>
      <c r="J1858" s="8">
        <f>_xlfn.IFNA(INDEX('HS Codes'!$D$2:$K4412,MATCH($B1858,'HS Codes'!$A$2:$A4412,0),MATCH(J$1,'HS Codes'!$D$1:$K$1,0)),"")</f>
        <v>6117109000</v>
      </c>
      <c r="K1858" s="8" t="str">
        <f>_xlfn.IFNA(INDEX('HS Codes'!$D$2:$K4412,MATCH($B1858,'HS Codes'!$A$2:$A4412,0),MATCH(K$1,'HS Codes'!$D$1:$K$1,0)),"")</f>
        <v>6112.39.00</v>
      </c>
      <c r="L1858" s="8">
        <f>_xlfn.IFNA(INDEX('HS Codes'!$D$2:$K4412,MATCH($B1858,'HS Codes'!$A$2:$A4412,0),MATCH(L$1,'HS Codes'!$D$1:$K$1,0)),"")</f>
        <v>6202</v>
      </c>
      <c r="M1858" s="8" t="str">
        <f>_xlfn.IFNA(INDEX('HS Codes'!$C$2:$C4412,MATCH($B1858,'HS Codes'!$A$2:$A4412,0)),"")</f>
        <v>Beach Robe or Cloak 100% recycled 220 GSM/83% polyester/17% polyamide includes cotton on the packing pouch drawstring</v>
      </c>
      <c r="N1858" s="9"/>
      <c r="O1858" s="9"/>
      <c r="P1858" s="9"/>
      <c r="Q1858" s="9"/>
    </row>
    <row r="1859" spans="1:17" ht="15.75" customHeight="1">
      <c r="A1859" s="7" t="s">
        <v>2152</v>
      </c>
      <c r="B1859" s="7" t="s">
        <v>142</v>
      </c>
      <c r="C1859" s="7" t="s">
        <v>278</v>
      </c>
      <c r="D1859" s="7" t="s">
        <v>143</v>
      </c>
      <c r="E1859" s="7" t="s">
        <v>143</v>
      </c>
      <c r="F1859" s="8" t="str">
        <f>_xlfn.IFNA(INDEX('HS Codes'!$D$2:$K4413,MATCH($B1859,'HS Codes'!$A$2:$A4413,0),MATCH(F$1,'HS Codes'!$D$1:$K$1,0)),"")</f>
        <v>6101.90.90.30</v>
      </c>
      <c r="G1859" s="8">
        <f>_xlfn.IFNA(INDEX('HS Codes'!$D$2:$K4413,MATCH($B1859,'HS Codes'!$A$2:$A4413,0),MATCH(G$1,'HS Codes'!$D$1:$K$1,0)),"")</f>
        <v>6101309000</v>
      </c>
      <c r="H1859" s="8">
        <f>_xlfn.IFNA(INDEX('HS Codes'!$D$2:$K4413,MATCH($B1859,'HS Codes'!$A$2:$A4413,0),MATCH(H$1,'HS Codes'!$D$1:$K$1,0)),"")</f>
        <v>6112399000</v>
      </c>
      <c r="I1859" s="8" t="str">
        <f>_xlfn.IFNA(INDEX('HS Codes'!$D$2:$K4413,MATCH($B1859,'HS Codes'!$A$2:$A4413,0),MATCH(I$1,'HS Codes'!$D$1:$K$1,0)),"")</f>
        <v>6211 4390 00</v>
      </c>
      <c r="J1859" s="8">
        <f>_xlfn.IFNA(INDEX('HS Codes'!$D$2:$K4413,MATCH($B1859,'HS Codes'!$A$2:$A4413,0),MATCH(J$1,'HS Codes'!$D$1:$K$1,0)),"")</f>
        <v>6117109000</v>
      </c>
      <c r="K1859" s="8" t="str">
        <f>_xlfn.IFNA(INDEX('HS Codes'!$D$2:$K4413,MATCH($B1859,'HS Codes'!$A$2:$A4413,0),MATCH(K$1,'HS Codes'!$D$1:$K$1,0)),"")</f>
        <v>6112.39.00</v>
      </c>
      <c r="L1859" s="8">
        <f>_xlfn.IFNA(INDEX('HS Codes'!$D$2:$K4413,MATCH($B1859,'HS Codes'!$A$2:$A4413,0),MATCH(L$1,'HS Codes'!$D$1:$K$1,0)),"")</f>
        <v>6202</v>
      </c>
      <c r="M1859" s="8" t="str">
        <f>_xlfn.IFNA(INDEX('HS Codes'!$C$2:$C4413,MATCH($B1859,'HS Codes'!$A$2:$A4413,0)),"")</f>
        <v>Beach Robe or Cloak 100% recycled 220 GSM/83% polyester/17% polyamide includes cotton on the packing pouch drawstring</v>
      </c>
      <c r="N1859" s="9"/>
      <c r="O1859" s="9"/>
      <c r="P1859" s="9"/>
      <c r="Q1859" s="9"/>
    </row>
    <row r="1860" spans="1:17" ht="15.75" customHeight="1">
      <c r="A1860" s="7" t="s">
        <v>2153</v>
      </c>
      <c r="B1860" s="7" t="s">
        <v>142</v>
      </c>
      <c r="C1860" s="7" t="s">
        <v>278</v>
      </c>
      <c r="D1860" s="7" t="s">
        <v>143</v>
      </c>
      <c r="E1860" s="7" t="s">
        <v>143</v>
      </c>
      <c r="F1860" s="8" t="str">
        <f>_xlfn.IFNA(INDEX('HS Codes'!$D$2:$K4414,MATCH($B1860,'HS Codes'!$A$2:$A4414,0),MATCH(F$1,'HS Codes'!$D$1:$K$1,0)),"")</f>
        <v>6101.90.90.30</v>
      </c>
      <c r="G1860" s="8">
        <f>_xlfn.IFNA(INDEX('HS Codes'!$D$2:$K4414,MATCH($B1860,'HS Codes'!$A$2:$A4414,0),MATCH(G$1,'HS Codes'!$D$1:$K$1,0)),"")</f>
        <v>6101309000</v>
      </c>
      <c r="H1860" s="8">
        <f>_xlfn.IFNA(INDEX('HS Codes'!$D$2:$K4414,MATCH($B1860,'HS Codes'!$A$2:$A4414,0),MATCH(H$1,'HS Codes'!$D$1:$K$1,0)),"")</f>
        <v>6112399000</v>
      </c>
      <c r="I1860" s="8" t="str">
        <f>_xlfn.IFNA(INDEX('HS Codes'!$D$2:$K4414,MATCH($B1860,'HS Codes'!$A$2:$A4414,0),MATCH(I$1,'HS Codes'!$D$1:$K$1,0)),"")</f>
        <v>6211 4390 00</v>
      </c>
      <c r="J1860" s="8">
        <f>_xlfn.IFNA(INDEX('HS Codes'!$D$2:$K4414,MATCH($B1860,'HS Codes'!$A$2:$A4414,0),MATCH(J$1,'HS Codes'!$D$1:$K$1,0)),"")</f>
        <v>6117109000</v>
      </c>
      <c r="K1860" s="8" t="str">
        <f>_xlfn.IFNA(INDEX('HS Codes'!$D$2:$K4414,MATCH($B1860,'HS Codes'!$A$2:$A4414,0),MATCH(K$1,'HS Codes'!$D$1:$K$1,0)),"")</f>
        <v>6112.39.00</v>
      </c>
      <c r="L1860" s="8">
        <f>_xlfn.IFNA(INDEX('HS Codes'!$D$2:$K4414,MATCH($B1860,'HS Codes'!$A$2:$A4414,0),MATCH(L$1,'HS Codes'!$D$1:$K$1,0)),"")</f>
        <v>6202</v>
      </c>
      <c r="M1860" s="8" t="str">
        <f>_xlfn.IFNA(INDEX('HS Codes'!$C$2:$C4414,MATCH($B1860,'HS Codes'!$A$2:$A4414,0)),"")</f>
        <v>Beach Robe or Cloak 100% recycled 220 GSM/83% polyester/17% polyamide includes cotton on the packing pouch drawstring</v>
      </c>
      <c r="N1860" s="9"/>
      <c r="O1860" s="9"/>
      <c r="P1860" s="9"/>
      <c r="Q1860" s="9"/>
    </row>
    <row r="1861" spans="1:17" ht="15.75" customHeight="1">
      <c r="A1861" s="7" t="s">
        <v>2154</v>
      </c>
      <c r="B1861" s="7" t="s">
        <v>142</v>
      </c>
      <c r="C1861" s="7" t="s">
        <v>278</v>
      </c>
      <c r="D1861" s="7" t="s">
        <v>143</v>
      </c>
      <c r="E1861" s="7" t="s">
        <v>143</v>
      </c>
      <c r="F1861" s="8" t="str">
        <f>_xlfn.IFNA(INDEX('HS Codes'!$D$2:$K4415,MATCH($B1861,'HS Codes'!$A$2:$A4415,0),MATCH(F$1,'HS Codes'!$D$1:$K$1,0)),"")</f>
        <v>6101.90.90.30</v>
      </c>
      <c r="G1861" s="8">
        <f>_xlfn.IFNA(INDEX('HS Codes'!$D$2:$K4415,MATCH($B1861,'HS Codes'!$A$2:$A4415,0),MATCH(G$1,'HS Codes'!$D$1:$K$1,0)),"")</f>
        <v>6101309000</v>
      </c>
      <c r="H1861" s="8">
        <f>_xlfn.IFNA(INDEX('HS Codes'!$D$2:$K4415,MATCH($B1861,'HS Codes'!$A$2:$A4415,0),MATCH(H$1,'HS Codes'!$D$1:$K$1,0)),"")</f>
        <v>6112399000</v>
      </c>
      <c r="I1861" s="8" t="str">
        <f>_xlfn.IFNA(INDEX('HS Codes'!$D$2:$K4415,MATCH($B1861,'HS Codes'!$A$2:$A4415,0),MATCH(I$1,'HS Codes'!$D$1:$K$1,0)),"")</f>
        <v>6211 4390 00</v>
      </c>
      <c r="J1861" s="8">
        <f>_xlfn.IFNA(INDEX('HS Codes'!$D$2:$K4415,MATCH($B1861,'HS Codes'!$A$2:$A4415,0),MATCH(J$1,'HS Codes'!$D$1:$K$1,0)),"")</f>
        <v>6117109000</v>
      </c>
      <c r="K1861" s="8" t="str">
        <f>_xlfn.IFNA(INDEX('HS Codes'!$D$2:$K4415,MATCH($B1861,'HS Codes'!$A$2:$A4415,0),MATCH(K$1,'HS Codes'!$D$1:$K$1,0)),"")</f>
        <v>6112.39.00</v>
      </c>
      <c r="L1861" s="8">
        <f>_xlfn.IFNA(INDEX('HS Codes'!$D$2:$K4415,MATCH($B1861,'HS Codes'!$A$2:$A4415,0),MATCH(L$1,'HS Codes'!$D$1:$K$1,0)),"")</f>
        <v>6202</v>
      </c>
      <c r="M1861" s="8" t="str">
        <f>_xlfn.IFNA(INDEX('HS Codes'!$C$2:$C4415,MATCH($B1861,'HS Codes'!$A$2:$A4415,0)),"")</f>
        <v>Beach Robe or Cloak 100% recycled 220 GSM/83% polyester/17% polyamide includes cotton on the packing pouch drawstring</v>
      </c>
      <c r="N1861" s="9"/>
      <c r="O1861" s="9"/>
      <c r="P1861" s="9"/>
      <c r="Q1861" s="9"/>
    </row>
    <row r="1862" spans="1:17" ht="15.75" customHeight="1">
      <c r="A1862" s="7" t="s">
        <v>2155</v>
      </c>
      <c r="B1862" s="7" t="s">
        <v>142</v>
      </c>
      <c r="C1862" s="7" t="s">
        <v>278</v>
      </c>
      <c r="D1862" s="7" t="s">
        <v>143</v>
      </c>
      <c r="E1862" s="7" t="s">
        <v>143</v>
      </c>
      <c r="F1862" s="8" t="str">
        <f>_xlfn.IFNA(INDEX('HS Codes'!$D$2:$K4416,MATCH($B1862,'HS Codes'!$A$2:$A4416,0),MATCH(F$1,'HS Codes'!$D$1:$K$1,0)),"")</f>
        <v>6101.90.90.30</v>
      </c>
      <c r="G1862" s="8">
        <f>_xlfn.IFNA(INDEX('HS Codes'!$D$2:$K4416,MATCH($B1862,'HS Codes'!$A$2:$A4416,0),MATCH(G$1,'HS Codes'!$D$1:$K$1,0)),"")</f>
        <v>6101309000</v>
      </c>
      <c r="H1862" s="8">
        <f>_xlfn.IFNA(INDEX('HS Codes'!$D$2:$K4416,MATCH($B1862,'HS Codes'!$A$2:$A4416,0),MATCH(H$1,'HS Codes'!$D$1:$K$1,0)),"")</f>
        <v>6112399000</v>
      </c>
      <c r="I1862" s="8" t="str">
        <f>_xlfn.IFNA(INDEX('HS Codes'!$D$2:$K4416,MATCH($B1862,'HS Codes'!$A$2:$A4416,0),MATCH(I$1,'HS Codes'!$D$1:$K$1,0)),"")</f>
        <v>6211 4390 00</v>
      </c>
      <c r="J1862" s="8">
        <f>_xlfn.IFNA(INDEX('HS Codes'!$D$2:$K4416,MATCH($B1862,'HS Codes'!$A$2:$A4416,0),MATCH(J$1,'HS Codes'!$D$1:$K$1,0)),"")</f>
        <v>6117109000</v>
      </c>
      <c r="K1862" s="8" t="str">
        <f>_xlfn.IFNA(INDEX('HS Codes'!$D$2:$K4416,MATCH($B1862,'HS Codes'!$A$2:$A4416,0),MATCH(K$1,'HS Codes'!$D$1:$K$1,0)),"")</f>
        <v>6112.39.00</v>
      </c>
      <c r="L1862" s="8">
        <f>_xlfn.IFNA(INDEX('HS Codes'!$D$2:$K4416,MATCH($B1862,'HS Codes'!$A$2:$A4416,0),MATCH(L$1,'HS Codes'!$D$1:$K$1,0)),"")</f>
        <v>6202</v>
      </c>
      <c r="M1862" s="8" t="str">
        <f>_xlfn.IFNA(INDEX('HS Codes'!$C$2:$C4416,MATCH($B1862,'HS Codes'!$A$2:$A4416,0)),"")</f>
        <v>Beach Robe or Cloak 100% recycled 220 GSM/83% polyester/17% polyamide includes cotton on the packing pouch drawstring</v>
      </c>
      <c r="N1862" s="9"/>
      <c r="O1862" s="9"/>
      <c r="P1862" s="9"/>
      <c r="Q1862" s="9"/>
    </row>
    <row r="1863" spans="1:17" ht="15.75" customHeight="1">
      <c r="A1863" s="7" t="s">
        <v>2156</v>
      </c>
      <c r="B1863" s="7" t="s">
        <v>142</v>
      </c>
      <c r="C1863" s="7" t="s">
        <v>278</v>
      </c>
      <c r="D1863" s="7" t="s">
        <v>143</v>
      </c>
      <c r="E1863" s="7" t="s">
        <v>143</v>
      </c>
      <c r="F1863" s="8" t="str">
        <f>_xlfn.IFNA(INDEX('HS Codes'!$D$2:$K4417,MATCH($B1863,'HS Codes'!$A$2:$A4417,0),MATCH(F$1,'HS Codes'!$D$1:$K$1,0)),"")</f>
        <v>6101.90.90.30</v>
      </c>
      <c r="G1863" s="8">
        <f>_xlfn.IFNA(INDEX('HS Codes'!$D$2:$K4417,MATCH($B1863,'HS Codes'!$A$2:$A4417,0),MATCH(G$1,'HS Codes'!$D$1:$K$1,0)),"")</f>
        <v>6101309000</v>
      </c>
      <c r="H1863" s="8">
        <f>_xlfn.IFNA(INDEX('HS Codes'!$D$2:$K4417,MATCH($B1863,'HS Codes'!$A$2:$A4417,0),MATCH(H$1,'HS Codes'!$D$1:$K$1,0)),"")</f>
        <v>6112399000</v>
      </c>
      <c r="I1863" s="8" t="str">
        <f>_xlfn.IFNA(INDEX('HS Codes'!$D$2:$K4417,MATCH($B1863,'HS Codes'!$A$2:$A4417,0),MATCH(I$1,'HS Codes'!$D$1:$K$1,0)),"")</f>
        <v>6211 4390 00</v>
      </c>
      <c r="J1863" s="8">
        <f>_xlfn.IFNA(INDEX('HS Codes'!$D$2:$K4417,MATCH($B1863,'HS Codes'!$A$2:$A4417,0),MATCH(J$1,'HS Codes'!$D$1:$K$1,0)),"")</f>
        <v>6117109000</v>
      </c>
      <c r="K1863" s="8" t="str">
        <f>_xlfn.IFNA(INDEX('HS Codes'!$D$2:$K4417,MATCH($B1863,'HS Codes'!$A$2:$A4417,0),MATCH(K$1,'HS Codes'!$D$1:$K$1,0)),"")</f>
        <v>6112.39.00</v>
      </c>
      <c r="L1863" s="8">
        <f>_xlfn.IFNA(INDEX('HS Codes'!$D$2:$K4417,MATCH($B1863,'HS Codes'!$A$2:$A4417,0),MATCH(L$1,'HS Codes'!$D$1:$K$1,0)),"")</f>
        <v>6202</v>
      </c>
      <c r="M1863" s="8" t="str">
        <f>_xlfn.IFNA(INDEX('HS Codes'!$C$2:$C4417,MATCH($B1863,'HS Codes'!$A$2:$A4417,0)),"")</f>
        <v>Beach Robe or Cloak 100% recycled 220 GSM/83% polyester/17% polyamide includes cotton on the packing pouch drawstring</v>
      </c>
      <c r="N1863" s="9"/>
      <c r="O1863" s="9"/>
      <c r="P1863" s="9"/>
      <c r="Q1863" s="9"/>
    </row>
    <row r="1864" spans="1:17" ht="15.75" customHeight="1">
      <c r="A1864" s="7" t="s">
        <v>2157</v>
      </c>
      <c r="B1864" s="7" t="s">
        <v>142</v>
      </c>
      <c r="C1864" s="7" t="s">
        <v>278</v>
      </c>
      <c r="D1864" s="7" t="s">
        <v>143</v>
      </c>
      <c r="E1864" s="7" t="s">
        <v>143</v>
      </c>
      <c r="F1864" s="8" t="str">
        <f>_xlfn.IFNA(INDEX('HS Codes'!$D$2:$K4418,MATCH($B1864,'HS Codes'!$A$2:$A4418,0),MATCH(F$1,'HS Codes'!$D$1:$K$1,0)),"")</f>
        <v>6101.90.90.30</v>
      </c>
      <c r="G1864" s="8">
        <f>_xlfn.IFNA(INDEX('HS Codes'!$D$2:$K4418,MATCH($B1864,'HS Codes'!$A$2:$A4418,0),MATCH(G$1,'HS Codes'!$D$1:$K$1,0)),"")</f>
        <v>6101309000</v>
      </c>
      <c r="H1864" s="8">
        <f>_xlfn.IFNA(INDEX('HS Codes'!$D$2:$K4418,MATCH($B1864,'HS Codes'!$A$2:$A4418,0),MATCH(H$1,'HS Codes'!$D$1:$K$1,0)),"")</f>
        <v>6112399000</v>
      </c>
      <c r="I1864" s="8" t="str">
        <f>_xlfn.IFNA(INDEX('HS Codes'!$D$2:$K4418,MATCH($B1864,'HS Codes'!$A$2:$A4418,0),MATCH(I$1,'HS Codes'!$D$1:$K$1,0)),"")</f>
        <v>6211 4390 00</v>
      </c>
      <c r="J1864" s="8">
        <f>_xlfn.IFNA(INDEX('HS Codes'!$D$2:$K4418,MATCH($B1864,'HS Codes'!$A$2:$A4418,0),MATCH(J$1,'HS Codes'!$D$1:$K$1,0)),"")</f>
        <v>6117109000</v>
      </c>
      <c r="K1864" s="8" t="str">
        <f>_xlfn.IFNA(INDEX('HS Codes'!$D$2:$K4418,MATCH($B1864,'HS Codes'!$A$2:$A4418,0),MATCH(K$1,'HS Codes'!$D$1:$K$1,0)),"")</f>
        <v>6112.39.00</v>
      </c>
      <c r="L1864" s="8">
        <f>_xlfn.IFNA(INDEX('HS Codes'!$D$2:$K4418,MATCH($B1864,'HS Codes'!$A$2:$A4418,0),MATCH(L$1,'HS Codes'!$D$1:$K$1,0)),"")</f>
        <v>6202</v>
      </c>
      <c r="M1864" s="8" t="str">
        <f>_xlfn.IFNA(INDEX('HS Codes'!$C$2:$C4418,MATCH($B1864,'HS Codes'!$A$2:$A4418,0)),"")</f>
        <v>Beach Robe or Cloak 100% recycled 220 GSM/83% polyester/17% polyamide includes cotton on the packing pouch drawstring</v>
      </c>
      <c r="N1864" s="9"/>
      <c r="O1864" s="9"/>
      <c r="P1864" s="9"/>
      <c r="Q1864" s="9"/>
    </row>
    <row r="1865" spans="1:17" ht="15.75" customHeight="1">
      <c r="A1865" s="7" t="s">
        <v>2158</v>
      </c>
      <c r="B1865" s="7" t="s">
        <v>148</v>
      </c>
      <c r="C1865" s="7" t="s">
        <v>278</v>
      </c>
      <c r="D1865" s="7" t="s">
        <v>149</v>
      </c>
      <c r="E1865" s="7" t="s">
        <v>149</v>
      </c>
      <c r="F1865" s="8" t="str">
        <f>_xlfn.IFNA(INDEX('HS Codes'!$D$2:$K4419,MATCH($B1865,'HS Codes'!$A$2:$A4419,0),MATCH(F$1,'HS Codes'!$D$1:$K$1,0)),"")</f>
        <v>6101.90.90.30</v>
      </c>
      <c r="G1865" s="8">
        <f>_xlfn.IFNA(INDEX('HS Codes'!$D$2:$K4419,MATCH($B1865,'HS Codes'!$A$2:$A4419,0),MATCH(G$1,'HS Codes'!$D$1:$K$1,0)),"")</f>
        <v>6101309000</v>
      </c>
      <c r="H1865" s="8">
        <f>_xlfn.IFNA(INDEX('HS Codes'!$D$2:$K4419,MATCH($B1865,'HS Codes'!$A$2:$A4419,0),MATCH(H$1,'HS Codes'!$D$1:$K$1,0)),"")</f>
        <v>6112399000</v>
      </c>
      <c r="I1865" s="8" t="str">
        <f>_xlfn.IFNA(INDEX('HS Codes'!$D$2:$K4419,MATCH($B1865,'HS Codes'!$A$2:$A4419,0),MATCH(I$1,'HS Codes'!$D$1:$K$1,0)),"")</f>
        <v>6211 4390 00</v>
      </c>
      <c r="J1865" s="8">
        <f>_xlfn.IFNA(INDEX('HS Codes'!$D$2:$K4419,MATCH($B1865,'HS Codes'!$A$2:$A4419,0),MATCH(J$1,'HS Codes'!$D$1:$K$1,0)),"")</f>
        <v>6117109000</v>
      </c>
      <c r="K1865" s="8" t="str">
        <f>_xlfn.IFNA(INDEX('HS Codes'!$D$2:$K4419,MATCH($B1865,'HS Codes'!$A$2:$A4419,0),MATCH(K$1,'HS Codes'!$D$1:$K$1,0)),"")</f>
        <v>6112.39.00</v>
      </c>
      <c r="L1865" s="8">
        <f>_xlfn.IFNA(INDEX('HS Codes'!$D$2:$K4419,MATCH($B1865,'HS Codes'!$A$2:$A4419,0),MATCH(L$1,'HS Codes'!$D$1:$K$1,0)),"")</f>
        <v>6202</v>
      </c>
      <c r="M1865" s="8" t="str">
        <f>_xlfn.IFNA(INDEX('HS Codes'!$C$2:$C4419,MATCH($B1865,'HS Codes'!$A$2:$A4419,0)),"")</f>
        <v>Beach Robe or Cloak 100% recycled 220 GSM/83% polyester/17% polyamide includes cotton on the packing pouch drawstring</v>
      </c>
      <c r="N1865" s="9"/>
      <c r="O1865" s="9"/>
      <c r="P1865" s="9"/>
      <c r="Q1865" s="9"/>
    </row>
    <row r="1866" spans="1:17" ht="15.75" customHeight="1">
      <c r="A1866" s="7" t="s">
        <v>2159</v>
      </c>
      <c r="B1866" s="7" t="s">
        <v>148</v>
      </c>
      <c r="C1866" s="7" t="s">
        <v>278</v>
      </c>
      <c r="D1866" s="7" t="s">
        <v>149</v>
      </c>
      <c r="E1866" s="7" t="s">
        <v>149</v>
      </c>
      <c r="F1866" s="8" t="str">
        <f>_xlfn.IFNA(INDEX('HS Codes'!$D$2:$K4420,MATCH($B1866,'HS Codes'!$A$2:$A4420,0),MATCH(F$1,'HS Codes'!$D$1:$K$1,0)),"")</f>
        <v>6101.90.90.30</v>
      </c>
      <c r="G1866" s="8">
        <f>_xlfn.IFNA(INDEX('HS Codes'!$D$2:$K4420,MATCH($B1866,'HS Codes'!$A$2:$A4420,0),MATCH(G$1,'HS Codes'!$D$1:$K$1,0)),"")</f>
        <v>6101309000</v>
      </c>
      <c r="H1866" s="8">
        <f>_xlfn.IFNA(INDEX('HS Codes'!$D$2:$K4420,MATCH($B1866,'HS Codes'!$A$2:$A4420,0),MATCH(H$1,'HS Codes'!$D$1:$K$1,0)),"")</f>
        <v>6112399000</v>
      </c>
      <c r="I1866" s="8" t="str">
        <f>_xlfn.IFNA(INDEX('HS Codes'!$D$2:$K4420,MATCH($B1866,'HS Codes'!$A$2:$A4420,0),MATCH(I$1,'HS Codes'!$D$1:$K$1,0)),"")</f>
        <v>6211 4390 00</v>
      </c>
      <c r="J1866" s="8">
        <f>_xlfn.IFNA(INDEX('HS Codes'!$D$2:$K4420,MATCH($B1866,'HS Codes'!$A$2:$A4420,0),MATCH(J$1,'HS Codes'!$D$1:$K$1,0)),"")</f>
        <v>6117109000</v>
      </c>
      <c r="K1866" s="8" t="str">
        <f>_xlfn.IFNA(INDEX('HS Codes'!$D$2:$K4420,MATCH($B1866,'HS Codes'!$A$2:$A4420,0),MATCH(K$1,'HS Codes'!$D$1:$K$1,0)),"")</f>
        <v>6112.39.00</v>
      </c>
      <c r="L1866" s="8">
        <f>_xlfn.IFNA(INDEX('HS Codes'!$D$2:$K4420,MATCH($B1866,'HS Codes'!$A$2:$A4420,0),MATCH(L$1,'HS Codes'!$D$1:$K$1,0)),"")</f>
        <v>6202</v>
      </c>
      <c r="M1866" s="8" t="str">
        <f>_xlfn.IFNA(INDEX('HS Codes'!$C$2:$C4420,MATCH($B1866,'HS Codes'!$A$2:$A4420,0)),"")</f>
        <v>Beach Robe or Cloak 100% recycled 220 GSM/83% polyester/17% polyamide includes cotton on the packing pouch drawstring</v>
      </c>
      <c r="N1866" s="9"/>
      <c r="O1866" s="9"/>
      <c r="P1866" s="9"/>
      <c r="Q1866" s="9"/>
    </row>
    <row r="1867" spans="1:17" ht="15.75" customHeight="1">
      <c r="A1867" s="7" t="s">
        <v>2160</v>
      </c>
      <c r="B1867" s="7" t="s">
        <v>148</v>
      </c>
      <c r="C1867" s="7" t="s">
        <v>278</v>
      </c>
      <c r="D1867" s="7" t="s">
        <v>149</v>
      </c>
      <c r="E1867" s="7" t="s">
        <v>149</v>
      </c>
      <c r="F1867" s="8" t="str">
        <f>_xlfn.IFNA(INDEX('HS Codes'!$D$2:$K4421,MATCH($B1867,'HS Codes'!$A$2:$A4421,0),MATCH(F$1,'HS Codes'!$D$1:$K$1,0)),"")</f>
        <v>6101.90.90.30</v>
      </c>
      <c r="G1867" s="8">
        <f>_xlfn.IFNA(INDEX('HS Codes'!$D$2:$K4421,MATCH($B1867,'HS Codes'!$A$2:$A4421,0),MATCH(G$1,'HS Codes'!$D$1:$K$1,0)),"")</f>
        <v>6101309000</v>
      </c>
      <c r="H1867" s="8">
        <f>_xlfn.IFNA(INDEX('HS Codes'!$D$2:$K4421,MATCH($B1867,'HS Codes'!$A$2:$A4421,0),MATCH(H$1,'HS Codes'!$D$1:$K$1,0)),"")</f>
        <v>6112399000</v>
      </c>
      <c r="I1867" s="8" t="str">
        <f>_xlfn.IFNA(INDEX('HS Codes'!$D$2:$K4421,MATCH($B1867,'HS Codes'!$A$2:$A4421,0),MATCH(I$1,'HS Codes'!$D$1:$K$1,0)),"")</f>
        <v>6211 4390 00</v>
      </c>
      <c r="J1867" s="8">
        <f>_xlfn.IFNA(INDEX('HS Codes'!$D$2:$K4421,MATCH($B1867,'HS Codes'!$A$2:$A4421,0),MATCH(J$1,'HS Codes'!$D$1:$K$1,0)),"")</f>
        <v>6117109000</v>
      </c>
      <c r="K1867" s="8" t="str">
        <f>_xlfn.IFNA(INDEX('HS Codes'!$D$2:$K4421,MATCH($B1867,'HS Codes'!$A$2:$A4421,0),MATCH(K$1,'HS Codes'!$D$1:$K$1,0)),"")</f>
        <v>6112.39.00</v>
      </c>
      <c r="L1867" s="8">
        <f>_xlfn.IFNA(INDEX('HS Codes'!$D$2:$K4421,MATCH($B1867,'HS Codes'!$A$2:$A4421,0),MATCH(L$1,'HS Codes'!$D$1:$K$1,0)),"")</f>
        <v>6202</v>
      </c>
      <c r="M1867" s="8" t="str">
        <f>_xlfn.IFNA(INDEX('HS Codes'!$C$2:$C4421,MATCH($B1867,'HS Codes'!$A$2:$A4421,0)),"")</f>
        <v>Beach Robe or Cloak 100% recycled 220 GSM/83% polyester/17% polyamide includes cotton on the packing pouch drawstring</v>
      </c>
      <c r="N1867" s="9"/>
      <c r="O1867" s="9"/>
      <c r="P1867" s="9"/>
      <c r="Q1867" s="9"/>
    </row>
    <row r="1868" spans="1:17" ht="15.75" customHeight="1">
      <c r="A1868" s="7" t="s">
        <v>2161</v>
      </c>
      <c r="B1868" s="7" t="s">
        <v>148</v>
      </c>
      <c r="C1868" s="7" t="s">
        <v>278</v>
      </c>
      <c r="D1868" s="7" t="s">
        <v>149</v>
      </c>
      <c r="E1868" s="7" t="s">
        <v>149</v>
      </c>
      <c r="F1868" s="8" t="str">
        <f>_xlfn.IFNA(INDEX('HS Codes'!$D$2:$K4422,MATCH($B1868,'HS Codes'!$A$2:$A4422,0),MATCH(F$1,'HS Codes'!$D$1:$K$1,0)),"")</f>
        <v>6101.90.90.30</v>
      </c>
      <c r="G1868" s="8">
        <f>_xlfn.IFNA(INDEX('HS Codes'!$D$2:$K4422,MATCH($B1868,'HS Codes'!$A$2:$A4422,0),MATCH(G$1,'HS Codes'!$D$1:$K$1,0)),"")</f>
        <v>6101309000</v>
      </c>
      <c r="H1868" s="8">
        <f>_xlfn.IFNA(INDEX('HS Codes'!$D$2:$K4422,MATCH($B1868,'HS Codes'!$A$2:$A4422,0),MATCH(H$1,'HS Codes'!$D$1:$K$1,0)),"")</f>
        <v>6112399000</v>
      </c>
      <c r="I1868" s="8" t="str">
        <f>_xlfn.IFNA(INDEX('HS Codes'!$D$2:$K4422,MATCH($B1868,'HS Codes'!$A$2:$A4422,0),MATCH(I$1,'HS Codes'!$D$1:$K$1,0)),"")</f>
        <v>6211 4390 00</v>
      </c>
      <c r="J1868" s="8">
        <f>_xlfn.IFNA(INDEX('HS Codes'!$D$2:$K4422,MATCH($B1868,'HS Codes'!$A$2:$A4422,0),MATCH(J$1,'HS Codes'!$D$1:$K$1,0)),"")</f>
        <v>6117109000</v>
      </c>
      <c r="K1868" s="8" t="str">
        <f>_xlfn.IFNA(INDEX('HS Codes'!$D$2:$K4422,MATCH($B1868,'HS Codes'!$A$2:$A4422,0),MATCH(K$1,'HS Codes'!$D$1:$K$1,0)),"")</f>
        <v>6112.39.00</v>
      </c>
      <c r="L1868" s="8">
        <f>_xlfn.IFNA(INDEX('HS Codes'!$D$2:$K4422,MATCH($B1868,'HS Codes'!$A$2:$A4422,0),MATCH(L$1,'HS Codes'!$D$1:$K$1,0)),"")</f>
        <v>6202</v>
      </c>
      <c r="M1868" s="8" t="str">
        <f>_xlfn.IFNA(INDEX('HS Codes'!$C$2:$C4422,MATCH($B1868,'HS Codes'!$A$2:$A4422,0)),"")</f>
        <v>Beach Robe or Cloak 100% recycled 220 GSM/83% polyester/17% polyamide includes cotton on the packing pouch drawstring</v>
      </c>
      <c r="N1868" s="9"/>
      <c r="O1868" s="9"/>
      <c r="P1868" s="9"/>
      <c r="Q1868" s="9"/>
    </row>
    <row r="1869" spans="1:17" ht="15.75" customHeight="1">
      <c r="A1869" s="7" t="s">
        <v>2162</v>
      </c>
      <c r="B1869" s="7" t="s">
        <v>148</v>
      </c>
      <c r="C1869" s="7" t="s">
        <v>278</v>
      </c>
      <c r="D1869" s="7" t="s">
        <v>149</v>
      </c>
      <c r="E1869" s="7" t="s">
        <v>149</v>
      </c>
      <c r="F1869" s="8" t="str">
        <f>_xlfn.IFNA(INDEX('HS Codes'!$D$2:$K4423,MATCH($B1869,'HS Codes'!$A$2:$A4423,0),MATCH(F$1,'HS Codes'!$D$1:$K$1,0)),"")</f>
        <v>6101.90.90.30</v>
      </c>
      <c r="G1869" s="8">
        <f>_xlfn.IFNA(INDEX('HS Codes'!$D$2:$K4423,MATCH($B1869,'HS Codes'!$A$2:$A4423,0),MATCH(G$1,'HS Codes'!$D$1:$K$1,0)),"")</f>
        <v>6101309000</v>
      </c>
      <c r="H1869" s="8">
        <f>_xlfn.IFNA(INDEX('HS Codes'!$D$2:$K4423,MATCH($B1869,'HS Codes'!$A$2:$A4423,0),MATCH(H$1,'HS Codes'!$D$1:$K$1,0)),"")</f>
        <v>6112399000</v>
      </c>
      <c r="I1869" s="8" t="str">
        <f>_xlfn.IFNA(INDEX('HS Codes'!$D$2:$K4423,MATCH($B1869,'HS Codes'!$A$2:$A4423,0),MATCH(I$1,'HS Codes'!$D$1:$K$1,0)),"")</f>
        <v>6211 4390 00</v>
      </c>
      <c r="J1869" s="8">
        <f>_xlfn.IFNA(INDEX('HS Codes'!$D$2:$K4423,MATCH($B1869,'HS Codes'!$A$2:$A4423,0),MATCH(J$1,'HS Codes'!$D$1:$K$1,0)),"")</f>
        <v>6117109000</v>
      </c>
      <c r="K1869" s="8" t="str">
        <f>_xlfn.IFNA(INDEX('HS Codes'!$D$2:$K4423,MATCH($B1869,'HS Codes'!$A$2:$A4423,0),MATCH(K$1,'HS Codes'!$D$1:$K$1,0)),"")</f>
        <v>6112.39.00</v>
      </c>
      <c r="L1869" s="8">
        <f>_xlfn.IFNA(INDEX('HS Codes'!$D$2:$K4423,MATCH($B1869,'HS Codes'!$A$2:$A4423,0),MATCH(L$1,'HS Codes'!$D$1:$K$1,0)),"")</f>
        <v>6202</v>
      </c>
      <c r="M1869" s="8" t="str">
        <f>_xlfn.IFNA(INDEX('HS Codes'!$C$2:$C4423,MATCH($B1869,'HS Codes'!$A$2:$A4423,0)),"")</f>
        <v>Beach Robe or Cloak 100% recycled 220 GSM/83% polyester/17% polyamide includes cotton on the packing pouch drawstring</v>
      </c>
      <c r="N1869" s="9"/>
      <c r="O1869" s="9"/>
      <c r="P1869" s="9"/>
      <c r="Q1869" s="9"/>
    </row>
    <row r="1870" spans="1:17" ht="15.75" customHeight="1">
      <c r="A1870" s="7" t="s">
        <v>2163</v>
      </c>
      <c r="B1870" s="7" t="s">
        <v>148</v>
      </c>
      <c r="C1870" s="7" t="s">
        <v>278</v>
      </c>
      <c r="D1870" s="7" t="s">
        <v>149</v>
      </c>
      <c r="E1870" s="7" t="s">
        <v>149</v>
      </c>
      <c r="F1870" s="8" t="str">
        <f>_xlfn.IFNA(INDEX('HS Codes'!$D$2:$K4424,MATCH($B1870,'HS Codes'!$A$2:$A4424,0),MATCH(F$1,'HS Codes'!$D$1:$K$1,0)),"")</f>
        <v>6101.90.90.30</v>
      </c>
      <c r="G1870" s="8">
        <f>_xlfn.IFNA(INDEX('HS Codes'!$D$2:$K4424,MATCH($B1870,'HS Codes'!$A$2:$A4424,0),MATCH(G$1,'HS Codes'!$D$1:$K$1,0)),"")</f>
        <v>6101309000</v>
      </c>
      <c r="H1870" s="8">
        <f>_xlfn.IFNA(INDEX('HS Codes'!$D$2:$K4424,MATCH($B1870,'HS Codes'!$A$2:$A4424,0),MATCH(H$1,'HS Codes'!$D$1:$K$1,0)),"")</f>
        <v>6112399000</v>
      </c>
      <c r="I1870" s="8" t="str">
        <f>_xlfn.IFNA(INDEX('HS Codes'!$D$2:$K4424,MATCH($B1870,'HS Codes'!$A$2:$A4424,0),MATCH(I$1,'HS Codes'!$D$1:$K$1,0)),"")</f>
        <v>6211 4390 00</v>
      </c>
      <c r="J1870" s="8">
        <f>_xlfn.IFNA(INDEX('HS Codes'!$D$2:$K4424,MATCH($B1870,'HS Codes'!$A$2:$A4424,0),MATCH(J$1,'HS Codes'!$D$1:$K$1,0)),"")</f>
        <v>6117109000</v>
      </c>
      <c r="K1870" s="8" t="str">
        <f>_xlfn.IFNA(INDEX('HS Codes'!$D$2:$K4424,MATCH($B1870,'HS Codes'!$A$2:$A4424,0),MATCH(K$1,'HS Codes'!$D$1:$K$1,0)),"")</f>
        <v>6112.39.00</v>
      </c>
      <c r="L1870" s="8">
        <f>_xlfn.IFNA(INDEX('HS Codes'!$D$2:$K4424,MATCH($B1870,'HS Codes'!$A$2:$A4424,0),MATCH(L$1,'HS Codes'!$D$1:$K$1,0)),"")</f>
        <v>6202</v>
      </c>
      <c r="M1870" s="8" t="str">
        <f>_xlfn.IFNA(INDEX('HS Codes'!$C$2:$C4424,MATCH($B1870,'HS Codes'!$A$2:$A4424,0)),"")</f>
        <v>Beach Robe or Cloak 100% recycled 220 GSM/83% polyester/17% polyamide includes cotton on the packing pouch drawstring</v>
      </c>
      <c r="N1870" s="9"/>
      <c r="O1870" s="9"/>
      <c r="P1870" s="9"/>
      <c r="Q1870" s="9"/>
    </row>
    <row r="1871" spans="1:17" ht="15.75" customHeight="1">
      <c r="A1871" s="7" t="s">
        <v>2164</v>
      </c>
      <c r="B1871" s="7" t="s">
        <v>148</v>
      </c>
      <c r="C1871" s="7" t="s">
        <v>278</v>
      </c>
      <c r="D1871" s="7" t="s">
        <v>149</v>
      </c>
      <c r="E1871" s="7" t="s">
        <v>149</v>
      </c>
      <c r="F1871" s="8" t="str">
        <f>_xlfn.IFNA(INDEX('HS Codes'!$D$2:$K4425,MATCH($B1871,'HS Codes'!$A$2:$A4425,0),MATCH(F$1,'HS Codes'!$D$1:$K$1,0)),"")</f>
        <v>6101.90.90.30</v>
      </c>
      <c r="G1871" s="8">
        <f>_xlfn.IFNA(INDEX('HS Codes'!$D$2:$K4425,MATCH($B1871,'HS Codes'!$A$2:$A4425,0),MATCH(G$1,'HS Codes'!$D$1:$K$1,0)),"")</f>
        <v>6101309000</v>
      </c>
      <c r="H1871" s="8">
        <f>_xlfn.IFNA(INDEX('HS Codes'!$D$2:$K4425,MATCH($B1871,'HS Codes'!$A$2:$A4425,0),MATCH(H$1,'HS Codes'!$D$1:$K$1,0)),"")</f>
        <v>6112399000</v>
      </c>
      <c r="I1871" s="8" t="str">
        <f>_xlfn.IFNA(INDEX('HS Codes'!$D$2:$K4425,MATCH($B1871,'HS Codes'!$A$2:$A4425,0),MATCH(I$1,'HS Codes'!$D$1:$K$1,0)),"")</f>
        <v>6211 4390 00</v>
      </c>
      <c r="J1871" s="8">
        <f>_xlfn.IFNA(INDEX('HS Codes'!$D$2:$K4425,MATCH($B1871,'HS Codes'!$A$2:$A4425,0),MATCH(J$1,'HS Codes'!$D$1:$K$1,0)),"")</f>
        <v>6117109000</v>
      </c>
      <c r="K1871" s="8" t="str">
        <f>_xlfn.IFNA(INDEX('HS Codes'!$D$2:$K4425,MATCH($B1871,'HS Codes'!$A$2:$A4425,0),MATCH(K$1,'HS Codes'!$D$1:$K$1,0)),"")</f>
        <v>6112.39.00</v>
      </c>
      <c r="L1871" s="8">
        <f>_xlfn.IFNA(INDEX('HS Codes'!$D$2:$K4425,MATCH($B1871,'HS Codes'!$A$2:$A4425,0),MATCH(L$1,'HS Codes'!$D$1:$K$1,0)),"")</f>
        <v>6202</v>
      </c>
      <c r="M1871" s="8" t="str">
        <f>_xlfn.IFNA(INDEX('HS Codes'!$C$2:$C4425,MATCH($B1871,'HS Codes'!$A$2:$A4425,0)),"")</f>
        <v>Beach Robe or Cloak 100% recycled 220 GSM/83% polyester/17% polyamide includes cotton on the packing pouch drawstring</v>
      </c>
      <c r="N1871" s="9"/>
      <c r="O1871" s="9"/>
      <c r="P1871" s="9"/>
      <c r="Q1871" s="9"/>
    </row>
    <row r="1872" spans="1:17" ht="15.75" customHeight="1">
      <c r="A1872" s="7" t="s">
        <v>2165</v>
      </c>
      <c r="B1872" s="7" t="s">
        <v>148</v>
      </c>
      <c r="C1872" s="7" t="s">
        <v>278</v>
      </c>
      <c r="D1872" s="7" t="s">
        <v>149</v>
      </c>
      <c r="E1872" s="7" t="s">
        <v>149</v>
      </c>
      <c r="F1872" s="8" t="str">
        <f>_xlfn.IFNA(INDEX('HS Codes'!$D$2:$K4426,MATCH($B1872,'HS Codes'!$A$2:$A4426,0),MATCH(F$1,'HS Codes'!$D$1:$K$1,0)),"")</f>
        <v>6101.90.90.30</v>
      </c>
      <c r="G1872" s="8">
        <f>_xlfn.IFNA(INDEX('HS Codes'!$D$2:$K4426,MATCH($B1872,'HS Codes'!$A$2:$A4426,0),MATCH(G$1,'HS Codes'!$D$1:$K$1,0)),"")</f>
        <v>6101309000</v>
      </c>
      <c r="H1872" s="8">
        <f>_xlfn.IFNA(INDEX('HS Codes'!$D$2:$K4426,MATCH($B1872,'HS Codes'!$A$2:$A4426,0),MATCH(H$1,'HS Codes'!$D$1:$K$1,0)),"")</f>
        <v>6112399000</v>
      </c>
      <c r="I1872" s="8" t="str">
        <f>_xlfn.IFNA(INDEX('HS Codes'!$D$2:$K4426,MATCH($B1872,'HS Codes'!$A$2:$A4426,0),MATCH(I$1,'HS Codes'!$D$1:$K$1,0)),"")</f>
        <v>6211 4390 00</v>
      </c>
      <c r="J1872" s="8">
        <f>_xlfn.IFNA(INDEX('HS Codes'!$D$2:$K4426,MATCH($B1872,'HS Codes'!$A$2:$A4426,0),MATCH(J$1,'HS Codes'!$D$1:$K$1,0)),"")</f>
        <v>6117109000</v>
      </c>
      <c r="K1872" s="8" t="str">
        <f>_xlfn.IFNA(INDEX('HS Codes'!$D$2:$K4426,MATCH($B1872,'HS Codes'!$A$2:$A4426,0),MATCH(K$1,'HS Codes'!$D$1:$K$1,0)),"")</f>
        <v>6112.39.00</v>
      </c>
      <c r="L1872" s="8">
        <f>_xlfn.IFNA(INDEX('HS Codes'!$D$2:$K4426,MATCH($B1872,'HS Codes'!$A$2:$A4426,0),MATCH(L$1,'HS Codes'!$D$1:$K$1,0)),"")</f>
        <v>6202</v>
      </c>
      <c r="M1872" s="8" t="str">
        <f>_xlfn.IFNA(INDEX('HS Codes'!$C$2:$C4426,MATCH($B1872,'HS Codes'!$A$2:$A4426,0)),"")</f>
        <v>Beach Robe or Cloak 100% recycled 220 GSM/83% polyester/17% polyamide includes cotton on the packing pouch drawstring</v>
      </c>
      <c r="N1872" s="9"/>
      <c r="O1872" s="9"/>
      <c r="P1872" s="9"/>
      <c r="Q1872" s="9"/>
    </row>
    <row r="1873" spans="1:17" ht="15.75" customHeight="1">
      <c r="A1873" s="7" t="s">
        <v>2166</v>
      </c>
      <c r="B1873" s="7" t="s">
        <v>148</v>
      </c>
      <c r="C1873" s="7" t="s">
        <v>278</v>
      </c>
      <c r="D1873" s="7" t="s">
        <v>149</v>
      </c>
      <c r="E1873" s="7" t="s">
        <v>149</v>
      </c>
      <c r="F1873" s="8" t="str">
        <f>_xlfn.IFNA(INDEX('HS Codes'!$D$2:$K4427,MATCH($B1873,'HS Codes'!$A$2:$A4427,0),MATCH(F$1,'HS Codes'!$D$1:$K$1,0)),"")</f>
        <v>6101.90.90.30</v>
      </c>
      <c r="G1873" s="8">
        <f>_xlfn.IFNA(INDEX('HS Codes'!$D$2:$K4427,MATCH($B1873,'HS Codes'!$A$2:$A4427,0),MATCH(G$1,'HS Codes'!$D$1:$K$1,0)),"")</f>
        <v>6101309000</v>
      </c>
      <c r="H1873" s="8">
        <f>_xlfn.IFNA(INDEX('HS Codes'!$D$2:$K4427,MATCH($B1873,'HS Codes'!$A$2:$A4427,0),MATCH(H$1,'HS Codes'!$D$1:$K$1,0)),"")</f>
        <v>6112399000</v>
      </c>
      <c r="I1873" s="8" t="str">
        <f>_xlfn.IFNA(INDEX('HS Codes'!$D$2:$K4427,MATCH($B1873,'HS Codes'!$A$2:$A4427,0),MATCH(I$1,'HS Codes'!$D$1:$K$1,0)),"")</f>
        <v>6211 4390 00</v>
      </c>
      <c r="J1873" s="8">
        <f>_xlfn.IFNA(INDEX('HS Codes'!$D$2:$K4427,MATCH($B1873,'HS Codes'!$A$2:$A4427,0),MATCH(J$1,'HS Codes'!$D$1:$K$1,0)),"")</f>
        <v>6117109000</v>
      </c>
      <c r="K1873" s="8" t="str">
        <f>_xlfn.IFNA(INDEX('HS Codes'!$D$2:$K4427,MATCH($B1873,'HS Codes'!$A$2:$A4427,0),MATCH(K$1,'HS Codes'!$D$1:$K$1,0)),"")</f>
        <v>6112.39.00</v>
      </c>
      <c r="L1873" s="8">
        <f>_xlfn.IFNA(INDEX('HS Codes'!$D$2:$K4427,MATCH($B1873,'HS Codes'!$A$2:$A4427,0),MATCH(L$1,'HS Codes'!$D$1:$K$1,0)),"")</f>
        <v>6202</v>
      </c>
      <c r="M1873" s="8" t="str">
        <f>_xlfn.IFNA(INDEX('HS Codes'!$C$2:$C4427,MATCH($B1873,'HS Codes'!$A$2:$A4427,0)),"")</f>
        <v>Beach Robe or Cloak 100% recycled 220 GSM/83% polyester/17% polyamide includes cotton on the packing pouch drawstring</v>
      </c>
      <c r="N1873" s="9"/>
      <c r="O1873" s="9"/>
      <c r="P1873" s="9"/>
      <c r="Q1873" s="9"/>
    </row>
    <row r="1874" spans="1:17" ht="15.75" customHeight="1">
      <c r="A1874" s="7" t="s">
        <v>2167</v>
      </c>
      <c r="B1874" s="7" t="s">
        <v>148</v>
      </c>
      <c r="C1874" s="7" t="s">
        <v>278</v>
      </c>
      <c r="D1874" s="7" t="s">
        <v>149</v>
      </c>
      <c r="E1874" s="7" t="s">
        <v>149</v>
      </c>
      <c r="F1874" s="8" t="str">
        <f>_xlfn.IFNA(INDEX('HS Codes'!$D$2:$K4428,MATCH($B1874,'HS Codes'!$A$2:$A4428,0),MATCH(F$1,'HS Codes'!$D$1:$K$1,0)),"")</f>
        <v>6101.90.90.30</v>
      </c>
      <c r="G1874" s="8">
        <f>_xlfn.IFNA(INDEX('HS Codes'!$D$2:$K4428,MATCH($B1874,'HS Codes'!$A$2:$A4428,0),MATCH(G$1,'HS Codes'!$D$1:$K$1,0)),"")</f>
        <v>6101309000</v>
      </c>
      <c r="H1874" s="8">
        <f>_xlfn.IFNA(INDEX('HS Codes'!$D$2:$K4428,MATCH($B1874,'HS Codes'!$A$2:$A4428,0),MATCH(H$1,'HS Codes'!$D$1:$K$1,0)),"")</f>
        <v>6112399000</v>
      </c>
      <c r="I1874" s="8" t="str">
        <f>_xlfn.IFNA(INDEX('HS Codes'!$D$2:$K4428,MATCH($B1874,'HS Codes'!$A$2:$A4428,0),MATCH(I$1,'HS Codes'!$D$1:$K$1,0)),"")</f>
        <v>6211 4390 00</v>
      </c>
      <c r="J1874" s="8">
        <f>_xlfn.IFNA(INDEX('HS Codes'!$D$2:$K4428,MATCH($B1874,'HS Codes'!$A$2:$A4428,0),MATCH(J$1,'HS Codes'!$D$1:$K$1,0)),"")</f>
        <v>6117109000</v>
      </c>
      <c r="K1874" s="8" t="str">
        <f>_xlfn.IFNA(INDEX('HS Codes'!$D$2:$K4428,MATCH($B1874,'HS Codes'!$A$2:$A4428,0),MATCH(K$1,'HS Codes'!$D$1:$K$1,0)),"")</f>
        <v>6112.39.00</v>
      </c>
      <c r="L1874" s="8">
        <f>_xlfn.IFNA(INDEX('HS Codes'!$D$2:$K4428,MATCH($B1874,'HS Codes'!$A$2:$A4428,0),MATCH(L$1,'HS Codes'!$D$1:$K$1,0)),"")</f>
        <v>6202</v>
      </c>
      <c r="M1874" s="8" t="str">
        <f>_xlfn.IFNA(INDEX('HS Codes'!$C$2:$C4428,MATCH($B1874,'HS Codes'!$A$2:$A4428,0)),"")</f>
        <v>Beach Robe or Cloak 100% recycled 220 GSM/83% polyester/17% polyamide includes cotton on the packing pouch drawstring</v>
      </c>
      <c r="N1874" s="9"/>
      <c r="O1874" s="9"/>
      <c r="P1874" s="9"/>
      <c r="Q1874" s="9"/>
    </row>
    <row r="1875" spans="1:17" ht="15.75" customHeight="1">
      <c r="A1875" s="7" t="s">
        <v>2168</v>
      </c>
      <c r="B1875" s="7" t="s">
        <v>148</v>
      </c>
      <c r="C1875" s="7" t="s">
        <v>278</v>
      </c>
      <c r="D1875" s="7" t="s">
        <v>149</v>
      </c>
      <c r="E1875" s="7" t="s">
        <v>149</v>
      </c>
      <c r="F1875" s="8" t="str">
        <f>_xlfn.IFNA(INDEX('HS Codes'!$D$2:$K4429,MATCH($B1875,'HS Codes'!$A$2:$A4429,0),MATCH(F$1,'HS Codes'!$D$1:$K$1,0)),"")</f>
        <v>6101.90.90.30</v>
      </c>
      <c r="G1875" s="8">
        <f>_xlfn.IFNA(INDEX('HS Codes'!$D$2:$K4429,MATCH($B1875,'HS Codes'!$A$2:$A4429,0),MATCH(G$1,'HS Codes'!$D$1:$K$1,0)),"")</f>
        <v>6101309000</v>
      </c>
      <c r="H1875" s="8">
        <f>_xlfn.IFNA(INDEX('HS Codes'!$D$2:$K4429,MATCH($B1875,'HS Codes'!$A$2:$A4429,0),MATCH(H$1,'HS Codes'!$D$1:$K$1,0)),"")</f>
        <v>6112399000</v>
      </c>
      <c r="I1875" s="8" t="str">
        <f>_xlfn.IFNA(INDEX('HS Codes'!$D$2:$K4429,MATCH($B1875,'HS Codes'!$A$2:$A4429,0),MATCH(I$1,'HS Codes'!$D$1:$K$1,0)),"")</f>
        <v>6211 4390 00</v>
      </c>
      <c r="J1875" s="8">
        <f>_xlfn.IFNA(INDEX('HS Codes'!$D$2:$K4429,MATCH($B1875,'HS Codes'!$A$2:$A4429,0),MATCH(J$1,'HS Codes'!$D$1:$K$1,0)),"")</f>
        <v>6117109000</v>
      </c>
      <c r="K1875" s="8" t="str">
        <f>_xlfn.IFNA(INDEX('HS Codes'!$D$2:$K4429,MATCH($B1875,'HS Codes'!$A$2:$A4429,0),MATCH(K$1,'HS Codes'!$D$1:$K$1,0)),"")</f>
        <v>6112.39.00</v>
      </c>
      <c r="L1875" s="8">
        <f>_xlfn.IFNA(INDEX('HS Codes'!$D$2:$K4429,MATCH($B1875,'HS Codes'!$A$2:$A4429,0),MATCH(L$1,'HS Codes'!$D$1:$K$1,0)),"")</f>
        <v>6202</v>
      </c>
      <c r="M1875" s="8" t="str">
        <f>_xlfn.IFNA(INDEX('HS Codes'!$C$2:$C4429,MATCH($B1875,'HS Codes'!$A$2:$A4429,0)),"")</f>
        <v>Beach Robe or Cloak 100% recycled 220 GSM/83% polyester/17% polyamide includes cotton on the packing pouch drawstring</v>
      </c>
      <c r="N1875" s="9"/>
      <c r="O1875" s="9"/>
      <c r="P1875" s="9"/>
      <c r="Q1875" s="9"/>
    </row>
    <row r="1876" spans="1:17" ht="15.75" customHeight="1">
      <c r="A1876" s="7" t="s">
        <v>2169</v>
      </c>
      <c r="B1876" s="7" t="s">
        <v>148</v>
      </c>
      <c r="C1876" s="7" t="s">
        <v>278</v>
      </c>
      <c r="D1876" s="7" t="s">
        <v>149</v>
      </c>
      <c r="E1876" s="7" t="s">
        <v>149</v>
      </c>
      <c r="F1876" s="8" t="str">
        <f>_xlfn.IFNA(INDEX('HS Codes'!$D$2:$K4430,MATCH($B1876,'HS Codes'!$A$2:$A4430,0),MATCH(F$1,'HS Codes'!$D$1:$K$1,0)),"")</f>
        <v>6101.90.90.30</v>
      </c>
      <c r="G1876" s="8">
        <f>_xlfn.IFNA(INDEX('HS Codes'!$D$2:$K4430,MATCH($B1876,'HS Codes'!$A$2:$A4430,0),MATCH(G$1,'HS Codes'!$D$1:$K$1,0)),"")</f>
        <v>6101309000</v>
      </c>
      <c r="H1876" s="8">
        <f>_xlfn.IFNA(INDEX('HS Codes'!$D$2:$K4430,MATCH($B1876,'HS Codes'!$A$2:$A4430,0),MATCH(H$1,'HS Codes'!$D$1:$K$1,0)),"")</f>
        <v>6112399000</v>
      </c>
      <c r="I1876" s="8" t="str">
        <f>_xlfn.IFNA(INDEX('HS Codes'!$D$2:$K4430,MATCH($B1876,'HS Codes'!$A$2:$A4430,0),MATCH(I$1,'HS Codes'!$D$1:$K$1,0)),"")</f>
        <v>6211 4390 00</v>
      </c>
      <c r="J1876" s="8">
        <f>_xlfn.IFNA(INDEX('HS Codes'!$D$2:$K4430,MATCH($B1876,'HS Codes'!$A$2:$A4430,0),MATCH(J$1,'HS Codes'!$D$1:$K$1,0)),"")</f>
        <v>6117109000</v>
      </c>
      <c r="K1876" s="8" t="str">
        <f>_xlfn.IFNA(INDEX('HS Codes'!$D$2:$K4430,MATCH($B1876,'HS Codes'!$A$2:$A4430,0),MATCH(K$1,'HS Codes'!$D$1:$K$1,0)),"")</f>
        <v>6112.39.00</v>
      </c>
      <c r="L1876" s="8">
        <f>_xlfn.IFNA(INDEX('HS Codes'!$D$2:$K4430,MATCH($B1876,'HS Codes'!$A$2:$A4430,0),MATCH(L$1,'HS Codes'!$D$1:$K$1,0)),"")</f>
        <v>6202</v>
      </c>
      <c r="M1876" s="8" t="str">
        <f>_xlfn.IFNA(INDEX('HS Codes'!$C$2:$C4430,MATCH($B1876,'HS Codes'!$A$2:$A4430,0)),"")</f>
        <v>Beach Robe or Cloak 100% recycled 220 GSM/83% polyester/17% polyamide includes cotton on the packing pouch drawstring</v>
      </c>
      <c r="N1876" s="9"/>
      <c r="O1876" s="9"/>
      <c r="P1876" s="9"/>
      <c r="Q1876" s="9"/>
    </row>
    <row r="1877" spans="1:17" ht="15.75" customHeight="1">
      <c r="A1877" s="7" t="s">
        <v>2170</v>
      </c>
      <c r="B1877" s="7" t="s">
        <v>148</v>
      </c>
      <c r="C1877" s="7" t="s">
        <v>278</v>
      </c>
      <c r="D1877" s="7" t="s">
        <v>149</v>
      </c>
      <c r="E1877" s="7" t="s">
        <v>149</v>
      </c>
      <c r="F1877" s="8" t="str">
        <f>_xlfn.IFNA(INDEX('HS Codes'!$D$2:$K4431,MATCH($B1877,'HS Codes'!$A$2:$A4431,0),MATCH(F$1,'HS Codes'!$D$1:$K$1,0)),"")</f>
        <v>6101.90.90.30</v>
      </c>
      <c r="G1877" s="8">
        <f>_xlfn.IFNA(INDEX('HS Codes'!$D$2:$K4431,MATCH($B1877,'HS Codes'!$A$2:$A4431,0),MATCH(G$1,'HS Codes'!$D$1:$K$1,0)),"")</f>
        <v>6101309000</v>
      </c>
      <c r="H1877" s="8">
        <f>_xlfn.IFNA(INDEX('HS Codes'!$D$2:$K4431,MATCH($B1877,'HS Codes'!$A$2:$A4431,0),MATCH(H$1,'HS Codes'!$D$1:$K$1,0)),"")</f>
        <v>6112399000</v>
      </c>
      <c r="I1877" s="8" t="str">
        <f>_xlfn.IFNA(INDEX('HS Codes'!$D$2:$K4431,MATCH($B1877,'HS Codes'!$A$2:$A4431,0),MATCH(I$1,'HS Codes'!$D$1:$K$1,0)),"")</f>
        <v>6211 4390 00</v>
      </c>
      <c r="J1877" s="8">
        <f>_xlfn.IFNA(INDEX('HS Codes'!$D$2:$K4431,MATCH($B1877,'HS Codes'!$A$2:$A4431,0),MATCH(J$1,'HS Codes'!$D$1:$K$1,0)),"")</f>
        <v>6117109000</v>
      </c>
      <c r="K1877" s="8" t="str">
        <f>_xlfn.IFNA(INDEX('HS Codes'!$D$2:$K4431,MATCH($B1877,'HS Codes'!$A$2:$A4431,0),MATCH(K$1,'HS Codes'!$D$1:$K$1,0)),"")</f>
        <v>6112.39.00</v>
      </c>
      <c r="L1877" s="8">
        <f>_xlfn.IFNA(INDEX('HS Codes'!$D$2:$K4431,MATCH($B1877,'HS Codes'!$A$2:$A4431,0),MATCH(L$1,'HS Codes'!$D$1:$K$1,0)),"")</f>
        <v>6202</v>
      </c>
      <c r="M1877" s="8" t="str">
        <f>_xlfn.IFNA(INDEX('HS Codes'!$C$2:$C4431,MATCH($B1877,'HS Codes'!$A$2:$A4431,0)),"")</f>
        <v>Beach Robe or Cloak 100% recycled 220 GSM/83% polyester/17% polyamide includes cotton on the packing pouch drawstring</v>
      </c>
      <c r="N1877" s="9"/>
      <c r="O1877" s="9"/>
      <c r="P1877" s="9"/>
      <c r="Q1877" s="9"/>
    </row>
    <row r="1878" spans="1:17" ht="15.75" customHeight="1">
      <c r="A1878" s="7" t="s">
        <v>2171</v>
      </c>
      <c r="B1878" s="7" t="s">
        <v>148</v>
      </c>
      <c r="C1878" s="7" t="s">
        <v>278</v>
      </c>
      <c r="D1878" s="7" t="s">
        <v>149</v>
      </c>
      <c r="E1878" s="7" t="s">
        <v>149</v>
      </c>
      <c r="F1878" s="8" t="str">
        <f>_xlfn.IFNA(INDEX('HS Codes'!$D$2:$K4432,MATCH($B1878,'HS Codes'!$A$2:$A4432,0),MATCH(F$1,'HS Codes'!$D$1:$K$1,0)),"")</f>
        <v>6101.90.90.30</v>
      </c>
      <c r="G1878" s="8">
        <f>_xlfn.IFNA(INDEX('HS Codes'!$D$2:$K4432,MATCH($B1878,'HS Codes'!$A$2:$A4432,0),MATCH(G$1,'HS Codes'!$D$1:$K$1,0)),"")</f>
        <v>6101309000</v>
      </c>
      <c r="H1878" s="8">
        <f>_xlfn.IFNA(INDEX('HS Codes'!$D$2:$K4432,MATCH($B1878,'HS Codes'!$A$2:$A4432,0),MATCH(H$1,'HS Codes'!$D$1:$K$1,0)),"")</f>
        <v>6112399000</v>
      </c>
      <c r="I1878" s="8" t="str">
        <f>_xlfn.IFNA(INDEX('HS Codes'!$D$2:$K4432,MATCH($B1878,'HS Codes'!$A$2:$A4432,0),MATCH(I$1,'HS Codes'!$D$1:$K$1,0)),"")</f>
        <v>6211 4390 00</v>
      </c>
      <c r="J1878" s="8">
        <f>_xlfn.IFNA(INDEX('HS Codes'!$D$2:$K4432,MATCH($B1878,'HS Codes'!$A$2:$A4432,0),MATCH(J$1,'HS Codes'!$D$1:$K$1,0)),"")</f>
        <v>6117109000</v>
      </c>
      <c r="K1878" s="8" t="str">
        <f>_xlfn.IFNA(INDEX('HS Codes'!$D$2:$K4432,MATCH($B1878,'HS Codes'!$A$2:$A4432,0),MATCH(K$1,'HS Codes'!$D$1:$K$1,0)),"")</f>
        <v>6112.39.00</v>
      </c>
      <c r="L1878" s="8">
        <f>_xlfn.IFNA(INDEX('HS Codes'!$D$2:$K4432,MATCH($B1878,'HS Codes'!$A$2:$A4432,0),MATCH(L$1,'HS Codes'!$D$1:$K$1,0)),"")</f>
        <v>6202</v>
      </c>
      <c r="M1878" s="8" t="str">
        <f>_xlfn.IFNA(INDEX('HS Codes'!$C$2:$C4432,MATCH($B1878,'HS Codes'!$A$2:$A4432,0)),"")</f>
        <v>Beach Robe or Cloak 100% recycled 220 GSM/83% polyester/17% polyamide includes cotton on the packing pouch drawstring</v>
      </c>
      <c r="N1878" s="9"/>
      <c r="O1878" s="9"/>
      <c r="P1878" s="9"/>
      <c r="Q1878" s="9"/>
    </row>
    <row r="1879" spans="1:17" ht="15.75" customHeight="1">
      <c r="A1879" s="7" t="s">
        <v>2172</v>
      </c>
      <c r="B1879" s="7" t="s">
        <v>148</v>
      </c>
      <c r="C1879" s="7" t="s">
        <v>278</v>
      </c>
      <c r="D1879" s="7" t="s">
        <v>149</v>
      </c>
      <c r="E1879" s="7" t="s">
        <v>149</v>
      </c>
      <c r="F1879" s="8" t="str">
        <f>_xlfn.IFNA(INDEX('HS Codes'!$D$2:$K4433,MATCH($B1879,'HS Codes'!$A$2:$A4433,0),MATCH(F$1,'HS Codes'!$D$1:$K$1,0)),"")</f>
        <v>6101.90.90.30</v>
      </c>
      <c r="G1879" s="8">
        <f>_xlfn.IFNA(INDEX('HS Codes'!$D$2:$K4433,MATCH($B1879,'HS Codes'!$A$2:$A4433,0),MATCH(G$1,'HS Codes'!$D$1:$K$1,0)),"")</f>
        <v>6101309000</v>
      </c>
      <c r="H1879" s="8">
        <f>_xlfn.IFNA(INDEX('HS Codes'!$D$2:$K4433,MATCH($B1879,'HS Codes'!$A$2:$A4433,0),MATCH(H$1,'HS Codes'!$D$1:$K$1,0)),"")</f>
        <v>6112399000</v>
      </c>
      <c r="I1879" s="8" t="str">
        <f>_xlfn.IFNA(INDEX('HS Codes'!$D$2:$K4433,MATCH($B1879,'HS Codes'!$A$2:$A4433,0),MATCH(I$1,'HS Codes'!$D$1:$K$1,0)),"")</f>
        <v>6211 4390 00</v>
      </c>
      <c r="J1879" s="8">
        <f>_xlfn.IFNA(INDEX('HS Codes'!$D$2:$K4433,MATCH($B1879,'HS Codes'!$A$2:$A4433,0),MATCH(J$1,'HS Codes'!$D$1:$K$1,0)),"")</f>
        <v>6117109000</v>
      </c>
      <c r="K1879" s="8" t="str">
        <f>_xlfn.IFNA(INDEX('HS Codes'!$D$2:$K4433,MATCH($B1879,'HS Codes'!$A$2:$A4433,0),MATCH(K$1,'HS Codes'!$D$1:$K$1,0)),"")</f>
        <v>6112.39.00</v>
      </c>
      <c r="L1879" s="8">
        <f>_xlfn.IFNA(INDEX('HS Codes'!$D$2:$K4433,MATCH($B1879,'HS Codes'!$A$2:$A4433,0),MATCH(L$1,'HS Codes'!$D$1:$K$1,0)),"")</f>
        <v>6202</v>
      </c>
      <c r="M1879" s="8" t="str">
        <f>_xlfn.IFNA(INDEX('HS Codes'!$C$2:$C4433,MATCH($B1879,'HS Codes'!$A$2:$A4433,0)),"")</f>
        <v>Beach Robe or Cloak 100% recycled 220 GSM/83% polyester/17% polyamide includes cotton on the packing pouch drawstring</v>
      </c>
      <c r="N1879" s="9"/>
      <c r="O1879" s="9"/>
      <c r="P1879" s="9"/>
      <c r="Q1879" s="9"/>
    </row>
    <row r="1880" spans="1:17" ht="15.75" customHeight="1">
      <c r="A1880" s="7" t="s">
        <v>2173</v>
      </c>
      <c r="B1880" s="7" t="s">
        <v>148</v>
      </c>
      <c r="C1880" s="7" t="s">
        <v>278</v>
      </c>
      <c r="D1880" s="7" t="s">
        <v>149</v>
      </c>
      <c r="E1880" s="7" t="s">
        <v>149</v>
      </c>
      <c r="F1880" s="8" t="str">
        <f>_xlfn.IFNA(INDEX('HS Codes'!$D$2:$K4434,MATCH($B1880,'HS Codes'!$A$2:$A4434,0),MATCH(F$1,'HS Codes'!$D$1:$K$1,0)),"")</f>
        <v>6101.90.90.30</v>
      </c>
      <c r="G1880" s="8">
        <f>_xlfn.IFNA(INDEX('HS Codes'!$D$2:$K4434,MATCH($B1880,'HS Codes'!$A$2:$A4434,0),MATCH(G$1,'HS Codes'!$D$1:$K$1,0)),"")</f>
        <v>6101309000</v>
      </c>
      <c r="H1880" s="8">
        <f>_xlfn.IFNA(INDEX('HS Codes'!$D$2:$K4434,MATCH($B1880,'HS Codes'!$A$2:$A4434,0),MATCH(H$1,'HS Codes'!$D$1:$K$1,0)),"")</f>
        <v>6112399000</v>
      </c>
      <c r="I1880" s="8" t="str">
        <f>_xlfn.IFNA(INDEX('HS Codes'!$D$2:$K4434,MATCH($B1880,'HS Codes'!$A$2:$A4434,0),MATCH(I$1,'HS Codes'!$D$1:$K$1,0)),"")</f>
        <v>6211 4390 00</v>
      </c>
      <c r="J1880" s="8">
        <f>_xlfn.IFNA(INDEX('HS Codes'!$D$2:$K4434,MATCH($B1880,'HS Codes'!$A$2:$A4434,0),MATCH(J$1,'HS Codes'!$D$1:$K$1,0)),"")</f>
        <v>6117109000</v>
      </c>
      <c r="K1880" s="8" t="str">
        <f>_xlfn.IFNA(INDEX('HS Codes'!$D$2:$K4434,MATCH($B1880,'HS Codes'!$A$2:$A4434,0),MATCH(K$1,'HS Codes'!$D$1:$K$1,0)),"")</f>
        <v>6112.39.00</v>
      </c>
      <c r="L1880" s="8">
        <f>_xlfn.IFNA(INDEX('HS Codes'!$D$2:$K4434,MATCH($B1880,'HS Codes'!$A$2:$A4434,0),MATCH(L$1,'HS Codes'!$D$1:$K$1,0)),"")</f>
        <v>6202</v>
      </c>
      <c r="M1880" s="8" t="str">
        <f>_xlfn.IFNA(INDEX('HS Codes'!$C$2:$C4434,MATCH($B1880,'HS Codes'!$A$2:$A4434,0)),"")</f>
        <v>Beach Robe or Cloak 100% recycled 220 GSM/83% polyester/17% polyamide includes cotton on the packing pouch drawstring</v>
      </c>
      <c r="N1880" s="9"/>
      <c r="O1880" s="9"/>
      <c r="P1880" s="9"/>
      <c r="Q1880" s="9"/>
    </row>
    <row r="1881" spans="1:17" ht="15.75" customHeight="1">
      <c r="A1881" s="7" t="s">
        <v>2174</v>
      </c>
      <c r="B1881" s="7" t="s">
        <v>148</v>
      </c>
      <c r="C1881" s="7" t="s">
        <v>278</v>
      </c>
      <c r="D1881" s="7" t="s">
        <v>149</v>
      </c>
      <c r="E1881" s="7" t="s">
        <v>149</v>
      </c>
      <c r="F1881" s="8" t="str">
        <f>_xlfn.IFNA(INDEX('HS Codes'!$D$2:$K4435,MATCH($B1881,'HS Codes'!$A$2:$A4435,0),MATCH(F$1,'HS Codes'!$D$1:$K$1,0)),"")</f>
        <v>6101.90.90.30</v>
      </c>
      <c r="G1881" s="8">
        <f>_xlfn.IFNA(INDEX('HS Codes'!$D$2:$K4435,MATCH($B1881,'HS Codes'!$A$2:$A4435,0),MATCH(G$1,'HS Codes'!$D$1:$K$1,0)),"")</f>
        <v>6101309000</v>
      </c>
      <c r="H1881" s="8">
        <f>_xlfn.IFNA(INDEX('HS Codes'!$D$2:$K4435,MATCH($B1881,'HS Codes'!$A$2:$A4435,0),MATCH(H$1,'HS Codes'!$D$1:$K$1,0)),"")</f>
        <v>6112399000</v>
      </c>
      <c r="I1881" s="8" t="str">
        <f>_xlfn.IFNA(INDEX('HS Codes'!$D$2:$K4435,MATCH($B1881,'HS Codes'!$A$2:$A4435,0),MATCH(I$1,'HS Codes'!$D$1:$K$1,0)),"")</f>
        <v>6211 4390 00</v>
      </c>
      <c r="J1881" s="8">
        <f>_xlfn.IFNA(INDEX('HS Codes'!$D$2:$K4435,MATCH($B1881,'HS Codes'!$A$2:$A4435,0),MATCH(J$1,'HS Codes'!$D$1:$K$1,0)),"")</f>
        <v>6117109000</v>
      </c>
      <c r="K1881" s="8" t="str">
        <f>_xlfn.IFNA(INDEX('HS Codes'!$D$2:$K4435,MATCH($B1881,'HS Codes'!$A$2:$A4435,0),MATCH(K$1,'HS Codes'!$D$1:$K$1,0)),"")</f>
        <v>6112.39.00</v>
      </c>
      <c r="L1881" s="8">
        <f>_xlfn.IFNA(INDEX('HS Codes'!$D$2:$K4435,MATCH($B1881,'HS Codes'!$A$2:$A4435,0),MATCH(L$1,'HS Codes'!$D$1:$K$1,0)),"")</f>
        <v>6202</v>
      </c>
      <c r="M1881" s="8" t="str">
        <f>_xlfn.IFNA(INDEX('HS Codes'!$C$2:$C4435,MATCH($B1881,'HS Codes'!$A$2:$A4435,0)),"")</f>
        <v>Beach Robe or Cloak 100% recycled 220 GSM/83% polyester/17% polyamide includes cotton on the packing pouch drawstring</v>
      </c>
      <c r="N1881" s="9"/>
      <c r="O1881" s="9"/>
      <c r="P1881" s="9"/>
      <c r="Q1881" s="9"/>
    </row>
    <row r="1882" spans="1:17" ht="15.75" customHeight="1">
      <c r="A1882" s="7" t="s">
        <v>2175</v>
      </c>
      <c r="B1882" s="7" t="s">
        <v>148</v>
      </c>
      <c r="C1882" s="7" t="s">
        <v>278</v>
      </c>
      <c r="D1882" s="7" t="s">
        <v>149</v>
      </c>
      <c r="E1882" s="7" t="s">
        <v>149</v>
      </c>
      <c r="F1882" s="8" t="str">
        <f>_xlfn.IFNA(INDEX('HS Codes'!$D$2:$K4436,MATCH($B1882,'HS Codes'!$A$2:$A4436,0),MATCH(F$1,'HS Codes'!$D$1:$K$1,0)),"")</f>
        <v>6101.90.90.30</v>
      </c>
      <c r="G1882" s="8">
        <f>_xlfn.IFNA(INDEX('HS Codes'!$D$2:$K4436,MATCH($B1882,'HS Codes'!$A$2:$A4436,0),MATCH(G$1,'HS Codes'!$D$1:$K$1,0)),"")</f>
        <v>6101309000</v>
      </c>
      <c r="H1882" s="8">
        <f>_xlfn.IFNA(INDEX('HS Codes'!$D$2:$K4436,MATCH($B1882,'HS Codes'!$A$2:$A4436,0),MATCH(H$1,'HS Codes'!$D$1:$K$1,0)),"")</f>
        <v>6112399000</v>
      </c>
      <c r="I1882" s="8" t="str">
        <f>_xlfn.IFNA(INDEX('HS Codes'!$D$2:$K4436,MATCH($B1882,'HS Codes'!$A$2:$A4436,0),MATCH(I$1,'HS Codes'!$D$1:$K$1,0)),"")</f>
        <v>6211 4390 00</v>
      </c>
      <c r="J1882" s="8">
        <f>_xlfn.IFNA(INDEX('HS Codes'!$D$2:$K4436,MATCH($B1882,'HS Codes'!$A$2:$A4436,0),MATCH(J$1,'HS Codes'!$D$1:$K$1,0)),"")</f>
        <v>6117109000</v>
      </c>
      <c r="K1882" s="8" t="str">
        <f>_xlfn.IFNA(INDEX('HS Codes'!$D$2:$K4436,MATCH($B1882,'HS Codes'!$A$2:$A4436,0),MATCH(K$1,'HS Codes'!$D$1:$K$1,0)),"")</f>
        <v>6112.39.00</v>
      </c>
      <c r="L1882" s="8">
        <f>_xlfn.IFNA(INDEX('HS Codes'!$D$2:$K4436,MATCH($B1882,'HS Codes'!$A$2:$A4436,0),MATCH(L$1,'HS Codes'!$D$1:$K$1,0)),"")</f>
        <v>6202</v>
      </c>
      <c r="M1882" s="8" t="str">
        <f>_xlfn.IFNA(INDEX('HS Codes'!$C$2:$C4436,MATCH($B1882,'HS Codes'!$A$2:$A4436,0)),"")</f>
        <v>Beach Robe or Cloak 100% recycled 220 GSM/83% polyester/17% polyamide includes cotton on the packing pouch drawstring</v>
      </c>
      <c r="N1882" s="9"/>
      <c r="O1882" s="9"/>
      <c r="P1882" s="9"/>
      <c r="Q1882" s="9"/>
    </row>
    <row r="1883" spans="1:17" ht="15.75" customHeight="1">
      <c r="A1883" s="7" t="s">
        <v>2176</v>
      </c>
      <c r="B1883" s="7" t="s">
        <v>148</v>
      </c>
      <c r="C1883" s="7" t="s">
        <v>278</v>
      </c>
      <c r="D1883" s="7" t="s">
        <v>149</v>
      </c>
      <c r="E1883" s="7" t="s">
        <v>149</v>
      </c>
      <c r="F1883" s="8" t="str">
        <f>_xlfn.IFNA(INDEX('HS Codes'!$D$2:$K4437,MATCH($B1883,'HS Codes'!$A$2:$A4437,0),MATCH(F$1,'HS Codes'!$D$1:$K$1,0)),"")</f>
        <v>6101.90.90.30</v>
      </c>
      <c r="G1883" s="8">
        <f>_xlfn.IFNA(INDEX('HS Codes'!$D$2:$K4437,MATCH($B1883,'HS Codes'!$A$2:$A4437,0),MATCH(G$1,'HS Codes'!$D$1:$K$1,0)),"")</f>
        <v>6101309000</v>
      </c>
      <c r="H1883" s="8">
        <f>_xlfn.IFNA(INDEX('HS Codes'!$D$2:$K4437,MATCH($B1883,'HS Codes'!$A$2:$A4437,0),MATCH(H$1,'HS Codes'!$D$1:$K$1,0)),"")</f>
        <v>6112399000</v>
      </c>
      <c r="I1883" s="8" t="str">
        <f>_xlfn.IFNA(INDEX('HS Codes'!$D$2:$K4437,MATCH($B1883,'HS Codes'!$A$2:$A4437,0),MATCH(I$1,'HS Codes'!$D$1:$K$1,0)),"")</f>
        <v>6211 4390 00</v>
      </c>
      <c r="J1883" s="8">
        <f>_xlfn.IFNA(INDEX('HS Codes'!$D$2:$K4437,MATCH($B1883,'HS Codes'!$A$2:$A4437,0),MATCH(J$1,'HS Codes'!$D$1:$K$1,0)),"")</f>
        <v>6117109000</v>
      </c>
      <c r="K1883" s="8" t="str">
        <f>_xlfn.IFNA(INDEX('HS Codes'!$D$2:$K4437,MATCH($B1883,'HS Codes'!$A$2:$A4437,0),MATCH(K$1,'HS Codes'!$D$1:$K$1,0)),"")</f>
        <v>6112.39.00</v>
      </c>
      <c r="L1883" s="8">
        <f>_xlfn.IFNA(INDEX('HS Codes'!$D$2:$K4437,MATCH($B1883,'HS Codes'!$A$2:$A4437,0),MATCH(L$1,'HS Codes'!$D$1:$K$1,0)),"")</f>
        <v>6202</v>
      </c>
      <c r="M1883" s="8" t="str">
        <f>_xlfn.IFNA(INDEX('HS Codes'!$C$2:$C4437,MATCH($B1883,'HS Codes'!$A$2:$A4437,0)),"")</f>
        <v>Beach Robe or Cloak 100% recycled 220 GSM/83% polyester/17% polyamide includes cotton on the packing pouch drawstring</v>
      </c>
      <c r="N1883" s="9"/>
      <c r="O1883" s="9"/>
      <c r="P1883" s="9"/>
      <c r="Q1883" s="9"/>
    </row>
    <row r="1884" spans="1:17" ht="15.75" customHeight="1">
      <c r="A1884" s="7" t="s">
        <v>2177</v>
      </c>
      <c r="B1884" s="7" t="s">
        <v>148</v>
      </c>
      <c r="C1884" s="7" t="s">
        <v>278</v>
      </c>
      <c r="D1884" s="7" t="s">
        <v>149</v>
      </c>
      <c r="E1884" s="7" t="s">
        <v>149</v>
      </c>
      <c r="F1884" s="8" t="str">
        <f>_xlfn.IFNA(INDEX('HS Codes'!$D$2:$K4438,MATCH($B1884,'HS Codes'!$A$2:$A4438,0),MATCH(F$1,'HS Codes'!$D$1:$K$1,0)),"")</f>
        <v>6101.90.90.30</v>
      </c>
      <c r="G1884" s="8">
        <f>_xlfn.IFNA(INDEX('HS Codes'!$D$2:$K4438,MATCH($B1884,'HS Codes'!$A$2:$A4438,0),MATCH(G$1,'HS Codes'!$D$1:$K$1,0)),"")</f>
        <v>6101309000</v>
      </c>
      <c r="H1884" s="8">
        <f>_xlfn.IFNA(INDEX('HS Codes'!$D$2:$K4438,MATCH($B1884,'HS Codes'!$A$2:$A4438,0),MATCH(H$1,'HS Codes'!$D$1:$K$1,0)),"")</f>
        <v>6112399000</v>
      </c>
      <c r="I1884" s="8" t="str">
        <f>_xlfn.IFNA(INDEX('HS Codes'!$D$2:$K4438,MATCH($B1884,'HS Codes'!$A$2:$A4438,0),MATCH(I$1,'HS Codes'!$D$1:$K$1,0)),"")</f>
        <v>6211 4390 00</v>
      </c>
      <c r="J1884" s="8">
        <f>_xlfn.IFNA(INDEX('HS Codes'!$D$2:$K4438,MATCH($B1884,'HS Codes'!$A$2:$A4438,0),MATCH(J$1,'HS Codes'!$D$1:$K$1,0)),"")</f>
        <v>6117109000</v>
      </c>
      <c r="K1884" s="8" t="str">
        <f>_xlfn.IFNA(INDEX('HS Codes'!$D$2:$K4438,MATCH($B1884,'HS Codes'!$A$2:$A4438,0),MATCH(K$1,'HS Codes'!$D$1:$K$1,0)),"")</f>
        <v>6112.39.00</v>
      </c>
      <c r="L1884" s="8">
        <f>_xlfn.IFNA(INDEX('HS Codes'!$D$2:$K4438,MATCH($B1884,'HS Codes'!$A$2:$A4438,0),MATCH(L$1,'HS Codes'!$D$1:$K$1,0)),"")</f>
        <v>6202</v>
      </c>
      <c r="M1884" s="8" t="str">
        <f>_xlfn.IFNA(INDEX('HS Codes'!$C$2:$C4438,MATCH($B1884,'HS Codes'!$A$2:$A4438,0)),"")</f>
        <v>Beach Robe or Cloak 100% recycled 220 GSM/83% polyester/17% polyamide includes cotton on the packing pouch drawstring</v>
      </c>
      <c r="N1884" s="9"/>
      <c r="O1884" s="9"/>
      <c r="P1884" s="9"/>
      <c r="Q1884" s="9"/>
    </row>
    <row r="1885" spans="1:17" ht="15.75" customHeight="1">
      <c r="A1885" s="7" t="s">
        <v>2178</v>
      </c>
      <c r="B1885" s="7" t="s">
        <v>148</v>
      </c>
      <c r="C1885" s="7" t="s">
        <v>278</v>
      </c>
      <c r="D1885" s="7" t="s">
        <v>149</v>
      </c>
      <c r="E1885" s="7" t="s">
        <v>149</v>
      </c>
      <c r="F1885" s="8" t="str">
        <f>_xlfn.IFNA(INDEX('HS Codes'!$D$2:$K4439,MATCH($B1885,'HS Codes'!$A$2:$A4439,0),MATCH(F$1,'HS Codes'!$D$1:$K$1,0)),"")</f>
        <v>6101.90.90.30</v>
      </c>
      <c r="G1885" s="8">
        <f>_xlfn.IFNA(INDEX('HS Codes'!$D$2:$K4439,MATCH($B1885,'HS Codes'!$A$2:$A4439,0),MATCH(G$1,'HS Codes'!$D$1:$K$1,0)),"")</f>
        <v>6101309000</v>
      </c>
      <c r="H1885" s="8">
        <f>_xlfn.IFNA(INDEX('HS Codes'!$D$2:$K4439,MATCH($B1885,'HS Codes'!$A$2:$A4439,0),MATCH(H$1,'HS Codes'!$D$1:$K$1,0)),"")</f>
        <v>6112399000</v>
      </c>
      <c r="I1885" s="8" t="str">
        <f>_xlfn.IFNA(INDEX('HS Codes'!$D$2:$K4439,MATCH($B1885,'HS Codes'!$A$2:$A4439,0),MATCH(I$1,'HS Codes'!$D$1:$K$1,0)),"")</f>
        <v>6211 4390 00</v>
      </c>
      <c r="J1885" s="8">
        <f>_xlfn.IFNA(INDEX('HS Codes'!$D$2:$K4439,MATCH($B1885,'HS Codes'!$A$2:$A4439,0),MATCH(J$1,'HS Codes'!$D$1:$K$1,0)),"")</f>
        <v>6117109000</v>
      </c>
      <c r="K1885" s="8" t="str">
        <f>_xlfn.IFNA(INDEX('HS Codes'!$D$2:$K4439,MATCH($B1885,'HS Codes'!$A$2:$A4439,0),MATCH(K$1,'HS Codes'!$D$1:$K$1,0)),"")</f>
        <v>6112.39.00</v>
      </c>
      <c r="L1885" s="8">
        <f>_xlfn.IFNA(INDEX('HS Codes'!$D$2:$K4439,MATCH($B1885,'HS Codes'!$A$2:$A4439,0),MATCH(L$1,'HS Codes'!$D$1:$K$1,0)),"")</f>
        <v>6202</v>
      </c>
      <c r="M1885" s="8" t="str">
        <f>_xlfn.IFNA(INDEX('HS Codes'!$C$2:$C4439,MATCH($B1885,'HS Codes'!$A$2:$A4439,0)),"")</f>
        <v>Beach Robe or Cloak 100% recycled 220 GSM/83% polyester/17% polyamide includes cotton on the packing pouch drawstring</v>
      </c>
      <c r="N1885" s="9"/>
      <c r="O1885" s="9"/>
      <c r="P1885" s="9"/>
      <c r="Q1885" s="9"/>
    </row>
    <row r="1886" spans="1:17" ht="15.75" customHeight="1">
      <c r="A1886" s="7" t="s">
        <v>2179</v>
      </c>
      <c r="B1886" s="7" t="s">
        <v>148</v>
      </c>
      <c r="C1886" s="7" t="s">
        <v>278</v>
      </c>
      <c r="D1886" s="7" t="s">
        <v>149</v>
      </c>
      <c r="E1886" s="7" t="s">
        <v>149</v>
      </c>
      <c r="F1886" s="8" t="str">
        <f>_xlfn.IFNA(INDEX('HS Codes'!$D$2:$K4440,MATCH($B1886,'HS Codes'!$A$2:$A4440,0),MATCH(F$1,'HS Codes'!$D$1:$K$1,0)),"")</f>
        <v>6101.90.90.30</v>
      </c>
      <c r="G1886" s="8">
        <f>_xlfn.IFNA(INDEX('HS Codes'!$D$2:$K4440,MATCH($B1886,'HS Codes'!$A$2:$A4440,0),MATCH(G$1,'HS Codes'!$D$1:$K$1,0)),"")</f>
        <v>6101309000</v>
      </c>
      <c r="H1886" s="8">
        <f>_xlfn.IFNA(INDEX('HS Codes'!$D$2:$K4440,MATCH($B1886,'HS Codes'!$A$2:$A4440,0),MATCH(H$1,'HS Codes'!$D$1:$K$1,0)),"")</f>
        <v>6112399000</v>
      </c>
      <c r="I1886" s="8" t="str">
        <f>_xlfn.IFNA(INDEX('HS Codes'!$D$2:$K4440,MATCH($B1886,'HS Codes'!$A$2:$A4440,0),MATCH(I$1,'HS Codes'!$D$1:$K$1,0)),"")</f>
        <v>6211 4390 00</v>
      </c>
      <c r="J1886" s="8">
        <f>_xlfn.IFNA(INDEX('HS Codes'!$D$2:$K4440,MATCH($B1886,'HS Codes'!$A$2:$A4440,0),MATCH(J$1,'HS Codes'!$D$1:$K$1,0)),"")</f>
        <v>6117109000</v>
      </c>
      <c r="K1886" s="8" t="str">
        <f>_xlfn.IFNA(INDEX('HS Codes'!$D$2:$K4440,MATCH($B1886,'HS Codes'!$A$2:$A4440,0),MATCH(K$1,'HS Codes'!$D$1:$K$1,0)),"")</f>
        <v>6112.39.00</v>
      </c>
      <c r="L1886" s="8">
        <f>_xlfn.IFNA(INDEX('HS Codes'!$D$2:$K4440,MATCH($B1886,'HS Codes'!$A$2:$A4440,0),MATCH(L$1,'HS Codes'!$D$1:$K$1,0)),"")</f>
        <v>6202</v>
      </c>
      <c r="M1886" s="8" t="str">
        <f>_xlfn.IFNA(INDEX('HS Codes'!$C$2:$C4440,MATCH($B1886,'HS Codes'!$A$2:$A4440,0)),"")</f>
        <v>Beach Robe or Cloak 100% recycled 220 GSM/83% polyester/17% polyamide includes cotton on the packing pouch drawstring</v>
      </c>
      <c r="N1886" s="9"/>
      <c r="O1886" s="9"/>
      <c r="P1886" s="9"/>
      <c r="Q1886" s="9"/>
    </row>
    <row r="1887" spans="1:17" ht="15.75" customHeight="1">
      <c r="A1887" s="7" t="s">
        <v>2180</v>
      </c>
      <c r="B1887" s="7" t="s">
        <v>148</v>
      </c>
      <c r="C1887" s="7" t="s">
        <v>278</v>
      </c>
      <c r="D1887" s="7" t="s">
        <v>149</v>
      </c>
      <c r="E1887" s="7" t="s">
        <v>149</v>
      </c>
      <c r="F1887" s="8" t="str">
        <f>_xlfn.IFNA(INDEX('HS Codes'!$D$2:$K4441,MATCH($B1887,'HS Codes'!$A$2:$A4441,0),MATCH(F$1,'HS Codes'!$D$1:$K$1,0)),"")</f>
        <v>6101.90.90.30</v>
      </c>
      <c r="G1887" s="8">
        <f>_xlfn.IFNA(INDEX('HS Codes'!$D$2:$K4441,MATCH($B1887,'HS Codes'!$A$2:$A4441,0),MATCH(G$1,'HS Codes'!$D$1:$K$1,0)),"")</f>
        <v>6101309000</v>
      </c>
      <c r="H1887" s="8">
        <f>_xlfn.IFNA(INDEX('HS Codes'!$D$2:$K4441,MATCH($B1887,'HS Codes'!$A$2:$A4441,0),MATCH(H$1,'HS Codes'!$D$1:$K$1,0)),"")</f>
        <v>6112399000</v>
      </c>
      <c r="I1887" s="8" t="str">
        <f>_xlfn.IFNA(INDEX('HS Codes'!$D$2:$K4441,MATCH($B1887,'HS Codes'!$A$2:$A4441,0),MATCH(I$1,'HS Codes'!$D$1:$K$1,0)),"")</f>
        <v>6211 4390 00</v>
      </c>
      <c r="J1887" s="8">
        <f>_xlfn.IFNA(INDEX('HS Codes'!$D$2:$K4441,MATCH($B1887,'HS Codes'!$A$2:$A4441,0),MATCH(J$1,'HS Codes'!$D$1:$K$1,0)),"")</f>
        <v>6117109000</v>
      </c>
      <c r="K1887" s="8" t="str">
        <f>_xlfn.IFNA(INDEX('HS Codes'!$D$2:$K4441,MATCH($B1887,'HS Codes'!$A$2:$A4441,0),MATCH(K$1,'HS Codes'!$D$1:$K$1,0)),"")</f>
        <v>6112.39.00</v>
      </c>
      <c r="L1887" s="8">
        <f>_xlfn.IFNA(INDEX('HS Codes'!$D$2:$K4441,MATCH($B1887,'HS Codes'!$A$2:$A4441,0),MATCH(L$1,'HS Codes'!$D$1:$K$1,0)),"")</f>
        <v>6202</v>
      </c>
      <c r="M1887" s="8" t="str">
        <f>_xlfn.IFNA(INDEX('HS Codes'!$C$2:$C4441,MATCH($B1887,'HS Codes'!$A$2:$A4441,0)),"")</f>
        <v>Beach Robe or Cloak 100% recycled 220 GSM/83% polyester/17% polyamide includes cotton on the packing pouch drawstring</v>
      </c>
      <c r="N1887" s="9"/>
      <c r="O1887" s="9"/>
      <c r="P1887" s="9"/>
      <c r="Q1887" s="9"/>
    </row>
    <row r="1888" spans="1:17" ht="15.75" customHeight="1">
      <c r="A1888" s="7" t="s">
        <v>2181</v>
      </c>
      <c r="B1888" s="7" t="s">
        <v>148</v>
      </c>
      <c r="C1888" s="7" t="s">
        <v>278</v>
      </c>
      <c r="D1888" s="7" t="s">
        <v>149</v>
      </c>
      <c r="E1888" s="7" t="s">
        <v>149</v>
      </c>
      <c r="F1888" s="8" t="str">
        <f>_xlfn.IFNA(INDEX('HS Codes'!$D$2:$K4442,MATCH($B1888,'HS Codes'!$A$2:$A4442,0),MATCH(F$1,'HS Codes'!$D$1:$K$1,0)),"")</f>
        <v>6101.90.90.30</v>
      </c>
      <c r="G1888" s="8">
        <f>_xlfn.IFNA(INDEX('HS Codes'!$D$2:$K4442,MATCH($B1888,'HS Codes'!$A$2:$A4442,0),MATCH(G$1,'HS Codes'!$D$1:$K$1,0)),"")</f>
        <v>6101309000</v>
      </c>
      <c r="H1888" s="8">
        <f>_xlfn.IFNA(INDEX('HS Codes'!$D$2:$K4442,MATCH($B1888,'HS Codes'!$A$2:$A4442,0),MATCH(H$1,'HS Codes'!$D$1:$K$1,0)),"")</f>
        <v>6112399000</v>
      </c>
      <c r="I1888" s="8" t="str">
        <f>_xlfn.IFNA(INDEX('HS Codes'!$D$2:$K4442,MATCH($B1888,'HS Codes'!$A$2:$A4442,0),MATCH(I$1,'HS Codes'!$D$1:$K$1,0)),"")</f>
        <v>6211 4390 00</v>
      </c>
      <c r="J1888" s="8">
        <f>_xlfn.IFNA(INDEX('HS Codes'!$D$2:$K4442,MATCH($B1888,'HS Codes'!$A$2:$A4442,0),MATCH(J$1,'HS Codes'!$D$1:$K$1,0)),"")</f>
        <v>6117109000</v>
      </c>
      <c r="K1888" s="8" t="str">
        <f>_xlfn.IFNA(INDEX('HS Codes'!$D$2:$K4442,MATCH($B1888,'HS Codes'!$A$2:$A4442,0),MATCH(K$1,'HS Codes'!$D$1:$K$1,0)),"")</f>
        <v>6112.39.00</v>
      </c>
      <c r="L1888" s="8">
        <f>_xlfn.IFNA(INDEX('HS Codes'!$D$2:$K4442,MATCH($B1888,'HS Codes'!$A$2:$A4442,0),MATCH(L$1,'HS Codes'!$D$1:$K$1,0)),"")</f>
        <v>6202</v>
      </c>
      <c r="M1888" s="8" t="str">
        <f>_xlfn.IFNA(INDEX('HS Codes'!$C$2:$C4442,MATCH($B1888,'HS Codes'!$A$2:$A4442,0)),"")</f>
        <v>Beach Robe or Cloak 100% recycled 220 GSM/83% polyester/17% polyamide includes cotton on the packing pouch drawstring</v>
      </c>
      <c r="N1888" s="9"/>
      <c r="O1888" s="9"/>
      <c r="P1888" s="9"/>
      <c r="Q1888" s="9"/>
    </row>
    <row r="1889" spans="1:17" ht="15.75" customHeight="1">
      <c r="A1889" s="7" t="s">
        <v>2182</v>
      </c>
      <c r="B1889" s="7" t="s">
        <v>148</v>
      </c>
      <c r="C1889" s="7" t="s">
        <v>278</v>
      </c>
      <c r="D1889" s="7" t="s">
        <v>149</v>
      </c>
      <c r="E1889" s="7" t="s">
        <v>149</v>
      </c>
      <c r="F1889" s="8" t="str">
        <f>_xlfn.IFNA(INDEX('HS Codes'!$D$2:$K4443,MATCH($B1889,'HS Codes'!$A$2:$A4443,0),MATCH(F$1,'HS Codes'!$D$1:$K$1,0)),"")</f>
        <v>6101.90.90.30</v>
      </c>
      <c r="G1889" s="8">
        <f>_xlfn.IFNA(INDEX('HS Codes'!$D$2:$K4443,MATCH($B1889,'HS Codes'!$A$2:$A4443,0),MATCH(G$1,'HS Codes'!$D$1:$K$1,0)),"")</f>
        <v>6101309000</v>
      </c>
      <c r="H1889" s="8">
        <f>_xlfn.IFNA(INDEX('HS Codes'!$D$2:$K4443,MATCH($B1889,'HS Codes'!$A$2:$A4443,0),MATCH(H$1,'HS Codes'!$D$1:$K$1,0)),"")</f>
        <v>6112399000</v>
      </c>
      <c r="I1889" s="8" t="str">
        <f>_xlfn.IFNA(INDEX('HS Codes'!$D$2:$K4443,MATCH($B1889,'HS Codes'!$A$2:$A4443,0),MATCH(I$1,'HS Codes'!$D$1:$K$1,0)),"")</f>
        <v>6211 4390 00</v>
      </c>
      <c r="J1889" s="8">
        <f>_xlfn.IFNA(INDEX('HS Codes'!$D$2:$K4443,MATCH($B1889,'HS Codes'!$A$2:$A4443,0),MATCH(J$1,'HS Codes'!$D$1:$K$1,0)),"")</f>
        <v>6117109000</v>
      </c>
      <c r="K1889" s="8" t="str">
        <f>_xlfn.IFNA(INDEX('HS Codes'!$D$2:$K4443,MATCH($B1889,'HS Codes'!$A$2:$A4443,0),MATCH(K$1,'HS Codes'!$D$1:$K$1,0)),"")</f>
        <v>6112.39.00</v>
      </c>
      <c r="L1889" s="8">
        <f>_xlfn.IFNA(INDEX('HS Codes'!$D$2:$K4443,MATCH($B1889,'HS Codes'!$A$2:$A4443,0),MATCH(L$1,'HS Codes'!$D$1:$K$1,0)),"")</f>
        <v>6202</v>
      </c>
      <c r="M1889" s="8" t="str">
        <f>_xlfn.IFNA(INDEX('HS Codes'!$C$2:$C4443,MATCH($B1889,'HS Codes'!$A$2:$A4443,0)),"")</f>
        <v>Beach Robe or Cloak 100% recycled 220 GSM/83% polyester/17% polyamide includes cotton on the packing pouch drawstring</v>
      </c>
      <c r="N1889" s="9"/>
      <c r="O1889" s="9"/>
      <c r="P1889" s="9"/>
      <c r="Q1889" s="9"/>
    </row>
    <row r="1890" spans="1:17" ht="15.75" customHeight="1">
      <c r="A1890" s="7" t="s">
        <v>2183</v>
      </c>
      <c r="B1890" s="7" t="s">
        <v>148</v>
      </c>
      <c r="C1890" s="7" t="s">
        <v>278</v>
      </c>
      <c r="D1890" s="7" t="s">
        <v>149</v>
      </c>
      <c r="E1890" s="7" t="s">
        <v>149</v>
      </c>
      <c r="F1890" s="8" t="str">
        <f>_xlfn.IFNA(INDEX('HS Codes'!$D$2:$K4444,MATCH($B1890,'HS Codes'!$A$2:$A4444,0),MATCH(F$1,'HS Codes'!$D$1:$K$1,0)),"")</f>
        <v>6101.90.90.30</v>
      </c>
      <c r="G1890" s="8">
        <f>_xlfn.IFNA(INDEX('HS Codes'!$D$2:$K4444,MATCH($B1890,'HS Codes'!$A$2:$A4444,0),MATCH(G$1,'HS Codes'!$D$1:$K$1,0)),"")</f>
        <v>6101309000</v>
      </c>
      <c r="H1890" s="8">
        <f>_xlfn.IFNA(INDEX('HS Codes'!$D$2:$K4444,MATCH($B1890,'HS Codes'!$A$2:$A4444,0),MATCH(H$1,'HS Codes'!$D$1:$K$1,0)),"")</f>
        <v>6112399000</v>
      </c>
      <c r="I1890" s="8" t="str">
        <f>_xlfn.IFNA(INDEX('HS Codes'!$D$2:$K4444,MATCH($B1890,'HS Codes'!$A$2:$A4444,0),MATCH(I$1,'HS Codes'!$D$1:$K$1,0)),"")</f>
        <v>6211 4390 00</v>
      </c>
      <c r="J1890" s="8">
        <f>_xlfn.IFNA(INDEX('HS Codes'!$D$2:$K4444,MATCH($B1890,'HS Codes'!$A$2:$A4444,0),MATCH(J$1,'HS Codes'!$D$1:$K$1,0)),"")</f>
        <v>6117109000</v>
      </c>
      <c r="K1890" s="8" t="str">
        <f>_xlfn.IFNA(INDEX('HS Codes'!$D$2:$K4444,MATCH($B1890,'HS Codes'!$A$2:$A4444,0),MATCH(K$1,'HS Codes'!$D$1:$K$1,0)),"")</f>
        <v>6112.39.00</v>
      </c>
      <c r="L1890" s="8">
        <f>_xlfn.IFNA(INDEX('HS Codes'!$D$2:$K4444,MATCH($B1890,'HS Codes'!$A$2:$A4444,0),MATCH(L$1,'HS Codes'!$D$1:$K$1,0)),"")</f>
        <v>6202</v>
      </c>
      <c r="M1890" s="8" t="str">
        <f>_xlfn.IFNA(INDEX('HS Codes'!$C$2:$C4444,MATCH($B1890,'HS Codes'!$A$2:$A4444,0)),"")</f>
        <v>Beach Robe or Cloak 100% recycled 220 GSM/83% polyester/17% polyamide includes cotton on the packing pouch drawstring</v>
      </c>
      <c r="N1890" s="9"/>
      <c r="O1890" s="9"/>
      <c r="P1890" s="9"/>
      <c r="Q1890" s="9"/>
    </row>
    <row r="1891" spans="1:17" ht="15.75" customHeight="1">
      <c r="A1891" s="7" t="s">
        <v>2184</v>
      </c>
      <c r="B1891" s="7" t="s">
        <v>148</v>
      </c>
      <c r="C1891" s="7" t="s">
        <v>278</v>
      </c>
      <c r="D1891" s="7" t="s">
        <v>149</v>
      </c>
      <c r="E1891" s="7" t="s">
        <v>149</v>
      </c>
      <c r="F1891" s="8" t="str">
        <f>_xlfn.IFNA(INDEX('HS Codes'!$D$2:$K4445,MATCH($B1891,'HS Codes'!$A$2:$A4445,0),MATCH(F$1,'HS Codes'!$D$1:$K$1,0)),"")</f>
        <v>6101.90.90.30</v>
      </c>
      <c r="G1891" s="8">
        <f>_xlfn.IFNA(INDEX('HS Codes'!$D$2:$K4445,MATCH($B1891,'HS Codes'!$A$2:$A4445,0),MATCH(G$1,'HS Codes'!$D$1:$K$1,0)),"")</f>
        <v>6101309000</v>
      </c>
      <c r="H1891" s="8">
        <f>_xlfn.IFNA(INDEX('HS Codes'!$D$2:$K4445,MATCH($B1891,'HS Codes'!$A$2:$A4445,0),MATCH(H$1,'HS Codes'!$D$1:$K$1,0)),"")</f>
        <v>6112399000</v>
      </c>
      <c r="I1891" s="8" t="str">
        <f>_xlfn.IFNA(INDEX('HS Codes'!$D$2:$K4445,MATCH($B1891,'HS Codes'!$A$2:$A4445,0),MATCH(I$1,'HS Codes'!$D$1:$K$1,0)),"")</f>
        <v>6211 4390 00</v>
      </c>
      <c r="J1891" s="8">
        <f>_xlfn.IFNA(INDEX('HS Codes'!$D$2:$K4445,MATCH($B1891,'HS Codes'!$A$2:$A4445,0),MATCH(J$1,'HS Codes'!$D$1:$K$1,0)),"")</f>
        <v>6117109000</v>
      </c>
      <c r="K1891" s="8" t="str">
        <f>_xlfn.IFNA(INDEX('HS Codes'!$D$2:$K4445,MATCH($B1891,'HS Codes'!$A$2:$A4445,0),MATCH(K$1,'HS Codes'!$D$1:$K$1,0)),"")</f>
        <v>6112.39.00</v>
      </c>
      <c r="L1891" s="8">
        <f>_xlfn.IFNA(INDEX('HS Codes'!$D$2:$K4445,MATCH($B1891,'HS Codes'!$A$2:$A4445,0),MATCH(L$1,'HS Codes'!$D$1:$K$1,0)),"")</f>
        <v>6202</v>
      </c>
      <c r="M1891" s="8" t="str">
        <f>_xlfn.IFNA(INDEX('HS Codes'!$C$2:$C4445,MATCH($B1891,'HS Codes'!$A$2:$A4445,0)),"")</f>
        <v>Beach Robe or Cloak 100% recycled 220 GSM/83% polyester/17% polyamide includes cotton on the packing pouch drawstring</v>
      </c>
      <c r="N1891" s="9"/>
      <c r="O1891" s="9"/>
      <c r="P1891" s="9"/>
      <c r="Q1891" s="9"/>
    </row>
    <row r="1892" spans="1:17" ht="15.75" customHeight="1">
      <c r="A1892" s="7" t="s">
        <v>2185</v>
      </c>
      <c r="B1892" s="7" t="s">
        <v>148</v>
      </c>
      <c r="C1892" s="7" t="s">
        <v>278</v>
      </c>
      <c r="D1892" s="7" t="s">
        <v>149</v>
      </c>
      <c r="E1892" s="7" t="s">
        <v>149</v>
      </c>
      <c r="F1892" s="8" t="str">
        <f>_xlfn.IFNA(INDEX('HS Codes'!$D$2:$K4446,MATCH($B1892,'HS Codes'!$A$2:$A4446,0),MATCH(F$1,'HS Codes'!$D$1:$K$1,0)),"")</f>
        <v>6101.90.90.30</v>
      </c>
      <c r="G1892" s="8">
        <f>_xlfn.IFNA(INDEX('HS Codes'!$D$2:$K4446,MATCH($B1892,'HS Codes'!$A$2:$A4446,0),MATCH(G$1,'HS Codes'!$D$1:$K$1,0)),"")</f>
        <v>6101309000</v>
      </c>
      <c r="H1892" s="8">
        <f>_xlfn.IFNA(INDEX('HS Codes'!$D$2:$K4446,MATCH($B1892,'HS Codes'!$A$2:$A4446,0),MATCH(H$1,'HS Codes'!$D$1:$K$1,0)),"")</f>
        <v>6112399000</v>
      </c>
      <c r="I1892" s="8" t="str">
        <f>_xlfn.IFNA(INDEX('HS Codes'!$D$2:$K4446,MATCH($B1892,'HS Codes'!$A$2:$A4446,0),MATCH(I$1,'HS Codes'!$D$1:$K$1,0)),"")</f>
        <v>6211 4390 00</v>
      </c>
      <c r="J1892" s="8">
        <f>_xlfn.IFNA(INDEX('HS Codes'!$D$2:$K4446,MATCH($B1892,'HS Codes'!$A$2:$A4446,0),MATCH(J$1,'HS Codes'!$D$1:$K$1,0)),"")</f>
        <v>6117109000</v>
      </c>
      <c r="K1892" s="8" t="str">
        <f>_xlfn.IFNA(INDEX('HS Codes'!$D$2:$K4446,MATCH($B1892,'HS Codes'!$A$2:$A4446,0),MATCH(K$1,'HS Codes'!$D$1:$K$1,0)),"")</f>
        <v>6112.39.00</v>
      </c>
      <c r="L1892" s="8">
        <f>_xlfn.IFNA(INDEX('HS Codes'!$D$2:$K4446,MATCH($B1892,'HS Codes'!$A$2:$A4446,0),MATCH(L$1,'HS Codes'!$D$1:$K$1,0)),"")</f>
        <v>6202</v>
      </c>
      <c r="M1892" s="8" t="str">
        <f>_xlfn.IFNA(INDEX('HS Codes'!$C$2:$C4446,MATCH($B1892,'HS Codes'!$A$2:$A4446,0)),"")</f>
        <v>Beach Robe or Cloak 100% recycled 220 GSM/83% polyester/17% polyamide includes cotton on the packing pouch drawstring</v>
      </c>
      <c r="N1892" s="9"/>
      <c r="O1892" s="9"/>
      <c r="P1892" s="9"/>
      <c r="Q1892" s="9"/>
    </row>
    <row r="1893" spans="1:17" ht="15.75" customHeight="1">
      <c r="A1893" s="7" t="s">
        <v>2186</v>
      </c>
      <c r="B1893" s="7" t="s">
        <v>148</v>
      </c>
      <c r="C1893" s="7" t="s">
        <v>278</v>
      </c>
      <c r="D1893" s="7" t="s">
        <v>149</v>
      </c>
      <c r="E1893" s="7" t="s">
        <v>149</v>
      </c>
      <c r="F1893" s="8" t="str">
        <f>_xlfn.IFNA(INDEX('HS Codes'!$D$2:$K4447,MATCH($B1893,'HS Codes'!$A$2:$A4447,0),MATCH(F$1,'HS Codes'!$D$1:$K$1,0)),"")</f>
        <v>6101.90.90.30</v>
      </c>
      <c r="G1893" s="8">
        <f>_xlfn.IFNA(INDEX('HS Codes'!$D$2:$K4447,MATCH($B1893,'HS Codes'!$A$2:$A4447,0),MATCH(G$1,'HS Codes'!$D$1:$K$1,0)),"")</f>
        <v>6101309000</v>
      </c>
      <c r="H1893" s="8">
        <f>_xlfn.IFNA(INDEX('HS Codes'!$D$2:$K4447,MATCH($B1893,'HS Codes'!$A$2:$A4447,0),MATCH(H$1,'HS Codes'!$D$1:$K$1,0)),"")</f>
        <v>6112399000</v>
      </c>
      <c r="I1893" s="8" t="str">
        <f>_xlfn.IFNA(INDEX('HS Codes'!$D$2:$K4447,MATCH($B1893,'HS Codes'!$A$2:$A4447,0),MATCH(I$1,'HS Codes'!$D$1:$K$1,0)),"")</f>
        <v>6211 4390 00</v>
      </c>
      <c r="J1893" s="8">
        <f>_xlfn.IFNA(INDEX('HS Codes'!$D$2:$K4447,MATCH($B1893,'HS Codes'!$A$2:$A4447,0),MATCH(J$1,'HS Codes'!$D$1:$K$1,0)),"")</f>
        <v>6117109000</v>
      </c>
      <c r="K1893" s="8" t="str">
        <f>_xlfn.IFNA(INDEX('HS Codes'!$D$2:$K4447,MATCH($B1893,'HS Codes'!$A$2:$A4447,0),MATCH(K$1,'HS Codes'!$D$1:$K$1,0)),"")</f>
        <v>6112.39.00</v>
      </c>
      <c r="L1893" s="8">
        <f>_xlfn.IFNA(INDEX('HS Codes'!$D$2:$K4447,MATCH($B1893,'HS Codes'!$A$2:$A4447,0),MATCH(L$1,'HS Codes'!$D$1:$K$1,0)),"")</f>
        <v>6202</v>
      </c>
      <c r="M1893" s="8" t="str">
        <f>_xlfn.IFNA(INDEX('HS Codes'!$C$2:$C4447,MATCH($B1893,'HS Codes'!$A$2:$A4447,0)),"")</f>
        <v>Beach Robe or Cloak 100% recycled 220 GSM/83% polyester/17% polyamide includes cotton on the packing pouch drawstring</v>
      </c>
      <c r="N1893" s="9"/>
      <c r="O1893" s="9"/>
      <c r="P1893" s="9"/>
      <c r="Q1893" s="9"/>
    </row>
    <row r="1894" spans="1:17" ht="15.75" customHeight="1">
      <c r="A1894" s="7" t="s">
        <v>2187</v>
      </c>
      <c r="B1894" s="7" t="s">
        <v>148</v>
      </c>
      <c r="C1894" s="7" t="s">
        <v>278</v>
      </c>
      <c r="D1894" s="7" t="s">
        <v>149</v>
      </c>
      <c r="E1894" s="7" t="s">
        <v>149</v>
      </c>
      <c r="F1894" s="8" t="str">
        <f>_xlfn.IFNA(INDEX('HS Codes'!$D$2:$K4448,MATCH($B1894,'HS Codes'!$A$2:$A4448,0),MATCH(F$1,'HS Codes'!$D$1:$K$1,0)),"")</f>
        <v>6101.90.90.30</v>
      </c>
      <c r="G1894" s="8">
        <f>_xlfn.IFNA(INDEX('HS Codes'!$D$2:$K4448,MATCH($B1894,'HS Codes'!$A$2:$A4448,0),MATCH(G$1,'HS Codes'!$D$1:$K$1,0)),"")</f>
        <v>6101309000</v>
      </c>
      <c r="H1894" s="8">
        <f>_xlfn.IFNA(INDEX('HS Codes'!$D$2:$K4448,MATCH($B1894,'HS Codes'!$A$2:$A4448,0),MATCH(H$1,'HS Codes'!$D$1:$K$1,0)),"")</f>
        <v>6112399000</v>
      </c>
      <c r="I1894" s="8" t="str">
        <f>_xlfn.IFNA(INDEX('HS Codes'!$D$2:$K4448,MATCH($B1894,'HS Codes'!$A$2:$A4448,0),MATCH(I$1,'HS Codes'!$D$1:$K$1,0)),"")</f>
        <v>6211 4390 00</v>
      </c>
      <c r="J1894" s="8">
        <f>_xlfn.IFNA(INDEX('HS Codes'!$D$2:$K4448,MATCH($B1894,'HS Codes'!$A$2:$A4448,0),MATCH(J$1,'HS Codes'!$D$1:$K$1,0)),"")</f>
        <v>6117109000</v>
      </c>
      <c r="K1894" s="8" t="str">
        <f>_xlfn.IFNA(INDEX('HS Codes'!$D$2:$K4448,MATCH($B1894,'HS Codes'!$A$2:$A4448,0),MATCH(K$1,'HS Codes'!$D$1:$K$1,0)),"")</f>
        <v>6112.39.00</v>
      </c>
      <c r="L1894" s="8">
        <f>_xlfn.IFNA(INDEX('HS Codes'!$D$2:$K4448,MATCH($B1894,'HS Codes'!$A$2:$A4448,0),MATCH(L$1,'HS Codes'!$D$1:$K$1,0)),"")</f>
        <v>6202</v>
      </c>
      <c r="M1894" s="8" t="str">
        <f>_xlfn.IFNA(INDEX('HS Codes'!$C$2:$C4448,MATCH($B1894,'HS Codes'!$A$2:$A4448,0)),"")</f>
        <v>Beach Robe or Cloak 100% recycled 220 GSM/83% polyester/17% polyamide includes cotton on the packing pouch drawstring</v>
      </c>
      <c r="N1894" s="9"/>
      <c r="O1894" s="9"/>
      <c r="P1894" s="9"/>
      <c r="Q1894" s="9"/>
    </row>
    <row r="1895" spans="1:17" ht="15.75" customHeight="1">
      <c r="A1895" s="7" t="s">
        <v>2188</v>
      </c>
      <c r="B1895" s="7" t="s">
        <v>148</v>
      </c>
      <c r="C1895" s="7" t="s">
        <v>278</v>
      </c>
      <c r="D1895" s="7" t="s">
        <v>149</v>
      </c>
      <c r="E1895" s="7" t="s">
        <v>149</v>
      </c>
      <c r="F1895" s="8" t="str">
        <f>_xlfn.IFNA(INDEX('HS Codes'!$D$2:$K4449,MATCH($B1895,'HS Codes'!$A$2:$A4449,0),MATCH(F$1,'HS Codes'!$D$1:$K$1,0)),"")</f>
        <v>6101.90.90.30</v>
      </c>
      <c r="G1895" s="8">
        <f>_xlfn.IFNA(INDEX('HS Codes'!$D$2:$K4449,MATCH($B1895,'HS Codes'!$A$2:$A4449,0),MATCH(G$1,'HS Codes'!$D$1:$K$1,0)),"")</f>
        <v>6101309000</v>
      </c>
      <c r="H1895" s="8">
        <f>_xlfn.IFNA(INDEX('HS Codes'!$D$2:$K4449,MATCH($B1895,'HS Codes'!$A$2:$A4449,0),MATCH(H$1,'HS Codes'!$D$1:$K$1,0)),"")</f>
        <v>6112399000</v>
      </c>
      <c r="I1895" s="8" t="str">
        <f>_xlfn.IFNA(INDEX('HS Codes'!$D$2:$K4449,MATCH($B1895,'HS Codes'!$A$2:$A4449,0),MATCH(I$1,'HS Codes'!$D$1:$K$1,0)),"")</f>
        <v>6211 4390 00</v>
      </c>
      <c r="J1895" s="8">
        <f>_xlfn.IFNA(INDEX('HS Codes'!$D$2:$K4449,MATCH($B1895,'HS Codes'!$A$2:$A4449,0),MATCH(J$1,'HS Codes'!$D$1:$K$1,0)),"")</f>
        <v>6117109000</v>
      </c>
      <c r="K1895" s="8" t="str">
        <f>_xlfn.IFNA(INDEX('HS Codes'!$D$2:$K4449,MATCH($B1895,'HS Codes'!$A$2:$A4449,0),MATCH(K$1,'HS Codes'!$D$1:$K$1,0)),"")</f>
        <v>6112.39.00</v>
      </c>
      <c r="L1895" s="8">
        <f>_xlfn.IFNA(INDEX('HS Codes'!$D$2:$K4449,MATCH($B1895,'HS Codes'!$A$2:$A4449,0),MATCH(L$1,'HS Codes'!$D$1:$K$1,0)),"")</f>
        <v>6202</v>
      </c>
      <c r="M1895" s="8" t="str">
        <f>_xlfn.IFNA(INDEX('HS Codes'!$C$2:$C4449,MATCH($B1895,'HS Codes'!$A$2:$A4449,0)),"")</f>
        <v>Beach Robe or Cloak 100% recycled 220 GSM/83% polyester/17% polyamide includes cotton on the packing pouch drawstring</v>
      </c>
      <c r="N1895" s="9"/>
      <c r="O1895" s="9"/>
      <c r="P1895" s="9"/>
      <c r="Q1895" s="9"/>
    </row>
    <row r="1896" spans="1:17" ht="15.75" customHeight="1">
      <c r="A1896" s="7" t="s">
        <v>2189</v>
      </c>
      <c r="B1896" s="7" t="s">
        <v>148</v>
      </c>
      <c r="C1896" s="7" t="s">
        <v>278</v>
      </c>
      <c r="D1896" s="7" t="s">
        <v>149</v>
      </c>
      <c r="E1896" s="7" t="s">
        <v>149</v>
      </c>
      <c r="F1896" s="8" t="str">
        <f>_xlfn.IFNA(INDEX('HS Codes'!$D$2:$K4450,MATCH($B1896,'HS Codes'!$A$2:$A4450,0),MATCH(F$1,'HS Codes'!$D$1:$K$1,0)),"")</f>
        <v>6101.90.90.30</v>
      </c>
      <c r="G1896" s="8">
        <f>_xlfn.IFNA(INDEX('HS Codes'!$D$2:$K4450,MATCH($B1896,'HS Codes'!$A$2:$A4450,0),MATCH(G$1,'HS Codes'!$D$1:$K$1,0)),"")</f>
        <v>6101309000</v>
      </c>
      <c r="H1896" s="8">
        <f>_xlfn.IFNA(INDEX('HS Codes'!$D$2:$K4450,MATCH($B1896,'HS Codes'!$A$2:$A4450,0),MATCH(H$1,'HS Codes'!$D$1:$K$1,0)),"")</f>
        <v>6112399000</v>
      </c>
      <c r="I1896" s="8" t="str">
        <f>_xlfn.IFNA(INDEX('HS Codes'!$D$2:$K4450,MATCH($B1896,'HS Codes'!$A$2:$A4450,0),MATCH(I$1,'HS Codes'!$D$1:$K$1,0)),"")</f>
        <v>6211 4390 00</v>
      </c>
      <c r="J1896" s="8">
        <f>_xlfn.IFNA(INDEX('HS Codes'!$D$2:$K4450,MATCH($B1896,'HS Codes'!$A$2:$A4450,0),MATCH(J$1,'HS Codes'!$D$1:$K$1,0)),"")</f>
        <v>6117109000</v>
      </c>
      <c r="K1896" s="8" t="str">
        <f>_xlfn.IFNA(INDEX('HS Codes'!$D$2:$K4450,MATCH($B1896,'HS Codes'!$A$2:$A4450,0),MATCH(K$1,'HS Codes'!$D$1:$K$1,0)),"")</f>
        <v>6112.39.00</v>
      </c>
      <c r="L1896" s="8">
        <f>_xlfn.IFNA(INDEX('HS Codes'!$D$2:$K4450,MATCH($B1896,'HS Codes'!$A$2:$A4450,0),MATCH(L$1,'HS Codes'!$D$1:$K$1,0)),"")</f>
        <v>6202</v>
      </c>
      <c r="M1896" s="8" t="str">
        <f>_xlfn.IFNA(INDEX('HS Codes'!$C$2:$C4450,MATCH($B1896,'HS Codes'!$A$2:$A4450,0)),"")</f>
        <v>Beach Robe or Cloak 100% recycled 220 GSM/83% polyester/17% polyamide includes cotton on the packing pouch drawstring</v>
      </c>
      <c r="N1896" s="9"/>
      <c r="O1896" s="9"/>
      <c r="P1896" s="9"/>
      <c r="Q1896" s="9"/>
    </row>
    <row r="1897" spans="1:17" ht="15.75" customHeight="1">
      <c r="A1897" s="7" t="s">
        <v>2190</v>
      </c>
      <c r="B1897" s="7" t="s">
        <v>148</v>
      </c>
      <c r="C1897" s="7" t="s">
        <v>278</v>
      </c>
      <c r="D1897" s="7" t="s">
        <v>149</v>
      </c>
      <c r="E1897" s="7" t="s">
        <v>149</v>
      </c>
      <c r="F1897" s="8" t="str">
        <f>_xlfn.IFNA(INDEX('HS Codes'!$D$2:$K4451,MATCH($B1897,'HS Codes'!$A$2:$A4451,0),MATCH(F$1,'HS Codes'!$D$1:$K$1,0)),"")</f>
        <v>6101.90.90.30</v>
      </c>
      <c r="G1897" s="8">
        <f>_xlfn.IFNA(INDEX('HS Codes'!$D$2:$K4451,MATCH($B1897,'HS Codes'!$A$2:$A4451,0),MATCH(G$1,'HS Codes'!$D$1:$K$1,0)),"")</f>
        <v>6101309000</v>
      </c>
      <c r="H1897" s="8">
        <f>_xlfn.IFNA(INDEX('HS Codes'!$D$2:$K4451,MATCH($B1897,'HS Codes'!$A$2:$A4451,0),MATCH(H$1,'HS Codes'!$D$1:$K$1,0)),"")</f>
        <v>6112399000</v>
      </c>
      <c r="I1897" s="8" t="str">
        <f>_xlfn.IFNA(INDEX('HS Codes'!$D$2:$K4451,MATCH($B1897,'HS Codes'!$A$2:$A4451,0),MATCH(I$1,'HS Codes'!$D$1:$K$1,0)),"")</f>
        <v>6211 4390 00</v>
      </c>
      <c r="J1897" s="8">
        <f>_xlfn.IFNA(INDEX('HS Codes'!$D$2:$K4451,MATCH($B1897,'HS Codes'!$A$2:$A4451,0),MATCH(J$1,'HS Codes'!$D$1:$K$1,0)),"")</f>
        <v>6117109000</v>
      </c>
      <c r="K1897" s="8" t="str">
        <f>_xlfn.IFNA(INDEX('HS Codes'!$D$2:$K4451,MATCH($B1897,'HS Codes'!$A$2:$A4451,0),MATCH(K$1,'HS Codes'!$D$1:$K$1,0)),"")</f>
        <v>6112.39.00</v>
      </c>
      <c r="L1897" s="8">
        <f>_xlfn.IFNA(INDEX('HS Codes'!$D$2:$K4451,MATCH($B1897,'HS Codes'!$A$2:$A4451,0),MATCH(L$1,'HS Codes'!$D$1:$K$1,0)),"")</f>
        <v>6202</v>
      </c>
      <c r="M1897" s="8" t="str">
        <f>_xlfn.IFNA(INDEX('HS Codes'!$C$2:$C4451,MATCH($B1897,'HS Codes'!$A$2:$A4451,0)),"")</f>
        <v>Beach Robe or Cloak 100% recycled 220 GSM/83% polyester/17% polyamide includes cotton on the packing pouch drawstring</v>
      </c>
      <c r="N1897" s="9"/>
      <c r="O1897" s="9"/>
      <c r="P1897" s="9"/>
      <c r="Q1897" s="9"/>
    </row>
    <row r="1898" spans="1:17" ht="15.75" customHeight="1">
      <c r="A1898" s="7" t="s">
        <v>2191</v>
      </c>
      <c r="B1898" s="7" t="s">
        <v>148</v>
      </c>
      <c r="C1898" s="7" t="s">
        <v>278</v>
      </c>
      <c r="D1898" s="7" t="s">
        <v>149</v>
      </c>
      <c r="E1898" s="7" t="s">
        <v>149</v>
      </c>
      <c r="F1898" s="8" t="str">
        <f>_xlfn.IFNA(INDEX('HS Codes'!$D$2:$K4452,MATCH($B1898,'HS Codes'!$A$2:$A4452,0),MATCH(F$1,'HS Codes'!$D$1:$K$1,0)),"")</f>
        <v>6101.90.90.30</v>
      </c>
      <c r="G1898" s="8">
        <f>_xlfn.IFNA(INDEX('HS Codes'!$D$2:$K4452,MATCH($B1898,'HS Codes'!$A$2:$A4452,0),MATCH(G$1,'HS Codes'!$D$1:$K$1,0)),"")</f>
        <v>6101309000</v>
      </c>
      <c r="H1898" s="8">
        <f>_xlfn.IFNA(INDEX('HS Codes'!$D$2:$K4452,MATCH($B1898,'HS Codes'!$A$2:$A4452,0),MATCH(H$1,'HS Codes'!$D$1:$K$1,0)),"")</f>
        <v>6112399000</v>
      </c>
      <c r="I1898" s="8" t="str">
        <f>_xlfn.IFNA(INDEX('HS Codes'!$D$2:$K4452,MATCH($B1898,'HS Codes'!$A$2:$A4452,0),MATCH(I$1,'HS Codes'!$D$1:$K$1,0)),"")</f>
        <v>6211 4390 00</v>
      </c>
      <c r="J1898" s="8">
        <f>_xlfn.IFNA(INDEX('HS Codes'!$D$2:$K4452,MATCH($B1898,'HS Codes'!$A$2:$A4452,0),MATCH(J$1,'HS Codes'!$D$1:$K$1,0)),"")</f>
        <v>6117109000</v>
      </c>
      <c r="K1898" s="8" t="str">
        <f>_xlfn.IFNA(INDEX('HS Codes'!$D$2:$K4452,MATCH($B1898,'HS Codes'!$A$2:$A4452,0),MATCH(K$1,'HS Codes'!$D$1:$K$1,0)),"")</f>
        <v>6112.39.00</v>
      </c>
      <c r="L1898" s="8">
        <f>_xlfn.IFNA(INDEX('HS Codes'!$D$2:$K4452,MATCH($B1898,'HS Codes'!$A$2:$A4452,0),MATCH(L$1,'HS Codes'!$D$1:$K$1,0)),"")</f>
        <v>6202</v>
      </c>
      <c r="M1898" s="8" t="str">
        <f>_xlfn.IFNA(INDEX('HS Codes'!$C$2:$C4452,MATCH($B1898,'HS Codes'!$A$2:$A4452,0)),"")</f>
        <v>Beach Robe or Cloak 100% recycled 220 GSM/83% polyester/17% polyamide includes cotton on the packing pouch drawstring</v>
      </c>
      <c r="N1898" s="9"/>
      <c r="O1898" s="9"/>
      <c r="P1898" s="9"/>
      <c r="Q1898" s="9"/>
    </row>
    <row r="1899" spans="1:17" ht="15.75" customHeight="1">
      <c r="A1899" s="7" t="s">
        <v>2192</v>
      </c>
      <c r="B1899" s="7" t="s">
        <v>148</v>
      </c>
      <c r="C1899" s="7" t="s">
        <v>278</v>
      </c>
      <c r="D1899" s="7" t="s">
        <v>149</v>
      </c>
      <c r="E1899" s="7" t="s">
        <v>149</v>
      </c>
      <c r="F1899" s="8" t="str">
        <f>_xlfn.IFNA(INDEX('HS Codes'!$D$2:$K4453,MATCH($B1899,'HS Codes'!$A$2:$A4453,0),MATCH(F$1,'HS Codes'!$D$1:$K$1,0)),"")</f>
        <v>6101.90.90.30</v>
      </c>
      <c r="G1899" s="8">
        <f>_xlfn.IFNA(INDEX('HS Codes'!$D$2:$K4453,MATCH($B1899,'HS Codes'!$A$2:$A4453,0),MATCH(G$1,'HS Codes'!$D$1:$K$1,0)),"")</f>
        <v>6101309000</v>
      </c>
      <c r="H1899" s="8">
        <f>_xlfn.IFNA(INDEX('HS Codes'!$D$2:$K4453,MATCH($B1899,'HS Codes'!$A$2:$A4453,0),MATCH(H$1,'HS Codes'!$D$1:$K$1,0)),"")</f>
        <v>6112399000</v>
      </c>
      <c r="I1899" s="8" t="str">
        <f>_xlfn.IFNA(INDEX('HS Codes'!$D$2:$K4453,MATCH($B1899,'HS Codes'!$A$2:$A4453,0),MATCH(I$1,'HS Codes'!$D$1:$K$1,0)),"")</f>
        <v>6211 4390 00</v>
      </c>
      <c r="J1899" s="8">
        <f>_xlfn.IFNA(INDEX('HS Codes'!$D$2:$K4453,MATCH($B1899,'HS Codes'!$A$2:$A4453,0),MATCH(J$1,'HS Codes'!$D$1:$K$1,0)),"")</f>
        <v>6117109000</v>
      </c>
      <c r="K1899" s="8" t="str">
        <f>_xlfn.IFNA(INDEX('HS Codes'!$D$2:$K4453,MATCH($B1899,'HS Codes'!$A$2:$A4453,0),MATCH(K$1,'HS Codes'!$D$1:$K$1,0)),"")</f>
        <v>6112.39.00</v>
      </c>
      <c r="L1899" s="8">
        <f>_xlfn.IFNA(INDEX('HS Codes'!$D$2:$K4453,MATCH($B1899,'HS Codes'!$A$2:$A4453,0),MATCH(L$1,'HS Codes'!$D$1:$K$1,0)),"")</f>
        <v>6202</v>
      </c>
      <c r="M1899" s="8" t="str">
        <f>_xlfn.IFNA(INDEX('HS Codes'!$C$2:$C4453,MATCH($B1899,'HS Codes'!$A$2:$A4453,0)),"")</f>
        <v>Beach Robe or Cloak 100% recycled 220 GSM/83% polyester/17% polyamide includes cotton on the packing pouch drawstring</v>
      </c>
      <c r="N1899" s="9"/>
      <c r="O1899" s="9"/>
      <c r="P1899" s="9"/>
      <c r="Q1899" s="9"/>
    </row>
    <row r="1900" spans="1:17" ht="15.75" customHeight="1">
      <c r="A1900" s="7" t="s">
        <v>2193</v>
      </c>
      <c r="B1900" s="7" t="s">
        <v>148</v>
      </c>
      <c r="C1900" s="7" t="s">
        <v>278</v>
      </c>
      <c r="D1900" s="7" t="s">
        <v>149</v>
      </c>
      <c r="E1900" s="7" t="s">
        <v>149</v>
      </c>
      <c r="F1900" s="8" t="str">
        <f>_xlfn.IFNA(INDEX('HS Codes'!$D$2:$K4454,MATCH($B1900,'HS Codes'!$A$2:$A4454,0),MATCH(F$1,'HS Codes'!$D$1:$K$1,0)),"")</f>
        <v>6101.90.90.30</v>
      </c>
      <c r="G1900" s="8">
        <f>_xlfn.IFNA(INDEX('HS Codes'!$D$2:$K4454,MATCH($B1900,'HS Codes'!$A$2:$A4454,0),MATCH(G$1,'HS Codes'!$D$1:$K$1,0)),"")</f>
        <v>6101309000</v>
      </c>
      <c r="H1900" s="8">
        <f>_xlfn.IFNA(INDEX('HS Codes'!$D$2:$K4454,MATCH($B1900,'HS Codes'!$A$2:$A4454,0),MATCH(H$1,'HS Codes'!$D$1:$K$1,0)),"")</f>
        <v>6112399000</v>
      </c>
      <c r="I1900" s="8" t="str">
        <f>_xlfn.IFNA(INDEX('HS Codes'!$D$2:$K4454,MATCH($B1900,'HS Codes'!$A$2:$A4454,0),MATCH(I$1,'HS Codes'!$D$1:$K$1,0)),"")</f>
        <v>6211 4390 00</v>
      </c>
      <c r="J1900" s="8">
        <f>_xlfn.IFNA(INDEX('HS Codes'!$D$2:$K4454,MATCH($B1900,'HS Codes'!$A$2:$A4454,0),MATCH(J$1,'HS Codes'!$D$1:$K$1,0)),"")</f>
        <v>6117109000</v>
      </c>
      <c r="K1900" s="8" t="str">
        <f>_xlfn.IFNA(INDEX('HS Codes'!$D$2:$K4454,MATCH($B1900,'HS Codes'!$A$2:$A4454,0),MATCH(K$1,'HS Codes'!$D$1:$K$1,0)),"")</f>
        <v>6112.39.00</v>
      </c>
      <c r="L1900" s="8">
        <f>_xlfn.IFNA(INDEX('HS Codes'!$D$2:$K4454,MATCH($B1900,'HS Codes'!$A$2:$A4454,0),MATCH(L$1,'HS Codes'!$D$1:$K$1,0)),"")</f>
        <v>6202</v>
      </c>
      <c r="M1900" s="8" t="str">
        <f>_xlfn.IFNA(INDEX('HS Codes'!$C$2:$C4454,MATCH($B1900,'HS Codes'!$A$2:$A4454,0)),"")</f>
        <v>Beach Robe or Cloak 100% recycled 220 GSM/83% polyester/17% polyamide includes cotton on the packing pouch drawstring</v>
      </c>
      <c r="N1900" s="9"/>
      <c r="O1900" s="9"/>
      <c r="P1900" s="9"/>
      <c r="Q1900" s="9"/>
    </row>
    <row r="1901" spans="1:17" ht="15.75" customHeight="1">
      <c r="A1901" s="7" t="s">
        <v>2194</v>
      </c>
      <c r="B1901" s="7" t="s">
        <v>148</v>
      </c>
      <c r="C1901" s="7" t="s">
        <v>278</v>
      </c>
      <c r="D1901" s="7" t="s">
        <v>149</v>
      </c>
      <c r="E1901" s="7" t="s">
        <v>149</v>
      </c>
      <c r="F1901" s="8" t="str">
        <f>_xlfn.IFNA(INDEX('HS Codes'!$D$2:$K4455,MATCH($B1901,'HS Codes'!$A$2:$A4455,0),MATCH(F$1,'HS Codes'!$D$1:$K$1,0)),"")</f>
        <v>6101.90.90.30</v>
      </c>
      <c r="G1901" s="8">
        <f>_xlfn.IFNA(INDEX('HS Codes'!$D$2:$K4455,MATCH($B1901,'HS Codes'!$A$2:$A4455,0),MATCH(G$1,'HS Codes'!$D$1:$K$1,0)),"")</f>
        <v>6101309000</v>
      </c>
      <c r="H1901" s="8">
        <f>_xlfn.IFNA(INDEX('HS Codes'!$D$2:$K4455,MATCH($B1901,'HS Codes'!$A$2:$A4455,0),MATCH(H$1,'HS Codes'!$D$1:$K$1,0)),"")</f>
        <v>6112399000</v>
      </c>
      <c r="I1901" s="8" t="str">
        <f>_xlfn.IFNA(INDEX('HS Codes'!$D$2:$K4455,MATCH($B1901,'HS Codes'!$A$2:$A4455,0),MATCH(I$1,'HS Codes'!$D$1:$K$1,0)),"")</f>
        <v>6211 4390 00</v>
      </c>
      <c r="J1901" s="8">
        <f>_xlfn.IFNA(INDEX('HS Codes'!$D$2:$K4455,MATCH($B1901,'HS Codes'!$A$2:$A4455,0),MATCH(J$1,'HS Codes'!$D$1:$K$1,0)),"")</f>
        <v>6117109000</v>
      </c>
      <c r="K1901" s="8" t="str">
        <f>_xlfn.IFNA(INDEX('HS Codes'!$D$2:$K4455,MATCH($B1901,'HS Codes'!$A$2:$A4455,0),MATCH(K$1,'HS Codes'!$D$1:$K$1,0)),"")</f>
        <v>6112.39.00</v>
      </c>
      <c r="L1901" s="8">
        <f>_xlfn.IFNA(INDEX('HS Codes'!$D$2:$K4455,MATCH($B1901,'HS Codes'!$A$2:$A4455,0),MATCH(L$1,'HS Codes'!$D$1:$K$1,0)),"")</f>
        <v>6202</v>
      </c>
      <c r="M1901" s="8" t="str">
        <f>_xlfn.IFNA(INDEX('HS Codes'!$C$2:$C4455,MATCH($B1901,'HS Codes'!$A$2:$A4455,0)),"")</f>
        <v>Beach Robe or Cloak 100% recycled 220 GSM/83% polyester/17% polyamide includes cotton on the packing pouch drawstring</v>
      </c>
      <c r="N1901" s="9"/>
      <c r="O1901" s="9"/>
      <c r="P1901" s="9"/>
      <c r="Q1901" s="9"/>
    </row>
    <row r="1902" spans="1:17" ht="15.75" customHeight="1">
      <c r="A1902" s="7" t="s">
        <v>2195</v>
      </c>
      <c r="B1902" s="7" t="s">
        <v>148</v>
      </c>
      <c r="C1902" s="7" t="s">
        <v>278</v>
      </c>
      <c r="D1902" s="7" t="s">
        <v>149</v>
      </c>
      <c r="E1902" s="7" t="s">
        <v>149</v>
      </c>
      <c r="F1902" s="8" t="str">
        <f>_xlfn.IFNA(INDEX('HS Codes'!$D$2:$K4456,MATCH($B1902,'HS Codes'!$A$2:$A4456,0),MATCH(F$1,'HS Codes'!$D$1:$K$1,0)),"")</f>
        <v>6101.90.90.30</v>
      </c>
      <c r="G1902" s="8">
        <f>_xlfn.IFNA(INDEX('HS Codes'!$D$2:$K4456,MATCH($B1902,'HS Codes'!$A$2:$A4456,0),MATCH(G$1,'HS Codes'!$D$1:$K$1,0)),"")</f>
        <v>6101309000</v>
      </c>
      <c r="H1902" s="8">
        <f>_xlfn.IFNA(INDEX('HS Codes'!$D$2:$K4456,MATCH($B1902,'HS Codes'!$A$2:$A4456,0),MATCH(H$1,'HS Codes'!$D$1:$K$1,0)),"")</f>
        <v>6112399000</v>
      </c>
      <c r="I1902" s="8" t="str">
        <f>_xlfn.IFNA(INDEX('HS Codes'!$D$2:$K4456,MATCH($B1902,'HS Codes'!$A$2:$A4456,0),MATCH(I$1,'HS Codes'!$D$1:$K$1,0)),"")</f>
        <v>6211 4390 00</v>
      </c>
      <c r="J1902" s="8">
        <f>_xlfn.IFNA(INDEX('HS Codes'!$D$2:$K4456,MATCH($B1902,'HS Codes'!$A$2:$A4456,0),MATCH(J$1,'HS Codes'!$D$1:$K$1,0)),"")</f>
        <v>6117109000</v>
      </c>
      <c r="K1902" s="8" t="str">
        <f>_xlfn.IFNA(INDEX('HS Codes'!$D$2:$K4456,MATCH($B1902,'HS Codes'!$A$2:$A4456,0),MATCH(K$1,'HS Codes'!$D$1:$K$1,0)),"")</f>
        <v>6112.39.00</v>
      </c>
      <c r="L1902" s="8">
        <f>_xlfn.IFNA(INDEX('HS Codes'!$D$2:$K4456,MATCH($B1902,'HS Codes'!$A$2:$A4456,0),MATCH(L$1,'HS Codes'!$D$1:$K$1,0)),"")</f>
        <v>6202</v>
      </c>
      <c r="M1902" s="8" t="str">
        <f>_xlfn.IFNA(INDEX('HS Codes'!$C$2:$C4456,MATCH($B1902,'HS Codes'!$A$2:$A4456,0)),"")</f>
        <v>Beach Robe or Cloak 100% recycled 220 GSM/83% polyester/17% polyamide includes cotton on the packing pouch drawstring</v>
      </c>
      <c r="N1902" s="9"/>
      <c r="O1902" s="9"/>
      <c r="P1902" s="9"/>
      <c r="Q1902" s="9"/>
    </row>
    <row r="1903" spans="1:17" ht="15.75" customHeight="1">
      <c r="A1903" s="7" t="s">
        <v>2196</v>
      </c>
      <c r="B1903" s="7" t="s">
        <v>148</v>
      </c>
      <c r="C1903" s="7" t="s">
        <v>278</v>
      </c>
      <c r="D1903" s="7" t="s">
        <v>149</v>
      </c>
      <c r="E1903" s="7" t="s">
        <v>149</v>
      </c>
      <c r="F1903" s="8" t="str">
        <f>_xlfn.IFNA(INDEX('HS Codes'!$D$2:$K4457,MATCH($B1903,'HS Codes'!$A$2:$A4457,0),MATCH(F$1,'HS Codes'!$D$1:$K$1,0)),"")</f>
        <v>6101.90.90.30</v>
      </c>
      <c r="G1903" s="8">
        <f>_xlfn.IFNA(INDEX('HS Codes'!$D$2:$K4457,MATCH($B1903,'HS Codes'!$A$2:$A4457,0),MATCH(G$1,'HS Codes'!$D$1:$K$1,0)),"")</f>
        <v>6101309000</v>
      </c>
      <c r="H1903" s="8">
        <f>_xlfn.IFNA(INDEX('HS Codes'!$D$2:$K4457,MATCH($B1903,'HS Codes'!$A$2:$A4457,0),MATCH(H$1,'HS Codes'!$D$1:$K$1,0)),"")</f>
        <v>6112399000</v>
      </c>
      <c r="I1903" s="8" t="str">
        <f>_xlfn.IFNA(INDEX('HS Codes'!$D$2:$K4457,MATCH($B1903,'HS Codes'!$A$2:$A4457,0),MATCH(I$1,'HS Codes'!$D$1:$K$1,0)),"")</f>
        <v>6211 4390 00</v>
      </c>
      <c r="J1903" s="8">
        <f>_xlfn.IFNA(INDEX('HS Codes'!$D$2:$K4457,MATCH($B1903,'HS Codes'!$A$2:$A4457,0),MATCH(J$1,'HS Codes'!$D$1:$K$1,0)),"")</f>
        <v>6117109000</v>
      </c>
      <c r="K1903" s="8" t="str">
        <f>_xlfn.IFNA(INDEX('HS Codes'!$D$2:$K4457,MATCH($B1903,'HS Codes'!$A$2:$A4457,0),MATCH(K$1,'HS Codes'!$D$1:$K$1,0)),"")</f>
        <v>6112.39.00</v>
      </c>
      <c r="L1903" s="8">
        <f>_xlfn.IFNA(INDEX('HS Codes'!$D$2:$K4457,MATCH($B1903,'HS Codes'!$A$2:$A4457,0),MATCH(L$1,'HS Codes'!$D$1:$K$1,0)),"")</f>
        <v>6202</v>
      </c>
      <c r="M1903" s="8" t="str">
        <f>_xlfn.IFNA(INDEX('HS Codes'!$C$2:$C4457,MATCH($B1903,'HS Codes'!$A$2:$A4457,0)),"")</f>
        <v>Beach Robe or Cloak 100% recycled 220 GSM/83% polyester/17% polyamide includes cotton on the packing pouch drawstring</v>
      </c>
      <c r="N1903" s="9"/>
      <c r="O1903" s="9"/>
      <c r="P1903" s="9"/>
      <c r="Q1903" s="9"/>
    </row>
    <row r="1904" spans="1:17" ht="15.75" customHeight="1">
      <c r="A1904" s="7" t="s">
        <v>2197</v>
      </c>
      <c r="B1904" s="7" t="s">
        <v>148</v>
      </c>
      <c r="C1904" s="7" t="s">
        <v>278</v>
      </c>
      <c r="D1904" s="7" t="s">
        <v>149</v>
      </c>
      <c r="E1904" s="7" t="s">
        <v>149</v>
      </c>
      <c r="F1904" s="8" t="str">
        <f>_xlfn.IFNA(INDEX('HS Codes'!$D$2:$K4458,MATCH($B1904,'HS Codes'!$A$2:$A4458,0),MATCH(F$1,'HS Codes'!$D$1:$K$1,0)),"")</f>
        <v>6101.90.90.30</v>
      </c>
      <c r="G1904" s="8">
        <f>_xlfn.IFNA(INDEX('HS Codes'!$D$2:$K4458,MATCH($B1904,'HS Codes'!$A$2:$A4458,0),MATCH(G$1,'HS Codes'!$D$1:$K$1,0)),"")</f>
        <v>6101309000</v>
      </c>
      <c r="H1904" s="8">
        <f>_xlfn.IFNA(INDEX('HS Codes'!$D$2:$K4458,MATCH($B1904,'HS Codes'!$A$2:$A4458,0),MATCH(H$1,'HS Codes'!$D$1:$K$1,0)),"")</f>
        <v>6112399000</v>
      </c>
      <c r="I1904" s="8" t="str">
        <f>_xlfn.IFNA(INDEX('HS Codes'!$D$2:$K4458,MATCH($B1904,'HS Codes'!$A$2:$A4458,0),MATCH(I$1,'HS Codes'!$D$1:$K$1,0)),"")</f>
        <v>6211 4390 00</v>
      </c>
      <c r="J1904" s="8">
        <f>_xlfn.IFNA(INDEX('HS Codes'!$D$2:$K4458,MATCH($B1904,'HS Codes'!$A$2:$A4458,0),MATCH(J$1,'HS Codes'!$D$1:$K$1,0)),"")</f>
        <v>6117109000</v>
      </c>
      <c r="K1904" s="8" t="str">
        <f>_xlfn.IFNA(INDEX('HS Codes'!$D$2:$K4458,MATCH($B1904,'HS Codes'!$A$2:$A4458,0),MATCH(K$1,'HS Codes'!$D$1:$K$1,0)),"")</f>
        <v>6112.39.00</v>
      </c>
      <c r="L1904" s="8">
        <f>_xlfn.IFNA(INDEX('HS Codes'!$D$2:$K4458,MATCH($B1904,'HS Codes'!$A$2:$A4458,0),MATCH(L$1,'HS Codes'!$D$1:$K$1,0)),"")</f>
        <v>6202</v>
      </c>
      <c r="M1904" s="8" t="str">
        <f>_xlfn.IFNA(INDEX('HS Codes'!$C$2:$C4458,MATCH($B1904,'HS Codes'!$A$2:$A4458,0)),"")</f>
        <v>Beach Robe or Cloak 100% recycled 220 GSM/83% polyester/17% polyamide includes cotton on the packing pouch drawstring</v>
      </c>
      <c r="N1904" s="9"/>
      <c r="O1904" s="9"/>
      <c r="P1904" s="9"/>
      <c r="Q1904" s="9"/>
    </row>
    <row r="1905" spans="1:17" ht="15.75" customHeight="1">
      <c r="A1905" s="7" t="s">
        <v>2198</v>
      </c>
      <c r="B1905" s="7" t="s">
        <v>148</v>
      </c>
      <c r="C1905" s="7" t="s">
        <v>278</v>
      </c>
      <c r="D1905" s="7" t="s">
        <v>149</v>
      </c>
      <c r="E1905" s="7" t="s">
        <v>149</v>
      </c>
      <c r="F1905" s="8" t="str">
        <f>_xlfn.IFNA(INDEX('HS Codes'!$D$2:$K4459,MATCH($B1905,'HS Codes'!$A$2:$A4459,0),MATCH(F$1,'HS Codes'!$D$1:$K$1,0)),"")</f>
        <v>6101.90.90.30</v>
      </c>
      <c r="G1905" s="8">
        <f>_xlfn.IFNA(INDEX('HS Codes'!$D$2:$K4459,MATCH($B1905,'HS Codes'!$A$2:$A4459,0),MATCH(G$1,'HS Codes'!$D$1:$K$1,0)),"")</f>
        <v>6101309000</v>
      </c>
      <c r="H1905" s="8">
        <f>_xlfn.IFNA(INDEX('HS Codes'!$D$2:$K4459,MATCH($B1905,'HS Codes'!$A$2:$A4459,0),MATCH(H$1,'HS Codes'!$D$1:$K$1,0)),"")</f>
        <v>6112399000</v>
      </c>
      <c r="I1905" s="8" t="str">
        <f>_xlfn.IFNA(INDEX('HS Codes'!$D$2:$K4459,MATCH($B1905,'HS Codes'!$A$2:$A4459,0),MATCH(I$1,'HS Codes'!$D$1:$K$1,0)),"")</f>
        <v>6211 4390 00</v>
      </c>
      <c r="J1905" s="8">
        <f>_xlfn.IFNA(INDEX('HS Codes'!$D$2:$K4459,MATCH($B1905,'HS Codes'!$A$2:$A4459,0),MATCH(J$1,'HS Codes'!$D$1:$K$1,0)),"")</f>
        <v>6117109000</v>
      </c>
      <c r="K1905" s="8" t="str">
        <f>_xlfn.IFNA(INDEX('HS Codes'!$D$2:$K4459,MATCH($B1905,'HS Codes'!$A$2:$A4459,0),MATCH(K$1,'HS Codes'!$D$1:$K$1,0)),"")</f>
        <v>6112.39.00</v>
      </c>
      <c r="L1905" s="8">
        <f>_xlfn.IFNA(INDEX('HS Codes'!$D$2:$K4459,MATCH($B1905,'HS Codes'!$A$2:$A4459,0),MATCH(L$1,'HS Codes'!$D$1:$K$1,0)),"")</f>
        <v>6202</v>
      </c>
      <c r="M1905" s="8" t="str">
        <f>_xlfn.IFNA(INDEX('HS Codes'!$C$2:$C4459,MATCH($B1905,'HS Codes'!$A$2:$A4459,0)),"")</f>
        <v>Beach Robe or Cloak 100% recycled 220 GSM/83% polyester/17% polyamide includes cotton on the packing pouch drawstring</v>
      </c>
      <c r="N1905" s="9"/>
      <c r="O1905" s="9"/>
      <c r="P1905" s="9"/>
      <c r="Q1905" s="9"/>
    </row>
    <row r="1906" spans="1:17" ht="15.75" customHeight="1">
      <c r="A1906" s="7" t="s">
        <v>2199</v>
      </c>
      <c r="B1906" s="7" t="s">
        <v>148</v>
      </c>
      <c r="C1906" s="7" t="s">
        <v>278</v>
      </c>
      <c r="D1906" s="7" t="s">
        <v>149</v>
      </c>
      <c r="E1906" s="7" t="s">
        <v>149</v>
      </c>
      <c r="F1906" s="8" t="str">
        <f>_xlfn.IFNA(INDEX('HS Codes'!$D$2:$K4460,MATCH($B1906,'HS Codes'!$A$2:$A4460,0),MATCH(F$1,'HS Codes'!$D$1:$K$1,0)),"")</f>
        <v>6101.90.90.30</v>
      </c>
      <c r="G1906" s="8">
        <f>_xlfn.IFNA(INDEX('HS Codes'!$D$2:$K4460,MATCH($B1906,'HS Codes'!$A$2:$A4460,0),MATCH(G$1,'HS Codes'!$D$1:$K$1,0)),"")</f>
        <v>6101309000</v>
      </c>
      <c r="H1906" s="8">
        <f>_xlfn.IFNA(INDEX('HS Codes'!$D$2:$K4460,MATCH($B1906,'HS Codes'!$A$2:$A4460,0),MATCH(H$1,'HS Codes'!$D$1:$K$1,0)),"")</f>
        <v>6112399000</v>
      </c>
      <c r="I1906" s="8" t="str">
        <f>_xlfn.IFNA(INDEX('HS Codes'!$D$2:$K4460,MATCH($B1906,'HS Codes'!$A$2:$A4460,0),MATCH(I$1,'HS Codes'!$D$1:$K$1,0)),"")</f>
        <v>6211 4390 00</v>
      </c>
      <c r="J1906" s="8">
        <f>_xlfn.IFNA(INDEX('HS Codes'!$D$2:$K4460,MATCH($B1906,'HS Codes'!$A$2:$A4460,0),MATCH(J$1,'HS Codes'!$D$1:$K$1,0)),"")</f>
        <v>6117109000</v>
      </c>
      <c r="K1906" s="8" t="str">
        <f>_xlfn.IFNA(INDEX('HS Codes'!$D$2:$K4460,MATCH($B1906,'HS Codes'!$A$2:$A4460,0),MATCH(K$1,'HS Codes'!$D$1:$K$1,0)),"")</f>
        <v>6112.39.00</v>
      </c>
      <c r="L1906" s="8">
        <f>_xlfn.IFNA(INDEX('HS Codes'!$D$2:$K4460,MATCH($B1906,'HS Codes'!$A$2:$A4460,0),MATCH(L$1,'HS Codes'!$D$1:$K$1,0)),"")</f>
        <v>6202</v>
      </c>
      <c r="M1906" s="8" t="str">
        <f>_xlfn.IFNA(INDEX('HS Codes'!$C$2:$C4460,MATCH($B1906,'HS Codes'!$A$2:$A4460,0)),"")</f>
        <v>Beach Robe or Cloak 100% recycled 220 GSM/83% polyester/17% polyamide includes cotton on the packing pouch drawstring</v>
      </c>
      <c r="N1906" s="9"/>
      <c r="O1906" s="9"/>
      <c r="P1906" s="9"/>
      <c r="Q1906" s="9"/>
    </row>
    <row r="1907" spans="1:17" ht="15.75" customHeight="1">
      <c r="A1907" s="7" t="s">
        <v>2200</v>
      </c>
      <c r="B1907" s="7" t="s">
        <v>148</v>
      </c>
      <c r="C1907" s="7" t="s">
        <v>278</v>
      </c>
      <c r="D1907" s="7" t="s">
        <v>149</v>
      </c>
      <c r="E1907" s="7" t="s">
        <v>149</v>
      </c>
      <c r="F1907" s="8" t="str">
        <f>_xlfn.IFNA(INDEX('HS Codes'!$D$2:$K4461,MATCH($B1907,'HS Codes'!$A$2:$A4461,0),MATCH(F$1,'HS Codes'!$D$1:$K$1,0)),"")</f>
        <v>6101.90.90.30</v>
      </c>
      <c r="G1907" s="8">
        <f>_xlfn.IFNA(INDEX('HS Codes'!$D$2:$K4461,MATCH($B1907,'HS Codes'!$A$2:$A4461,0),MATCH(G$1,'HS Codes'!$D$1:$K$1,0)),"")</f>
        <v>6101309000</v>
      </c>
      <c r="H1907" s="8">
        <f>_xlfn.IFNA(INDEX('HS Codes'!$D$2:$K4461,MATCH($B1907,'HS Codes'!$A$2:$A4461,0),MATCH(H$1,'HS Codes'!$D$1:$K$1,0)),"")</f>
        <v>6112399000</v>
      </c>
      <c r="I1907" s="8" t="str">
        <f>_xlfn.IFNA(INDEX('HS Codes'!$D$2:$K4461,MATCH($B1907,'HS Codes'!$A$2:$A4461,0),MATCH(I$1,'HS Codes'!$D$1:$K$1,0)),"")</f>
        <v>6211 4390 00</v>
      </c>
      <c r="J1907" s="8">
        <f>_xlfn.IFNA(INDEX('HS Codes'!$D$2:$K4461,MATCH($B1907,'HS Codes'!$A$2:$A4461,0),MATCH(J$1,'HS Codes'!$D$1:$K$1,0)),"")</f>
        <v>6117109000</v>
      </c>
      <c r="K1907" s="8" t="str">
        <f>_xlfn.IFNA(INDEX('HS Codes'!$D$2:$K4461,MATCH($B1907,'HS Codes'!$A$2:$A4461,0),MATCH(K$1,'HS Codes'!$D$1:$K$1,0)),"")</f>
        <v>6112.39.00</v>
      </c>
      <c r="L1907" s="8">
        <f>_xlfn.IFNA(INDEX('HS Codes'!$D$2:$K4461,MATCH($B1907,'HS Codes'!$A$2:$A4461,0),MATCH(L$1,'HS Codes'!$D$1:$K$1,0)),"")</f>
        <v>6202</v>
      </c>
      <c r="M1907" s="8" t="str">
        <f>_xlfn.IFNA(INDEX('HS Codes'!$C$2:$C4461,MATCH($B1907,'HS Codes'!$A$2:$A4461,0)),"")</f>
        <v>Beach Robe or Cloak 100% recycled 220 GSM/83% polyester/17% polyamide includes cotton on the packing pouch drawstring</v>
      </c>
      <c r="N1907" s="9"/>
      <c r="O1907" s="9"/>
      <c r="P1907" s="9"/>
      <c r="Q1907" s="9"/>
    </row>
    <row r="1908" spans="1:17" ht="15.75" customHeight="1">
      <c r="A1908" s="7" t="s">
        <v>2201</v>
      </c>
      <c r="B1908" s="7" t="s">
        <v>148</v>
      </c>
      <c r="C1908" s="7" t="s">
        <v>278</v>
      </c>
      <c r="D1908" s="7" t="s">
        <v>149</v>
      </c>
      <c r="E1908" s="7" t="s">
        <v>149</v>
      </c>
      <c r="F1908" s="8" t="str">
        <f>_xlfn.IFNA(INDEX('HS Codes'!$D$2:$K4462,MATCH($B1908,'HS Codes'!$A$2:$A4462,0),MATCH(F$1,'HS Codes'!$D$1:$K$1,0)),"")</f>
        <v>6101.90.90.30</v>
      </c>
      <c r="G1908" s="8">
        <f>_xlfn.IFNA(INDEX('HS Codes'!$D$2:$K4462,MATCH($B1908,'HS Codes'!$A$2:$A4462,0),MATCH(G$1,'HS Codes'!$D$1:$K$1,0)),"")</f>
        <v>6101309000</v>
      </c>
      <c r="H1908" s="8">
        <f>_xlfn.IFNA(INDEX('HS Codes'!$D$2:$K4462,MATCH($B1908,'HS Codes'!$A$2:$A4462,0),MATCH(H$1,'HS Codes'!$D$1:$K$1,0)),"")</f>
        <v>6112399000</v>
      </c>
      <c r="I1908" s="8" t="str">
        <f>_xlfn.IFNA(INDEX('HS Codes'!$D$2:$K4462,MATCH($B1908,'HS Codes'!$A$2:$A4462,0),MATCH(I$1,'HS Codes'!$D$1:$K$1,0)),"")</f>
        <v>6211 4390 00</v>
      </c>
      <c r="J1908" s="8">
        <f>_xlfn.IFNA(INDEX('HS Codes'!$D$2:$K4462,MATCH($B1908,'HS Codes'!$A$2:$A4462,0),MATCH(J$1,'HS Codes'!$D$1:$K$1,0)),"")</f>
        <v>6117109000</v>
      </c>
      <c r="K1908" s="8" t="str">
        <f>_xlfn.IFNA(INDEX('HS Codes'!$D$2:$K4462,MATCH($B1908,'HS Codes'!$A$2:$A4462,0),MATCH(K$1,'HS Codes'!$D$1:$K$1,0)),"")</f>
        <v>6112.39.00</v>
      </c>
      <c r="L1908" s="8">
        <f>_xlfn.IFNA(INDEX('HS Codes'!$D$2:$K4462,MATCH($B1908,'HS Codes'!$A$2:$A4462,0),MATCH(L$1,'HS Codes'!$D$1:$K$1,0)),"")</f>
        <v>6202</v>
      </c>
      <c r="M1908" s="8" t="str">
        <f>_xlfn.IFNA(INDEX('HS Codes'!$C$2:$C4462,MATCH($B1908,'HS Codes'!$A$2:$A4462,0)),"")</f>
        <v>Beach Robe or Cloak 100% recycled 220 GSM/83% polyester/17% polyamide includes cotton on the packing pouch drawstring</v>
      </c>
      <c r="N1908" s="9"/>
      <c r="O1908" s="9"/>
      <c r="P1908" s="9"/>
      <c r="Q1908" s="9"/>
    </row>
    <row r="1909" spans="1:17" ht="15.75" customHeight="1">
      <c r="A1909" s="7" t="s">
        <v>2202</v>
      </c>
      <c r="B1909" s="7" t="s">
        <v>148</v>
      </c>
      <c r="C1909" s="7" t="s">
        <v>278</v>
      </c>
      <c r="D1909" s="7" t="s">
        <v>149</v>
      </c>
      <c r="E1909" s="7" t="s">
        <v>149</v>
      </c>
      <c r="F1909" s="8" t="str">
        <f>_xlfn.IFNA(INDEX('HS Codes'!$D$2:$K4463,MATCH($B1909,'HS Codes'!$A$2:$A4463,0),MATCH(F$1,'HS Codes'!$D$1:$K$1,0)),"")</f>
        <v>6101.90.90.30</v>
      </c>
      <c r="G1909" s="8">
        <f>_xlfn.IFNA(INDEX('HS Codes'!$D$2:$K4463,MATCH($B1909,'HS Codes'!$A$2:$A4463,0),MATCH(G$1,'HS Codes'!$D$1:$K$1,0)),"")</f>
        <v>6101309000</v>
      </c>
      <c r="H1909" s="8">
        <f>_xlfn.IFNA(INDEX('HS Codes'!$D$2:$K4463,MATCH($B1909,'HS Codes'!$A$2:$A4463,0),MATCH(H$1,'HS Codes'!$D$1:$K$1,0)),"")</f>
        <v>6112399000</v>
      </c>
      <c r="I1909" s="8" t="str">
        <f>_xlfn.IFNA(INDEX('HS Codes'!$D$2:$K4463,MATCH($B1909,'HS Codes'!$A$2:$A4463,0),MATCH(I$1,'HS Codes'!$D$1:$K$1,0)),"")</f>
        <v>6211 4390 00</v>
      </c>
      <c r="J1909" s="8">
        <f>_xlfn.IFNA(INDEX('HS Codes'!$D$2:$K4463,MATCH($B1909,'HS Codes'!$A$2:$A4463,0),MATCH(J$1,'HS Codes'!$D$1:$K$1,0)),"")</f>
        <v>6117109000</v>
      </c>
      <c r="K1909" s="8" t="str">
        <f>_xlfn.IFNA(INDEX('HS Codes'!$D$2:$K4463,MATCH($B1909,'HS Codes'!$A$2:$A4463,0),MATCH(K$1,'HS Codes'!$D$1:$K$1,0)),"")</f>
        <v>6112.39.00</v>
      </c>
      <c r="L1909" s="8">
        <f>_xlfn.IFNA(INDEX('HS Codes'!$D$2:$K4463,MATCH($B1909,'HS Codes'!$A$2:$A4463,0),MATCH(L$1,'HS Codes'!$D$1:$K$1,0)),"")</f>
        <v>6202</v>
      </c>
      <c r="M1909" s="8" t="str">
        <f>_xlfn.IFNA(INDEX('HS Codes'!$C$2:$C4463,MATCH($B1909,'HS Codes'!$A$2:$A4463,0)),"")</f>
        <v>Beach Robe or Cloak 100% recycled 220 GSM/83% polyester/17% polyamide includes cotton on the packing pouch drawstring</v>
      </c>
      <c r="N1909" s="9"/>
      <c r="O1909" s="9"/>
      <c r="P1909" s="9"/>
      <c r="Q1909" s="9"/>
    </row>
    <row r="1910" spans="1:17" ht="15.75" customHeight="1">
      <c r="A1910" s="7" t="s">
        <v>2203</v>
      </c>
      <c r="B1910" s="7" t="s">
        <v>148</v>
      </c>
      <c r="C1910" s="7" t="s">
        <v>278</v>
      </c>
      <c r="D1910" s="7" t="s">
        <v>149</v>
      </c>
      <c r="E1910" s="7" t="s">
        <v>149</v>
      </c>
      <c r="F1910" s="8" t="str">
        <f>_xlfn.IFNA(INDEX('HS Codes'!$D$2:$K4464,MATCH($B1910,'HS Codes'!$A$2:$A4464,0),MATCH(F$1,'HS Codes'!$D$1:$K$1,0)),"")</f>
        <v>6101.90.90.30</v>
      </c>
      <c r="G1910" s="8">
        <f>_xlfn.IFNA(INDEX('HS Codes'!$D$2:$K4464,MATCH($B1910,'HS Codes'!$A$2:$A4464,0),MATCH(G$1,'HS Codes'!$D$1:$K$1,0)),"")</f>
        <v>6101309000</v>
      </c>
      <c r="H1910" s="8">
        <f>_xlfn.IFNA(INDEX('HS Codes'!$D$2:$K4464,MATCH($B1910,'HS Codes'!$A$2:$A4464,0),MATCH(H$1,'HS Codes'!$D$1:$K$1,0)),"")</f>
        <v>6112399000</v>
      </c>
      <c r="I1910" s="8" t="str">
        <f>_xlfn.IFNA(INDEX('HS Codes'!$D$2:$K4464,MATCH($B1910,'HS Codes'!$A$2:$A4464,0),MATCH(I$1,'HS Codes'!$D$1:$K$1,0)),"")</f>
        <v>6211 4390 00</v>
      </c>
      <c r="J1910" s="8">
        <f>_xlfn.IFNA(INDEX('HS Codes'!$D$2:$K4464,MATCH($B1910,'HS Codes'!$A$2:$A4464,0),MATCH(J$1,'HS Codes'!$D$1:$K$1,0)),"")</f>
        <v>6117109000</v>
      </c>
      <c r="K1910" s="8" t="str">
        <f>_xlfn.IFNA(INDEX('HS Codes'!$D$2:$K4464,MATCH($B1910,'HS Codes'!$A$2:$A4464,0),MATCH(K$1,'HS Codes'!$D$1:$K$1,0)),"")</f>
        <v>6112.39.00</v>
      </c>
      <c r="L1910" s="8">
        <f>_xlfn.IFNA(INDEX('HS Codes'!$D$2:$K4464,MATCH($B1910,'HS Codes'!$A$2:$A4464,0),MATCH(L$1,'HS Codes'!$D$1:$K$1,0)),"")</f>
        <v>6202</v>
      </c>
      <c r="M1910" s="8" t="str">
        <f>_xlfn.IFNA(INDEX('HS Codes'!$C$2:$C4464,MATCH($B1910,'HS Codes'!$A$2:$A4464,0)),"")</f>
        <v>Beach Robe or Cloak 100% recycled 220 GSM/83% polyester/17% polyamide includes cotton on the packing pouch drawstring</v>
      </c>
      <c r="N1910" s="9"/>
      <c r="O1910" s="9"/>
      <c r="P1910" s="9"/>
      <c r="Q1910" s="9"/>
    </row>
    <row r="1911" spans="1:17" ht="15.75" customHeight="1">
      <c r="A1911" s="7" t="s">
        <v>2204</v>
      </c>
      <c r="B1911" s="7" t="s">
        <v>148</v>
      </c>
      <c r="C1911" s="7" t="s">
        <v>278</v>
      </c>
      <c r="D1911" s="7" t="s">
        <v>149</v>
      </c>
      <c r="E1911" s="7" t="s">
        <v>149</v>
      </c>
      <c r="F1911" s="8" t="str">
        <f>_xlfn.IFNA(INDEX('HS Codes'!$D$2:$K4465,MATCH($B1911,'HS Codes'!$A$2:$A4465,0),MATCH(F$1,'HS Codes'!$D$1:$K$1,0)),"")</f>
        <v>6101.90.90.30</v>
      </c>
      <c r="G1911" s="8">
        <f>_xlfn.IFNA(INDEX('HS Codes'!$D$2:$K4465,MATCH($B1911,'HS Codes'!$A$2:$A4465,0),MATCH(G$1,'HS Codes'!$D$1:$K$1,0)),"")</f>
        <v>6101309000</v>
      </c>
      <c r="H1911" s="8">
        <f>_xlfn.IFNA(INDEX('HS Codes'!$D$2:$K4465,MATCH($B1911,'HS Codes'!$A$2:$A4465,0),MATCH(H$1,'HS Codes'!$D$1:$K$1,0)),"")</f>
        <v>6112399000</v>
      </c>
      <c r="I1911" s="8" t="str">
        <f>_xlfn.IFNA(INDEX('HS Codes'!$D$2:$K4465,MATCH($B1911,'HS Codes'!$A$2:$A4465,0),MATCH(I$1,'HS Codes'!$D$1:$K$1,0)),"")</f>
        <v>6211 4390 00</v>
      </c>
      <c r="J1911" s="8">
        <f>_xlfn.IFNA(INDEX('HS Codes'!$D$2:$K4465,MATCH($B1911,'HS Codes'!$A$2:$A4465,0),MATCH(J$1,'HS Codes'!$D$1:$K$1,0)),"")</f>
        <v>6117109000</v>
      </c>
      <c r="K1911" s="8" t="str">
        <f>_xlfn.IFNA(INDEX('HS Codes'!$D$2:$K4465,MATCH($B1911,'HS Codes'!$A$2:$A4465,0),MATCH(K$1,'HS Codes'!$D$1:$K$1,0)),"")</f>
        <v>6112.39.00</v>
      </c>
      <c r="L1911" s="8">
        <f>_xlfn.IFNA(INDEX('HS Codes'!$D$2:$K4465,MATCH($B1911,'HS Codes'!$A$2:$A4465,0),MATCH(L$1,'HS Codes'!$D$1:$K$1,0)),"")</f>
        <v>6202</v>
      </c>
      <c r="M1911" s="8" t="str">
        <f>_xlfn.IFNA(INDEX('HS Codes'!$C$2:$C4465,MATCH($B1911,'HS Codes'!$A$2:$A4465,0)),"")</f>
        <v>Beach Robe or Cloak 100% recycled 220 GSM/83% polyester/17% polyamide includes cotton on the packing pouch drawstring</v>
      </c>
      <c r="N1911" s="9"/>
      <c r="O1911" s="9"/>
      <c r="P1911" s="9"/>
      <c r="Q1911" s="9"/>
    </row>
    <row r="1912" spans="1:17" ht="15.75" customHeight="1">
      <c r="A1912" s="7" t="s">
        <v>2205</v>
      </c>
      <c r="B1912" s="7" t="s">
        <v>148</v>
      </c>
      <c r="C1912" s="7" t="s">
        <v>278</v>
      </c>
      <c r="D1912" s="7" t="s">
        <v>149</v>
      </c>
      <c r="E1912" s="7" t="s">
        <v>149</v>
      </c>
      <c r="F1912" s="8" t="str">
        <f>_xlfn.IFNA(INDEX('HS Codes'!$D$2:$K4466,MATCH($B1912,'HS Codes'!$A$2:$A4466,0),MATCH(F$1,'HS Codes'!$D$1:$K$1,0)),"")</f>
        <v>6101.90.90.30</v>
      </c>
      <c r="G1912" s="8">
        <f>_xlfn.IFNA(INDEX('HS Codes'!$D$2:$K4466,MATCH($B1912,'HS Codes'!$A$2:$A4466,0),MATCH(G$1,'HS Codes'!$D$1:$K$1,0)),"")</f>
        <v>6101309000</v>
      </c>
      <c r="H1912" s="8">
        <f>_xlfn.IFNA(INDEX('HS Codes'!$D$2:$K4466,MATCH($B1912,'HS Codes'!$A$2:$A4466,0),MATCH(H$1,'HS Codes'!$D$1:$K$1,0)),"")</f>
        <v>6112399000</v>
      </c>
      <c r="I1912" s="8" t="str">
        <f>_xlfn.IFNA(INDEX('HS Codes'!$D$2:$K4466,MATCH($B1912,'HS Codes'!$A$2:$A4466,0),MATCH(I$1,'HS Codes'!$D$1:$K$1,0)),"")</f>
        <v>6211 4390 00</v>
      </c>
      <c r="J1912" s="8">
        <f>_xlfn.IFNA(INDEX('HS Codes'!$D$2:$K4466,MATCH($B1912,'HS Codes'!$A$2:$A4466,0),MATCH(J$1,'HS Codes'!$D$1:$K$1,0)),"")</f>
        <v>6117109000</v>
      </c>
      <c r="K1912" s="8" t="str">
        <f>_xlfn.IFNA(INDEX('HS Codes'!$D$2:$K4466,MATCH($B1912,'HS Codes'!$A$2:$A4466,0),MATCH(K$1,'HS Codes'!$D$1:$K$1,0)),"")</f>
        <v>6112.39.00</v>
      </c>
      <c r="L1912" s="8">
        <f>_xlfn.IFNA(INDEX('HS Codes'!$D$2:$K4466,MATCH($B1912,'HS Codes'!$A$2:$A4466,0),MATCH(L$1,'HS Codes'!$D$1:$K$1,0)),"")</f>
        <v>6202</v>
      </c>
      <c r="M1912" s="8" t="str">
        <f>_xlfn.IFNA(INDEX('HS Codes'!$C$2:$C4466,MATCH($B1912,'HS Codes'!$A$2:$A4466,0)),"")</f>
        <v>Beach Robe or Cloak 100% recycled 220 GSM/83% polyester/17% polyamide includes cotton on the packing pouch drawstring</v>
      </c>
      <c r="N1912" s="9"/>
      <c r="O1912" s="9"/>
      <c r="P1912" s="9"/>
      <c r="Q1912" s="9"/>
    </row>
    <row r="1913" spans="1:17" ht="15.75" customHeight="1">
      <c r="A1913" s="7" t="s">
        <v>2206</v>
      </c>
      <c r="B1913" s="7" t="s">
        <v>148</v>
      </c>
      <c r="C1913" s="7" t="s">
        <v>278</v>
      </c>
      <c r="D1913" s="7" t="s">
        <v>149</v>
      </c>
      <c r="E1913" s="7" t="s">
        <v>149</v>
      </c>
      <c r="F1913" s="8" t="str">
        <f>_xlfn.IFNA(INDEX('HS Codes'!$D$2:$K4467,MATCH($B1913,'HS Codes'!$A$2:$A4467,0),MATCH(F$1,'HS Codes'!$D$1:$K$1,0)),"")</f>
        <v>6101.90.90.30</v>
      </c>
      <c r="G1913" s="8">
        <f>_xlfn.IFNA(INDEX('HS Codes'!$D$2:$K4467,MATCH($B1913,'HS Codes'!$A$2:$A4467,0),MATCH(G$1,'HS Codes'!$D$1:$K$1,0)),"")</f>
        <v>6101309000</v>
      </c>
      <c r="H1913" s="8">
        <f>_xlfn.IFNA(INDEX('HS Codes'!$D$2:$K4467,MATCH($B1913,'HS Codes'!$A$2:$A4467,0),MATCH(H$1,'HS Codes'!$D$1:$K$1,0)),"")</f>
        <v>6112399000</v>
      </c>
      <c r="I1913" s="8" t="str">
        <f>_xlfn.IFNA(INDEX('HS Codes'!$D$2:$K4467,MATCH($B1913,'HS Codes'!$A$2:$A4467,0),MATCH(I$1,'HS Codes'!$D$1:$K$1,0)),"")</f>
        <v>6211 4390 00</v>
      </c>
      <c r="J1913" s="8">
        <f>_xlfn.IFNA(INDEX('HS Codes'!$D$2:$K4467,MATCH($B1913,'HS Codes'!$A$2:$A4467,0),MATCH(J$1,'HS Codes'!$D$1:$K$1,0)),"")</f>
        <v>6117109000</v>
      </c>
      <c r="K1913" s="8" t="str">
        <f>_xlfn.IFNA(INDEX('HS Codes'!$D$2:$K4467,MATCH($B1913,'HS Codes'!$A$2:$A4467,0),MATCH(K$1,'HS Codes'!$D$1:$K$1,0)),"")</f>
        <v>6112.39.00</v>
      </c>
      <c r="L1913" s="8">
        <f>_xlfn.IFNA(INDEX('HS Codes'!$D$2:$K4467,MATCH($B1913,'HS Codes'!$A$2:$A4467,0),MATCH(L$1,'HS Codes'!$D$1:$K$1,0)),"")</f>
        <v>6202</v>
      </c>
      <c r="M1913" s="8" t="str">
        <f>_xlfn.IFNA(INDEX('HS Codes'!$C$2:$C4467,MATCH($B1913,'HS Codes'!$A$2:$A4467,0)),"")</f>
        <v>Beach Robe or Cloak 100% recycled 220 GSM/83% polyester/17% polyamide includes cotton on the packing pouch drawstring</v>
      </c>
      <c r="N1913" s="9"/>
      <c r="O1913" s="9"/>
      <c r="P1913" s="9"/>
      <c r="Q1913" s="9"/>
    </row>
    <row r="1914" spans="1:17" ht="15.75" customHeight="1">
      <c r="A1914" s="7" t="s">
        <v>2207</v>
      </c>
      <c r="B1914" s="7" t="s">
        <v>148</v>
      </c>
      <c r="C1914" s="7" t="s">
        <v>278</v>
      </c>
      <c r="D1914" s="7" t="s">
        <v>149</v>
      </c>
      <c r="E1914" s="7" t="s">
        <v>149</v>
      </c>
      <c r="F1914" s="8" t="str">
        <f>_xlfn.IFNA(INDEX('HS Codes'!$D$2:$K4468,MATCH($B1914,'HS Codes'!$A$2:$A4468,0),MATCH(F$1,'HS Codes'!$D$1:$K$1,0)),"")</f>
        <v>6101.90.90.30</v>
      </c>
      <c r="G1914" s="8">
        <f>_xlfn.IFNA(INDEX('HS Codes'!$D$2:$K4468,MATCH($B1914,'HS Codes'!$A$2:$A4468,0),MATCH(G$1,'HS Codes'!$D$1:$K$1,0)),"")</f>
        <v>6101309000</v>
      </c>
      <c r="H1914" s="8">
        <f>_xlfn.IFNA(INDEX('HS Codes'!$D$2:$K4468,MATCH($B1914,'HS Codes'!$A$2:$A4468,0),MATCH(H$1,'HS Codes'!$D$1:$K$1,0)),"")</f>
        <v>6112399000</v>
      </c>
      <c r="I1914" s="8" t="str">
        <f>_xlfn.IFNA(INDEX('HS Codes'!$D$2:$K4468,MATCH($B1914,'HS Codes'!$A$2:$A4468,0),MATCH(I$1,'HS Codes'!$D$1:$K$1,0)),"")</f>
        <v>6211 4390 00</v>
      </c>
      <c r="J1914" s="8">
        <f>_xlfn.IFNA(INDEX('HS Codes'!$D$2:$K4468,MATCH($B1914,'HS Codes'!$A$2:$A4468,0),MATCH(J$1,'HS Codes'!$D$1:$K$1,0)),"")</f>
        <v>6117109000</v>
      </c>
      <c r="K1914" s="8" t="str">
        <f>_xlfn.IFNA(INDEX('HS Codes'!$D$2:$K4468,MATCH($B1914,'HS Codes'!$A$2:$A4468,0),MATCH(K$1,'HS Codes'!$D$1:$K$1,0)),"")</f>
        <v>6112.39.00</v>
      </c>
      <c r="L1914" s="8">
        <f>_xlfn.IFNA(INDEX('HS Codes'!$D$2:$K4468,MATCH($B1914,'HS Codes'!$A$2:$A4468,0),MATCH(L$1,'HS Codes'!$D$1:$K$1,0)),"")</f>
        <v>6202</v>
      </c>
      <c r="M1914" s="8" t="str">
        <f>_xlfn.IFNA(INDEX('HS Codes'!$C$2:$C4468,MATCH($B1914,'HS Codes'!$A$2:$A4468,0)),"")</f>
        <v>Beach Robe or Cloak 100% recycled 220 GSM/83% polyester/17% polyamide includes cotton on the packing pouch drawstring</v>
      </c>
      <c r="N1914" s="9"/>
      <c r="O1914" s="9"/>
      <c r="P1914" s="9"/>
      <c r="Q1914" s="9"/>
    </row>
    <row r="1915" spans="1:17" ht="15.75" customHeight="1">
      <c r="A1915" s="7" t="s">
        <v>2208</v>
      </c>
      <c r="B1915" s="7" t="s">
        <v>148</v>
      </c>
      <c r="C1915" s="7" t="s">
        <v>278</v>
      </c>
      <c r="D1915" s="7" t="s">
        <v>149</v>
      </c>
      <c r="E1915" s="7" t="s">
        <v>149</v>
      </c>
      <c r="F1915" s="8" t="str">
        <f>_xlfn.IFNA(INDEX('HS Codes'!$D$2:$K4469,MATCH($B1915,'HS Codes'!$A$2:$A4469,0),MATCH(F$1,'HS Codes'!$D$1:$K$1,0)),"")</f>
        <v>6101.90.90.30</v>
      </c>
      <c r="G1915" s="8">
        <f>_xlfn.IFNA(INDEX('HS Codes'!$D$2:$K4469,MATCH($B1915,'HS Codes'!$A$2:$A4469,0),MATCH(G$1,'HS Codes'!$D$1:$K$1,0)),"")</f>
        <v>6101309000</v>
      </c>
      <c r="H1915" s="8">
        <f>_xlfn.IFNA(INDEX('HS Codes'!$D$2:$K4469,MATCH($B1915,'HS Codes'!$A$2:$A4469,0),MATCH(H$1,'HS Codes'!$D$1:$K$1,0)),"")</f>
        <v>6112399000</v>
      </c>
      <c r="I1915" s="8" t="str">
        <f>_xlfn.IFNA(INDEX('HS Codes'!$D$2:$K4469,MATCH($B1915,'HS Codes'!$A$2:$A4469,0),MATCH(I$1,'HS Codes'!$D$1:$K$1,0)),"")</f>
        <v>6211 4390 00</v>
      </c>
      <c r="J1915" s="8">
        <f>_xlfn.IFNA(INDEX('HS Codes'!$D$2:$K4469,MATCH($B1915,'HS Codes'!$A$2:$A4469,0),MATCH(J$1,'HS Codes'!$D$1:$K$1,0)),"")</f>
        <v>6117109000</v>
      </c>
      <c r="K1915" s="8" t="str">
        <f>_xlfn.IFNA(INDEX('HS Codes'!$D$2:$K4469,MATCH($B1915,'HS Codes'!$A$2:$A4469,0),MATCH(K$1,'HS Codes'!$D$1:$K$1,0)),"")</f>
        <v>6112.39.00</v>
      </c>
      <c r="L1915" s="8">
        <f>_xlfn.IFNA(INDEX('HS Codes'!$D$2:$K4469,MATCH($B1915,'HS Codes'!$A$2:$A4469,0),MATCH(L$1,'HS Codes'!$D$1:$K$1,0)),"")</f>
        <v>6202</v>
      </c>
      <c r="M1915" s="8" t="str">
        <f>_xlfn.IFNA(INDEX('HS Codes'!$C$2:$C4469,MATCH($B1915,'HS Codes'!$A$2:$A4469,0)),"")</f>
        <v>Beach Robe or Cloak 100% recycled 220 GSM/83% polyester/17% polyamide includes cotton on the packing pouch drawstring</v>
      </c>
      <c r="N1915" s="9"/>
      <c r="O1915" s="9"/>
      <c r="P1915" s="9"/>
      <c r="Q1915" s="9"/>
    </row>
    <row r="1916" spans="1:17" ht="15.75" customHeight="1">
      <c r="A1916" s="7" t="s">
        <v>2209</v>
      </c>
      <c r="B1916" s="7" t="s">
        <v>148</v>
      </c>
      <c r="C1916" s="7" t="s">
        <v>278</v>
      </c>
      <c r="D1916" s="7" t="s">
        <v>149</v>
      </c>
      <c r="E1916" s="7" t="s">
        <v>149</v>
      </c>
      <c r="F1916" s="8" t="str">
        <f>_xlfn.IFNA(INDEX('HS Codes'!$D$2:$K4470,MATCH($B1916,'HS Codes'!$A$2:$A4470,0),MATCH(F$1,'HS Codes'!$D$1:$K$1,0)),"")</f>
        <v>6101.90.90.30</v>
      </c>
      <c r="G1916" s="8">
        <f>_xlfn.IFNA(INDEX('HS Codes'!$D$2:$K4470,MATCH($B1916,'HS Codes'!$A$2:$A4470,0),MATCH(G$1,'HS Codes'!$D$1:$K$1,0)),"")</f>
        <v>6101309000</v>
      </c>
      <c r="H1916" s="8">
        <f>_xlfn.IFNA(INDEX('HS Codes'!$D$2:$K4470,MATCH($B1916,'HS Codes'!$A$2:$A4470,0),MATCH(H$1,'HS Codes'!$D$1:$K$1,0)),"")</f>
        <v>6112399000</v>
      </c>
      <c r="I1916" s="8" t="str">
        <f>_xlfn.IFNA(INDEX('HS Codes'!$D$2:$K4470,MATCH($B1916,'HS Codes'!$A$2:$A4470,0),MATCH(I$1,'HS Codes'!$D$1:$K$1,0)),"")</f>
        <v>6211 4390 00</v>
      </c>
      <c r="J1916" s="8">
        <f>_xlfn.IFNA(INDEX('HS Codes'!$D$2:$K4470,MATCH($B1916,'HS Codes'!$A$2:$A4470,0),MATCH(J$1,'HS Codes'!$D$1:$K$1,0)),"")</f>
        <v>6117109000</v>
      </c>
      <c r="K1916" s="8" t="str">
        <f>_xlfn.IFNA(INDEX('HS Codes'!$D$2:$K4470,MATCH($B1916,'HS Codes'!$A$2:$A4470,0),MATCH(K$1,'HS Codes'!$D$1:$K$1,0)),"")</f>
        <v>6112.39.00</v>
      </c>
      <c r="L1916" s="8">
        <f>_xlfn.IFNA(INDEX('HS Codes'!$D$2:$K4470,MATCH($B1916,'HS Codes'!$A$2:$A4470,0),MATCH(L$1,'HS Codes'!$D$1:$K$1,0)),"")</f>
        <v>6202</v>
      </c>
      <c r="M1916" s="8" t="str">
        <f>_xlfn.IFNA(INDEX('HS Codes'!$C$2:$C4470,MATCH($B1916,'HS Codes'!$A$2:$A4470,0)),"")</f>
        <v>Beach Robe or Cloak 100% recycled 220 GSM/83% polyester/17% polyamide includes cotton on the packing pouch drawstring</v>
      </c>
      <c r="N1916" s="9"/>
      <c r="O1916" s="9"/>
      <c r="P1916" s="9"/>
      <c r="Q1916" s="9"/>
    </row>
    <row r="1917" spans="1:17" ht="15.75" customHeight="1">
      <c r="A1917" s="7" t="s">
        <v>2210</v>
      </c>
      <c r="B1917" s="7" t="s">
        <v>148</v>
      </c>
      <c r="C1917" s="7" t="s">
        <v>278</v>
      </c>
      <c r="D1917" s="7" t="s">
        <v>149</v>
      </c>
      <c r="E1917" s="7" t="s">
        <v>149</v>
      </c>
      <c r="F1917" s="8" t="str">
        <f>_xlfn.IFNA(INDEX('HS Codes'!$D$2:$K4471,MATCH($B1917,'HS Codes'!$A$2:$A4471,0),MATCH(F$1,'HS Codes'!$D$1:$K$1,0)),"")</f>
        <v>6101.90.90.30</v>
      </c>
      <c r="G1917" s="8">
        <f>_xlfn.IFNA(INDEX('HS Codes'!$D$2:$K4471,MATCH($B1917,'HS Codes'!$A$2:$A4471,0),MATCH(G$1,'HS Codes'!$D$1:$K$1,0)),"")</f>
        <v>6101309000</v>
      </c>
      <c r="H1917" s="8">
        <f>_xlfn.IFNA(INDEX('HS Codes'!$D$2:$K4471,MATCH($B1917,'HS Codes'!$A$2:$A4471,0),MATCH(H$1,'HS Codes'!$D$1:$K$1,0)),"")</f>
        <v>6112399000</v>
      </c>
      <c r="I1917" s="8" t="str">
        <f>_xlfn.IFNA(INDEX('HS Codes'!$D$2:$K4471,MATCH($B1917,'HS Codes'!$A$2:$A4471,0),MATCH(I$1,'HS Codes'!$D$1:$K$1,0)),"")</f>
        <v>6211 4390 00</v>
      </c>
      <c r="J1917" s="8">
        <f>_xlfn.IFNA(INDEX('HS Codes'!$D$2:$K4471,MATCH($B1917,'HS Codes'!$A$2:$A4471,0),MATCH(J$1,'HS Codes'!$D$1:$K$1,0)),"")</f>
        <v>6117109000</v>
      </c>
      <c r="K1917" s="8" t="str">
        <f>_xlfn.IFNA(INDEX('HS Codes'!$D$2:$K4471,MATCH($B1917,'HS Codes'!$A$2:$A4471,0),MATCH(K$1,'HS Codes'!$D$1:$K$1,0)),"")</f>
        <v>6112.39.00</v>
      </c>
      <c r="L1917" s="8">
        <f>_xlfn.IFNA(INDEX('HS Codes'!$D$2:$K4471,MATCH($B1917,'HS Codes'!$A$2:$A4471,0),MATCH(L$1,'HS Codes'!$D$1:$K$1,0)),"")</f>
        <v>6202</v>
      </c>
      <c r="M1917" s="8" t="str">
        <f>_xlfn.IFNA(INDEX('HS Codes'!$C$2:$C4471,MATCH($B1917,'HS Codes'!$A$2:$A4471,0)),"")</f>
        <v>Beach Robe or Cloak 100% recycled 220 GSM/83% polyester/17% polyamide includes cotton on the packing pouch drawstring</v>
      </c>
      <c r="N1917" s="9"/>
      <c r="O1917" s="9"/>
      <c r="P1917" s="9"/>
      <c r="Q1917" s="9"/>
    </row>
    <row r="1918" spans="1:17" ht="15.75" customHeight="1">
      <c r="A1918" s="7" t="s">
        <v>2211</v>
      </c>
      <c r="B1918" s="7"/>
      <c r="C1918" s="7"/>
      <c r="D1918" s="7"/>
      <c r="E1918" s="7"/>
      <c r="F1918" s="8" t="str">
        <f>_xlfn.IFNA(INDEX('HS Codes'!$D$2:$K4472,MATCH($B1918,'HS Codes'!$A$2:$A4472,0),MATCH(F$1,'HS Codes'!$D$1:$K$1,0)),"")</f>
        <v/>
      </c>
      <c r="G1918" s="8" t="str">
        <f>_xlfn.IFNA(INDEX('HS Codes'!$D$2:$K4472,MATCH($B1918,'HS Codes'!$A$2:$A4472,0),MATCH(G$1,'HS Codes'!$D$1:$K$1,0)),"")</f>
        <v/>
      </c>
      <c r="H1918" s="8" t="str">
        <f>_xlfn.IFNA(INDEX('HS Codes'!$D$2:$K4472,MATCH($B1918,'HS Codes'!$A$2:$A4472,0),MATCH(H$1,'HS Codes'!$D$1:$K$1,0)),"")</f>
        <v/>
      </c>
      <c r="I1918" s="8" t="str">
        <f>_xlfn.IFNA(INDEX('HS Codes'!$D$2:$K4472,MATCH($B1918,'HS Codes'!$A$2:$A4472,0),MATCH(I$1,'HS Codes'!$D$1:$K$1,0)),"")</f>
        <v/>
      </c>
      <c r="J1918" s="8" t="str">
        <f>_xlfn.IFNA(INDEX('HS Codes'!$D$2:$K4472,MATCH($B1918,'HS Codes'!$A$2:$A4472,0),MATCH(J$1,'HS Codes'!$D$1:$K$1,0)),"")</f>
        <v/>
      </c>
      <c r="K1918" s="8" t="str">
        <f>_xlfn.IFNA(INDEX('HS Codes'!$D$2:$K4472,MATCH($B1918,'HS Codes'!$A$2:$A4472,0),MATCH(K$1,'HS Codes'!$D$1:$K$1,0)),"")</f>
        <v/>
      </c>
      <c r="L1918" s="8" t="str">
        <f>_xlfn.IFNA(INDEX('HS Codes'!$D$2:$K4472,MATCH($B1918,'HS Codes'!$A$2:$A4472,0),MATCH(L$1,'HS Codes'!$D$1:$K$1,0)),"")</f>
        <v/>
      </c>
      <c r="M1918" s="8" t="str">
        <f>_xlfn.IFNA(INDEX('HS Codes'!$C$2:$C4472,MATCH($B1918,'HS Codes'!$A$2:$A4472,0)),"")</f>
        <v/>
      </c>
      <c r="N1918" s="9"/>
      <c r="O1918" s="9"/>
      <c r="P1918" s="9"/>
      <c r="Q1918" s="9"/>
    </row>
    <row r="1919" spans="1:17" ht="15.75" customHeight="1">
      <c r="A1919" s="7" t="s">
        <v>2212</v>
      </c>
      <c r="B1919" s="7" t="s">
        <v>142</v>
      </c>
      <c r="C1919" s="7" t="s">
        <v>278</v>
      </c>
      <c r="D1919" s="7" t="s">
        <v>143</v>
      </c>
      <c r="E1919" s="7" t="s">
        <v>143</v>
      </c>
      <c r="F1919" s="8" t="str">
        <f>_xlfn.IFNA(INDEX('HS Codes'!$D$2:$K4473,MATCH($B1919,'HS Codes'!$A$2:$A4473,0),MATCH(F$1,'HS Codes'!$D$1:$K$1,0)),"")</f>
        <v>6101.90.90.30</v>
      </c>
      <c r="G1919" s="8">
        <f>_xlfn.IFNA(INDEX('HS Codes'!$D$2:$K4473,MATCH($B1919,'HS Codes'!$A$2:$A4473,0),MATCH(G$1,'HS Codes'!$D$1:$K$1,0)),"")</f>
        <v>6101309000</v>
      </c>
      <c r="H1919" s="8">
        <f>_xlfn.IFNA(INDEX('HS Codes'!$D$2:$K4473,MATCH($B1919,'HS Codes'!$A$2:$A4473,0),MATCH(H$1,'HS Codes'!$D$1:$K$1,0)),"")</f>
        <v>6112399000</v>
      </c>
      <c r="I1919" s="8" t="str">
        <f>_xlfn.IFNA(INDEX('HS Codes'!$D$2:$K4473,MATCH($B1919,'HS Codes'!$A$2:$A4473,0),MATCH(I$1,'HS Codes'!$D$1:$K$1,0)),"")</f>
        <v>6211 4390 00</v>
      </c>
      <c r="J1919" s="8">
        <f>_xlfn.IFNA(INDEX('HS Codes'!$D$2:$K4473,MATCH($B1919,'HS Codes'!$A$2:$A4473,0),MATCH(J$1,'HS Codes'!$D$1:$K$1,0)),"")</f>
        <v>6117109000</v>
      </c>
      <c r="K1919" s="8" t="str">
        <f>_xlfn.IFNA(INDEX('HS Codes'!$D$2:$K4473,MATCH($B1919,'HS Codes'!$A$2:$A4473,0),MATCH(K$1,'HS Codes'!$D$1:$K$1,0)),"")</f>
        <v>6112.39.00</v>
      </c>
      <c r="L1919" s="8">
        <f>_xlfn.IFNA(INDEX('HS Codes'!$D$2:$K4473,MATCH($B1919,'HS Codes'!$A$2:$A4473,0),MATCH(L$1,'HS Codes'!$D$1:$K$1,0)),"")</f>
        <v>6202</v>
      </c>
      <c r="M1919" s="8" t="str">
        <f>_xlfn.IFNA(INDEX('HS Codes'!$C$2:$C4473,MATCH($B1919,'HS Codes'!$A$2:$A4473,0)),"")</f>
        <v>Beach Robe or Cloak 100% recycled 220 GSM/83% polyester/17% polyamide includes cotton on the packing pouch drawstring</v>
      </c>
      <c r="N1919" s="9"/>
      <c r="O1919" s="9"/>
      <c r="P1919" s="9"/>
      <c r="Q1919" s="9"/>
    </row>
    <row r="1920" spans="1:17" ht="15.75" customHeight="1">
      <c r="A1920" s="7" t="s">
        <v>2213</v>
      </c>
      <c r="B1920" s="7" t="s">
        <v>142</v>
      </c>
      <c r="C1920" s="7" t="s">
        <v>278</v>
      </c>
      <c r="D1920" s="7" t="s">
        <v>143</v>
      </c>
      <c r="E1920" s="7" t="s">
        <v>143</v>
      </c>
      <c r="F1920" s="8" t="str">
        <f>_xlfn.IFNA(INDEX('HS Codes'!$D$2:$K4474,MATCH($B1920,'HS Codes'!$A$2:$A4474,0),MATCH(F$1,'HS Codes'!$D$1:$K$1,0)),"")</f>
        <v>6101.90.90.30</v>
      </c>
      <c r="G1920" s="8">
        <f>_xlfn.IFNA(INDEX('HS Codes'!$D$2:$K4474,MATCH($B1920,'HS Codes'!$A$2:$A4474,0),MATCH(G$1,'HS Codes'!$D$1:$K$1,0)),"")</f>
        <v>6101309000</v>
      </c>
      <c r="H1920" s="8">
        <f>_xlfn.IFNA(INDEX('HS Codes'!$D$2:$K4474,MATCH($B1920,'HS Codes'!$A$2:$A4474,0),MATCH(H$1,'HS Codes'!$D$1:$K$1,0)),"")</f>
        <v>6112399000</v>
      </c>
      <c r="I1920" s="8" t="str">
        <f>_xlfn.IFNA(INDEX('HS Codes'!$D$2:$K4474,MATCH($B1920,'HS Codes'!$A$2:$A4474,0),MATCH(I$1,'HS Codes'!$D$1:$K$1,0)),"")</f>
        <v>6211 4390 00</v>
      </c>
      <c r="J1920" s="8">
        <f>_xlfn.IFNA(INDEX('HS Codes'!$D$2:$K4474,MATCH($B1920,'HS Codes'!$A$2:$A4474,0),MATCH(J$1,'HS Codes'!$D$1:$K$1,0)),"")</f>
        <v>6117109000</v>
      </c>
      <c r="K1920" s="8" t="str">
        <f>_xlfn.IFNA(INDEX('HS Codes'!$D$2:$K4474,MATCH($B1920,'HS Codes'!$A$2:$A4474,0),MATCH(K$1,'HS Codes'!$D$1:$K$1,0)),"")</f>
        <v>6112.39.00</v>
      </c>
      <c r="L1920" s="8">
        <f>_xlfn.IFNA(INDEX('HS Codes'!$D$2:$K4474,MATCH($B1920,'HS Codes'!$A$2:$A4474,0),MATCH(L$1,'HS Codes'!$D$1:$K$1,0)),"")</f>
        <v>6202</v>
      </c>
      <c r="M1920" s="8" t="str">
        <f>_xlfn.IFNA(INDEX('HS Codes'!$C$2:$C4474,MATCH($B1920,'HS Codes'!$A$2:$A4474,0)),"")</f>
        <v>Beach Robe or Cloak 100% recycled 220 GSM/83% polyester/17% polyamide includes cotton on the packing pouch drawstring</v>
      </c>
      <c r="N1920" s="9"/>
      <c r="O1920" s="9"/>
      <c r="P1920" s="9"/>
      <c r="Q1920" s="9"/>
    </row>
    <row r="1921" spans="1:17" ht="15.75" customHeight="1">
      <c r="A1921" s="7" t="s">
        <v>2214</v>
      </c>
      <c r="B1921" s="7" t="s">
        <v>142</v>
      </c>
      <c r="C1921" s="7" t="s">
        <v>278</v>
      </c>
      <c r="D1921" s="7" t="s">
        <v>143</v>
      </c>
      <c r="E1921" s="7" t="s">
        <v>143</v>
      </c>
      <c r="F1921" s="8" t="str">
        <f>_xlfn.IFNA(INDEX('HS Codes'!$D$2:$K4475,MATCH($B1921,'HS Codes'!$A$2:$A4475,0),MATCH(F$1,'HS Codes'!$D$1:$K$1,0)),"")</f>
        <v>6101.90.90.30</v>
      </c>
      <c r="G1921" s="8">
        <f>_xlfn.IFNA(INDEX('HS Codes'!$D$2:$K4475,MATCH($B1921,'HS Codes'!$A$2:$A4475,0),MATCH(G$1,'HS Codes'!$D$1:$K$1,0)),"")</f>
        <v>6101309000</v>
      </c>
      <c r="H1921" s="8">
        <f>_xlfn.IFNA(INDEX('HS Codes'!$D$2:$K4475,MATCH($B1921,'HS Codes'!$A$2:$A4475,0),MATCH(H$1,'HS Codes'!$D$1:$K$1,0)),"")</f>
        <v>6112399000</v>
      </c>
      <c r="I1921" s="8" t="str">
        <f>_xlfn.IFNA(INDEX('HS Codes'!$D$2:$K4475,MATCH($B1921,'HS Codes'!$A$2:$A4475,0),MATCH(I$1,'HS Codes'!$D$1:$K$1,0)),"")</f>
        <v>6211 4390 00</v>
      </c>
      <c r="J1921" s="8">
        <f>_xlfn.IFNA(INDEX('HS Codes'!$D$2:$K4475,MATCH($B1921,'HS Codes'!$A$2:$A4475,0),MATCH(J$1,'HS Codes'!$D$1:$K$1,0)),"")</f>
        <v>6117109000</v>
      </c>
      <c r="K1921" s="8" t="str">
        <f>_xlfn.IFNA(INDEX('HS Codes'!$D$2:$K4475,MATCH($B1921,'HS Codes'!$A$2:$A4475,0),MATCH(K$1,'HS Codes'!$D$1:$K$1,0)),"")</f>
        <v>6112.39.00</v>
      </c>
      <c r="L1921" s="8">
        <f>_xlfn.IFNA(INDEX('HS Codes'!$D$2:$K4475,MATCH($B1921,'HS Codes'!$A$2:$A4475,0),MATCH(L$1,'HS Codes'!$D$1:$K$1,0)),"")</f>
        <v>6202</v>
      </c>
      <c r="M1921" s="8" t="str">
        <f>_xlfn.IFNA(INDEX('HS Codes'!$C$2:$C4475,MATCH($B1921,'HS Codes'!$A$2:$A4475,0)),"")</f>
        <v>Beach Robe or Cloak 100% recycled 220 GSM/83% polyester/17% polyamide includes cotton on the packing pouch drawstring</v>
      </c>
      <c r="N1921" s="9"/>
      <c r="O1921" s="9"/>
      <c r="P1921" s="9"/>
      <c r="Q1921" s="9"/>
    </row>
    <row r="1922" spans="1:17" ht="15.75" customHeight="1">
      <c r="A1922" s="7" t="s">
        <v>2215</v>
      </c>
      <c r="B1922" s="7" t="s">
        <v>142</v>
      </c>
      <c r="C1922" s="7" t="s">
        <v>278</v>
      </c>
      <c r="D1922" s="7" t="s">
        <v>143</v>
      </c>
      <c r="E1922" s="7" t="s">
        <v>143</v>
      </c>
      <c r="F1922" s="8" t="str">
        <f>_xlfn.IFNA(INDEX('HS Codes'!$D$2:$K4476,MATCH($B1922,'HS Codes'!$A$2:$A4476,0),MATCH(F$1,'HS Codes'!$D$1:$K$1,0)),"")</f>
        <v>6101.90.90.30</v>
      </c>
      <c r="G1922" s="8">
        <f>_xlfn.IFNA(INDEX('HS Codes'!$D$2:$K4476,MATCH($B1922,'HS Codes'!$A$2:$A4476,0),MATCH(G$1,'HS Codes'!$D$1:$K$1,0)),"")</f>
        <v>6101309000</v>
      </c>
      <c r="H1922" s="8">
        <f>_xlfn.IFNA(INDEX('HS Codes'!$D$2:$K4476,MATCH($B1922,'HS Codes'!$A$2:$A4476,0),MATCH(H$1,'HS Codes'!$D$1:$K$1,0)),"")</f>
        <v>6112399000</v>
      </c>
      <c r="I1922" s="8" t="str">
        <f>_xlfn.IFNA(INDEX('HS Codes'!$D$2:$K4476,MATCH($B1922,'HS Codes'!$A$2:$A4476,0),MATCH(I$1,'HS Codes'!$D$1:$K$1,0)),"")</f>
        <v>6211 4390 00</v>
      </c>
      <c r="J1922" s="8">
        <f>_xlfn.IFNA(INDEX('HS Codes'!$D$2:$K4476,MATCH($B1922,'HS Codes'!$A$2:$A4476,0),MATCH(J$1,'HS Codes'!$D$1:$K$1,0)),"")</f>
        <v>6117109000</v>
      </c>
      <c r="K1922" s="8" t="str">
        <f>_xlfn.IFNA(INDEX('HS Codes'!$D$2:$K4476,MATCH($B1922,'HS Codes'!$A$2:$A4476,0),MATCH(K$1,'HS Codes'!$D$1:$K$1,0)),"")</f>
        <v>6112.39.00</v>
      </c>
      <c r="L1922" s="8">
        <f>_xlfn.IFNA(INDEX('HS Codes'!$D$2:$K4476,MATCH($B1922,'HS Codes'!$A$2:$A4476,0),MATCH(L$1,'HS Codes'!$D$1:$K$1,0)),"")</f>
        <v>6202</v>
      </c>
      <c r="M1922" s="8" t="str">
        <f>_xlfn.IFNA(INDEX('HS Codes'!$C$2:$C4476,MATCH($B1922,'HS Codes'!$A$2:$A4476,0)),"")</f>
        <v>Beach Robe or Cloak 100% recycled 220 GSM/83% polyester/17% polyamide includes cotton on the packing pouch drawstring</v>
      </c>
      <c r="N1922" s="9"/>
      <c r="O1922" s="9"/>
      <c r="P1922" s="9"/>
      <c r="Q1922" s="9"/>
    </row>
    <row r="1923" spans="1:17" ht="15.75" customHeight="1">
      <c r="A1923" s="7" t="s">
        <v>2216</v>
      </c>
      <c r="B1923" s="7" t="s">
        <v>142</v>
      </c>
      <c r="C1923" s="7" t="s">
        <v>278</v>
      </c>
      <c r="D1923" s="7" t="s">
        <v>143</v>
      </c>
      <c r="E1923" s="7" t="s">
        <v>143</v>
      </c>
      <c r="F1923" s="8" t="str">
        <f>_xlfn.IFNA(INDEX('HS Codes'!$D$2:$K4477,MATCH($B1923,'HS Codes'!$A$2:$A4477,0),MATCH(F$1,'HS Codes'!$D$1:$K$1,0)),"")</f>
        <v>6101.90.90.30</v>
      </c>
      <c r="G1923" s="8">
        <f>_xlfn.IFNA(INDEX('HS Codes'!$D$2:$K4477,MATCH($B1923,'HS Codes'!$A$2:$A4477,0),MATCH(G$1,'HS Codes'!$D$1:$K$1,0)),"")</f>
        <v>6101309000</v>
      </c>
      <c r="H1923" s="8">
        <f>_xlfn.IFNA(INDEX('HS Codes'!$D$2:$K4477,MATCH($B1923,'HS Codes'!$A$2:$A4477,0),MATCH(H$1,'HS Codes'!$D$1:$K$1,0)),"")</f>
        <v>6112399000</v>
      </c>
      <c r="I1923" s="8" t="str">
        <f>_xlfn.IFNA(INDEX('HS Codes'!$D$2:$K4477,MATCH($B1923,'HS Codes'!$A$2:$A4477,0),MATCH(I$1,'HS Codes'!$D$1:$K$1,0)),"")</f>
        <v>6211 4390 00</v>
      </c>
      <c r="J1923" s="8">
        <f>_xlfn.IFNA(INDEX('HS Codes'!$D$2:$K4477,MATCH($B1923,'HS Codes'!$A$2:$A4477,0),MATCH(J$1,'HS Codes'!$D$1:$K$1,0)),"")</f>
        <v>6117109000</v>
      </c>
      <c r="K1923" s="8" t="str">
        <f>_xlfn.IFNA(INDEX('HS Codes'!$D$2:$K4477,MATCH($B1923,'HS Codes'!$A$2:$A4477,0),MATCH(K$1,'HS Codes'!$D$1:$K$1,0)),"")</f>
        <v>6112.39.00</v>
      </c>
      <c r="L1923" s="8">
        <f>_xlfn.IFNA(INDEX('HS Codes'!$D$2:$K4477,MATCH($B1923,'HS Codes'!$A$2:$A4477,0),MATCH(L$1,'HS Codes'!$D$1:$K$1,0)),"")</f>
        <v>6202</v>
      </c>
      <c r="M1923" s="8" t="str">
        <f>_xlfn.IFNA(INDEX('HS Codes'!$C$2:$C4477,MATCH($B1923,'HS Codes'!$A$2:$A4477,0)),"")</f>
        <v>Beach Robe or Cloak 100% recycled 220 GSM/83% polyester/17% polyamide includes cotton on the packing pouch drawstring</v>
      </c>
      <c r="N1923" s="9"/>
      <c r="O1923" s="9"/>
      <c r="P1923" s="9"/>
      <c r="Q1923" s="9"/>
    </row>
    <row r="1924" spans="1:17" ht="15.75" customHeight="1">
      <c r="A1924" s="7" t="s">
        <v>2217</v>
      </c>
      <c r="B1924" s="7" t="s">
        <v>142</v>
      </c>
      <c r="C1924" s="7" t="s">
        <v>278</v>
      </c>
      <c r="D1924" s="7" t="s">
        <v>143</v>
      </c>
      <c r="E1924" s="7" t="s">
        <v>143</v>
      </c>
      <c r="F1924" s="8" t="str">
        <f>_xlfn.IFNA(INDEX('HS Codes'!$D$2:$K4478,MATCH($B1924,'HS Codes'!$A$2:$A4478,0),MATCH(F$1,'HS Codes'!$D$1:$K$1,0)),"")</f>
        <v>6101.90.90.30</v>
      </c>
      <c r="G1924" s="8">
        <f>_xlfn.IFNA(INDEX('HS Codes'!$D$2:$K4478,MATCH($B1924,'HS Codes'!$A$2:$A4478,0),MATCH(G$1,'HS Codes'!$D$1:$K$1,0)),"")</f>
        <v>6101309000</v>
      </c>
      <c r="H1924" s="8">
        <f>_xlfn.IFNA(INDEX('HS Codes'!$D$2:$K4478,MATCH($B1924,'HS Codes'!$A$2:$A4478,0),MATCH(H$1,'HS Codes'!$D$1:$K$1,0)),"")</f>
        <v>6112399000</v>
      </c>
      <c r="I1924" s="8" t="str">
        <f>_xlfn.IFNA(INDEX('HS Codes'!$D$2:$K4478,MATCH($B1924,'HS Codes'!$A$2:$A4478,0),MATCH(I$1,'HS Codes'!$D$1:$K$1,0)),"")</f>
        <v>6211 4390 00</v>
      </c>
      <c r="J1924" s="8">
        <f>_xlfn.IFNA(INDEX('HS Codes'!$D$2:$K4478,MATCH($B1924,'HS Codes'!$A$2:$A4478,0),MATCH(J$1,'HS Codes'!$D$1:$K$1,0)),"")</f>
        <v>6117109000</v>
      </c>
      <c r="K1924" s="8" t="str">
        <f>_xlfn.IFNA(INDEX('HS Codes'!$D$2:$K4478,MATCH($B1924,'HS Codes'!$A$2:$A4478,0),MATCH(K$1,'HS Codes'!$D$1:$K$1,0)),"")</f>
        <v>6112.39.00</v>
      </c>
      <c r="L1924" s="8">
        <f>_xlfn.IFNA(INDEX('HS Codes'!$D$2:$K4478,MATCH($B1924,'HS Codes'!$A$2:$A4478,0),MATCH(L$1,'HS Codes'!$D$1:$K$1,0)),"")</f>
        <v>6202</v>
      </c>
      <c r="M1924" s="8" t="str">
        <f>_xlfn.IFNA(INDEX('HS Codes'!$C$2:$C4478,MATCH($B1924,'HS Codes'!$A$2:$A4478,0)),"")</f>
        <v>Beach Robe or Cloak 100% recycled 220 GSM/83% polyester/17% polyamide includes cotton on the packing pouch drawstring</v>
      </c>
      <c r="N1924" s="9"/>
      <c r="O1924" s="9"/>
      <c r="P1924" s="9"/>
      <c r="Q1924" s="9"/>
    </row>
    <row r="1925" spans="1:17" ht="15.75" customHeight="1">
      <c r="A1925" s="7" t="s">
        <v>2218</v>
      </c>
      <c r="B1925" s="7" t="s">
        <v>142</v>
      </c>
      <c r="C1925" s="7" t="s">
        <v>278</v>
      </c>
      <c r="D1925" s="7" t="s">
        <v>143</v>
      </c>
      <c r="E1925" s="7" t="s">
        <v>143</v>
      </c>
      <c r="F1925" s="8" t="str">
        <f>_xlfn.IFNA(INDEX('HS Codes'!$D$2:$K4479,MATCH($B1925,'HS Codes'!$A$2:$A4479,0),MATCH(F$1,'HS Codes'!$D$1:$K$1,0)),"")</f>
        <v>6101.90.90.30</v>
      </c>
      <c r="G1925" s="8">
        <f>_xlfn.IFNA(INDEX('HS Codes'!$D$2:$K4479,MATCH($B1925,'HS Codes'!$A$2:$A4479,0),MATCH(G$1,'HS Codes'!$D$1:$K$1,0)),"")</f>
        <v>6101309000</v>
      </c>
      <c r="H1925" s="8">
        <f>_xlfn.IFNA(INDEX('HS Codes'!$D$2:$K4479,MATCH($B1925,'HS Codes'!$A$2:$A4479,0),MATCH(H$1,'HS Codes'!$D$1:$K$1,0)),"")</f>
        <v>6112399000</v>
      </c>
      <c r="I1925" s="8" t="str">
        <f>_xlfn.IFNA(INDEX('HS Codes'!$D$2:$K4479,MATCH($B1925,'HS Codes'!$A$2:$A4479,0),MATCH(I$1,'HS Codes'!$D$1:$K$1,0)),"")</f>
        <v>6211 4390 00</v>
      </c>
      <c r="J1925" s="8">
        <f>_xlfn.IFNA(INDEX('HS Codes'!$D$2:$K4479,MATCH($B1925,'HS Codes'!$A$2:$A4479,0),MATCH(J$1,'HS Codes'!$D$1:$K$1,0)),"")</f>
        <v>6117109000</v>
      </c>
      <c r="K1925" s="8" t="str">
        <f>_xlfn.IFNA(INDEX('HS Codes'!$D$2:$K4479,MATCH($B1925,'HS Codes'!$A$2:$A4479,0),MATCH(K$1,'HS Codes'!$D$1:$K$1,0)),"")</f>
        <v>6112.39.00</v>
      </c>
      <c r="L1925" s="8">
        <f>_xlfn.IFNA(INDEX('HS Codes'!$D$2:$K4479,MATCH($B1925,'HS Codes'!$A$2:$A4479,0),MATCH(L$1,'HS Codes'!$D$1:$K$1,0)),"")</f>
        <v>6202</v>
      </c>
      <c r="M1925" s="8" t="str">
        <f>_xlfn.IFNA(INDEX('HS Codes'!$C$2:$C4479,MATCH($B1925,'HS Codes'!$A$2:$A4479,0)),"")</f>
        <v>Beach Robe or Cloak 100% recycled 220 GSM/83% polyester/17% polyamide includes cotton on the packing pouch drawstring</v>
      </c>
      <c r="N1925" s="9"/>
      <c r="O1925" s="9"/>
      <c r="P1925" s="9"/>
      <c r="Q1925" s="9"/>
    </row>
    <row r="1926" spans="1:17" ht="15.75" customHeight="1">
      <c r="A1926" s="7" t="s">
        <v>2219</v>
      </c>
      <c r="B1926" s="7" t="s">
        <v>142</v>
      </c>
      <c r="C1926" s="7" t="s">
        <v>278</v>
      </c>
      <c r="D1926" s="7" t="s">
        <v>143</v>
      </c>
      <c r="E1926" s="7" t="s">
        <v>143</v>
      </c>
      <c r="F1926" s="8" t="str">
        <f>_xlfn.IFNA(INDEX('HS Codes'!$D$2:$K4480,MATCH($B1926,'HS Codes'!$A$2:$A4480,0),MATCH(F$1,'HS Codes'!$D$1:$K$1,0)),"")</f>
        <v>6101.90.90.30</v>
      </c>
      <c r="G1926" s="8">
        <f>_xlfn.IFNA(INDEX('HS Codes'!$D$2:$K4480,MATCH($B1926,'HS Codes'!$A$2:$A4480,0),MATCH(G$1,'HS Codes'!$D$1:$K$1,0)),"")</f>
        <v>6101309000</v>
      </c>
      <c r="H1926" s="8">
        <f>_xlfn.IFNA(INDEX('HS Codes'!$D$2:$K4480,MATCH($B1926,'HS Codes'!$A$2:$A4480,0),MATCH(H$1,'HS Codes'!$D$1:$K$1,0)),"")</f>
        <v>6112399000</v>
      </c>
      <c r="I1926" s="8" t="str">
        <f>_xlfn.IFNA(INDEX('HS Codes'!$D$2:$K4480,MATCH($B1926,'HS Codes'!$A$2:$A4480,0),MATCH(I$1,'HS Codes'!$D$1:$K$1,0)),"")</f>
        <v>6211 4390 00</v>
      </c>
      <c r="J1926" s="8">
        <f>_xlfn.IFNA(INDEX('HS Codes'!$D$2:$K4480,MATCH($B1926,'HS Codes'!$A$2:$A4480,0),MATCH(J$1,'HS Codes'!$D$1:$K$1,0)),"")</f>
        <v>6117109000</v>
      </c>
      <c r="K1926" s="8" t="str">
        <f>_xlfn.IFNA(INDEX('HS Codes'!$D$2:$K4480,MATCH($B1926,'HS Codes'!$A$2:$A4480,0),MATCH(K$1,'HS Codes'!$D$1:$K$1,0)),"")</f>
        <v>6112.39.00</v>
      </c>
      <c r="L1926" s="8">
        <f>_xlfn.IFNA(INDEX('HS Codes'!$D$2:$K4480,MATCH($B1926,'HS Codes'!$A$2:$A4480,0),MATCH(L$1,'HS Codes'!$D$1:$K$1,0)),"")</f>
        <v>6202</v>
      </c>
      <c r="M1926" s="8" t="str">
        <f>_xlfn.IFNA(INDEX('HS Codes'!$C$2:$C4480,MATCH($B1926,'HS Codes'!$A$2:$A4480,0)),"")</f>
        <v>Beach Robe or Cloak 100% recycled 220 GSM/83% polyester/17% polyamide includes cotton on the packing pouch drawstring</v>
      </c>
      <c r="N1926" s="9"/>
      <c r="O1926" s="9"/>
      <c r="P1926" s="9"/>
      <c r="Q1926" s="9"/>
    </row>
    <row r="1927" spans="1:17" ht="15.75" customHeight="1">
      <c r="A1927" s="7" t="s">
        <v>2220</v>
      </c>
      <c r="B1927" s="7" t="s">
        <v>142</v>
      </c>
      <c r="C1927" s="7" t="s">
        <v>278</v>
      </c>
      <c r="D1927" s="7" t="s">
        <v>143</v>
      </c>
      <c r="E1927" s="7" t="s">
        <v>143</v>
      </c>
      <c r="F1927" s="8" t="str">
        <f>_xlfn.IFNA(INDEX('HS Codes'!$D$2:$K4481,MATCH($B1927,'HS Codes'!$A$2:$A4481,0),MATCH(F$1,'HS Codes'!$D$1:$K$1,0)),"")</f>
        <v>6101.90.90.30</v>
      </c>
      <c r="G1927" s="8">
        <f>_xlfn.IFNA(INDEX('HS Codes'!$D$2:$K4481,MATCH($B1927,'HS Codes'!$A$2:$A4481,0),MATCH(G$1,'HS Codes'!$D$1:$K$1,0)),"")</f>
        <v>6101309000</v>
      </c>
      <c r="H1927" s="8">
        <f>_xlfn.IFNA(INDEX('HS Codes'!$D$2:$K4481,MATCH($B1927,'HS Codes'!$A$2:$A4481,0),MATCH(H$1,'HS Codes'!$D$1:$K$1,0)),"")</f>
        <v>6112399000</v>
      </c>
      <c r="I1927" s="8" t="str">
        <f>_xlfn.IFNA(INDEX('HS Codes'!$D$2:$K4481,MATCH($B1927,'HS Codes'!$A$2:$A4481,0),MATCH(I$1,'HS Codes'!$D$1:$K$1,0)),"")</f>
        <v>6211 4390 00</v>
      </c>
      <c r="J1927" s="8">
        <f>_xlfn.IFNA(INDEX('HS Codes'!$D$2:$K4481,MATCH($B1927,'HS Codes'!$A$2:$A4481,0),MATCH(J$1,'HS Codes'!$D$1:$K$1,0)),"")</f>
        <v>6117109000</v>
      </c>
      <c r="K1927" s="8" t="str">
        <f>_xlfn.IFNA(INDEX('HS Codes'!$D$2:$K4481,MATCH($B1927,'HS Codes'!$A$2:$A4481,0),MATCH(K$1,'HS Codes'!$D$1:$K$1,0)),"")</f>
        <v>6112.39.00</v>
      </c>
      <c r="L1927" s="8">
        <f>_xlfn.IFNA(INDEX('HS Codes'!$D$2:$K4481,MATCH($B1927,'HS Codes'!$A$2:$A4481,0),MATCH(L$1,'HS Codes'!$D$1:$K$1,0)),"")</f>
        <v>6202</v>
      </c>
      <c r="M1927" s="8" t="str">
        <f>_xlfn.IFNA(INDEX('HS Codes'!$C$2:$C4481,MATCH($B1927,'HS Codes'!$A$2:$A4481,0)),"")</f>
        <v>Beach Robe or Cloak 100% recycled 220 GSM/83% polyester/17% polyamide includes cotton on the packing pouch drawstring</v>
      </c>
      <c r="N1927" s="9"/>
      <c r="O1927" s="9"/>
      <c r="P1927" s="9"/>
      <c r="Q1927" s="9"/>
    </row>
    <row r="1928" spans="1:17" ht="15.75" customHeight="1">
      <c r="A1928" s="7" t="s">
        <v>2221</v>
      </c>
      <c r="B1928" s="7" t="s">
        <v>142</v>
      </c>
      <c r="C1928" s="7" t="s">
        <v>278</v>
      </c>
      <c r="D1928" s="7" t="s">
        <v>143</v>
      </c>
      <c r="E1928" s="7" t="s">
        <v>143</v>
      </c>
      <c r="F1928" s="8" t="str">
        <f>_xlfn.IFNA(INDEX('HS Codes'!$D$2:$K4482,MATCH($B1928,'HS Codes'!$A$2:$A4482,0),MATCH(F$1,'HS Codes'!$D$1:$K$1,0)),"")</f>
        <v>6101.90.90.30</v>
      </c>
      <c r="G1928" s="8">
        <f>_xlfn.IFNA(INDEX('HS Codes'!$D$2:$K4482,MATCH($B1928,'HS Codes'!$A$2:$A4482,0),MATCH(G$1,'HS Codes'!$D$1:$K$1,0)),"")</f>
        <v>6101309000</v>
      </c>
      <c r="H1928" s="8">
        <f>_xlfn.IFNA(INDEX('HS Codes'!$D$2:$K4482,MATCH($B1928,'HS Codes'!$A$2:$A4482,0),MATCH(H$1,'HS Codes'!$D$1:$K$1,0)),"")</f>
        <v>6112399000</v>
      </c>
      <c r="I1928" s="8" t="str">
        <f>_xlfn.IFNA(INDEX('HS Codes'!$D$2:$K4482,MATCH($B1928,'HS Codes'!$A$2:$A4482,0),MATCH(I$1,'HS Codes'!$D$1:$K$1,0)),"")</f>
        <v>6211 4390 00</v>
      </c>
      <c r="J1928" s="8">
        <f>_xlfn.IFNA(INDEX('HS Codes'!$D$2:$K4482,MATCH($B1928,'HS Codes'!$A$2:$A4482,0),MATCH(J$1,'HS Codes'!$D$1:$K$1,0)),"")</f>
        <v>6117109000</v>
      </c>
      <c r="K1928" s="8" t="str">
        <f>_xlfn.IFNA(INDEX('HS Codes'!$D$2:$K4482,MATCH($B1928,'HS Codes'!$A$2:$A4482,0),MATCH(K$1,'HS Codes'!$D$1:$K$1,0)),"")</f>
        <v>6112.39.00</v>
      </c>
      <c r="L1928" s="8">
        <f>_xlfn.IFNA(INDEX('HS Codes'!$D$2:$K4482,MATCH($B1928,'HS Codes'!$A$2:$A4482,0),MATCH(L$1,'HS Codes'!$D$1:$K$1,0)),"")</f>
        <v>6202</v>
      </c>
      <c r="M1928" s="8" t="str">
        <f>_xlfn.IFNA(INDEX('HS Codes'!$C$2:$C4482,MATCH($B1928,'HS Codes'!$A$2:$A4482,0)),"")</f>
        <v>Beach Robe or Cloak 100% recycled 220 GSM/83% polyester/17% polyamide includes cotton on the packing pouch drawstring</v>
      </c>
      <c r="N1928" s="9"/>
      <c r="O1928" s="9"/>
      <c r="P1928" s="9"/>
      <c r="Q1928" s="9"/>
    </row>
    <row r="1929" spans="1:17" ht="15.75" customHeight="1">
      <c r="A1929" s="7" t="s">
        <v>2222</v>
      </c>
      <c r="B1929" s="7" t="s">
        <v>142</v>
      </c>
      <c r="C1929" s="7" t="s">
        <v>278</v>
      </c>
      <c r="D1929" s="7" t="s">
        <v>143</v>
      </c>
      <c r="E1929" s="7" t="s">
        <v>143</v>
      </c>
      <c r="F1929" s="8" t="str">
        <f>_xlfn.IFNA(INDEX('HS Codes'!$D$2:$K4483,MATCH($B1929,'HS Codes'!$A$2:$A4483,0),MATCH(F$1,'HS Codes'!$D$1:$K$1,0)),"")</f>
        <v>6101.90.90.30</v>
      </c>
      <c r="G1929" s="8">
        <f>_xlfn.IFNA(INDEX('HS Codes'!$D$2:$K4483,MATCH($B1929,'HS Codes'!$A$2:$A4483,0),MATCH(G$1,'HS Codes'!$D$1:$K$1,0)),"")</f>
        <v>6101309000</v>
      </c>
      <c r="H1929" s="8">
        <f>_xlfn.IFNA(INDEX('HS Codes'!$D$2:$K4483,MATCH($B1929,'HS Codes'!$A$2:$A4483,0),MATCH(H$1,'HS Codes'!$D$1:$K$1,0)),"")</f>
        <v>6112399000</v>
      </c>
      <c r="I1929" s="8" t="str">
        <f>_xlfn.IFNA(INDEX('HS Codes'!$D$2:$K4483,MATCH($B1929,'HS Codes'!$A$2:$A4483,0),MATCH(I$1,'HS Codes'!$D$1:$K$1,0)),"")</f>
        <v>6211 4390 00</v>
      </c>
      <c r="J1929" s="8">
        <f>_xlfn.IFNA(INDEX('HS Codes'!$D$2:$K4483,MATCH($B1929,'HS Codes'!$A$2:$A4483,0),MATCH(J$1,'HS Codes'!$D$1:$K$1,0)),"")</f>
        <v>6117109000</v>
      </c>
      <c r="K1929" s="8" t="str">
        <f>_xlfn.IFNA(INDEX('HS Codes'!$D$2:$K4483,MATCH($B1929,'HS Codes'!$A$2:$A4483,0),MATCH(K$1,'HS Codes'!$D$1:$K$1,0)),"")</f>
        <v>6112.39.00</v>
      </c>
      <c r="L1929" s="8">
        <f>_xlfn.IFNA(INDEX('HS Codes'!$D$2:$K4483,MATCH($B1929,'HS Codes'!$A$2:$A4483,0),MATCH(L$1,'HS Codes'!$D$1:$K$1,0)),"")</f>
        <v>6202</v>
      </c>
      <c r="M1929" s="8" t="str">
        <f>_xlfn.IFNA(INDEX('HS Codes'!$C$2:$C4483,MATCH($B1929,'HS Codes'!$A$2:$A4483,0)),"")</f>
        <v>Beach Robe or Cloak 100% recycled 220 GSM/83% polyester/17% polyamide includes cotton on the packing pouch drawstring</v>
      </c>
      <c r="N1929" s="9"/>
      <c r="O1929" s="9"/>
      <c r="P1929" s="9"/>
      <c r="Q1929" s="9"/>
    </row>
    <row r="1930" spans="1:17" ht="15.75" customHeight="1">
      <c r="A1930" s="7" t="s">
        <v>2223</v>
      </c>
      <c r="B1930" s="7" t="s">
        <v>142</v>
      </c>
      <c r="C1930" s="7" t="s">
        <v>278</v>
      </c>
      <c r="D1930" s="7" t="s">
        <v>143</v>
      </c>
      <c r="E1930" s="7" t="s">
        <v>143</v>
      </c>
      <c r="F1930" s="8" t="str">
        <f>_xlfn.IFNA(INDEX('HS Codes'!$D$2:$K4484,MATCH($B1930,'HS Codes'!$A$2:$A4484,0),MATCH(F$1,'HS Codes'!$D$1:$K$1,0)),"")</f>
        <v>6101.90.90.30</v>
      </c>
      <c r="G1930" s="8">
        <f>_xlfn.IFNA(INDEX('HS Codes'!$D$2:$K4484,MATCH($B1930,'HS Codes'!$A$2:$A4484,0),MATCH(G$1,'HS Codes'!$D$1:$K$1,0)),"")</f>
        <v>6101309000</v>
      </c>
      <c r="H1930" s="8">
        <f>_xlfn.IFNA(INDEX('HS Codes'!$D$2:$K4484,MATCH($B1930,'HS Codes'!$A$2:$A4484,0),MATCH(H$1,'HS Codes'!$D$1:$K$1,0)),"")</f>
        <v>6112399000</v>
      </c>
      <c r="I1930" s="8" t="str">
        <f>_xlfn.IFNA(INDEX('HS Codes'!$D$2:$K4484,MATCH($B1930,'HS Codes'!$A$2:$A4484,0),MATCH(I$1,'HS Codes'!$D$1:$K$1,0)),"")</f>
        <v>6211 4390 00</v>
      </c>
      <c r="J1930" s="8">
        <f>_xlfn.IFNA(INDEX('HS Codes'!$D$2:$K4484,MATCH($B1930,'HS Codes'!$A$2:$A4484,0),MATCH(J$1,'HS Codes'!$D$1:$K$1,0)),"")</f>
        <v>6117109000</v>
      </c>
      <c r="K1930" s="8" t="str">
        <f>_xlfn.IFNA(INDEX('HS Codes'!$D$2:$K4484,MATCH($B1930,'HS Codes'!$A$2:$A4484,0),MATCH(K$1,'HS Codes'!$D$1:$K$1,0)),"")</f>
        <v>6112.39.00</v>
      </c>
      <c r="L1930" s="8">
        <f>_xlfn.IFNA(INDEX('HS Codes'!$D$2:$K4484,MATCH($B1930,'HS Codes'!$A$2:$A4484,0),MATCH(L$1,'HS Codes'!$D$1:$K$1,0)),"")</f>
        <v>6202</v>
      </c>
      <c r="M1930" s="8" t="str">
        <f>_xlfn.IFNA(INDEX('HS Codes'!$C$2:$C4484,MATCH($B1930,'HS Codes'!$A$2:$A4484,0)),"")</f>
        <v>Beach Robe or Cloak 100% recycled 220 GSM/83% polyester/17% polyamide includes cotton on the packing pouch drawstring</v>
      </c>
      <c r="N1930" s="9"/>
      <c r="O1930" s="9"/>
      <c r="P1930" s="9"/>
      <c r="Q1930" s="9"/>
    </row>
    <row r="1931" spans="1:17" ht="15.75" customHeight="1">
      <c r="A1931" s="7" t="s">
        <v>2224</v>
      </c>
      <c r="B1931" s="7" t="s">
        <v>142</v>
      </c>
      <c r="C1931" s="7" t="s">
        <v>278</v>
      </c>
      <c r="D1931" s="7" t="s">
        <v>143</v>
      </c>
      <c r="E1931" s="7" t="s">
        <v>143</v>
      </c>
      <c r="F1931" s="8" t="str">
        <f>_xlfn.IFNA(INDEX('HS Codes'!$D$2:$K4485,MATCH($B1931,'HS Codes'!$A$2:$A4485,0),MATCH(F$1,'HS Codes'!$D$1:$K$1,0)),"")</f>
        <v>6101.90.90.30</v>
      </c>
      <c r="G1931" s="8">
        <f>_xlfn.IFNA(INDEX('HS Codes'!$D$2:$K4485,MATCH($B1931,'HS Codes'!$A$2:$A4485,0),MATCH(G$1,'HS Codes'!$D$1:$K$1,0)),"")</f>
        <v>6101309000</v>
      </c>
      <c r="H1931" s="8">
        <f>_xlfn.IFNA(INDEX('HS Codes'!$D$2:$K4485,MATCH($B1931,'HS Codes'!$A$2:$A4485,0),MATCH(H$1,'HS Codes'!$D$1:$K$1,0)),"")</f>
        <v>6112399000</v>
      </c>
      <c r="I1931" s="8" t="str">
        <f>_xlfn.IFNA(INDEX('HS Codes'!$D$2:$K4485,MATCH($B1931,'HS Codes'!$A$2:$A4485,0),MATCH(I$1,'HS Codes'!$D$1:$K$1,0)),"")</f>
        <v>6211 4390 00</v>
      </c>
      <c r="J1931" s="8">
        <f>_xlfn.IFNA(INDEX('HS Codes'!$D$2:$K4485,MATCH($B1931,'HS Codes'!$A$2:$A4485,0),MATCH(J$1,'HS Codes'!$D$1:$K$1,0)),"")</f>
        <v>6117109000</v>
      </c>
      <c r="K1931" s="8" t="str">
        <f>_xlfn.IFNA(INDEX('HS Codes'!$D$2:$K4485,MATCH($B1931,'HS Codes'!$A$2:$A4485,0),MATCH(K$1,'HS Codes'!$D$1:$K$1,0)),"")</f>
        <v>6112.39.00</v>
      </c>
      <c r="L1931" s="8">
        <f>_xlfn.IFNA(INDEX('HS Codes'!$D$2:$K4485,MATCH($B1931,'HS Codes'!$A$2:$A4485,0),MATCH(L$1,'HS Codes'!$D$1:$K$1,0)),"")</f>
        <v>6202</v>
      </c>
      <c r="M1931" s="8" t="str">
        <f>_xlfn.IFNA(INDEX('HS Codes'!$C$2:$C4485,MATCH($B1931,'HS Codes'!$A$2:$A4485,0)),"")</f>
        <v>Beach Robe or Cloak 100% recycled 220 GSM/83% polyester/17% polyamide includes cotton on the packing pouch drawstring</v>
      </c>
      <c r="N1931" s="9"/>
      <c r="O1931" s="9"/>
      <c r="P1931" s="9"/>
      <c r="Q1931" s="9"/>
    </row>
    <row r="1932" spans="1:17" ht="15.75" customHeight="1">
      <c r="A1932" s="7" t="s">
        <v>2225</v>
      </c>
      <c r="B1932" s="7" t="s">
        <v>142</v>
      </c>
      <c r="C1932" s="7" t="s">
        <v>278</v>
      </c>
      <c r="D1932" s="7" t="s">
        <v>143</v>
      </c>
      <c r="E1932" s="7" t="s">
        <v>143</v>
      </c>
      <c r="F1932" s="8" t="str">
        <f>_xlfn.IFNA(INDEX('HS Codes'!$D$2:$K4486,MATCH($B1932,'HS Codes'!$A$2:$A4486,0),MATCH(F$1,'HS Codes'!$D$1:$K$1,0)),"")</f>
        <v>6101.90.90.30</v>
      </c>
      <c r="G1932" s="8">
        <f>_xlfn.IFNA(INDEX('HS Codes'!$D$2:$K4486,MATCH($B1932,'HS Codes'!$A$2:$A4486,0),MATCH(G$1,'HS Codes'!$D$1:$K$1,0)),"")</f>
        <v>6101309000</v>
      </c>
      <c r="H1932" s="8">
        <f>_xlfn.IFNA(INDEX('HS Codes'!$D$2:$K4486,MATCH($B1932,'HS Codes'!$A$2:$A4486,0),MATCH(H$1,'HS Codes'!$D$1:$K$1,0)),"")</f>
        <v>6112399000</v>
      </c>
      <c r="I1932" s="8" t="str">
        <f>_xlfn.IFNA(INDEX('HS Codes'!$D$2:$K4486,MATCH($B1932,'HS Codes'!$A$2:$A4486,0),MATCH(I$1,'HS Codes'!$D$1:$K$1,0)),"")</f>
        <v>6211 4390 00</v>
      </c>
      <c r="J1932" s="8">
        <f>_xlfn.IFNA(INDEX('HS Codes'!$D$2:$K4486,MATCH($B1932,'HS Codes'!$A$2:$A4486,0),MATCH(J$1,'HS Codes'!$D$1:$K$1,0)),"")</f>
        <v>6117109000</v>
      </c>
      <c r="K1932" s="8" t="str">
        <f>_xlfn.IFNA(INDEX('HS Codes'!$D$2:$K4486,MATCH($B1932,'HS Codes'!$A$2:$A4486,0),MATCH(K$1,'HS Codes'!$D$1:$K$1,0)),"")</f>
        <v>6112.39.00</v>
      </c>
      <c r="L1932" s="8">
        <f>_xlfn.IFNA(INDEX('HS Codes'!$D$2:$K4486,MATCH($B1932,'HS Codes'!$A$2:$A4486,0),MATCH(L$1,'HS Codes'!$D$1:$K$1,0)),"")</f>
        <v>6202</v>
      </c>
      <c r="M1932" s="8" t="str">
        <f>_xlfn.IFNA(INDEX('HS Codes'!$C$2:$C4486,MATCH($B1932,'HS Codes'!$A$2:$A4486,0)),"")</f>
        <v>Beach Robe or Cloak 100% recycled 220 GSM/83% polyester/17% polyamide includes cotton on the packing pouch drawstring</v>
      </c>
      <c r="N1932" s="9"/>
      <c r="O1932" s="9"/>
      <c r="P1932" s="9"/>
      <c r="Q1932" s="9"/>
    </row>
    <row r="1933" spans="1:17" ht="15.75" customHeight="1">
      <c r="A1933" s="7" t="s">
        <v>2226</v>
      </c>
      <c r="B1933" s="7" t="s">
        <v>142</v>
      </c>
      <c r="C1933" s="7" t="s">
        <v>278</v>
      </c>
      <c r="D1933" s="7" t="s">
        <v>143</v>
      </c>
      <c r="E1933" s="7" t="s">
        <v>143</v>
      </c>
      <c r="F1933" s="8" t="str">
        <f>_xlfn.IFNA(INDEX('HS Codes'!$D$2:$K4487,MATCH($B1933,'HS Codes'!$A$2:$A4487,0),MATCH(F$1,'HS Codes'!$D$1:$K$1,0)),"")</f>
        <v>6101.90.90.30</v>
      </c>
      <c r="G1933" s="8">
        <f>_xlfn.IFNA(INDEX('HS Codes'!$D$2:$K4487,MATCH($B1933,'HS Codes'!$A$2:$A4487,0),MATCH(G$1,'HS Codes'!$D$1:$K$1,0)),"")</f>
        <v>6101309000</v>
      </c>
      <c r="H1933" s="8">
        <f>_xlfn.IFNA(INDEX('HS Codes'!$D$2:$K4487,MATCH($B1933,'HS Codes'!$A$2:$A4487,0),MATCH(H$1,'HS Codes'!$D$1:$K$1,0)),"")</f>
        <v>6112399000</v>
      </c>
      <c r="I1933" s="8" t="str">
        <f>_xlfn.IFNA(INDEX('HS Codes'!$D$2:$K4487,MATCH($B1933,'HS Codes'!$A$2:$A4487,0),MATCH(I$1,'HS Codes'!$D$1:$K$1,0)),"")</f>
        <v>6211 4390 00</v>
      </c>
      <c r="J1933" s="8">
        <f>_xlfn.IFNA(INDEX('HS Codes'!$D$2:$K4487,MATCH($B1933,'HS Codes'!$A$2:$A4487,0),MATCH(J$1,'HS Codes'!$D$1:$K$1,0)),"")</f>
        <v>6117109000</v>
      </c>
      <c r="K1933" s="8" t="str">
        <f>_xlfn.IFNA(INDEX('HS Codes'!$D$2:$K4487,MATCH($B1933,'HS Codes'!$A$2:$A4487,0),MATCH(K$1,'HS Codes'!$D$1:$K$1,0)),"")</f>
        <v>6112.39.00</v>
      </c>
      <c r="L1933" s="8">
        <f>_xlfn.IFNA(INDEX('HS Codes'!$D$2:$K4487,MATCH($B1933,'HS Codes'!$A$2:$A4487,0),MATCH(L$1,'HS Codes'!$D$1:$K$1,0)),"")</f>
        <v>6202</v>
      </c>
      <c r="M1933" s="8" t="str">
        <f>_xlfn.IFNA(INDEX('HS Codes'!$C$2:$C4487,MATCH($B1933,'HS Codes'!$A$2:$A4487,0)),"")</f>
        <v>Beach Robe or Cloak 100% recycled 220 GSM/83% polyester/17% polyamide includes cotton on the packing pouch drawstring</v>
      </c>
      <c r="N1933" s="9"/>
      <c r="O1933" s="9"/>
      <c r="P1933" s="9"/>
      <c r="Q1933" s="9"/>
    </row>
    <row r="1934" spans="1:17" ht="15.75" customHeight="1">
      <c r="A1934" s="7" t="s">
        <v>2227</v>
      </c>
      <c r="B1934" s="7" t="s">
        <v>142</v>
      </c>
      <c r="C1934" s="7" t="s">
        <v>278</v>
      </c>
      <c r="D1934" s="7" t="s">
        <v>143</v>
      </c>
      <c r="E1934" s="7" t="s">
        <v>143</v>
      </c>
      <c r="F1934" s="8" t="str">
        <f>_xlfn.IFNA(INDEX('HS Codes'!$D$2:$K4488,MATCH($B1934,'HS Codes'!$A$2:$A4488,0),MATCH(F$1,'HS Codes'!$D$1:$K$1,0)),"")</f>
        <v>6101.90.90.30</v>
      </c>
      <c r="G1934" s="8">
        <f>_xlfn.IFNA(INDEX('HS Codes'!$D$2:$K4488,MATCH($B1934,'HS Codes'!$A$2:$A4488,0),MATCH(G$1,'HS Codes'!$D$1:$K$1,0)),"")</f>
        <v>6101309000</v>
      </c>
      <c r="H1934" s="8">
        <f>_xlfn.IFNA(INDEX('HS Codes'!$D$2:$K4488,MATCH($B1934,'HS Codes'!$A$2:$A4488,0),MATCH(H$1,'HS Codes'!$D$1:$K$1,0)),"")</f>
        <v>6112399000</v>
      </c>
      <c r="I1934" s="8" t="str">
        <f>_xlfn.IFNA(INDEX('HS Codes'!$D$2:$K4488,MATCH($B1934,'HS Codes'!$A$2:$A4488,0),MATCH(I$1,'HS Codes'!$D$1:$K$1,0)),"")</f>
        <v>6211 4390 00</v>
      </c>
      <c r="J1934" s="8">
        <f>_xlfn.IFNA(INDEX('HS Codes'!$D$2:$K4488,MATCH($B1934,'HS Codes'!$A$2:$A4488,0),MATCH(J$1,'HS Codes'!$D$1:$K$1,0)),"")</f>
        <v>6117109000</v>
      </c>
      <c r="K1934" s="8" t="str">
        <f>_xlfn.IFNA(INDEX('HS Codes'!$D$2:$K4488,MATCH($B1934,'HS Codes'!$A$2:$A4488,0),MATCH(K$1,'HS Codes'!$D$1:$K$1,0)),"")</f>
        <v>6112.39.00</v>
      </c>
      <c r="L1934" s="8">
        <f>_xlfn.IFNA(INDEX('HS Codes'!$D$2:$K4488,MATCH($B1934,'HS Codes'!$A$2:$A4488,0),MATCH(L$1,'HS Codes'!$D$1:$K$1,0)),"")</f>
        <v>6202</v>
      </c>
      <c r="M1934" s="8" t="str">
        <f>_xlfn.IFNA(INDEX('HS Codes'!$C$2:$C4488,MATCH($B1934,'HS Codes'!$A$2:$A4488,0)),"")</f>
        <v>Beach Robe or Cloak 100% recycled 220 GSM/83% polyester/17% polyamide includes cotton on the packing pouch drawstring</v>
      </c>
      <c r="N1934" s="9"/>
      <c r="O1934" s="9"/>
      <c r="P1934" s="9"/>
      <c r="Q1934" s="9"/>
    </row>
    <row r="1935" spans="1:17" ht="15.75" customHeight="1">
      <c r="A1935" s="7" t="s">
        <v>2228</v>
      </c>
      <c r="B1935" s="7" t="s">
        <v>142</v>
      </c>
      <c r="C1935" s="7" t="s">
        <v>278</v>
      </c>
      <c r="D1935" s="7" t="s">
        <v>143</v>
      </c>
      <c r="E1935" s="7" t="s">
        <v>143</v>
      </c>
      <c r="F1935" s="8" t="str">
        <f>_xlfn.IFNA(INDEX('HS Codes'!$D$2:$K4489,MATCH($B1935,'HS Codes'!$A$2:$A4489,0),MATCH(F$1,'HS Codes'!$D$1:$K$1,0)),"")</f>
        <v>6101.90.90.30</v>
      </c>
      <c r="G1935" s="8">
        <f>_xlfn.IFNA(INDEX('HS Codes'!$D$2:$K4489,MATCH($B1935,'HS Codes'!$A$2:$A4489,0),MATCH(G$1,'HS Codes'!$D$1:$K$1,0)),"")</f>
        <v>6101309000</v>
      </c>
      <c r="H1935" s="8">
        <f>_xlfn.IFNA(INDEX('HS Codes'!$D$2:$K4489,MATCH($B1935,'HS Codes'!$A$2:$A4489,0),MATCH(H$1,'HS Codes'!$D$1:$K$1,0)),"")</f>
        <v>6112399000</v>
      </c>
      <c r="I1935" s="8" t="str">
        <f>_xlfn.IFNA(INDEX('HS Codes'!$D$2:$K4489,MATCH($B1935,'HS Codes'!$A$2:$A4489,0),MATCH(I$1,'HS Codes'!$D$1:$K$1,0)),"")</f>
        <v>6211 4390 00</v>
      </c>
      <c r="J1935" s="8">
        <f>_xlfn.IFNA(INDEX('HS Codes'!$D$2:$K4489,MATCH($B1935,'HS Codes'!$A$2:$A4489,0),MATCH(J$1,'HS Codes'!$D$1:$K$1,0)),"")</f>
        <v>6117109000</v>
      </c>
      <c r="K1935" s="8" t="str">
        <f>_xlfn.IFNA(INDEX('HS Codes'!$D$2:$K4489,MATCH($B1935,'HS Codes'!$A$2:$A4489,0),MATCH(K$1,'HS Codes'!$D$1:$K$1,0)),"")</f>
        <v>6112.39.00</v>
      </c>
      <c r="L1935" s="8">
        <f>_xlfn.IFNA(INDEX('HS Codes'!$D$2:$K4489,MATCH($B1935,'HS Codes'!$A$2:$A4489,0),MATCH(L$1,'HS Codes'!$D$1:$K$1,0)),"")</f>
        <v>6202</v>
      </c>
      <c r="M1935" s="8" t="str">
        <f>_xlfn.IFNA(INDEX('HS Codes'!$C$2:$C4489,MATCH($B1935,'HS Codes'!$A$2:$A4489,0)),"")</f>
        <v>Beach Robe or Cloak 100% recycled 220 GSM/83% polyester/17% polyamide includes cotton on the packing pouch drawstring</v>
      </c>
      <c r="N1935" s="9"/>
      <c r="O1935" s="9"/>
      <c r="P1935" s="9"/>
      <c r="Q1935" s="9"/>
    </row>
    <row r="1936" spans="1:17" ht="15.75" customHeight="1">
      <c r="A1936" s="7" t="s">
        <v>2229</v>
      </c>
      <c r="B1936" s="7" t="s">
        <v>148</v>
      </c>
      <c r="C1936" s="7" t="s">
        <v>278</v>
      </c>
      <c r="D1936" s="7" t="s">
        <v>149</v>
      </c>
      <c r="E1936" s="7" t="s">
        <v>149</v>
      </c>
      <c r="F1936" s="8" t="str">
        <f>_xlfn.IFNA(INDEX('HS Codes'!$D$2:$K4490,MATCH($B1936,'HS Codes'!$A$2:$A4490,0),MATCH(F$1,'HS Codes'!$D$1:$K$1,0)),"")</f>
        <v>6101.90.90.30</v>
      </c>
      <c r="G1936" s="8">
        <f>_xlfn.IFNA(INDEX('HS Codes'!$D$2:$K4490,MATCH($B1936,'HS Codes'!$A$2:$A4490,0),MATCH(G$1,'HS Codes'!$D$1:$K$1,0)),"")</f>
        <v>6101309000</v>
      </c>
      <c r="H1936" s="8">
        <f>_xlfn.IFNA(INDEX('HS Codes'!$D$2:$K4490,MATCH($B1936,'HS Codes'!$A$2:$A4490,0),MATCH(H$1,'HS Codes'!$D$1:$K$1,0)),"")</f>
        <v>6112399000</v>
      </c>
      <c r="I1936" s="8" t="str">
        <f>_xlfn.IFNA(INDEX('HS Codes'!$D$2:$K4490,MATCH($B1936,'HS Codes'!$A$2:$A4490,0),MATCH(I$1,'HS Codes'!$D$1:$K$1,0)),"")</f>
        <v>6211 4390 00</v>
      </c>
      <c r="J1936" s="8">
        <f>_xlfn.IFNA(INDEX('HS Codes'!$D$2:$K4490,MATCH($B1936,'HS Codes'!$A$2:$A4490,0),MATCH(J$1,'HS Codes'!$D$1:$K$1,0)),"")</f>
        <v>6117109000</v>
      </c>
      <c r="K1936" s="8" t="str">
        <f>_xlfn.IFNA(INDEX('HS Codes'!$D$2:$K4490,MATCH($B1936,'HS Codes'!$A$2:$A4490,0),MATCH(K$1,'HS Codes'!$D$1:$K$1,0)),"")</f>
        <v>6112.39.00</v>
      </c>
      <c r="L1936" s="8">
        <f>_xlfn.IFNA(INDEX('HS Codes'!$D$2:$K4490,MATCH($B1936,'HS Codes'!$A$2:$A4490,0),MATCH(L$1,'HS Codes'!$D$1:$K$1,0)),"")</f>
        <v>6202</v>
      </c>
      <c r="M1936" s="8" t="str">
        <f>_xlfn.IFNA(INDEX('HS Codes'!$C$2:$C4490,MATCH($B1936,'HS Codes'!$A$2:$A4490,0)),"")</f>
        <v>Beach Robe or Cloak 100% recycled 220 GSM/83% polyester/17% polyamide includes cotton on the packing pouch drawstring</v>
      </c>
      <c r="N1936" s="9"/>
      <c r="O1936" s="9"/>
      <c r="P1936" s="9"/>
      <c r="Q1936" s="9"/>
    </row>
    <row r="1937" spans="1:17" ht="15.75" customHeight="1">
      <c r="A1937" s="7" t="s">
        <v>2230</v>
      </c>
      <c r="B1937" s="7" t="s">
        <v>148</v>
      </c>
      <c r="C1937" s="7" t="s">
        <v>278</v>
      </c>
      <c r="D1937" s="7" t="s">
        <v>149</v>
      </c>
      <c r="E1937" s="7" t="s">
        <v>149</v>
      </c>
      <c r="F1937" s="8" t="str">
        <f>_xlfn.IFNA(INDEX('HS Codes'!$D$2:$K4491,MATCH($B1937,'HS Codes'!$A$2:$A4491,0),MATCH(F$1,'HS Codes'!$D$1:$K$1,0)),"")</f>
        <v>6101.90.90.30</v>
      </c>
      <c r="G1937" s="8">
        <f>_xlfn.IFNA(INDEX('HS Codes'!$D$2:$K4491,MATCH($B1937,'HS Codes'!$A$2:$A4491,0),MATCH(G$1,'HS Codes'!$D$1:$K$1,0)),"")</f>
        <v>6101309000</v>
      </c>
      <c r="H1937" s="8">
        <f>_xlfn.IFNA(INDEX('HS Codes'!$D$2:$K4491,MATCH($B1937,'HS Codes'!$A$2:$A4491,0),MATCH(H$1,'HS Codes'!$D$1:$K$1,0)),"")</f>
        <v>6112399000</v>
      </c>
      <c r="I1937" s="8" t="str">
        <f>_xlfn.IFNA(INDEX('HS Codes'!$D$2:$K4491,MATCH($B1937,'HS Codes'!$A$2:$A4491,0),MATCH(I$1,'HS Codes'!$D$1:$K$1,0)),"")</f>
        <v>6211 4390 00</v>
      </c>
      <c r="J1937" s="8">
        <f>_xlfn.IFNA(INDEX('HS Codes'!$D$2:$K4491,MATCH($B1937,'HS Codes'!$A$2:$A4491,0),MATCH(J$1,'HS Codes'!$D$1:$K$1,0)),"")</f>
        <v>6117109000</v>
      </c>
      <c r="K1937" s="8" t="str">
        <f>_xlfn.IFNA(INDEX('HS Codes'!$D$2:$K4491,MATCH($B1937,'HS Codes'!$A$2:$A4491,0),MATCH(K$1,'HS Codes'!$D$1:$K$1,0)),"")</f>
        <v>6112.39.00</v>
      </c>
      <c r="L1937" s="8">
        <f>_xlfn.IFNA(INDEX('HS Codes'!$D$2:$K4491,MATCH($B1937,'HS Codes'!$A$2:$A4491,0),MATCH(L$1,'HS Codes'!$D$1:$K$1,0)),"")</f>
        <v>6202</v>
      </c>
      <c r="M1937" s="8" t="str">
        <f>_xlfn.IFNA(INDEX('HS Codes'!$C$2:$C4491,MATCH($B1937,'HS Codes'!$A$2:$A4491,0)),"")</f>
        <v>Beach Robe or Cloak 100% recycled 220 GSM/83% polyester/17% polyamide includes cotton on the packing pouch drawstring</v>
      </c>
      <c r="N1937" s="9"/>
      <c r="O1937" s="9"/>
      <c r="P1937" s="9"/>
      <c r="Q1937" s="9"/>
    </row>
    <row r="1938" spans="1:17" ht="15.75" customHeight="1">
      <c r="A1938" s="7" t="s">
        <v>2231</v>
      </c>
      <c r="B1938" s="7" t="s">
        <v>148</v>
      </c>
      <c r="C1938" s="7" t="s">
        <v>278</v>
      </c>
      <c r="D1938" s="7" t="s">
        <v>149</v>
      </c>
      <c r="E1938" s="7" t="s">
        <v>149</v>
      </c>
      <c r="F1938" s="8" t="str">
        <f>_xlfn.IFNA(INDEX('HS Codes'!$D$2:$K4492,MATCH($B1938,'HS Codes'!$A$2:$A4492,0),MATCH(F$1,'HS Codes'!$D$1:$K$1,0)),"")</f>
        <v>6101.90.90.30</v>
      </c>
      <c r="G1938" s="8">
        <f>_xlfn.IFNA(INDEX('HS Codes'!$D$2:$K4492,MATCH($B1938,'HS Codes'!$A$2:$A4492,0),MATCH(G$1,'HS Codes'!$D$1:$K$1,0)),"")</f>
        <v>6101309000</v>
      </c>
      <c r="H1938" s="8">
        <f>_xlfn.IFNA(INDEX('HS Codes'!$D$2:$K4492,MATCH($B1938,'HS Codes'!$A$2:$A4492,0),MATCH(H$1,'HS Codes'!$D$1:$K$1,0)),"")</f>
        <v>6112399000</v>
      </c>
      <c r="I1938" s="8" t="str">
        <f>_xlfn.IFNA(INDEX('HS Codes'!$D$2:$K4492,MATCH($B1938,'HS Codes'!$A$2:$A4492,0),MATCH(I$1,'HS Codes'!$D$1:$K$1,0)),"")</f>
        <v>6211 4390 00</v>
      </c>
      <c r="J1938" s="8">
        <f>_xlfn.IFNA(INDEX('HS Codes'!$D$2:$K4492,MATCH($B1938,'HS Codes'!$A$2:$A4492,0),MATCH(J$1,'HS Codes'!$D$1:$K$1,0)),"")</f>
        <v>6117109000</v>
      </c>
      <c r="K1938" s="8" t="str">
        <f>_xlfn.IFNA(INDEX('HS Codes'!$D$2:$K4492,MATCH($B1938,'HS Codes'!$A$2:$A4492,0),MATCH(K$1,'HS Codes'!$D$1:$K$1,0)),"")</f>
        <v>6112.39.00</v>
      </c>
      <c r="L1938" s="8">
        <f>_xlfn.IFNA(INDEX('HS Codes'!$D$2:$K4492,MATCH($B1938,'HS Codes'!$A$2:$A4492,0),MATCH(L$1,'HS Codes'!$D$1:$K$1,0)),"")</f>
        <v>6202</v>
      </c>
      <c r="M1938" s="8" t="str">
        <f>_xlfn.IFNA(INDEX('HS Codes'!$C$2:$C4492,MATCH($B1938,'HS Codes'!$A$2:$A4492,0)),"")</f>
        <v>Beach Robe or Cloak 100% recycled 220 GSM/83% polyester/17% polyamide includes cotton on the packing pouch drawstring</v>
      </c>
      <c r="N1938" s="9"/>
      <c r="O1938" s="9"/>
      <c r="P1938" s="9"/>
      <c r="Q1938" s="9"/>
    </row>
    <row r="1939" spans="1:17" ht="15.75" customHeight="1">
      <c r="A1939" s="7" t="s">
        <v>2232</v>
      </c>
      <c r="B1939" s="7" t="s">
        <v>148</v>
      </c>
      <c r="C1939" s="7" t="s">
        <v>278</v>
      </c>
      <c r="D1939" s="7" t="s">
        <v>149</v>
      </c>
      <c r="E1939" s="7" t="s">
        <v>149</v>
      </c>
      <c r="F1939" s="8" t="str">
        <f>_xlfn.IFNA(INDEX('HS Codes'!$D$2:$K4493,MATCH($B1939,'HS Codes'!$A$2:$A4493,0),MATCH(F$1,'HS Codes'!$D$1:$K$1,0)),"")</f>
        <v>6101.90.90.30</v>
      </c>
      <c r="G1939" s="8">
        <f>_xlfn.IFNA(INDEX('HS Codes'!$D$2:$K4493,MATCH($B1939,'HS Codes'!$A$2:$A4493,0),MATCH(G$1,'HS Codes'!$D$1:$K$1,0)),"")</f>
        <v>6101309000</v>
      </c>
      <c r="H1939" s="8">
        <f>_xlfn.IFNA(INDEX('HS Codes'!$D$2:$K4493,MATCH($B1939,'HS Codes'!$A$2:$A4493,0),MATCH(H$1,'HS Codes'!$D$1:$K$1,0)),"")</f>
        <v>6112399000</v>
      </c>
      <c r="I1939" s="8" t="str">
        <f>_xlfn.IFNA(INDEX('HS Codes'!$D$2:$K4493,MATCH($B1939,'HS Codes'!$A$2:$A4493,0),MATCH(I$1,'HS Codes'!$D$1:$K$1,0)),"")</f>
        <v>6211 4390 00</v>
      </c>
      <c r="J1939" s="8">
        <f>_xlfn.IFNA(INDEX('HS Codes'!$D$2:$K4493,MATCH($B1939,'HS Codes'!$A$2:$A4493,0),MATCH(J$1,'HS Codes'!$D$1:$K$1,0)),"")</f>
        <v>6117109000</v>
      </c>
      <c r="K1939" s="8" t="str">
        <f>_xlfn.IFNA(INDEX('HS Codes'!$D$2:$K4493,MATCH($B1939,'HS Codes'!$A$2:$A4493,0),MATCH(K$1,'HS Codes'!$D$1:$K$1,0)),"")</f>
        <v>6112.39.00</v>
      </c>
      <c r="L1939" s="8">
        <f>_xlfn.IFNA(INDEX('HS Codes'!$D$2:$K4493,MATCH($B1939,'HS Codes'!$A$2:$A4493,0),MATCH(L$1,'HS Codes'!$D$1:$K$1,0)),"")</f>
        <v>6202</v>
      </c>
      <c r="M1939" s="8" t="str">
        <f>_xlfn.IFNA(INDEX('HS Codes'!$C$2:$C4493,MATCH($B1939,'HS Codes'!$A$2:$A4493,0)),"")</f>
        <v>Beach Robe or Cloak 100% recycled 220 GSM/83% polyester/17% polyamide includes cotton on the packing pouch drawstring</v>
      </c>
      <c r="N1939" s="9"/>
      <c r="O1939" s="9"/>
      <c r="P1939" s="9"/>
      <c r="Q1939" s="9"/>
    </row>
    <row r="1940" spans="1:17" ht="15.75" customHeight="1">
      <c r="A1940" s="7" t="s">
        <v>2233</v>
      </c>
      <c r="B1940" s="7" t="s">
        <v>148</v>
      </c>
      <c r="C1940" s="7" t="s">
        <v>278</v>
      </c>
      <c r="D1940" s="7" t="s">
        <v>149</v>
      </c>
      <c r="E1940" s="7" t="s">
        <v>149</v>
      </c>
      <c r="F1940" s="8" t="str">
        <f>_xlfn.IFNA(INDEX('HS Codes'!$D$2:$K4494,MATCH($B1940,'HS Codes'!$A$2:$A4494,0),MATCH(F$1,'HS Codes'!$D$1:$K$1,0)),"")</f>
        <v>6101.90.90.30</v>
      </c>
      <c r="G1940" s="8">
        <f>_xlfn.IFNA(INDEX('HS Codes'!$D$2:$K4494,MATCH($B1940,'HS Codes'!$A$2:$A4494,0),MATCH(G$1,'HS Codes'!$D$1:$K$1,0)),"")</f>
        <v>6101309000</v>
      </c>
      <c r="H1940" s="8">
        <f>_xlfn.IFNA(INDEX('HS Codes'!$D$2:$K4494,MATCH($B1940,'HS Codes'!$A$2:$A4494,0),MATCH(H$1,'HS Codes'!$D$1:$K$1,0)),"")</f>
        <v>6112399000</v>
      </c>
      <c r="I1940" s="8" t="str">
        <f>_xlfn.IFNA(INDEX('HS Codes'!$D$2:$K4494,MATCH($B1940,'HS Codes'!$A$2:$A4494,0),MATCH(I$1,'HS Codes'!$D$1:$K$1,0)),"")</f>
        <v>6211 4390 00</v>
      </c>
      <c r="J1940" s="8">
        <f>_xlfn.IFNA(INDEX('HS Codes'!$D$2:$K4494,MATCH($B1940,'HS Codes'!$A$2:$A4494,0),MATCH(J$1,'HS Codes'!$D$1:$K$1,0)),"")</f>
        <v>6117109000</v>
      </c>
      <c r="K1940" s="8" t="str">
        <f>_xlfn.IFNA(INDEX('HS Codes'!$D$2:$K4494,MATCH($B1940,'HS Codes'!$A$2:$A4494,0),MATCH(K$1,'HS Codes'!$D$1:$K$1,0)),"")</f>
        <v>6112.39.00</v>
      </c>
      <c r="L1940" s="8">
        <f>_xlfn.IFNA(INDEX('HS Codes'!$D$2:$K4494,MATCH($B1940,'HS Codes'!$A$2:$A4494,0),MATCH(L$1,'HS Codes'!$D$1:$K$1,0)),"")</f>
        <v>6202</v>
      </c>
      <c r="M1940" s="8" t="str">
        <f>_xlfn.IFNA(INDEX('HS Codes'!$C$2:$C4494,MATCH($B1940,'HS Codes'!$A$2:$A4494,0)),"")</f>
        <v>Beach Robe or Cloak 100% recycled 220 GSM/83% polyester/17% polyamide includes cotton on the packing pouch drawstring</v>
      </c>
      <c r="N1940" s="9"/>
      <c r="O1940" s="9"/>
      <c r="P1940" s="9"/>
      <c r="Q1940" s="9"/>
    </row>
    <row r="1941" spans="1:17" ht="15.75" customHeight="1">
      <c r="A1941" s="7" t="s">
        <v>2234</v>
      </c>
      <c r="B1941" s="7" t="s">
        <v>148</v>
      </c>
      <c r="C1941" s="7" t="s">
        <v>278</v>
      </c>
      <c r="D1941" s="7" t="s">
        <v>149</v>
      </c>
      <c r="E1941" s="7" t="s">
        <v>149</v>
      </c>
      <c r="F1941" s="8" t="str">
        <f>_xlfn.IFNA(INDEX('HS Codes'!$D$2:$K4495,MATCH($B1941,'HS Codes'!$A$2:$A4495,0),MATCH(F$1,'HS Codes'!$D$1:$K$1,0)),"")</f>
        <v>6101.90.90.30</v>
      </c>
      <c r="G1941" s="8">
        <f>_xlfn.IFNA(INDEX('HS Codes'!$D$2:$K4495,MATCH($B1941,'HS Codes'!$A$2:$A4495,0),MATCH(G$1,'HS Codes'!$D$1:$K$1,0)),"")</f>
        <v>6101309000</v>
      </c>
      <c r="H1941" s="8">
        <f>_xlfn.IFNA(INDEX('HS Codes'!$D$2:$K4495,MATCH($B1941,'HS Codes'!$A$2:$A4495,0),MATCH(H$1,'HS Codes'!$D$1:$K$1,0)),"")</f>
        <v>6112399000</v>
      </c>
      <c r="I1941" s="8" t="str">
        <f>_xlfn.IFNA(INDEX('HS Codes'!$D$2:$K4495,MATCH($B1941,'HS Codes'!$A$2:$A4495,0),MATCH(I$1,'HS Codes'!$D$1:$K$1,0)),"")</f>
        <v>6211 4390 00</v>
      </c>
      <c r="J1941" s="8">
        <f>_xlfn.IFNA(INDEX('HS Codes'!$D$2:$K4495,MATCH($B1941,'HS Codes'!$A$2:$A4495,0),MATCH(J$1,'HS Codes'!$D$1:$K$1,0)),"")</f>
        <v>6117109000</v>
      </c>
      <c r="K1941" s="8" t="str">
        <f>_xlfn.IFNA(INDEX('HS Codes'!$D$2:$K4495,MATCH($B1941,'HS Codes'!$A$2:$A4495,0),MATCH(K$1,'HS Codes'!$D$1:$K$1,0)),"")</f>
        <v>6112.39.00</v>
      </c>
      <c r="L1941" s="8">
        <f>_xlfn.IFNA(INDEX('HS Codes'!$D$2:$K4495,MATCH($B1941,'HS Codes'!$A$2:$A4495,0),MATCH(L$1,'HS Codes'!$D$1:$K$1,0)),"")</f>
        <v>6202</v>
      </c>
      <c r="M1941" s="8" t="str">
        <f>_xlfn.IFNA(INDEX('HS Codes'!$C$2:$C4495,MATCH($B1941,'HS Codes'!$A$2:$A4495,0)),"")</f>
        <v>Beach Robe or Cloak 100% recycled 220 GSM/83% polyester/17% polyamide includes cotton on the packing pouch drawstring</v>
      </c>
      <c r="N1941" s="9"/>
      <c r="O1941" s="9"/>
      <c r="P1941" s="9"/>
      <c r="Q1941" s="9"/>
    </row>
    <row r="1942" spans="1:17" ht="15.75" customHeight="1">
      <c r="A1942" s="7" t="s">
        <v>2235</v>
      </c>
      <c r="B1942" s="7" t="s">
        <v>148</v>
      </c>
      <c r="C1942" s="7" t="s">
        <v>278</v>
      </c>
      <c r="D1942" s="7" t="s">
        <v>149</v>
      </c>
      <c r="E1942" s="7" t="s">
        <v>149</v>
      </c>
      <c r="F1942" s="8" t="str">
        <f>_xlfn.IFNA(INDEX('HS Codes'!$D$2:$K4496,MATCH($B1942,'HS Codes'!$A$2:$A4496,0),MATCH(F$1,'HS Codes'!$D$1:$K$1,0)),"")</f>
        <v>6101.90.90.30</v>
      </c>
      <c r="G1942" s="8">
        <f>_xlfn.IFNA(INDEX('HS Codes'!$D$2:$K4496,MATCH($B1942,'HS Codes'!$A$2:$A4496,0),MATCH(G$1,'HS Codes'!$D$1:$K$1,0)),"")</f>
        <v>6101309000</v>
      </c>
      <c r="H1942" s="8">
        <f>_xlfn.IFNA(INDEX('HS Codes'!$D$2:$K4496,MATCH($B1942,'HS Codes'!$A$2:$A4496,0),MATCH(H$1,'HS Codes'!$D$1:$K$1,0)),"")</f>
        <v>6112399000</v>
      </c>
      <c r="I1942" s="8" t="str">
        <f>_xlfn.IFNA(INDEX('HS Codes'!$D$2:$K4496,MATCH($B1942,'HS Codes'!$A$2:$A4496,0),MATCH(I$1,'HS Codes'!$D$1:$K$1,0)),"")</f>
        <v>6211 4390 00</v>
      </c>
      <c r="J1942" s="8">
        <f>_xlfn.IFNA(INDEX('HS Codes'!$D$2:$K4496,MATCH($B1942,'HS Codes'!$A$2:$A4496,0),MATCH(J$1,'HS Codes'!$D$1:$K$1,0)),"")</f>
        <v>6117109000</v>
      </c>
      <c r="K1942" s="8" t="str">
        <f>_xlfn.IFNA(INDEX('HS Codes'!$D$2:$K4496,MATCH($B1942,'HS Codes'!$A$2:$A4496,0),MATCH(K$1,'HS Codes'!$D$1:$K$1,0)),"")</f>
        <v>6112.39.00</v>
      </c>
      <c r="L1942" s="8">
        <f>_xlfn.IFNA(INDEX('HS Codes'!$D$2:$K4496,MATCH($B1942,'HS Codes'!$A$2:$A4496,0),MATCH(L$1,'HS Codes'!$D$1:$K$1,0)),"")</f>
        <v>6202</v>
      </c>
      <c r="M1942" s="8" t="str">
        <f>_xlfn.IFNA(INDEX('HS Codes'!$C$2:$C4496,MATCH($B1942,'HS Codes'!$A$2:$A4496,0)),"")</f>
        <v>Beach Robe or Cloak 100% recycled 220 GSM/83% polyester/17% polyamide includes cotton on the packing pouch drawstring</v>
      </c>
      <c r="N1942" s="9"/>
      <c r="O1942" s="9"/>
      <c r="P1942" s="9"/>
      <c r="Q1942" s="9"/>
    </row>
    <row r="1943" spans="1:17" ht="15.75" customHeight="1">
      <c r="A1943" s="7" t="s">
        <v>2236</v>
      </c>
      <c r="B1943" s="7" t="s">
        <v>148</v>
      </c>
      <c r="C1943" s="7" t="s">
        <v>278</v>
      </c>
      <c r="D1943" s="7" t="s">
        <v>149</v>
      </c>
      <c r="E1943" s="7" t="s">
        <v>149</v>
      </c>
      <c r="F1943" s="8" t="str">
        <f>_xlfn.IFNA(INDEX('HS Codes'!$D$2:$K4497,MATCH($B1943,'HS Codes'!$A$2:$A4497,0),MATCH(F$1,'HS Codes'!$D$1:$K$1,0)),"")</f>
        <v>6101.90.90.30</v>
      </c>
      <c r="G1943" s="8">
        <f>_xlfn.IFNA(INDEX('HS Codes'!$D$2:$K4497,MATCH($B1943,'HS Codes'!$A$2:$A4497,0),MATCH(G$1,'HS Codes'!$D$1:$K$1,0)),"")</f>
        <v>6101309000</v>
      </c>
      <c r="H1943" s="8">
        <f>_xlfn.IFNA(INDEX('HS Codes'!$D$2:$K4497,MATCH($B1943,'HS Codes'!$A$2:$A4497,0),MATCH(H$1,'HS Codes'!$D$1:$K$1,0)),"")</f>
        <v>6112399000</v>
      </c>
      <c r="I1943" s="8" t="str">
        <f>_xlfn.IFNA(INDEX('HS Codes'!$D$2:$K4497,MATCH($B1943,'HS Codes'!$A$2:$A4497,0),MATCH(I$1,'HS Codes'!$D$1:$K$1,0)),"")</f>
        <v>6211 4390 00</v>
      </c>
      <c r="J1943" s="8">
        <f>_xlfn.IFNA(INDEX('HS Codes'!$D$2:$K4497,MATCH($B1943,'HS Codes'!$A$2:$A4497,0),MATCH(J$1,'HS Codes'!$D$1:$K$1,0)),"")</f>
        <v>6117109000</v>
      </c>
      <c r="K1943" s="8" t="str">
        <f>_xlfn.IFNA(INDEX('HS Codes'!$D$2:$K4497,MATCH($B1943,'HS Codes'!$A$2:$A4497,0),MATCH(K$1,'HS Codes'!$D$1:$K$1,0)),"")</f>
        <v>6112.39.00</v>
      </c>
      <c r="L1943" s="8">
        <f>_xlfn.IFNA(INDEX('HS Codes'!$D$2:$K4497,MATCH($B1943,'HS Codes'!$A$2:$A4497,0),MATCH(L$1,'HS Codes'!$D$1:$K$1,0)),"")</f>
        <v>6202</v>
      </c>
      <c r="M1943" s="8" t="str">
        <f>_xlfn.IFNA(INDEX('HS Codes'!$C$2:$C4497,MATCH($B1943,'HS Codes'!$A$2:$A4497,0)),"")</f>
        <v>Beach Robe or Cloak 100% recycled 220 GSM/83% polyester/17% polyamide includes cotton on the packing pouch drawstring</v>
      </c>
      <c r="N1943" s="9"/>
      <c r="O1943" s="9"/>
      <c r="P1943" s="9"/>
      <c r="Q1943" s="9"/>
    </row>
    <row r="1944" spans="1:17" ht="15.75" customHeight="1">
      <c r="A1944" s="7" t="s">
        <v>2237</v>
      </c>
      <c r="B1944" s="7" t="s">
        <v>148</v>
      </c>
      <c r="C1944" s="7" t="s">
        <v>278</v>
      </c>
      <c r="D1944" s="7" t="s">
        <v>149</v>
      </c>
      <c r="E1944" s="7" t="s">
        <v>149</v>
      </c>
      <c r="F1944" s="8" t="str">
        <f>_xlfn.IFNA(INDEX('HS Codes'!$D$2:$K4498,MATCH($B1944,'HS Codes'!$A$2:$A4498,0),MATCH(F$1,'HS Codes'!$D$1:$K$1,0)),"")</f>
        <v>6101.90.90.30</v>
      </c>
      <c r="G1944" s="8">
        <f>_xlfn.IFNA(INDEX('HS Codes'!$D$2:$K4498,MATCH($B1944,'HS Codes'!$A$2:$A4498,0),MATCH(G$1,'HS Codes'!$D$1:$K$1,0)),"")</f>
        <v>6101309000</v>
      </c>
      <c r="H1944" s="8">
        <f>_xlfn.IFNA(INDEX('HS Codes'!$D$2:$K4498,MATCH($B1944,'HS Codes'!$A$2:$A4498,0),MATCH(H$1,'HS Codes'!$D$1:$K$1,0)),"")</f>
        <v>6112399000</v>
      </c>
      <c r="I1944" s="8" t="str">
        <f>_xlfn.IFNA(INDEX('HS Codes'!$D$2:$K4498,MATCH($B1944,'HS Codes'!$A$2:$A4498,0),MATCH(I$1,'HS Codes'!$D$1:$K$1,0)),"")</f>
        <v>6211 4390 00</v>
      </c>
      <c r="J1944" s="8">
        <f>_xlfn.IFNA(INDEX('HS Codes'!$D$2:$K4498,MATCH($B1944,'HS Codes'!$A$2:$A4498,0),MATCH(J$1,'HS Codes'!$D$1:$K$1,0)),"")</f>
        <v>6117109000</v>
      </c>
      <c r="K1944" s="8" t="str">
        <f>_xlfn.IFNA(INDEX('HS Codes'!$D$2:$K4498,MATCH($B1944,'HS Codes'!$A$2:$A4498,0),MATCH(K$1,'HS Codes'!$D$1:$K$1,0)),"")</f>
        <v>6112.39.00</v>
      </c>
      <c r="L1944" s="8">
        <f>_xlfn.IFNA(INDEX('HS Codes'!$D$2:$K4498,MATCH($B1944,'HS Codes'!$A$2:$A4498,0),MATCH(L$1,'HS Codes'!$D$1:$K$1,0)),"")</f>
        <v>6202</v>
      </c>
      <c r="M1944" s="8" t="str">
        <f>_xlfn.IFNA(INDEX('HS Codes'!$C$2:$C4498,MATCH($B1944,'HS Codes'!$A$2:$A4498,0)),"")</f>
        <v>Beach Robe or Cloak 100% recycled 220 GSM/83% polyester/17% polyamide includes cotton on the packing pouch drawstring</v>
      </c>
      <c r="N1944" s="9"/>
      <c r="O1944" s="9"/>
      <c r="P1944" s="9"/>
      <c r="Q1944" s="9"/>
    </row>
    <row r="1945" spans="1:17" ht="15.75" customHeight="1">
      <c r="A1945" s="7" t="s">
        <v>2238</v>
      </c>
      <c r="B1945" s="7" t="s">
        <v>148</v>
      </c>
      <c r="C1945" s="7" t="s">
        <v>278</v>
      </c>
      <c r="D1945" s="7" t="s">
        <v>149</v>
      </c>
      <c r="E1945" s="7" t="s">
        <v>149</v>
      </c>
      <c r="F1945" s="8" t="str">
        <f>_xlfn.IFNA(INDEX('HS Codes'!$D$2:$K4499,MATCH($B1945,'HS Codes'!$A$2:$A4499,0),MATCH(F$1,'HS Codes'!$D$1:$K$1,0)),"")</f>
        <v>6101.90.90.30</v>
      </c>
      <c r="G1945" s="8">
        <f>_xlfn.IFNA(INDEX('HS Codes'!$D$2:$K4499,MATCH($B1945,'HS Codes'!$A$2:$A4499,0),MATCH(G$1,'HS Codes'!$D$1:$K$1,0)),"")</f>
        <v>6101309000</v>
      </c>
      <c r="H1945" s="8">
        <f>_xlfn.IFNA(INDEX('HS Codes'!$D$2:$K4499,MATCH($B1945,'HS Codes'!$A$2:$A4499,0),MATCH(H$1,'HS Codes'!$D$1:$K$1,0)),"")</f>
        <v>6112399000</v>
      </c>
      <c r="I1945" s="8" t="str">
        <f>_xlfn.IFNA(INDEX('HS Codes'!$D$2:$K4499,MATCH($B1945,'HS Codes'!$A$2:$A4499,0),MATCH(I$1,'HS Codes'!$D$1:$K$1,0)),"")</f>
        <v>6211 4390 00</v>
      </c>
      <c r="J1945" s="8">
        <f>_xlfn.IFNA(INDEX('HS Codes'!$D$2:$K4499,MATCH($B1945,'HS Codes'!$A$2:$A4499,0),MATCH(J$1,'HS Codes'!$D$1:$K$1,0)),"")</f>
        <v>6117109000</v>
      </c>
      <c r="K1945" s="8" t="str">
        <f>_xlfn.IFNA(INDEX('HS Codes'!$D$2:$K4499,MATCH($B1945,'HS Codes'!$A$2:$A4499,0),MATCH(K$1,'HS Codes'!$D$1:$K$1,0)),"")</f>
        <v>6112.39.00</v>
      </c>
      <c r="L1945" s="8">
        <f>_xlfn.IFNA(INDEX('HS Codes'!$D$2:$K4499,MATCH($B1945,'HS Codes'!$A$2:$A4499,0),MATCH(L$1,'HS Codes'!$D$1:$K$1,0)),"")</f>
        <v>6202</v>
      </c>
      <c r="M1945" s="8" t="str">
        <f>_xlfn.IFNA(INDEX('HS Codes'!$C$2:$C4499,MATCH($B1945,'HS Codes'!$A$2:$A4499,0)),"")</f>
        <v>Beach Robe or Cloak 100% recycled 220 GSM/83% polyester/17% polyamide includes cotton on the packing pouch drawstring</v>
      </c>
      <c r="N1945" s="9"/>
      <c r="O1945" s="9"/>
      <c r="P1945" s="9"/>
      <c r="Q1945" s="9"/>
    </row>
    <row r="1946" spans="1:17" ht="15.75" customHeight="1">
      <c r="A1946" s="7" t="s">
        <v>2239</v>
      </c>
      <c r="B1946" s="7" t="s">
        <v>148</v>
      </c>
      <c r="C1946" s="7" t="s">
        <v>278</v>
      </c>
      <c r="D1946" s="7" t="s">
        <v>149</v>
      </c>
      <c r="E1946" s="7" t="s">
        <v>149</v>
      </c>
      <c r="F1946" s="8" t="str">
        <f>_xlfn.IFNA(INDEX('HS Codes'!$D$2:$K4500,MATCH($B1946,'HS Codes'!$A$2:$A4500,0),MATCH(F$1,'HS Codes'!$D$1:$K$1,0)),"")</f>
        <v>6101.90.90.30</v>
      </c>
      <c r="G1946" s="8">
        <f>_xlfn.IFNA(INDEX('HS Codes'!$D$2:$K4500,MATCH($B1946,'HS Codes'!$A$2:$A4500,0),MATCH(G$1,'HS Codes'!$D$1:$K$1,0)),"")</f>
        <v>6101309000</v>
      </c>
      <c r="H1946" s="8">
        <f>_xlfn.IFNA(INDEX('HS Codes'!$D$2:$K4500,MATCH($B1946,'HS Codes'!$A$2:$A4500,0),MATCH(H$1,'HS Codes'!$D$1:$K$1,0)),"")</f>
        <v>6112399000</v>
      </c>
      <c r="I1946" s="8" t="str">
        <f>_xlfn.IFNA(INDEX('HS Codes'!$D$2:$K4500,MATCH($B1946,'HS Codes'!$A$2:$A4500,0),MATCH(I$1,'HS Codes'!$D$1:$K$1,0)),"")</f>
        <v>6211 4390 00</v>
      </c>
      <c r="J1946" s="8">
        <f>_xlfn.IFNA(INDEX('HS Codes'!$D$2:$K4500,MATCH($B1946,'HS Codes'!$A$2:$A4500,0),MATCH(J$1,'HS Codes'!$D$1:$K$1,0)),"")</f>
        <v>6117109000</v>
      </c>
      <c r="K1946" s="8" t="str">
        <f>_xlfn.IFNA(INDEX('HS Codes'!$D$2:$K4500,MATCH($B1946,'HS Codes'!$A$2:$A4500,0),MATCH(K$1,'HS Codes'!$D$1:$K$1,0)),"")</f>
        <v>6112.39.00</v>
      </c>
      <c r="L1946" s="8">
        <f>_xlfn.IFNA(INDEX('HS Codes'!$D$2:$K4500,MATCH($B1946,'HS Codes'!$A$2:$A4500,0),MATCH(L$1,'HS Codes'!$D$1:$K$1,0)),"")</f>
        <v>6202</v>
      </c>
      <c r="M1946" s="8" t="str">
        <f>_xlfn.IFNA(INDEX('HS Codes'!$C$2:$C4500,MATCH($B1946,'HS Codes'!$A$2:$A4500,0)),"")</f>
        <v>Beach Robe or Cloak 100% recycled 220 GSM/83% polyester/17% polyamide includes cotton on the packing pouch drawstring</v>
      </c>
      <c r="N1946" s="9"/>
      <c r="O1946" s="9"/>
      <c r="P1946" s="9"/>
      <c r="Q1946" s="9"/>
    </row>
    <row r="1947" spans="1:17" ht="15.75" customHeight="1">
      <c r="A1947" s="7" t="s">
        <v>2240</v>
      </c>
      <c r="B1947" s="7" t="s">
        <v>148</v>
      </c>
      <c r="C1947" s="7" t="s">
        <v>278</v>
      </c>
      <c r="D1947" s="7" t="s">
        <v>149</v>
      </c>
      <c r="E1947" s="7" t="s">
        <v>149</v>
      </c>
      <c r="F1947" s="8" t="str">
        <f>_xlfn.IFNA(INDEX('HS Codes'!$D$2:$K4501,MATCH($B1947,'HS Codes'!$A$2:$A4501,0),MATCH(F$1,'HS Codes'!$D$1:$K$1,0)),"")</f>
        <v>6101.90.90.30</v>
      </c>
      <c r="G1947" s="8">
        <f>_xlfn.IFNA(INDEX('HS Codes'!$D$2:$K4501,MATCH($B1947,'HS Codes'!$A$2:$A4501,0),MATCH(G$1,'HS Codes'!$D$1:$K$1,0)),"")</f>
        <v>6101309000</v>
      </c>
      <c r="H1947" s="8">
        <f>_xlfn.IFNA(INDEX('HS Codes'!$D$2:$K4501,MATCH($B1947,'HS Codes'!$A$2:$A4501,0),MATCH(H$1,'HS Codes'!$D$1:$K$1,0)),"")</f>
        <v>6112399000</v>
      </c>
      <c r="I1947" s="8" t="str">
        <f>_xlfn.IFNA(INDEX('HS Codes'!$D$2:$K4501,MATCH($B1947,'HS Codes'!$A$2:$A4501,0),MATCH(I$1,'HS Codes'!$D$1:$K$1,0)),"")</f>
        <v>6211 4390 00</v>
      </c>
      <c r="J1947" s="8">
        <f>_xlfn.IFNA(INDEX('HS Codes'!$D$2:$K4501,MATCH($B1947,'HS Codes'!$A$2:$A4501,0),MATCH(J$1,'HS Codes'!$D$1:$K$1,0)),"")</f>
        <v>6117109000</v>
      </c>
      <c r="K1947" s="8" t="str">
        <f>_xlfn.IFNA(INDEX('HS Codes'!$D$2:$K4501,MATCH($B1947,'HS Codes'!$A$2:$A4501,0),MATCH(K$1,'HS Codes'!$D$1:$K$1,0)),"")</f>
        <v>6112.39.00</v>
      </c>
      <c r="L1947" s="8">
        <f>_xlfn.IFNA(INDEX('HS Codes'!$D$2:$K4501,MATCH($B1947,'HS Codes'!$A$2:$A4501,0),MATCH(L$1,'HS Codes'!$D$1:$K$1,0)),"")</f>
        <v>6202</v>
      </c>
      <c r="M1947" s="8" t="str">
        <f>_xlfn.IFNA(INDEX('HS Codes'!$C$2:$C4501,MATCH($B1947,'HS Codes'!$A$2:$A4501,0)),"")</f>
        <v>Beach Robe or Cloak 100% recycled 220 GSM/83% polyester/17% polyamide includes cotton on the packing pouch drawstring</v>
      </c>
      <c r="N1947" s="9"/>
      <c r="O1947" s="9"/>
      <c r="P1947" s="9"/>
      <c r="Q1947" s="9"/>
    </row>
    <row r="1948" spans="1:17" ht="15.75" customHeight="1">
      <c r="A1948" s="7" t="s">
        <v>2241</v>
      </c>
      <c r="B1948" s="7" t="s">
        <v>148</v>
      </c>
      <c r="C1948" s="7" t="s">
        <v>278</v>
      </c>
      <c r="D1948" s="7" t="s">
        <v>149</v>
      </c>
      <c r="E1948" s="7" t="s">
        <v>149</v>
      </c>
      <c r="F1948" s="8" t="str">
        <f>_xlfn.IFNA(INDEX('HS Codes'!$D$2:$K4502,MATCH($B1948,'HS Codes'!$A$2:$A4502,0),MATCH(F$1,'HS Codes'!$D$1:$K$1,0)),"")</f>
        <v>6101.90.90.30</v>
      </c>
      <c r="G1948" s="8">
        <f>_xlfn.IFNA(INDEX('HS Codes'!$D$2:$K4502,MATCH($B1948,'HS Codes'!$A$2:$A4502,0),MATCH(G$1,'HS Codes'!$D$1:$K$1,0)),"")</f>
        <v>6101309000</v>
      </c>
      <c r="H1948" s="8">
        <f>_xlfn.IFNA(INDEX('HS Codes'!$D$2:$K4502,MATCH($B1948,'HS Codes'!$A$2:$A4502,0),MATCH(H$1,'HS Codes'!$D$1:$K$1,0)),"")</f>
        <v>6112399000</v>
      </c>
      <c r="I1948" s="8" t="str">
        <f>_xlfn.IFNA(INDEX('HS Codes'!$D$2:$K4502,MATCH($B1948,'HS Codes'!$A$2:$A4502,0),MATCH(I$1,'HS Codes'!$D$1:$K$1,0)),"")</f>
        <v>6211 4390 00</v>
      </c>
      <c r="J1948" s="8">
        <f>_xlfn.IFNA(INDEX('HS Codes'!$D$2:$K4502,MATCH($B1948,'HS Codes'!$A$2:$A4502,0),MATCH(J$1,'HS Codes'!$D$1:$K$1,0)),"")</f>
        <v>6117109000</v>
      </c>
      <c r="K1948" s="8" t="str">
        <f>_xlfn.IFNA(INDEX('HS Codes'!$D$2:$K4502,MATCH($B1948,'HS Codes'!$A$2:$A4502,0),MATCH(K$1,'HS Codes'!$D$1:$K$1,0)),"")</f>
        <v>6112.39.00</v>
      </c>
      <c r="L1948" s="8">
        <f>_xlfn.IFNA(INDEX('HS Codes'!$D$2:$K4502,MATCH($B1948,'HS Codes'!$A$2:$A4502,0),MATCH(L$1,'HS Codes'!$D$1:$K$1,0)),"")</f>
        <v>6202</v>
      </c>
      <c r="M1948" s="8" t="str">
        <f>_xlfn.IFNA(INDEX('HS Codes'!$C$2:$C4502,MATCH($B1948,'HS Codes'!$A$2:$A4502,0)),"")</f>
        <v>Beach Robe or Cloak 100% recycled 220 GSM/83% polyester/17% polyamide includes cotton on the packing pouch drawstring</v>
      </c>
      <c r="N1948" s="9"/>
      <c r="O1948" s="9"/>
      <c r="P1948" s="9"/>
      <c r="Q1948" s="9"/>
    </row>
    <row r="1949" spans="1:17" ht="15.75" customHeight="1">
      <c r="A1949" s="7" t="s">
        <v>2242</v>
      </c>
      <c r="B1949" s="7" t="s">
        <v>148</v>
      </c>
      <c r="C1949" s="7" t="s">
        <v>278</v>
      </c>
      <c r="D1949" s="7" t="s">
        <v>149</v>
      </c>
      <c r="E1949" s="7" t="s">
        <v>149</v>
      </c>
      <c r="F1949" s="8" t="str">
        <f>_xlfn.IFNA(INDEX('HS Codes'!$D$2:$K4503,MATCH($B1949,'HS Codes'!$A$2:$A4503,0),MATCH(F$1,'HS Codes'!$D$1:$K$1,0)),"")</f>
        <v>6101.90.90.30</v>
      </c>
      <c r="G1949" s="8">
        <f>_xlfn.IFNA(INDEX('HS Codes'!$D$2:$K4503,MATCH($B1949,'HS Codes'!$A$2:$A4503,0),MATCH(G$1,'HS Codes'!$D$1:$K$1,0)),"")</f>
        <v>6101309000</v>
      </c>
      <c r="H1949" s="8">
        <f>_xlfn.IFNA(INDEX('HS Codes'!$D$2:$K4503,MATCH($B1949,'HS Codes'!$A$2:$A4503,0),MATCH(H$1,'HS Codes'!$D$1:$K$1,0)),"")</f>
        <v>6112399000</v>
      </c>
      <c r="I1949" s="8" t="str">
        <f>_xlfn.IFNA(INDEX('HS Codes'!$D$2:$K4503,MATCH($B1949,'HS Codes'!$A$2:$A4503,0),MATCH(I$1,'HS Codes'!$D$1:$K$1,0)),"")</f>
        <v>6211 4390 00</v>
      </c>
      <c r="J1949" s="8">
        <f>_xlfn.IFNA(INDEX('HS Codes'!$D$2:$K4503,MATCH($B1949,'HS Codes'!$A$2:$A4503,0),MATCH(J$1,'HS Codes'!$D$1:$K$1,0)),"")</f>
        <v>6117109000</v>
      </c>
      <c r="K1949" s="8" t="str">
        <f>_xlfn.IFNA(INDEX('HS Codes'!$D$2:$K4503,MATCH($B1949,'HS Codes'!$A$2:$A4503,0),MATCH(K$1,'HS Codes'!$D$1:$K$1,0)),"")</f>
        <v>6112.39.00</v>
      </c>
      <c r="L1949" s="8">
        <f>_xlfn.IFNA(INDEX('HS Codes'!$D$2:$K4503,MATCH($B1949,'HS Codes'!$A$2:$A4503,0),MATCH(L$1,'HS Codes'!$D$1:$K$1,0)),"")</f>
        <v>6202</v>
      </c>
      <c r="M1949" s="8" t="str">
        <f>_xlfn.IFNA(INDEX('HS Codes'!$C$2:$C4503,MATCH($B1949,'HS Codes'!$A$2:$A4503,0)),"")</f>
        <v>Beach Robe or Cloak 100% recycled 220 GSM/83% polyester/17% polyamide includes cotton on the packing pouch drawstring</v>
      </c>
      <c r="N1949" s="9"/>
      <c r="O1949" s="9"/>
      <c r="P1949" s="9"/>
      <c r="Q1949" s="9"/>
    </row>
    <row r="1950" spans="1:17" ht="15.75" customHeight="1">
      <c r="A1950" s="7" t="s">
        <v>2243</v>
      </c>
      <c r="B1950" s="7" t="s">
        <v>148</v>
      </c>
      <c r="C1950" s="7" t="s">
        <v>278</v>
      </c>
      <c r="D1950" s="7" t="s">
        <v>149</v>
      </c>
      <c r="E1950" s="7" t="s">
        <v>149</v>
      </c>
      <c r="F1950" s="8" t="str">
        <f>_xlfn.IFNA(INDEX('HS Codes'!$D$2:$K4504,MATCH($B1950,'HS Codes'!$A$2:$A4504,0),MATCH(F$1,'HS Codes'!$D$1:$K$1,0)),"")</f>
        <v>6101.90.90.30</v>
      </c>
      <c r="G1950" s="8">
        <f>_xlfn.IFNA(INDEX('HS Codes'!$D$2:$K4504,MATCH($B1950,'HS Codes'!$A$2:$A4504,0),MATCH(G$1,'HS Codes'!$D$1:$K$1,0)),"")</f>
        <v>6101309000</v>
      </c>
      <c r="H1950" s="8">
        <f>_xlfn.IFNA(INDEX('HS Codes'!$D$2:$K4504,MATCH($B1950,'HS Codes'!$A$2:$A4504,0),MATCH(H$1,'HS Codes'!$D$1:$K$1,0)),"")</f>
        <v>6112399000</v>
      </c>
      <c r="I1950" s="8" t="str">
        <f>_xlfn.IFNA(INDEX('HS Codes'!$D$2:$K4504,MATCH($B1950,'HS Codes'!$A$2:$A4504,0),MATCH(I$1,'HS Codes'!$D$1:$K$1,0)),"")</f>
        <v>6211 4390 00</v>
      </c>
      <c r="J1950" s="8">
        <f>_xlfn.IFNA(INDEX('HS Codes'!$D$2:$K4504,MATCH($B1950,'HS Codes'!$A$2:$A4504,0),MATCH(J$1,'HS Codes'!$D$1:$K$1,0)),"")</f>
        <v>6117109000</v>
      </c>
      <c r="K1950" s="8" t="str">
        <f>_xlfn.IFNA(INDEX('HS Codes'!$D$2:$K4504,MATCH($B1950,'HS Codes'!$A$2:$A4504,0),MATCH(K$1,'HS Codes'!$D$1:$K$1,0)),"")</f>
        <v>6112.39.00</v>
      </c>
      <c r="L1950" s="8">
        <f>_xlfn.IFNA(INDEX('HS Codes'!$D$2:$K4504,MATCH($B1950,'HS Codes'!$A$2:$A4504,0),MATCH(L$1,'HS Codes'!$D$1:$K$1,0)),"")</f>
        <v>6202</v>
      </c>
      <c r="M1950" s="8" t="str">
        <f>_xlfn.IFNA(INDEX('HS Codes'!$C$2:$C4504,MATCH($B1950,'HS Codes'!$A$2:$A4504,0)),"")</f>
        <v>Beach Robe or Cloak 100% recycled 220 GSM/83% polyester/17% polyamide includes cotton on the packing pouch drawstring</v>
      </c>
      <c r="N1950" s="9"/>
      <c r="O1950" s="9"/>
      <c r="P1950" s="9"/>
      <c r="Q1950" s="9"/>
    </row>
    <row r="1951" spans="1:17" ht="15.75" customHeight="1">
      <c r="A1951" s="7" t="s">
        <v>2244</v>
      </c>
      <c r="B1951" s="7" t="s">
        <v>240</v>
      </c>
      <c r="C1951" s="7"/>
      <c r="D1951" s="7" t="s">
        <v>241</v>
      </c>
      <c r="E1951" s="7" t="s">
        <v>523</v>
      </c>
      <c r="F1951" s="8" t="str">
        <f>_xlfn.IFNA(INDEX('HS Codes'!$D$2:$K4505,MATCH($B1951,'HS Codes'!$A$2:$A4505,0),MATCH(F$1,'HS Codes'!$D$1:$K$1,0)),"")</f>
        <v>4819.10.0040</v>
      </c>
      <c r="G1951" s="8">
        <f>_xlfn.IFNA(INDEX('HS Codes'!$D$2:$K4505,MATCH($B1951,'HS Codes'!$A$2:$A4505,0),MATCH(G$1,'HS Codes'!$D$1:$K$1,0)),"")</f>
        <v>4819100000</v>
      </c>
      <c r="H1951" s="8">
        <f>_xlfn.IFNA(INDEX('HS Codes'!$D$2:$K4505,MATCH($B1951,'HS Codes'!$A$2:$A4505,0),MATCH(H$1,'HS Codes'!$D$1:$K$1,0)),"")</f>
        <v>4819100000</v>
      </c>
      <c r="I1951" s="8">
        <f>_xlfn.IFNA(INDEX('HS Codes'!$D$2:$K4505,MATCH($B1951,'HS Codes'!$A$2:$A4505,0),MATCH(I$1,'HS Codes'!$D$1:$K$1,0)),"")</f>
        <v>48191000</v>
      </c>
      <c r="J1951" s="8">
        <f>_xlfn.IFNA(INDEX('HS Codes'!$D$2:$K4505,MATCH($B1951,'HS Codes'!$A$2:$A4505,0),MATCH(J$1,'HS Codes'!$D$1:$K$1,0)),"")</f>
        <v>0</v>
      </c>
      <c r="K1951" s="8" t="str">
        <f>_xlfn.IFNA(INDEX('HS Codes'!$D$2:$K4505,MATCH($B1951,'HS Codes'!$A$2:$A4505,0),MATCH(K$1,'HS Codes'!$D$1:$K$1,0)),"")</f>
        <v>4819.10.00</v>
      </c>
      <c r="L1951" s="8">
        <f>_xlfn.IFNA(INDEX('HS Codes'!$D$2:$K4505,MATCH($B1951,'HS Codes'!$A$2:$A4505,0),MATCH(L$1,'HS Codes'!$D$1:$K$1,0)),"")</f>
        <v>0</v>
      </c>
      <c r="M1951" s="8" t="str">
        <f>_xlfn.IFNA(INDEX('HS Codes'!$C$2:$C4505,MATCH($B1951,'HS Codes'!$A$2:$A4505,0)),"")</f>
        <v>Paperboard 100% recycled cardboard</v>
      </c>
      <c r="N1951" s="9"/>
      <c r="O1951" s="9"/>
      <c r="P1951" s="9"/>
      <c r="Q1951" s="9"/>
    </row>
    <row r="1952" spans="1:17" ht="15.75" customHeight="1">
      <c r="A1952" s="7" t="s">
        <v>2245</v>
      </c>
      <c r="B1952" s="7" t="s">
        <v>240</v>
      </c>
      <c r="C1952" s="7"/>
      <c r="D1952" s="7" t="s">
        <v>241</v>
      </c>
      <c r="E1952" s="7" t="s">
        <v>523</v>
      </c>
      <c r="F1952" s="8" t="str">
        <f>_xlfn.IFNA(INDEX('HS Codes'!$D$2:$K4506,MATCH($B1952,'HS Codes'!$A$2:$A4506,0),MATCH(F$1,'HS Codes'!$D$1:$K$1,0)),"")</f>
        <v>4819.10.0040</v>
      </c>
      <c r="G1952" s="8">
        <f>_xlfn.IFNA(INDEX('HS Codes'!$D$2:$K4506,MATCH($B1952,'HS Codes'!$A$2:$A4506,0),MATCH(G$1,'HS Codes'!$D$1:$K$1,0)),"")</f>
        <v>4819100000</v>
      </c>
      <c r="H1952" s="8">
        <f>_xlfn.IFNA(INDEX('HS Codes'!$D$2:$K4506,MATCH($B1952,'HS Codes'!$A$2:$A4506,0),MATCH(H$1,'HS Codes'!$D$1:$K$1,0)),"")</f>
        <v>4819100000</v>
      </c>
      <c r="I1952" s="8">
        <f>_xlfn.IFNA(INDEX('HS Codes'!$D$2:$K4506,MATCH($B1952,'HS Codes'!$A$2:$A4506,0),MATCH(I$1,'HS Codes'!$D$1:$K$1,0)),"")</f>
        <v>48191000</v>
      </c>
      <c r="J1952" s="8">
        <f>_xlfn.IFNA(INDEX('HS Codes'!$D$2:$K4506,MATCH($B1952,'HS Codes'!$A$2:$A4506,0),MATCH(J$1,'HS Codes'!$D$1:$K$1,0)),"")</f>
        <v>0</v>
      </c>
      <c r="K1952" s="8" t="str">
        <f>_xlfn.IFNA(INDEX('HS Codes'!$D$2:$K4506,MATCH($B1952,'HS Codes'!$A$2:$A4506,0),MATCH(K$1,'HS Codes'!$D$1:$K$1,0)),"")</f>
        <v>4819.10.00</v>
      </c>
      <c r="L1952" s="8">
        <f>_xlfn.IFNA(INDEX('HS Codes'!$D$2:$K4506,MATCH($B1952,'HS Codes'!$A$2:$A4506,0),MATCH(L$1,'HS Codes'!$D$1:$K$1,0)),"")</f>
        <v>0</v>
      </c>
      <c r="M1952" s="8" t="str">
        <f>_xlfn.IFNA(INDEX('HS Codes'!$C$2:$C4506,MATCH($B1952,'HS Codes'!$A$2:$A4506,0)),"")</f>
        <v>Paperboard 100% recycled cardboard</v>
      </c>
      <c r="N1952" s="9"/>
      <c r="O1952" s="9"/>
      <c r="P1952" s="9"/>
      <c r="Q1952" s="9"/>
    </row>
    <row r="1953" spans="1:17" ht="15.75" customHeight="1">
      <c r="A1953" s="7" t="s">
        <v>2246</v>
      </c>
      <c r="B1953" s="7" t="s">
        <v>240</v>
      </c>
      <c r="C1953" s="7"/>
      <c r="D1953" s="7" t="s">
        <v>241</v>
      </c>
      <c r="E1953" s="7" t="s">
        <v>523</v>
      </c>
      <c r="F1953" s="8" t="str">
        <f>_xlfn.IFNA(INDEX('HS Codes'!$D$2:$K4507,MATCH($B1953,'HS Codes'!$A$2:$A4507,0),MATCH(F$1,'HS Codes'!$D$1:$K$1,0)),"")</f>
        <v>4819.10.0040</v>
      </c>
      <c r="G1953" s="8">
        <f>_xlfn.IFNA(INDEX('HS Codes'!$D$2:$K4507,MATCH($B1953,'HS Codes'!$A$2:$A4507,0),MATCH(G$1,'HS Codes'!$D$1:$K$1,0)),"")</f>
        <v>4819100000</v>
      </c>
      <c r="H1953" s="8">
        <f>_xlfn.IFNA(INDEX('HS Codes'!$D$2:$K4507,MATCH($B1953,'HS Codes'!$A$2:$A4507,0),MATCH(H$1,'HS Codes'!$D$1:$K$1,0)),"")</f>
        <v>4819100000</v>
      </c>
      <c r="I1953" s="8">
        <f>_xlfn.IFNA(INDEX('HS Codes'!$D$2:$K4507,MATCH($B1953,'HS Codes'!$A$2:$A4507,0),MATCH(I$1,'HS Codes'!$D$1:$K$1,0)),"")</f>
        <v>48191000</v>
      </c>
      <c r="J1953" s="8">
        <f>_xlfn.IFNA(INDEX('HS Codes'!$D$2:$K4507,MATCH($B1953,'HS Codes'!$A$2:$A4507,0),MATCH(J$1,'HS Codes'!$D$1:$K$1,0)),"")</f>
        <v>0</v>
      </c>
      <c r="K1953" s="8" t="str">
        <f>_xlfn.IFNA(INDEX('HS Codes'!$D$2:$K4507,MATCH($B1953,'HS Codes'!$A$2:$A4507,0),MATCH(K$1,'HS Codes'!$D$1:$K$1,0)),"")</f>
        <v>4819.10.00</v>
      </c>
      <c r="L1953" s="8">
        <f>_xlfn.IFNA(INDEX('HS Codes'!$D$2:$K4507,MATCH($B1953,'HS Codes'!$A$2:$A4507,0),MATCH(L$1,'HS Codes'!$D$1:$K$1,0)),"")</f>
        <v>0</v>
      </c>
      <c r="M1953" s="8" t="str">
        <f>_xlfn.IFNA(INDEX('HS Codes'!$C$2:$C4507,MATCH($B1953,'HS Codes'!$A$2:$A4507,0)),"")</f>
        <v>Paperboard 100% recycled cardboard</v>
      </c>
      <c r="N1953" s="9"/>
      <c r="O1953" s="9"/>
      <c r="P1953" s="9"/>
      <c r="Q1953" s="9"/>
    </row>
    <row r="1954" spans="1:17" ht="15.75" customHeight="1">
      <c r="A1954" s="7" t="s">
        <v>2247</v>
      </c>
      <c r="B1954" s="7" t="s">
        <v>240</v>
      </c>
      <c r="C1954" s="7"/>
      <c r="D1954" s="7" t="s">
        <v>241</v>
      </c>
      <c r="E1954" s="7" t="s">
        <v>523</v>
      </c>
      <c r="F1954" s="8" t="str">
        <f>_xlfn.IFNA(INDEX('HS Codes'!$D$2:$K4508,MATCH($B1954,'HS Codes'!$A$2:$A4508,0),MATCH(F$1,'HS Codes'!$D$1:$K$1,0)),"")</f>
        <v>4819.10.0040</v>
      </c>
      <c r="G1954" s="8">
        <f>_xlfn.IFNA(INDEX('HS Codes'!$D$2:$K4508,MATCH($B1954,'HS Codes'!$A$2:$A4508,0),MATCH(G$1,'HS Codes'!$D$1:$K$1,0)),"")</f>
        <v>4819100000</v>
      </c>
      <c r="H1954" s="8">
        <f>_xlfn.IFNA(INDEX('HS Codes'!$D$2:$K4508,MATCH($B1954,'HS Codes'!$A$2:$A4508,0),MATCH(H$1,'HS Codes'!$D$1:$K$1,0)),"")</f>
        <v>4819100000</v>
      </c>
      <c r="I1954" s="8">
        <f>_xlfn.IFNA(INDEX('HS Codes'!$D$2:$K4508,MATCH($B1954,'HS Codes'!$A$2:$A4508,0),MATCH(I$1,'HS Codes'!$D$1:$K$1,0)),"")</f>
        <v>48191000</v>
      </c>
      <c r="J1954" s="8">
        <f>_xlfn.IFNA(INDEX('HS Codes'!$D$2:$K4508,MATCH($B1954,'HS Codes'!$A$2:$A4508,0),MATCH(J$1,'HS Codes'!$D$1:$K$1,0)),"")</f>
        <v>0</v>
      </c>
      <c r="K1954" s="8" t="str">
        <f>_xlfn.IFNA(INDEX('HS Codes'!$D$2:$K4508,MATCH($B1954,'HS Codes'!$A$2:$A4508,0),MATCH(K$1,'HS Codes'!$D$1:$K$1,0)),"")</f>
        <v>4819.10.00</v>
      </c>
      <c r="L1954" s="8">
        <f>_xlfn.IFNA(INDEX('HS Codes'!$D$2:$K4508,MATCH($B1954,'HS Codes'!$A$2:$A4508,0),MATCH(L$1,'HS Codes'!$D$1:$K$1,0)),"")</f>
        <v>0</v>
      </c>
      <c r="M1954" s="8" t="str">
        <f>_xlfn.IFNA(INDEX('HS Codes'!$C$2:$C4508,MATCH($B1954,'HS Codes'!$A$2:$A4508,0)),"")</f>
        <v>Paperboard 100% recycled cardboard</v>
      </c>
      <c r="N1954" s="9"/>
      <c r="O1954" s="9"/>
      <c r="P1954" s="9"/>
      <c r="Q1954" s="9"/>
    </row>
    <row r="1955" spans="1:17" ht="15.75" customHeight="1">
      <c r="A1955" s="7" t="s">
        <v>2248</v>
      </c>
      <c r="B1955" s="7" t="s">
        <v>240</v>
      </c>
      <c r="C1955" s="7"/>
      <c r="D1955" s="7" t="s">
        <v>241</v>
      </c>
      <c r="E1955" s="7" t="s">
        <v>523</v>
      </c>
      <c r="F1955" s="8" t="str">
        <f>_xlfn.IFNA(INDEX('HS Codes'!$D$2:$K4509,MATCH($B1955,'HS Codes'!$A$2:$A4509,0),MATCH(F$1,'HS Codes'!$D$1:$K$1,0)),"")</f>
        <v>4819.10.0040</v>
      </c>
      <c r="G1955" s="8">
        <f>_xlfn.IFNA(INDEX('HS Codes'!$D$2:$K4509,MATCH($B1955,'HS Codes'!$A$2:$A4509,0),MATCH(G$1,'HS Codes'!$D$1:$K$1,0)),"")</f>
        <v>4819100000</v>
      </c>
      <c r="H1955" s="8">
        <f>_xlfn.IFNA(INDEX('HS Codes'!$D$2:$K4509,MATCH($B1955,'HS Codes'!$A$2:$A4509,0),MATCH(H$1,'HS Codes'!$D$1:$K$1,0)),"")</f>
        <v>4819100000</v>
      </c>
      <c r="I1955" s="8">
        <f>_xlfn.IFNA(INDEX('HS Codes'!$D$2:$K4509,MATCH($B1955,'HS Codes'!$A$2:$A4509,0),MATCH(I$1,'HS Codes'!$D$1:$K$1,0)),"")</f>
        <v>48191000</v>
      </c>
      <c r="J1955" s="8">
        <f>_xlfn.IFNA(INDEX('HS Codes'!$D$2:$K4509,MATCH($B1955,'HS Codes'!$A$2:$A4509,0),MATCH(J$1,'HS Codes'!$D$1:$K$1,0)),"")</f>
        <v>0</v>
      </c>
      <c r="K1955" s="8" t="str">
        <f>_xlfn.IFNA(INDEX('HS Codes'!$D$2:$K4509,MATCH($B1955,'HS Codes'!$A$2:$A4509,0),MATCH(K$1,'HS Codes'!$D$1:$K$1,0)),"")</f>
        <v>4819.10.00</v>
      </c>
      <c r="L1955" s="8">
        <f>_xlfn.IFNA(INDEX('HS Codes'!$D$2:$K4509,MATCH($B1955,'HS Codes'!$A$2:$A4509,0),MATCH(L$1,'HS Codes'!$D$1:$K$1,0)),"")</f>
        <v>0</v>
      </c>
      <c r="M1955" s="8" t="str">
        <f>_xlfn.IFNA(INDEX('HS Codes'!$C$2:$C4509,MATCH($B1955,'HS Codes'!$A$2:$A4509,0)),"")</f>
        <v>Paperboard 100% recycled cardboard</v>
      </c>
      <c r="N1955" s="9"/>
      <c r="O1955" s="9"/>
      <c r="P1955" s="9"/>
      <c r="Q1955" s="9"/>
    </row>
    <row r="1956" spans="1:17" ht="15.75" customHeight="1">
      <c r="A1956" s="7" t="s">
        <v>2249</v>
      </c>
      <c r="B1956" s="7" t="s">
        <v>240</v>
      </c>
      <c r="C1956" s="7"/>
      <c r="D1956" s="7" t="s">
        <v>241</v>
      </c>
      <c r="E1956" s="7" t="s">
        <v>523</v>
      </c>
      <c r="F1956" s="8" t="str">
        <f>_xlfn.IFNA(INDEX('HS Codes'!$D$2:$K4510,MATCH($B1956,'HS Codes'!$A$2:$A4510,0),MATCH(F$1,'HS Codes'!$D$1:$K$1,0)),"")</f>
        <v>4819.10.0040</v>
      </c>
      <c r="G1956" s="8">
        <f>_xlfn.IFNA(INDEX('HS Codes'!$D$2:$K4510,MATCH($B1956,'HS Codes'!$A$2:$A4510,0),MATCH(G$1,'HS Codes'!$D$1:$K$1,0)),"")</f>
        <v>4819100000</v>
      </c>
      <c r="H1956" s="8">
        <f>_xlfn.IFNA(INDEX('HS Codes'!$D$2:$K4510,MATCH($B1956,'HS Codes'!$A$2:$A4510,0),MATCH(H$1,'HS Codes'!$D$1:$K$1,0)),"")</f>
        <v>4819100000</v>
      </c>
      <c r="I1956" s="8">
        <f>_xlfn.IFNA(INDEX('HS Codes'!$D$2:$K4510,MATCH($B1956,'HS Codes'!$A$2:$A4510,0),MATCH(I$1,'HS Codes'!$D$1:$K$1,0)),"")</f>
        <v>48191000</v>
      </c>
      <c r="J1956" s="8">
        <f>_xlfn.IFNA(INDEX('HS Codes'!$D$2:$K4510,MATCH($B1956,'HS Codes'!$A$2:$A4510,0),MATCH(J$1,'HS Codes'!$D$1:$K$1,0)),"")</f>
        <v>0</v>
      </c>
      <c r="K1956" s="8" t="str">
        <f>_xlfn.IFNA(INDEX('HS Codes'!$D$2:$K4510,MATCH($B1956,'HS Codes'!$A$2:$A4510,0),MATCH(K$1,'HS Codes'!$D$1:$K$1,0)),"")</f>
        <v>4819.10.00</v>
      </c>
      <c r="L1956" s="8">
        <f>_xlfn.IFNA(INDEX('HS Codes'!$D$2:$K4510,MATCH($B1956,'HS Codes'!$A$2:$A4510,0),MATCH(L$1,'HS Codes'!$D$1:$K$1,0)),"")</f>
        <v>0</v>
      </c>
      <c r="M1956" s="8" t="str">
        <f>_xlfn.IFNA(INDEX('HS Codes'!$C$2:$C4510,MATCH($B1956,'HS Codes'!$A$2:$A4510,0)),"")</f>
        <v>Paperboard 100% recycled cardboard</v>
      </c>
      <c r="N1956" s="9"/>
      <c r="O1956" s="9"/>
      <c r="P1956" s="9"/>
      <c r="Q1956" s="9"/>
    </row>
    <row r="1957" spans="1:17" ht="15.75" customHeight="1">
      <c r="A1957" s="7" t="s">
        <v>2250</v>
      </c>
      <c r="B1957" s="7" t="s">
        <v>240</v>
      </c>
      <c r="C1957" s="7"/>
      <c r="D1957" s="7" t="s">
        <v>241</v>
      </c>
      <c r="E1957" s="7" t="s">
        <v>523</v>
      </c>
      <c r="F1957" s="8" t="str">
        <f>_xlfn.IFNA(INDEX('HS Codes'!$D$2:$K4511,MATCH($B1957,'HS Codes'!$A$2:$A4511,0),MATCH(F$1,'HS Codes'!$D$1:$K$1,0)),"")</f>
        <v>4819.10.0040</v>
      </c>
      <c r="G1957" s="8">
        <f>_xlfn.IFNA(INDEX('HS Codes'!$D$2:$K4511,MATCH($B1957,'HS Codes'!$A$2:$A4511,0),MATCH(G$1,'HS Codes'!$D$1:$K$1,0)),"")</f>
        <v>4819100000</v>
      </c>
      <c r="H1957" s="8">
        <f>_xlfn.IFNA(INDEX('HS Codes'!$D$2:$K4511,MATCH($B1957,'HS Codes'!$A$2:$A4511,0),MATCH(H$1,'HS Codes'!$D$1:$K$1,0)),"")</f>
        <v>4819100000</v>
      </c>
      <c r="I1957" s="8">
        <f>_xlfn.IFNA(INDEX('HS Codes'!$D$2:$K4511,MATCH($B1957,'HS Codes'!$A$2:$A4511,0),MATCH(I$1,'HS Codes'!$D$1:$K$1,0)),"")</f>
        <v>48191000</v>
      </c>
      <c r="J1957" s="8">
        <f>_xlfn.IFNA(INDEX('HS Codes'!$D$2:$K4511,MATCH($B1957,'HS Codes'!$A$2:$A4511,0),MATCH(J$1,'HS Codes'!$D$1:$K$1,0)),"")</f>
        <v>0</v>
      </c>
      <c r="K1957" s="8" t="str">
        <f>_xlfn.IFNA(INDEX('HS Codes'!$D$2:$K4511,MATCH($B1957,'HS Codes'!$A$2:$A4511,0),MATCH(K$1,'HS Codes'!$D$1:$K$1,0)),"")</f>
        <v>4819.10.00</v>
      </c>
      <c r="L1957" s="8">
        <f>_xlfn.IFNA(INDEX('HS Codes'!$D$2:$K4511,MATCH($B1957,'HS Codes'!$A$2:$A4511,0),MATCH(L$1,'HS Codes'!$D$1:$K$1,0)),"")</f>
        <v>0</v>
      </c>
      <c r="M1957" s="8" t="str">
        <f>_xlfn.IFNA(INDEX('HS Codes'!$C$2:$C4511,MATCH($B1957,'HS Codes'!$A$2:$A4511,0)),"")</f>
        <v>Paperboard 100% recycled cardboard</v>
      </c>
      <c r="N1957" s="9"/>
      <c r="O1957" s="9"/>
      <c r="P1957" s="9"/>
      <c r="Q1957" s="9"/>
    </row>
    <row r="1958" spans="1:17" ht="15.75" customHeight="1">
      <c r="A1958" s="7" t="s">
        <v>2251</v>
      </c>
      <c r="B1958" s="7" t="s">
        <v>240</v>
      </c>
      <c r="C1958" s="7"/>
      <c r="D1958" s="7" t="s">
        <v>241</v>
      </c>
      <c r="E1958" s="7" t="s">
        <v>523</v>
      </c>
      <c r="F1958" s="8" t="str">
        <f>_xlfn.IFNA(INDEX('HS Codes'!$D$2:$K4512,MATCH($B1958,'HS Codes'!$A$2:$A4512,0),MATCH(F$1,'HS Codes'!$D$1:$K$1,0)),"")</f>
        <v>4819.10.0040</v>
      </c>
      <c r="G1958" s="8">
        <f>_xlfn.IFNA(INDEX('HS Codes'!$D$2:$K4512,MATCH($B1958,'HS Codes'!$A$2:$A4512,0),MATCH(G$1,'HS Codes'!$D$1:$K$1,0)),"")</f>
        <v>4819100000</v>
      </c>
      <c r="H1958" s="8">
        <f>_xlfn.IFNA(INDEX('HS Codes'!$D$2:$K4512,MATCH($B1958,'HS Codes'!$A$2:$A4512,0),MATCH(H$1,'HS Codes'!$D$1:$K$1,0)),"")</f>
        <v>4819100000</v>
      </c>
      <c r="I1958" s="8">
        <f>_xlfn.IFNA(INDEX('HS Codes'!$D$2:$K4512,MATCH($B1958,'HS Codes'!$A$2:$A4512,0),MATCH(I$1,'HS Codes'!$D$1:$K$1,0)),"")</f>
        <v>48191000</v>
      </c>
      <c r="J1958" s="8">
        <f>_xlfn.IFNA(INDEX('HS Codes'!$D$2:$K4512,MATCH($B1958,'HS Codes'!$A$2:$A4512,0),MATCH(J$1,'HS Codes'!$D$1:$K$1,0)),"")</f>
        <v>0</v>
      </c>
      <c r="K1958" s="8" t="str">
        <f>_xlfn.IFNA(INDEX('HS Codes'!$D$2:$K4512,MATCH($B1958,'HS Codes'!$A$2:$A4512,0),MATCH(K$1,'HS Codes'!$D$1:$K$1,0)),"")</f>
        <v>4819.10.00</v>
      </c>
      <c r="L1958" s="8">
        <f>_xlfn.IFNA(INDEX('HS Codes'!$D$2:$K4512,MATCH($B1958,'HS Codes'!$A$2:$A4512,0),MATCH(L$1,'HS Codes'!$D$1:$K$1,0)),"")</f>
        <v>0</v>
      </c>
      <c r="M1958" s="8" t="str">
        <f>_xlfn.IFNA(INDEX('HS Codes'!$C$2:$C4512,MATCH($B1958,'HS Codes'!$A$2:$A4512,0)),"")</f>
        <v>Paperboard 100% recycled cardboard</v>
      </c>
      <c r="N1958" s="9"/>
      <c r="O1958" s="9"/>
      <c r="P1958" s="9"/>
      <c r="Q1958" s="9"/>
    </row>
    <row r="1959" spans="1:17" ht="15.75" customHeight="1">
      <c r="A1959" s="7" t="s">
        <v>2252</v>
      </c>
      <c r="B1959" s="7" t="s">
        <v>240</v>
      </c>
      <c r="C1959" s="7"/>
      <c r="D1959" s="7" t="s">
        <v>241</v>
      </c>
      <c r="E1959" s="7" t="s">
        <v>523</v>
      </c>
      <c r="F1959" s="8" t="str">
        <f>_xlfn.IFNA(INDEX('HS Codes'!$D$2:$K4513,MATCH($B1959,'HS Codes'!$A$2:$A4513,0),MATCH(F$1,'HS Codes'!$D$1:$K$1,0)),"")</f>
        <v>4819.10.0040</v>
      </c>
      <c r="G1959" s="8">
        <f>_xlfn.IFNA(INDEX('HS Codes'!$D$2:$K4513,MATCH($B1959,'HS Codes'!$A$2:$A4513,0),MATCH(G$1,'HS Codes'!$D$1:$K$1,0)),"")</f>
        <v>4819100000</v>
      </c>
      <c r="H1959" s="8">
        <f>_xlfn.IFNA(INDEX('HS Codes'!$D$2:$K4513,MATCH($B1959,'HS Codes'!$A$2:$A4513,0),MATCH(H$1,'HS Codes'!$D$1:$K$1,0)),"")</f>
        <v>4819100000</v>
      </c>
      <c r="I1959" s="8">
        <f>_xlfn.IFNA(INDEX('HS Codes'!$D$2:$K4513,MATCH($B1959,'HS Codes'!$A$2:$A4513,0),MATCH(I$1,'HS Codes'!$D$1:$K$1,0)),"")</f>
        <v>48191000</v>
      </c>
      <c r="J1959" s="8">
        <f>_xlfn.IFNA(INDEX('HS Codes'!$D$2:$K4513,MATCH($B1959,'HS Codes'!$A$2:$A4513,0),MATCH(J$1,'HS Codes'!$D$1:$K$1,0)),"")</f>
        <v>0</v>
      </c>
      <c r="K1959" s="8" t="str">
        <f>_xlfn.IFNA(INDEX('HS Codes'!$D$2:$K4513,MATCH($B1959,'HS Codes'!$A$2:$A4513,0),MATCH(K$1,'HS Codes'!$D$1:$K$1,0)),"")</f>
        <v>4819.10.00</v>
      </c>
      <c r="L1959" s="8">
        <f>_xlfn.IFNA(INDEX('HS Codes'!$D$2:$K4513,MATCH($B1959,'HS Codes'!$A$2:$A4513,0),MATCH(L$1,'HS Codes'!$D$1:$K$1,0)),"")</f>
        <v>0</v>
      </c>
      <c r="M1959" s="8" t="str">
        <f>_xlfn.IFNA(INDEX('HS Codes'!$C$2:$C4513,MATCH($B1959,'HS Codes'!$A$2:$A4513,0)),"")</f>
        <v>Paperboard 100% recycled cardboard</v>
      </c>
      <c r="N1959" s="9"/>
      <c r="O1959" s="9"/>
      <c r="P1959" s="9"/>
      <c r="Q1959" s="9"/>
    </row>
    <row r="1960" spans="1:17" ht="15.75" customHeight="1">
      <c r="A1960" s="7" t="s">
        <v>2253</v>
      </c>
      <c r="B1960" s="7" t="s">
        <v>240</v>
      </c>
      <c r="C1960" s="7"/>
      <c r="D1960" s="7" t="s">
        <v>241</v>
      </c>
      <c r="E1960" s="7" t="s">
        <v>523</v>
      </c>
      <c r="F1960" s="8" t="str">
        <f>_xlfn.IFNA(INDEX('HS Codes'!$D$2:$K4514,MATCH($B1960,'HS Codes'!$A$2:$A4514,0),MATCH(F$1,'HS Codes'!$D$1:$K$1,0)),"")</f>
        <v>4819.10.0040</v>
      </c>
      <c r="G1960" s="8">
        <f>_xlfn.IFNA(INDEX('HS Codes'!$D$2:$K4514,MATCH($B1960,'HS Codes'!$A$2:$A4514,0),MATCH(G$1,'HS Codes'!$D$1:$K$1,0)),"")</f>
        <v>4819100000</v>
      </c>
      <c r="H1960" s="8">
        <f>_xlfn.IFNA(INDEX('HS Codes'!$D$2:$K4514,MATCH($B1960,'HS Codes'!$A$2:$A4514,0),MATCH(H$1,'HS Codes'!$D$1:$K$1,0)),"")</f>
        <v>4819100000</v>
      </c>
      <c r="I1960" s="8">
        <f>_xlfn.IFNA(INDEX('HS Codes'!$D$2:$K4514,MATCH($B1960,'HS Codes'!$A$2:$A4514,0),MATCH(I$1,'HS Codes'!$D$1:$K$1,0)),"")</f>
        <v>48191000</v>
      </c>
      <c r="J1960" s="8">
        <f>_xlfn.IFNA(INDEX('HS Codes'!$D$2:$K4514,MATCH($B1960,'HS Codes'!$A$2:$A4514,0),MATCH(J$1,'HS Codes'!$D$1:$K$1,0)),"")</f>
        <v>0</v>
      </c>
      <c r="K1960" s="8" t="str">
        <f>_xlfn.IFNA(INDEX('HS Codes'!$D$2:$K4514,MATCH($B1960,'HS Codes'!$A$2:$A4514,0),MATCH(K$1,'HS Codes'!$D$1:$K$1,0)),"")</f>
        <v>4819.10.00</v>
      </c>
      <c r="L1960" s="8">
        <f>_xlfn.IFNA(INDEX('HS Codes'!$D$2:$K4514,MATCH($B1960,'HS Codes'!$A$2:$A4514,0),MATCH(L$1,'HS Codes'!$D$1:$K$1,0)),"")</f>
        <v>0</v>
      </c>
      <c r="M1960" s="8" t="str">
        <f>_xlfn.IFNA(INDEX('HS Codes'!$C$2:$C4514,MATCH($B1960,'HS Codes'!$A$2:$A4514,0)),"")</f>
        <v>Paperboard 100% recycled cardboard</v>
      </c>
      <c r="N1960" s="9"/>
      <c r="O1960" s="9"/>
      <c r="P1960" s="9"/>
      <c r="Q1960" s="9"/>
    </row>
    <row r="1961" spans="1:17" ht="15.75" customHeight="1">
      <c r="A1961" s="7" t="s">
        <v>2254</v>
      </c>
      <c r="B1961" s="7" t="s">
        <v>240</v>
      </c>
      <c r="C1961" s="7"/>
      <c r="D1961" s="7" t="s">
        <v>241</v>
      </c>
      <c r="E1961" s="7" t="s">
        <v>523</v>
      </c>
      <c r="F1961" s="8" t="str">
        <f>_xlfn.IFNA(INDEX('HS Codes'!$D$2:$K4515,MATCH($B1961,'HS Codes'!$A$2:$A4515,0),MATCH(F$1,'HS Codes'!$D$1:$K$1,0)),"")</f>
        <v>4819.10.0040</v>
      </c>
      <c r="G1961" s="8">
        <f>_xlfn.IFNA(INDEX('HS Codes'!$D$2:$K4515,MATCH($B1961,'HS Codes'!$A$2:$A4515,0),MATCH(G$1,'HS Codes'!$D$1:$K$1,0)),"")</f>
        <v>4819100000</v>
      </c>
      <c r="H1961" s="8">
        <f>_xlfn.IFNA(INDEX('HS Codes'!$D$2:$K4515,MATCH($B1961,'HS Codes'!$A$2:$A4515,0),MATCH(H$1,'HS Codes'!$D$1:$K$1,0)),"")</f>
        <v>4819100000</v>
      </c>
      <c r="I1961" s="8">
        <f>_xlfn.IFNA(INDEX('HS Codes'!$D$2:$K4515,MATCH($B1961,'HS Codes'!$A$2:$A4515,0),MATCH(I$1,'HS Codes'!$D$1:$K$1,0)),"")</f>
        <v>48191000</v>
      </c>
      <c r="J1961" s="8">
        <f>_xlfn.IFNA(INDEX('HS Codes'!$D$2:$K4515,MATCH($B1961,'HS Codes'!$A$2:$A4515,0),MATCH(J$1,'HS Codes'!$D$1:$K$1,0)),"")</f>
        <v>0</v>
      </c>
      <c r="K1961" s="8" t="str">
        <f>_xlfn.IFNA(INDEX('HS Codes'!$D$2:$K4515,MATCH($B1961,'HS Codes'!$A$2:$A4515,0),MATCH(K$1,'HS Codes'!$D$1:$K$1,0)),"")</f>
        <v>4819.10.00</v>
      </c>
      <c r="L1961" s="8">
        <f>_xlfn.IFNA(INDEX('HS Codes'!$D$2:$K4515,MATCH($B1961,'HS Codes'!$A$2:$A4515,0),MATCH(L$1,'HS Codes'!$D$1:$K$1,0)),"")</f>
        <v>0</v>
      </c>
      <c r="M1961" s="8" t="str">
        <f>_xlfn.IFNA(INDEX('HS Codes'!$C$2:$C4515,MATCH($B1961,'HS Codes'!$A$2:$A4515,0)),"")</f>
        <v>Paperboard 100% recycled cardboard</v>
      </c>
      <c r="N1961" s="9"/>
      <c r="O1961" s="9"/>
      <c r="P1961" s="9"/>
      <c r="Q1961" s="9"/>
    </row>
    <row r="1962" spans="1:17" ht="15.75" customHeight="1">
      <c r="A1962" s="7" t="s">
        <v>2255</v>
      </c>
      <c r="B1962" s="7" t="s">
        <v>240</v>
      </c>
      <c r="C1962" s="7"/>
      <c r="D1962" s="7" t="s">
        <v>241</v>
      </c>
      <c r="E1962" s="7" t="s">
        <v>523</v>
      </c>
      <c r="F1962" s="8" t="str">
        <f>_xlfn.IFNA(INDEX('HS Codes'!$D$2:$K4516,MATCH($B1962,'HS Codes'!$A$2:$A4516,0),MATCH(F$1,'HS Codes'!$D$1:$K$1,0)),"")</f>
        <v>4819.10.0040</v>
      </c>
      <c r="G1962" s="8">
        <f>_xlfn.IFNA(INDEX('HS Codes'!$D$2:$K4516,MATCH($B1962,'HS Codes'!$A$2:$A4516,0),MATCH(G$1,'HS Codes'!$D$1:$K$1,0)),"")</f>
        <v>4819100000</v>
      </c>
      <c r="H1962" s="8">
        <f>_xlfn.IFNA(INDEX('HS Codes'!$D$2:$K4516,MATCH($B1962,'HS Codes'!$A$2:$A4516,0),MATCH(H$1,'HS Codes'!$D$1:$K$1,0)),"")</f>
        <v>4819100000</v>
      </c>
      <c r="I1962" s="8">
        <f>_xlfn.IFNA(INDEX('HS Codes'!$D$2:$K4516,MATCH($B1962,'HS Codes'!$A$2:$A4516,0),MATCH(I$1,'HS Codes'!$D$1:$K$1,0)),"")</f>
        <v>48191000</v>
      </c>
      <c r="J1962" s="8">
        <f>_xlfn.IFNA(INDEX('HS Codes'!$D$2:$K4516,MATCH($B1962,'HS Codes'!$A$2:$A4516,0),MATCH(J$1,'HS Codes'!$D$1:$K$1,0)),"")</f>
        <v>0</v>
      </c>
      <c r="K1962" s="8" t="str">
        <f>_xlfn.IFNA(INDEX('HS Codes'!$D$2:$K4516,MATCH($B1962,'HS Codes'!$A$2:$A4516,0),MATCH(K$1,'HS Codes'!$D$1:$K$1,0)),"")</f>
        <v>4819.10.00</v>
      </c>
      <c r="L1962" s="8">
        <f>_xlfn.IFNA(INDEX('HS Codes'!$D$2:$K4516,MATCH($B1962,'HS Codes'!$A$2:$A4516,0),MATCH(L$1,'HS Codes'!$D$1:$K$1,0)),"")</f>
        <v>0</v>
      </c>
      <c r="M1962" s="8" t="str">
        <f>_xlfn.IFNA(INDEX('HS Codes'!$C$2:$C4516,MATCH($B1962,'HS Codes'!$A$2:$A4516,0)),"")</f>
        <v>Paperboard 100% recycled cardboard</v>
      </c>
      <c r="N1962" s="9"/>
      <c r="O1962" s="9"/>
      <c r="P1962" s="9"/>
      <c r="Q1962" s="9"/>
    </row>
    <row r="1963" spans="1:17" ht="15.75" customHeight="1">
      <c r="A1963" s="7" t="s">
        <v>2256</v>
      </c>
      <c r="B1963" s="7" t="s">
        <v>240</v>
      </c>
      <c r="C1963" s="7"/>
      <c r="D1963" s="7" t="s">
        <v>241</v>
      </c>
      <c r="E1963" s="7" t="s">
        <v>523</v>
      </c>
      <c r="F1963" s="8" t="str">
        <f>_xlfn.IFNA(INDEX('HS Codes'!$D$2:$K4517,MATCH($B1963,'HS Codes'!$A$2:$A4517,0),MATCH(F$1,'HS Codes'!$D$1:$K$1,0)),"")</f>
        <v>4819.10.0040</v>
      </c>
      <c r="G1963" s="8">
        <f>_xlfn.IFNA(INDEX('HS Codes'!$D$2:$K4517,MATCH($B1963,'HS Codes'!$A$2:$A4517,0),MATCH(G$1,'HS Codes'!$D$1:$K$1,0)),"")</f>
        <v>4819100000</v>
      </c>
      <c r="H1963" s="8">
        <f>_xlfn.IFNA(INDEX('HS Codes'!$D$2:$K4517,MATCH($B1963,'HS Codes'!$A$2:$A4517,0),MATCH(H$1,'HS Codes'!$D$1:$K$1,0)),"")</f>
        <v>4819100000</v>
      </c>
      <c r="I1963" s="8">
        <f>_xlfn.IFNA(INDEX('HS Codes'!$D$2:$K4517,MATCH($B1963,'HS Codes'!$A$2:$A4517,0),MATCH(I$1,'HS Codes'!$D$1:$K$1,0)),"")</f>
        <v>48191000</v>
      </c>
      <c r="J1963" s="8">
        <f>_xlfn.IFNA(INDEX('HS Codes'!$D$2:$K4517,MATCH($B1963,'HS Codes'!$A$2:$A4517,0),MATCH(J$1,'HS Codes'!$D$1:$K$1,0)),"")</f>
        <v>0</v>
      </c>
      <c r="K1963" s="8" t="str">
        <f>_xlfn.IFNA(INDEX('HS Codes'!$D$2:$K4517,MATCH($B1963,'HS Codes'!$A$2:$A4517,0),MATCH(K$1,'HS Codes'!$D$1:$K$1,0)),"")</f>
        <v>4819.10.00</v>
      </c>
      <c r="L1963" s="8">
        <f>_xlfn.IFNA(INDEX('HS Codes'!$D$2:$K4517,MATCH($B1963,'HS Codes'!$A$2:$A4517,0),MATCH(L$1,'HS Codes'!$D$1:$K$1,0)),"")</f>
        <v>0</v>
      </c>
      <c r="M1963" s="8" t="str">
        <f>_xlfn.IFNA(INDEX('HS Codes'!$C$2:$C4517,MATCH($B1963,'HS Codes'!$A$2:$A4517,0)),"")</f>
        <v>Paperboard 100% recycled cardboard</v>
      </c>
      <c r="N1963" s="9"/>
      <c r="O1963" s="9"/>
      <c r="P1963" s="9"/>
      <c r="Q1963" s="9"/>
    </row>
    <row r="1964" spans="1:17" ht="15.75" customHeight="1">
      <c r="A1964" s="7" t="s">
        <v>2257</v>
      </c>
      <c r="B1964" s="7" t="s">
        <v>240</v>
      </c>
      <c r="C1964" s="7"/>
      <c r="D1964" s="7" t="s">
        <v>241</v>
      </c>
      <c r="E1964" s="7" t="s">
        <v>523</v>
      </c>
      <c r="F1964" s="8" t="str">
        <f>_xlfn.IFNA(INDEX('HS Codes'!$D$2:$K4518,MATCH($B1964,'HS Codes'!$A$2:$A4518,0),MATCH(F$1,'HS Codes'!$D$1:$K$1,0)),"")</f>
        <v>4819.10.0040</v>
      </c>
      <c r="G1964" s="8">
        <f>_xlfn.IFNA(INDEX('HS Codes'!$D$2:$K4518,MATCH($B1964,'HS Codes'!$A$2:$A4518,0),MATCH(G$1,'HS Codes'!$D$1:$K$1,0)),"")</f>
        <v>4819100000</v>
      </c>
      <c r="H1964" s="8">
        <f>_xlfn.IFNA(INDEX('HS Codes'!$D$2:$K4518,MATCH($B1964,'HS Codes'!$A$2:$A4518,0),MATCH(H$1,'HS Codes'!$D$1:$K$1,0)),"")</f>
        <v>4819100000</v>
      </c>
      <c r="I1964" s="8">
        <f>_xlfn.IFNA(INDEX('HS Codes'!$D$2:$K4518,MATCH($B1964,'HS Codes'!$A$2:$A4518,0),MATCH(I$1,'HS Codes'!$D$1:$K$1,0)),"")</f>
        <v>48191000</v>
      </c>
      <c r="J1964" s="8">
        <f>_xlfn.IFNA(INDEX('HS Codes'!$D$2:$K4518,MATCH($B1964,'HS Codes'!$A$2:$A4518,0),MATCH(J$1,'HS Codes'!$D$1:$K$1,0)),"")</f>
        <v>0</v>
      </c>
      <c r="K1964" s="8" t="str">
        <f>_xlfn.IFNA(INDEX('HS Codes'!$D$2:$K4518,MATCH($B1964,'HS Codes'!$A$2:$A4518,0),MATCH(K$1,'HS Codes'!$D$1:$K$1,0)),"")</f>
        <v>4819.10.00</v>
      </c>
      <c r="L1964" s="8">
        <f>_xlfn.IFNA(INDEX('HS Codes'!$D$2:$K4518,MATCH($B1964,'HS Codes'!$A$2:$A4518,0),MATCH(L$1,'HS Codes'!$D$1:$K$1,0)),"")</f>
        <v>0</v>
      </c>
      <c r="M1964" s="8" t="str">
        <f>_xlfn.IFNA(INDEX('HS Codes'!$C$2:$C4518,MATCH($B1964,'HS Codes'!$A$2:$A4518,0)),"")</f>
        <v>Paperboard 100% recycled cardboard</v>
      </c>
      <c r="N1964" s="9"/>
      <c r="O1964" s="9"/>
      <c r="P1964" s="9"/>
      <c r="Q1964" s="9"/>
    </row>
    <row r="1965" spans="1:17" ht="15.75" customHeight="1">
      <c r="A1965" s="7" t="s">
        <v>2258</v>
      </c>
      <c r="B1965" s="7" t="s">
        <v>240</v>
      </c>
      <c r="C1965" s="7"/>
      <c r="D1965" s="7" t="s">
        <v>241</v>
      </c>
      <c r="E1965" s="7" t="s">
        <v>523</v>
      </c>
      <c r="F1965" s="8" t="str">
        <f>_xlfn.IFNA(INDEX('HS Codes'!$D$2:$K4519,MATCH($B1965,'HS Codes'!$A$2:$A4519,0),MATCH(F$1,'HS Codes'!$D$1:$K$1,0)),"")</f>
        <v>4819.10.0040</v>
      </c>
      <c r="G1965" s="8">
        <f>_xlfn.IFNA(INDEX('HS Codes'!$D$2:$K4519,MATCH($B1965,'HS Codes'!$A$2:$A4519,0),MATCH(G$1,'HS Codes'!$D$1:$K$1,0)),"")</f>
        <v>4819100000</v>
      </c>
      <c r="H1965" s="8">
        <f>_xlfn.IFNA(INDEX('HS Codes'!$D$2:$K4519,MATCH($B1965,'HS Codes'!$A$2:$A4519,0),MATCH(H$1,'HS Codes'!$D$1:$K$1,0)),"")</f>
        <v>4819100000</v>
      </c>
      <c r="I1965" s="8">
        <f>_xlfn.IFNA(INDEX('HS Codes'!$D$2:$K4519,MATCH($B1965,'HS Codes'!$A$2:$A4519,0),MATCH(I$1,'HS Codes'!$D$1:$K$1,0)),"")</f>
        <v>48191000</v>
      </c>
      <c r="J1965" s="8">
        <f>_xlfn.IFNA(INDEX('HS Codes'!$D$2:$K4519,MATCH($B1965,'HS Codes'!$A$2:$A4519,0),MATCH(J$1,'HS Codes'!$D$1:$K$1,0)),"")</f>
        <v>0</v>
      </c>
      <c r="K1965" s="8" t="str">
        <f>_xlfn.IFNA(INDEX('HS Codes'!$D$2:$K4519,MATCH($B1965,'HS Codes'!$A$2:$A4519,0),MATCH(K$1,'HS Codes'!$D$1:$K$1,0)),"")</f>
        <v>4819.10.00</v>
      </c>
      <c r="L1965" s="8">
        <f>_xlfn.IFNA(INDEX('HS Codes'!$D$2:$K4519,MATCH($B1965,'HS Codes'!$A$2:$A4519,0),MATCH(L$1,'HS Codes'!$D$1:$K$1,0)),"")</f>
        <v>0</v>
      </c>
      <c r="M1965" s="8" t="str">
        <f>_xlfn.IFNA(INDEX('HS Codes'!$C$2:$C4519,MATCH($B1965,'HS Codes'!$A$2:$A4519,0)),"")</f>
        <v>Paperboard 100% recycled cardboard</v>
      </c>
      <c r="N1965" s="9"/>
      <c r="O1965" s="9"/>
      <c r="P1965" s="9"/>
      <c r="Q1965" s="9"/>
    </row>
    <row r="1966" spans="1:17" ht="15.75" customHeight="1">
      <c r="A1966" s="7" t="s">
        <v>2259</v>
      </c>
      <c r="B1966" s="7" t="s">
        <v>240</v>
      </c>
      <c r="C1966" s="7"/>
      <c r="D1966" s="7" t="s">
        <v>241</v>
      </c>
      <c r="E1966" s="7" t="s">
        <v>523</v>
      </c>
      <c r="F1966" s="8" t="str">
        <f>_xlfn.IFNA(INDEX('HS Codes'!$D$2:$K4520,MATCH($B1966,'HS Codes'!$A$2:$A4520,0),MATCH(F$1,'HS Codes'!$D$1:$K$1,0)),"")</f>
        <v>4819.10.0040</v>
      </c>
      <c r="G1966" s="8">
        <f>_xlfn.IFNA(INDEX('HS Codes'!$D$2:$K4520,MATCH($B1966,'HS Codes'!$A$2:$A4520,0),MATCH(G$1,'HS Codes'!$D$1:$K$1,0)),"")</f>
        <v>4819100000</v>
      </c>
      <c r="H1966" s="8">
        <f>_xlfn.IFNA(INDEX('HS Codes'!$D$2:$K4520,MATCH($B1966,'HS Codes'!$A$2:$A4520,0),MATCH(H$1,'HS Codes'!$D$1:$K$1,0)),"")</f>
        <v>4819100000</v>
      </c>
      <c r="I1966" s="8">
        <f>_xlfn.IFNA(INDEX('HS Codes'!$D$2:$K4520,MATCH($B1966,'HS Codes'!$A$2:$A4520,0),MATCH(I$1,'HS Codes'!$D$1:$K$1,0)),"")</f>
        <v>48191000</v>
      </c>
      <c r="J1966" s="8">
        <f>_xlfn.IFNA(INDEX('HS Codes'!$D$2:$K4520,MATCH($B1966,'HS Codes'!$A$2:$A4520,0),MATCH(J$1,'HS Codes'!$D$1:$K$1,0)),"")</f>
        <v>0</v>
      </c>
      <c r="K1966" s="8" t="str">
        <f>_xlfn.IFNA(INDEX('HS Codes'!$D$2:$K4520,MATCH($B1966,'HS Codes'!$A$2:$A4520,0),MATCH(K$1,'HS Codes'!$D$1:$K$1,0)),"")</f>
        <v>4819.10.00</v>
      </c>
      <c r="L1966" s="8">
        <f>_xlfn.IFNA(INDEX('HS Codes'!$D$2:$K4520,MATCH($B1966,'HS Codes'!$A$2:$A4520,0),MATCH(L$1,'HS Codes'!$D$1:$K$1,0)),"")</f>
        <v>0</v>
      </c>
      <c r="M1966" s="8" t="str">
        <f>_xlfn.IFNA(INDEX('HS Codes'!$C$2:$C4520,MATCH($B1966,'HS Codes'!$A$2:$A4520,0)),"")</f>
        <v>Paperboard 100% recycled cardboard</v>
      </c>
      <c r="N1966" s="9"/>
      <c r="O1966" s="9"/>
      <c r="P1966" s="9"/>
      <c r="Q1966" s="9"/>
    </row>
    <row r="1967" spans="1:17" ht="15.75" customHeight="1">
      <c r="A1967" s="7" t="s">
        <v>2260</v>
      </c>
      <c r="B1967" s="7" t="s">
        <v>240</v>
      </c>
      <c r="C1967" s="7"/>
      <c r="D1967" s="7" t="s">
        <v>241</v>
      </c>
      <c r="E1967" s="7" t="s">
        <v>523</v>
      </c>
      <c r="F1967" s="8" t="str">
        <f>_xlfn.IFNA(INDEX('HS Codes'!$D$2:$K4521,MATCH($B1967,'HS Codes'!$A$2:$A4521,0),MATCH(F$1,'HS Codes'!$D$1:$K$1,0)),"")</f>
        <v>4819.10.0040</v>
      </c>
      <c r="G1967" s="8">
        <f>_xlfn.IFNA(INDEX('HS Codes'!$D$2:$K4521,MATCH($B1967,'HS Codes'!$A$2:$A4521,0),MATCH(G$1,'HS Codes'!$D$1:$K$1,0)),"")</f>
        <v>4819100000</v>
      </c>
      <c r="H1967" s="8">
        <f>_xlfn.IFNA(INDEX('HS Codes'!$D$2:$K4521,MATCH($B1967,'HS Codes'!$A$2:$A4521,0),MATCH(H$1,'HS Codes'!$D$1:$K$1,0)),"")</f>
        <v>4819100000</v>
      </c>
      <c r="I1967" s="8">
        <f>_xlfn.IFNA(INDEX('HS Codes'!$D$2:$K4521,MATCH($B1967,'HS Codes'!$A$2:$A4521,0),MATCH(I$1,'HS Codes'!$D$1:$K$1,0)),"")</f>
        <v>48191000</v>
      </c>
      <c r="J1967" s="8">
        <f>_xlfn.IFNA(INDEX('HS Codes'!$D$2:$K4521,MATCH($B1967,'HS Codes'!$A$2:$A4521,0),MATCH(J$1,'HS Codes'!$D$1:$K$1,0)),"")</f>
        <v>0</v>
      </c>
      <c r="K1967" s="8" t="str">
        <f>_xlfn.IFNA(INDEX('HS Codes'!$D$2:$K4521,MATCH($B1967,'HS Codes'!$A$2:$A4521,0),MATCH(K$1,'HS Codes'!$D$1:$K$1,0)),"")</f>
        <v>4819.10.00</v>
      </c>
      <c r="L1967" s="8">
        <f>_xlfn.IFNA(INDEX('HS Codes'!$D$2:$K4521,MATCH($B1967,'HS Codes'!$A$2:$A4521,0),MATCH(L$1,'HS Codes'!$D$1:$K$1,0)),"")</f>
        <v>0</v>
      </c>
      <c r="M1967" s="8" t="str">
        <f>_xlfn.IFNA(INDEX('HS Codes'!$C$2:$C4521,MATCH($B1967,'HS Codes'!$A$2:$A4521,0)),"")</f>
        <v>Paperboard 100% recycled cardboard</v>
      </c>
      <c r="N1967" s="9"/>
      <c r="O1967" s="9"/>
      <c r="P1967" s="9"/>
      <c r="Q1967" s="9"/>
    </row>
    <row r="1968" spans="1:17" ht="15.75" customHeight="1">
      <c r="A1968" s="7" t="s">
        <v>2261</v>
      </c>
      <c r="B1968" s="7" t="s">
        <v>240</v>
      </c>
      <c r="C1968" s="7"/>
      <c r="D1968" s="7" t="s">
        <v>241</v>
      </c>
      <c r="E1968" s="7" t="s">
        <v>523</v>
      </c>
      <c r="F1968" s="8" t="str">
        <f>_xlfn.IFNA(INDEX('HS Codes'!$D$2:$K4522,MATCH($B1968,'HS Codes'!$A$2:$A4522,0),MATCH(F$1,'HS Codes'!$D$1:$K$1,0)),"")</f>
        <v>4819.10.0040</v>
      </c>
      <c r="G1968" s="8">
        <f>_xlfn.IFNA(INDEX('HS Codes'!$D$2:$K4522,MATCH($B1968,'HS Codes'!$A$2:$A4522,0),MATCH(G$1,'HS Codes'!$D$1:$K$1,0)),"")</f>
        <v>4819100000</v>
      </c>
      <c r="H1968" s="8">
        <f>_xlfn.IFNA(INDEX('HS Codes'!$D$2:$K4522,MATCH($B1968,'HS Codes'!$A$2:$A4522,0),MATCH(H$1,'HS Codes'!$D$1:$K$1,0)),"")</f>
        <v>4819100000</v>
      </c>
      <c r="I1968" s="8">
        <f>_xlfn.IFNA(INDEX('HS Codes'!$D$2:$K4522,MATCH($B1968,'HS Codes'!$A$2:$A4522,0),MATCH(I$1,'HS Codes'!$D$1:$K$1,0)),"")</f>
        <v>48191000</v>
      </c>
      <c r="J1968" s="8">
        <f>_xlfn.IFNA(INDEX('HS Codes'!$D$2:$K4522,MATCH($B1968,'HS Codes'!$A$2:$A4522,0),MATCH(J$1,'HS Codes'!$D$1:$K$1,0)),"")</f>
        <v>0</v>
      </c>
      <c r="K1968" s="8" t="str">
        <f>_xlfn.IFNA(INDEX('HS Codes'!$D$2:$K4522,MATCH($B1968,'HS Codes'!$A$2:$A4522,0),MATCH(K$1,'HS Codes'!$D$1:$K$1,0)),"")</f>
        <v>4819.10.00</v>
      </c>
      <c r="L1968" s="8">
        <f>_xlfn.IFNA(INDEX('HS Codes'!$D$2:$K4522,MATCH($B1968,'HS Codes'!$A$2:$A4522,0),MATCH(L$1,'HS Codes'!$D$1:$K$1,0)),"")</f>
        <v>0</v>
      </c>
      <c r="M1968" s="8" t="str">
        <f>_xlfn.IFNA(INDEX('HS Codes'!$C$2:$C4522,MATCH($B1968,'HS Codes'!$A$2:$A4522,0)),"")</f>
        <v>Paperboard 100% recycled cardboard</v>
      </c>
      <c r="N1968" s="9"/>
      <c r="O1968" s="9"/>
      <c r="P1968" s="9"/>
      <c r="Q1968" s="9"/>
    </row>
    <row r="1969" spans="1:17" ht="15.75" customHeight="1">
      <c r="A1969" s="7" t="s">
        <v>2262</v>
      </c>
      <c r="B1969" s="7" t="s">
        <v>240</v>
      </c>
      <c r="C1969" s="7"/>
      <c r="D1969" s="7" t="s">
        <v>241</v>
      </c>
      <c r="E1969" s="7" t="s">
        <v>523</v>
      </c>
      <c r="F1969" s="8" t="str">
        <f>_xlfn.IFNA(INDEX('HS Codes'!$D$2:$K4523,MATCH($B1969,'HS Codes'!$A$2:$A4523,0),MATCH(F$1,'HS Codes'!$D$1:$K$1,0)),"")</f>
        <v>4819.10.0040</v>
      </c>
      <c r="G1969" s="8">
        <f>_xlfn.IFNA(INDEX('HS Codes'!$D$2:$K4523,MATCH($B1969,'HS Codes'!$A$2:$A4523,0),MATCH(G$1,'HS Codes'!$D$1:$K$1,0)),"")</f>
        <v>4819100000</v>
      </c>
      <c r="H1969" s="8">
        <f>_xlfn.IFNA(INDEX('HS Codes'!$D$2:$K4523,MATCH($B1969,'HS Codes'!$A$2:$A4523,0),MATCH(H$1,'HS Codes'!$D$1:$K$1,0)),"")</f>
        <v>4819100000</v>
      </c>
      <c r="I1969" s="8">
        <f>_xlfn.IFNA(INDEX('HS Codes'!$D$2:$K4523,MATCH($B1969,'HS Codes'!$A$2:$A4523,0),MATCH(I$1,'HS Codes'!$D$1:$K$1,0)),"")</f>
        <v>48191000</v>
      </c>
      <c r="J1969" s="8">
        <f>_xlfn.IFNA(INDEX('HS Codes'!$D$2:$K4523,MATCH($B1969,'HS Codes'!$A$2:$A4523,0),MATCH(J$1,'HS Codes'!$D$1:$K$1,0)),"")</f>
        <v>0</v>
      </c>
      <c r="K1969" s="8" t="str">
        <f>_xlfn.IFNA(INDEX('HS Codes'!$D$2:$K4523,MATCH($B1969,'HS Codes'!$A$2:$A4523,0),MATCH(K$1,'HS Codes'!$D$1:$K$1,0)),"")</f>
        <v>4819.10.00</v>
      </c>
      <c r="L1969" s="8">
        <f>_xlfn.IFNA(INDEX('HS Codes'!$D$2:$K4523,MATCH($B1969,'HS Codes'!$A$2:$A4523,0),MATCH(L$1,'HS Codes'!$D$1:$K$1,0)),"")</f>
        <v>0</v>
      </c>
      <c r="M1969" s="8" t="str">
        <f>_xlfn.IFNA(INDEX('HS Codes'!$C$2:$C4523,MATCH($B1969,'HS Codes'!$A$2:$A4523,0)),"")</f>
        <v>Paperboard 100% recycled cardboard</v>
      </c>
      <c r="N1969" s="9"/>
      <c r="O1969" s="9"/>
      <c r="P1969" s="9"/>
      <c r="Q1969" s="9"/>
    </row>
    <row r="1970" spans="1:17" ht="15.75" customHeight="1">
      <c r="A1970" s="7" t="s">
        <v>2263</v>
      </c>
      <c r="B1970" s="7" t="s">
        <v>240</v>
      </c>
      <c r="C1970" s="7"/>
      <c r="D1970" s="7" t="s">
        <v>241</v>
      </c>
      <c r="E1970" s="7" t="s">
        <v>523</v>
      </c>
      <c r="F1970" s="8" t="str">
        <f>_xlfn.IFNA(INDEX('HS Codes'!$D$2:$K4524,MATCH($B1970,'HS Codes'!$A$2:$A4524,0),MATCH(F$1,'HS Codes'!$D$1:$K$1,0)),"")</f>
        <v>4819.10.0040</v>
      </c>
      <c r="G1970" s="8">
        <f>_xlfn.IFNA(INDEX('HS Codes'!$D$2:$K4524,MATCH($B1970,'HS Codes'!$A$2:$A4524,0),MATCH(G$1,'HS Codes'!$D$1:$K$1,0)),"")</f>
        <v>4819100000</v>
      </c>
      <c r="H1970" s="8">
        <f>_xlfn.IFNA(INDEX('HS Codes'!$D$2:$K4524,MATCH($B1970,'HS Codes'!$A$2:$A4524,0),MATCH(H$1,'HS Codes'!$D$1:$K$1,0)),"")</f>
        <v>4819100000</v>
      </c>
      <c r="I1970" s="8">
        <f>_xlfn.IFNA(INDEX('HS Codes'!$D$2:$K4524,MATCH($B1970,'HS Codes'!$A$2:$A4524,0),MATCH(I$1,'HS Codes'!$D$1:$K$1,0)),"")</f>
        <v>48191000</v>
      </c>
      <c r="J1970" s="8">
        <f>_xlfn.IFNA(INDEX('HS Codes'!$D$2:$K4524,MATCH($B1970,'HS Codes'!$A$2:$A4524,0),MATCH(J$1,'HS Codes'!$D$1:$K$1,0)),"")</f>
        <v>0</v>
      </c>
      <c r="K1970" s="8" t="str">
        <f>_xlfn.IFNA(INDEX('HS Codes'!$D$2:$K4524,MATCH($B1970,'HS Codes'!$A$2:$A4524,0),MATCH(K$1,'HS Codes'!$D$1:$K$1,0)),"")</f>
        <v>4819.10.00</v>
      </c>
      <c r="L1970" s="8">
        <f>_xlfn.IFNA(INDEX('HS Codes'!$D$2:$K4524,MATCH($B1970,'HS Codes'!$A$2:$A4524,0),MATCH(L$1,'HS Codes'!$D$1:$K$1,0)),"")</f>
        <v>0</v>
      </c>
      <c r="M1970" s="8" t="str">
        <f>_xlfn.IFNA(INDEX('HS Codes'!$C$2:$C4524,MATCH($B1970,'HS Codes'!$A$2:$A4524,0)),"")</f>
        <v>Paperboard 100% recycled cardboard</v>
      </c>
      <c r="N1970" s="9"/>
      <c r="O1970" s="9"/>
      <c r="P1970" s="9"/>
      <c r="Q1970" s="9"/>
    </row>
    <row r="1971" spans="1:17" ht="15.75" customHeight="1">
      <c r="A1971" s="7" t="s">
        <v>2264</v>
      </c>
      <c r="B1971" s="7" t="s">
        <v>159</v>
      </c>
      <c r="C1971" s="7" t="s">
        <v>278</v>
      </c>
      <c r="D1971" s="7" t="s">
        <v>160</v>
      </c>
      <c r="E1971" s="7" t="s">
        <v>160</v>
      </c>
      <c r="F1971" s="8" t="str">
        <f>_xlfn.IFNA(INDEX('HS Codes'!$D$2:$K4525,MATCH($B1971,'HS Codes'!$A$2:$A4525,0),MATCH(F$1,'HS Codes'!$D$1:$K$1,0)),"")</f>
        <v>6302.53.00.20</v>
      </c>
      <c r="G1971" s="8">
        <f>_xlfn.IFNA(INDEX('HS Codes'!$D$2:$K4525,MATCH($B1971,'HS Codes'!$A$2:$A4525,0),MATCH(G$1,'HS Codes'!$D$1:$K$1,0)),"")</f>
        <v>6302531000</v>
      </c>
      <c r="H1971" s="8">
        <f>_xlfn.IFNA(INDEX('HS Codes'!$D$2:$K4525,MATCH($B1971,'HS Codes'!$A$2:$A4525,0),MATCH(H$1,'HS Codes'!$D$1:$K$1,0)),"")</f>
        <v>6302531000</v>
      </c>
      <c r="I1971" s="8">
        <f>_xlfn.IFNA(INDEX('HS Codes'!$D$2:$K4525,MATCH($B1971,'HS Codes'!$A$2:$A4525,0),MATCH(I$1,'HS Codes'!$D$1:$K$1,0)),"")</f>
        <v>63029310</v>
      </c>
      <c r="J1971" s="8">
        <f>_xlfn.IFNA(INDEX('HS Codes'!$D$2:$K4525,MATCH($B1971,'HS Codes'!$A$2:$A4525,0),MATCH(J$1,'HS Codes'!$D$1:$K$1,0)),"")</f>
        <v>0</v>
      </c>
      <c r="K1971" s="8" t="str">
        <f>_xlfn.IFNA(INDEX('HS Codes'!$D$2:$K4525,MATCH($B1971,'HS Codes'!$A$2:$A4525,0),MATCH(K$1,'HS Codes'!$D$1:$K$1,0)),"")</f>
        <v>6302.53.00</v>
      </c>
      <c r="L1971" s="8">
        <f>_xlfn.IFNA(INDEX('HS Codes'!$D$2:$K4525,MATCH($B1971,'HS Codes'!$A$2:$A4525,0),MATCH(L$1,'HS Codes'!$D$1:$K$1,0)),"")</f>
        <v>0</v>
      </c>
      <c r="M1971" s="8" t="str">
        <f>_xlfn.IFNA(INDEX('HS Codes'!$C$2:$C4525,MATCH($B1971,'HS Codes'!$A$2:$A4525,0)),"")</f>
        <v>Kitchen Linen 100% recycled 300 GSM/83% polyester/17% polyamide (no cotton)</v>
      </c>
      <c r="N1971" s="9"/>
      <c r="O1971" s="9"/>
      <c r="P1971" s="9"/>
      <c r="Q1971" s="9"/>
    </row>
    <row r="1972" spans="1:17" ht="15.75" customHeight="1">
      <c r="A1972" s="7" t="s">
        <v>2265</v>
      </c>
      <c r="B1972" s="7" t="s">
        <v>159</v>
      </c>
      <c r="C1972" s="7" t="s">
        <v>278</v>
      </c>
      <c r="D1972" s="7" t="s">
        <v>160</v>
      </c>
      <c r="E1972" s="7" t="s">
        <v>160</v>
      </c>
      <c r="F1972" s="8" t="str">
        <f>_xlfn.IFNA(INDEX('HS Codes'!$D$2:$K4526,MATCH($B1972,'HS Codes'!$A$2:$A4526,0),MATCH(F$1,'HS Codes'!$D$1:$K$1,0)),"")</f>
        <v>6302.53.00.20</v>
      </c>
      <c r="G1972" s="8">
        <f>_xlfn.IFNA(INDEX('HS Codes'!$D$2:$K4526,MATCH($B1972,'HS Codes'!$A$2:$A4526,0),MATCH(G$1,'HS Codes'!$D$1:$K$1,0)),"")</f>
        <v>6302531000</v>
      </c>
      <c r="H1972" s="8">
        <f>_xlfn.IFNA(INDEX('HS Codes'!$D$2:$K4526,MATCH($B1972,'HS Codes'!$A$2:$A4526,0),MATCH(H$1,'HS Codes'!$D$1:$K$1,0)),"")</f>
        <v>6302531000</v>
      </c>
      <c r="I1972" s="8">
        <f>_xlfn.IFNA(INDEX('HS Codes'!$D$2:$K4526,MATCH($B1972,'HS Codes'!$A$2:$A4526,0),MATCH(I$1,'HS Codes'!$D$1:$K$1,0)),"")</f>
        <v>63029310</v>
      </c>
      <c r="J1972" s="8">
        <f>_xlfn.IFNA(INDEX('HS Codes'!$D$2:$K4526,MATCH($B1972,'HS Codes'!$A$2:$A4526,0),MATCH(J$1,'HS Codes'!$D$1:$K$1,0)),"")</f>
        <v>0</v>
      </c>
      <c r="K1972" s="8" t="str">
        <f>_xlfn.IFNA(INDEX('HS Codes'!$D$2:$K4526,MATCH($B1972,'HS Codes'!$A$2:$A4526,0),MATCH(K$1,'HS Codes'!$D$1:$K$1,0)),"")</f>
        <v>6302.53.00</v>
      </c>
      <c r="L1972" s="8">
        <f>_xlfn.IFNA(INDEX('HS Codes'!$D$2:$K4526,MATCH($B1972,'HS Codes'!$A$2:$A4526,0),MATCH(L$1,'HS Codes'!$D$1:$K$1,0)),"")</f>
        <v>0</v>
      </c>
      <c r="M1972" s="8" t="str">
        <f>_xlfn.IFNA(INDEX('HS Codes'!$C$2:$C4526,MATCH($B1972,'HS Codes'!$A$2:$A4526,0)),"")</f>
        <v>Kitchen Linen 100% recycled 300 GSM/83% polyester/17% polyamide (no cotton)</v>
      </c>
      <c r="N1972" s="9"/>
      <c r="O1972" s="9"/>
      <c r="P1972" s="9"/>
      <c r="Q1972" s="9"/>
    </row>
    <row r="1973" spans="1:17" ht="15.75" customHeight="1">
      <c r="A1973" s="7" t="s">
        <v>2266</v>
      </c>
      <c r="B1973" s="7" t="s">
        <v>164</v>
      </c>
      <c r="C1973" s="7" t="s">
        <v>278</v>
      </c>
      <c r="D1973" s="7" t="s">
        <v>165</v>
      </c>
      <c r="E1973" s="7" t="s">
        <v>348</v>
      </c>
      <c r="F1973" s="8" t="str">
        <f>_xlfn.IFNA(INDEX('HS Codes'!$D$2:$K4527,MATCH($B1973,'HS Codes'!$A$2:$A4527,0),MATCH(F$1,'HS Codes'!$D$1:$K$1,0)),"")</f>
        <v>6302.93.2000</v>
      </c>
      <c r="G1973" s="8">
        <f>_xlfn.IFNA(INDEX('HS Codes'!$D$2:$K4527,MATCH($B1973,'HS Codes'!$A$2:$A4527,0),MATCH(G$1,'HS Codes'!$D$1:$K$1,0)),"")</f>
        <v>6302600090</v>
      </c>
      <c r="H1973" s="8" t="str">
        <f>_xlfn.IFNA(INDEX('HS Codes'!$D$2:$K4527,MATCH($B1973,'HS Codes'!$A$2:$A4527,0),MATCH(H$1,'HS Codes'!$D$1:$K$1,0)),"")</f>
        <v>6302.93.00.00</v>
      </c>
      <c r="I1973" s="8">
        <f>_xlfn.IFNA(INDEX('HS Codes'!$D$2:$K4527,MATCH($B1973,'HS Codes'!$A$2:$A4527,0),MATCH(I$1,'HS Codes'!$D$1:$K$1,0)),"")</f>
        <v>63029390</v>
      </c>
      <c r="J1973" s="8">
        <f>_xlfn.IFNA(INDEX('HS Codes'!$D$2:$K4527,MATCH($B1973,'HS Codes'!$A$2:$A4527,0),MATCH(J$1,'HS Codes'!$D$1:$K$1,0)),"")</f>
        <v>0</v>
      </c>
      <c r="K1973" s="8" t="str">
        <f>_xlfn.IFNA(INDEX('HS Codes'!$D$2:$K4527,MATCH($B1973,'HS Codes'!$A$2:$A4527,0),MATCH(K$1,'HS Codes'!$D$1:$K$1,0)),"")</f>
        <v>6302.39.00</v>
      </c>
      <c r="L1973" s="8">
        <f>_xlfn.IFNA(INDEX('HS Codes'!$D$2:$K4527,MATCH($B1973,'HS Codes'!$A$2:$A4527,0),MATCH(L$1,'HS Codes'!$D$1:$K$1,0)),"")</f>
        <v>63029120</v>
      </c>
      <c r="M1973" s="8" t="str">
        <f>_xlfn.IFNA(INDEX('HS Codes'!$C$2:$C4527,MATCH($B1973,'HS Codes'!$A$2:$A4527,0)),"")</f>
        <v>Beach Towel - Toilet Linen 100% recycled 220 GSM/83% polyester/17% polyamide includes cotton on the packing pouch drawstring</v>
      </c>
      <c r="N1973" s="9"/>
      <c r="O1973" s="9"/>
      <c r="P1973" s="9"/>
      <c r="Q1973" s="9"/>
    </row>
    <row r="1974" spans="1:17" ht="15.75" customHeight="1">
      <c r="A1974" s="7" t="s">
        <v>2267</v>
      </c>
      <c r="B1974" s="7" t="s">
        <v>164</v>
      </c>
      <c r="C1974" s="7" t="s">
        <v>278</v>
      </c>
      <c r="D1974" s="7" t="s">
        <v>165</v>
      </c>
      <c r="E1974" s="7" t="s">
        <v>348</v>
      </c>
      <c r="F1974" s="8" t="str">
        <f>_xlfn.IFNA(INDEX('HS Codes'!$D$2:$K4528,MATCH($B1974,'HS Codes'!$A$2:$A4528,0),MATCH(F$1,'HS Codes'!$D$1:$K$1,0)),"")</f>
        <v>6302.93.2000</v>
      </c>
      <c r="G1974" s="8">
        <f>_xlfn.IFNA(INDEX('HS Codes'!$D$2:$K4528,MATCH($B1974,'HS Codes'!$A$2:$A4528,0),MATCH(G$1,'HS Codes'!$D$1:$K$1,0)),"")</f>
        <v>6302600090</v>
      </c>
      <c r="H1974" s="8" t="str">
        <f>_xlfn.IFNA(INDEX('HS Codes'!$D$2:$K4528,MATCH($B1974,'HS Codes'!$A$2:$A4528,0),MATCH(H$1,'HS Codes'!$D$1:$K$1,0)),"")</f>
        <v>6302.93.00.00</v>
      </c>
      <c r="I1974" s="8">
        <f>_xlfn.IFNA(INDEX('HS Codes'!$D$2:$K4528,MATCH($B1974,'HS Codes'!$A$2:$A4528,0),MATCH(I$1,'HS Codes'!$D$1:$K$1,0)),"")</f>
        <v>63029390</v>
      </c>
      <c r="J1974" s="8">
        <f>_xlfn.IFNA(INDEX('HS Codes'!$D$2:$K4528,MATCH($B1974,'HS Codes'!$A$2:$A4528,0),MATCH(J$1,'HS Codes'!$D$1:$K$1,0)),"")</f>
        <v>0</v>
      </c>
      <c r="K1974" s="8" t="str">
        <f>_xlfn.IFNA(INDEX('HS Codes'!$D$2:$K4528,MATCH($B1974,'HS Codes'!$A$2:$A4528,0),MATCH(K$1,'HS Codes'!$D$1:$K$1,0)),"")</f>
        <v>6302.39.00</v>
      </c>
      <c r="L1974" s="8">
        <f>_xlfn.IFNA(INDEX('HS Codes'!$D$2:$K4528,MATCH($B1974,'HS Codes'!$A$2:$A4528,0),MATCH(L$1,'HS Codes'!$D$1:$K$1,0)),"")</f>
        <v>63029120</v>
      </c>
      <c r="M1974" s="8" t="str">
        <f>_xlfn.IFNA(INDEX('HS Codes'!$C$2:$C4528,MATCH($B1974,'HS Codes'!$A$2:$A4528,0)),"")</f>
        <v>Beach Towel - Toilet Linen 100% recycled 220 GSM/83% polyester/17% polyamide includes cotton on the packing pouch drawstring</v>
      </c>
      <c r="N1974" s="9"/>
      <c r="O1974" s="9"/>
      <c r="P1974" s="9"/>
      <c r="Q1974" s="9"/>
    </row>
    <row r="1975" spans="1:17" ht="15.75" customHeight="1">
      <c r="A1975" s="7" t="s">
        <v>2268</v>
      </c>
      <c r="B1975" s="7"/>
      <c r="C1975" s="7"/>
      <c r="D1975" s="7"/>
      <c r="E1975" s="7"/>
      <c r="F1975" s="8" t="str">
        <f>_xlfn.IFNA(INDEX('HS Codes'!$D$2:$K4529,MATCH($B1975,'HS Codes'!$A$2:$A4529,0),MATCH(F$1,'HS Codes'!$D$1:$K$1,0)),"")</f>
        <v/>
      </c>
      <c r="G1975" s="8" t="str">
        <f>_xlfn.IFNA(INDEX('HS Codes'!$D$2:$K4529,MATCH($B1975,'HS Codes'!$A$2:$A4529,0),MATCH(G$1,'HS Codes'!$D$1:$K$1,0)),"")</f>
        <v/>
      </c>
      <c r="H1975" s="8" t="str">
        <f>_xlfn.IFNA(INDEX('HS Codes'!$D$2:$K4529,MATCH($B1975,'HS Codes'!$A$2:$A4529,0),MATCH(H$1,'HS Codes'!$D$1:$K$1,0)),"")</f>
        <v/>
      </c>
      <c r="I1975" s="8" t="str">
        <f>_xlfn.IFNA(INDEX('HS Codes'!$D$2:$K4529,MATCH($B1975,'HS Codes'!$A$2:$A4529,0),MATCH(I$1,'HS Codes'!$D$1:$K$1,0)),"")</f>
        <v/>
      </c>
      <c r="J1975" s="8" t="str">
        <f>_xlfn.IFNA(INDEX('HS Codes'!$D$2:$K4529,MATCH($B1975,'HS Codes'!$A$2:$A4529,0),MATCH(J$1,'HS Codes'!$D$1:$K$1,0)),"")</f>
        <v/>
      </c>
      <c r="K1975" s="8" t="str">
        <f>_xlfn.IFNA(INDEX('HS Codes'!$D$2:$K4529,MATCH($B1975,'HS Codes'!$A$2:$A4529,0),MATCH(K$1,'HS Codes'!$D$1:$K$1,0)),"")</f>
        <v/>
      </c>
      <c r="L1975" s="8" t="str">
        <f>_xlfn.IFNA(INDEX('HS Codes'!$D$2:$K4529,MATCH($B1975,'HS Codes'!$A$2:$A4529,0),MATCH(L$1,'HS Codes'!$D$1:$K$1,0)),"")</f>
        <v/>
      </c>
      <c r="M1975" s="8" t="str">
        <f>_xlfn.IFNA(INDEX('HS Codes'!$C$2:$C4529,MATCH($B1975,'HS Codes'!$A$2:$A4529,0)),"")</f>
        <v/>
      </c>
      <c r="N1975" s="9"/>
      <c r="O1975" s="9"/>
      <c r="P1975" s="9"/>
      <c r="Q1975" s="9"/>
    </row>
    <row r="1976" spans="1:17" ht="15.75" customHeight="1">
      <c r="A1976" s="7" t="s">
        <v>2269</v>
      </c>
      <c r="B1976" s="7"/>
      <c r="C1976" s="7"/>
      <c r="D1976" s="7"/>
      <c r="E1976" s="7"/>
      <c r="F1976" s="8" t="str">
        <f>_xlfn.IFNA(INDEX('HS Codes'!$D$2:$K4530,MATCH($B1976,'HS Codes'!$A$2:$A4530,0),MATCH(F$1,'HS Codes'!$D$1:$K$1,0)),"")</f>
        <v/>
      </c>
      <c r="G1976" s="8" t="str">
        <f>_xlfn.IFNA(INDEX('HS Codes'!$D$2:$K4530,MATCH($B1976,'HS Codes'!$A$2:$A4530,0),MATCH(G$1,'HS Codes'!$D$1:$K$1,0)),"")</f>
        <v/>
      </c>
      <c r="H1976" s="8" t="str">
        <f>_xlfn.IFNA(INDEX('HS Codes'!$D$2:$K4530,MATCH($B1976,'HS Codes'!$A$2:$A4530,0),MATCH(H$1,'HS Codes'!$D$1:$K$1,0)),"")</f>
        <v/>
      </c>
      <c r="I1976" s="8" t="str">
        <f>_xlfn.IFNA(INDEX('HS Codes'!$D$2:$K4530,MATCH($B1976,'HS Codes'!$A$2:$A4530,0),MATCH(I$1,'HS Codes'!$D$1:$K$1,0)),"")</f>
        <v/>
      </c>
      <c r="J1976" s="8" t="str">
        <f>_xlfn.IFNA(INDEX('HS Codes'!$D$2:$K4530,MATCH($B1976,'HS Codes'!$A$2:$A4530,0),MATCH(J$1,'HS Codes'!$D$1:$K$1,0)),"")</f>
        <v/>
      </c>
      <c r="K1976" s="8" t="str">
        <f>_xlfn.IFNA(INDEX('HS Codes'!$D$2:$K4530,MATCH($B1976,'HS Codes'!$A$2:$A4530,0),MATCH(K$1,'HS Codes'!$D$1:$K$1,0)),"")</f>
        <v/>
      </c>
      <c r="L1976" s="8" t="str">
        <f>_xlfn.IFNA(INDEX('HS Codes'!$D$2:$K4530,MATCH($B1976,'HS Codes'!$A$2:$A4530,0),MATCH(L$1,'HS Codes'!$D$1:$K$1,0)),"")</f>
        <v/>
      </c>
      <c r="M1976" s="8" t="str">
        <f>_xlfn.IFNA(INDEX('HS Codes'!$C$2:$C4530,MATCH($B1976,'HS Codes'!$A$2:$A4530,0)),"")</f>
        <v/>
      </c>
      <c r="N1976" s="9"/>
      <c r="O1976" s="9"/>
      <c r="P1976" s="9"/>
      <c r="Q1976" s="9"/>
    </row>
    <row r="1977" spans="1:17" ht="15.75" customHeight="1">
      <c r="A1977" s="7" t="s">
        <v>2270</v>
      </c>
      <c r="B1977" s="7"/>
      <c r="C1977" s="7"/>
      <c r="D1977" s="7"/>
      <c r="E1977" s="7"/>
      <c r="F1977" s="8" t="str">
        <f>_xlfn.IFNA(INDEX('HS Codes'!$D$2:$K4531,MATCH($B1977,'HS Codes'!$A$2:$A4531,0),MATCH(F$1,'HS Codes'!$D$1:$K$1,0)),"")</f>
        <v/>
      </c>
      <c r="G1977" s="8" t="str">
        <f>_xlfn.IFNA(INDEX('HS Codes'!$D$2:$K4531,MATCH($B1977,'HS Codes'!$A$2:$A4531,0),MATCH(G$1,'HS Codes'!$D$1:$K$1,0)),"")</f>
        <v/>
      </c>
      <c r="H1977" s="8" t="str">
        <f>_xlfn.IFNA(INDEX('HS Codes'!$D$2:$K4531,MATCH($B1977,'HS Codes'!$A$2:$A4531,0),MATCH(H$1,'HS Codes'!$D$1:$K$1,0)),"")</f>
        <v/>
      </c>
      <c r="I1977" s="8" t="str">
        <f>_xlfn.IFNA(INDEX('HS Codes'!$D$2:$K4531,MATCH($B1977,'HS Codes'!$A$2:$A4531,0),MATCH(I$1,'HS Codes'!$D$1:$K$1,0)),"")</f>
        <v/>
      </c>
      <c r="J1977" s="8" t="str">
        <f>_xlfn.IFNA(INDEX('HS Codes'!$D$2:$K4531,MATCH($B1977,'HS Codes'!$A$2:$A4531,0),MATCH(J$1,'HS Codes'!$D$1:$K$1,0)),"")</f>
        <v/>
      </c>
      <c r="K1977" s="8" t="str">
        <f>_xlfn.IFNA(INDEX('HS Codes'!$D$2:$K4531,MATCH($B1977,'HS Codes'!$A$2:$A4531,0),MATCH(K$1,'HS Codes'!$D$1:$K$1,0)),"")</f>
        <v/>
      </c>
      <c r="L1977" s="8" t="str">
        <f>_xlfn.IFNA(INDEX('HS Codes'!$D$2:$K4531,MATCH($B1977,'HS Codes'!$A$2:$A4531,0),MATCH(L$1,'HS Codes'!$D$1:$K$1,0)),"")</f>
        <v/>
      </c>
      <c r="M1977" s="8" t="str">
        <f>_xlfn.IFNA(INDEX('HS Codes'!$C$2:$C4531,MATCH($B1977,'HS Codes'!$A$2:$A4531,0)),"")</f>
        <v/>
      </c>
      <c r="N1977" s="9"/>
      <c r="O1977" s="9"/>
      <c r="P1977" s="9"/>
      <c r="Q1977" s="9"/>
    </row>
    <row r="1978" spans="1:17" ht="15.75" customHeight="1">
      <c r="A1978" s="7" t="s">
        <v>2271</v>
      </c>
      <c r="B1978" s="7"/>
      <c r="C1978" s="7"/>
      <c r="D1978" s="7"/>
      <c r="E1978" s="7"/>
      <c r="F1978" s="8" t="str">
        <f>_xlfn.IFNA(INDEX('HS Codes'!$D$2:$K4532,MATCH($B1978,'HS Codes'!$A$2:$A4532,0),MATCH(F$1,'HS Codes'!$D$1:$K$1,0)),"")</f>
        <v/>
      </c>
      <c r="G1978" s="8" t="str">
        <f>_xlfn.IFNA(INDEX('HS Codes'!$D$2:$K4532,MATCH($B1978,'HS Codes'!$A$2:$A4532,0),MATCH(G$1,'HS Codes'!$D$1:$K$1,0)),"")</f>
        <v/>
      </c>
      <c r="H1978" s="8" t="str">
        <f>_xlfn.IFNA(INDEX('HS Codes'!$D$2:$K4532,MATCH($B1978,'HS Codes'!$A$2:$A4532,0),MATCH(H$1,'HS Codes'!$D$1:$K$1,0)),"")</f>
        <v/>
      </c>
      <c r="I1978" s="8" t="str">
        <f>_xlfn.IFNA(INDEX('HS Codes'!$D$2:$K4532,MATCH($B1978,'HS Codes'!$A$2:$A4532,0),MATCH(I$1,'HS Codes'!$D$1:$K$1,0)),"")</f>
        <v/>
      </c>
      <c r="J1978" s="8" t="str">
        <f>_xlfn.IFNA(INDEX('HS Codes'!$D$2:$K4532,MATCH($B1978,'HS Codes'!$A$2:$A4532,0),MATCH(J$1,'HS Codes'!$D$1:$K$1,0)),"")</f>
        <v/>
      </c>
      <c r="K1978" s="8" t="str">
        <f>_xlfn.IFNA(INDEX('HS Codes'!$D$2:$K4532,MATCH($B1978,'HS Codes'!$A$2:$A4532,0),MATCH(K$1,'HS Codes'!$D$1:$K$1,0)),"")</f>
        <v/>
      </c>
      <c r="L1978" s="8" t="str">
        <f>_xlfn.IFNA(INDEX('HS Codes'!$D$2:$K4532,MATCH($B1978,'HS Codes'!$A$2:$A4532,0),MATCH(L$1,'HS Codes'!$D$1:$K$1,0)),"")</f>
        <v/>
      </c>
      <c r="M1978" s="8" t="str">
        <f>_xlfn.IFNA(INDEX('HS Codes'!$C$2:$C4532,MATCH($B1978,'HS Codes'!$A$2:$A4532,0)),"")</f>
        <v/>
      </c>
      <c r="N1978" s="9"/>
      <c r="O1978" s="9"/>
      <c r="P1978" s="9"/>
      <c r="Q1978" s="9"/>
    </row>
    <row r="1979" spans="1:17" ht="15.75" customHeight="1">
      <c r="A1979" s="7" t="s">
        <v>2272</v>
      </c>
      <c r="B1979" s="7"/>
      <c r="C1979" s="7"/>
      <c r="D1979" s="7"/>
      <c r="E1979" s="7"/>
      <c r="F1979" s="8" t="str">
        <f>_xlfn.IFNA(INDEX('HS Codes'!$D$2:$K4533,MATCH($B1979,'HS Codes'!$A$2:$A4533,0),MATCH(F$1,'HS Codes'!$D$1:$K$1,0)),"")</f>
        <v/>
      </c>
      <c r="G1979" s="8" t="str">
        <f>_xlfn.IFNA(INDEX('HS Codes'!$D$2:$K4533,MATCH($B1979,'HS Codes'!$A$2:$A4533,0),MATCH(G$1,'HS Codes'!$D$1:$K$1,0)),"")</f>
        <v/>
      </c>
      <c r="H1979" s="8" t="str">
        <f>_xlfn.IFNA(INDEX('HS Codes'!$D$2:$K4533,MATCH($B1979,'HS Codes'!$A$2:$A4533,0),MATCH(H$1,'HS Codes'!$D$1:$K$1,0)),"")</f>
        <v/>
      </c>
      <c r="I1979" s="8" t="str">
        <f>_xlfn.IFNA(INDEX('HS Codes'!$D$2:$K4533,MATCH($B1979,'HS Codes'!$A$2:$A4533,0),MATCH(I$1,'HS Codes'!$D$1:$K$1,0)),"")</f>
        <v/>
      </c>
      <c r="J1979" s="8" t="str">
        <f>_xlfn.IFNA(INDEX('HS Codes'!$D$2:$K4533,MATCH($B1979,'HS Codes'!$A$2:$A4533,0),MATCH(J$1,'HS Codes'!$D$1:$K$1,0)),"")</f>
        <v/>
      </c>
      <c r="K1979" s="8" t="str">
        <f>_xlfn.IFNA(INDEX('HS Codes'!$D$2:$K4533,MATCH($B1979,'HS Codes'!$A$2:$A4533,0),MATCH(K$1,'HS Codes'!$D$1:$K$1,0)),"")</f>
        <v/>
      </c>
      <c r="L1979" s="8" t="str">
        <f>_xlfn.IFNA(INDEX('HS Codes'!$D$2:$K4533,MATCH($B1979,'HS Codes'!$A$2:$A4533,0),MATCH(L$1,'HS Codes'!$D$1:$K$1,0)),"")</f>
        <v/>
      </c>
      <c r="M1979" s="8" t="str">
        <f>_xlfn.IFNA(INDEX('HS Codes'!$C$2:$C4533,MATCH($B1979,'HS Codes'!$A$2:$A4533,0)),"")</f>
        <v/>
      </c>
      <c r="N1979" s="9"/>
      <c r="O1979" s="9"/>
      <c r="P1979" s="9"/>
      <c r="Q1979" s="9"/>
    </row>
    <row r="1980" spans="1:17" ht="15.75" customHeight="1">
      <c r="A1980" s="7" t="s">
        <v>2273</v>
      </c>
      <c r="B1980" s="7"/>
      <c r="C1980" s="7"/>
      <c r="D1980" s="7"/>
      <c r="E1980" s="7"/>
      <c r="F1980" s="8" t="str">
        <f>_xlfn.IFNA(INDEX('HS Codes'!$D$2:$K4534,MATCH($B1980,'HS Codes'!$A$2:$A4534,0),MATCH(F$1,'HS Codes'!$D$1:$K$1,0)),"")</f>
        <v/>
      </c>
      <c r="G1980" s="8" t="str">
        <f>_xlfn.IFNA(INDEX('HS Codes'!$D$2:$K4534,MATCH($B1980,'HS Codes'!$A$2:$A4534,0),MATCH(G$1,'HS Codes'!$D$1:$K$1,0)),"")</f>
        <v/>
      </c>
      <c r="H1980" s="8" t="str">
        <f>_xlfn.IFNA(INDEX('HS Codes'!$D$2:$K4534,MATCH($B1980,'HS Codes'!$A$2:$A4534,0),MATCH(H$1,'HS Codes'!$D$1:$K$1,0)),"")</f>
        <v/>
      </c>
      <c r="I1980" s="8" t="str">
        <f>_xlfn.IFNA(INDEX('HS Codes'!$D$2:$K4534,MATCH($B1980,'HS Codes'!$A$2:$A4534,0),MATCH(I$1,'HS Codes'!$D$1:$K$1,0)),"")</f>
        <v/>
      </c>
      <c r="J1980" s="8" t="str">
        <f>_xlfn.IFNA(INDEX('HS Codes'!$D$2:$K4534,MATCH($B1980,'HS Codes'!$A$2:$A4534,0),MATCH(J$1,'HS Codes'!$D$1:$K$1,0)),"")</f>
        <v/>
      </c>
      <c r="K1980" s="8" t="str">
        <f>_xlfn.IFNA(INDEX('HS Codes'!$D$2:$K4534,MATCH($B1980,'HS Codes'!$A$2:$A4534,0),MATCH(K$1,'HS Codes'!$D$1:$K$1,0)),"")</f>
        <v/>
      </c>
      <c r="L1980" s="8" t="str">
        <f>_xlfn.IFNA(INDEX('HS Codes'!$D$2:$K4534,MATCH($B1980,'HS Codes'!$A$2:$A4534,0),MATCH(L$1,'HS Codes'!$D$1:$K$1,0)),"")</f>
        <v/>
      </c>
      <c r="M1980" s="8" t="str">
        <f>_xlfn.IFNA(INDEX('HS Codes'!$C$2:$C4534,MATCH($B1980,'HS Codes'!$A$2:$A4534,0)),"")</f>
        <v/>
      </c>
      <c r="N1980" s="9"/>
      <c r="O1980" s="9"/>
      <c r="P1980" s="9"/>
      <c r="Q1980" s="9"/>
    </row>
    <row r="1981" spans="1:17" ht="15.75" customHeight="1">
      <c r="A1981" s="7" t="s">
        <v>2274</v>
      </c>
      <c r="B1981" s="7"/>
      <c r="C1981" s="7"/>
      <c r="D1981" s="7"/>
      <c r="E1981" s="7"/>
      <c r="F1981" s="8" t="str">
        <f>_xlfn.IFNA(INDEX('HS Codes'!$D$2:$K4535,MATCH($B1981,'HS Codes'!$A$2:$A4535,0),MATCH(F$1,'HS Codes'!$D$1:$K$1,0)),"")</f>
        <v/>
      </c>
      <c r="G1981" s="8" t="str">
        <f>_xlfn.IFNA(INDEX('HS Codes'!$D$2:$K4535,MATCH($B1981,'HS Codes'!$A$2:$A4535,0),MATCH(G$1,'HS Codes'!$D$1:$K$1,0)),"")</f>
        <v/>
      </c>
      <c r="H1981" s="8" t="str">
        <f>_xlfn.IFNA(INDEX('HS Codes'!$D$2:$K4535,MATCH($B1981,'HS Codes'!$A$2:$A4535,0),MATCH(H$1,'HS Codes'!$D$1:$K$1,0)),"")</f>
        <v/>
      </c>
      <c r="I1981" s="8" t="str">
        <f>_xlfn.IFNA(INDEX('HS Codes'!$D$2:$K4535,MATCH($B1981,'HS Codes'!$A$2:$A4535,0),MATCH(I$1,'HS Codes'!$D$1:$K$1,0)),"")</f>
        <v/>
      </c>
      <c r="J1981" s="8" t="str">
        <f>_xlfn.IFNA(INDEX('HS Codes'!$D$2:$K4535,MATCH($B1981,'HS Codes'!$A$2:$A4535,0),MATCH(J$1,'HS Codes'!$D$1:$K$1,0)),"")</f>
        <v/>
      </c>
      <c r="K1981" s="8" t="str">
        <f>_xlfn.IFNA(INDEX('HS Codes'!$D$2:$K4535,MATCH($B1981,'HS Codes'!$A$2:$A4535,0),MATCH(K$1,'HS Codes'!$D$1:$K$1,0)),"")</f>
        <v/>
      </c>
      <c r="L1981" s="8" t="str">
        <f>_xlfn.IFNA(INDEX('HS Codes'!$D$2:$K4535,MATCH($B1981,'HS Codes'!$A$2:$A4535,0),MATCH(L$1,'HS Codes'!$D$1:$K$1,0)),"")</f>
        <v/>
      </c>
      <c r="M1981" s="8" t="str">
        <f>_xlfn.IFNA(INDEX('HS Codes'!$C$2:$C4535,MATCH($B1981,'HS Codes'!$A$2:$A4535,0)),"")</f>
        <v/>
      </c>
      <c r="N1981" s="9"/>
      <c r="O1981" s="9"/>
      <c r="P1981" s="9"/>
      <c r="Q1981" s="9"/>
    </row>
    <row r="1982" spans="1:17" ht="15.75" customHeight="1">
      <c r="A1982" s="7" t="s">
        <v>2275</v>
      </c>
      <c r="B1982" s="7"/>
      <c r="C1982" s="7"/>
      <c r="D1982" s="7"/>
      <c r="E1982" s="7"/>
      <c r="F1982" s="8" t="str">
        <f>_xlfn.IFNA(INDEX('HS Codes'!$D$2:$K4536,MATCH($B1982,'HS Codes'!$A$2:$A4536,0),MATCH(F$1,'HS Codes'!$D$1:$K$1,0)),"")</f>
        <v/>
      </c>
      <c r="G1982" s="8" t="str">
        <f>_xlfn.IFNA(INDEX('HS Codes'!$D$2:$K4536,MATCH($B1982,'HS Codes'!$A$2:$A4536,0),MATCH(G$1,'HS Codes'!$D$1:$K$1,0)),"")</f>
        <v/>
      </c>
      <c r="H1982" s="8" t="str">
        <f>_xlfn.IFNA(INDEX('HS Codes'!$D$2:$K4536,MATCH($B1982,'HS Codes'!$A$2:$A4536,0),MATCH(H$1,'HS Codes'!$D$1:$K$1,0)),"")</f>
        <v/>
      </c>
      <c r="I1982" s="8" t="str">
        <f>_xlfn.IFNA(INDEX('HS Codes'!$D$2:$K4536,MATCH($B1982,'HS Codes'!$A$2:$A4536,0),MATCH(I$1,'HS Codes'!$D$1:$K$1,0)),"")</f>
        <v/>
      </c>
      <c r="J1982" s="8" t="str">
        <f>_xlfn.IFNA(INDEX('HS Codes'!$D$2:$K4536,MATCH($B1982,'HS Codes'!$A$2:$A4536,0),MATCH(J$1,'HS Codes'!$D$1:$K$1,0)),"")</f>
        <v/>
      </c>
      <c r="K1982" s="8" t="str">
        <f>_xlfn.IFNA(INDEX('HS Codes'!$D$2:$K4536,MATCH($B1982,'HS Codes'!$A$2:$A4536,0),MATCH(K$1,'HS Codes'!$D$1:$K$1,0)),"")</f>
        <v/>
      </c>
      <c r="L1982" s="8" t="str">
        <f>_xlfn.IFNA(INDEX('HS Codes'!$D$2:$K4536,MATCH($B1982,'HS Codes'!$A$2:$A4536,0),MATCH(L$1,'HS Codes'!$D$1:$K$1,0)),"")</f>
        <v/>
      </c>
      <c r="M1982" s="8" t="str">
        <f>_xlfn.IFNA(INDEX('HS Codes'!$C$2:$C4536,MATCH($B1982,'HS Codes'!$A$2:$A4536,0)),"")</f>
        <v/>
      </c>
      <c r="N1982" s="9"/>
      <c r="O1982" s="9"/>
      <c r="P1982" s="9"/>
      <c r="Q1982" s="9"/>
    </row>
    <row r="1983" spans="1:17" ht="15.75" customHeight="1">
      <c r="A1983" s="7" t="s">
        <v>2276</v>
      </c>
      <c r="B1983" s="7"/>
      <c r="C1983" s="7"/>
      <c r="D1983" s="7"/>
      <c r="E1983" s="7"/>
      <c r="F1983" s="8" t="str">
        <f>_xlfn.IFNA(INDEX('HS Codes'!$D$2:$K4537,MATCH($B1983,'HS Codes'!$A$2:$A4537,0),MATCH(F$1,'HS Codes'!$D$1:$K$1,0)),"")</f>
        <v/>
      </c>
      <c r="G1983" s="8" t="str">
        <f>_xlfn.IFNA(INDEX('HS Codes'!$D$2:$K4537,MATCH($B1983,'HS Codes'!$A$2:$A4537,0),MATCH(G$1,'HS Codes'!$D$1:$K$1,0)),"")</f>
        <v/>
      </c>
      <c r="H1983" s="8" t="str">
        <f>_xlfn.IFNA(INDEX('HS Codes'!$D$2:$K4537,MATCH($B1983,'HS Codes'!$A$2:$A4537,0),MATCH(H$1,'HS Codes'!$D$1:$K$1,0)),"")</f>
        <v/>
      </c>
      <c r="I1983" s="8" t="str">
        <f>_xlfn.IFNA(INDEX('HS Codes'!$D$2:$K4537,MATCH($B1983,'HS Codes'!$A$2:$A4537,0),MATCH(I$1,'HS Codes'!$D$1:$K$1,0)),"")</f>
        <v/>
      </c>
      <c r="J1983" s="8" t="str">
        <f>_xlfn.IFNA(INDEX('HS Codes'!$D$2:$K4537,MATCH($B1983,'HS Codes'!$A$2:$A4537,0),MATCH(J$1,'HS Codes'!$D$1:$K$1,0)),"")</f>
        <v/>
      </c>
      <c r="K1983" s="8" t="str">
        <f>_xlfn.IFNA(INDEX('HS Codes'!$D$2:$K4537,MATCH($B1983,'HS Codes'!$A$2:$A4537,0),MATCH(K$1,'HS Codes'!$D$1:$K$1,0)),"")</f>
        <v/>
      </c>
      <c r="L1983" s="8" t="str">
        <f>_xlfn.IFNA(INDEX('HS Codes'!$D$2:$K4537,MATCH($B1983,'HS Codes'!$A$2:$A4537,0),MATCH(L$1,'HS Codes'!$D$1:$K$1,0)),"")</f>
        <v/>
      </c>
      <c r="M1983" s="8" t="str">
        <f>_xlfn.IFNA(INDEX('HS Codes'!$C$2:$C4537,MATCH($B1983,'HS Codes'!$A$2:$A4537,0)),"")</f>
        <v/>
      </c>
      <c r="N1983" s="9"/>
      <c r="O1983" s="9"/>
      <c r="P1983" s="9"/>
      <c r="Q1983" s="9"/>
    </row>
    <row r="1984" spans="1:17" ht="15.75" customHeight="1">
      <c r="A1984" s="7" t="s">
        <v>2277</v>
      </c>
      <c r="B1984" s="7"/>
      <c r="C1984" s="7"/>
      <c r="D1984" s="7"/>
      <c r="E1984" s="7"/>
      <c r="F1984" s="8" t="str">
        <f>_xlfn.IFNA(INDEX('HS Codes'!$D$2:$K4538,MATCH($B1984,'HS Codes'!$A$2:$A4538,0),MATCH(F$1,'HS Codes'!$D$1:$K$1,0)),"")</f>
        <v/>
      </c>
      <c r="G1984" s="8" t="str">
        <f>_xlfn.IFNA(INDEX('HS Codes'!$D$2:$K4538,MATCH($B1984,'HS Codes'!$A$2:$A4538,0),MATCH(G$1,'HS Codes'!$D$1:$K$1,0)),"")</f>
        <v/>
      </c>
      <c r="H1984" s="8" t="str">
        <f>_xlfn.IFNA(INDEX('HS Codes'!$D$2:$K4538,MATCH($B1984,'HS Codes'!$A$2:$A4538,0),MATCH(H$1,'HS Codes'!$D$1:$K$1,0)),"")</f>
        <v/>
      </c>
      <c r="I1984" s="8" t="str">
        <f>_xlfn.IFNA(INDEX('HS Codes'!$D$2:$K4538,MATCH($B1984,'HS Codes'!$A$2:$A4538,0),MATCH(I$1,'HS Codes'!$D$1:$K$1,0)),"")</f>
        <v/>
      </c>
      <c r="J1984" s="8" t="str">
        <f>_xlfn.IFNA(INDEX('HS Codes'!$D$2:$K4538,MATCH($B1984,'HS Codes'!$A$2:$A4538,0),MATCH(J$1,'HS Codes'!$D$1:$K$1,0)),"")</f>
        <v/>
      </c>
      <c r="K1984" s="8" t="str">
        <f>_xlfn.IFNA(INDEX('HS Codes'!$D$2:$K4538,MATCH($B1984,'HS Codes'!$A$2:$A4538,0),MATCH(K$1,'HS Codes'!$D$1:$K$1,0)),"")</f>
        <v/>
      </c>
      <c r="L1984" s="8" t="str">
        <f>_xlfn.IFNA(INDEX('HS Codes'!$D$2:$K4538,MATCH($B1984,'HS Codes'!$A$2:$A4538,0),MATCH(L$1,'HS Codes'!$D$1:$K$1,0)),"")</f>
        <v/>
      </c>
      <c r="M1984" s="8" t="str">
        <f>_xlfn.IFNA(INDEX('HS Codes'!$C$2:$C4538,MATCH($B1984,'HS Codes'!$A$2:$A4538,0)),"")</f>
        <v/>
      </c>
      <c r="N1984" s="9"/>
      <c r="O1984" s="9"/>
      <c r="P1984" s="9"/>
      <c r="Q1984" s="9"/>
    </row>
    <row r="1985" spans="1:17" ht="15.75" customHeight="1">
      <c r="A1985" s="7" t="s">
        <v>2278</v>
      </c>
      <c r="B1985" s="7"/>
      <c r="C1985" s="7"/>
      <c r="D1985" s="7"/>
      <c r="E1985" s="7"/>
      <c r="F1985" s="8" t="str">
        <f>_xlfn.IFNA(INDEX('HS Codes'!$D$2:$K4539,MATCH($B1985,'HS Codes'!$A$2:$A4539,0),MATCH(F$1,'HS Codes'!$D$1:$K$1,0)),"")</f>
        <v/>
      </c>
      <c r="G1985" s="8" t="str">
        <f>_xlfn.IFNA(INDEX('HS Codes'!$D$2:$K4539,MATCH($B1985,'HS Codes'!$A$2:$A4539,0),MATCH(G$1,'HS Codes'!$D$1:$K$1,0)),"")</f>
        <v/>
      </c>
      <c r="H1985" s="8" t="str">
        <f>_xlfn.IFNA(INDEX('HS Codes'!$D$2:$K4539,MATCH($B1985,'HS Codes'!$A$2:$A4539,0),MATCH(H$1,'HS Codes'!$D$1:$K$1,0)),"")</f>
        <v/>
      </c>
      <c r="I1985" s="8" t="str">
        <f>_xlfn.IFNA(INDEX('HS Codes'!$D$2:$K4539,MATCH($B1985,'HS Codes'!$A$2:$A4539,0),MATCH(I$1,'HS Codes'!$D$1:$K$1,0)),"")</f>
        <v/>
      </c>
      <c r="J1985" s="8" t="str">
        <f>_xlfn.IFNA(INDEX('HS Codes'!$D$2:$K4539,MATCH($B1985,'HS Codes'!$A$2:$A4539,0),MATCH(J$1,'HS Codes'!$D$1:$K$1,0)),"")</f>
        <v/>
      </c>
      <c r="K1985" s="8" t="str">
        <f>_xlfn.IFNA(INDEX('HS Codes'!$D$2:$K4539,MATCH($B1985,'HS Codes'!$A$2:$A4539,0),MATCH(K$1,'HS Codes'!$D$1:$K$1,0)),"")</f>
        <v/>
      </c>
      <c r="L1985" s="8" t="str">
        <f>_xlfn.IFNA(INDEX('HS Codes'!$D$2:$K4539,MATCH($B1985,'HS Codes'!$A$2:$A4539,0),MATCH(L$1,'HS Codes'!$D$1:$K$1,0)),"")</f>
        <v/>
      </c>
      <c r="M1985" s="8" t="str">
        <f>_xlfn.IFNA(INDEX('HS Codes'!$C$2:$C4539,MATCH($B1985,'HS Codes'!$A$2:$A4539,0)),"")</f>
        <v/>
      </c>
      <c r="N1985" s="9"/>
      <c r="O1985" s="9"/>
      <c r="P1985" s="9"/>
      <c r="Q1985" s="9"/>
    </row>
    <row r="1986" spans="1:17" ht="15.75" customHeight="1">
      <c r="A1986" s="7" t="s">
        <v>2279</v>
      </c>
      <c r="B1986" s="7"/>
      <c r="C1986" s="7"/>
      <c r="D1986" s="7"/>
      <c r="E1986" s="7"/>
      <c r="F1986" s="8" t="str">
        <f>_xlfn.IFNA(INDEX('HS Codes'!$D$2:$K4540,MATCH($B1986,'HS Codes'!$A$2:$A4540,0),MATCH(F$1,'HS Codes'!$D$1:$K$1,0)),"")</f>
        <v/>
      </c>
      <c r="G1986" s="8" t="str">
        <f>_xlfn.IFNA(INDEX('HS Codes'!$D$2:$K4540,MATCH($B1986,'HS Codes'!$A$2:$A4540,0),MATCH(G$1,'HS Codes'!$D$1:$K$1,0)),"")</f>
        <v/>
      </c>
      <c r="H1986" s="8" t="str">
        <f>_xlfn.IFNA(INDEX('HS Codes'!$D$2:$K4540,MATCH($B1986,'HS Codes'!$A$2:$A4540,0),MATCH(H$1,'HS Codes'!$D$1:$K$1,0)),"")</f>
        <v/>
      </c>
      <c r="I1986" s="8" t="str">
        <f>_xlfn.IFNA(INDEX('HS Codes'!$D$2:$K4540,MATCH($B1986,'HS Codes'!$A$2:$A4540,0),MATCH(I$1,'HS Codes'!$D$1:$K$1,0)),"")</f>
        <v/>
      </c>
      <c r="J1986" s="8" t="str">
        <f>_xlfn.IFNA(INDEX('HS Codes'!$D$2:$K4540,MATCH($B1986,'HS Codes'!$A$2:$A4540,0),MATCH(J$1,'HS Codes'!$D$1:$K$1,0)),"")</f>
        <v/>
      </c>
      <c r="K1986" s="8" t="str">
        <f>_xlfn.IFNA(INDEX('HS Codes'!$D$2:$K4540,MATCH($B1986,'HS Codes'!$A$2:$A4540,0),MATCH(K$1,'HS Codes'!$D$1:$K$1,0)),"")</f>
        <v/>
      </c>
      <c r="L1986" s="8" t="str">
        <f>_xlfn.IFNA(INDEX('HS Codes'!$D$2:$K4540,MATCH($B1986,'HS Codes'!$A$2:$A4540,0),MATCH(L$1,'HS Codes'!$D$1:$K$1,0)),"")</f>
        <v/>
      </c>
      <c r="M1986" s="8" t="str">
        <f>_xlfn.IFNA(INDEX('HS Codes'!$C$2:$C4540,MATCH($B1986,'HS Codes'!$A$2:$A4540,0)),"")</f>
        <v/>
      </c>
      <c r="N1986" s="9"/>
      <c r="O1986" s="9"/>
      <c r="P1986" s="9"/>
      <c r="Q1986" s="9"/>
    </row>
    <row r="1987" spans="1:17" ht="15.75" customHeight="1">
      <c r="A1987" s="7" t="s">
        <v>2280</v>
      </c>
      <c r="B1987" s="7"/>
      <c r="C1987" s="7"/>
      <c r="D1987" s="7"/>
      <c r="E1987" s="7"/>
      <c r="F1987" s="8" t="str">
        <f>_xlfn.IFNA(INDEX('HS Codes'!$D$2:$K4541,MATCH($B1987,'HS Codes'!$A$2:$A4541,0),MATCH(F$1,'HS Codes'!$D$1:$K$1,0)),"")</f>
        <v/>
      </c>
      <c r="G1987" s="8" t="str">
        <f>_xlfn.IFNA(INDEX('HS Codes'!$D$2:$K4541,MATCH($B1987,'HS Codes'!$A$2:$A4541,0),MATCH(G$1,'HS Codes'!$D$1:$K$1,0)),"")</f>
        <v/>
      </c>
      <c r="H1987" s="8" t="str">
        <f>_xlfn.IFNA(INDEX('HS Codes'!$D$2:$K4541,MATCH($B1987,'HS Codes'!$A$2:$A4541,0),MATCH(H$1,'HS Codes'!$D$1:$K$1,0)),"")</f>
        <v/>
      </c>
      <c r="I1987" s="8" t="str">
        <f>_xlfn.IFNA(INDEX('HS Codes'!$D$2:$K4541,MATCH($B1987,'HS Codes'!$A$2:$A4541,0),MATCH(I$1,'HS Codes'!$D$1:$K$1,0)),"")</f>
        <v/>
      </c>
      <c r="J1987" s="8" t="str">
        <f>_xlfn.IFNA(INDEX('HS Codes'!$D$2:$K4541,MATCH($B1987,'HS Codes'!$A$2:$A4541,0),MATCH(J$1,'HS Codes'!$D$1:$K$1,0)),"")</f>
        <v/>
      </c>
      <c r="K1987" s="8" t="str">
        <f>_xlfn.IFNA(INDEX('HS Codes'!$D$2:$K4541,MATCH($B1987,'HS Codes'!$A$2:$A4541,0),MATCH(K$1,'HS Codes'!$D$1:$K$1,0)),"")</f>
        <v/>
      </c>
      <c r="L1987" s="8" t="str">
        <f>_xlfn.IFNA(INDEX('HS Codes'!$D$2:$K4541,MATCH($B1987,'HS Codes'!$A$2:$A4541,0),MATCH(L$1,'HS Codes'!$D$1:$K$1,0)),"")</f>
        <v/>
      </c>
      <c r="M1987" s="8" t="str">
        <f>_xlfn.IFNA(INDEX('HS Codes'!$C$2:$C4541,MATCH($B1987,'HS Codes'!$A$2:$A4541,0)),"")</f>
        <v/>
      </c>
      <c r="N1987" s="9"/>
      <c r="O1987" s="9"/>
      <c r="P1987" s="9"/>
      <c r="Q1987" s="9"/>
    </row>
    <row r="1988" spans="1:17" ht="15.75" customHeight="1">
      <c r="A1988" s="7" t="s">
        <v>2281</v>
      </c>
      <c r="B1988" s="7"/>
      <c r="C1988" s="7"/>
      <c r="D1988" s="7"/>
      <c r="E1988" s="7"/>
      <c r="F1988" s="8" t="str">
        <f>_xlfn.IFNA(INDEX('HS Codes'!$D$2:$K4542,MATCH($B1988,'HS Codes'!$A$2:$A4542,0),MATCH(F$1,'HS Codes'!$D$1:$K$1,0)),"")</f>
        <v/>
      </c>
      <c r="G1988" s="8" t="str">
        <f>_xlfn.IFNA(INDEX('HS Codes'!$D$2:$K4542,MATCH($B1988,'HS Codes'!$A$2:$A4542,0),MATCH(G$1,'HS Codes'!$D$1:$K$1,0)),"")</f>
        <v/>
      </c>
      <c r="H1988" s="8" t="str">
        <f>_xlfn.IFNA(INDEX('HS Codes'!$D$2:$K4542,MATCH($B1988,'HS Codes'!$A$2:$A4542,0),MATCH(H$1,'HS Codes'!$D$1:$K$1,0)),"")</f>
        <v/>
      </c>
      <c r="I1988" s="8" t="str">
        <f>_xlfn.IFNA(INDEX('HS Codes'!$D$2:$K4542,MATCH($B1988,'HS Codes'!$A$2:$A4542,0),MATCH(I$1,'HS Codes'!$D$1:$K$1,0)),"")</f>
        <v/>
      </c>
      <c r="J1988" s="8" t="str">
        <f>_xlfn.IFNA(INDEX('HS Codes'!$D$2:$K4542,MATCH($B1988,'HS Codes'!$A$2:$A4542,0),MATCH(J$1,'HS Codes'!$D$1:$K$1,0)),"")</f>
        <v/>
      </c>
      <c r="K1988" s="8" t="str">
        <f>_xlfn.IFNA(INDEX('HS Codes'!$D$2:$K4542,MATCH($B1988,'HS Codes'!$A$2:$A4542,0),MATCH(K$1,'HS Codes'!$D$1:$K$1,0)),"")</f>
        <v/>
      </c>
      <c r="L1988" s="8" t="str">
        <f>_xlfn.IFNA(INDEX('HS Codes'!$D$2:$K4542,MATCH($B1988,'HS Codes'!$A$2:$A4542,0),MATCH(L$1,'HS Codes'!$D$1:$K$1,0)),"")</f>
        <v/>
      </c>
      <c r="M1988" s="8" t="str">
        <f>_xlfn.IFNA(INDEX('HS Codes'!$C$2:$C4542,MATCH($B1988,'HS Codes'!$A$2:$A4542,0)),"")</f>
        <v/>
      </c>
      <c r="N1988" s="9"/>
      <c r="O1988" s="9"/>
      <c r="P1988" s="9"/>
      <c r="Q1988" s="9"/>
    </row>
    <row r="1989" spans="1:17" ht="15.75" customHeight="1">
      <c r="A1989" s="7" t="s">
        <v>2282</v>
      </c>
      <c r="B1989" s="7"/>
      <c r="C1989" s="7"/>
      <c r="D1989" s="7"/>
      <c r="E1989" s="7"/>
      <c r="F1989" s="8" t="str">
        <f>_xlfn.IFNA(INDEX('HS Codes'!$D$2:$K4543,MATCH($B1989,'HS Codes'!$A$2:$A4543,0),MATCH(F$1,'HS Codes'!$D$1:$K$1,0)),"")</f>
        <v/>
      </c>
      <c r="G1989" s="8" t="str">
        <f>_xlfn.IFNA(INDEX('HS Codes'!$D$2:$K4543,MATCH($B1989,'HS Codes'!$A$2:$A4543,0),MATCH(G$1,'HS Codes'!$D$1:$K$1,0)),"")</f>
        <v/>
      </c>
      <c r="H1989" s="8" t="str">
        <f>_xlfn.IFNA(INDEX('HS Codes'!$D$2:$K4543,MATCH($B1989,'HS Codes'!$A$2:$A4543,0),MATCH(H$1,'HS Codes'!$D$1:$K$1,0)),"")</f>
        <v/>
      </c>
      <c r="I1989" s="8" t="str">
        <f>_xlfn.IFNA(INDEX('HS Codes'!$D$2:$K4543,MATCH($B1989,'HS Codes'!$A$2:$A4543,0),MATCH(I$1,'HS Codes'!$D$1:$K$1,0)),"")</f>
        <v/>
      </c>
      <c r="J1989" s="8" t="str">
        <f>_xlfn.IFNA(INDEX('HS Codes'!$D$2:$K4543,MATCH($B1989,'HS Codes'!$A$2:$A4543,0),MATCH(J$1,'HS Codes'!$D$1:$K$1,0)),"")</f>
        <v/>
      </c>
      <c r="K1989" s="8" t="str">
        <f>_xlfn.IFNA(INDEX('HS Codes'!$D$2:$K4543,MATCH($B1989,'HS Codes'!$A$2:$A4543,0),MATCH(K$1,'HS Codes'!$D$1:$K$1,0)),"")</f>
        <v/>
      </c>
      <c r="L1989" s="8" t="str">
        <f>_xlfn.IFNA(INDEX('HS Codes'!$D$2:$K4543,MATCH($B1989,'HS Codes'!$A$2:$A4543,0),MATCH(L$1,'HS Codes'!$D$1:$K$1,0)),"")</f>
        <v/>
      </c>
      <c r="M1989" s="8" t="str">
        <f>_xlfn.IFNA(INDEX('HS Codes'!$C$2:$C4543,MATCH($B1989,'HS Codes'!$A$2:$A4543,0)),"")</f>
        <v/>
      </c>
      <c r="N1989" s="9"/>
      <c r="O1989" s="9"/>
      <c r="P1989" s="9"/>
      <c r="Q1989" s="9"/>
    </row>
    <row r="1990" spans="1:17" ht="15.75" customHeight="1">
      <c r="A1990" s="7" t="s">
        <v>2283</v>
      </c>
      <c r="B1990" s="7" t="s">
        <v>150</v>
      </c>
      <c r="C1990" s="7"/>
      <c r="D1990" s="7" t="s">
        <v>151</v>
      </c>
      <c r="E1990" s="7" t="s">
        <v>151</v>
      </c>
      <c r="F1990" s="8" t="str">
        <f>_xlfn.IFNA(INDEX('HS Codes'!$D$2:$K4544,MATCH($B1990,'HS Codes'!$A$2:$A4544,0),MATCH(F$1,'HS Codes'!$D$1:$K$1,0)),"")</f>
        <v>6208.92.0010</v>
      </c>
      <c r="G1990" s="8">
        <f>_xlfn.IFNA(INDEX('HS Codes'!$D$2:$K4544,MATCH($B1990,'HS Codes'!$A$2:$A4544,0),MATCH(G$1,'HS Codes'!$D$1:$K$1,0)),"")</f>
        <v>6208110000</v>
      </c>
      <c r="H1990" s="8" t="str">
        <f>_xlfn.IFNA(INDEX('HS Codes'!$D$2:$K4544,MATCH($B1990,'HS Codes'!$A$2:$A4544,0),MATCH(H$1,'HS Codes'!$D$1:$K$1,0)),"")</f>
        <v>6208.92.00.00</v>
      </c>
      <c r="I1990" s="8">
        <f>_xlfn.IFNA(INDEX('HS Codes'!$D$2:$K4544,MATCH($B1990,'HS Codes'!$A$2:$A4544,0),MATCH(I$1,'HS Codes'!$D$1:$K$1,0)),"")</f>
        <v>6208990099</v>
      </c>
      <c r="J1990" s="8">
        <f>_xlfn.IFNA(INDEX('HS Codes'!$D$2:$K4544,MATCH($B1990,'HS Codes'!$A$2:$A4544,0),MATCH(J$1,'HS Codes'!$D$1:$K$1,0)),"")</f>
        <v>0</v>
      </c>
      <c r="K1990" s="8" t="str">
        <f>_xlfn.IFNA(INDEX('HS Codes'!$D$2:$K4544,MATCH($B1990,'HS Codes'!$A$2:$A4544,0),MATCH(K$1,'HS Codes'!$D$1:$K$1,0)),"")</f>
        <v>6208.11.00</v>
      </c>
      <c r="L1990" s="8">
        <f>_xlfn.IFNA(INDEX('HS Codes'!$D$2:$K4544,MATCH($B1990,'HS Codes'!$A$2:$A4544,0),MATCH(L$1,'HS Codes'!$D$1:$K$1,0)),"")</f>
        <v>62089200</v>
      </c>
      <c r="M1990" s="8" t="str">
        <f>_xlfn.IFNA(INDEX('HS Codes'!$C$2:$C4544,MATCH($B1990,'HS Codes'!$A$2:$A4544,0)),"")</f>
        <v>Bathrobe 100% recycled 220 GSM/83% polyester/17% polyamide includes cotton on the packing pouch drawstring</v>
      </c>
      <c r="N1990" s="9"/>
      <c r="O1990" s="9"/>
      <c r="P1990" s="9"/>
      <c r="Q1990" s="9"/>
    </row>
    <row r="1991" spans="1:17" ht="15.75" customHeight="1">
      <c r="A1991" s="7" t="s">
        <v>2284</v>
      </c>
      <c r="B1991" s="7" t="s">
        <v>150</v>
      </c>
      <c r="C1991" s="7"/>
      <c r="D1991" s="7" t="s">
        <v>151</v>
      </c>
      <c r="E1991" s="7" t="s">
        <v>151</v>
      </c>
      <c r="F1991" s="8" t="str">
        <f>_xlfn.IFNA(INDEX('HS Codes'!$D$2:$K4545,MATCH($B1991,'HS Codes'!$A$2:$A4545,0),MATCH(F$1,'HS Codes'!$D$1:$K$1,0)),"")</f>
        <v>6208.92.0010</v>
      </c>
      <c r="G1991" s="8">
        <f>_xlfn.IFNA(INDEX('HS Codes'!$D$2:$K4545,MATCH($B1991,'HS Codes'!$A$2:$A4545,0),MATCH(G$1,'HS Codes'!$D$1:$K$1,0)),"")</f>
        <v>6208110000</v>
      </c>
      <c r="H1991" s="8" t="str">
        <f>_xlfn.IFNA(INDEX('HS Codes'!$D$2:$K4545,MATCH($B1991,'HS Codes'!$A$2:$A4545,0),MATCH(H$1,'HS Codes'!$D$1:$K$1,0)),"")</f>
        <v>6208.92.00.00</v>
      </c>
      <c r="I1991" s="8">
        <f>_xlfn.IFNA(INDEX('HS Codes'!$D$2:$K4545,MATCH($B1991,'HS Codes'!$A$2:$A4545,0),MATCH(I$1,'HS Codes'!$D$1:$K$1,0)),"")</f>
        <v>6208990099</v>
      </c>
      <c r="J1991" s="8">
        <f>_xlfn.IFNA(INDEX('HS Codes'!$D$2:$K4545,MATCH($B1991,'HS Codes'!$A$2:$A4545,0),MATCH(J$1,'HS Codes'!$D$1:$K$1,0)),"")</f>
        <v>0</v>
      </c>
      <c r="K1991" s="8" t="str">
        <f>_xlfn.IFNA(INDEX('HS Codes'!$D$2:$K4545,MATCH($B1991,'HS Codes'!$A$2:$A4545,0),MATCH(K$1,'HS Codes'!$D$1:$K$1,0)),"")</f>
        <v>6208.11.00</v>
      </c>
      <c r="L1991" s="8">
        <f>_xlfn.IFNA(INDEX('HS Codes'!$D$2:$K4545,MATCH($B1991,'HS Codes'!$A$2:$A4545,0),MATCH(L$1,'HS Codes'!$D$1:$K$1,0)),"")</f>
        <v>62089200</v>
      </c>
      <c r="M1991" s="8" t="str">
        <f>_xlfn.IFNA(INDEX('HS Codes'!$C$2:$C4545,MATCH($B1991,'HS Codes'!$A$2:$A4545,0)),"")</f>
        <v>Bathrobe 100% recycled 220 GSM/83% polyester/17% polyamide includes cotton on the packing pouch drawstring</v>
      </c>
      <c r="N1991" s="9"/>
      <c r="O1991" s="9"/>
      <c r="P1991" s="9"/>
      <c r="Q1991" s="9"/>
    </row>
    <row r="1992" spans="1:17" ht="15.75" customHeight="1">
      <c r="A1992" s="7" t="s">
        <v>2285</v>
      </c>
      <c r="B1992" s="7" t="s">
        <v>150</v>
      </c>
      <c r="C1992" s="7"/>
      <c r="D1992" s="7" t="s">
        <v>151</v>
      </c>
      <c r="E1992" s="7" t="s">
        <v>151</v>
      </c>
      <c r="F1992" s="8" t="str">
        <f>_xlfn.IFNA(INDEX('HS Codes'!$D$2:$K4546,MATCH($B1992,'HS Codes'!$A$2:$A4546,0),MATCH(F$1,'HS Codes'!$D$1:$K$1,0)),"")</f>
        <v>6208.92.0010</v>
      </c>
      <c r="G1992" s="8">
        <f>_xlfn.IFNA(INDEX('HS Codes'!$D$2:$K4546,MATCH($B1992,'HS Codes'!$A$2:$A4546,0),MATCH(G$1,'HS Codes'!$D$1:$K$1,0)),"")</f>
        <v>6208110000</v>
      </c>
      <c r="H1992" s="8" t="str">
        <f>_xlfn.IFNA(INDEX('HS Codes'!$D$2:$K4546,MATCH($B1992,'HS Codes'!$A$2:$A4546,0),MATCH(H$1,'HS Codes'!$D$1:$K$1,0)),"")</f>
        <v>6208.92.00.00</v>
      </c>
      <c r="I1992" s="8">
        <f>_xlfn.IFNA(INDEX('HS Codes'!$D$2:$K4546,MATCH($B1992,'HS Codes'!$A$2:$A4546,0),MATCH(I$1,'HS Codes'!$D$1:$K$1,0)),"")</f>
        <v>6208990099</v>
      </c>
      <c r="J1992" s="8">
        <f>_xlfn.IFNA(INDEX('HS Codes'!$D$2:$K4546,MATCH($B1992,'HS Codes'!$A$2:$A4546,0),MATCH(J$1,'HS Codes'!$D$1:$K$1,0)),"")</f>
        <v>0</v>
      </c>
      <c r="K1992" s="8" t="str">
        <f>_xlfn.IFNA(INDEX('HS Codes'!$D$2:$K4546,MATCH($B1992,'HS Codes'!$A$2:$A4546,0),MATCH(K$1,'HS Codes'!$D$1:$K$1,0)),"")</f>
        <v>6208.11.00</v>
      </c>
      <c r="L1992" s="8">
        <f>_xlfn.IFNA(INDEX('HS Codes'!$D$2:$K4546,MATCH($B1992,'HS Codes'!$A$2:$A4546,0),MATCH(L$1,'HS Codes'!$D$1:$K$1,0)),"")</f>
        <v>62089200</v>
      </c>
      <c r="M1992" s="8" t="str">
        <f>_xlfn.IFNA(INDEX('HS Codes'!$C$2:$C4546,MATCH($B1992,'HS Codes'!$A$2:$A4546,0)),"")</f>
        <v>Bathrobe 100% recycled 220 GSM/83% polyester/17% polyamide includes cotton on the packing pouch drawstring</v>
      </c>
      <c r="N1992" s="9"/>
      <c r="O1992" s="9"/>
      <c r="P1992" s="9"/>
      <c r="Q1992" s="9"/>
    </row>
    <row r="1993" spans="1:17" ht="15.75" customHeight="1">
      <c r="A1993" s="7" t="s">
        <v>2286</v>
      </c>
      <c r="B1993" s="7" t="s">
        <v>150</v>
      </c>
      <c r="C1993" s="7"/>
      <c r="D1993" s="7" t="s">
        <v>151</v>
      </c>
      <c r="E1993" s="7" t="s">
        <v>151</v>
      </c>
      <c r="F1993" s="8" t="str">
        <f>_xlfn.IFNA(INDEX('HS Codes'!$D$2:$K4547,MATCH($B1993,'HS Codes'!$A$2:$A4547,0),MATCH(F$1,'HS Codes'!$D$1:$K$1,0)),"")</f>
        <v>6208.92.0010</v>
      </c>
      <c r="G1993" s="8">
        <f>_xlfn.IFNA(INDEX('HS Codes'!$D$2:$K4547,MATCH($B1993,'HS Codes'!$A$2:$A4547,0),MATCH(G$1,'HS Codes'!$D$1:$K$1,0)),"")</f>
        <v>6208110000</v>
      </c>
      <c r="H1993" s="8" t="str">
        <f>_xlfn.IFNA(INDEX('HS Codes'!$D$2:$K4547,MATCH($B1993,'HS Codes'!$A$2:$A4547,0),MATCH(H$1,'HS Codes'!$D$1:$K$1,0)),"")</f>
        <v>6208.92.00.00</v>
      </c>
      <c r="I1993" s="8">
        <f>_xlfn.IFNA(INDEX('HS Codes'!$D$2:$K4547,MATCH($B1993,'HS Codes'!$A$2:$A4547,0),MATCH(I$1,'HS Codes'!$D$1:$K$1,0)),"")</f>
        <v>6208990099</v>
      </c>
      <c r="J1993" s="8">
        <f>_xlfn.IFNA(INDEX('HS Codes'!$D$2:$K4547,MATCH($B1993,'HS Codes'!$A$2:$A4547,0),MATCH(J$1,'HS Codes'!$D$1:$K$1,0)),"")</f>
        <v>0</v>
      </c>
      <c r="K1993" s="8" t="str">
        <f>_xlfn.IFNA(INDEX('HS Codes'!$D$2:$K4547,MATCH($B1993,'HS Codes'!$A$2:$A4547,0),MATCH(K$1,'HS Codes'!$D$1:$K$1,0)),"")</f>
        <v>6208.11.00</v>
      </c>
      <c r="L1993" s="8">
        <f>_xlfn.IFNA(INDEX('HS Codes'!$D$2:$K4547,MATCH($B1993,'HS Codes'!$A$2:$A4547,0),MATCH(L$1,'HS Codes'!$D$1:$K$1,0)),"")</f>
        <v>62089200</v>
      </c>
      <c r="M1993" s="8" t="str">
        <f>_xlfn.IFNA(INDEX('HS Codes'!$C$2:$C4547,MATCH($B1993,'HS Codes'!$A$2:$A4547,0)),"")</f>
        <v>Bathrobe 100% recycled 220 GSM/83% polyester/17% polyamide includes cotton on the packing pouch drawstring</v>
      </c>
      <c r="N1993" s="9"/>
      <c r="O1993" s="9"/>
      <c r="P1993" s="9"/>
      <c r="Q1993" s="9"/>
    </row>
    <row r="1994" spans="1:17" ht="15.75" customHeight="1">
      <c r="A1994" s="7" t="s">
        <v>2287</v>
      </c>
      <c r="B1994" s="7" t="s">
        <v>150</v>
      </c>
      <c r="C1994" s="7"/>
      <c r="D1994" s="7" t="s">
        <v>151</v>
      </c>
      <c r="E1994" s="7" t="s">
        <v>151</v>
      </c>
      <c r="F1994" s="8" t="str">
        <f>_xlfn.IFNA(INDEX('HS Codes'!$D$2:$K4548,MATCH($B1994,'HS Codes'!$A$2:$A4548,0),MATCH(F$1,'HS Codes'!$D$1:$K$1,0)),"")</f>
        <v>6208.92.0010</v>
      </c>
      <c r="G1994" s="8">
        <f>_xlfn.IFNA(INDEX('HS Codes'!$D$2:$K4548,MATCH($B1994,'HS Codes'!$A$2:$A4548,0),MATCH(G$1,'HS Codes'!$D$1:$K$1,0)),"")</f>
        <v>6208110000</v>
      </c>
      <c r="H1994" s="8" t="str">
        <f>_xlfn.IFNA(INDEX('HS Codes'!$D$2:$K4548,MATCH($B1994,'HS Codes'!$A$2:$A4548,0),MATCH(H$1,'HS Codes'!$D$1:$K$1,0)),"")</f>
        <v>6208.92.00.00</v>
      </c>
      <c r="I1994" s="8">
        <f>_xlfn.IFNA(INDEX('HS Codes'!$D$2:$K4548,MATCH($B1994,'HS Codes'!$A$2:$A4548,0),MATCH(I$1,'HS Codes'!$D$1:$K$1,0)),"")</f>
        <v>6208990099</v>
      </c>
      <c r="J1994" s="8">
        <f>_xlfn.IFNA(INDEX('HS Codes'!$D$2:$K4548,MATCH($B1994,'HS Codes'!$A$2:$A4548,0),MATCH(J$1,'HS Codes'!$D$1:$K$1,0)),"")</f>
        <v>0</v>
      </c>
      <c r="K1994" s="8" t="str">
        <f>_xlfn.IFNA(INDEX('HS Codes'!$D$2:$K4548,MATCH($B1994,'HS Codes'!$A$2:$A4548,0),MATCH(K$1,'HS Codes'!$D$1:$K$1,0)),"")</f>
        <v>6208.11.00</v>
      </c>
      <c r="L1994" s="8">
        <f>_xlfn.IFNA(INDEX('HS Codes'!$D$2:$K4548,MATCH($B1994,'HS Codes'!$A$2:$A4548,0),MATCH(L$1,'HS Codes'!$D$1:$K$1,0)),"")</f>
        <v>62089200</v>
      </c>
      <c r="M1994" s="8" t="str">
        <f>_xlfn.IFNA(INDEX('HS Codes'!$C$2:$C4548,MATCH($B1994,'HS Codes'!$A$2:$A4548,0)),"")</f>
        <v>Bathrobe 100% recycled 220 GSM/83% polyester/17% polyamide includes cotton on the packing pouch drawstring</v>
      </c>
      <c r="N1994" s="9"/>
      <c r="O1994" s="9"/>
      <c r="P1994" s="9"/>
      <c r="Q1994" s="9"/>
    </row>
    <row r="1995" spans="1:17" ht="15.75" customHeight="1">
      <c r="A1995" s="7" t="s">
        <v>2288</v>
      </c>
      <c r="B1995" s="7" t="s">
        <v>164</v>
      </c>
      <c r="C1995" s="7" t="s">
        <v>278</v>
      </c>
      <c r="D1995" s="7" t="s">
        <v>165</v>
      </c>
      <c r="E1995" s="7" t="s">
        <v>348</v>
      </c>
      <c r="F1995" s="8" t="str">
        <f>_xlfn.IFNA(INDEX('HS Codes'!$D$2:$K4549,MATCH($B1995,'HS Codes'!$A$2:$A4549,0),MATCH(F$1,'HS Codes'!$D$1:$K$1,0)),"")</f>
        <v>6302.93.2000</v>
      </c>
      <c r="G1995" s="8">
        <f>_xlfn.IFNA(INDEX('HS Codes'!$D$2:$K4549,MATCH($B1995,'HS Codes'!$A$2:$A4549,0),MATCH(G$1,'HS Codes'!$D$1:$K$1,0)),"")</f>
        <v>6302600090</v>
      </c>
      <c r="H1995" s="8" t="str">
        <f>_xlfn.IFNA(INDEX('HS Codes'!$D$2:$K4549,MATCH($B1995,'HS Codes'!$A$2:$A4549,0),MATCH(H$1,'HS Codes'!$D$1:$K$1,0)),"")</f>
        <v>6302.93.00.00</v>
      </c>
      <c r="I1995" s="8">
        <f>_xlfn.IFNA(INDEX('HS Codes'!$D$2:$K4549,MATCH($B1995,'HS Codes'!$A$2:$A4549,0),MATCH(I$1,'HS Codes'!$D$1:$K$1,0)),"")</f>
        <v>63029390</v>
      </c>
      <c r="J1995" s="8">
        <f>_xlfn.IFNA(INDEX('HS Codes'!$D$2:$K4549,MATCH($B1995,'HS Codes'!$A$2:$A4549,0),MATCH(J$1,'HS Codes'!$D$1:$K$1,0)),"")</f>
        <v>0</v>
      </c>
      <c r="K1995" s="8" t="str">
        <f>_xlfn.IFNA(INDEX('HS Codes'!$D$2:$K4549,MATCH($B1995,'HS Codes'!$A$2:$A4549,0),MATCH(K$1,'HS Codes'!$D$1:$K$1,0)),"")</f>
        <v>6302.39.00</v>
      </c>
      <c r="L1995" s="8">
        <f>_xlfn.IFNA(INDEX('HS Codes'!$D$2:$K4549,MATCH($B1995,'HS Codes'!$A$2:$A4549,0),MATCH(L$1,'HS Codes'!$D$1:$K$1,0)),"")</f>
        <v>63029120</v>
      </c>
      <c r="M1995" s="8" t="str">
        <f>_xlfn.IFNA(INDEX('HS Codes'!$C$2:$C4549,MATCH($B1995,'HS Codes'!$A$2:$A4549,0)),"")</f>
        <v>Beach Towel - Toilet Linen 100% recycled 220 GSM/83% polyester/17% polyamide includes cotton on the packing pouch drawstring</v>
      </c>
      <c r="N1995" s="9"/>
      <c r="O1995" s="9"/>
      <c r="P1995" s="9"/>
      <c r="Q1995" s="9"/>
    </row>
    <row r="1996" spans="1:17" ht="15.75" customHeight="1">
      <c r="A1996" s="7" t="s">
        <v>2289</v>
      </c>
      <c r="B1996" s="7" t="s">
        <v>164</v>
      </c>
      <c r="C1996" s="7" t="s">
        <v>278</v>
      </c>
      <c r="D1996" s="7" t="s">
        <v>165</v>
      </c>
      <c r="E1996" s="7" t="s">
        <v>348</v>
      </c>
      <c r="F1996" s="8" t="str">
        <f>_xlfn.IFNA(INDEX('HS Codes'!$D$2:$K4550,MATCH($B1996,'HS Codes'!$A$2:$A4550,0),MATCH(F$1,'HS Codes'!$D$1:$K$1,0)),"")</f>
        <v>6302.93.2000</v>
      </c>
      <c r="G1996" s="8">
        <f>_xlfn.IFNA(INDEX('HS Codes'!$D$2:$K4550,MATCH($B1996,'HS Codes'!$A$2:$A4550,0),MATCH(G$1,'HS Codes'!$D$1:$K$1,0)),"")</f>
        <v>6302600090</v>
      </c>
      <c r="H1996" s="8" t="str">
        <f>_xlfn.IFNA(INDEX('HS Codes'!$D$2:$K4550,MATCH($B1996,'HS Codes'!$A$2:$A4550,0),MATCH(H$1,'HS Codes'!$D$1:$K$1,0)),"")</f>
        <v>6302.93.00.00</v>
      </c>
      <c r="I1996" s="8">
        <f>_xlfn.IFNA(INDEX('HS Codes'!$D$2:$K4550,MATCH($B1996,'HS Codes'!$A$2:$A4550,0),MATCH(I$1,'HS Codes'!$D$1:$K$1,0)),"")</f>
        <v>63029390</v>
      </c>
      <c r="J1996" s="8">
        <f>_xlfn.IFNA(INDEX('HS Codes'!$D$2:$K4550,MATCH($B1996,'HS Codes'!$A$2:$A4550,0),MATCH(J$1,'HS Codes'!$D$1:$K$1,0)),"")</f>
        <v>0</v>
      </c>
      <c r="K1996" s="8" t="str">
        <f>_xlfn.IFNA(INDEX('HS Codes'!$D$2:$K4550,MATCH($B1996,'HS Codes'!$A$2:$A4550,0),MATCH(K$1,'HS Codes'!$D$1:$K$1,0)),"")</f>
        <v>6302.39.00</v>
      </c>
      <c r="L1996" s="8">
        <f>_xlfn.IFNA(INDEX('HS Codes'!$D$2:$K4550,MATCH($B1996,'HS Codes'!$A$2:$A4550,0),MATCH(L$1,'HS Codes'!$D$1:$K$1,0)),"")</f>
        <v>63029120</v>
      </c>
      <c r="M1996" s="8" t="str">
        <f>_xlfn.IFNA(INDEX('HS Codes'!$C$2:$C4550,MATCH($B1996,'HS Codes'!$A$2:$A4550,0)),"")</f>
        <v>Beach Towel - Toilet Linen 100% recycled 220 GSM/83% polyester/17% polyamide includes cotton on the packing pouch drawstring</v>
      </c>
      <c r="N1996" s="9"/>
      <c r="O1996" s="9"/>
      <c r="P1996" s="9"/>
      <c r="Q1996" s="9"/>
    </row>
    <row r="1997" spans="1:17" ht="15.75" customHeight="1">
      <c r="A1997" s="7" t="s">
        <v>2290</v>
      </c>
      <c r="B1997" s="7" t="s">
        <v>164</v>
      </c>
      <c r="C1997" s="7" t="s">
        <v>278</v>
      </c>
      <c r="D1997" s="7" t="s">
        <v>165</v>
      </c>
      <c r="E1997" s="7" t="s">
        <v>348</v>
      </c>
      <c r="F1997" s="8" t="str">
        <f>_xlfn.IFNA(INDEX('HS Codes'!$D$2:$K4551,MATCH($B1997,'HS Codes'!$A$2:$A4551,0),MATCH(F$1,'HS Codes'!$D$1:$K$1,0)),"")</f>
        <v>6302.93.2000</v>
      </c>
      <c r="G1997" s="8">
        <f>_xlfn.IFNA(INDEX('HS Codes'!$D$2:$K4551,MATCH($B1997,'HS Codes'!$A$2:$A4551,0),MATCH(G$1,'HS Codes'!$D$1:$K$1,0)),"")</f>
        <v>6302600090</v>
      </c>
      <c r="H1997" s="8" t="str">
        <f>_xlfn.IFNA(INDEX('HS Codes'!$D$2:$K4551,MATCH($B1997,'HS Codes'!$A$2:$A4551,0),MATCH(H$1,'HS Codes'!$D$1:$K$1,0)),"")</f>
        <v>6302.93.00.00</v>
      </c>
      <c r="I1997" s="8">
        <f>_xlfn.IFNA(INDEX('HS Codes'!$D$2:$K4551,MATCH($B1997,'HS Codes'!$A$2:$A4551,0),MATCH(I$1,'HS Codes'!$D$1:$K$1,0)),"")</f>
        <v>63029390</v>
      </c>
      <c r="J1997" s="8">
        <f>_xlfn.IFNA(INDEX('HS Codes'!$D$2:$K4551,MATCH($B1997,'HS Codes'!$A$2:$A4551,0),MATCH(J$1,'HS Codes'!$D$1:$K$1,0)),"")</f>
        <v>0</v>
      </c>
      <c r="K1997" s="8" t="str">
        <f>_xlfn.IFNA(INDEX('HS Codes'!$D$2:$K4551,MATCH($B1997,'HS Codes'!$A$2:$A4551,0),MATCH(K$1,'HS Codes'!$D$1:$K$1,0)),"")</f>
        <v>6302.39.00</v>
      </c>
      <c r="L1997" s="8">
        <f>_xlfn.IFNA(INDEX('HS Codes'!$D$2:$K4551,MATCH($B1997,'HS Codes'!$A$2:$A4551,0),MATCH(L$1,'HS Codes'!$D$1:$K$1,0)),"")</f>
        <v>63029120</v>
      </c>
      <c r="M1997" s="8" t="str">
        <f>_xlfn.IFNA(INDEX('HS Codes'!$C$2:$C4551,MATCH($B1997,'HS Codes'!$A$2:$A4551,0)),"")</f>
        <v>Beach Towel - Toilet Linen 100% recycled 220 GSM/83% polyester/17% polyamide includes cotton on the packing pouch drawstring</v>
      </c>
      <c r="N1997" s="9"/>
      <c r="O1997" s="9"/>
      <c r="P1997" s="9"/>
      <c r="Q1997" s="9"/>
    </row>
    <row r="1998" spans="1:17" ht="15.75" customHeight="1">
      <c r="A1998" s="7" t="s">
        <v>2291</v>
      </c>
      <c r="B1998" s="7" t="s">
        <v>164</v>
      </c>
      <c r="C1998" s="7" t="s">
        <v>278</v>
      </c>
      <c r="D1998" s="7" t="s">
        <v>165</v>
      </c>
      <c r="E1998" s="7" t="s">
        <v>348</v>
      </c>
      <c r="F1998" s="8" t="str">
        <f>_xlfn.IFNA(INDEX('HS Codes'!$D$2:$K4552,MATCH($B1998,'HS Codes'!$A$2:$A4552,0),MATCH(F$1,'HS Codes'!$D$1:$K$1,0)),"")</f>
        <v>6302.93.2000</v>
      </c>
      <c r="G1998" s="8">
        <f>_xlfn.IFNA(INDEX('HS Codes'!$D$2:$K4552,MATCH($B1998,'HS Codes'!$A$2:$A4552,0),MATCH(G$1,'HS Codes'!$D$1:$K$1,0)),"")</f>
        <v>6302600090</v>
      </c>
      <c r="H1998" s="8" t="str">
        <f>_xlfn.IFNA(INDEX('HS Codes'!$D$2:$K4552,MATCH($B1998,'HS Codes'!$A$2:$A4552,0),MATCH(H$1,'HS Codes'!$D$1:$K$1,0)),"")</f>
        <v>6302.93.00.00</v>
      </c>
      <c r="I1998" s="8">
        <f>_xlfn.IFNA(INDEX('HS Codes'!$D$2:$K4552,MATCH($B1998,'HS Codes'!$A$2:$A4552,0),MATCH(I$1,'HS Codes'!$D$1:$K$1,0)),"")</f>
        <v>63029390</v>
      </c>
      <c r="J1998" s="8">
        <f>_xlfn.IFNA(INDEX('HS Codes'!$D$2:$K4552,MATCH($B1998,'HS Codes'!$A$2:$A4552,0),MATCH(J$1,'HS Codes'!$D$1:$K$1,0)),"")</f>
        <v>0</v>
      </c>
      <c r="K1998" s="8" t="str">
        <f>_xlfn.IFNA(INDEX('HS Codes'!$D$2:$K4552,MATCH($B1998,'HS Codes'!$A$2:$A4552,0),MATCH(K$1,'HS Codes'!$D$1:$K$1,0)),"")</f>
        <v>6302.39.00</v>
      </c>
      <c r="L1998" s="8">
        <f>_xlfn.IFNA(INDEX('HS Codes'!$D$2:$K4552,MATCH($B1998,'HS Codes'!$A$2:$A4552,0),MATCH(L$1,'HS Codes'!$D$1:$K$1,0)),"")</f>
        <v>63029120</v>
      </c>
      <c r="M1998" s="8" t="str">
        <f>_xlfn.IFNA(INDEX('HS Codes'!$C$2:$C4552,MATCH($B1998,'HS Codes'!$A$2:$A4552,0)),"")</f>
        <v>Beach Towel - Toilet Linen 100% recycled 220 GSM/83% polyester/17% polyamide includes cotton on the packing pouch drawstring</v>
      </c>
      <c r="N1998" s="9"/>
      <c r="O1998" s="9"/>
      <c r="P1998" s="9"/>
      <c r="Q1998" s="9"/>
    </row>
    <row r="1999" spans="1:17" ht="15.75" customHeight="1">
      <c r="A1999" s="7" t="s">
        <v>2292</v>
      </c>
      <c r="B1999" s="7" t="s">
        <v>164</v>
      </c>
      <c r="C1999" s="7" t="s">
        <v>278</v>
      </c>
      <c r="D1999" s="7" t="s">
        <v>165</v>
      </c>
      <c r="E1999" s="7" t="s">
        <v>348</v>
      </c>
      <c r="F1999" s="8" t="str">
        <f>_xlfn.IFNA(INDEX('HS Codes'!$D$2:$K4553,MATCH($B1999,'HS Codes'!$A$2:$A4553,0),MATCH(F$1,'HS Codes'!$D$1:$K$1,0)),"")</f>
        <v>6302.93.2000</v>
      </c>
      <c r="G1999" s="8">
        <f>_xlfn.IFNA(INDEX('HS Codes'!$D$2:$K4553,MATCH($B1999,'HS Codes'!$A$2:$A4553,0),MATCH(G$1,'HS Codes'!$D$1:$K$1,0)),"")</f>
        <v>6302600090</v>
      </c>
      <c r="H1999" s="8" t="str">
        <f>_xlfn.IFNA(INDEX('HS Codes'!$D$2:$K4553,MATCH($B1999,'HS Codes'!$A$2:$A4553,0),MATCH(H$1,'HS Codes'!$D$1:$K$1,0)),"")</f>
        <v>6302.93.00.00</v>
      </c>
      <c r="I1999" s="8">
        <f>_xlfn.IFNA(INDEX('HS Codes'!$D$2:$K4553,MATCH($B1999,'HS Codes'!$A$2:$A4553,0),MATCH(I$1,'HS Codes'!$D$1:$K$1,0)),"")</f>
        <v>63029390</v>
      </c>
      <c r="J1999" s="8">
        <f>_xlfn.IFNA(INDEX('HS Codes'!$D$2:$K4553,MATCH($B1999,'HS Codes'!$A$2:$A4553,0),MATCH(J$1,'HS Codes'!$D$1:$K$1,0)),"")</f>
        <v>0</v>
      </c>
      <c r="K1999" s="8" t="str">
        <f>_xlfn.IFNA(INDEX('HS Codes'!$D$2:$K4553,MATCH($B1999,'HS Codes'!$A$2:$A4553,0),MATCH(K$1,'HS Codes'!$D$1:$K$1,0)),"")</f>
        <v>6302.39.00</v>
      </c>
      <c r="L1999" s="8">
        <f>_xlfn.IFNA(INDEX('HS Codes'!$D$2:$K4553,MATCH($B1999,'HS Codes'!$A$2:$A4553,0),MATCH(L$1,'HS Codes'!$D$1:$K$1,0)),"")</f>
        <v>63029120</v>
      </c>
      <c r="M1999" s="8" t="str">
        <f>_xlfn.IFNA(INDEX('HS Codes'!$C$2:$C4553,MATCH($B1999,'HS Codes'!$A$2:$A4553,0)),"")</f>
        <v>Beach Towel - Toilet Linen 100% recycled 220 GSM/83% polyester/17% polyamide includes cotton on the packing pouch drawstring</v>
      </c>
      <c r="N1999" s="9"/>
      <c r="O1999" s="9"/>
      <c r="P1999" s="9"/>
      <c r="Q1999" s="9"/>
    </row>
    <row r="2000" spans="1:17" ht="15.75" customHeight="1">
      <c r="A2000" s="7" t="s">
        <v>2293</v>
      </c>
      <c r="B2000" s="7" t="s">
        <v>164</v>
      </c>
      <c r="C2000" s="7" t="s">
        <v>278</v>
      </c>
      <c r="D2000" s="7" t="s">
        <v>165</v>
      </c>
      <c r="E2000" s="7" t="s">
        <v>348</v>
      </c>
      <c r="F2000" s="8" t="str">
        <f>_xlfn.IFNA(INDEX('HS Codes'!$D$2:$K4554,MATCH($B2000,'HS Codes'!$A$2:$A4554,0),MATCH(F$1,'HS Codes'!$D$1:$K$1,0)),"")</f>
        <v>6302.93.2000</v>
      </c>
      <c r="G2000" s="8">
        <f>_xlfn.IFNA(INDEX('HS Codes'!$D$2:$K4554,MATCH($B2000,'HS Codes'!$A$2:$A4554,0),MATCH(G$1,'HS Codes'!$D$1:$K$1,0)),"")</f>
        <v>6302600090</v>
      </c>
      <c r="H2000" s="8" t="str">
        <f>_xlfn.IFNA(INDEX('HS Codes'!$D$2:$K4554,MATCH($B2000,'HS Codes'!$A$2:$A4554,0),MATCH(H$1,'HS Codes'!$D$1:$K$1,0)),"")</f>
        <v>6302.93.00.00</v>
      </c>
      <c r="I2000" s="8">
        <f>_xlfn.IFNA(INDEX('HS Codes'!$D$2:$K4554,MATCH($B2000,'HS Codes'!$A$2:$A4554,0),MATCH(I$1,'HS Codes'!$D$1:$K$1,0)),"")</f>
        <v>63029390</v>
      </c>
      <c r="J2000" s="8">
        <f>_xlfn.IFNA(INDEX('HS Codes'!$D$2:$K4554,MATCH($B2000,'HS Codes'!$A$2:$A4554,0),MATCH(J$1,'HS Codes'!$D$1:$K$1,0)),"")</f>
        <v>0</v>
      </c>
      <c r="K2000" s="8" t="str">
        <f>_xlfn.IFNA(INDEX('HS Codes'!$D$2:$K4554,MATCH($B2000,'HS Codes'!$A$2:$A4554,0),MATCH(K$1,'HS Codes'!$D$1:$K$1,0)),"")</f>
        <v>6302.39.00</v>
      </c>
      <c r="L2000" s="8">
        <f>_xlfn.IFNA(INDEX('HS Codes'!$D$2:$K4554,MATCH($B2000,'HS Codes'!$A$2:$A4554,0),MATCH(L$1,'HS Codes'!$D$1:$K$1,0)),"")</f>
        <v>63029120</v>
      </c>
      <c r="M2000" s="8" t="str">
        <f>_xlfn.IFNA(INDEX('HS Codes'!$C$2:$C4554,MATCH($B2000,'HS Codes'!$A$2:$A4554,0)),"")</f>
        <v>Beach Towel - Toilet Linen 100% recycled 220 GSM/83% polyester/17% polyamide includes cotton on the packing pouch drawstring</v>
      </c>
      <c r="N2000" s="9"/>
      <c r="O2000" s="9"/>
      <c r="P2000" s="9"/>
      <c r="Q2000" s="9"/>
    </row>
    <row r="2001" spans="1:17" ht="15.75" customHeight="1">
      <c r="A2001" s="7" t="s">
        <v>2294</v>
      </c>
      <c r="B2001" s="7" t="s">
        <v>164</v>
      </c>
      <c r="C2001" s="7" t="s">
        <v>278</v>
      </c>
      <c r="D2001" s="7" t="s">
        <v>165</v>
      </c>
      <c r="E2001" s="7" t="s">
        <v>348</v>
      </c>
      <c r="F2001" s="8" t="str">
        <f>_xlfn.IFNA(INDEX('HS Codes'!$D$2:$K4555,MATCH($B2001,'HS Codes'!$A$2:$A4555,0),MATCH(F$1,'HS Codes'!$D$1:$K$1,0)),"")</f>
        <v>6302.93.2000</v>
      </c>
      <c r="G2001" s="8">
        <f>_xlfn.IFNA(INDEX('HS Codes'!$D$2:$K4555,MATCH($B2001,'HS Codes'!$A$2:$A4555,0),MATCH(G$1,'HS Codes'!$D$1:$K$1,0)),"")</f>
        <v>6302600090</v>
      </c>
      <c r="H2001" s="8" t="str">
        <f>_xlfn.IFNA(INDEX('HS Codes'!$D$2:$K4555,MATCH($B2001,'HS Codes'!$A$2:$A4555,0),MATCH(H$1,'HS Codes'!$D$1:$K$1,0)),"")</f>
        <v>6302.93.00.00</v>
      </c>
      <c r="I2001" s="8">
        <f>_xlfn.IFNA(INDEX('HS Codes'!$D$2:$K4555,MATCH($B2001,'HS Codes'!$A$2:$A4555,0),MATCH(I$1,'HS Codes'!$D$1:$K$1,0)),"")</f>
        <v>63029390</v>
      </c>
      <c r="J2001" s="8">
        <f>_xlfn.IFNA(INDEX('HS Codes'!$D$2:$K4555,MATCH($B2001,'HS Codes'!$A$2:$A4555,0),MATCH(J$1,'HS Codes'!$D$1:$K$1,0)),"")</f>
        <v>0</v>
      </c>
      <c r="K2001" s="8" t="str">
        <f>_xlfn.IFNA(INDEX('HS Codes'!$D$2:$K4555,MATCH($B2001,'HS Codes'!$A$2:$A4555,0),MATCH(K$1,'HS Codes'!$D$1:$K$1,0)),"")</f>
        <v>6302.39.00</v>
      </c>
      <c r="L2001" s="8">
        <f>_xlfn.IFNA(INDEX('HS Codes'!$D$2:$K4555,MATCH($B2001,'HS Codes'!$A$2:$A4555,0),MATCH(L$1,'HS Codes'!$D$1:$K$1,0)),"")</f>
        <v>63029120</v>
      </c>
      <c r="M2001" s="8" t="str">
        <f>_xlfn.IFNA(INDEX('HS Codes'!$C$2:$C4555,MATCH($B2001,'HS Codes'!$A$2:$A4555,0)),"")</f>
        <v>Beach Towel - Toilet Linen 100% recycled 220 GSM/83% polyester/17% polyamide includes cotton on the packing pouch drawstring</v>
      </c>
      <c r="N2001" s="9"/>
      <c r="O2001" s="9"/>
      <c r="P2001" s="9"/>
      <c r="Q2001" s="9"/>
    </row>
    <row r="2002" spans="1:17" ht="15.75" customHeight="1">
      <c r="A2002" s="7" t="s">
        <v>2295</v>
      </c>
      <c r="B2002" s="7" t="s">
        <v>164</v>
      </c>
      <c r="C2002" s="7" t="s">
        <v>278</v>
      </c>
      <c r="D2002" s="7" t="s">
        <v>165</v>
      </c>
      <c r="E2002" s="7" t="s">
        <v>348</v>
      </c>
      <c r="F2002" s="8" t="str">
        <f>_xlfn.IFNA(INDEX('HS Codes'!$D$2:$K4556,MATCH($B2002,'HS Codes'!$A$2:$A4556,0),MATCH(F$1,'HS Codes'!$D$1:$K$1,0)),"")</f>
        <v>6302.93.2000</v>
      </c>
      <c r="G2002" s="8">
        <f>_xlfn.IFNA(INDEX('HS Codes'!$D$2:$K4556,MATCH($B2002,'HS Codes'!$A$2:$A4556,0),MATCH(G$1,'HS Codes'!$D$1:$K$1,0)),"")</f>
        <v>6302600090</v>
      </c>
      <c r="H2002" s="8" t="str">
        <f>_xlfn.IFNA(INDEX('HS Codes'!$D$2:$K4556,MATCH($B2002,'HS Codes'!$A$2:$A4556,0),MATCH(H$1,'HS Codes'!$D$1:$K$1,0)),"")</f>
        <v>6302.93.00.00</v>
      </c>
      <c r="I2002" s="8">
        <f>_xlfn.IFNA(INDEX('HS Codes'!$D$2:$K4556,MATCH($B2002,'HS Codes'!$A$2:$A4556,0),MATCH(I$1,'HS Codes'!$D$1:$K$1,0)),"")</f>
        <v>63029390</v>
      </c>
      <c r="J2002" s="8">
        <f>_xlfn.IFNA(INDEX('HS Codes'!$D$2:$K4556,MATCH($B2002,'HS Codes'!$A$2:$A4556,0),MATCH(J$1,'HS Codes'!$D$1:$K$1,0)),"")</f>
        <v>0</v>
      </c>
      <c r="K2002" s="8" t="str">
        <f>_xlfn.IFNA(INDEX('HS Codes'!$D$2:$K4556,MATCH($B2002,'HS Codes'!$A$2:$A4556,0),MATCH(K$1,'HS Codes'!$D$1:$K$1,0)),"")</f>
        <v>6302.39.00</v>
      </c>
      <c r="L2002" s="8">
        <f>_xlfn.IFNA(INDEX('HS Codes'!$D$2:$K4556,MATCH($B2002,'HS Codes'!$A$2:$A4556,0),MATCH(L$1,'HS Codes'!$D$1:$K$1,0)),"")</f>
        <v>63029120</v>
      </c>
      <c r="M2002" s="8" t="str">
        <f>_xlfn.IFNA(INDEX('HS Codes'!$C$2:$C4556,MATCH($B2002,'HS Codes'!$A$2:$A4556,0)),"")</f>
        <v>Beach Towel - Toilet Linen 100% recycled 220 GSM/83% polyester/17% polyamide includes cotton on the packing pouch drawstring</v>
      </c>
      <c r="N2002" s="9"/>
      <c r="O2002" s="9"/>
      <c r="P2002" s="9"/>
      <c r="Q2002" s="9"/>
    </row>
    <row r="2003" spans="1:17" ht="15.75" customHeight="1">
      <c r="A2003" s="7" t="s">
        <v>2296</v>
      </c>
      <c r="B2003" s="7"/>
      <c r="C2003" s="7"/>
      <c r="D2003" s="7"/>
      <c r="E2003" s="7"/>
      <c r="F2003" s="8" t="str">
        <f>_xlfn.IFNA(INDEX('HS Codes'!$D$2:$K4557,MATCH($B2003,'HS Codes'!$A$2:$A4557,0),MATCH(F$1,'HS Codes'!$D$1:$K$1,0)),"")</f>
        <v/>
      </c>
      <c r="G2003" s="8" t="str">
        <f>_xlfn.IFNA(INDEX('HS Codes'!$D$2:$K4557,MATCH($B2003,'HS Codes'!$A$2:$A4557,0),MATCH(G$1,'HS Codes'!$D$1:$K$1,0)),"")</f>
        <v/>
      </c>
      <c r="H2003" s="8" t="str">
        <f>_xlfn.IFNA(INDEX('HS Codes'!$D$2:$K4557,MATCH($B2003,'HS Codes'!$A$2:$A4557,0),MATCH(H$1,'HS Codes'!$D$1:$K$1,0)),"")</f>
        <v/>
      </c>
      <c r="I2003" s="8" t="str">
        <f>_xlfn.IFNA(INDEX('HS Codes'!$D$2:$K4557,MATCH($B2003,'HS Codes'!$A$2:$A4557,0),MATCH(I$1,'HS Codes'!$D$1:$K$1,0)),"")</f>
        <v/>
      </c>
      <c r="J2003" s="8" t="str">
        <f>_xlfn.IFNA(INDEX('HS Codes'!$D$2:$K4557,MATCH($B2003,'HS Codes'!$A$2:$A4557,0),MATCH(J$1,'HS Codes'!$D$1:$K$1,0)),"")</f>
        <v/>
      </c>
      <c r="K2003" s="8" t="str">
        <f>_xlfn.IFNA(INDEX('HS Codes'!$D$2:$K4557,MATCH($B2003,'HS Codes'!$A$2:$A4557,0),MATCH(K$1,'HS Codes'!$D$1:$K$1,0)),"")</f>
        <v/>
      </c>
      <c r="L2003" s="8" t="str">
        <f>_xlfn.IFNA(INDEX('HS Codes'!$D$2:$K4557,MATCH($B2003,'HS Codes'!$A$2:$A4557,0),MATCH(L$1,'HS Codes'!$D$1:$K$1,0)),"")</f>
        <v/>
      </c>
      <c r="M2003" s="8" t="str">
        <f>_xlfn.IFNA(INDEX('HS Codes'!$C$2:$C4557,MATCH($B2003,'HS Codes'!$A$2:$A4557,0)),"")</f>
        <v/>
      </c>
      <c r="N2003" s="9"/>
      <c r="O2003" s="9"/>
      <c r="P2003" s="9"/>
      <c r="Q2003" s="9"/>
    </row>
    <row r="2004" spans="1:17" ht="15.75" customHeight="1">
      <c r="A2004" s="7" t="s">
        <v>2297</v>
      </c>
      <c r="B2004" s="7"/>
      <c r="C2004" s="7"/>
      <c r="D2004" s="7"/>
      <c r="E2004" s="7"/>
      <c r="F2004" s="8" t="str">
        <f>_xlfn.IFNA(INDEX('HS Codes'!$D$2:$K4558,MATCH($B2004,'HS Codes'!$A$2:$A4558,0),MATCH(F$1,'HS Codes'!$D$1:$K$1,0)),"")</f>
        <v/>
      </c>
      <c r="G2004" s="8" t="str">
        <f>_xlfn.IFNA(INDEX('HS Codes'!$D$2:$K4558,MATCH($B2004,'HS Codes'!$A$2:$A4558,0),MATCH(G$1,'HS Codes'!$D$1:$K$1,0)),"")</f>
        <v/>
      </c>
      <c r="H2004" s="8" t="str">
        <f>_xlfn.IFNA(INDEX('HS Codes'!$D$2:$K4558,MATCH($B2004,'HS Codes'!$A$2:$A4558,0),MATCH(H$1,'HS Codes'!$D$1:$K$1,0)),"")</f>
        <v/>
      </c>
      <c r="I2004" s="8" t="str">
        <f>_xlfn.IFNA(INDEX('HS Codes'!$D$2:$K4558,MATCH($B2004,'HS Codes'!$A$2:$A4558,0),MATCH(I$1,'HS Codes'!$D$1:$K$1,0)),"")</f>
        <v/>
      </c>
      <c r="J2004" s="8" t="str">
        <f>_xlfn.IFNA(INDEX('HS Codes'!$D$2:$K4558,MATCH($B2004,'HS Codes'!$A$2:$A4558,0),MATCH(J$1,'HS Codes'!$D$1:$K$1,0)),"")</f>
        <v/>
      </c>
      <c r="K2004" s="8" t="str">
        <f>_xlfn.IFNA(INDEX('HS Codes'!$D$2:$K4558,MATCH($B2004,'HS Codes'!$A$2:$A4558,0),MATCH(K$1,'HS Codes'!$D$1:$K$1,0)),"")</f>
        <v/>
      </c>
      <c r="L2004" s="8" t="str">
        <f>_xlfn.IFNA(INDEX('HS Codes'!$D$2:$K4558,MATCH($B2004,'HS Codes'!$A$2:$A4558,0),MATCH(L$1,'HS Codes'!$D$1:$K$1,0)),"")</f>
        <v/>
      </c>
      <c r="M2004" s="8" t="str">
        <f>_xlfn.IFNA(INDEX('HS Codes'!$C$2:$C4558,MATCH($B2004,'HS Codes'!$A$2:$A4558,0)),"")</f>
        <v/>
      </c>
      <c r="N2004" s="9"/>
      <c r="O2004" s="9"/>
      <c r="P2004" s="9"/>
      <c r="Q2004" s="9"/>
    </row>
    <row r="2005" spans="1:17" ht="15.75" customHeight="1">
      <c r="A2005" s="7" t="s">
        <v>2298</v>
      </c>
      <c r="B2005" s="7"/>
      <c r="C2005" s="7"/>
      <c r="D2005" s="7"/>
      <c r="E2005" s="7"/>
      <c r="F2005" s="8" t="str">
        <f>_xlfn.IFNA(INDEX('HS Codes'!$D$2:$K4559,MATCH($B2005,'HS Codes'!$A$2:$A4559,0),MATCH(F$1,'HS Codes'!$D$1:$K$1,0)),"")</f>
        <v/>
      </c>
      <c r="G2005" s="8" t="str">
        <f>_xlfn.IFNA(INDEX('HS Codes'!$D$2:$K4559,MATCH($B2005,'HS Codes'!$A$2:$A4559,0),MATCH(G$1,'HS Codes'!$D$1:$K$1,0)),"")</f>
        <v/>
      </c>
      <c r="H2005" s="8" t="str">
        <f>_xlfn.IFNA(INDEX('HS Codes'!$D$2:$K4559,MATCH($B2005,'HS Codes'!$A$2:$A4559,0),MATCH(H$1,'HS Codes'!$D$1:$K$1,0)),"")</f>
        <v/>
      </c>
      <c r="I2005" s="8" t="str">
        <f>_xlfn.IFNA(INDEX('HS Codes'!$D$2:$K4559,MATCH($B2005,'HS Codes'!$A$2:$A4559,0),MATCH(I$1,'HS Codes'!$D$1:$K$1,0)),"")</f>
        <v/>
      </c>
      <c r="J2005" s="8" t="str">
        <f>_xlfn.IFNA(INDEX('HS Codes'!$D$2:$K4559,MATCH($B2005,'HS Codes'!$A$2:$A4559,0),MATCH(J$1,'HS Codes'!$D$1:$K$1,0)),"")</f>
        <v/>
      </c>
      <c r="K2005" s="8" t="str">
        <f>_xlfn.IFNA(INDEX('HS Codes'!$D$2:$K4559,MATCH($B2005,'HS Codes'!$A$2:$A4559,0),MATCH(K$1,'HS Codes'!$D$1:$K$1,0)),"")</f>
        <v/>
      </c>
      <c r="L2005" s="8" t="str">
        <f>_xlfn.IFNA(INDEX('HS Codes'!$D$2:$K4559,MATCH($B2005,'HS Codes'!$A$2:$A4559,0),MATCH(L$1,'HS Codes'!$D$1:$K$1,0)),"")</f>
        <v/>
      </c>
      <c r="M2005" s="8" t="str">
        <f>_xlfn.IFNA(INDEX('HS Codes'!$C$2:$C4559,MATCH($B2005,'HS Codes'!$A$2:$A4559,0)),"")</f>
        <v/>
      </c>
      <c r="N2005" s="9"/>
      <c r="O2005" s="9"/>
      <c r="P2005" s="9"/>
      <c r="Q2005" s="9"/>
    </row>
    <row r="2006" spans="1:17" ht="15.75" customHeight="1">
      <c r="A2006" s="7" t="s">
        <v>2299</v>
      </c>
      <c r="B2006" s="7"/>
      <c r="C2006" s="7"/>
      <c r="D2006" s="7"/>
      <c r="E2006" s="7"/>
      <c r="F2006" s="8" t="str">
        <f>_xlfn.IFNA(INDEX('HS Codes'!$D$2:$K4560,MATCH($B2006,'HS Codes'!$A$2:$A4560,0),MATCH(F$1,'HS Codes'!$D$1:$K$1,0)),"")</f>
        <v/>
      </c>
      <c r="G2006" s="8" t="str">
        <f>_xlfn.IFNA(INDEX('HS Codes'!$D$2:$K4560,MATCH($B2006,'HS Codes'!$A$2:$A4560,0),MATCH(G$1,'HS Codes'!$D$1:$K$1,0)),"")</f>
        <v/>
      </c>
      <c r="H2006" s="8" t="str">
        <f>_xlfn.IFNA(INDEX('HS Codes'!$D$2:$K4560,MATCH($B2006,'HS Codes'!$A$2:$A4560,0),MATCH(H$1,'HS Codes'!$D$1:$K$1,0)),"")</f>
        <v/>
      </c>
      <c r="I2006" s="8" t="str">
        <f>_xlfn.IFNA(INDEX('HS Codes'!$D$2:$K4560,MATCH($B2006,'HS Codes'!$A$2:$A4560,0),MATCH(I$1,'HS Codes'!$D$1:$K$1,0)),"")</f>
        <v/>
      </c>
      <c r="J2006" s="8" t="str">
        <f>_xlfn.IFNA(INDEX('HS Codes'!$D$2:$K4560,MATCH($B2006,'HS Codes'!$A$2:$A4560,0),MATCH(J$1,'HS Codes'!$D$1:$K$1,0)),"")</f>
        <v/>
      </c>
      <c r="K2006" s="8" t="str">
        <f>_xlfn.IFNA(INDEX('HS Codes'!$D$2:$K4560,MATCH($B2006,'HS Codes'!$A$2:$A4560,0),MATCH(K$1,'HS Codes'!$D$1:$K$1,0)),"")</f>
        <v/>
      </c>
      <c r="L2006" s="8" t="str">
        <f>_xlfn.IFNA(INDEX('HS Codes'!$D$2:$K4560,MATCH($B2006,'HS Codes'!$A$2:$A4560,0),MATCH(L$1,'HS Codes'!$D$1:$K$1,0)),"")</f>
        <v/>
      </c>
      <c r="M2006" s="8" t="str">
        <f>_xlfn.IFNA(INDEX('HS Codes'!$C$2:$C4560,MATCH($B2006,'HS Codes'!$A$2:$A4560,0)),"")</f>
        <v/>
      </c>
      <c r="N2006" s="9"/>
      <c r="O2006" s="9"/>
      <c r="P2006" s="9"/>
      <c r="Q2006" s="9"/>
    </row>
    <row r="2007" spans="1:17" ht="15.75" customHeight="1">
      <c r="A2007" s="7" t="s">
        <v>2300</v>
      </c>
      <c r="B2007" s="7"/>
      <c r="C2007" s="7"/>
      <c r="D2007" s="7"/>
      <c r="E2007" s="7"/>
      <c r="F2007" s="8" t="str">
        <f>_xlfn.IFNA(INDEX('HS Codes'!$D$2:$K4561,MATCH($B2007,'HS Codes'!$A$2:$A4561,0),MATCH(F$1,'HS Codes'!$D$1:$K$1,0)),"")</f>
        <v/>
      </c>
      <c r="G2007" s="8" t="str">
        <f>_xlfn.IFNA(INDEX('HS Codes'!$D$2:$K4561,MATCH($B2007,'HS Codes'!$A$2:$A4561,0),MATCH(G$1,'HS Codes'!$D$1:$K$1,0)),"")</f>
        <v/>
      </c>
      <c r="H2007" s="8" t="str">
        <f>_xlfn.IFNA(INDEX('HS Codes'!$D$2:$K4561,MATCH($B2007,'HS Codes'!$A$2:$A4561,0),MATCH(H$1,'HS Codes'!$D$1:$K$1,0)),"")</f>
        <v/>
      </c>
      <c r="I2007" s="8" t="str">
        <f>_xlfn.IFNA(INDEX('HS Codes'!$D$2:$K4561,MATCH($B2007,'HS Codes'!$A$2:$A4561,0),MATCH(I$1,'HS Codes'!$D$1:$K$1,0)),"")</f>
        <v/>
      </c>
      <c r="J2007" s="8" t="str">
        <f>_xlfn.IFNA(INDEX('HS Codes'!$D$2:$K4561,MATCH($B2007,'HS Codes'!$A$2:$A4561,0),MATCH(J$1,'HS Codes'!$D$1:$K$1,0)),"")</f>
        <v/>
      </c>
      <c r="K2007" s="8" t="str">
        <f>_xlfn.IFNA(INDEX('HS Codes'!$D$2:$K4561,MATCH($B2007,'HS Codes'!$A$2:$A4561,0),MATCH(K$1,'HS Codes'!$D$1:$K$1,0)),"")</f>
        <v/>
      </c>
      <c r="L2007" s="8" t="str">
        <f>_xlfn.IFNA(INDEX('HS Codes'!$D$2:$K4561,MATCH($B2007,'HS Codes'!$A$2:$A4561,0),MATCH(L$1,'HS Codes'!$D$1:$K$1,0)),"")</f>
        <v/>
      </c>
      <c r="M2007" s="8" t="str">
        <f>_xlfn.IFNA(INDEX('HS Codes'!$C$2:$C4561,MATCH($B2007,'HS Codes'!$A$2:$A4561,0)),"")</f>
        <v/>
      </c>
      <c r="N2007" s="9"/>
      <c r="O2007" s="9"/>
      <c r="P2007" s="9"/>
      <c r="Q2007" s="9"/>
    </row>
    <row r="2008" spans="1:17" ht="15.75" customHeight="1">
      <c r="A2008" s="7" t="s">
        <v>2301</v>
      </c>
      <c r="B2008" s="7"/>
      <c r="C2008" s="7"/>
      <c r="D2008" s="7"/>
      <c r="E2008" s="7"/>
      <c r="F2008" s="8" t="str">
        <f>_xlfn.IFNA(INDEX('HS Codes'!$D$2:$K4562,MATCH($B2008,'HS Codes'!$A$2:$A4562,0),MATCH(F$1,'HS Codes'!$D$1:$K$1,0)),"")</f>
        <v/>
      </c>
      <c r="G2008" s="8" t="str">
        <f>_xlfn.IFNA(INDEX('HS Codes'!$D$2:$K4562,MATCH($B2008,'HS Codes'!$A$2:$A4562,0),MATCH(G$1,'HS Codes'!$D$1:$K$1,0)),"")</f>
        <v/>
      </c>
      <c r="H2008" s="8" t="str">
        <f>_xlfn.IFNA(INDEX('HS Codes'!$D$2:$K4562,MATCH($B2008,'HS Codes'!$A$2:$A4562,0),MATCH(H$1,'HS Codes'!$D$1:$K$1,0)),"")</f>
        <v/>
      </c>
      <c r="I2008" s="8" t="str">
        <f>_xlfn.IFNA(INDEX('HS Codes'!$D$2:$K4562,MATCH($B2008,'HS Codes'!$A$2:$A4562,0),MATCH(I$1,'HS Codes'!$D$1:$K$1,0)),"")</f>
        <v/>
      </c>
      <c r="J2008" s="8" t="str">
        <f>_xlfn.IFNA(INDEX('HS Codes'!$D$2:$K4562,MATCH($B2008,'HS Codes'!$A$2:$A4562,0),MATCH(J$1,'HS Codes'!$D$1:$K$1,0)),"")</f>
        <v/>
      </c>
      <c r="K2008" s="8" t="str">
        <f>_xlfn.IFNA(INDEX('HS Codes'!$D$2:$K4562,MATCH($B2008,'HS Codes'!$A$2:$A4562,0),MATCH(K$1,'HS Codes'!$D$1:$K$1,0)),"")</f>
        <v/>
      </c>
      <c r="L2008" s="8" t="str">
        <f>_xlfn.IFNA(INDEX('HS Codes'!$D$2:$K4562,MATCH($B2008,'HS Codes'!$A$2:$A4562,0),MATCH(L$1,'HS Codes'!$D$1:$K$1,0)),"")</f>
        <v/>
      </c>
      <c r="M2008" s="8" t="str">
        <f>_xlfn.IFNA(INDEX('HS Codes'!$C$2:$C4562,MATCH($B2008,'HS Codes'!$A$2:$A4562,0)),"")</f>
        <v/>
      </c>
      <c r="N2008" s="9"/>
      <c r="O2008" s="9"/>
      <c r="P2008" s="9"/>
      <c r="Q2008" s="9"/>
    </row>
    <row r="2009" spans="1:17" ht="15.75" customHeight="1">
      <c r="A2009" s="7" t="s">
        <v>2302</v>
      </c>
      <c r="B2009" s="7"/>
      <c r="C2009" s="7"/>
      <c r="D2009" s="7"/>
      <c r="E2009" s="7"/>
      <c r="F2009" s="8" t="str">
        <f>_xlfn.IFNA(INDEX('HS Codes'!$D$2:$K4563,MATCH($B2009,'HS Codes'!$A$2:$A4563,0),MATCH(F$1,'HS Codes'!$D$1:$K$1,0)),"")</f>
        <v/>
      </c>
      <c r="G2009" s="8" t="str">
        <f>_xlfn.IFNA(INDEX('HS Codes'!$D$2:$K4563,MATCH($B2009,'HS Codes'!$A$2:$A4563,0),MATCH(G$1,'HS Codes'!$D$1:$K$1,0)),"")</f>
        <v/>
      </c>
      <c r="H2009" s="8" t="str">
        <f>_xlfn.IFNA(INDEX('HS Codes'!$D$2:$K4563,MATCH($B2009,'HS Codes'!$A$2:$A4563,0),MATCH(H$1,'HS Codes'!$D$1:$K$1,0)),"")</f>
        <v/>
      </c>
      <c r="I2009" s="8" t="str">
        <f>_xlfn.IFNA(INDEX('HS Codes'!$D$2:$K4563,MATCH($B2009,'HS Codes'!$A$2:$A4563,0),MATCH(I$1,'HS Codes'!$D$1:$K$1,0)),"")</f>
        <v/>
      </c>
      <c r="J2009" s="8" t="str">
        <f>_xlfn.IFNA(INDEX('HS Codes'!$D$2:$K4563,MATCH($B2009,'HS Codes'!$A$2:$A4563,0),MATCH(J$1,'HS Codes'!$D$1:$K$1,0)),"")</f>
        <v/>
      </c>
      <c r="K2009" s="8" t="str">
        <f>_xlfn.IFNA(INDEX('HS Codes'!$D$2:$K4563,MATCH($B2009,'HS Codes'!$A$2:$A4563,0),MATCH(K$1,'HS Codes'!$D$1:$K$1,0)),"")</f>
        <v/>
      </c>
      <c r="L2009" s="8" t="str">
        <f>_xlfn.IFNA(INDEX('HS Codes'!$D$2:$K4563,MATCH($B2009,'HS Codes'!$A$2:$A4563,0),MATCH(L$1,'HS Codes'!$D$1:$K$1,0)),"")</f>
        <v/>
      </c>
      <c r="M2009" s="8" t="str">
        <f>_xlfn.IFNA(INDEX('HS Codes'!$C$2:$C4563,MATCH($B2009,'HS Codes'!$A$2:$A4563,0)),"")</f>
        <v/>
      </c>
      <c r="N2009" s="9"/>
      <c r="O2009" s="9"/>
      <c r="P2009" s="9"/>
      <c r="Q2009" s="9"/>
    </row>
    <row r="2010" spans="1:17" ht="15.75" customHeight="1">
      <c r="A2010" s="7" t="s">
        <v>2303</v>
      </c>
      <c r="B2010" s="7" t="s">
        <v>156</v>
      </c>
      <c r="C2010" s="7"/>
      <c r="D2010" s="7" t="s">
        <v>157</v>
      </c>
      <c r="E2010" s="7" t="s">
        <v>1049</v>
      </c>
      <c r="F2010" s="8" t="str">
        <f>_xlfn.IFNA(INDEX('HS Codes'!$D$2:$K4564,MATCH($B2010,'HS Codes'!$A$2:$A4564,0),MATCH(F$1,'HS Codes'!$D$1:$K$1,0)),"")</f>
        <v>6112.31.00.10</v>
      </c>
      <c r="G2010" s="8">
        <f>_xlfn.IFNA(INDEX('HS Codes'!$D$2:$K4564,MATCH($B2010,'HS Codes'!$A$2:$A4564,0),MATCH(G$1,'HS Codes'!$D$1:$K$1,0)),"")</f>
        <v>6112311000</v>
      </c>
      <c r="H2010" s="8">
        <f>_xlfn.IFNA(INDEX('HS Codes'!$D$2:$K4564,MATCH($B2010,'HS Codes'!$A$2:$A4564,0),MATCH(H$1,'HS Codes'!$D$1:$K$1,0)),"")</f>
        <v>6112311000</v>
      </c>
      <c r="I2010" s="8">
        <f>_xlfn.IFNA(INDEX('HS Codes'!$D$2:$K4564,MATCH($B2010,'HS Codes'!$A$2:$A4564,0),MATCH(I$1,'HS Codes'!$D$1:$K$1,0)),"")</f>
        <v>61123110</v>
      </c>
      <c r="J2010" s="8">
        <f>_xlfn.IFNA(INDEX('HS Codes'!$D$2:$K4564,MATCH($B2010,'HS Codes'!$A$2:$A4564,0),MATCH(J$1,'HS Codes'!$D$1:$K$1,0)),"")</f>
        <v>0</v>
      </c>
      <c r="K2010" s="8" t="str">
        <f>_xlfn.IFNA(INDEX('HS Codes'!$D$2:$K4564,MATCH($B2010,'HS Codes'!$A$2:$A4564,0),MATCH(K$1,'HS Codes'!$D$1:$K$1,0)),"")</f>
        <v>6112.39.00</v>
      </c>
      <c r="L2010" s="8">
        <f>_xlfn.IFNA(INDEX('HS Codes'!$D$2:$K4564,MATCH($B2010,'HS Codes'!$A$2:$A4564,0),MATCH(L$1,'HS Codes'!$D$1:$K$1,0)),"")</f>
        <v>61123100</v>
      </c>
      <c r="M2010" s="8">
        <f>_xlfn.IFNA(INDEX('HS Codes'!$C$2:$C4564,MATCH($B2010,'HS Codes'!$A$2:$A4564,0)),"")</f>
        <v>0</v>
      </c>
      <c r="N2010" s="9"/>
      <c r="O2010" s="9"/>
      <c r="P2010" s="9"/>
      <c r="Q2010" s="9"/>
    </row>
    <row r="2011" spans="1:17" ht="15.75" customHeight="1">
      <c r="A2011" s="7" t="s">
        <v>2304</v>
      </c>
      <c r="B2011" s="7" t="s">
        <v>156</v>
      </c>
      <c r="C2011" s="7"/>
      <c r="D2011" s="7" t="s">
        <v>157</v>
      </c>
      <c r="E2011" s="7" t="s">
        <v>1049</v>
      </c>
      <c r="F2011" s="8" t="str">
        <f>_xlfn.IFNA(INDEX('HS Codes'!$D$2:$K4565,MATCH($B2011,'HS Codes'!$A$2:$A4565,0),MATCH(F$1,'HS Codes'!$D$1:$K$1,0)),"")</f>
        <v>6112.31.00.10</v>
      </c>
      <c r="G2011" s="8">
        <f>_xlfn.IFNA(INDEX('HS Codes'!$D$2:$K4565,MATCH($B2011,'HS Codes'!$A$2:$A4565,0),MATCH(G$1,'HS Codes'!$D$1:$K$1,0)),"")</f>
        <v>6112311000</v>
      </c>
      <c r="H2011" s="8">
        <f>_xlfn.IFNA(INDEX('HS Codes'!$D$2:$K4565,MATCH($B2011,'HS Codes'!$A$2:$A4565,0),MATCH(H$1,'HS Codes'!$D$1:$K$1,0)),"")</f>
        <v>6112311000</v>
      </c>
      <c r="I2011" s="8">
        <f>_xlfn.IFNA(INDEX('HS Codes'!$D$2:$K4565,MATCH($B2011,'HS Codes'!$A$2:$A4565,0),MATCH(I$1,'HS Codes'!$D$1:$K$1,0)),"")</f>
        <v>61123110</v>
      </c>
      <c r="J2011" s="8">
        <f>_xlfn.IFNA(INDEX('HS Codes'!$D$2:$K4565,MATCH($B2011,'HS Codes'!$A$2:$A4565,0),MATCH(J$1,'HS Codes'!$D$1:$K$1,0)),"")</f>
        <v>0</v>
      </c>
      <c r="K2011" s="8" t="str">
        <f>_xlfn.IFNA(INDEX('HS Codes'!$D$2:$K4565,MATCH($B2011,'HS Codes'!$A$2:$A4565,0),MATCH(K$1,'HS Codes'!$D$1:$K$1,0)),"")</f>
        <v>6112.39.00</v>
      </c>
      <c r="L2011" s="8">
        <f>_xlfn.IFNA(INDEX('HS Codes'!$D$2:$K4565,MATCH($B2011,'HS Codes'!$A$2:$A4565,0),MATCH(L$1,'HS Codes'!$D$1:$K$1,0)),"")</f>
        <v>61123100</v>
      </c>
      <c r="M2011" s="8">
        <f>_xlfn.IFNA(INDEX('HS Codes'!$C$2:$C4565,MATCH($B2011,'HS Codes'!$A$2:$A4565,0)),"")</f>
        <v>0</v>
      </c>
      <c r="N2011" s="9"/>
      <c r="O2011" s="9"/>
      <c r="P2011" s="9"/>
      <c r="Q2011" s="9"/>
    </row>
    <row r="2012" spans="1:17" ht="15.75" customHeight="1">
      <c r="A2012" s="7" t="s">
        <v>2305</v>
      </c>
      <c r="B2012" s="7" t="s">
        <v>156</v>
      </c>
      <c r="C2012" s="7"/>
      <c r="D2012" s="7" t="s">
        <v>157</v>
      </c>
      <c r="E2012" s="7" t="s">
        <v>1049</v>
      </c>
      <c r="F2012" s="8" t="str">
        <f>_xlfn.IFNA(INDEX('HS Codes'!$D$2:$K4566,MATCH($B2012,'HS Codes'!$A$2:$A4566,0),MATCH(F$1,'HS Codes'!$D$1:$K$1,0)),"")</f>
        <v>6112.31.00.10</v>
      </c>
      <c r="G2012" s="8">
        <f>_xlfn.IFNA(INDEX('HS Codes'!$D$2:$K4566,MATCH($B2012,'HS Codes'!$A$2:$A4566,0),MATCH(G$1,'HS Codes'!$D$1:$K$1,0)),"")</f>
        <v>6112311000</v>
      </c>
      <c r="H2012" s="8">
        <f>_xlfn.IFNA(INDEX('HS Codes'!$D$2:$K4566,MATCH($B2012,'HS Codes'!$A$2:$A4566,0),MATCH(H$1,'HS Codes'!$D$1:$K$1,0)),"")</f>
        <v>6112311000</v>
      </c>
      <c r="I2012" s="8">
        <f>_xlfn.IFNA(INDEX('HS Codes'!$D$2:$K4566,MATCH($B2012,'HS Codes'!$A$2:$A4566,0),MATCH(I$1,'HS Codes'!$D$1:$K$1,0)),"")</f>
        <v>61123110</v>
      </c>
      <c r="J2012" s="8">
        <f>_xlfn.IFNA(INDEX('HS Codes'!$D$2:$K4566,MATCH($B2012,'HS Codes'!$A$2:$A4566,0),MATCH(J$1,'HS Codes'!$D$1:$K$1,0)),"")</f>
        <v>0</v>
      </c>
      <c r="K2012" s="8" t="str">
        <f>_xlfn.IFNA(INDEX('HS Codes'!$D$2:$K4566,MATCH($B2012,'HS Codes'!$A$2:$A4566,0),MATCH(K$1,'HS Codes'!$D$1:$K$1,0)),"")</f>
        <v>6112.39.00</v>
      </c>
      <c r="L2012" s="8">
        <f>_xlfn.IFNA(INDEX('HS Codes'!$D$2:$K4566,MATCH($B2012,'HS Codes'!$A$2:$A4566,0),MATCH(L$1,'HS Codes'!$D$1:$K$1,0)),"")</f>
        <v>61123100</v>
      </c>
      <c r="M2012" s="8">
        <f>_xlfn.IFNA(INDEX('HS Codes'!$C$2:$C4566,MATCH($B2012,'HS Codes'!$A$2:$A4566,0)),"")</f>
        <v>0</v>
      </c>
      <c r="N2012" s="9"/>
      <c r="O2012" s="9"/>
      <c r="P2012" s="9"/>
      <c r="Q2012" s="9"/>
    </row>
    <row r="2013" spans="1:17" ht="15.75" customHeight="1">
      <c r="A2013" s="7" t="s">
        <v>2306</v>
      </c>
      <c r="B2013" s="7" t="s">
        <v>156</v>
      </c>
      <c r="C2013" s="7"/>
      <c r="D2013" s="7" t="s">
        <v>157</v>
      </c>
      <c r="E2013" s="7" t="s">
        <v>1049</v>
      </c>
      <c r="F2013" s="8" t="str">
        <f>_xlfn.IFNA(INDEX('HS Codes'!$D$2:$K4567,MATCH($B2013,'HS Codes'!$A$2:$A4567,0),MATCH(F$1,'HS Codes'!$D$1:$K$1,0)),"")</f>
        <v>6112.31.00.10</v>
      </c>
      <c r="G2013" s="8">
        <f>_xlfn.IFNA(INDEX('HS Codes'!$D$2:$K4567,MATCH($B2013,'HS Codes'!$A$2:$A4567,0),MATCH(G$1,'HS Codes'!$D$1:$K$1,0)),"")</f>
        <v>6112311000</v>
      </c>
      <c r="H2013" s="8">
        <f>_xlfn.IFNA(INDEX('HS Codes'!$D$2:$K4567,MATCH($B2013,'HS Codes'!$A$2:$A4567,0),MATCH(H$1,'HS Codes'!$D$1:$K$1,0)),"")</f>
        <v>6112311000</v>
      </c>
      <c r="I2013" s="8">
        <f>_xlfn.IFNA(INDEX('HS Codes'!$D$2:$K4567,MATCH($B2013,'HS Codes'!$A$2:$A4567,0),MATCH(I$1,'HS Codes'!$D$1:$K$1,0)),"")</f>
        <v>61123110</v>
      </c>
      <c r="J2013" s="8">
        <f>_xlfn.IFNA(INDEX('HS Codes'!$D$2:$K4567,MATCH($B2013,'HS Codes'!$A$2:$A4567,0),MATCH(J$1,'HS Codes'!$D$1:$K$1,0)),"")</f>
        <v>0</v>
      </c>
      <c r="K2013" s="8" t="str">
        <f>_xlfn.IFNA(INDEX('HS Codes'!$D$2:$K4567,MATCH($B2013,'HS Codes'!$A$2:$A4567,0),MATCH(K$1,'HS Codes'!$D$1:$K$1,0)),"")</f>
        <v>6112.39.00</v>
      </c>
      <c r="L2013" s="8">
        <f>_xlfn.IFNA(INDEX('HS Codes'!$D$2:$K4567,MATCH($B2013,'HS Codes'!$A$2:$A4567,0),MATCH(L$1,'HS Codes'!$D$1:$K$1,0)),"")</f>
        <v>61123100</v>
      </c>
      <c r="M2013" s="8">
        <f>_xlfn.IFNA(INDEX('HS Codes'!$C$2:$C4567,MATCH($B2013,'HS Codes'!$A$2:$A4567,0)),"")</f>
        <v>0</v>
      </c>
      <c r="N2013" s="9"/>
      <c r="O2013" s="9"/>
      <c r="P2013" s="9"/>
      <c r="Q2013" s="9"/>
    </row>
    <row r="2014" spans="1:17" ht="15.75" customHeight="1">
      <c r="A2014" s="7" t="s">
        <v>2307</v>
      </c>
      <c r="B2014" s="7" t="s">
        <v>156</v>
      </c>
      <c r="C2014" s="7"/>
      <c r="D2014" s="7" t="s">
        <v>157</v>
      </c>
      <c r="E2014" s="7" t="s">
        <v>1049</v>
      </c>
      <c r="F2014" s="8" t="str">
        <f>_xlfn.IFNA(INDEX('HS Codes'!$D$2:$K4568,MATCH($B2014,'HS Codes'!$A$2:$A4568,0),MATCH(F$1,'HS Codes'!$D$1:$K$1,0)),"")</f>
        <v>6112.31.00.10</v>
      </c>
      <c r="G2014" s="8">
        <f>_xlfn.IFNA(INDEX('HS Codes'!$D$2:$K4568,MATCH($B2014,'HS Codes'!$A$2:$A4568,0),MATCH(G$1,'HS Codes'!$D$1:$K$1,0)),"")</f>
        <v>6112311000</v>
      </c>
      <c r="H2014" s="8">
        <f>_xlfn.IFNA(INDEX('HS Codes'!$D$2:$K4568,MATCH($B2014,'HS Codes'!$A$2:$A4568,0),MATCH(H$1,'HS Codes'!$D$1:$K$1,0)),"")</f>
        <v>6112311000</v>
      </c>
      <c r="I2014" s="8">
        <f>_xlfn.IFNA(INDEX('HS Codes'!$D$2:$K4568,MATCH($B2014,'HS Codes'!$A$2:$A4568,0),MATCH(I$1,'HS Codes'!$D$1:$K$1,0)),"")</f>
        <v>61123110</v>
      </c>
      <c r="J2014" s="8">
        <f>_xlfn.IFNA(INDEX('HS Codes'!$D$2:$K4568,MATCH($B2014,'HS Codes'!$A$2:$A4568,0),MATCH(J$1,'HS Codes'!$D$1:$K$1,0)),"")</f>
        <v>0</v>
      </c>
      <c r="K2014" s="8" t="str">
        <f>_xlfn.IFNA(INDEX('HS Codes'!$D$2:$K4568,MATCH($B2014,'HS Codes'!$A$2:$A4568,0),MATCH(K$1,'HS Codes'!$D$1:$K$1,0)),"")</f>
        <v>6112.39.00</v>
      </c>
      <c r="L2014" s="8">
        <f>_xlfn.IFNA(INDEX('HS Codes'!$D$2:$K4568,MATCH($B2014,'HS Codes'!$A$2:$A4568,0),MATCH(L$1,'HS Codes'!$D$1:$K$1,0)),"")</f>
        <v>61123100</v>
      </c>
      <c r="M2014" s="8">
        <f>_xlfn.IFNA(INDEX('HS Codes'!$C$2:$C4568,MATCH($B2014,'HS Codes'!$A$2:$A4568,0)),"")</f>
        <v>0</v>
      </c>
      <c r="N2014" s="9"/>
      <c r="O2014" s="9"/>
      <c r="P2014" s="9"/>
      <c r="Q2014" s="9"/>
    </row>
    <row r="2015" spans="1:17" ht="15.75" customHeight="1">
      <c r="A2015" s="7" t="s">
        <v>2308</v>
      </c>
      <c r="B2015" s="7" t="s">
        <v>156</v>
      </c>
      <c r="C2015" s="7"/>
      <c r="D2015" s="7" t="s">
        <v>157</v>
      </c>
      <c r="E2015" s="7" t="s">
        <v>1049</v>
      </c>
      <c r="F2015" s="8" t="str">
        <f>_xlfn.IFNA(INDEX('HS Codes'!$D$2:$K4569,MATCH($B2015,'HS Codes'!$A$2:$A4569,0),MATCH(F$1,'HS Codes'!$D$1:$K$1,0)),"")</f>
        <v>6112.31.00.10</v>
      </c>
      <c r="G2015" s="8">
        <f>_xlfn.IFNA(INDEX('HS Codes'!$D$2:$K4569,MATCH($B2015,'HS Codes'!$A$2:$A4569,0),MATCH(G$1,'HS Codes'!$D$1:$K$1,0)),"")</f>
        <v>6112311000</v>
      </c>
      <c r="H2015" s="8">
        <f>_xlfn.IFNA(INDEX('HS Codes'!$D$2:$K4569,MATCH($B2015,'HS Codes'!$A$2:$A4569,0),MATCH(H$1,'HS Codes'!$D$1:$K$1,0)),"")</f>
        <v>6112311000</v>
      </c>
      <c r="I2015" s="8">
        <f>_xlfn.IFNA(INDEX('HS Codes'!$D$2:$K4569,MATCH($B2015,'HS Codes'!$A$2:$A4569,0),MATCH(I$1,'HS Codes'!$D$1:$K$1,0)),"")</f>
        <v>61123110</v>
      </c>
      <c r="J2015" s="8">
        <f>_xlfn.IFNA(INDEX('HS Codes'!$D$2:$K4569,MATCH($B2015,'HS Codes'!$A$2:$A4569,0),MATCH(J$1,'HS Codes'!$D$1:$K$1,0)),"")</f>
        <v>0</v>
      </c>
      <c r="K2015" s="8" t="str">
        <f>_xlfn.IFNA(INDEX('HS Codes'!$D$2:$K4569,MATCH($B2015,'HS Codes'!$A$2:$A4569,0),MATCH(K$1,'HS Codes'!$D$1:$K$1,0)),"")</f>
        <v>6112.39.00</v>
      </c>
      <c r="L2015" s="8">
        <f>_xlfn.IFNA(INDEX('HS Codes'!$D$2:$K4569,MATCH($B2015,'HS Codes'!$A$2:$A4569,0),MATCH(L$1,'HS Codes'!$D$1:$K$1,0)),"")</f>
        <v>61123100</v>
      </c>
      <c r="M2015" s="8">
        <f>_xlfn.IFNA(INDEX('HS Codes'!$C$2:$C4569,MATCH($B2015,'HS Codes'!$A$2:$A4569,0)),"")</f>
        <v>0</v>
      </c>
      <c r="N2015" s="9"/>
      <c r="O2015" s="9"/>
      <c r="P2015" s="9"/>
      <c r="Q2015" s="9"/>
    </row>
    <row r="2016" spans="1:17" ht="15.75" customHeight="1">
      <c r="A2016" s="7" t="s">
        <v>2309</v>
      </c>
      <c r="B2016" s="7" t="s">
        <v>156</v>
      </c>
      <c r="C2016" s="7"/>
      <c r="D2016" s="7" t="s">
        <v>157</v>
      </c>
      <c r="E2016" s="7" t="s">
        <v>1049</v>
      </c>
      <c r="F2016" s="8" t="str">
        <f>_xlfn.IFNA(INDEX('HS Codes'!$D$2:$K4570,MATCH($B2016,'HS Codes'!$A$2:$A4570,0),MATCH(F$1,'HS Codes'!$D$1:$K$1,0)),"")</f>
        <v>6112.31.00.10</v>
      </c>
      <c r="G2016" s="8">
        <f>_xlfn.IFNA(INDEX('HS Codes'!$D$2:$K4570,MATCH($B2016,'HS Codes'!$A$2:$A4570,0),MATCH(G$1,'HS Codes'!$D$1:$K$1,0)),"")</f>
        <v>6112311000</v>
      </c>
      <c r="H2016" s="8">
        <f>_xlfn.IFNA(INDEX('HS Codes'!$D$2:$K4570,MATCH($B2016,'HS Codes'!$A$2:$A4570,0),MATCH(H$1,'HS Codes'!$D$1:$K$1,0)),"")</f>
        <v>6112311000</v>
      </c>
      <c r="I2016" s="8">
        <f>_xlfn.IFNA(INDEX('HS Codes'!$D$2:$K4570,MATCH($B2016,'HS Codes'!$A$2:$A4570,0),MATCH(I$1,'HS Codes'!$D$1:$K$1,0)),"")</f>
        <v>61123110</v>
      </c>
      <c r="J2016" s="8">
        <f>_xlfn.IFNA(INDEX('HS Codes'!$D$2:$K4570,MATCH($B2016,'HS Codes'!$A$2:$A4570,0),MATCH(J$1,'HS Codes'!$D$1:$K$1,0)),"")</f>
        <v>0</v>
      </c>
      <c r="K2016" s="8" t="str">
        <f>_xlfn.IFNA(INDEX('HS Codes'!$D$2:$K4570,MATCH($B2016,'HS Codes'!$A$2:$A4570,0),MATCH(K$1,'HS Codes'!$D$1:$K$1,0)),"")</f>
        <v>6112.39.00</v>
      </c>
      <c r="L2016" s="8">
        <f>_xlfn.IFNA(INDEX('HS Codes'!$D$2:$K4570,MATCH($B2016,'HS Codes'!$A$2:$A4570,0),MATCH(L$1,'HS Codes'!$D$1:$K$1,0)),"")</f>
        <v>61123100</v>
      </c>
      <c r="M2016" s="8">
        <f>_xlfn.IFNA(INDEX('HS Codes'!$C$2:$C4570,MATCH($B2016,'HS Codes'!$A$2:$A4570,0)),"")</f>
        <v>0</v>
      </c>
      <c r="N2016" s="9"/>
      <c r="O2016" s="9"/>
      <c r="P2016" s="9"/>
      <c r="Q2016" s="9"/>
    </row>
    <row r="2017" spans="1:17" ht="15.75" customHeight="1">
      <c r="A2017" s="7" t="s">
        <v>2310</v>
      </c>
      <c r="B2017" s="7" t="s">
        <v>156</v>
      </c>
      <c r="C2017" s="7"/>
      <c r="D2017" s="7" t="s">
        <v>157</v>
      </c>
      <c r="E2017" s="7" t="s">
        <v>1049</v>
      </c>
      <c r="F2017" s="8" t="str">
        <f>_xlfn.IFNA(INDEX('HS Codes'!$D$2:$K4571,MATCH($B2017,'HS Codes'!$A$2:$A4571,0),MATCH(F$1,'HS Codes'!$D$1:$K$1,0)),"")</f>
        <v>6112.31.00.10</v>
      </c>
      <c r="G2017" s="8">
        <f>_xlfn.IFNA(INDEX('HS Codes'!$D$2:$K4571,MATCH($B2017,'HS Codes'!$A$2:$A4571,0),MATCH(G$1,'HS Codes'!$D$1:$K$1,0)),"")</f>
        <v>6112311000</v>
      </c>
      <c r="H2017" s="8">
        <f>_xlfn.IFNA(INDEX('HS Codes'!$D$2:$K4571,MATCH($B2017,'HS Codes'!$A$2:$A4571,0),MATCH(H$1,'HS Codes'!$D$1:$K$1,0)),"")</f>
        <v>6112311000</v>
      </c>
      <c r="I2017" s="8">
        <f>_xlfn.IFNA(INDEX('HS Codes'!$D$2:$K4571,MATCH($B2017,'HS Codes'!$A$2:$A4571,0),MATCH(I$1,'HS Codes'!$D$1:$K$1,0)),"")</f>
        <v>61123110</v>
      </c>
      <c r="J2017" s="8">
        <f>_xlfn.IFNA(INDEX('HS Codes'!$D$2:$K4571,MATCH($B2017,'HS Codes'!$A$2:$A4571,0),MATCH(J$1,'HS Codes'!$D$1:$K$1,0)),"")</f>
        <v>0</v>
      </c>
      <c r="K2017" s="8" t="str">
        <f>_xlfn.IFNA(INDEX('HS Codes'!$D$2:$K4571,MATCH($B2017,'HS Codes'!$A$2:$A4571,0),MATCH(K$1,'HS Codes'!$D$1:$K$1,0)),"")</f>
        <v>6112.39.00</v>
      </c>
      <c r="L2017" s="8">
        <f>_xlfn.IFNA(INDEX('HS Codes'!$D$2:$K4571,MATCH($B2017,'HS Codes'!$A$2:$A4571,0),MATCH(L$1,'HS Codes'!$D$1:$K$1,0)),"")</f>
        <v>61123100</v>
      </c>
      <c r="M2017" s="8">
        <f>_xlfn.IFNA(INDEX('HS Codes'!$C$2:$C4571,MATCH($B2017,'HS Codes'!$A$2:$A4571,0)),"")</f>
        <v>0</v>
      </c>
      <c r="N2017" s="9"/>
      <c r="O2017" s="9"/>
      <c r="P2017" s="9"/>
      <c r="Q2017" s="9"/>
    </row>
    <row r="2018" spans="1:17" ht="15.75" customHeight="1">
      <c r="A2018" s="7" t="s">
        <v>2311</v>
      </c>
      <c r="B2018" s="7" t="s">
        <v>156</v>
      </c>
      <c r="C2018" s="7"/>
      <c r="D2018" s="7" t="s">
        <v>157</v>
      </c>
      <c r="E2018" s="7" t="s">
        <v>1049</v>
      </c>
      <c r="F2018" s="8" t="str">
        <f>_xlfn.IFNA(INDEX('HS Codes'!$D$2:$K4572,MATCH($B2018,'HS Codes'!$A$2:$A4572,0),MATCH(F$1,'HS Codes'!$D$1:$K$1,0)),"")</f>
        <v>6112.31.00.10</v>
      </c>
      <c r="G2018" s="8">
        <f>_xlfn.IFNA(INDEX('HS Codes'!$D$2:$K4572,MATCH($B2018,'HS Codes'!$A$2:$A4572,0),MATCH(G$1,'HS Codes'!$D$1:$K$1,0)),"")</f>
        <v>6112311000</v>
      </c>
      <c r="H2018" s="8">
        <f>_xlfn.IFNA(INDEX('HS Codes'!$D$2:$K4572,MATCH($B2018,'HS Codes'!$A$2:$A4572,0),MATCH(H$1,'HS Codes'!$D$1:$K$1,0)),"")</f>
        <v>6112311000</v>
      </c>
      <c r="I2018" s="8">
        <f>_xlfn.IFNA(INDEX('HS Codes'!$D$2:$K4572,MATCH($B2018,'HS Codes'!$A$2:$A4572,0),MATCH(I$1,'HS Codes'!$D$1:$K$1,0)),"")</f>
        <v>61123110</v>
      </c>
      <c r="J2018" s="8">
        <f>_xlfn.IFNA(INDEX('HS Codes'!$D$2:$K4572,MATCH($B2018,'HS Codes'!$A$2:$A4572,0),MATCH(J$1,'HS Codes'!$D$1:$K$1,0)),"")</f>
        <v>0</v>
      </c>
      <c r="K2018" s="8" t="str">
        <f>_xlfn.IFNA(INDEX('HS Codes'!$D$2:$K4572,MATCH($B2018,'HS Codes'!$A$2:$A4572,0),MATCH(K$1,'HS Codes'!$D$1:$K$1,0)),"")</f>
        <v>6112.39.00</v>
      </c>
      <c r="L2018" s="8">
        <f>_xlfn.IFNA(INDEX('HS Codes'!$D$2:$K4572,MATCH($B2018,'HS Codes'!$A$2:$A4572,0),MATCH(L$1,'HS Codes'!$D$1:$K$1,0)),"")</f>
        <v>61123100</v>
      </c>
      <c r="M2018" s="8">
        <f>_xlfn.IFNA(INDEX('HS Codes'!$C$2:$C4572,MATCH($B2018,'HS Codes'!$A$2:$A4572,0)),"")</f>
        <v>0</v>
      </c>
      <c r="N2018" s="9"/>
      <c r="O2018" s="9"/>
      <c r="P2018" s="9"/>
      <c r="Q2018" s="9"/>
    </row>
    <row r="2019" spans="1:17" ht="15.75" customHeight="1">
      <c r="A2019" s="7" t="s">
        <v>2312</v>
      </c>
      <c r="B2019" s="7" t="s">
        <v>156</v>
      </c>
      <c r="C2019" s="7"/>
      <c r="D2019" s="7" t="s">
        <v>157</v>
      </c>
      <c r="E2019" s="7" t="s">
        <v>1049</v>
      </c>
      <c r="F2019" s="8" t="str">
        <f>_xlfn.IFNA(INDEX('HS Codes'!$D$2:$K4573,MATCH($B2019,'HS Codes'!$A$2:$A4573,0),MATCH(F$1,'HS Codes'!$D$1:$K$1,0)),"")</f>
        <v>6112.31.00.10</v>
      </c>
      <c r="G2019" s="8">
        <f>_xlfn.IFNA(INDEX('HS Codes'!$D$2:$K4573,MATCH($B2019,'HS Codes'!$A$2:$A4573,0),MATCH(G$1,'HS Codes'!$D$1:$K$1,0)),"")</f>
        <v>6112311000</v>
      </c>
      <c r="H2019" s="8">
        <f>_xlfn.IFNA(INDEX('HS Codes'!$D$2:$K4573,MATCH($B2019,'HS Codes'!$A$2:$A4573,0),MATCH(H$1,'HS Codes'!$D$1:$K$1,0)),"")</f>
        <v>6112311000</v>
      </c>
      <c r="I2019" s="8">
        <f>_xlfn.IFNA(INDEX('HS Codes'!$D$2:$K4573,MATCH($B2019,'HS Codes'!$A$2:$A4573,0),MATCH(I$1,'HS Codes'!$D$1:$K$1,0)),"")</f>
        <v>61123110</v>
      </c>
      <c r="J2019" s="8">
        <f>_xlfn.IFNA(INDEX('HS Codes'!$D$2:$K4573,MATCH($B2019,'HS Codes'!$A$2:$A4573,0),MATCH(J$1,'HS Codes'!$D$1:$K$1,0)),"")</f>
        <v>0</v>
      </c>
      <c r="K2019" s="8" t="str">
        <f>_xlfn.IFNA(INDEX('HS Codes'!$D$2:$K4573,MATCH($B2019,'HS Codes'!$A$2:$A4573,0),MATCH(K$1,'HS Codes'!$D$1:$K$1,0)),"")</f>
        <v>6112.39.00</v>
      </c>
      <c r="L2019" s="8">
        <f>_xlfn.IFNA(INDEX('HS Codes'!$D$2:$K4573,MATCH($B2019,'HS Codes'!$A$2:$A4573,0),MATCH(L$1,'HS Codes'!$D$1:$K$1,0)),"")</f>
        <v>61123100</v>
      </c>
      <c r="M2019" s="8">
        <f>_xlfn.IFNA(INDEX('HS Codes'!$C$2:$C4573,MATCH($B2019,'HS Codes'!$A$2:$A4573,0)),"")</f>
        <v>0</v>
      </c>
      <c r="N2019" s="9"/>
      <c r="O2019" s="9"/>
      <c r="P2019" s="9"/>
      <c r="Q2019" s="9"/>
    </row>
    <row r="2020" spans="1:17" ht="15.75" customHeight="1">
      <c r="A2020" s="7" t="s">
        <v>2313</v>
      </c>
      <c r="B2020" s="7" t="s">
        <v>156</v>
      </c>
      <c r="C2020" s="7"/>
      <c r="D2020" s="7" t="s">
        <v>157</v>
      </c>
      <c r="E2020" s="7" t="s">
        <v>1049</v>
      </c>
      <c r="F2020" s="8" t="str">
        <f>_xlfn.IFNA(INDEX('HS Codes'!$D$2:$K4574,MATCH($B2020,'HS Codes'!$A$2:$A4574,0),MATCH(F$1,'HS Codes'!$D$1:$K$1,0)),"")</f>
        <v>6112.31.00.10</v>
      </c>
      <c r="G2020" s="8">
        <f>_xlfn.IFNA(INDEX('HS Codes'!$D$2:$K4574,MATCH($B2020,'HS Codes'!$A$2:$A4574,0),MATCH(G$1,'HS Codes'!$D$1:$K$1,0)),"")</f>
        <v>6112311000</v>
      </c>
      <c r="H2020" s="8">
        <f>_xlfn.IFNA(INDEX('HS Codes'!$D$2:$K4574,MATCH($B2020,'HS Codes'!$A$2:$A4574,0),MATCH(H$1,'HS Codes'!$D$1:$K$1,0)),"")</f>
        <v>6112311000</v>
      </c>
      <c r="I2020" s="8">
        <f>_xlfn.IFNA(INDEX('HS Codes'!$D$2:$K4574,MATCH($B2020,'HS Codes'!$A$2:$A4574,0),MATCH(I$1,'HS Codes'!$D$1:$K$1,0)),"")</f>
        <v>61123110</v>
      </c>
      <c r="J2020" s="8">
        <f>_xlfn.IFNA(INDEX('HS Codes'!$D$2:$K4574,MATCH($B2020,'HS Codes'!$A$2:$A4574,0),MATCH(J$1,'HS Codes'!$D$1:$K$1,0)),"")</f>
        <v>0</v>
      </c>
      <c r="K2020" s="8" t="str">
        <f>_xlfn.IFNA(INDEX('HS Codes'!$D$2:$K4574,MATCH($B2020,'HS Codes'!$A$2:$A4574,0),MATCH(K$1,'HS Codes'!$D$1:$K$1,0)),"")</f>
        <v>6112.39.00</v>
      </c>
      <c r="L2020" s="8">
        <f>_xlfn.IFNA(INDEX('HS Codes'!$D$2:$K4574,MATCH($B2020,'HS Codes'!$A$2:$A4574,0),MATCH(L$1,'HS Codes'!$D$1:$K$1,0)),"")</f>
        <v>61123100</v>
      </c>
      <c r="M2020" s="8">
        <f>_xlfn.IFNA(INDEX('HS Codes'!$C$2:$C4574,MATCH($B2020,'HS Codes'!$A$2:$A4574,0)),"")</f>
        <v>0</v>
      </c>
      <c r="N2020" s="9"/>
      <c r="O2020" s="9"/>
      <c r="P2020" s="9"/>
      <c r="Q2020" s="9"/>
    </row>
    <row r="2021" spans="1:17" ht="15.75" customHeight="1">
      <c r="A2021" s="7" t="s">
        <v>2314</v>
      </c>
      <c r="B2021" s="7" t="s">
        <v>156</v>
      </c>
      <c r="C2021" s="7"/>
      <c r="D2021" s="7" t="s">
        <v>157</v>
      </c>
      <c r="E2021" s="7" t="s">
        <v>1049</v>
      </c>
      <c r="F2021" s="8" t="str">
        <f>_xlfn.IFNA(INDEX('HS Codes'!$D$2:$K4575,MATCH($B2021,'HS Codes'!$A$2:$A4575,0),MATCH(F$1,'HS Codes'!$D$1:$K$1,0)),"")</f>
        <v>6112.31.00.10</v>
      </c>
      <c r="G2021" s="8">
        <f>_xlfn.IFNA(INDEX('HS Codes'!$D$2:$K4575,MATCH($B2021,'HS Codes'!$A$2:$A4575,0),MATCH(G$1,'HS Codes'!$D$1:$K$1,0)),"")</f>
        <v>6112311000</v>
      </c>
      <c r="H2021" s="8">
        <f>_xlfn.IFNA(INDEX('HS Codes'!$D$2:$K4575,MATCH($B2021,'HS Codes'!$A$2:$A4575,0),MATCH(H$1,'HS Codes'!$D$1:$K$1,0)),"")</f>
        <v>6112311000</v>
      </c>
      <c r="I2021" s="8">
        <f>_xlfn.IFNA(INDEX('HS Codes'!$D$2:$K4575,MATCH($B2021,'HS Codes'!$A$2:$A4575,0),MATCH(I$1,'HS Codes'!$D$1:$K$1,0)),"")</f>
        <v>61123110</v>
      </c>
      <c r="J2021" s="8">
        <f>_xlfn.IFNA(INDEX('HS Codes'!$D$2:$K4575,MATCH($B2021,'HS Codes'!$A$2:$A4575,0),MATCH(J$1,'HS Codes'!$D$1:$K$1,0)),"")</f>
        <v>0</v>
      </c>
      <c r="K2021" s="8" t="str">
        <f>_xlfn.IFNA(INDEX('HS Codes'!$D$2:$K4575,MATCH($B2021,'HS Codes'!$A$2:$A4575,0),MATCH(K$1,'HS Codes'!$D$1:$K$1,0)),"")</f>
        <v>6112.39.00</v>
      </c>
      <c r="L2021" s="8">
        <f>_xlfn.IFNA(INDEX('HS Codes'!$D$2:$K4575,MATCH($B2021,'HS Codes'!$A$2:$A4575,0),MATCH(L$1,'HS Codes'!$D$1:$K$1,0)),"")</f>
        <v>61123100</v>
      </c>
      <c r="M2021" s="8">
        <f>_xlfn.IFNA(INDEX('HS Codes'!$C$2:$C4575,MATCH($B2021,'HS Codes'!$A$2:$A4575,0)),"")</f>
        <v>0</v>
      </c>
      <c r="N2021" s="9"/>
      <c r="O2021" s="9"/>
      <c r="P2021" s="9"/>
      <c r="Q2021" s="9"/>
    </row>
    <row r="2022" spans="1:17" ht="15.75" customHeight="1">
      <c r="A2022" s="7" t="s">
        <v>2315</v>
      </c>
      <c r="B2022" s="7" t="s">
        <v>156</v>
      </c>
      <c r="C2022" s="7"/>
      <c r="D2022" s="7" t="s">
        <v>157</v>
      </c>
      <c r="E2022" s="7" t="s">
        <v>1049</v>
      </c>
      <c r="F2022" s="8" t="str">
        <f>_xlfn.IFNA(INDEX('HS Codes'!$D$2:$K4576,MATCH($B2022,'HS Codes'!$A$2:$A4576,0),MATCH(F$1,'HS Codes'!$D$1:$K$1,0)),"")</f>
        <v>6112.31.00.10</v>
      </c>
      <c r="G2022" s="8">
        <f>_xlfn.IFNA(INDEX('HS Codes'!$D$2:$K4576,MATCH($B2022,'HS Codes'!$A$2:$A4576,0),MATCH(G$1,'HS Codes'!$D$1:$K$1,0)),"")</f>
        <v>6112311000</v>
      </c>
      <c r="H2022" s="8">
        <f>_xlfn.IFNA(INDEX('HS Codes'!$D$2:$K4576,MATCH($B2022,'HS Codes'!$A$2:$A4576,0),MATCH(H$1,'HS Codes'!$D$1:$K$1,0)),"")</f>
        <v>6112311000</v>
      </c>
      <c r="I2022" s="8">
        <f>_xlfn.IFNA(INDEX('HS Codes'!$D$2:$K4576,MATCH($B2022,'HS Codes'!$A$2:$A4576,0),MATCH(I$1,'HS Codes'!$D$1:$K$1,0)),"")</f>
        <v>61123110</v>
      </c>
      <c r="J2022" s="8">
        <f>_xlfn.IFNA(INDEX('HS Codes'!$D$2:$K4576,MATCH($B2022,'HS Codes'!$A$2:$A4576,0),MATCH(J$1,'HS Codes'!$D$1:$K$1,0)),"")</f>
        <v>0</v>
      </c>
      <c r="K2022" s="8" t="str">
        <f>_xlfn.IFNA(INDEX('HS Codes'!$D$2:$K4576,MATCH($B2022,'HS Codes'!$A$2:$A4576,0),MATCH(K$1,'HS Codes'!$D$1:$K$1,0)),"")</f>
        <v>6112.39.00</v>
      </c>
      <c r="L2022" s="8">
        <f>_xlfn.IFNA(INDEX('HS Codes'!$D$2:$K4576,MATCH($B2022,'HS Codes'!$A$2:$A4576,0),MATCH(L$1,'HS Codes'!$D$1:$K$1,0)),"")</f>
        <v>61123100</v>
      </c>
      <c r="M2022" s="8">
        <f>_xlfn.IFNA(INDEX('HS Codes'!$C$2:$C4576,MATCH($B2022,'HS Codes'!$A$2:$A4576,0)),"")</f>
        <v>0</v>
      </c>
      <c r="N2022" s="9"/>
      <c r="O2022" s="9"/>
      <c r="P2022" s="9"/>
      <c r="Q2022" s="9"/>
    </row>
    <row r="2023" spans="1:17" ht="15.75" customHeight="1">
      <c r="A2023" s="7" t="s">
        <v>2316</v>
      </c>
      <c r="B2023" s="7" t="s">
        <v>156</v>
      </c>
      <c r="C2023" s="7"/>
      <c r="D2023" s="7" t="s">
        <v>157</v>
      </c>
      <c r="E2023" s="7" t="s">
        <v>1049</v>
      </c>
      <c r="F2023" s="8" t="str">
        <f>_xlfn.IFNA(INDEX('HS Codes'!$D$2:$K4577,MATCH($B2023,'HS Codes'!$A$2:$A4577,0),MATCH(F$1,'HS Codes'!$D$1:$K$1,0)),"")</f>
        <v>6112.31.00.10</v>
      </c>
      <c r="G2023" s="8">
        <f>_xlfn.IFNA(INDEX('HS Codes'!$D$2:$K4577,MATCH($B2023,'HS Codes'!$A$2:$A4577,0),MATCH(G$1,'HS Codes'!$D$1:$K$1,0)),"")</f>
        <v>6112311000</v>
      </c>
      <c r="H2023" s="8">
        <f>_xlfn.IFNA(INDEX('HS Codes'!$D$2:$K4577,MATCH($B2023,'HS Codes'!$A$2:$A4577,0),MATCH(H$1,'HS Codes'!$D$1:$K$1,0)),"")</f>
        <v>6112311000</v>
      </c>
      <c r="I2023" s="8">
        <f>_xlfn.IFNA(INDEX('HS Codes'!$D$2:$K4577,MATCH($B2023,'HS Codes'!$A$2:$A4577,0),MATCH(I$1,'HS Codes'!$D$1:$K$1,0)),"")</f>
        <v>61123110</v>
      </c>
      <c r="J2023" s="8">
        <f>_xlfn.IFNA(INDEX('HS Codes'!$D$2:$K4577,MATCH($B2023,'HS Codes'!$A$2:$A4577,0),MATCH(J$1,'HS Codes'!$D$1:$K$1,0)),"")</f>
        <v>0</v>
      </c>
      <c r="K2023" s="8" t="str">
        <f>_xlfn.IFNA(INDEX('HS Codes'!$D$2:$K4577,MATCH($B2023,'HS Codes'!$A$2:$A4577,0),MATCH(K$1,'HS Codes'!$D$1:$K$1,0)),"")</f>
        <v>6112.39.00</v>
      </c>
      <c r="L2023" s="8">
        <f>_xlfn.IFNA(INDEX('HS Codes'!$D$2:$K4577,MATCH($B2023,'HS Codes'!$A$2:$A4577,0),MATCH(L$1,'HS Codes'!$D$1:$K$1,0)),"")</f>
        <v>61123100</v>
      </c>
      <c r="M2023" s="8">
        <f>_xlfn.IFNA(INDEX('HS Codes'!$C$2:$C4577,MATCH($B2023,'HS Codes'!$A$2:$A4577,0)),"")</f>
        <v>0</v>
      </c>
      <c r="N2023" s="9"/>
      <c r="O2023" s="9"/>
      <c r="P2023" s="9"/>
      <c r="Q2023" s="9"/>
    </row>
    <row r="2024" spans="1:17" ht="15.75" customHeight="1">
      <c r="A2024" s="7" t="s">
        <v>2317</v>
      </c>
      <c r="B2024" s="7" t="s">
        <v>156</v>
      </c>
      <c r="C2024" s="7"/>
      <c r="D2024" s="7" t="s">
        <v>157</v>
      </c>
      <c r="E2024" s="7" t="s">
        <v>1049</v>
      </c>
      <c r="F2024" s="8" t="str">
        <f>_xlfn.IFNA(INDEX('HS Codes'!$D$2:$K4578,MATCH($B2024,'HS Codes'!$A$2:$A4578,0),MATCH(F$1,'HS Codes'!$D$1:$K$1,0)),"")</f>
        <v>6112.31.00.10</v>
      </c>
      <c r="G2024" s="8">
        <f>_xlfn.IFNA(INDEX('HS Codes'!$D$2:$K4578,MATCH($B2024,'HS Codes'!$A$2:$A4578,0),MATCH(G$1,'HS Codes'!$D$1:$K$1,0)),"")</f>
        <v>6112311000</v>
      </c>
      <c r="H2024" s="8">
        <f>_xlfn.IFNA(INDEX('HS Codes'!$D$2:$K4578,MATCH($B2024,'HS Codes'!$A$2:$A4578,0),MATCH(H$1,'HS Codes'!$D$1:$K$1,0)),"")</f>
        <v>6112311000</v>
      </c>
      <c r="I2024" s="8">
        <f>_xlfn.IFNA(INDEX('HS Codes'!$D$2:$K4578,MATCH($B2024,'HS Codes'!$A$2:$A4578,0),MATCH(I$1,'HS Codes'!$D$1:$K$1,0)),"")</f>
        <v>61123110</v>
      </c>
      <c r="J2024" s="8">
        <f>_xlfn.IFNA(INDEX('HS Codes'!$D$2:$K4578,MATCH($B2024,'HS Codes'!$A$2:$A4578,0),MATCH(J$1,'HS Codes'!$D$1:$K$1,0)),"")</f>
        <v>0</v>
      </c>
      <c r="K2024" s="8" t="str">
        <f>_xlfn.IFNA(INDEX('HS Codes'!$D$2:$K4578,MATCH($B2024,'HS Codes'!$A$2:$A4578,0),MATCH(K$1,'HS Codes'!$D$1:$K$1,0)),"")</f>
        <v>6112.39.00</v>
      </c>
      <c r="L2024" s="8">
        <f>_xlfn.IFNA(INDEX('HS Codes'!$D$2:$K4578,MATCH($B2024,'HS Codes'!$A$2:$A4578,0),MATCH(L$1,'HS Codes'!$D$1:$K$1,0)),"")</f>
        <v>61123100</v>
      </c>
      <c r="M2024" s="8">
        <f>_xlfn.IFNA(INDEX('HS Codes'!$C$2:$C4578,MATCH($B2024,'HS Codes'!$A$2:$A4578,0)),"")</f>
        <v>0</v>
      </c>
      <c r="N2024" s="9"/>
      <c r="O2024" s="9"/>
      <c r="P2024" s="9"/>
      <c r="Q2024" s="9"/>
    </row>
    <row r="2025" spans="1:17" ht="15.75" customHeight="1">
      <c r="A2025" s="7" t="s">
        <v>2318</v>
      </c>
      <c r="B2025" s="7" t="s">
        <v>156</v>
      </c>
      <c r="C2025" s="7"/>
      <c r="D2025" s="7" t="s">
        <v>157</v>
      </c>
      <c r="E2025" s="7" t="s">
        <v>1049</v>
      </c>
      <c r="F2025" s="8" t="str">
        <f>_xlfn.IFNA(INDEX('HS Codes'!$D$2:$K4579,MATCH($B2025,'HS Codes'!$A$2:$A4579,0),MATCH(F$1,'HS Codes'!$D$1:$K$1,0)),"")</f>
        <v>6112.31.00.10</v>
      </c>
      <c r="G2025" s="8">
        <f>_xlfn.IFNA(INDEX('HS Codes'!$D$2:$K4579,MATCH($B2025,'HS Codes'!$A$2:$A4579,0),MATCH(G$1,'HS Codes'!$D$1:$K$1,0)),"")</f>
        <v>6112311000</v>
      </c>
      <c r="H2025" s="8">
        <f>_xlfn.IFNA(INDEX('HS Codes'!$D$2:$K4579,MATCH($B2025,'HS Codes'!$A$2:$A4579,0),MATCH(H$1,'HS Codes'!$D$1:$K$1,0)),"")</f>
        <v>6112311000</v>
      </c>
      <c r="I2025" s="8">
        <f>_xlfn.IFNA(INDEX('HS Codes'!$D$2:$K4579,MATCH($B2025,'HS Codes'!$A$2:$A4579,0),MATCH(I$1,'HS Codes'!$D$1:$K$1,0)),"")</f>
        <v>61123110</v>
      </c>
      <c r="J2025" s="8">
        <f>_xlfn.IFNA(INDEX('HS Codes'!$D$2:$K4579,MATCH($B2025,'HS Codes'!$A$2:$A4579,0),MATCH(J$1,'HS Codes'!$D$1:$K$1,0)),"")</f>
        <v>0</v>
      </c>
      <c r="K2025" s="8" t="str">
        <f>_xlfn.IFNA(INDEX('HS Codes'!$D$2:$K4579,MATCH($B2025,'HS Codes'!$A$2:$A4579,0),MATCH(K$1,'HS Codes'!$D$1:$K$1,0)),"")</f>
        <v>6112.39.00</v>
      </c>
      <c r="L2025" s="8">
        <f>_xlfn.IFNA(INDEX('HS Codes'!$D$2:$K4579,MATCH($B2025,'HS Codes'!$A$2:$A4579,0),MATCH(L$1,'HS Codes'!$D$1:$K$1,0)),"")</f>
        <v>61123100</v>
      </c>
      <c r="M2025" s="8">
        <f>_xlfn.IFNA(INDEX('HS Codes'!$C$2:$C4579,MATCH($B2025,'HS Codes'!$A$2:$A4579,0)),"")</f>
        <v>0</v>
      </c>
      <c r="N2025" s="9"/>
      <c r="O2025" s="9"/>
      <c r="P2025" s="9"/>
      <c r="Q2025" s="9"/>
    </row>
    <row r="2026" spans="1:17" ht="15.75" customHeight="1">
      <c r="A2026" s="7" t="s">
        <v>2319</v>
      </c>
      <c r="B2026" s="7" t="s">
        <v>156</v>
      </c>
      <c r="C2026" s="7"/>
      <c r="D2026" s="7" t="s">
        <v>157</v>
      </c>
      <c r="E2026" s="7" t="s">
        <v>1049</v>
      </c>
      <c r="F2026" s="8" t="str">
        <f>_xlfn.IFNA(INDEX('HS Codes'!$D$2:$K4580,MATCH($B2026,'HS Codes'!$A$2:$A4580,0),MATCH(F$1,'HS Codes'!$D$1:$K$1,0)),"")</f>
        <v>6112.31.00.10</v>
      </c>
      <c r="G2026" s="8">
        <f>_xlfn.IFNA(INDEX('HS Codes'!$D$2:$K4580,MATCH($B2026,'HS Codes'!$A$2:$A4580,0),MATCH(G$1,'HS Codes'!$D$1:$K$1,0)),"")</f>
        <v>6112311000</v>
      </c>
      <c r="H2026" s="8">
        <f>_xlfn.IFNA(INDEX('HS Codes'!$D$2:$K4580,MATCH($B2026,'HS Codes'!$A$2:$A4580,0),MATCH(H$1,'HS Codes'!$D$1:$K$1,0)),"")</f>
        <v>6112311000</v>
      </c>
      <c r="I2026" s="8">
        <f>_xlfn.IFNA(INDEX('HS Codes'!$D$2:$K4580,MATCH($B2026,'HS Codes'!$A$2:$A4580,0),MATCH(I$1,'HS Codes'!$D$1:$K$1,0)),"")</f>
        <v>61123110</v>
      </c>
      <c r="J2026" s="8">
        <f>_xlfn.IFNA(INDEX('HS Codes'!$D$2:$K4580,MATCH($B2026,'HS Codes'!$A$2:$A4580,0),MATCH(J$1,'HS Codes'!$D$1:$K$1,0)),"")</f>
        <v>0</v>
      </c>
      <c r="K2026" s="8" t="str">
        <f>_xlfn.IFNA(INDEX('HS Codes'!$D$2:$K4580,MATCH($B2026,'HS Codes'!$A$2:$A4580,0),MATCH(K$1,'HS Codes'!$D$1:$K$1,0)),"")</f>
        <v>6112.39.00</v>
      </c>
      <c r="L2026" s="8">
        <f>_xlfn.IFNA(INDEX('HS Codes'!$D$2:$K4580,MATCH($B2026,'HS Codes'!$A$2:$A4580,0),MATCH(L$1,'HS Codes'!$D$1:$K$1,0)),"")</f>
        <v>61123100</v>
      </c>
      <c r="M2026" s="8">
        <f>_xlfn.IFNA(INDEX('HS Codes'!$C$2:$C4580,MATCH($B2026,'HS Codes'!$A$2:$A4580,0)),"")</f>
        <v>0</v>
      </c>
      <c r="N2026" s="9"/>
      <c r="O2026" s="9"/>
      <c r="P2026" s="9"/>
      <c r="Q2026" s="9"/>
    </row>
    <row r="2027" spans="1:17" ht="15.75" customHeight="1">
      <c r="A2027" s="7" t="s">
        <v>2320</v>
      </c>
      <c r="B2027" s="7" t="s">
        <v>156</v>
      </c>
      <c r="C2027" s="7"/>
      <c r="D2027" s="7" t="s">
        <v>157</v>
      </c>
      <c r="E2027" s="7" t="s">
        <v>1049</v>
      </c>
      <c r="F2027" s="8" t="str">
        <f>_xlfn.IFNA(INDEX('HS Codes'!$D$2:$K4581,MATCH($B2027,'HS Codes'!$A$2:$A4581,0),MATCH(F$1,'HS Codes'!$D$1:$K$1,0)),"")</f>
        <v>6112.31.00.10</v>
      </c>
      <c r="G2027" s="8">
        <f>_xlfn.IFNA(INDEX('HS Codes'!$D$2:$K4581,MATCH($B2027,'HS Codes'!$A$2:$A4581,0),MATCH(G$1,'HS Codes'!$D$1:$K$1,0)),"")</f>
        <v>6112311000</v>
      </c>
      <c r="H2027" s="8">
        <f>_xlfn.IFNA(INDEX('HS Codes'!$D$2:$K4581,MATCH($B2027,'HS Codes'!$A$2:$A4581,0),MATCH(H$1,'HS Codes'!$D$1:$K$1,0)),"")</f>
        <v>6112311000</v>
      </c>
      <c r="I2027" s="8">
        <f>_xlfn.IFNA(INDEX('HS Codes'!$D$2:$K4581,MATCH($B2027,'HS Codes'!$A$2:$A4581,0),MATCH(I$1,'HS Codes'!$D$1:$K$1,0)),"")</f>
        <v>61123110</v>
      </c>
      <c r="J2027" s="8">
        <f>_xlfn.IFNA(INDEX('HS Codes'!$D$2:$K4581,MATCH($B2027,'HS Codes'!$A$2:$A4581,0),MATCH(J$1,'HS Codes'!$D$1:$K$1,0)),"")</f>
        <v>0</v>
      </c>
      <c r="K2027" s="8" t="str">
        <f>_xlfn.IFNA(INDEX('HS Codes'!$D$2:$K4581,MATCH($B2027,'HS Codes'!$A$2:$A4581,0),MATCH(K$1,'HS Codes'!$D$1:$K$1,0)),"")</f>
        <v>6112.39.00</v>
      </c>
      <c r="L2027" s="8">
        <f>_xlfn.IFNA(INDEX('HS Codes'!$D$2:$K4581,MATCH($B2027,'HS Codes'!$A$2:$A4581,0),MATCH(L$1,'HS Codes'!$D$1:$K$1,0)),"")</f>
        <v>61123100</v>
      </c>
      <c r="M2027" s="8">
        <f>_xlfn.IFNA(INDEX('HS Codes'!$C$2:$C4581,MATCH($B2027,'HS Codes'!$A$2:$A4581,0)),"")</f>
        <v>0</v>
      </c>
      <c r="N2027" s="9"/>
      <c r="O2027" s="9"/>
      <c r="P2027" s="9"/>
      <c r="Q2027" s="9"/>
    </row>
    <row r="2028" spans="1:17" ht="15.75" customHeight="1">
      <c r="A2028" s="7" t="s">
        <v>2321</v>
      </c>
      <c r="B2028" s="7" t="s">
        <v>156</v>
      </c>
      <c r="C2028" s="7"/>
      <c r="D2028" s="7" t="s">
        <v>157</v>
      </c>
      <c r="E2028" s="7" t="s">
        <v>1049</v>
      </c>
      <c r="F2028" s="8" t="str">
        <f>_xlfn.IFNA(INDEX('HS Codes'!$D$2:$K4582,MATCH($B2028,'HS Codes'!$A$2:$A4582,0),MATCH(F$1,'HS Codes'!$D$1:$K$1,0)),"")</f>
        <v>6112.31.00.10</v>
      </c>
      <c r="G2028" s="8">
        <f>_xlfn.IFNA(INDEX('HS Codes'!$D$2:$K4582,MATCH($B2028,'HS Codes'!$A$2:$A4582,0),MATCH(G$1,'HS Codes'!$D$1:$K$1,0)),"")</f>
        <v>6112311000</v>
      </c>
      <c r="H2028" s="8">
        <f>_xlfn.IFNA(INDEX('HS Codes'!$D$2:$K4582,MATCH($B2028,'HS Codes'!$A$2:$A4582,0),MATCH(H$1,'HS Codes'!$D$1:$K$1,0)),"")</f>
        <v>6112311000</v>
      </c>
      <c r="I2028" s="8">
        <f>_xlfn.IFNA(INDEX('HS Codes'!$D$2:$K4582,MATCH($B2028,'HS Codes'!$A$2:$A4582,0),MATCH(I$1,'HS Codes'!$D$1:$K$1,0)),"")</f>
        <v>61123110</v>
      </c>
      <c r="J2028" s="8">
        <f>_xlfn.IFNA(INDEX('HS Codes'!$D$2:$K4582,MATCH($B2028,'HS Codes'!$A$2:$A4582,0),MATCH(J$1,'HS Codes'!$D$1:$K$1,0)),"")</f>
        <v>0</v>
      </c>
      <c r="K2028" s="8" t="str">
        <f>_xlfn.IFNA(INDEX('HS Codes'!$D$2:$K4582,MATCH($B2028,'HS Codes'!$A$2:$A4582,0),MATCH(K$1,'HS Codes'!$D$1:$K$1,0)),"")</f>
        <v>6112.39.00</v>
      </c>
      <c r="L2028" s="8">
        <f>_xlfn.IFNA(INDEX('HS Codes'!$D$2:$K4582,MATCH($B2028,'HS Codes'!$A$2:$A4582,0),MATCH(L$1,'HS Codes'!$D$1:$K$1,0)),"")</f>
        <v>61123100</v>
      </c>
      <c r="M2028" s="8">
        <f>_xlfn.IFNA(INDEX('HS Codes'!$C$2:$C4582,MATCH($B2028,'HS Codes'!$A$2:$A4582,0)),"")</f>
        <v>0</v>
      </c>
      <c r="N2028" s="9"/>
      <c r="O2028" s="9"/>
      <c r="P2028" s="9"/>
      <c r="Q2028" s="9"/>
    </row>
    <row r="2029" spans="1:17" ht="15.75" customHeight="1">
      <c r="A2029" s="7" t="s">
        <v>2322</v>
      </c>
      <c r="B2029" s="7" t="s">
        <v>156</v>
      </c>
      <c r="C2029" s="7"/>
      <c r="D2029" s="7" t="s">
        <v>157</v>
      </c>
      <c r="E2029" s="7" t="s">
        <v>1049</v>
      </c>
      <c r="F2029" s="8" t="str">
        <f>_xlfn.IFNA(INDEX('HS Codes'!$D$2:$K4583,MATCH($B2029,'HS Codes'!$A$2:$A4583,0),MATCH(F$1,'HS Codes'!$D$1:$K$1,0)),"")</f>
        <v>6112.31.00.10</v>
      </c>
      <c r="G2029" s="8">
        <f>_xlfn.IFNA(INDEX('HS Codes'!$D$2:$K4583,MATCH($B2029,'HS Codes'!$A$2:$A4583,0),MATCH(G$1,'HS Codes'!$D$1:$K$1,0)),"")</f>
        <v>6112311000</v>
      </c>
      <c r="H2029" s="8">
        <f>_xlfn.IFNA(INDEX('HS Codes'!$D$2:$K4583,MATCH($B2029,'HS Codes'!$A$2:$A4583,0),MATCH(H$1,'HS Codes'!$D$1:$K$1,0)),"")</f>
        <v>6112311000</v>
      </c>
      <c r="I2029" s="8">
        <f>_xlfn.IFNA(INDEX('HS Codes'!$D$2:$K4583,MATCH($B2029,'HS Codes'!$A$2:$A4583,0),MATCH(I$1,'HS Codes'!$D$1:$K$1,0)),"")</f>
        <v>61123110</v>
      </c>
      <c r="J2029" s="8">
        <f>_xlfn.IFNA(INDEX('HS Codes'!$D$2:$K4583,MATCH($B2029,'HS Codes'!$A$2:$A4583,0),MATCH(J$1,'HS Codes'!$D$1:$K$1,0)),"")</f>
        <v>0</v>
      </c>
      <c r="K2029" s="8" t="str">
        <f>_xlfn.IFNA(INDEX('HS Codes'!$D$2:$K4583,MATCH($B2029,'HS Codes'!$A$2:$A4583,0),MATCH(K$1,'HS Codes'!$D$1:$K$1,0)),"")</f>
        <v>6112.39.00</v>
      </c>
      <c r="L2029" s="8">
        <f>_xlfn.IFNA(INDEX('HS Codes'!$D$2:$K4583,MATCH($B2029,'HS Codes'!$A$2:$A4583,0),MATCH(L$1,'HS Codes'!$D$1:$K$1,0)),"")</f>
        <v>61123100</v>
      </c>
      <c r="M2029" s="8">
        <f>_xlfn.IFNA(INDEX('HS Codes'!$C$2:$C4583,MATCH($B2029,'HS Codes'!$A$2:$A4583,0)),"")</f>
        <v>0</v>
      </c>
      <c r="N2029" s="9"/>
      <c r="O2029" s="9"/>
      <c r="P2029" s="9"/>
      <c r="Q2029" s="9"/>
    </row>
    <row r="2030" spans="1:17" ht="15.75" customHeight="1">
      <c r="A2030" s="7" t="s">
        <v>2323</v>
      </c>
      <c r="B2030" s="7" t="s">
        <v>156</v>
      </c>
      <c r="C2030" s="7"/>
      <c r="D2030" s="7" t="s">
        <v>157</v>
      </c>
      <c r="E2030" s="7" t="s">
        <v>1049</v>
      </c>
      <c r="F2030" s="8" t="str">
        <f>_xlfn.IFNA(INDEX('HS Codes'!$D$2:$K4584,MATCH($B2030,'HS Codes'!$A$2:$A4584,0),MATCH(F$1,'HS Codes'!$D$1:$K$1,0)),"")</f>
        <v>6112.31.00.10</v>
      </c>
      <c r="G2030" s="8">
        <f>_xlfn.IFNA(INDEX('HS Codes'!$D$2:$K4584,MATCH($B2030,'HS Codes'!$A$2:$A4584,0),MATCH(G$1,'HS Codes'!$D$1:$K$1,0)),"")</f>
        <v>6112311000</v>
      </c>
      <c r="H2030" s="8">
        <f>_xlfn.IFNA(INDEX('HS Codes'!$D$2:$K4584,MATCH($B2030,'HS Codes'!$A$2:$A4584,0),MATCH(H$1,'HS Codes'!$D$1:$K$1,0)),"")</f>
        <v>6112311000</v>
      </c>
      <c r="I2030" s="8">
        <f>_xlfn.IFNA(INDEX('HS Codes'!$D$2:$K4584,MATCH($B2030,'HS Codes'!$A$2:$A4584,0),MATCH(I$1,'HS Codes'!$D$1:$K$1,0)),"")</f>
        <v>61123110</v>
      </c>
      <c r="J2030" s="8">
        <f>_xlfn.IFNA(INDEX('HS Codes'!$D$2:$K4584,MATCH($B2030,'HS Codes'!$A$2:$A4584,0),MATCH(J$1,'HS Codes'!$D$1:$K$1,0)),"")</f>
        <v>0</v>
      </c>
      <c r="K2030" s="8" t="str">
        <f>_xlfn.IFNA(INDEX('HS Codes'!$D$2:$K4584,MATCH($B2030,'HS Codes'!$A$2:$A4584,0),MATCH(K$1,'HS Codes'!$D$1:$K$1,0)),"")</f>
        <v>6112.39.00</v>
      </c>
      <c r="L2030" s="8">
        <f>_xlfn.IFNA(INDEX('HS Codes'!$D$2:$K4584,MATCH($B2030,'HS Codes'!$A$2:$A4584,0),MATCH(L$1,'HS Codes'!$D$1:$K$1,0)),"")</f>
        <v>61123100</v>
      </c>
      <c r="M2030" s="8">
        <f>_xlfn.IFNA(INDEX('HS Codes'!$C$2:$C4584,MATCH($B2030,'HS Codes'!$A$2:$A4584,0)),"")</f>
        <v>0</v>
      </c>
      <c r="N2030" s="9"/>
      <c r="O2030" s="9"/>
      <c r="P2030" s="9"/>
      <c r="Q2030" s="9"/>
    </row>
    <row r="2031" spans="1:17" ht="15.75" customHeight="1">
      <c r="A2031" s="7" t="s">
        <v>2324</v>
      </c>
      <c r="B2031" s="7" t="s">
        <v>156</v>
      </c>
      <c r="C2031" s="7"/>
      <c r="D2031" s="7" t="s">
        <v>157</v>
      </c>
      <c r="E2031" s="7" t="s">
        <v>1049</v>
      </c>
      <c r="F2031" s="8" t="str">
        <f>_xlfn.IFNA(INDEX('HS Codes'!$D$2:$K4585,MATCH($B2031,'HS Codes'!$A$2:$A4585,0),MATCH(F$1,'HS Codes'!$D$1:$K$1,0)),"")</f>
        <v>6112.31.00.10</v>
      </c>
      <c r="G2031" s="8">
        <f>_xlfn.IFNA(INDEX('HS Codes'!$D$2:$K4585,MATCH($B2031,'HS Codes'!$A$2:$A4585,0),MATCH(G$1,'HS Codes'!$D$1:$K$1,0)),"")</f>
        <v>6112311000</v>
      </c>
      <c r="H2031" s="8">
        <f>_xlfn.IFNA(INDEX('HS Codes'!$D$2:$K4585,MATCH($B2031,'HS Codes'!$A$2:$A4585,0),MATCH(H$1,'HS Codes'!$D$1:$K$1,0)),"")</f>
        <v>6112311000</v>
      </c>
      <c r="I2031" s="8">
        <f>_xlfn.IFNA(INDEX('HS Codes'!$D$2:$K4585,MATCH($B2031,'HS Codes'!$A$2:$A4585,0),MATCH(I$1,'HS Codes'!$D$1:$K$1,0)),"")</f>
        <v>61123110</v>
      </c>
      <c r="J2031" s="8">
        <f>_xlfn.IFNA(INDEX('HS Codes'!$D$2:$K4585,MATCH($B2031,'HS Codes'!$A$2:$A4585,0),MATCH(J$1,'HS Codes'!$D$1:$K$1,0)),"")</f>
        <v>0</v>
      </c>
      <c r="K2031" s="8" t="str">
        <f>_xlfn.IFNA(INDEX('HS Codes'!$D$2:$K4585,MATCH($B2031,'HS Codes'!$A$2:$A4585,0),MATCH(K$1,'HS Codes'!$D$1:$K$1,0)),"")</f>
        <v>6112.39.00</v>
      </c>
      <c r="L2031" s="8">
        <f>_xlfn.IFNA(INDEX('HS Codes'!$D$2:$K4585,MATCH($B2031,'HS Codes'!$A$2:$A4585,0),MATCH(L$1,'HS Codes'!$D$1:$K$1,0)),"")</f>
        <v>61123100</v>
      </c>
      <c r="M2031" s="8">
        <f>_xlfn.IFNA(INDEX('HS Codes'!$C$2:$C4585,MATCH($B2031,'HS Codes'!$A$2:$A4585,0)),"")</f>
        <v>0</v>
      </c>
      <c r="N2031" s="9"/>
      <c r="O2031" s="9"/>
      <c r="P2031" s="9"/>
      <c r="Q2031" s="9"/>
    </row>
    <row r="2032" spans="1:17" ht="15.75" customHeight="1">
      <c r="A2032" s="7" t="s">
        <v>2325</v>
      </c>
      <c r="B2032" s="7" t="s">
        <v>156</v>
      </c>
      <c r="C2032" s="7"/>
      <c r="D2032" s="7" t="s">
        <v>157</v>
      </c>
      <c r="E2032" s="7" t="s">
        <v>1049</v>
      </c>
      <c r="F2032" s="8" t="str">
        <f>_xlfn.IFNA(INDEX('HS Codes'!$D$2:$K4586,MATCH($B2032,'HS Codes'!$A$2:$A4586,0),MATCH(F$1,'HS Codes'!$D$1:$K$1,0)),"")</f>
        <v>6112.31.00.10</v>
      </c>
      <c r="G2032" s="8">
        <f>_xlfn.IFNA(INDEX('HS Codes'!$D$2:$K4586,MATCH($B2032,'HS Codes'!$A$2:$A4586,0),MATCH(G$1,'HS Codes'!$D$1:$K$1,0)),"")</f>
        <v>6112311000</v>
      </c>
      <c r="H2032" s="8">
        <f>_xlfn.IFNA(INDEX('HS Codes'!$D$2:$K4586,MATCH($B2032,'HS Codes'!$A$2:$A4586,0),MATCH(H$1,'HS Codes'!$D$1:$K$1,0)),"")</f>
        <v>6112311000</v>
      </c>
      <c r="I2032" s="8">
        <f>_xlfn.IFNA(INDEX('HS Codes'!$D$2:$K4586,MATCH($B2032,'HS Codes'!$A$2:$A4586,0),MATCH(I$1,'HS Codes'!$D$1:$K$1,0)),"")</f>
        <v>61123110</v>
      </c>
      <c r="J2032" s="8">
        <f>_xlfn.IFNA(INDEX('HS Codes'!$D$2:$K4586,MATCH($B2032,'HS Codes'!$A$2:$A4586,0),MATCH(J$1,'HS Codes'!$D$1:$K$1,0)),"")</f>
        <v>0</v>
      </c>
      <c r="K2032" s="8" t="str">
        <f>_xlfn.IFNA(INDEX('HS Codes'!$D$2:$K4586,MATCH($B2032,'HS Codes'!$A$2:$A4586,0),MATCH(K$1,'HS Codes'!$D$1:$K$1,0)),"")</f>
        <v>6112.39.00</v>
      </c>
      <c r="L2032" s="8">
        <f>_xlfn.IFNA(INDEX('HS Codes'!$D$2:$K4586,MATCH($B2032,'HS Codes'!$A$2:$A4586,0),MATCH(L$1,'HS Codes'!$D$1:$K$1,0)),"")</f>
        <v>61123100</v>
      </c>
      <c r="M2032" s="8">
        <f>_xlfn.IFNA(INDEX('HS Codes'!$C$2:$C4586,MATCH($B2032,'HS Codes'!$A$2:$A4586,0)),"")</f>
        <v>0</v>
      </c>
      <c r="N2032" s="9"/>
      <c r="O2032" s="9"/>
      <c r="P2032" s="9"/>
      <c r="Q2032" s="9"/>
    </row>
    <row r="2033" spans="1:17" ht="15.75" customHeight="1">
      <c r="A2033" s="7" t="s">
        <v>2326</v>
      </c>
      <c r="B2033" s="7" t="s">
        <v>156</v>
      </c>
      <c r="C2033" s="7"/>
      <c r="D2033" s="7" t="s">
        <v>157</v>
      </c>
      <c r="E2033" s="7" t="s">
        <v>1049</v>
      </c>
      <c r="F2033" s="8" t="str">
        <f>_xlfn.IFNA(INDEX('HS Codes'!$D$2:$K4587,MATCH($B2033,'HS Codes'!$A$2:$A4587,0),MATCH(F$1,'HS Codes'!$D$1:$K$1,0)),"")</f>
        <v>6112.31.00.10</v>
      </c>
      <c r="G2033" s="8">
        <f>_xlfn.IFNA(INDEX('HS Codes'!$D$2:$K4587,MATCH($B2033,'HS Codes'!$A$2:$A4587,0),MATCH(G$1,'HS Codes'!$D$1:$K$1,0)),"")</f>
        <v>6112311000</v>
      </c>
      <c r="H2033" s="8">
        <f>_xlfn.IFNA(INDEX('HS Codes'!$D$2:$K4587,MATCH($B2033,'HS Codes'!$A$2:$A4587,0),MATCH(H$1,'HS Codes'!$D$1:$K$1,0)),"")</f>
        <v>6112311000</v>
      </c>
      <c r="I2033" s="8">
        <f>_xlfn.IFNA(INDEX('HS Codes'!$D$2:$K4587,MATCH($B2033,'HS Codes'!$A$2:$A4587,0),MATCH(I$1,'HS Codes'!$D$1:$K$1,0)),"")</f>
        <v>61123110</v>
      </c>
      <c r="J2033" s="8">
        <f>_xlfn.IFNA(INDEX('HS Codes'!$D$2:$K4587,MATCH($B2033,'HS Codes'!$A$2:$A4587,0),MATCH(J$1,'HS Codes'!$D$1:$K$1,0)),"")</f>
        <v>0</v>
      </c>
      <c r="K2033" s="8" t="str">
        <f>_xlfn.IFNA(INDEX('HS Codes'!$D$2:$K4587,MATCH($B2033,'HS Codes'!$A$2:$A4587,0),MATCH(K$1,'HS Codes'!$D$1:$K$1,0)),"")</f>
        <v>6112.39.00</v>
      </c>
      <c r="L2033" s="8">
        <f>_xlfn.IFNA(INDEX('HS Codes'!$D$2:$K4587,MATCH($B2033,'HS Codes'!$A$2:$A4587,0),MATCH(L$1,'HS Codes'!$D$1:$K$1,0)),"")</f>
        <v>61123100</v>
      </c>
      <c r="M2033" s="8">
        <f>_xlfn.IFNA(INDEX('HS Codes'!$C$2:$C4587,MATCH($B2033,'HS Codes'!$A$2:$A4587,0)),"")</f>
        <v>0</v>
      </c>
      <c r="N2033" s="9"/>
      <c r="O2033" s="9"/>
      <c r="P2033" s="9"/>
      <c r="Q2033" s="9"/>
    </row>
    <row r="2034" spans="1:17" ht="15.75" customHeight="1">
      <c r="A2034" s="7" t="s">
        <v>2327</v>
      </c>
      <c r="B2034" s="7" t="s">
        <v>156</v>
      </c>
      <c r="C2034" s="7"/>
      <c r="D2034" s="7" t="s">
        <v>157</v>
      </c>
      <c r="E2034" s="7" t="s">
        <v>1049</v>
      </c>
      <c r="F2034" s="8" t="str">
        <f>_xlfn.IFNA(INDEX('HS Codes'!$D$2:$K4588,MATCH($B2034,'HS Codes'!$A$2:$A4588,0),MATCH(F$1,'HS Codes'!$D$1:$K$1,0)),"")</f>
        <v>6112.31.00.10</v>
      </c>
      <c r="G2034" s="8">
        <f>_xlfn.IFNA(INDEX('HS Codes'!$D$2:$K4588,MATCH($B2034,'HS Codes'!$A$2:$A4588,0),MATCH(G$1,'HS Codes'!$D$1:$K$1,0)),"")</f>
        <v>6112311000</v>
      </c>
      <c r="H2034" s="8">
        <f>_xlfn.IFNA(INDEX('HS Codes'!$D$2:$K4588,MATCH($B2034,'HS Codes'!$A$2:$A4588,0),MATCH(H$1,'HS Codes'!$D$1:$K$1,0)),"")</f>
        <v>6112311000</v>
      </c>
      <c r="I2034" s="8">
        <f>_xlfn.IFNA(INDEX('HS Codes'!$D$2:$K4588,MATCH($B2034,'HS Codes'!$A$2:$A4588,0),MATCH(I$1,'HS Codes'!$D$1:$K$1,0)),"")</f>
        <v>61123110</v>
      </c>
      <c r="J2034" s="8">
        <f>_xlfn.IFNA(INDEX('HS Codes'!$D$2:$K4588,MATCH($B2034,'HS Codes'!$A$2:$A4588,0),MATCH(J$1,'HS Codes'!$D$1:$K$1,0)),"")</f>
        <v>0</v>
      </c>
      <c r="K2034" s="8" t="str">
        <f>_xlfn.IFNA(INDEX('HS Codes'!$D$2:$K4588,MATCH($B2034,'HS Codes'!$A$2:$A4588,0),MATCH(K$1,'HS Codes'!$D$1:$K$1,0)),"")</f>
        <v>6112.39.00</v>
      </c>
      <c r="L2034" s="8">
        <f>_xlfn.IFNA(INDEX('HS Codes'!$D$2:$K4588,MATCH($B2034,'HS Codes'!$A$2:$A4588,0),MATCH(L$1,'HS Codes'!$D$1:$K$1,0)),"")</f>
        <v>61123100</v>
      </c>
      <c r="M2034" s="8">
        <f>_xlfn.IFNA(INDEX('HS Codes'!$C$2:$C4588,MATCH($B2034,'HS Codes'!$A$2:$A4588,0)),"")</f>
        <v>0</v>
      </c>
      <c r="N2034" s="9"/>
      <c r="O2034" s="9"/>
      <c r="P2034" s="9"/>
      <c r="Q2034" s="9"/>
    </row>
    <row r="2035" spans="1:17" ht="15.75" customHeight="1">
      <c r="A2035" s="7" t="s">
        <v>2328</v>
      </c>
      <c r="B2035" s="7" t="s">
        <v>156</v>
      </c>
      <c r="C2035" s="7"/>
      <c r="D2035" s="7" t="s">
        <v>157</v>
      </c>
      <c r="E2035" s="7" t="s">
        <v>1049</v>
      </c>
      <c r="F2035" s="8" t="str">
        <f>_xlfn.IFNA(INDEX('HS Codes'!$D$2:$K4589,MATCH($B2035,'HS Codes'!$A$2:$A4589,0),MATCH(F$1,'HS Codes'!$D$1:$K$1,0)),"")</f>
        <v>6112.31.00.10</v>
      </c>
      <c r="G2035" s="8">
        <f>_xlfn.IFNA(INDEX('HS Codes'!$D$2:$K4589,MATCH($B2035,'HS Codes'!$A$2:$A4589,0),MATCH(G$1,'HS Codes'!$D$1:$K$1,0)),"")</f>
        <v>6112311000</v>
      </c>
      <c r="H2035" s="8">
        <f>_xlfn.IFNA(INDEX('HS Codes'!$D$2:$K4589,MATCH($B2035,'HS Codes'!$A$2:$A4589,0),MATCH(H$1,'HS Codes'!$D$1:$K$1,0)),"")</f>
        <v>6112311000</v>
      </c>
      <c r="I2035" s="8">
        <f>_xlfn.IFNA(INDEX('HS Codes'!$D$2:$K4589,MATCH($B2035,'HS Codes'!$A$2:$A4589,0),MATCH(I$1,'HS Codes'!$D$1:$K$1,0)),"")</f>
        <v>61123110</v>
      </c>
      <c r="J2035" s="8">
        <f>_xlfn.IFNA(INDEX('HS Codes'!$D$2:$K4589,MATCH($B2035,'HS Codes'!$A$2:$A4589,0),MATCH(J$1,'HS Codes'!$D$1:$K$1,0)),"")</f>
        <v>0</v>
      </c>
      <c r="K2035" s="8" t="str">
        <f>_xlfn.IFNA(INDEX('HS Codes'!$D$2:$K4589,MATCH($B2035,'HS Codes'!$A$2:$A4589,0),MATCH(K$1,'HS Codes'!$D$1:$K$1,0)),"")</f>
        <v>6112.39.00</v>
      </c>
      <c r="L2035" s="8">
        <f>_xlfn.IFNA(INDEX('HS Codes'!$D$2:$K4589,MATCH($B2035,'HS Codes'!$A$2:$A4589,0),MATCH(L$1,'HS Codes'!$D$1:$K$1,0)),"")</f>
        <v>61123100</v>
      </c>
      <c r="M2035" s="8">
        <f>_xlfn.IFNA(INDEX('HS Codes'!$C$2:$C4589,MATCH($B2035,'HS Codes'!$A$2:$A4589,0)),"")</f>
        <v>0</v>
      </c>
      <c r="N2035" s="9"/>
      <c r="O2035" s="9"/>
      <c r="P2035" s="9"/>
      <c r="Q2035" s="9"/>
    </row>
    <row r="2036" spans="1:17" ht="15.75" customHeight="1">
      <c r="A2036" s="7" t="s">
        <v>2329</v>
      </c>
      <c r="B2036" s="7" t="s">
        <v>156</v>
      </c>
      <c r="C2036" s="7"/>
      <c r="D2036" s="7" t="s">
        <v>157</v>
      </c>
      <c r="E2036" s="7" t="s">
        <v>1049</v>
      </c>
      <c r="F2036" s="8" t="str">
        <f>_xlfn.IFNA(INDEX('HS Codes'!$D$2:$K4590,MATCH($B2036,'HS Codes'!$A$2:$A4590,0),MATCH(F$1,'HS Codes'!$D$1:$K$1,0)),"")</f>
        <v>6112.31.00.10</v>
      </c>
      <c r="G2036" s="8">
        <f>_xlfn.IFNA(INDEX('HS Codes'!$D$2:$K4590,MATCH($B2036,'HS Codes'!$A$2:$A4590,0),MATCH(G$1,'HS Codes'!$D$1:$K$1,0)),"")</f>
        <v>6112311000</v>
      </c>
      <c r="H2036" s="8">
        <f>_xlfn.IFNA(INDEX('HS Codes'!$D$2:$K4590,MATCH($B2036,'HS Codes'!$A$2:$A4590,0),MATCH(H$1,'HS Codes'!$D$1:$K$1,0)),"")</f>
        <v>6112311000</v>
      </c>
      <c r="I2036" s="8">
        <f>_xlfn.IFNA(INDEX('HS Codes'!$D$2:$K4590,MATCH($B2036,'HS Codes'!$A$2:$A4590,0),MATCH(I$1,'HS Codes'!$D$1:$K$1,0)),"")</f>
        <v>61123110</v>
      </c>
      <c r="J2036" s="8">
        <f>_xlfn.IFNA(INDEX('HS Codes'!$D$2:$K4590,MATCH($B2036,'HS Codes'!$A$2:$A4590,0),MATCH(J$1,'HS Codes'!$D$1:$K$1,0)),"")</f>
        <v>0</v>
      </c>
      <c r="K2036" s="8" t="str">
        <f>_xlfn.IFNA(INDEX('HS Codes'!$D$2:$K4590,MATCH($B2036,'HS Codes'!$A$2:$A4590,0),MATCH(K$1,'HS Codes'!$D$1:$K$1,0)),"")</f>
        <v>6112.39.00</v>
      </c>
      <c r="L2036" s="8">
        <f>_xlfn.IFNA(INDEX('HS Codes'!$D$2:$K4590,MATCH($B2036,'HS Codes'!$A$2:$A4590,0),MATCH(L$1,'HS Codes'!$D$1:$K$1,0)),"")</f>
        <v>61123100</v>
      </c>
      <c r="M2036" s="8">
        <f>_xlfn.IFNA(INDEX('HS Codes'!$C$2:$C4590,MATCH($B2036,'HS Codes'!$A$2:$A4590,0)),"")</f>
        <v>0</v>
      </c>
      <c r="N2036" s="9"/>
      <c r="O2036" s="9"/>
      <c r="P2036" s="9"/>
      <c r="Q2036" s="9"/>
    </row>
    <row r="2037" spans="1:17" ht="15.75" customHeight="1">
      <c r="A2037" s="7" t="s">
        <v>2330</v>
      </c>
      <c r="B2037" s="7" t="s">
        <v>156</v>
      </c>
      <c r="C2037" s="7"/>
      <c r="D2037" s="7" t="s">
        <v>157</v>
      </c>
      <c r="E2037" s="7" t="s">
        <v>1049</v>
      </c>
      <c r="F2037" s="8" t="str">
        <f>_xlfn.IFNA(INDEX('HS Codes'!$D$2:$K4591,MATCH($B2037,'HS Codes'!$A$2:$A4591,0),MATCH(F$1,'HS Codes'!$D$1:$K$1,0)),"")</f>
        <v>6112.31.00.10</v>
      </c>
      <c r="G2037" s="8">
        <f>_xlfn.IFNA(INDEX('HS Codes'!$D$2:$K4591,MATCH($B2037,'HS Codes'!$A$2:$A4591,0),MATCH(G$1,'HS Codes'!$D$1:$K$1,0)),"")</f>
        <v>6112311000</v>
      </c>
      <c r="H2037" s="8">
        <f>_xlfn.IFNA(INDEX('HS Codes'!$D$2:$K4591,MATCH($B2037,'HS Codes'!$A$2:$A4591,0),MATCH(H$1,'HS Codes'!$D$1:$K$1,0)),"")</f>
        <v>6112311000</v>
      </c>
      <c r="I2037" s="8">
        <f>_xlfn.IFNA(INDEX('HS Codes'!$D$2:$K4591,MATCH($B2037,'HS Codes'!$A$2:$A4591,0),MATCH(I$1,'HS Codes'!$D$1:$K$1,0)),"")</f>
        <v>61123110</v>
      </c>
      <c r="J2037" s="8">
        <f>_xlfn.IFNA(INDEX('HS Codes'!$D$2:$K4591,MATCH($B2037,'HS Codes'!$A$2:$A4591,0),MATCH(J$1,'HS Codes'!$D$1:$K$1,0)),"")</f>
        <v>0</v>
      </c>
      <c r="K2037" s="8" t="str">
        <f>_xlfn.IFNA(INDEX('HS Codes'!$D$2:$K4591,MATCH($B2037,'HS Codes'!$A$2:$A4591,0),MATCH(K$1,'HS Codes'!$D$1:$K$1,0)),"")</f>
        <v>6112.39.00</v>
      </c>
      <c r="L2037" s="8">
        <f>_xlfn.IFNA(INDEX('HS Codes'!$D$2:$K4591,MATCH($B2037,'HS Codes'!$A$2:$A4591,0),MATCH(L$1,'HS Codes'!$D$1:$K$1,0)),"")</f>
        <v>61123100</v>
      </c>
      <c r="M2037" s="8">
        <f>_xlfn.IFNA(INDEX('HS Codes'!$C$2:$C4591,MATCH($B2037,'HS Codes'!$A$2:$A4591,0)),"")</f>
        <v>0</v>
      </c>
      <c r="N2037" s="9"/>
      <c r="O2037" s="9"/>
      <c r="P2037" s="9"/>
      <c r="Q2037" s="9"/>
    </row>
    <row r="2038" spans="1:17" ht="15.75" customHeight="1">
      <c r="A2038" s="7" t="s">
        <v>2331</v>
      </c>
      <c r="B2038" s="7" t="s">
        <v>156</v>
      </c>
      <c r="C2038" s="7"/>
      <c r="D2038" s="7" t="s">
        <v>157</v>
      </c>
      <c r="E2038" s="7" t="s">
        <v>1049</v>
      </c>
      <c r="F2038" s="8" t="str">
        <f>_xlfn.IFNA(INDEX('HS Codes'!$D$2:$K4592,MATCH($B2038,'HS Codes'!$A$2:$A4592,0),MATCH(F$1,'HS Codes'!$D$1:$K$1,0)),"")</f>
        <v>6112.31.00.10</v>
      </c>
      <c r="G2038" s="8">
        <f>_xlfn.IFNA(INDEX('HS Codes'!$D$2:$K4592,MATCH($B2038,'HS Codes'!$A$2:$A4592,0),MATCH(G$1,'HS Codes'!$D$1:$K$1,0)),"")</f>
        <v>6112311000</v>
      </c>
      <c r="H2038" s="8">
        <f>_xlfn.IFNA(INDEX('HS Codes'!$D$2:$K4592,MATCH($B2038,'HS Codes'!$A$2:$A4592,0),MATCH(H$1,'HS Codes'!$D$1:$K$1,0)),"")</f>
        <v>6112311000</v>
      </c>
      <c r="I2038" s="8">
        <f>_xlfn.IFNA(INDEX('HS Codes'!$D$2:$K4592,MATCH($B2038,'HS Codes'!$A$2:$A4592,0),MATCH(I$1,'HS Codes'!$D$1:$K$1,0)),"")</f>
        <v>61123110</v>
      </c>
      <c r="J2038" s="8">
        <f>_xlfn.IFNA(INDEX('HS Codes'!$D$2:$K4592,MATCH($B2038,'HS Codes'!$A$2:$A4592,0),MATCH(J$1,'HS Codes'!$D$1:$K$1,0)),"")</f>
        <v>0</v>
      </c>
      <c r="K2038" s="8" t="str">
        <f>_xlfn.IFNA(INDEX('HS Codes'!$D$2:$K4592,MATCH($B2038,'HS Codes'!$A$2:$A4592,0),MATCH(K$1,'HS Codes'!$D$1:$K$1,0)),"")</f>
        <v>6112.39.00</v>
      </c>
      <c r="L2038" s="8">
        <f>_xlfn.IFNA(INDEX('HS Codes'!$D$2:$K4592,MATCH($B2038,'HS Codes'!$A$2:$A4592,0),MATCH(L$1,'HS Codes'!$D$1:$K$1,0)),"")</f>
        <v>61123100</v>
      </c>
      <c r="M2038" s="8">
        <f>_xlfn.IFNA(INDEX('HS Codes'!$C$2:$C4592,MATCH($B2038,'HS Codes'!$A$2:$A4592,0)),"")</f>
        <v>0</v>
      </c>
      <c r="N2038" s="9"/>
      <c r="O2038" s="9"/>
      <c r="P2038" s="9"/>
      <c r="Q2038" s="9"/>
    </row>
    <row r="2039" spans="1:17" ht="15.75" customHeight="1">
      <c r="A2039" s="7" t="s">
        <v>2332</v>
      </c>
      <c r="B2039" s="7" t="s">
        <v>156</v>
      </c>
      <c r="C2039" s="7"/>
      <c r="D2039" s="7" t="s">
        <v>157</v>
      </c>
      <c r="E2039" s="7" t="s">
        <v>1049</v>
      </c>
      <c r="F2039" s="8" t="str">
        <f>_xlfn.IFNA(INDEX('HS Codes'!$D$2:$K4593,MATCH($B2039,'HS Codes'!$A$2:$A4593,0),MATCH(F$1,'HS Codes'!$D$1:$K$1,0)),"")</f>
        <v>6112.31.00.10</v>
      </c>
      <c r="G2039" s="8">
        <f>_xlfn.IFNA(INDEX('HS Codes'!$D$2:$K4593,MATCH($B2039,'HS Codes'!$A$2:$A4593,0),MATCH(G$1,'HS Codes'!$D$1:$K$1,0)),"")</f>
        <v>6112311000</v>
      </c>
      <c r="H2039" s="8">
        <f>_xlfn.IFNA(INDEX('HS Codes'!$D$2:$K4593,MATCH($B2039,'HS Codes'!$A$2:$A4593,0),MATCH(H$1,'HS Codes'!$D$1:$K$1,0)),"")</f>
        <v>6112311000</v>
      </c>
      <c r="I2039" s="8">
        <f>_xlfn.IFNA(INDEX('HS Codes'!$D$2:$K4593,MATCH($B2039,'HS Codes'!$A$2:$A4593,0),MATCH(I$1,'HS Codes'!$D$1:$K$1,0)),"")</f>
        <v>61123110</v>
      </c>
      <c r="J2039" s="8">
        <f>_xlfn.IFNA(INDEX('HS Codes'!$D$2:$K4593,MATCH($B2039,'HS Codes'!$A$2:$A4593,0),MATCH(J$1,'HS Codes'!$D$1:$K$1,0)),"")</f>
        <v>0</v>
      </c>
      <c r="K2039" s="8" t="str">
        <f>_xlfn.IFNA(INDEX('HS Codes'!$D$2:$K4593,MATCH($B2039,'HS Codes'!$A$2:$A4593,0),MATCH(K$1,'HS Codes'!$D$1:$K$1,0)),"")</f>
        <v>6112.39.00</v>
      </c>
      <c r="L2039" s="8">
        <f>_xlfn.IFNA(INDEX('HS Codes'!$D$2:$K4593,MATCH($B2039,'HS Codes'!$A$2:$A4593,0),MATCH(L$1,'HS Codes'!$D$1:$K$1,0)),"")</f>
        <v>61123100</v>
      </c>
      <c r="M2039" s="8">
        <f>_xlfn.IFNA(INDEX('HS Codes'!$C$2:$C4593,MATCH($B2039,'HS Codes'!$A$2:$A4593,0)),"")</f>
        <v>0</v>
      </c>
      <c r="N2039" s="9"/>
      <c r="O2039" s="9"/>
      <c r="P2039" s="9"/>
      <c r="Q2039" s="9"/>
    </row>
    <row r="2040" spans="1:17" ht="15.75" customHeight="1">
      <c r="A2040" s="7" t="s">
        <v>2333</v>
      </c>
      <c r="B2040" s="7" t="s">
        <v>156</v>
      </c>
      <c r="C2040" s="7"/>
      <c r="D2040" s="7" t="s">
        <v>157</v>
      </c>
      <c r="E2040" s="7" t="s">
        <v>1049</v>
      </c>
      <c r="F2040" s="8" t="str">
        <f>_xlfn.IFNA(INDEX('HS Codes'!$D$2:$K4594,MATCH($B2040,'HS Codes'!$A$2:$A4594,0),MATCH(F$1,'HS Codes'!$D$1:$K$1,0)),"")</f>
        <v>6112.31.00.10</v>
      </c>
      <c r="G2040" s="8">
        <f>_xlfn.IFNA(INDEX('HS Codes'!$D$2:$K4594,MATCH($B2040,'HS Codes'!$A$2:$A4594,0),MATCH(G$1,'HS Codes'!$D$1:$K$1,0)),"")</f>
        <v>6112311000</v>
      </c>
      <c r="H2040" s="8">
        <f>_xlfn.IFNA(INDEX('HS Codes'!$D$2:$K4594,MATCH($B2040,'HS Codes'!$A$2:$A4594,0),MATCH(H$1,'HS Codes'!$D$1:$K$1,0)),"")</f>
        <v>6112311000</v>
      </c>
      <c r="I2040" s="8">
        <f>_xlfn.IFNA(INDEX('HS Codes'!$D$2:$K4594,MATCH($B2040,'HS Codes'!$A$2:$A4594,0),MATCH(I$1,'HS Codes'!$D$1:$K$1,0)),"")</f>
        <v>61123110</v>
      </c>
      <c r="J2040" s="8">
        <f>_xlfn.IFNA(INDEX('HS Codes'!$D$2:$K4594,MATCH($B2040,'HS Codes'!$A$2:$A4594,0),MATCH(J$1,'HS Codes'!$D$1:$K$1,0)),"")</f>
        <v>0</v>
      </c>
      <c r="K2040" s="8" t="str">
        <f>_xlfn.IFNA(INDEX('HS Codes'!$D$2:$K4594,MATCH($B2040,'HS Codes'!$A$2:$A4594,0),MATCH(K$1,'HS Codes'!$D$1:$K$1,0)),"")</f>
        <v>6112.39.00</v>
      </c>
      <c r="L2040" s="8">
        <f>_xlfn.IFNA(INDEX('HS Codes'!$D$2:$K4594,MATCH($B2040,'HS Codes'!$A$2:$A4594,0),MATCH(L$1,'HS Codes'!$D$1:$K$1,0)),"")</f>
        <v>61123100</v>
      </c>
      <c r="M2040" s="8">
        <f>_xlfn.IFNA(INDEX('HS Codes'!$C$2:$C4594,MATCH($B2040,'HS Codes'!$A$2:$A4594,0)),"")</f>
        <v>0</v>
      </c>
      <c r="N2040" s="9"/>
      <c r="O2040" s="9"/>
      <c r="P2040" s="9"/>
      <c r="Q2040" s="9"/>
    </row>
    <row r="2041" spans="1:17" ht="15.75" customHeight="1">
      <c r="A2041" s="7" t="s">
        <v>2334</v>
      </c>
      <c r="B2041" s="7" t="s">
        <v>156</v>
      </c>
      <c r="C2041" s="7"/>
      <c r="D2041" s="7" t="s">
        <v>157</v>
      </c>
      <c r="E2041" s="7" t="s">
        <v>1049</v>
      </c>
      <c r="F2041" s="8" t="str">
        <f>_xlfn.IFNA(INDEX('HS Codes'!$D$2:$K4595,MATCH($B2041,'HS Codes'!$A$2:$A4595,0),MATCH(F$1,'HS Codes'!$D$1:$K$1,0)),"")</f>
        <v>6112.31.00.10</v>
      </c>
      <c r="G2041" s="8">
        <f>_xlfn.IFNA(INDEX('HS Codes'!$D$2:$K4595,MATCH($B2041,'HS Codes'!$A$2:$A4595,0),MATCH(G$1,'HS Codes'!$D$1:$K$1,0)),"")</f>
        <v>6112311000</v>
      </c>
      <c r="H2041" s="8">
        <f>_xlfn.IFNA(INDEX('HS Codes'!$D$2:$K4595,MATCH($B2041,'HS Codes'!$A$2:$A4595,0),MATCH(H$1,'HS Codes'!$D$1:$K$1,0)),"")</f>
        <v>6112311000</v>
      </c>
      <c r="I2041" s="8">
        <f>_xlfn.IFNA(INDEX('HS Codes'!$D$2:$K4595,MATCH($B2041,'HS Codes'!$A$2:$A4595,0),MATCH(I$1,'HS Codes'!$D$1:$K$1,0)),"")</f>
        <v>61123110</v>
      </c>
      <c r="J2041" s="8">
        <f>_xlfn.IFNA(INDEX('HS Codes'!$D$2:$K4595,MATCH($B2041,'HS Codes'!$A$2:$A4595,0),MATCH(J$1,'HS Codes'!$D$1:$K$1,0)),"")</f>
        <v>0</v>
      </c>
      <c r="K2041" s="8" t="str">
        <f>_xlfn.IFNA(INDEX('HS Codes'!$D$2:$K4595,MATCH($B2041,'HS Codes'!$A$2:$A4595,0),MATCH(K$1,'HS Codes'!$D$1:$K$1,0)),"")</f>
        <v>6112.39.00</v>
      </c>
      <c r="L2041" s="8">
        <f>_xlfn.IFNA(INDEX('HS Codes'!$D$2:$K4595,MATCH($B2041,'HS Codes'!$A$2:$A4595,0),MATCH(L$1,'HS Codes'!$D$1:$K$1,0)),"")</f>
        <v>61123100</v>
      </c>
      <c r="M2041" s="8">
        <f>_xlfn.IFNA(INDEX('HS Codes'!$C$2:$C4595,MATCH($B2041,'HS Codes'!$A$2:$A4595,0)),"")</f>
        <v>0</v>
      </c>
      <c r="N2041" s="9"/>
      <c r="O2041" s="9"/>
      <c r="P2041" s="9"/>
      <c r="Q2041" s="9"/>
    </row>
    <row r="2042" spans="1:17" ht="15.75" customHeight="1">
      <c r="A2042" s="7" t="s">
        <v>2335</v>
      </c>
      <c r="B2042" s="7" t="s">
        <v>156</v>
      </c>
      <c r="C2042" s="7"/>
      <c r="D2042" s="7" t="s">
        <v>157</v>
      </c>
      <c r="E2042" s="7" t="s">
        <v>1049</v>
      </c>
      <c r="F2042" s="8" t="str">
        <f>_xlfn.IFNA(INDEX('HS Codes'!$D$2:$K4596,MATCH($B2042,'HS Codes'!$A$2:$A4596,0),MATCH(F$1,'HS Codes'!$D$1:$K$1,0)),"")</f>
        <v>6112.31.00.10</v>
      </c>
      <c r="G2042" s="8">
        <f>_xlfn.IFNA(INDEX('HS Codes'!$D$2:$K4596,MATCH($B2042,'HS Codes'!$A$2:$A4596,0),MATCH(G$1,'HS Codes'!$D$1:$K$1,0)),"")</f>
        <v>6112311000</v>
      </c>
      <c r="H2042" s="8">
        <f>_xlfn.IFNA(INDEX('HS Codes'!$D$2:$K4596,MATCH($B2042,'HS Codes'!$A$2:$A4596,0),MATCH(H$1,'HS Codes'!$D$1:$K$1,0)),"")</f>
        <v>6112311000</v>
      </c>
      <c r="I2042" s="8">
        <f>_xlfn.IFNA(INDEX('HS Codes'!$D$2:$K4596,MATCH($B2042,'HS Codes'!$A$2:$A4596,0),MATCH(I$1,'HS Codes'!$D$1:$K$1,0)),"")</f>
        <v>61123110</v>
      </c>
      <c r="J2042" s="8">
        <f>_xlfn.IFNA(INDEX('HS Codes'!$D$2:$K4596,MATCH($B2042,'HS Codes'!$A$2:$A4596,0),MATCH(J$1,'HS Codes'!$D$1:$K$1,0)),"")</f>
        <v>0</v>
      </c>
      <c r="K2042" s="8" t="str">
        <f>_xlfn.IFNA(INDEX('HS Codes'!$D$2:$K4596,MATCH($B2042,'HS Codes'!$A$2:$A4596,0),MATCH(K$1,'HS Codes'!$D$1:$K$1,0)),"")</f>
        <v>6112.39.00</v>
      </c>
      <c r="L2042" s="8">
        <f>_xlfn.IFNA(INDEX('HS Codes'!$D$2:$K4596,MATCH($B2042,'HS Codes'!$A$2:$A4596,0),MATCH(L$1,'HS Codes'!$D$1:$K$1,0)),"")</f>
        <v>61123100</v>
      </c>
      <c r="M2042" s="8">
        <f>_xlfn.IFNA(INDEX('HS Codes'!$C$2:$C4596,MATCH($B2042,'HS Codes'!$A$2:$A4596,0)),"")</f>
        <v>0</v>
      </c>
      <c r="N2042" s="9"/>
      <c r="O2042" s="9"/>
      <c r="P2042" s="9"/>
      <c r="Q2042" s="9"/>
    </row>
    <row r="2043" spans="1:17" ht="15.75" customHeight="1">
      <c r="A2043" s="7" t="s">
        <v>2336</v>
      </c>
      <c r="B2043" s="7" t="s">
        <v>156</v>
      </c>
      <c r="C2043" s="7"/>
      <c r="D2043" s="7" t="s">
        <v>157</v>
      </c>
      <c r="E2043" s="7" t="s">
        <v>1049</v>
      </c>
      <c r="F2043" s="8" t="str">
        <f>_xlfn.IFNA(INDEX('HS Codes'!$D$2:$K4597,MATCH($B2043,'HS Codes'!$A$2:$A4597,0),MATCH(F$1,'HS Codes'!$D$1:$K$1,0)),"")</f>
        <v>6112.31.00.10</v>
      </c>
      <c r="G2043" s="8">
        <f>_xlfn.IFNA(INDEX('HS Codes'!$D$2:$K4597,MATCH($B2043,'HS Codes'!$A$2:$A4597,0),MATCH(G$1,'HS Codes'!$D$1:$K$1,0)),"")</f>
        <v>6112311000</v>
      </c>
      <c r="H2043" s="8">
        <f>_xlfn.IFNA(INDEX('HS Codes'!$D$2:$K4597,MATCH($B2043,'HS Codes'!$A$2:$A4597,0),MATCH(H$1,'HS Codes'!$D$1:$K$1,0)),"")</f>
        <v>6112311000</v>
      </c>
      <c r="I2043" s="8">
        <f>_xlfn.IFNA(INDEX('HS Codes'!$D$2:$K4597,MATCH($B2043,'HS Codes'!$A$2:$A4597,0),MATCH(I$1,'HS Codes'!$D$1:$K$1,0)),"")</f>
        <v>61123110</v>
      </c>
      <c r="J2043" s="8">
        <f>_xlfn.IFNA(INDEX('HS Codes'!$D$2:$K4597,MATCH($B2043,'HS Codes'!$A$2:$A4597,0),MATCH(J$1,'HS Codes'!$D$1:$K$1,0)),"")</f>
        <v>0</v>
      </c>
      <c r="K2043" s="8" t="str">
        <f>_xlfn.IFNA(INDEX('HS Codes'!$D$2:$K4597,MATCH($B2043,'HS Codes'!$A$2:$A4597,0),MATCH(K$1,'HS Codes'!$D$1:$K$1,0)),"")</f>
        <v>6112.39.00</v>
      </c>
      <c r="L2043" s="8">
        <f>_xlfn.IFNA(INDEX('HS Codes'!$D$2:$K4597,MATCH($B2043,'HS Codes'!$A$2:$A4597,0),MATCH(L$1,'HS Codes'!$D$1:$K$1,0)),"")</f>
        <v>61123100</v>
      </c>
      <c r="M2043" s="8">
        <f>_xlfn.IFNA(INDEX('HS Codes'!$C$2:$C4597,MATCH($B2043,'HS Codes'!$A$2:$A4597,0)),"")</f>
        <v>0</v>
      </c>
      <c r="N2043" s="9"/>
      <c r="O2043" s="9"/>
      <c r="P2043" s="9"/>
      <c r="Q2043" s="9"/>
    </row>
    <row r="2044" spans="1:17" ht="15.75" customHeight="1">
      <c r="A2044" s="7" t="s">
        <v>2337</v>
      </c>
      <c r="B2044" s="7" t="s">
        <v>156</v>
      </c>
      <c r="C2044" s="7"/>
      <c r="D2044" s="7" t="s">
        <v>157</v>
      </c>
      <c r="E2044" s="7" t="s">
        <v>1049</v>
      </c>
      <c r="F2044" s="8" t="str">
        <f>_xlfn.IFNA(INDEX('HS Codes'!$D$2:$K4598,MATCH($B2044,'HS Codes'!$A$2:$A4598,0),MATCH(F$1,'HS Codes'!$D$1:$K$1,0)),"")</f>
        <v>6112.31.00.10</v>
      </c>
      <c r="G2044" s="8">
        <f>_xlfn.IFNA(INDEX('HS Codes'!$D$2:$K4598,MATCH($B2044,'HS Codes'!$A$2:$A4598,0),MATCH(G$1,'HS Codes'!$D$1:$K$1,0)),"")</f>
        <v>6112311000</v>
      </c>
      <c r="H2044" s="8">
        <f>_xlfn.IFNA(INDEX('HS Codes'!$D$2:$K4598,MATCH($B2044,'HS Codes'!$A$2:$A4598,0),MATCH(H$1,'HS Codes'!$D$1:$K$1,0)),"")</f>
        <v>6112311000</v>
      </c>
      <c r="I2044" s="8">
        <f>_xlfn.IFNA(INDEX('HS Codes'!$D$2:$K4598,MATCH($B2044,'HS Codes'!$A$2:$A4598,0),MATCH(I$1,'HS Codes'!$D$1:$K$1,0)),"")</f>
        <v>61123110</v>
      </c>
      <c r="J2044" s="8">
        <f>_xlfn.IFNA(INDEX('HS Codes'!$D$2:$K4598,MATCH($B2044,'HS Codes'!$A$2:$A4598,0),MATCH(J$1,'HS Codes'!$D$1:$K$1,0)),"")</f>
        <v>0</v>
      </c>
      <c r="K2044" s="8" t="str">
        <f>_xlfn.IFNA(INDEX('HS Codes'!$D$2:$K4598,MATCH($B2044,'HS Codes'!$A$2:$A4598,0),MATCH(K$1,'HS Codes'!$D$1:$K$1,0)),"")</f>
        <v>6112.39.00</v>
      </c>
      <c r="L2044" s="8">
        <f>_xlfn.IFNA(INDEX('HS Codes'!$D$2:$K4598,MATCH($B2044,'HS Codes'!$A$2:$A4598,0),MATCH(L$1,'HS Codes'!$D$1:$K$1,0)),"")</f>
        <v>61123100</v>
      </c>
      <c r="M2044" s="8">
        <f>_xlfn.IFNA(INDEX('HS Codes'!$C$2:$C4598,MATCH($B2044,'HS Codes'!$A$2:$A4598,0)),"")</f>
        <v>0</v>
      </c>
      <c r="N2044" s="9"/>
      <c r="O2044" s="9"/>
      <c r="P2044" s="9"/>
      <c r="Q2044" s="9"/>
    </row>
    <row r="2045" spans="1:17" ht="15.75" customHeight="1">
      <c r="A2045" s="7" t="s">
        <v>2338</v>
      </c>
      <c r="B2045" s="7" t="s">
        <v>156</v>
      </c>
      <c r="C2045" s="7"/>
      <c r="D2045" s="7" t="s">
        <v>157</v>
      </c>
      <c r="E2045" s="7" t="s">
        <v>1049</v>
      </c>
      <c r="F2045" s="8" t="str">
        <f>_xlfn.IFNA(INDEX('HS Codes'!$D$2:$K4599,MATCH($B2045,'HS Codes'!$A$2:$A4599,0),MATCH(F$1,'HS Codes'!$D$1:$K$1,0)),"")</f>
        <v>6112.31.00.10</v>
      </c>
      <c r="G2045" s="8">
        <f>_xlfn.IFNA(INDEX('HS Codes'!$D$2:$K4599,MATCH($B2045,'HS Codes'!$A$2:$A4599,0),MATCH(G$1,'HS Codes'!$D$1:$K$1,0)),"")</f>
        <v>6112311000</v>
      </c>
      <c r="H2045" s="8">
        <f>_xlfn.IFNA(INDEX('HS Codes'!$D$2:$K4599,MATCH($B2045,'HS Codes'!$A$2:$A4599,0),MATCH(H$1,'HS Codes'!$D$1:$K$1,0)),"")</f>
        <v>6112311000</v>
      </c>
      <c r="I2045" s="8">
        <f>_xlfn.IFNA(INDEX('HS Codes'!$D$2:$K4599,MATCH($B2045,'HS Codes'!$A$2:$A4599,0),MATCH(I$1,'HS Codes'!$D$1:$K$1,0)),"")</f>
        <v>61123110</v>
      </c>
      <c r="J2045" s="8">
        <f>_xlfn.IFNA(INDEX('HS Codes'!$D$2:$K4599,MATCH($B2045,'HS Codes'!$A$2:$A4599,0),MATCH(J$1,'HS Codes'!$D$1:$K$1,0)),"")</f>
        <v>0</v>
      </c>
      <c r="K2045" s="8" t="str">
        <f>_xlfn.IFNA(INDEX('HS Codes'!$D$2:$K4599,MATCH($B2045,'HS Codes'!$A$2:$A4599,0),MATCH(K$1,'HS Codes'!$D$1:$K$1,0)),"")</f>
        <v>6112.39.00</v>
      </c>
      <c r="L2045" s="8">
        <f>_xlfn.IFNA(INDEX('HS Codes'!$D$2:$K4599,MATCH($B2045,'HS Codes'!$A$2:$A4599,0),MATCH(L$1,'HS Codes'!$D$1:$K$1,0)),"")</f>
        <v>61123100</v>
      </c>
      <c r="M2045" s="8">
        <f>_xlfn.IFNA(INDEX('HS Codes'!$C$2:$C4599,MATCH($B2045,'HS Codes'!$A$2:$A4599,0)),"")</f>
        <v>0</v>
      </c>
      <c r="N2045" s="9"/>
      <c r="O2045" s="9"/>
      <c r="P2045" s="9"/>
      <c r="Q2045" s="9"/>
    </row>
    <row r="2046" spans="1:17" ht="15.75" customHeight="1">
      <c r="A2046" s="7" t="s">
        <v>2339</v>
      </c>
      <c r="B2046" s="7" t="s">
        <v>156</v>
      </c>
      <c r="C2046" s="7"/>
      <c r="D2046" s="7" t="s">
        <v>157</v>
      </c>
      <c r="E2046" s="7" t="s">
        <v>1049</v>
      </c>
      <c r="F2046" s="8" t="str">
        <f>_xlfn.IFNA(INDEX('HS Codes'!$D$2:$K4600,MATCH($B2046,'HS Codes'!$A$2:$A4600,0),MATCH(F$1,'HS Codes'!$D$1:$K$1,0)),"")</f>
        <v>6112.31.00.10</v>
      </c>
      <c r="G2046" s="8">
        <f>_xlfn.IFNA(INDEX('HS Codes'!$D$2:$K4600,MATCH($B2046,'HS Codes'!$A$2:$A4600,0),MATCH(G$1,'HS Codes'!$D$1:$K$1,0)),"")</f>
        <v>6112311000</v>
      </c>
      <c r="H2046" s="8">
        <f>_xlfn.IFNA(INDEX('HS Codes'!$D$2:$K4600,MATCH($B2046,'HS Codes'!$A$2:$A4600,0),MATCH(H$1,'HS Codes'!$D$1:$K$1,0)),"")</f>
        <v>6112311000</v>
      </c>
      <c r="I2046" s="8">
        <f>_xlfn.IFNA(INDEX('HS Codes'!$D$2:$K4600,MATCH($B2046,'HS Codes'!$A$2:$A4600,0),MATCH(I$1,'HS Codes'!$D$1:$K$1,0)),"")</f>
        <v>61123110</v>
      </c>
      <c r="J2046" s="8">
        <f>_xlfn.IFNA(INDEX('HS Codes'!$D$2:$K4600,MATCH($B2046,'HS Codes'!$A$2:$A4600,0),MATCH(J$1,'HS Codes'!$D$1:$K$1,0)),"")</f>
        <v>0</v>
      </c>
      <c r="K2046" s="8" t="str">
        <f>_xlfn.IFNA(INDEX('HS Codes'!$D$2:$K4600,MATCH($B2046,'HS Codes'!$A$2:$A4600,0),MATCH(K$1,'HS Codes'!$D$1:$K$1,0)),"")</f>
        <v>6112.39.00</v>
      </c>
      <c r="L2046" s="8">
        <f>_xlfn.IFNA(INDEX('HS Codes'!$D$2:$K4600,MATCH($B2046,'HS Codes'!$A$2:$A4600,0),MATCH(L$1,'HS Codes'!$D$1:$K$1,0)),"")</f>
        <v>61123100</v>
      </c>
      <c r="M2046" s="8">
        <f>_xlfn.IFNA(INDEX('HS Codes'!$C$2:$C4600,MATCH($B2046,'HS Codes'!$A$2:$A4600,0)),"")</f>
        <v>0</v>
      </c>
      <c r="N2046" s="9"/>
      <c r="O2046" s="9"/>
      <c r="P2046" s="9"/>
      <c r="Q2046" s="9"/>
    </row>
    <row r="2047" spans="1:17" ht="15.75" customHeight="1">
      <c r="A2047" s="7" t="s">
        <v>2340</v>
      </c>
      <c r="B2047" s="7" t="s">
        <v>156</v>
      </c>
      <c r="C2047" s="7"/>
      <c r="D2047" s="7" t="s">
        <v>157</v>
      </c>
      <c r="E2047" s="7" t="s">
        <v>1049</v>
      </c>
      <c r="F2047" s="8" t="str">
        <f>_xlfn.IFNA(INDEX('HS Codes'!$D$2:$K4601,MATCH($B2047,'HS Codes'!$A$2:$A4601,0),MATCH(F$1,'HS Codes'!$D$1:$K$1,0)),"")</f>
        <v>6112.31.00.10</v>
      </c>
      <c r="G2047" s="8">
        <f>_xlfn.IFNA(INDEX('HS Codes'!$D$2:$K4601,MATCH($B2047,'HS Codes'!$A$2:$A4601,0),MATCH(G$1,'HS Codes'!$D$1:$K$1,0)),"")</f>
        <v>6112311000</v>
      </c>
      <c r="H2047" s="8">
        <f>_xlfn.IFNA(INDEX('HS Codes'!$D$2:$K4601,MATCH($B2047,'HS Codes'!$A$2:$A4601,0),MATCH(H$1,'HS Codes'!$D$1:$K$1,0)),"")</f>
        <v>6112311000</v>
      </c>
      <c r="I2047" s="8">
        <f>_xlfn.IFNA(INDEX('HS Codes'!$D$2:$K4601,MATCH($B2047,'HS Codes'!$A$2:$A4601,0),MATCH(I$1,'HS Codes'!$D$1:$K$1,0)),"")</f>
        <v>61123110</v>
      </c>
      <c r="J2047" s="8">
        <f>_xlfn.IFNA(INDEX('HS Codes'!$D$2:$K4601,MATCH($B2047,'HS Codes'!$A$2:$A4601,0),MATCH(J$1,'HS Codes'!$D$1:$K$1,0)),"")</f>
        <v>0</v>
      </c>
      <c r="K2047" s="8" t="str">
        <f>_xlfn.IFNA(INDEX('HS Codes'!$D$2:$K4601,MATCH($B2047,'HS Codes'!$A$2:$A4601,0),MATCH(K$1,'HS Codes'!$D$1:$K$1,0)),"")</f>
        <v>6112.39.00</v>
      </c>
      <c r="L2047" s="8">
        <f>_xlfn.IFNA(INDEX('HS Codes'!$D$2:$K4601,MATCH($B2047,'HS Codes'!$A$2:$A4601,0),MATCH(L$1,'HS Codes'!$D$1:$K$1,0)),"")</f>
        <v>61123100</v>
      </c>
      <c r="M2047" s="8">
        <f>_xlfn.IFNA(INDEX('HS Codes'!$C$2:$C4601,MATCH($B2047,'HS Codes'!$A$2:$A4601,0)),"")</f>
        <v>0</v>
      </c>
      <c r="N2047" s="9"/>
      <c r="O2047" s="9"/>
      <c r="P2047" s="9"/>
      <c r="Q2047" s="9"/>
    </row>
    <row r="2048" spans="1:17" ht="15.75" customHeight="1">
      <c r="A2048" s="7" t="s">
        <v>2341</v>
      </c>
      <c r="B2048" s="7" t="s">
        <v>156</v>
      </c>
      <c r="C2048" s="7"/>
      <c r="D2048" s="7" t="s">
        <v>157</v>
      </c>
      <c r="E2048" s="7" t="s">
        <v>1049</v>
      </c>
      <c r="F2048" s="8" t="str">
        <f>_xlfn.IFNA(INDEX('HS Codes'!$D$2:$K4602,MATCH($B2048,'HS Codes'!$A$2:$A4602,0),MATCH(F$1,'HS Codes'!$D$1:$K$1,0)),"")</f>
        <v>6112.31.00.10</v>
      </c>
      <c r="G2048" s="8">
        <f>_xlfn.IFNA(INDEX('HS Codes'!$D$2:$K4602,MATCH($B2048,'HS Codes'!$A$2:$A4602,0),MATCH(G$1,'HS Codes'!$D$1:$K$1,0)),"")</f>
        <v>6112311000</v>
      </c>
      <c r="H2048" s="8">
        <f>_xlfn.IFNA(INDEX('HS Codes'!$D$2:$K4602,MATCH($B2048,'HS Codes'!$A$2:$A4602,0),MATCH(H$1,'HS Codes'!$D$1:$K$1,0)),"")</f>
        <v>6112311000</v>
      </c>
      <c r="I2048" s="8">
        <f>_xlfn.IFNA(INDEX('HS Codes'!$D$2:$K4602,MATCH($B2048,'HS Codes'!$A$2:$A4602,0),MATCH(I$1,'HS Codes'!$D$1:$K$1,0)),"")</f>
        <v>61123110</v>
      </c>
      <c r="J2048" s="8">
        <f>_xlfn.IFNA(INDEX('HS Codes'!$D$2:$K4602,MATCH($B2048,'HS Codes'!$A$2:$A4602,0),MATCH(J$1,'HS Codes'!$D$1:$K$1,0)),"")</f>
        <v>0</v>
      </c>
      <c r="K2048" s="8" t="str">
        <f>_xlfn.IFNA(INDEX('HS Codes'!$D$2:$K4602,MATCH($B2048,'HS Codes'!$A$2:$A4602,0),MATCH(K$1,'HS Codes'!$D$1:$K$1,0)),"")</f>
        <v>6112.39.00</v>
      </c>
      <c r="L2048" s="8">
        <f>_xlfn.IFNA(INDEX('HS Codes'!$D$2:$K4602,MATCH($B2048,'HS Codes'!$A$2:$A4602,0),MATCH(L$1,'HS Codes'!$D$1:$K$1,0)),"")</f>
        <v>61123100</v>
      </c>
      <c r="M2048" s="8">
        <f>_xlfn.IFNA(INDEX('HS Codes'!$C$2:$C4602,MATCH($B2048,'HS Codes'!$A$2:$A4602,0)),"")</f>
        <v>0</v>
      </c>
      <c r="N2048" s="9"/>
      <c r="O2048" s="9"/>
      <c r="P2048" s="9"/>
      <c r="Q2048" s="9"/>
    </row>
    <row r="2049" spans="1:17" ht="15.75" customHeight="1">
      <c r="A2049" s="7" t="s">
        <v>2342</v>
      </c>
      <c r="B2049" s="7" t="s">
        <v>156</v>
      </c>
      <c r="C2049" s="7"/>
      <c r="D2049" s="7" t="s">
        <v>157</v>
      </c>
      <c r="E2049" s="7" t="s">
        <v>1049</v>
      </c>
      <c r="F2049" s="8" t="str">
        <f>_xlfn.IFNA(INDEX('HS Codes'!$D$2:$K4603,MATCH($B2049,'HS Codes'!$A$2:$A4603,0),MATCH(F$1,'HS Codes'!$D$1:$K$1,0)),"")</f>
        <v>6112.31.00.10</v>
      </c>
      <c r="G2049" s="8">
        <f>_xlfn.IFNA(INDEX('HS Codes'!$D$2:$K4603,MATCH($B2049,'HS Codes'!$A$2:$A4603,0),MATCH(G$1,'HS Codes'!$D$1:$K$1,0)),"")</f>
        <v>6112311000</v>
      </c>
      <c r="H2049" s="8">
        <f>_xlfn.IFNA(INDEX('HS Codes'!$D$2:$K4603,MATCH($B2049,'HS Codes'!$A$2:$A4603,0),MATCH(H$1,'HS Codes'!$D$1:$K$1,0)),"")</f>
        <v>6112311000</v>
      </c>
      <c r="I2049" s="8">
        <f>_xlfn.IFNA(INDEX('HS Codes'!$D$2:$K4603,MATCH($B2049,'HS Codes'!$A$2:$A4603,0),MATCH(I$1,'HS Codes'!$D$1:$K$1,0)),"")</f>
        <v>61123110</v>
      </c>
      <c r="J2049" s="8">
        <f>_xlfn.IFNA(INDEX('HS Codes'!$D$2:$K4603,MATCH($B2049,'HS Codes'!$A$2:$A4603,0),MATCH(J$1,'HS Codes'!$D$1:$K$1,0)),"")</f>
        <v>0</v>
      </c>
      <c r="K2049" s="8" t="str">
        <f>_xlfn.IFNA(INDEX('HS Codes'!$D$2:$K4603,MATCH($B2049,'HS Codes'!$A$2:$A4603,0),MATCH(K$1,'HS Codes'!$D$1:$K$1,0)),"")</f>
        <v>6112.39.00</v>
      </c>
      <c r="L2049" s="8">
        <f>_xlfn.IFNA(INDEX('HS Codes'!$D$2:$K4603,MATCH($B2049,'HS Codes'!$A$2:$A4603,0),MATCH(L$1,'HS Codes'!$D$1:$K$1,0)),"")</f>
        <v>61123100</v>
      </c>
      <c r="M2049" s="8">
        <f>_xlfn.IFNA(INDEX('HS Codes'!$C$2:$C4603,MATCH($B2049,'HS Codes'!$A$2:$A4603,0)),"")</f>
        <v>0</v>
      </c>
      <c r="N2049" s="9"/>
      <c r="O2049" s="9"/>
      <c r="P2049" s="9"/>
      <c r="Q2049" s="9"/>
    </row>
    <row r="2050" spans="1:17" ht="15.75" customHeight="1">
      <c r="A2050" s="7" t="s">
        <v>2343</v>
      </c>
      <c r="B2050" s="7" t="s">
        <v>156</v>
      </c>
      <c r="C2050" s="7"/>
      <c r="D2050" s="7" t="s">
        <v>157</v>
      </c>
      <c r="E2050" s="7" t="s">
        <v>1049</v>
      </c>
      <c r="F2050" s="8" t="str">
        <f>_xlfn.IFNA(INDEX('HS Codes'!$D$2:$K4604,MATCH($B2050,'HS Codes'!$A$2:$A4604,0),MATCH(F$1,'HS Codes'!$D$1:$K$1,0)),"")</f>
        <v>6112.31.00.10</v>
      </c>
      <c r="G2050" s="8">
        <f>_xlfn.IFNA(INDEX('HS Codes'!$D$2:$K4604,MATCH($B2050,'HS Codes'!$A$2:$A4604,0),MATCH(G$1,'HS Codes'!$D$1:$K$1,0)),"")</f>
        <v>6112311000</v>
      </c>
      <c r="H2050" s="8">
        <f>_xlfn.IFNA(INDEX('HS Codes'!$D$2:$K4604,MATCH($B2050,'HS Codes'!$A$2:$A4604,0),MATCH(H$1,'HS Codes'!$D$1:$K$1,0)),"")</f>
        <v>6112311000</v>
      </c>
      <c r="I2050" s="8">
        <f>_xlfn.IFNA(INDEX('HS Codes'!$D$2:$K4604,MATCH($B2050,'HS Codes'!$A$2:$A4604,0),MATCH(I$1,'HS Codes'!$D$1:$K$1,0)),"")</f>
        <v>61123110</v>
      </c>
      <c r="J2050" s="8">
        <f>_xlfn.IFNA(INDEX('HS Codes'!$D$2:$K4604,MATCH($B2050,'HS Codes'!$A$2:$A4604,0),MATCH(J$1,'HS Codes'!$D$1:$K$1,0)),"")</f>
        <v>0</v>
      </c>
      <c r="K2050" s="8" t="str">
        <f>_xlfn.IFNA(INDEX('HS Codes'!$D$2:$K4604,MATCH($B2050,'HS Codes'!$A$2:$A4604,0),MATCH(K$1,'HS Codes'!$D$1:$K$1,0)),"")</f>
        <v>6112.39.00</v>
      </c>
      <c r="L2050" s="8">
        <f>_xlfn.IFNA(INDEX('HS Codes'!$D$2:$K4604,MATCH($B2050,'HS Codes'!$A$2:$A4604,0),MATCH(L$1,'HS Codes'!$D$1:$K$1,0)),"")</f>
        <v>61123100</v>
      </c>
      <c r="M2050" s="8">
        <f>_xlfn.IFNA(INDEX('HS Codes'!$C$2:$C4604,MATCH($B2050,'HS Codes'!$A$2:$A4604,0)),"")</f>
        <v>0</v>
      </c>
      <c r="N2050" s="9"/>
      <c r="O2050" s="9"/>
      <c r="P2050" s="9"/>
      <c r="Q2050" s="9"/>
    </row>
    <row r="2051" spans="1:17" ht="15.75" customHeight="1">
      <c r="A2051" s="7" t="s">
        <v>2344</v>
      </c>
      <c r="B2051" s="7" t="s">
        <v>156</v>
      </c>
      <c r="C2051" s="7"/>
      <c r="D2051" s="7" t="s">
        <v>157</v>
      </c>
      <c r="E2051" s="7" t="s">
        <v>1049</v>
      </c>
      <c r="F2051" s="8" t="str">
        <f>_xlfn.IFNA(INDEX('HS Codes'!$D$2:$K4605,MATCH($B2051,'HS Codes'!$A$2:$A4605,0),MATCH(F$1,'HS Codes'!$D$1:$K$1,0)),"")</f>
        <v>6112.31.00.10</v>
      </c>
      <c r="G2051" s="8">
        <f>_xlfn.IFNA(INDEX('HS Codes'!$D$2:$K4605,MATCH($B2051,'HS Codes'!$A$2:$A4605,0),MATCH(G$1,'HS Codes'!$D$1:$K$1,0)),"")</f>
        <v>6112311000</v>
      </c>
      <c r="H2051" s="8">
        <f>_xlfn.IFNA(INDEX('HS Codes'!$D$2:$K4605,MATCH($B2051,'HS Codes'!$A$2:$A4605,0),MATCH(H$1,'HS Codes'!$D$1:$K$1,0)),"")</f>
        <v>6112311000</v>
      </c>
      <c r="I2051" s="8">
        <f>_xlfn.IFNA(INDEX('HS Codes'!$D$2:$K4605,MATCH($B2051,'HS Codes'!$A$2:$A4605,0),MATCH(I$1,'HS Codes'!$D$1:$K$1,0)),"")</f>
        <v>61123110</v>
      </c>
      <c r="J2051" s="8">
        <f>_xlfn.IFNA(INDEX('HS Codes'!$D$2:$K4605,MATCH($B2051,'HS Codes'!$A$2:$A4605,0),MATCH(J$1,'HS Codes'!$D$1:$K$1,0)),"")</f>
        <v>0</v>
      </c>
      <c r="K2051" s="8" t="str">
        <f>_xlfn.IFNA(INDEX('HS Codes'!$D$2:$K4605,MATCH($B2051,'HS Codes'!$A$2:$A4605,0),MATCH(K$1,'HS Codes'!$D$1:$K$1,0)),"")</f>
        <v>6112.39.00</v>
      </c>
      <c r="L2051" s="8">
        <f>_xlfn.IFNA(INDEX('HS Codes'!$D$2:$K4605,MATCH($B2051,'HS Codes'!$A$2:$A4605,0),MATCH(L$1,'HS Codes'!$D$1:$K$1,0)),"")</f>
        <v>61123100</v>
      </c>
      <c r="M2051" s="8">
        <f>_xlfn.IFNA(INDEX('HS Codes'!$C$2:$C4605,MATCH($B2051,'HS Codes'!$A$2:$A4605,0)),"")</f>
        <v>0</v>
      </c>
      <c r="N2051" s="9"/>
      <c r="O2051" s="9"/>
      <c r="P2051" s="9"/>
      <c r="Q2051" s="9"/>
    </row>
    <row r="2052" spans="1:17" ht="15.75" customHeight="1">
      <c r="A2052" s="7" t="s">
        <v>2345</v>
      </c>
      <c r="B2052" s="7" t="s">
        <v>156</v>
      </c>
      <c r="C2052" s="7"/>
      <c r="D2052" s="7" t="s">
        <v>157</v>
      </c>
      <c r="E2052" s="7" t="s">
        <v>1049</v>
      </c>
      <c r="F2052" s="8" t="str">
        <f>_xlfn.IFNA(INDEX('HS Codes'!$D$2:$K4606,MATCH($B2052,'HS Codes'!$A$2:$A4606,0),MATCH(F$1,'HS Codes'!$D$1:$K$1,0)),"")</f>
        <v>6112.31.00.10</v>
      </c>
      <c r="G2052" s="8">
        <f>_xlfn.IFNA(INDEX('HS Codes'!$D$2:$K4606,MATCH($B2052,'HS Codes'!$A$2:$A4606,0),MATCH(G$1,'HS Codes'!$D$1:$K$1,0)),"")</f>
        <v>6112311000</v>
      </c>
      <c r="H2052" s="8">
        <f>_xlfn.IFNA(INDEX('HS Codes'!$D$2:$K4606,MATCH($B2052,'HS Codes'!$A$2:$A4606,0),MATCH(H$1,'HS Codes'!$D$1:$K$1,0)),"")</f>
        <v>6112311000</v>
      </c>
      <c r="I2052" s="8">
        <f>_xlfn.IFNA(INDEX('HS Codes'!$D$2:$K4606,MATCH($B2052,'HS Codes'!$A$2:$A4606,0),MATCH(I$1,'HS Codes'!$D$1:$K$1,0)),"")</f>
        <v>61123110</v>
      </c>
      <c r="J2052" s="8">
        <f>_xlfn.IFNA(INDEX('HS Codes'!$D$2:$K4606,MATCH($B2052,'HS Codes'!$A$2:$A4606,0),MATCH(J$1,'HS Codes'!$D$1:$K$1,0)),"")</f>
        <v>0</v>
      </c>
      <c r="K2052" s="8" t="str">
        <f>_xlfn.IFNA(INDEX('HS Codes'!$D$2:$K4606,MATCH($B2052,'HS Codes'!$A$2:$A4606,0),MATCH(K$1,'HS Codes'!$D$1:$K$1,0)),"")</f>
        <v>6112.39.00</v>
      </c>
      <c r="L2052" s="8">
        <f>_xlfn.IFNA(INDEX('HS Codes'!$D$2:$K4606,MATCH($B2052,'HS Codes'!$A$2:$A4606,0),MATCH(L$1,'HS Codes'!$D$1:$K$1,0)),"")</f>
        <v>61123100</v>
      </c>
      <c r="M2052" s="8">
        <f>_xlfn.IFNA(INDEX('HS Codes'!$C$2:$C4606,MATCH($B2052,'HS Codes'!$A$2:$A4606,0)),"")</f>
        <v>0</v>
      </c>
      <c r="N2052" s="9"/>
      <c r="O2052" s="9"/>
      <c r="P2052" s="9"/>
      <c r="Q2052" s="9"/>
    </row>
    <row r="2053" spans="1:17" ht="15.75" customHeight="1">
      <c r="A2053" s="7" t="s">
        <v>2346</v>
      </c>
      <c r="B2053" s="7" t="s">
        <v>156</v>
      </c>
      <c r="C2053" s="7"/>
      <c r="D2053" s="7" t="s">
        <v>157</v>
      </c>
      <c r="E2053" s="7" t="s">
        <v>1049</v>
      </c>
      <c r="F2053" s="8" t="str">
        <f>_xlfn.IFNA(INDEX('HS Codes'!$D$2:$K4607,MATCH($B2053,'HS Codes'!$A$2:$A4607,0),MATCH(F$1,'HS Codes'!$D$1:$K$1,0)),"")</f>
        <v>6112.31.00.10</v>
      </c>
      <c r="G2053" s="8">
        <f>_xlfn.IFNA(INDEX('HS Codes'!$D$2:$K4607,MATCH($B2053,'HS Codes'!$A$2:$A4607,0),MATCH(G$1,'HS Codes'!$D$1:$K$1,0)),"")</f>
        <v>6112311000</v>
      </c>
      <c r="H2053" s="8">
        <f>_xlfn.IFNA(INDEX('HS Codes'!$D$2:$K4607,MATCH($B2053,'HS Codes'!$A$2:$A4607,0),MATCH(H$1,'HS Codes'!$D$1:$K$1,0)),"")</f>
        <v>6112311000</v>
      </c>
      <c r="I2053" s="8">
        <f>_xlfn.IFNA(INDEX('HS Codes'!$D$2:$K4607,MATCH($B2053,'HS Codes'!$A$2:$A4607,0),MATCH(I$1,'HS Codes'!$D$1:$K$1,0)),"")</f>
        <v>61123110</v>
      </c>
      <c r="J2053" s="8">
        <f>_xlfn.IFNA(INDEX('HS Codes'!$D$2:$K4607,MATCH($B2053,'HS Codes'!$A$2:$A4607,0),MATCH(J$1,'HS Codes'!$D$1:$K$1,0)),"")</f>
        <v>0</v>
      </c>
      <c r="K2053" s="8" t="str">
        <f>_xlfn.IFNA(INDEX('HS Codes'!$D$2:$K4607,MATCH($B2053,'HS Codes'!$A$2:$A4607,0),MATCH(K$1,'HS Codes'!$D$1:$K$1,0)),"")</f>
        <v>6112.39.00</v>
      </c>
      <c r="L2053" s="8">
        <f>_xlfn.IFNA(INDEX('HS Codes'!$D$2:$K4607,MATCH($B2053,'HS Codes'!$A$2:$A4607,0),MATCH(L$1,'HS Codes'!$D$1:$K$1,0)),"")</f>
        <v>61123100</v>
      </c>
      <c r="M2053" s="8">
        <f>_xlfn.IFNA(INDEX('HS Codes'!$C$2:$C4607,MATCH($B2053,'HS Codes'!$A$2:$A4607,0)),"")</f>
        <v>0</v>
      </c>
      <c r="N2053" s="9"/>
      <c r="O2053" s="9"/>
      <c r="P2053" s="9"/>
      <c r="Q2053" s="9"/>
    </row>
    <row r="2054" spans="1:17" ht="15.75" customHeight="1">
      <c r="A2054" s="7" t="s">
        <v>2347</v>
      </c>
      <c r="B2054" s="7" t="s">
        <v>156</v>
      </c>
      <c r="C2054" s="7"/>
      <c r="D2054" s="7" t="s">
        <v>157</v>
      </c>
      <c r="E2054" s="7" t="s">
        <v>1049</v>
      </c>
      <c r="F2054" s="8" t="str">
        <f>_xlfn.IFNA(INDEX('HS Codes'!$D$2:$K4608,MATCH($B2054,'HS Codes'!$A$2:$A4608,0),MATCH(F$1,'HS Codes'!$D$1:$K$1,0)),"")</f>
        <v>6112.31.00.10</v>
      </c>
      <c r="G2054" s="8">
        <f>_xlfn.IFNA(INDEX('HS Codes'!$D$2:$K4608,MATCH($B2054,'HS Codes'!$A$2:$A4608,0),MATCH(G$1,'HS Codes'!$D$1:$K$1,0)),"")</f>
        <v>6112311000</v>
      </c>
      <c r="H2054" s="8">
        <f>_xlfn.IFNA(INDEX('HS Codes'!$D$2:$K4608,MATCH($B2054,'HS Codes'!$A$2:$A4608,0),MATCH(H$1,'HS Codes'!$D$1:$K$1,0)),"")</f>
        <v>6112311000</v>
      </c>
      <c r="I2054" s="8">
        <f>_xlfn.IFNA(INDEX('HS Codes'!$D$2:$K4608,MATCH($B2054,'HS Codes'!$A$2:$A4608,0),MATCH(I$1,'HS Codes'!$D$1:$K$1,0)),"")</f>
        <v>61123110</v>
      </c>
      <c r="J2054" s="8">
        <f>_xlfn.IFNA(INDEX('HS Codes'!$D$2:$K4608,MATCH($B2054,'HS Codes'!$A$2:$A4608,0),MATCH(J$1,'HS Codes'!$D$1:$K$1,0)),"")</f>
        <v>0</v>
      </c>
      <c r="K2054" s="8" t="str">
        <f>_xlfn.IFNA(INDEX('HS Codes'!$D$2:$K4608,MATCH($B2054,'HS Codes'!$A$2:$A4608,0),MATCH(K$1,'HS Codes'!$D$1:$K$1,0)),"")</f>
        <v>6112.39.00</v>
      </c>
      <c r="L2054" s="8">
        <f>_xlfn.IFNA(INDEX('HS Codes'!$D$2:$K4608,MATCH($B2054,'HS Codes'!$A$2:$A4608,0),MATCH(L$1,'HS Codes'!$D$1:$K$1,0)),"")</f>
        <v>61123100</v>
      </c>
      <c r="M2054" s="8">
        <f>_xlfn.IFNA(INDEX('HS Codes'!$C$2:$C4608,MATCH($B2054,'HS Codes'!$A$2:$A4608,0)),"")</f>
        <v>0</v>
      </c>
      <c r="N2054" s="9"/>
      <c r="O2054" s="9"/>
      <c r="P2054" s="9"/>
      <c r="Q2054" s="9"/>
    </row>
    <row r="2055" spans="1:17" ht="15.75" customHeight="1">
      <c r="A2055" s="7" t="s">
        <v>2348</v>
      </c>
      <c r="B2055" s="7" t="s">
        <v>156</v>
      </c>
      <c r="C2055" s="7"/>
      <c r="D2055" s="7" t="s">
        <v>157</v>
      </c>
      <c r="E2055" s="7" t="s">
        <v>1049</v>
      </c>
      <c r="F2055" s="8" t="str">
        <f>_xlfn.IFNA(INDEX('HS Codes'!$D$2:$K4609,MATCH($B2055,'HS Codes'!$A$2:$A4609,0),MATCH(F$1,'HS Codes'!$D$1:$K$1,0)),"")</f>
        <v>6112.31.00.10</v>
      </c>
      <c r="G2055" s="8">
        <f>_xlfn.IFNA(INDEX('HS Codes'!$D$2:$K4609,MATCH($B2055,'HS Codes'!$A$2:$A4609,0),MATCH(G$1,'HS Codes'!$D$1:$K$1,0)),"")</f>
        <v>6112311000</v>
      </c>
      <c r="H2055" s="8">
        <f>_xlfn.IFNA(INDEX('HS Codes'!$D$2:$K4609,MATCH($B2055,'HS Codes'!$A$2:$A4609,0),MATCH(H$1,'HS Codes'!$D$1:$K$1,0)),"")</f>
        <v>6112311000</v>
      </c>
      <c r="I2055" s="8">
        <f>_xlfn.IFNA(INDEX('HS Codes'!$D$2:$K4609,MATCH($B2055,'HS Codes'!$A$2:$A4609,0),MATCH(I$1,'HS Codes'!$D$1:$K$1,0)),"")</f>
        <v>61123110</v>
      </c>
      <c r="J2055" s="8">
        <f>_xlfn.IFNA(INDEX('HS Codes'!$D$2:$K4609,MATCH($B2055,'HS Codes'!$A$2:$A4609,0),MATCH(J$1,'HS Codes'!$D$1:$K$1,0)),"")</f>
        <v>0</v>
      </c>
      <c r="K2055" s="8" t="str">
        <f>_xlfn.IFNA(INDEX('HS Codes'!$D$2:$K4609,MATCH($B2055,'HS Codes'!$A$2:$A4609,0),MATCH(K$1,'HS Codes'!$D$1:$K$1,0)),"")</f>
        <v>6112.39.00</v>
      </c>
      <c r="L2055" s="8">
        <f>_xlfn.IFNA(INDEX('HS Codes'!$D$2:$K4609,MATCH($B2055,'HS Codes'!$A$2:$A4609,0),MATCH(L$1,'HS Codes'!$D$1:$K$1,0)),"")</f>
        <v>61123100</v>
      </c>
      <c r="M2055" s="8">
        <f>_xlfn.IFNA(INDEX('HS Codes'!$C$2:$C4609,MATCH($B2055,'HS Codes'!$A$2:$A4609,0)),"")</f>
        <v>0</v>
      </c>
      <c r="N2055" s="9"/>
      <c r="O2055" s="9"/>
      <c r="P2055" s="9"/>
      <c r="Q2055" s="9"/>
    </row>
    <row r="2056" spans="1:17" ht="15.75" customHeight="1">
      <c r="A2056" s="7" t="s">
        <v>2349</v>
      </c>
      <c r="B2056" s="7" t="s">
        <v>156</v>
      </c>
      <c r="C2056" s="7"/>
      <c r="D2056" s="7" t="s">
        <v>157</v>
      </c>
      <c r="E2056" s="7" t="s">
        <v>1049</v>
      </c>
      <c r="F2056" s="8" t="str">
        <f>_xlfn.IFNA(INDEX('HS Codes'!$D$2:$K4610,MATCH($B2056,'HS Codes'!$A$2:$A4610,0),MATCH(F$1,'HS Codes'!$D$1:$K$1,0)),"")</f>
        <v>6112.31.00.10</v>
      </c>
      <c r="G2056" s="8">
        <f>_xlfn.IFNA(INDEX('HS Codes'!$D$2:$K4610,MATCH($B2056,'HS Codes'!$A$2:$A4610,0),MATCH(G$1,'HS Codes'!$D$1:$K$1,0)),"")</f>
        <v>6112311000</v>
      </c>
      <c r="H2056" s="8">
        <f>_xlfn.IFNA(INDEX('HS Codes'!$D$2:$K4610,MATCH($B2056,'HS Codes'!$A$2:$A4610,0),MATCH(H$1,'HS Codes'!$D$1:$K$1,0)),"")</f>
        <v>6112311000</v>
      </c>
      <c r="I2056" s="8">
        <f>_xlfn.IFNA(INDEX('HS Codes'!$D$2:$K4610,MATCH($B2056,'HS Codes'!$A$2:$A4610,0),MATCH(I$1,'HS Codes'!$D$1:$K$1,0)),"")</f>
        <v>61123110</v>
      </c>
      <c r="J2056" s="8">
        <f>_xlfn.IFNA(INDEX('HS Codes'!$D$2:$K4610,MATCH($B2056,'HS Codes'!$A$2:$A4610,0),MATCH(J$1,'HS Codes'!$D$1:$K$1,0)),"")</f>
        <v>0</v>
      </c>
      <c r="K2056" s="8" t="str">
        <f>_xlfn.IFNA(INDEX('HS Codes'!$D$2:$K4610,MATCH($B2056,'HS Codes'!$A$2:$A4610,0),MATCH(K$1,'HS Codes'!$D$1:$K$1,0)),"")</f>
        <v>6112.39.00</v>
      </c>
      <c r="L2056" s="8">
        <f>_xlfn.IFNA(INDEX('HS Codes'!$D$2:$K4610,MATCH($B2056,'HS Codes'!$A$2:$A4610,0),MATCH(L$1,'HS Codes'!$D$1:$K$1,0)),"")</f>
        <v>61123100</v>
      </c>
      <c r="M2056" s="8">
        <f>_xlfn.IFNA(INDEX('HS Codes'!$C$2:$C4610,MATCH($B2056,'HS Codes'!$A$2:$A4610,0)),"")</f>
        <v>0</v>
      </c>
      <c r="N2056" s="9"/>
      <c r="O2056" s="9"/>
      <c r="P2056" s="9"/>
      <c r="Q2056" s="9"/>
    </row>
    <row r="2057" spans="1:17" ht="15.75" customHeight="1">
      <c r="A2057" s="7" t="s">
        <v>2350</v>
      </c>
      <c r="B2057" s="7" t="s">
        <v>156</v>
      </c>
      <c r="C2057" s="7"/>
      <c r="D2057" s="7" t="s">
        <v>157</v>
      </c>
      <c r="E2057" s="7" t="s">
        <v>1049</v>
      </c>
      <c r="F2057" s="8" t="str">
        <f>_xlfn.IFNA(INDEX('HS Codes'!$D$2:$K4611,MATCH($B2057,'HS Codes'!$A$2:$A4611,0),MATCH(F$1,'HS Codes'!$D$1:$K$1,0)),"")</f>
        <v>6112.31.00.10</v>
      </c>
      <c r="G2057" s="8">
        <f>_xlfn.IFNA(INDEX('HS Codes'!$D$2:$K4611,MATCH($B2057,'HS Codes'!$A$2:$A4611,0),MATCH(G$1,'HS Codes'!$D$1:$K$1,0)),"")</f>
        <v>6112311000</v>
      </c>
      <c r="H2057" s="8">
        <f>_xlfn.IFNA(INDEX('HS Codes'!$D$2:$K4611,MATCH($B2057,'HS Codes'!$A$2:$A4611,0),MATCH(H$1,'HS Codes'!$D$1:$K$1,0)),"")</f>
        <v>6112311000</v>
      </c>
      <c r="I2057" s="8">
        <f>_xlfn.IFNA(INDEX('HS Codes'!$D$2:$K4611,MATCH($B2057,'HS Codes'!$A$2:$A4611,0),MATCH(I$1,'HS Codes'!$D$1:$K$1,0)),"")</f>
        <v>61123110</v>
      </c>
      <c r="J2057" s="8">
        <f>_xlfn.IFNA(INDEX('HS Codes'!$D$2:$K4611,MATCH($B2057,'HS Codes'!$A$2:$A4611,0),MATCH(J$1,'HS Codes'!$D$1:$K$1,0)),"")</f>
        <v>0</v>
      </c>
      <c r="K2057" s="8" t="str">
        <f>_xlfn.IFNA(INDEX('HS Codes'!$D$2:$K4611,MATCH($B2057,'HS Codes'!$A$2:$A4611,0),MATCH(K$1,'HS Codes'!$D$1:$K$1,0)),"")</f>
        <v>6112.39.00</v>
      </c>
      <c r="L2057" s="8">
        <f>_xlfn.IFNA(INDEX('HS Codes'!$D$2:$K4611,MATCH($B2057,'HS Codes'!$A$2:$A4611,0),MATCH(L$1,'HS Codes'!$D$1:$K$1,0)),"")</f>
        <v>61123100</v>
      </c>
      <c r="M2057" s="8">
        <f>_xlfn.IFNA(INDEX('HS Codes'!$C$2:$C4611,MATCH($B2057,'HS Codes'!$A$2:$A4611,0)),"")</f>
        <v>0</v>
      </c>
      <c r="N2057" s="9"/>
      <c r="O2057" s="9"/>
      <c r="P2057" s="9"/>
      <c r="Q2057" s="9"/>
    </row>
    <row r="2058" spans="1:17" ht="15.75" customHeight="1">
      <c r="A2058" s="7" t="s">
        <v>2351</v>
      </c>
      <c r="B2058" s="7" t="s">
        <v>156</v>
      </c>
      <c r="C2058" s="7"/>
      <c r="D2058" s="7" t="s">
        <v>157</v>
      </c>
      <c r="E2058" s="7" t="s">
        <v>1049</v>
      </c>
      <c r="F2058" s="8" t="str">
        <f>_xlfn.IFNA(INDEX('HS Codes'!$D$2:$K4612,MATCH($B2058,'HS Codes'!$A$2:$A4612,0),MATCH(F$1,'HS Codes'!$D$1:$K$1,0)),"")</f>
        <v>6112.31.00.10</v>
      </c>
      <c r="G2058" s="8">
        <f>_xlfn.IFNA(INDEX('HS Codes'!$D$2:$K4612,MATCH($B2058,'HS Codes'!$A$2:$A4612,0),MATCH(G$1,'HS Codes'!$D$1:$K$1,0)),"")</f>
        <v>6112311000</v>
      </c>
      <c r="H2058" s="8">
        <f>_xlfn.IFNA(INDEX('HS Codes'!$D$2:$K4612,MATCH($B2058,'HS Codes'!$A$2:$A4612,0),MATCH(H$1,'HS Codes'!$D$1:$K$1,0)),"")</f>
        <v>6112311000</v>
      </c>
      <c r="I2058" s="8">
        <f>_xlfn.IFNA(INDEX('HS Codes'!$D$2:$K4612,MATCH($B2058,'HS Codes'!$A$2:$A4612,0),MATCH(I$1,'HS Codes'!$D$1:$K$1,0)),"")</f>
        <v>61123110</v>
      </c>
      <c r="J2058" s="8">
        <f>_xlfn.IFNA(INDEX('HS Codes'!$D$2:$K4612,MATCH($B2058,'HS Codes'!$A$2:$A4612,0),MATCH(J$1,'HS Codes'!$D$1:$K$1,0)),"")</f>
        <v>0</v>
      </c>
      <c r="K2058" s="8" t="str">
        <f>_xlfn.IFNA(INDEX('HS Codes'!$D$2:$K4612,MATCH($B2058,'HS Codes'!$A$2:$A4612,0),MATCH(K$1,'HS Codes'!$D$1:$K$1,0)),"")</f>
        <v>6112.39.00</v>
      </c>
      <c r="L2058" s="8">
        <f>_xlfn.IFNA(INDEX('HS Codes'!$D$2:$K4612,MATCH($B2058,'HS Codes'!$A$2:$A4612,0),MATCH(L$1,'HS Codes'!$D$1:$K$1,0)),"")</f>
        <v>61123100</v>
      </c>
      <c r="M2058" s="8">
        <f>_xlfn.IFNA(INDEX('HS Codes'!$C$2:$C4612,MATCH($B2058,'HS Codes'!$A$2:$A4612,0)),"")</f>
        <v>0</v>
      </c>
      <c r="N2058" s="9"/>
      <c r="O2058" s="9"/>
      <c r="P2058" s="9"/>
      <c r="Q2058" s="9"/>
    </row>
    <row r="2059" spans="1:17" ht="15.75" customHeight="1">
      <c r="A2059" s="7" t="s">
        <v>2352</v>
      </c>
      <c r="B2059" s="7" t="s">
        <v>156</v>
      </c>
      <c r="C2059" s="7"/>
      <c r="D2059" s="7" t="s">
        <v>157</v>
      </c>
      <c r="E2059" s="7" t="s">
        <v>1049</v>
      </c>
      <c r="F2059" s="8" t="str">
        <f>_xlfn.IFNA(INDEX('HS Codes'!$D$2:$K4613,MATCH($B2059,'HS Codes'!$A$2:$A4613,0),MATCH(F$1,'HS Codes'!$D$1:$K$1,0)),"")</f>
        <v>6112.31.00.10</v>
      </c>
      <c r="G2059" s="8">
        <f>_xlfn.IFNA(INDEX('HS Codes'!$D$2:$K4613,MATCH($B2059,'HS Codes'!$A$2:$A4613,0),MATCH(G$1,'HS Codes'!$D$1:$K$1,0)),"")</f>
        <v>6112311000</v>
      </c>
      <c r="H2059" s="8">
        <f>_xlfn.IFNA(INDEX('HS Codes'!$D$2:$K4613,MATCH($B2059,'HS Codes'!$A$2:$A4613,0),MATCH(H$1,'HS Codes'!$D$1:$K$1,0)),"")</f>
        <v>6112311000</v>
      </c>
      <c r="I2059" s="8">
        <f>_xlfn.IFNA(INDEX('HS Codes'!$D$2:$K4613,MATCH($B2059,'HS Codes'!$A$2:$A4613,0),MATCH(I$1,'HS Codes'!$D$1:$K$1,0)),"")</f>
        <v>61123110</v>
      </c>
      <c r="J2059" s="8">
        <f>_xlfn.IFNA(INDEX('HS Codes'!$D$2:$K4613,MATCH($B2059,'HS Codes'!$A$2:$A4613,0),MATCH(J$1,'HS Codes'!$D$1:$K$1,0)),"")</f>
        <v>0</v>
      </c>
      <c r="K2059" s="8" t="str">
        <f>_xlfn.IFNA(INDEX('HS Codes'!$D$2:$K4613,MATCH($B2059,'HS Codes'!$A$2:$A4613,0),MATCH(K$1,'HS Codes'!$D$1:$K$1,0)),"")</f>
        <v>6112.39.00</v>
      </c>
      <c r="L2059" s="8">
        <f>_xlfn.IFNA(INDEX('HS Codes'!$D$2:$K4613,MATCH($B2059,'HS Codes'!$A$2:$A4613,0),MATCH(L$1,'HS Codes'!$D$1:$K$1,0)),"")</f>
        <v>61123100</v>
      </c>
      <c r="M2059" s="8">
        <f>_xlfn.IFNA(INDEX('HS Codes'!$C$2:$C4613,MATCH($B2059,'HS Codes'!$A$2:$A4613,0)),"")</f>
        <v>0</v>
      </c>
      <c r="N2059" s="9"/>
      <c r="O2059" s="9"/>
      <c r="P2059" s="9"/>
      <c r="Q2059" s="9"/>
    </row>
    <row r="2060" spans="1:17" ht="15.75" customHeight="1">
      <c r="A2060" s="7" t="s">
        <v>2353</v>
      </c>
      <c r="B2060" s="7" t="s">
        <v>156</v>
      </c>
      <c r="C2060" s="7"/>
      <c r="D2060" s="7" t="s">
        <v>157</v>
      </c>
      <c r="E2060" s="7" t="s">
        <v>1049</v>
      </c>
      <c r="F2060" s="8" t="str">
        <f>_xlfn.IFNA(INDEX('HS Codes'!$D$2:$K4614,MATCH($B2060,'HS Codes'!$A$2:$A4614,0),MATCH(F$1,'HS Codes'!$D$1:$K$1,0)),"")</f>
        <v>6112.31.00.10</v>
      </c>
      <c r="G2060" s="8">
        <f>_xlfn.IFNA(INDEX('HS Codes'!$D$2:$K4614,MATCH($B2060,'HS Codes'!$A$2:$A4614,0),MATCH(G$1,'HS Codes'!$D$1:$K$1,0)),"")</f>
        <v>6112311000</v>
      </c>
      <c r="H2060" s="8">
        <f>_xlfn.IFNA(INDEX('HS Codes'!$D$2:$K4614,MATCH($B2060,'HS Codes'!$A$2:$A4614,0),MATCH(H$1,'HS Codes'!$D$1:$K$1,0)),"")</f>
        <v>6112311000</v>
      </c>
      <c r="I2060" s="8">
        <f>_xlfn.IFNA(INDEX('HS Codes'!$D$2:$K4614,MATCH($B2060,'HS Codes'!$A$2:$A4614,0),MATCH(I$1,'HS Codes'!$D$1:$K$1,0)),"")</f>
        <v>61123110</v>
      </c>
      <c r="J2060" s="8">
        <f>_xlfn.IFNA(INDEX('HS Codes'!$D$2:$K4614,MATCH($B2060,'HS Codes'!$A$2:$A4614,0),MATCH(J$1,'HS Codes'!$D$1:$K$1,0)),"")</f>
        <v>0</v>
      </c>
      <c r="K2060" s="8" t="str">
        <f>_xlfn.IFNA(INDEX('HS Codes'!$D$2:$K4614,MATCH($B2060,'HS Codes'!$A$2:$A4614,0),MATCH(K$1,'HS Codes'!$D$1:$K$1,0)),"")</f>
        <v>6112.39.00</v>
      </c>
      <c r="L2060" s="8">
        <f>_xlfn.IFNA(INDEX('HS Codes'!$D$2:$K4614,MATCH($B2060,'HS Codes'!$A$2:$A4614,0),MATCH(L$1,'HS Codes'!$D$1:$K$1,0)),"")</f>
        <v>61123100</v>
      </c>
      <c r="M2060" s="8">
        <f>_xlfn.IFNA(INDEX('HS Codes'!$C$2:$C4614,MATCH($B2060,'HS Codes'!$A$2:$A4614,0)),"")</f>
        <v>0</v>
      </c>
      <c r="N2060" s="9"/>
      <c r="O2060" s="9"/>
      <c r="P2060" s="9"/>
      <c r="Q2060" s="9"/>
    </row>
    <row r="2061" spans="1:17" ht="15.75" customHeight="1">
      <c r="A2061" s="7" t="s">
        <v>2354</v>
      </c>
      <c r="B2061" s="7" t="s">
        <v>156</v>
      </c>
      <c r="C2061" s="7"/>
      <c r="D2061" s="7" t="s">
        <v>157</v>
      </c>
      <c r="E2061" s="7" t="s">
        <v>1049</v>
      </c>
      <c r="F2061" s="8" t="str">
        <f>_xlfn.IFNA(INDEX('HS Codes'!$D$2:$K4615,MATCH($B2061,'HS Codes'!$A$2:$A4615,0),MATCH(F$1,'HS Codes'!$D$1:$K$1,0)),"")</f>
        <v>6112.31.00.10</v>
      </c>
      <c r="G2061" s="8">
        <f>_xlfn.IFNA(INDEX('HS Codes'!$D$2:$K4615,MATCH($B2061,'HS Codes'!$A$2:$A4615,0),MATCH(G$1,'HS Codes'!$D$1:$K$1,0)),"")</f>
        <v>6112311000</v>
      </c>
      <c r="H2061" s="8">
        <f>_xlfn.IFNA(INDEX('HS Codes'!$D$2:$K4615,MATCH($B2061,'HS Codes'!$A$2:$A4615,0),MATCH(H$1,'HS Codes'!$D$1:$K$1,0)),"")</f>
        <v>6112311000</v>
      </c>
      <c r="I2061" s="8">
        <f>_xlfn.IFNA(INDEX('HS Codes'!$D$2:$K4615,MATCH($B2061,'HS Codes'!$A$2:$A4615,0),MATCH(I$1,'HS Codes'!$D$1:$K$1,0)),"")</f>
        <v>61123110</v>
      </c>
      <c r="J2061" s="8">
        <f>_xlfn.IFNA(INDEX('HS Codes'!$D$2:$K4615,MATCH($B2061,'HS Codes'!$A$2:$A4615,0),MATCH(J$1,'HS Codes'!$D$1:$K$1,0)),"")</f>
        <v>0</v>
      </c>
      <c r="K2061" s="8" t="str">
        <f>_xlfn.IFNA(INDEX('HS Codes'!$D$2:$K4615,MATCH($B2061,'HS Codes'!$A$2:$A4615,0),MATCH(K$1,'HS Codes'!$D$1:$K$1,0)),"")</f>
        <v>6112.39.00</v>
      </c>
      <c r="L2061" s="8">
        <f>_xlfn.IFNA(INDEX('HS Codes'!$D$2:$K4615,MATCH($B2061,'HS Codes'!$A$2:$A4615,0),MATCH(L$1,'HS Codes'!$D$1:$K$1,0)),"")</f>
        <v>61123100</v>
      </c>
      <c r="M2061" s="8">
        <f>_xlfn.IFNA(INDEX('HS Codes'!$C$2:$C4615,MATCH($B2061,'HS Codes'!$A$2:$A4615,0)),"")</f>
        <v>0</v>
      </c>
      <c r="N2061" s="9"/>
      <c r="O2061" s="9"/>
      <c r="P2061" s="9"/>
      <c r="Q2061" s="9"/>
    </row>
    <row r="2062" spans="1:17" ht="15.75" customHeight="1">
      <c r="A2062" s="7" t="s">
        <v>2355</v>
      </c>
      <c r="B2062" s="7" t="s">
        <v>156</v>
      </c>
      <c r="C2062" s="7"/>
      <c r="D2062" s="7" t="s">
        <v>157</v>
      </c>
      <c r="E2062" s="7" t="s">
        <v>1049</v>
      </c>
      <c r="F2062" s="8" t="str">
        <f>_xlfn.IFNA(INDEX('HS Codes'!$D$2:$K4616,MATCH($B2062,'HS Codes'!$A$2:$A4616,0),MATCH(F$1,'HS Codes'!$D$1:$K$1,0)),"")</f>
        <v>6112.31.00.10</v>
      </c>
      <c r="G2062" s="8">
        <f>_xlfn.IFNA(INDEX('HS Codes'!$D$2:$K4616,MATCH($B2062,'HS Codes'!$A$2:$A4616,0),MATCH(G$1,'HS Codes'!$D$1:$K$1,0)),"")</f>
        <v>6112311000</v>
      </c>
      <c r="H2062" s="8">
        <f>_xlfn.IFNA(INDEX('HS Codes'!$D$2:$K4616,MATCH($B2062,'HS Codes'!$A$2:$A4616,0),MATCH(H$1,'HS Codes'!$D$1:$K$1,0)),"")</f>
        <v>6112311000</v>
      </c>
      <c r="I2062" s="8">
        <f>_xlfn.IFNA(INDEX('HS Codes'!$D$2:$K4616,MATCH($B2062,'HS Codes'!$A$2:$A4616,0),MATCH(I$1,'HS Codes'!$D$1:$K$1,0)),"")</f>
        <v>61123110</v>
      </c>
      <c r="J2062" s="8">
        <f>_xlfn.IFNA(INDEX('HS Codes'!$D$2:$K4616,MATCH($B2062,'HS Codes'!$A$2:$A4616,0),MATCH(J$1,'HS Codes'!$D$1:$K$1,0)),"")</f>
        <v>0</v>
      </c>
      <c r="K2062" s="8" t="str">
        <f>_xlfn.IFNA(INDEX('HS Codes'!$D$2:$K4616,MATCH($B2062,'HS Codes'!$A$2:$A4616,0),MATCH(K$1,'HS Codes'!$D$1:$K$1,0)),"")</f>
        <v>6112.39.00</v>
      </c>
      <c r="L2062" s="8">
        <f>_xlfn.IFNA(INDEX('HS Codes'!$D$2:$K4616,MATCH($B2062,'HS Codes'!$A$2:$A4616,0),MATCH(L$1,'HS Codes'!$D$1:$K$1,0)),"")</f>
        <v>61123100</v>
      </c>
      <c r="M2062" s="8">
        <f>_xlfn.IFNA(INDEX('HS Codes'!$C$2:$C4616,MATCH($B2062,'HS Codes'!$A$2:$A4616,0)),"")</f>
        <v>0</v>
      </c>
      <c r="N2062" s="9"/>
      <c r="O2062" s="9"/>
      <c r="P2062" s="9"/>
      <c r="Q2062" s="9"/>
    </row>
    <row r="2063" spans="1:17" ht="15.75" customHeight="1">
      <c r="A2063" s="7" t="s">
        <v>2356</v>
      </c>
      <c r="B2063" s="7" t="s">
        <v>156</v>
      </c>
      <c r="C2063" s="7"/>
      <c r="D2063" s="7" t="s">
        <v>157</v>
      </c>
      <c r="E2063" s="7" t="s">
        <v>1049</v>
      </c>
      <c r="F2063" s="8" t="str">
        <f>_xlfn.IFNA(INDEX('HS Codes'!$D$2:$K4617,MATCH($B2063,'HS Codes'!$A$2:$A4617,0),MATCH(F$1,'HS Codes'!$D$1:$K$1,0)),"")</f>
        <v>6112.31.00.10</v>
      </c>
      <c r="G2063" s="8">
        <f>_xlfn.IFNA(INDEX('HS Codes'!$D$2:$K4617,MATCH($B2063,'HS Codes'!$A$2:$A4617,0),MATCH(G$1,'HS Codes'!$D$1:$K$1,0)),"")</f>
        <v>6112311000</v>
      </c>
      <c r="H2063" s="8">
        <f>_xlfn.IFNA(INDEX('HS Codes'!$D$2:$K4617,MATCH($B2063,'HS Codes'!$A$2:$A4617,0),MATCH(H$1,'HS Codes'!$D$1:$K$1,0)),"")</f>
        <v>6112311000</v>
      </c>
      <c r="I2063" s="8">
        <f>_xlfn.IFNA(INDEX('HS Codes'!$D$2:$K4617,MATCH($B2063,'HS Codes'!$A$2:$A4617,0),MATCH(I$1,'HS Codes'!$D$1:$K$1,0)),"")</f>
        <v>61123110</v>
      </c>
      <c r="J2063" s="8">
        <f>_xlfn.IFNA(INDEX('HS Codes'!$D$2:$K4617,MATCH($B2063,'HS Codes'!$A$2:$A4617,0),MATCH(J$1,'HS Codes'!$D$1:$K$1,0)),"")</f>
        <v>0</v>
      </c>
      <c r="K2063" s="8" t="str">
        <f>_xlfn.IFNA(INDEX('HS Codes'!$D$2:$K4617,MATCH($B2063,'HS Codes'!$A$2:$A4617,0),MATCH(K$1,'HS Codes'!$D$1:$K$1,0)),"")</f>
        <v>6112.39.00</v>
      </c>
      <c r="L2063" s="8">
        <f>_xlfn.IFNA(INDEX('HS Codes'!$D$2:$K4617,MATCH($B2063,'HS Codes'!$A$2:$A4617,0),MATCH(L$1,'HS Codes'!$D$1:$K$1,0)),"")</f>
        <v>61123100</v>
      </c>
      <c r="M2063" s="8">
        <f>_xlfn.IFNA(INDEX('HS Codes'!$C$2:$C4617,MATCH($B2063,'HS Codes'!$A$2:$A4617,0)),"")</f>
        <v>0</v>
      </c>
      <c r="N2063" s="9"/>
      <c r="O2063" s="9"/>
      <c r="P2063" s="9"/>
      <c r="Q2063" s="9"/>
    </row>
    <row r="2064" spans="1:17" ht="15.75" customHeight="1">
      <c r="A2064" s="7" t="s">
        <v>2357</v>
      </c>
      <c r="B2064" s="7" t="s">
        <v>156</v>
      </c>
      <c r="C2064" s="7"/>
      <c r="D2064" s="7" t="s">
        <v>157</v>
      </c>
      <c r="E2064" s="7" t="s">
        <v>1049</v>
      </c>
      <c r="F2064" s="8" t="str">
        <f>_xlfn.IFNA(INDEX('HS Codes'!$D$2:$K4618,MATCH($B2064,'HS Codes'!$A$2:$A4618,0),MATCH(F$1,'HS Codes'!$D$1:$K$1,0)),"")</f>
        <v>6112.31.00.10</v>
      </c>
      <c r="G2064" s="8">
        <f>_xlfn.IFNA(INDEX('HS Codes'!$D$2:$K4618,MATCH($B2064,'HS Codes'!$A$2:$A4618,0),MATCH(G$1,'HS Codes'!$D$1:$K$1,0)),"")</f>
        <v>6112311000</v>
      </c>
      <c r="H2064" s="8">
        <f>_xlfn.IFNA(INDEX('HS Codes'!$D$2:$K4618,MATCH($B2064,'HS Codes'!$A$2:$A4618,0),MATCH(H$1,'HS Codes'!$D$1:$K$1,0)),"")</f>
        <v>6112311000</v>
      </c>
      <c r="I2064" s="8">
        <f>_xlfn.IFNA(INDEX('HS Codes'!$D$2:$K4618,MATCH($B2064,'HS Codes'!$A$2:$A4618,0),MATCH(I$1,'HS Codes'!$D$1:$K$1,0)),"")</f>
        <v>61123110</v>
      </c>
      <c r="J2064" s="8">
        <f>_xlfn.IFNA(INDEX('HS Codes'!$D$2:$K4618,MATCH($B2064,'HS Codes'!$A$2:$A4618,0),MATCH(J$1,'HS Codes'!$D$1:$K$1,0)),"")</f>
        <v>0</v>
      </c>
      <c r="K2064" s="8" t="str">
        <f>_xlfn.IFNA(INDEX('HS Codes'!$D$2:$K4618,MATCH($B2064,'HS Codes'!$A$2:$A4618,0),MATCH(K$1,'HS Codes'!$D$1:$K$1,0)),"")</f>
        <v>6112.39.00</v>
      </c>
      <c r="L2064" s="8">
        <f>_xlfn.IFNA(INDEX('HS Codes'!$D$2:$K4618,MATCH($B2064,'HS Codes'!$A$2:$A4618,0),MATCH(L$1,'HS Codes'!$D$1:$K$1,0)),"")</f>
        <v>61123100</v>
      </c>
      <c r="M2064" s="8">
        <f>_xlfn.IFNA(INDEX('HS Codes'!$C$2:$C4618,MATCH($B2064,'HS Codes'!$A$2:$A4618,0)),"")</f>
        <v>0</v>
      </c>
      <c r="N2064" s="9"/>
      <c r="O2064" s="9"/>
      <c r="P2064" s="9"/>
      <c r="Q2064" s="9"/>
    </row>
    <row r="2065" spans="1:17" ht="15.75" customHeight="1">
      <c r="A2065" s="7" t="s">
        <v>2358</v>
      </c>
      <c r="B2065" s="7" t="s">
        <v>156</v>
      </c>
      <c r="C2065" s="7"/>
      <c r="D2065" s="7" t="s">
        <v>157</v>
      </c>
      <c r="E2065" s="7" t="s">
        <v>1049</v>
      </c>
      <c r="F2065" s="8" t="str">
        <f>_xlfn.IFNA(INDEX('HS Codes'!$D$2:$K4619,MATCH($B2065,'HS Codes'!$A$2:$A4619,0),MATCH(F$1,'HS Codes'!$D$1:$K$1,0)),"")</f>
        <v>6112.31.00.10</v>
      </c>
      <c r="G2065" s="8">
        <f>_xlfn.IFNA(INDEX('HS Codes'!$D$2:$K4619,MATCH($B2065,'HS Codes'!$A$2:$A4619,0),MATCH(G$1,'HS Codes'!$D$1:$K$1,0)),"")</f>
        <v>6112311000</v>
      </c>
      <c r="H2065" s="8">
        <f>_xlfn.IFNA(INDEX('HS Codes'!$D$2:$K4619,MATCH($B2065,'HS Codes'!$A$2:$A4619,0),MATCH(H$1,'HS Codes'!$D$1:$K$1,0)),"")</f>
        <v>6112311000</v>
      </c>
      <c r="I2065" s="8">
        <f>_xlfn.IFNA(INDEX('HS Codes'!$D$2:$K4619,MATCH($B2065,'HS Codes'!$A$2:$A4619,0),MATCH(I$1,'HS Codes'!$D$1:$K$1,0)),"")</f>
        <v>61123110</v>
      </c>
      <c r="J2065" s="8">
        <f>_xlfn.IFNA(INDEX('HS Codes'!$D$2:$K4619,MATCH($B2065,'HS Codes'!$A$2:$A4619,0),MATCH(J$1,'HS Codes'!$D$1:$K$1,0)),"")</f>
        <v>0</v>
      </c>
      <c r="K2065" s="8" t="str">
        <f>_xlfn.IFNA(INDEX('HS Codes'!$D$2:$K4619,MATCH($B2065,'HS Codes'!$A$2:$A4619,0),MATCH(K$1,'HS Codes'!$D$1:$K$1,0)),"")</f>
        <v>6112.39.00</v>
      </c>
      <c r="L2065" s="8">
        <f>_xlfn.IFNA(INDEX('HS Codes'!$D$2:$K4619,MATCH($B2065,'HS Codes'!$A$2:$A4619,0),MATCH(L$1,'HS Codes'!$D$1:$K$1,0)),"")</f>
        <v>61123100</v>
      </c>
      <c r="M2065" s="8">
        <f>_xlfn.IFNA(INDEX('HS Codes'!$C$2:$C4619,MATCH($B2065,'HS Codes'!$A$2:$A4619,0)),"")</f>
        <v>0</v>
      </c>
      <c r="N2065" s="9"/>
      <c r="O2065" s="9"/>
      <c r="P2065" s="9"/>
      <c r="Q2065" s="9"/>
    </row>
    <row r="2066" spans="1:17" ht="15.75" customHeight="1">
      <c r="A2066" s="7" t="s">
        <v>2359</v>
      </c>
      <c r="B2066" s="7" t="s">
        <v>156</v>
      </c>
      <c r="C2066" s="7"/>
      <c r="D2066" s="7" t="s">
        <v>157</v>
      </c>
      <c r="E2066" s="7" t="s">
        <v>1049</v>
      </c>
      <c r="F2066" s="8" t="str">
        <f>_xlfn.IFNA(INDEX('HS Codes'!$D$2:$K4620,MATCH($B2066,'HS Codes'!$A$2:$A4620,0),MATCH(F$1,'HS Codes'!$D$1:$K$1,0)),"")</f>
        <v>6112.31.00.10</v>
      </c>
      <c r="G2066" s="8">
        <f>_xlfn.IFNA(INDEX('HS Codes'!$D$2:$K4620,MATCH($B2066,'HS Codes'!$A$2:$A4620,0),MATCH(G$1,'HS Codes'!$D$1:$K$1,0)),"")</f>
        <v>6112311000</v>
      </c>
      <c r="H2066" s="8">
        <f>_xlfn.IFNA(INDEX('HS Codes'!$D$2:$K4620,MATCH($B2066,'HS Codes'!$A$2:$A4620,0),MATCH(H$1,'HS Codes'!$D$1:$K$1,0)),"")</f>
        <v>6112311000</v>
      </c>
      <c r="I2066" s="8">
        <f>_xlfn.IFNA(INDEX('HS Codes'!$D$2:$K4620,MATCH($B2066,'HS Codes'!$A$2:$A4620,0),MATCH(I$1,'HS Codes'!$D$1:$K$1,0)),"")</f>
        <v>61123110</v>
      </c>
      <c r="J2066" s="8">
        <f>_xlfn.IFNA(INDEX('HS Codes'!$D$2:$K4620,MATCH($B2066,'HS Codes'!$A$2:$A4620,0),MATCH(J$1,'HS Codes'!$D$1:$K$1,0)),"")</f>
        <v>0</v>
      </c>
      <c r="K2066" s="8" t="str">
        <f>_xlfn.IFNA(INDEX('HS Codes'!$D$2:$K4620,MATCH($B2066,'HS Codes'!$A$2:$A4620,0),MATCH(K$1,'HS Codes'!$D$1:$K$1,0)),"")</f>
        <v>6112.39.00</v>
      </c>
      <c r="L2066" s="8">
        <f>_xlfn.IFNA(INDEX('HS Codes'!$D$2:$K4620,MATCH($B2066,'HS Codes'!$A$2:$A4620,0),MATCH(L$1,'HS Codes'!$D$1:$K$1,0)),"")</f>
        <v>61123100</v>
      </c>
      <c r="M2066" s="8">
        <f>_xlfn.IFNA(INDEX('HS Codes'!$C$2:$C4620,MATCH($B2066,'HS Codes'!$A$2:$A4620,0)),"")</f>
        <v>0</v>
      </c>
      <c r="N2066" s="9"/>
      <c r="O2066" s="9"/>
      <c r="P2066" s="9"/>
      <c r="Q2066" s="9"/>
    </row>
    <row r="2067" spans="1:17" ht="15.75" customHeight="1">
      <c r="A2067" s="7" t="s">
        <v>2360</v>
      </c>
      <c r="B2067" s="7" t="s">
        <v>156</v>
      </c>
      <c r="C2067" s="7"/>
      <c r="D2067" s="7" t="s">
        <v>157</v>
      </c>
      <c r="E2067" s="7" t="s">
        <v>1049</v>
      </c>
      <c r="F2067" s="8" t="str">
        <f>_xlfn.IFNA(INDEX('HS Codes'!$D$2:$K4621,MATCH($B2067,'HS Codes'!$A$2:$A4621,0),MATCH(F$1,'HS Codes'!$D$1:$K$1,0)),"")</f>
        <v>6112.31.00.10</v>
      </c>
      <c r="G2067" s="8">
        <f>_xlfn.IFNA(INDEX('HS Codes'!$D$2:$K4621,MATCH($B2067,'HS Codes'!$A$2:$A4621,0),MATCH(G$1,'HS Codes'!$D$1:$K$1,0)),"")</f>
        <v>6112311000</v>
      </c>
      <c r="H2067" s="8">
        <f>_xlfn.IFNA(INDEX('HS Codes'!$D$2:$K4621,MATCH($B2067,'HS Codes'!$A$2:$A4621,0),MATCH(H$1,'HS Codes'!$D$1:$K$1,0)),"")</f>
        <v>6112311000</v>
      </c>
      <c r="I2067" s="8">
        <f>_xlfn.IFNA(INDEX('HS Codes'!$D$2:$K4621,MATCH($B2067,'HS Codes'!$A$2:$A4621,0),MATCH(I$1,'HS Codes'!$D$1:$K$1,0)),"")</f>
        <v>61123110</v>
      </c>
      <c r="J2067" s="8">
        <f>_xlfn.IFNA(INDEX('HS Codes'!$D$2:$K4621,MATCH($B2067,'HS Codes'!$A$2:$A4621,0),MATCH(J$1,'HS Codes'!$D$1:$K$1,0)),"")</f>
        <v>0</v>
      </c>
      <c r="K2067" s="8" t="str">
        <f>_xlfn.IFNA(INDEX('HS Codes'!$D$2:$K4621,MATCH($B2067,'HS Codes'!$A$2:$A4621,0),MATCH(K$1,'HS Codes'!$D$1:$K$1,0)),"")</f>
        <v>6112.39.00</v>
      </c>
      <c r="L2067" s="8">
        <f>_xlfn.IFNA(INDEX('HS Codes'!$D$2:$K4621,MATCH($B2067,'HS Codes'!$A$2:$A4621,0),MATCH(L$1,'HS Codes'!$D$1:$K$1,0)),"")</f>
        <v>61123100</v>
      </c>
      <c r="M2067" s="8">
        <f>_xlfn.IFNA(INDEX('HS Codes'!$C$2:$C4621,MATCH($B2067,'HS Codes'!$A$2:$A4621,0)),"")</f>
        <v>0</v>
      </c>
      <c r="N2067" s="9"/>
      <c r="O2067" s="9"/>
      <c r="P2067" s="9"/>
      <c r="Q2067" s="9"/>
    </row>
    <row r="2068" spans="1:17" ht="15.75" customHeight="1">
      <c r="A2068" s="7" t="s">
        <v>2361</v>
      </c>
      <c r="B2068" s="7" t="s">
        <v>156</v>
      </c>
      <c r="C2068" s="7"/>
      <c r="D2068" s="7" t="s">
        <v>157</v>
      </c>
      <c r="E2068" s="7" t="s">
        <v>1049</v>
      </c>
      <c r="F2068" s="8" t="str">
        <f>_xlfn.IFNA(INDEX('HS Codes'!$D$2:$K4622,MATCH($B2068,'HS Codes'!$A$2:$A4622,0),MATCH(F$1,'HS Codes'!$D$1:$K$1,0)),"")</f>
        <v>6112.31.00.10</v>
      </c>
      <c r="G2068" s="8">
        <f>_xlfn.IFNA(INDEX('HS Codes'!$D$2:$K4622,MATCH($B2068,'HS Codes'!$A$2:$A4622,0),MATCH(G$1,'HS Codes'!$D$1:$K$1,0)),"")</f>
        <v>6112311000</v>
      </c>
      <c r="H2068" s="8">
        <f>_xlfn.IFNA(INDEX('HS Codes'!$D$2:$K4622,MATCH($B2068,'HS Codes'!$A$2:$A4622,0),MATCH(H$1,'HS Codes'!$D$1:$K$1,0)),"")</f>
        <v>6112311000</v>
      </c>
      <c r="I2068" s="8">
        <f>_xlfn.IFNA(INDEX('HS Codes'!$D$2:$K4622,MATCH($B2068,'HS Codes'!$A$2:$A4622,0),MATCH(I$1,'HS Codes'!$D$1:$K$1,0)),"")</f>
        <v>61123110</v>
      </c>
      <c r="J2068" s="8">
        <f>_xlfn.IFNA(INDEX('HS Codes'!$D$2:$K4622,MATCH($B2068,'HS Codes'!$A$2:$A4622,0),MATCH(J$1,'HS Codes'!$D$1:$K$1,0)),"")</f>
        <v>0</v>
      </c>
      <c r="K2068" s="8" t="str">
        <f>_xlfn.IFNA(INDEX('HS Codes'!$D$2:$K4622,MATCH($B2068,'HS Codes'!$A$2:$A4622,0),MATCH(K$1,'HS Codes'!$D$1:$K$1,0)),"")</f>
        <v>6112.39.00</v>
      </c>
      <c r="L2068" s="8">
        <f>_xlfn.IFNA(INDEX('HS Codes'!$D$2:$K4622,MATCH($B2068,'HS Codes'!$A$2:$A4622,0),MATCH(L$1,'HS Codes'!$D$1:$K$1,0)),"")</f>
        <v>61123100</v>
      </c>
      <c r="M2068" s="8">
        <f>_xlfn.IFNA(INDEX('HS Codes'!$C$2:$C4622,MATCH($B2068,'HS Codes'!$A$2:$A4622,0)),"")</f>
        <v>0</v>
      </c>
      <c r="N2068" s="9"/>
      <c r="O2068" s="9"/>
      <c r="P2068" s="9"/>
      <c r="Q2068" s="9"/>
    </row>
    <row r="2069" spans="1:17" ht="15.75" customHeight="1">
      <c r="A2069" s="7" t="s">
        <v>2362</v>
      </c>
      <c r="B2069" s="7" t="s">
        <v>156</v>
      </c>
      <c r="C2069" s="7"/>
      <c r="D2069" s="7" t="s">
        <v>157</v>
      </c>
      <c r="E2069" s="7" t="s">
        <v>1049</v>
      </c>
      <c r="F2069" s="8" t="str">
        <f>_xlfn.IFNA(INDEX('HS Codes'!$D$2:$K4623,MATCH($B2069,'HS Codes'!$A$2:$A4623,0),MATCH(F$1,'HS Codes'!$D$1:$K$1,0)),"")</f>
        <v>6112.31.00.10</v>
      </c>
      <c r="G2069" s="8">
        <f>_xlfn.IFNA(INDEX('HS Codes'!$D$2:$K4623,MATCH($B2069,'HS Codes'!$A$2:$A4623,0),MATCH(G$1,'HS Codes'!$D$1:$K$1,0)),"")</f>
        <v>6112311000</v>
      </c>
      <c r="H2069" s="8">
        <f>_xlfn.IFNA(INDEX('HS Codes'!$D$2:$K4623,MATCH($B2069,'HS Codes'!$A$2:$A4623,0),MATCH(H$1,'HS Codes'!$D$1:$K$1,0)),"")</f>
        <v>6112311000</v>
      </c>
      <c r="I2069" s="8">
        <f>_xlfn.IFNA(INDEX('HS Codes'!$D$2:$K4623,MATCH($B2069,'HS Codes'!$A$2:$A4623,0),MATCH(I$1,'HS Codes'!$D$1:$K$1,0)),"")</f>
        <v>61123110</v>
      </c>
      <c r="J2069" s="8">
        <f>_xlfn.IFNA(INDEX('HS Codes'!$D$2:$K4623,MATCH($B2069,'HS Codes'!$A$2:$A4623,0),MATCH(J$1,'HS Codes'!$D$1:$K$1,0)),"")</f>
        <v>0</v>
      </c>
      <c r="K2069" s="8" t="str">
        <f>_xlfn.IFNA(INDEX('HS Codes'!$D$2:$K4623,MATCH($B2069,'HS Codes'!$A$2:$A4623,0),MATCH(K$1,'HS Codes'!$D$1:$K$1,0)),"")</f>
        <v>6112.39.00</v>
      </c>
      <c r="L2069" s="8">
        <f>_xlfn.IFNA(INDEX('HS Codes'!$D$2:$K4623,MATCH($B2069,'HS Codes'!$A$2:$A4623,0),MATCH(L$1,'HS Codes'!$D$1:$K$1,0)),"")</f>
        <v>61123100</v>
      </c>
      <c r="M2069" s="8">
        <f>_xlfn.IFNA(INDEX('HS Codes'!$C$2:$C4623,MATCH($B2069,'HS Codes'!$A$2:$A4623,0)),"")</f>
        <v>0</v>
      </c>
      <c r="N2069" s="9"/>
      <c r="O2069" s="9"/>
      <c r="P2069" s="9"/>
      <c r="Q2069" s="9"/>
    </row>
    <row r="2070" spans="1:17" ht="15.75" customHeight="1">
      <c r="A2070" s="7" t="s">
        <v>2363</v>
      </c>
      <c r="B2070" s="7" t="s">
        <v>156</v>
      </c>
      <c r="C2070" s="7"/>
      <c r="D2070" s="7" t="s">
        <v>157</v>
      </c>
      <c r="E2070" s="7" t="s">
        <v>1049</v>
      </c>
      <c r="F2070" s="8" t="str">
        <f>_xlfn.IFNA(INDEX('HS Codes'!$D$2:$K4624,MATCH($B2070,'HS Codes'!$A$2:$A4624,0),MATCH(F$1,'HS Codes'!$D$1:$K$1,0)),"")</f>
        <v>6112.31.00.10</v>
      </c>
      <c r="G2070" s="8">
        <f>_xlfn.IFNA(INDEX('HS Codes'!$D$2:$K4624,MATCH($B2070,'HS Codes'!$A$2:$A4624,0),MATCH(G$1,'HS Codes'!$D$1:$K$1,0)),"")</f>
        <v>6112311000</v>
      </c>
      <c r="H2070" s="8">
        <f>_xlfn.IFNA(INDEX('HS Codes'!$D$2:$K4624,MATCH($B2070,'HS Codes'!$A$2:$A4624,0),MATCH(H$1,'HS Codes'!$D$1:$K$1,0)),"")</f>
        <v>6112311000</v>
      </c>
      <c r="I2070" s="8">
        <f>_xlfn.IFNA(INDEX('HS Codes'!$D$2:$K4624,MATCH($B2070,'HS Codes'!$A$2:$A4624,0),MATCH(I$1,'HS Codes'!$D$1:$K$1,0)),"")</f>
        <v>61123110</v>
      </c>
      <c r="J2070" s="8">
        <f>_xlfn.IFNA(INDEX('HS Codes'!$D$2:$K4624,MATCH($B2070,'HS Codes'!$A$2:$A4624,0),MATCH(J$1,'HS Codes'!$D$1:$K$1,0)),"")</f>
        <v>0</v>
      </c>
      <c r="K2070" s="8" t="str">
        <f>_xlfn.IFNA(INDEX('HS Codes'!$D$2:$K4624,MATCH($B2070,'HS Codes'!$A$2:$A4624,0),MATCH(K$1,'HS Codes'!$D$1:$K$1,0)),"")</f>
        <v>6112.39.00</v>
      </c>
      <c r="L2070" s="8">
        <f>_xlfn.IFNA(INDEX('HS Codes'!$D$2:$K4624,MATCH($B2070,'HS Codes'!$A$2:$A4624,0),MATCH(L$1,'HS Codes'!$D$1:$K$1,0)),"")</f>
        <v>61123100</v>
      </c>
      <c r="M2070" s="8">
        <f>_xlfn.IFNA(INDEX('HS Codes'!$C$2:$C4624,MATCH($B2070,'HS Codes'!$A$2:$A4624,0)),"")</f>
        <v>0</v>
      </c>
      <c r="N2070" s="9"/>
      <c r="O2070" s="9"/>
      <c r="P2070" s="9"/>
      <c r="Q2070" s="9"/>
    </row>
    <row r="2071" spans="1:17" ht="15.75" customHeight="1">
      <c r="A2071" s="7" t="s">
        <v>2364</v>
      </c>
      <c r="B2071" s="7" t="s">
        <v>156</v>
      </c>
      <c r="C2071" s="7"/>
      <c r="D2071" s="7" t="s">
        <v>157</v>
      </c>
      <c r="E2071" s="7" t="s">
        <v>1049</v>
      </c>
      <c r="F2071" s="8" t="str">
        <f>_xlfn.IFNA(INDEX('HS Codes'!$D$2:$K4625,MATCH($B2071,'HS Codes'!$A$2:$A4625,0),MATCH(F$1,'HS Codes'!$D$1:$K$1,0)),"")</f>
        <v>6112.31.00.10</v>
      </c>
      <c r="G2071" s="8">
        <f>_xlfn.IFNA(INDEX('HS Codes'!$D$2:$K4625,MATCH($B2071,'HS Codes'!$A$2:$A4625,0),MATCH(G$1,'HS Codes'!$D$1:$K$1,0)),"")</f>
        <v>6112311000</v>
      </c>
      <c r="H2071" s="8">
        <f>_xlfn.IFNA(INDEX('HS Codes'!$D$2:$K4625,MATCH($B2071,'HS Codes'!$A$2:$A4625,0),MATCH(H$1,'HS Codes'!$D$1:$K$1,0)),"")</f>
        <v>6112311000</v>
      </c>
      <c r="I2071" s="8">
        <f>_xlfn.IFNA(INDEX('HS Codes'!$D$2:$K4625,MATCH($B2071,'HS Codes'!$A$2:$A4625,0),MATCH(I$1,'HS Codes'!$D$1:$K$1,0)),"")</f>
        <v>61123110</v>
      </c>
      <c r="J2071" s="8">
        <f>_xlfn.IFNA(INDEX('HS Codes'!$D$2:$K4625,MATCH($B2071,'HS Codes'!$A$2:$A4625,0),MATCH(J$1,'HS Codes'!$D$1:$K$1,0)),"")</f>
        <v>0</v>
      </c>
      <c r="K2071" s="8" t="str">
        <f>_xlfn.IFNA(INDEX('HS Codes'!$D$2:$K4625,MATCH($B2071,'HS Codes'!$A$2:$A4625,0),MATCH(K$1,'HS Codes'!$D$1:$K$1,0)),"")</f>
        <v>6112.39.00</v>
      </c>
      <c r="L2071" s="8">
        <f>_xlfn.IFNA(INDEX('HS Codes'!$D$2:$K4625,MATCH($B2071,'HS Codes'!$A$2:$A4625,0),MATCH(L$1,'HS Codes'!$D$1:$K$1,0)),"")</f>
        <v>61123100</v>
      </c>
      <c r="M2071" s="8">
        <f>_xlfn.IFNA(INDEX('HS Codes'!$C$2:$C4625,MATCH($B2071,'HS Codes'!$A$2:$A4625,0)),"")</f>
        <v>0</v>
      </c>
      <c r="N2071" s="9"/>
      <c r="O2071" s="9"/>
      <c r="P2071" s="9"/>
      <c r="Q2071" s="9"/>
    </row>
    <row r="2072" spans="1:17" ht="15.75" customHeight="1">
      <c r="A2072" s="7" t="s">
        <v>2365</v>
      </c>
      <c r="B2072" s="7" t="s">
        <v>156</v>
      </c>
      <c r="C2072" s="7"/>
      <c r="D2072" s="7" t="s">
        <v>157</v>
      </c>
      <c r="E2072" s="7" t="s">
        <v>1049</v>
      </c>
      <c r="F2072" s="8" t="str">
        <f>_xlfn.IFNA(INDEX('HS Codes'!$D$2:$K4626,MATCH($B2072,'HS Codes'!$A$2:$A4626,0),MATCH(F$1,'HS Codes'!$D$1:$K$1,0)),"")</f>
        <v>6112.31.00.10</v>
      </c>
      <c r="G2072" s="8">
        <f>_xlfn.IFNA(INDEX('HS Codes'!$D$2:$K4626,MATCH($B2072,'HS Codes'!$A$2:$A4626,0),MATCH(G$1,'HS Codes'!$D$1:$K$1,0)),"")</f>
        <v>6112311000</v>
      </c>
      <c r="H2072" s="8">
        <f>_xlfn.IFNA(INDEX('HS Codes'!$D$2:$K4626,MATCH($B2072,'HS Codes'!$A$2:$A4626,0),MATCH(H$1,'HS Codes'!$D$1:$K$1,0)),"")</f>
        <v>6112311000</v>
      </c>
      <c r="I2072" s="8">
        <f>_xlfn.IFNA(INDEX('HS Codes'!$D$2:$K4626,MATCH($B2072,'HS Codes'!$A$2:$A4626,0),MATCH(I$1,'HS Codes'!$D$1:$K$1,0)),"")</f>
        <v>61123110</v>
      </c>
      <c r="J2072" s="8">
        <f>_xlfn.IFNA(INDEX('HS Codes'!$D$2:$K4626,MATCH($B2072,'HS Codes'!$A$2:$A4626,0),MATCH(J$1,'HS Codes'!$D$1:$K$1,0)),"")</f>
        <v>0</v>
      </c>
      <c r="K2072" s="8" t="str">
        <f>_xlfn.IFNA(INDEX('HS Codes'!$D$2:$K4626,MATCH($B2072,'HS Codes'!$A$2:$A4626,0),MATCH(K$1,'HS Codes'!$D$1:$K$1,0)),"")</f>
        <v>6112.39.00</v>
      </c>
      <c r="L2072" s="8">
        <f>_xlfn.IFNA(INDEX('HS Codes'!$D$2:$K4626,MATCH($B2072,'HS Codes'!$A$2:$A4626,0),MATCH(L$1,'HS Codes'!$D$1:$K$1,0)),"")</f>
        <v>61123100</v>
      </c>
      <c r="M2072" s="8">
        <f>_xlfn.IFNA(INDEX('HS Codes'!$C$2:$C4626,MATCH($B2072,'HS Codes'!$A$2:$A4626,0)),"")</f>
        <v>0</v>
      </c>
      <c r="N2072" s="9"/>
      <c r="O2072" s="9"/>
      <c r="P2072" s="9"/>
      <c r="Q2072" s="9"/>
    </row>
    <row r="2073" spans="1:17" ht="15.75" customHeight="1">
      <c r="A2073" s="7" t="s">
        <v>2366</v>
      </c>
      <c r="B2073" s="7" t="s">
        <v>156</v>
      </c>
      <c r="C2073" s="7"/>
      <c r="D2073" s="7" t="s">
        <v>157</v>
      </c>
      <c r="E2073" s="7" t="s">
        <v>1049</v>
      </c>
      <c r="F2073" s="8" t="str">
        <f>_xlfn.IFNA(INDEX('HS Codes'!$D$2:$K4627,MATCH($B2073,'HS Codes'!$A$2:$A4627,0),MATCH(F$1,'HS Codes'!$D$1:$K$1,0)),"")</f>
        <v>6112.31.00.10</v>
      </c>
      <c r="G2073" s="8">
        <f>_xlfn.IFNA(INDEX('HS Codes'!$D$2:$K4627,MATCH($B2073,'HS Codes'!$A$2:$A4627,0),MATCH(G$1,'HS Codes'!$D$1:$K$1,0)),"")</f>
        <v>6112311000</v>
      </c>
      <c r="H2073" s="8">
        <f>_xlfn.IFNA(INDEX('HS Codes'!$D$2:$K4627,MATCH($B2073,'HS Codes'!$A$2:$A4627,0),MATCH(H$1,'HS Codes'!$D$1:$K$1,0)),"")</f>
        <v>6112311000</v>
      </c>
      <c r="I2073" s="8">
        <f>_xlfn.IFNA(INDEX('HS Codes'!$D$2:$K4627,MATCH($B2073,'HS Codes'!$A$2:$A4627,0),MATCH(I$1,'HS Codes'!$D$1:$K$1,0)),"")</f>
        <v>61123110</v>
      </c>
      <c r="J2073" s="8">
        <f>_xlfn.IFNA(INDEX('HS Codes'!$D$2:$K4627,MATCH($B2073,'HS Codes'!$A$2:$A4627,0),MATCH(J$1,'HS Codes'!$D$1:$K$1,0)),"")</f>
        <v>0</v>
      </c>
      <c r="K2073" s="8" t="str">
        <f>_xlfn.IFNA(INDEX('HS Codes'!$D$2:$K4627,MATCH($B2073,'HS Codes'!$A$2:$A4627,0),MATCH(K$1,'HS Codes'!$D$1:$K$1,0)),"")</f>
        <v>6112.39.00</v>
      </c>
      <c r="L2073" s="8">
        <f>_xlfn.IFNA(INDEX('HS Codes'!$D$2:$K4627,MATCH($B2073,'HS Codes'!$A$2:$A4627,0),MATCH(L$1,'HS Codes'!$D$1:$K$1,0)),"")</f>
        <v>61123100</v>
      </c>
      <c r="M2073" s="8">
        <f>_xlfn.IFNA(INDEX('HS Codes'!$C$2:$C4627,MATCH($B2073,'HS Codes'!$A$2:$A4627,0)),"")</f>
        <v>0</v>
      </c>
      <c r="N2073" s="9"/>
      <c r="O2073" s="9"/>
      <c r="P2073" s="9"/>
      <c r="Q2073" s="9"/>
    </row>
    <row r="2074" spans="1:17" ht="15.75" customHeight="1">
      <c r="A2074" s="7" t="s">
        <v>2367</v>
      </c>
      <c r="B2074" s="7" t="s">
        <v>156</v>
      </c>
      <c r="C2074" s="7"/>
      <c r="D2074" s="7" t="s">
        <v>157</v>
      </c>
      <c r="E2074" s="7" t="s">
        <v>1049</v>
      </c>
      <c r="F2074" s="8" t="str">
        <f>_xlfn.IFNA(INDEX('HS Codes'!$D$2:$K4628,MATCH($B2074,'HS Codes'!$A$2:$A4628,0),MATCH(F$1,'HS Codes'!$D$1:$K$1,0)),"")</f>
        <v>6112.31.00.10</v>
      </c>
      <c r="G2074" s="8">
        <f>_xlfn.IFNA(INDEX('HS Codes'!$D$2:$K4628,MATCH($B2074,'HS Codes'!$A$2:$A4628,0),MATCH(G$1,'HS Codes'!$D$1:$K$1,0)),"")</f>
        <v>6112311000</v>
      </c>
      <c r="H2074" s="8">
        <f>_xlfn.IFNA(INDEX('HS Codes'!$D$2:$K4628,MATCH($B2074,'HS Codes'!$A$2:$A4628,0),MATCH(H$1,'HS Codes'!$D$1:$K$1,0)),"")</f>
        <v>6112311000</v>
      </c>
      <c r="I2074" s="8">
        <f>_xlfn.IFNA(INDEX('HS Codes'!$D$2:$K4628,MATCH($B2074,'HS Codes'!$A$2:$A4628,0),MATCH(I$1,'HS Codes'!$D$1:$K$1,0)),"")</f>
        <v>61123110</v>
      </c>
      <c r="J2074" s="8">
        <f>_xlfn.IFNA(INDEX('HS Codes'!$D$2:$K4628,MATCH($B2074,'HS Codes'!$A$2:$A4628,0),MATCH(J$1,'HS Codes'!$D$1:$K$1,0)),"")</f>
        <v>0</v>
      </c>
      <c r="K2074" s="8" t="str">
        <f>_xlfn.IFNA(INDEX('HS Codes'!$D$2:$K4628,MATCH($B2074,'HS Codes'!$A$2:$A4628,0),MATCH(K$1,'HS Codes'!$D$1:$K$1,0)),"")</f>
        <v>6112.39.00</v>
      </c>
      <c r="L2074" s="8">
        <f>_xlfn.IFNA(INDEX('HS Codes'!$D$2:$K4628,MATCH($B2074,'HS Codes'!$A$2:$A4628,0),MATCH(L$1,'HS Codes'!$D$1:$K$1,0)),"")</f>
        <v>61123100</v>
      </c>
      <c r="M2074" s="8">
        <f>_xlfn.IFNA(INDEX('HS Codes'!$C$2:$C4628,MATCH($B2074,'HS Codes'!$A$2:$A4628,0)),"")</f>
        <v>0</v>
      </c>
      <c r="N2074" s="9"/>
      <c r="O2074" s="9"/>
      <c r="P2074" s="9"/>
      <c r="Q2074" s="9"/>
    </row>
    <row r="2075" spans="1:17" ht="15.75" customHeight="1">
      <c r="A2075" s="7" t="s">
        <v>2368</v>
      </c>
      <c r="B2075" s="7" t="s">
        <v>156</v>
      </c>
      <c r="C2075" s="7"/>
      <c r="D2075" s="7" t="s">
        <v>157</v>
      </c>
      <c r="E2075" s="7" t="s">
        <v>1049</v>
      </c>
      <c r="F2075" s="8" t="str">
        <f>_xlfn.IFNA(INDEX('HS Codes'!$D$2:$K4629,MATCH($B2075,'HS Codes'!$A$2:$A4629,0),MATCH(F$1,'HS Codes'!$D$1:$K$1,0)),"")</f>
        <v>6112.31.00.10</v>
      </c>
      <c r="G2075" s="8">
        <f>_xlfn.IFNA(INDEX('HS Codes'!$D$2:$K4629,MATCH($B2075,'HS Codes'!$A$2:$A4629,0),MATCH(G$1,'HS Codes'!$D$1:$K$1,0)),"")</f>
        <v>6112311000</v>
      </c>
      <c r="H2075" s="8">
        <f>_xlfn.IFNA(INDEX('HS Codes'!$D$2:$K4629,MATCH($B2075,'HS Codes'!$A$2:$A4629,0),MATCH(H$1,'HS Codes'!$D$1:$K$1,0)),"")</f>
        <v>6112311000</v>
      </c>
      <c r="I2075" s="8">
        <f>_xlfn.IFNA(INDEX('HS Codes'!$D$2:$K4629,MATCH($B2075,'HS Codes'!$A$2:$A4629,0),MATCH(I$1,'HS Codes'!$D$1:$K$1,0)),"")</f>
        <v>61123110</v>
      </c>
      <c r="J2075" s="8">
        <f>_xlfn.IFNA(INDEX('HS Codes'!$D$2:$K4629,MATCH($B2075,'HS Codes'!$A$2:$A4629,0),MATCH(J$1,'HS Codes'!$D$1:$K$1,0)),"")</f>
        <v>0</v>
      </c>
      <c r="K2075" s="8" t="str">
        <f>_xlfn.IFNA(INDEX('HS Codes'!$D$2:$K4629,MATCH($B2075,'HS Codes'!$A$2:$A4629,0),MATCH(K$1,'HS Codes'!$D$1:$K$1,0)),"")</f>
        <v>6112.39.00</v>
      </c>
      <c r="L2075" s="8">
        <f>_xlfn.IFNA(INDEX('HS Codes'!$D$2:$K4629,MATCH($B2075,'HS Codes'!$A$2:$A4629,0),MATCH(L$1,'HS Codes'!$D$1:$K$1,0)),"")</f>
        <v>61123100</v>
      </c>
      <c r="M2075" s="8">
        <f>_xlfn.IFNA(INDEX('HS Codes'!$C$2:$C4629,MATCH($B2075,'HS Codes'!$A$2:$A4629,0)),"")</f>
        <v>0</v>
      </c>
      <c r="N2075" s="9"/>
      <c r="O2075" s="9"/>
      <c r="P2075" s="9"/>
      <c r="Q2075" s="9"/>
    </row>
    <row r="2076" spans="1:17" ht="15.75" customHeight="1">
      <c r="A2076" s="7" t="s">
        <v>2369</v>
      </c>
      <c r="B2076" s="7" t="s">
        <v>156</v>
      </c>
      <c r="C2076" s="7"/>
      <c r="D2076" s="7" t="s">
        <v>157</v>
      </c>
      <c r="E2076" s="7" t="s">
        <v>1049</v>
      </c>
      <c r="F2076" s="8" t="str">
        <f>_xlfn.IFNA(INDEX('HS Codes'!$D$2:$K4630,MATCH($B2076,'HS Codes'!$A$2:$A4630,0),MATCH(F$1,'HS Codes'!$D$1:$K$1,0)),"")</f>
        <v>6112.31.00.10</v>
      </c>
      <c r="G2076" s="8">
        <f>_xlfn.IFNA(INDEX('HS Codes'!$D$2:$K4630,MATCH($B2076,'HS Codes'!$A$2:$A4630,0),MATCH(G$1,'HS Codes'!$D$1:$K$1,0)),"")</f>
        <v>6112311000</v>
      </c>
      <c r="H2076" s="8">
        <f>_xlfn.IFNA(INDEX('HS Codes'!$D$2:$K4630,MATCH($B2076,'HS Codes'!$A$2:$A4630,0),MATCH(H$1,'HS Codes'!$D$1:$K$1,0)),"")</f>
        <v>6112311000</v>
      </c>
      <c r="I2076" s="8">
        <f>_xlfn.IFNA(INDEX('HS Codes'!$D$2:$K4630,MATCH($B2076,'HS Codes'!$A$2:$A4630,0),MATCH(I$1,'HS Codes'!$D$1:$K$1,0)),"")</f>
        <v>61123110</v>
      </c>
      <c r="J2076" s="8">
        <f>_xlfn.IFNA(INDEX('HS Codes'!$D$2:$K4630,MATCH($B2076,'HS Codes'!$A$2:$A4630,0),MATCH(J$1,'HS Codes'!$D$1:$K$1,0)),"")</f>
        <v>0</v>
      </c>
      <c r="K2076" s="8" t="str">
        <f>_xlfn.IFNA(INDEX('HS Codes'!$D$2:$K4630,MATCH($B2076,'HS Codes'!$A$2:$A4630,0),MATCH(K$1,'HS Codes'!$D$1:$K$1,0)),"")</f>
        <v>6112.39.00</v>
      </c>
      <c r="L2076" s="8">
        <f>_xlfn.IFNA(INDEX('HS Codes'!$D$2:$K4630,MATCH($B2076,'HS Codes'!$A$2:$A4630,0),MATCH(L$1,'HS Codes'!$D$1:$K$1,0)),"")</f>
        <v>61123100</v>
      </c>
      <c r="M2076" s="8">
        <f>_xlfn.IFNA(INDEX('HS Codes'!$C$2:$C4630,MATCH($B2076,'HS Codes'!$A$2:$A4630,0)),"")</f>
        <v>0</v>
      </c>
      <c r="N2076" s="9"/>
      <c r="O2076" s="9"/>
      <c r="P2076" s="9"/>
      <c r="Q2076" s="9"/>
    </row>
    <row r="2077" spans="1:17" ht="15.75" customHeight="1">
      <c r="A2077" s="7" t="s">
        <v>2370</v>
      </c>
      <c r="B2077" s="7" t="s">
        <v>164</v>
      </c>
      <c r="C2077" s="7" t="s">
        <v>278</v>
      </c>
      <c r="D2077" s="7" t="s">
        <v>165</v>
      </c>
      <c r="E2077" s="7" t="s">
        <v>348</v>
      </c>
      <c r="F2077" s="8" t="str">
        <f>_xlfn.IFNA(INDEX('HS Codes'!$D$2:$K4631,MATCH($B2077,'HS Codes'!$A$2:$A4631,0),MATCH(F$1,'HS Codes'!$D$1:$K$1,0)),"")</f>
        <v>6302.93.2000</v>
      </c>
      <c r="G2077" s="8">
        <f>_xlfn.IFNA(INDEX('HS Codes'!$D$2:$K4631,MATCH($B2077,'HS Codes'!$A$2:$A4631,0),MATCH(G$1,'HS Codes'!$D$1:$K$1,0)),"")</f>
        <v>6302600090</v>
      </c>
      <c r="H2077" s="8" t="str">
        <f>_xlfn.IFNA(INDEX('HS Codes'!$D$2:$K4631,MATCH($B2077,'HS Codes'!$A$2:$A4631,0),MATCH(H$1,'HS Codes'!$D$1:$K$1,0)),"")</f>
        <v>6302.93.00.00</v>
      </c>
      <c r="I2077" s="8">
        <f>_xlfn.IFNA(INDEX('HS Codes'!$D$2:$K4631,MATCH($B2077,'HS Codes'!$A$2:$A4631,0),MATCH(I$1,'HS Codes'!$D$1:$K$1,0)),"")</f>
        <v>63029390</v>
      </c>
      <c r="J2077" s="8">
        <f>_xlfn.IFNA(INDEX('HS Codes'!$D$2:$K4631,MATCH($B2077,'HS Codes'!$A$2:$A4631,0),MATCH(J$1,'HS Codes'!$D$1:$K$1,0)),"")</f>
        <v>0</v>
      </c>
      <c r="K2077" s="8" t="str">
        <f>_xlfn.IFNA(INDEX('HS Codes'!$D$2:$K4631,MATCH($B2077,'HS Codes'!$A$2:$A4631,0),MATCH(K$1,'HS Codes'!$D$1:$K$1,0)),"")</f>
        <v>6302.39.00</v>
      </c>
      <c r="L2077" s="8">
        <f>_xlfn.IFNA(INDEX('HS Codes'!$D$2:$K4631,MATCH($B2077,'HS Codes'!$A$2:$A4631,0),MATCH(L$1,'HS Codes'!$D$1:$K$1,0)),"")</f>
        <v>63029120</v>
      </c>
      <c r="M2077" s="8" t="str">
        <f>_xlfn.IFNA(INDEX('HS Codes'!$C$2:$C4631,MATCH($B2077,'HS Codes'!$A$2:$A4631,0)),"")</f>
        <v>Beach Towel - Toilet Linen 100% recycled 220 GSM/83% polyester/17% polyamide includes cotton on the packing pouch drawstring</v>
      </c>
      <c r="N2077" s="9"/>
      <c r="O2077" s="9"/>
      <c r="P2077" s="9"/>
      <c r="Q2077" s="9"/>
    </row>
    <row r="2078" spans="1:17" ht="15.75" customHeight="1">
      <c r="A2078" s="7" t="s">
        <v>2371</v>
      </c>
      <c r="B2078" s="7" t="s">
        <v>164</v>
      </c>
      <c r="C2078" s="7" t="s">
        <v>278</v>
      </c>
      <c r="D2078" s="7" t="s">
        <v>165</v>
      </c>
      <c r="E2078" s="7" t="s">
        <v>348</v>
      </c>
      <c r="F2078" s="8" t="str">
        <f>_xlfn.IFNA(INDEX('HS Codes'!$D$2:$K4632,MATCH($B2078,'HS Codes'!$A$2:$A4632,0),MATCH(F$1,'HS Codes'!$D$1:$K$1,0)),"")</f>
        <v>6302.93.2000</v>
      </c>
      <c r="G2078" s="8">
        <f>_xlfn.IFNA(INDEX('HS Codes'!$D$2:$K4632,MATCH($B2078,'HS Codes'!$A$2:$A4632,0),MATCH(G$1,'HS Codes'!$D$1:$K$1,0)),"")</f>
        <v>6302600090</v>
      </c>
      <c r="H2078" s="8" t="str">
        <f>_xlfn.IFNA(INDEX('HS Codes'!$D$2:$K4632,MATCH($B2078,'HS Codes'!$A$2:$A4632,0),MATCH(H$1,'HS Codes'!$D$1:$K$1,0)),"")</f>
        <v>6302.93.00.00</v>
      </c>
      <c r="I2078" s="8">
        <f>_xlfn.IFNA(INDEX('HS Codes'!$D$2:$K4632,MATCH($B2078,'HS Codes'!$A$2:$A4632,0),MATCH(I$1,'HS Codes'!$D$1:$K$1,0)),"")</f>
        <v>63029390</v>
      </c>
      <c r="J2078" s="8">
        <f>_xlfn.IFNA(INDEX('HS Codes'!$D$2:$K4632,MATCH($B2078,'HS Codes'!$A$2:$A4632,0),MATCH(J$1,'HS Codes'!$D$1:$K$1,0)),"")</f>
        <v>0</v>
      </c>
      <c r="K2078" s="8" t="str">
        <f>_xlfn.IFNA(INDEX('HS Codes'!$D$2:$K4632,MATCH($B2078,'HS Codes'!$A$2:$A4632,0),MATCH(K$1,'HS Codes'!$D$1:$K$1,0)),"")</f>
        <v>6302.39.00</v>
      </c>
      <c r="L2078" s="8">
        <f>_xlfn.IFNA(INDEX('HS Codes'!$D$2:$K4632,MATCH($B2078,'HS Codes'!$A$2:$A4632,0),MATCH(L$1,'HS Codes'!$D$1:$K$1,0)),"")</f>
        <v>63029120</v>
      </c>
      <c r="M2078" s="8" t="str">
        <f>_xlfn.IFNA(INDEX('HS Codes'!$C$2:$C4632,MATCH($B2078,'HS Codes'!$A$2:$A4632,0)),"")</f>
        <v>Beach Towel - Toilet Linen 100% recycled 220 GSM/83% polyester/17% polyamide includes cotton on the packing pouch drawstring</v>
      </c>
      <c r="N2078" s="9"/>
      <c r="O2078" s="9"/>
      <c r="P2078" s="9"/>
      <c r="Q2078" s="9"/>
    </row>
    <row r="2079" spans="1:17" ht="15.75" customHeight="1">
      <c r="A2079" s="7" t="s">
        <v>2372</v>
      </c>
      <c r="B2079" s="7" t="s">
        <v>164</v>
      </c>
      <c r="C2079" s="7" t="s">
        <v>278</v>
      </c>
      <c r="D2079" s="7" t="s">
        <v>165</v>
      </c>
      <c r="E2079" s="7" t="s">
        <v>348</v>
      </c>
      <c r="F2079" s="8" t="str">
        <f>_xlfn.IFNA(INDEX('HS Codes'!$D$2:$K4633,MATCH($B2079,'HS Codes'!$A$2:$A4633,0),MATCH(F$1,'HS Codes'!$D$1:$K$1,0)),"")</f>
        <v>6302.93.2000</v>
      </c>
      <c r="G2079" s="8">
        <f>_xlfn.IFNA(INDEX('HS Codes'!$D$2:$K4633,MATCH($B2079,'HS Codes'!$A$2:$A4633,0),MATCH(G$1,'HS Codes'!$D$1:$K$1,0)),"")</f>
        <v>6302600090</v>
      </c>
      <c r="H2079" s="8" t="str">
        <f>_xlfn.IFNA(INDEX('HS Codes'!$D$2:$K4633,MATCH($B2079,'HS Codes'!$A$2:$A4633,0),MATCH(H$1,'HS Codes'!$D$1:$K$1,0)),"")</f>
        <v>6302.93.00.00</v>
      </c>
      <c r="I2079" s="8">
        <f>_xlfn.IFNA(INDEX('HS Codes'!$D$2:$K4633,MATCH($B2079,'HS Codes'!$A$2:$A4633,0),MATCH(I$1,'HS Codes'!$D$1:$K$1,0)),"")</f>
        <v>63029390</v>
      </c>
      <c r="J2079" s="8">
        <f>_xlfn.IFNA(INDEX('HS Codes'!$D$2:$K4633,MATCH($B2079,'HS Codes'!$A$2:$A4633,0),MATCH(J$1,'HS Codes'!$D$1:$K$1,0)),"")</f>
        <v>0</v>
      </c>
      <c r="K2079" s="8" t="str">
        <f>_xlfn.IFNA(INDEX('HS Codes'!$D$2:$K4633,MATCH($B2079,'HS Codes'!$A$2:$A4633,0),MATCH(K$1,'HS Codes'!$D$1:$K$1,0)),"")</f>
        <v>6302.39.00</v>
      </c>
      <c r="L2079" s="8">
        <f>_xlfn.IFNA(INDEX('HS Codes'!$D$2:$K4633,MATCH($B2079,'HS Codes'!$A$2:$A4633,0),MATCH(L$1,'HS Codes'!$D$1:$K$1,0)),"")</f>
        <v>63029120</v>
      </c>
      <c r="M2079" s="8" t="str">
        <f>_xlfn.IFNA(INDEX('HS Codes'!$C$2:$C4633,MATCH($B2079,'HS Codes'!$A$2:$A4633,0)),"")</f>
        <v>Beach Towel - Toilet Linen 100% recycled 220 GSM/83% polyester/17% polyamide includes cotton on the packing pouch drawstring</v>
      </c>
      <c r="N2079" s="9"/>
      <c r="O2079" s="9"/>
      <c r="P2079" s="9"/>
      <c r="Q2079" s="9"/>
    </row>
    <row r="2080" spans="1:17" ht="15.75" customHeight="1">
      <c r="A2080" s="7" t="s">
        <v>2373</v>
      </c>
      <c r="B2080" s="7" t="s">
        <v>164</v>
      </c>
      <c r="C2080" s="7" t="s">
        <v>278</v>
      </c>
      <c r="D2080" s="7" t="s">
        <v>165</v>
      </c>
      <c r="E2080" s="7" t="s">
        <v>348</v>
      </c>
      <c r="F2080" s="8" t="str">
        <f>_xlfn.IFNA(INDEX('HS Codes'!$D$2:$K4634,MATCH($B2080,'HS Codes'!$A$2:$A4634,0),MATCH(F$1,'HS Codes'!$D$1:$K$1,0)),"")</f>
        <v>6302.93.2000</v>
      </c>
      <c r="G2080" s="8">
        <f>_xlfn.IFNA(INDEX('HS Codes'!$D$2:$K4634,MATCH($B2080,'HS Codes'!$A$2:$A4634,0),MATCH(G$1,'HS Codes'!$D$1:$K$1,0)),"")</f>
        <v>6302600090</v>
      </c>
      <c r="H2080" s="8" t="str">
        <f>_xlfn.IFNA(INDEX('HS Codes'!$D$2:$K4634,MATCH($B2080,'HS Codes'!$A$2:$A4634,0),MATCH(H$1,'HS Codes'!$D$1:$K$1,0)),"")</f>
        <v>6302.93.00.00</v>
      </c>
      <c r="I2080" s="8">
        <f>_xlfn.IFNA(INDEX('HS Codes'!$D$2:$K4634,MATCH($B2080,'HS Codes'!$A$2:$A4634,0),MATCH(I$1,'HS Codes'!$D$1:$K$1,0)),"")</f>
        <v>63029390</v>
      </c>
      <c r="J2080" s="8">
        <f>_xlfn.IFNA(INDEX('HS Codes'!$D$2:$K4634,MATCH($B2080,'HS Codes'!$A$2:$A4634,0),MATCH(J$1,'HS Codes'!$D$1:$K$1,0)),"")</f>
        <v>0</v>
      </c>
      <c r="K2080" s="8" t="str">
        <f>_xlfn.IFNA(INDEX('HS Codes'!$D$2:$K4634,MATCH($B2080,'HS Codes'!$A$2:$A4634,0),MATCH(K$1,'HS Codes'!$D$1:$K$1,0)),"")</f>
        <v>6302.39.00</v>
      </c>
      <c r="L2080" s="8">
        <f>_xlfn.IFNA(INDEX('HS Codes'!$D$2:$K4634,MATCH($B2080,'HS Codes'!$A$2:$A4634,0),MATCH(L$1,'HS Codes'!$D$1:$K$1,0)),"")</f>
        <v>63029120</v>
      </c>
      <c r="M2080" s="8" t="str">
        <f>_xlfn.IFNA(INDEX('HS Codes'!$C$2:$C4634,MATCH($B2080,'HS Codes'!$A$2:$A4634,0)),"")</f>
        <v>Beach Towel - Toilet Linen 100% recycled 220 GSM/83% polyester/17% polyamide includes cotton on the packing pouch drawstring</v>
      </c>
      <c r="N2080" s="9"/>
      <c r="O2080" s="9"/>
      <c r="P2080" s="9"/>
      <c r="Q2080" s="9"/>
    </row>
    <row r="2081" spans="1:17" ht="15.75" customHeight="1">
      <c r="A2081" s="7" t="s">
        <v>2374</v>
      </c>
      <c r="B2081" s="7" t="s">
        <v>164</v>
      </c>
      <c r="C2081" s="7" t="s">
        <v>278</v>
      </c>
      <c r="D2081" s="7" t="s">
        <v>165</v>
      </c>
      <c r="E2081" s="7" t="s">
        <v>348</v>
      </c>
      <c r="F2081" s="8" t="str">
        <f>_xlfn.IFNA(INDEX('HS Codes'!$D$2:$K4635,MATCH($B2081,'HS Codes'!$A$2:$A4635,0),MATCH(F$1,'HS Codes'!$D$1:$K$1,0)),"")</f>
        <v>6302.93.2000</v>
      </c>
      <c r="G2081" s="8">
        <f>_xlfn.IFNA(INDEX('HS Codes'!$D$2:$K4635,MATCH($B2081,'HS Codes'!$A$2:$A4635,0),MATCH(G$1,'HS Codes'!$D$1:$K$1,0)),"")</f>
        <v>6302600090</v>
      </c>
      <c r="H2081" s="8" t="str">
        <f>_xlfn.IFNA(INDEX('HS Codes'!$D$2:$K4635,MATCH($B2081,'HS Codes'!$A$2:$A4635,0),MATCH(H$1,'HS Codes'!$D$1:$K$1,0)),"")</f>
        <v>6302.93.00.00</v>
      </c>
      <c r="I2081" s="8">
        <f>_xlfn.IFNA(INDEX('HS Codes'!$D$2:$K4635,MATCH($B2081,'HS Codes'!$A$2:$A4635,0),MATCH(I$1,'HS Codes'!$D$1:$K$1,0)),"")</f>
        <v>63029390</v>
      </c>
      <c r="J2081" s="8">
        <f>_xlfn.IFNA(INDEX('HS Codes'!$D$2:$K4635,MATCH($B2081,'HS Codes'!$A$2:$A4635,0),MATCH(J$1,'HS Codes'!$D$1:$K$1,0)),"")</f>
        <v>0</v>
      </c>
      <c r="K2081" s="8" t="str">
        <f>_xlfn.IFNA(INDEX('HS Codes'!$D$2:$K4635,MATCH($B2081,'HS Codes'!$A$2:$A4635,0),MATCH(K$1,'HS Codes'!$D$1:$K$1,0)),"")</f>
        <v>6302.39.00</v>
      </c>
      <c r="L2081" s="8">
        <f>_xlfn.IFNA(INDEX('HS Codes'!$D$2:$K4635,MATCH($B2081,'HS Codes'!$A$2:$A4635,0),MATCH(L$1,'HS Codes'!$D$1:$K$1,0)),"")</f>
        <v>63029120</v>
      </c>
      <c r="M2081" s="8" t="str">
        <f>_xlfn.IFNA(INDEX('HS Codes'!$C$2:$C4635,MATCH($B2081,'HS Codes'!$A$2:$A4635,0)),"")</f>
        <v>Beach Towel - Toilet Linen 100% recycled 220 GSM/83% polyester/17% polyamide includes cotton on the packing pouch drawstring</v>
      </c>
      <c r="N2081" s="9"/>
      <c r="O2081" s="9"/>
      <c r="P2081" s="9"/>
      <c r="Q2081" s="9"/>
    </row>
    <row r="2082" spans="1:17" ht="15.75" customHeight="1">
      <c r="A2082" s="7" t="s">
        <v>2375</v>
      </c>
      <c r="B2082" s="7" t="s">
        <v>164</v>
      </c>
      <c r="C2082" s="7" t="s">
        <v>278</v>
      </c>
      <c r="D2082" s="7" t="s">
        <v>165</v>
      </c>
      <c r="E2082" s="7" t="s">
        <v>348</v>
      </c>
      <c r="F2082" s="8" t="str">
        <f>_xlfn.IFNA(INDEX('HS Codes'!$D$2:$K4636,MATCH($B2082,'HS Codes'!$A$2:$A4636,0),MATCH(F$1,'HS Codes'!$D$1:$K$1,0)),"")</f>
        <v>6302.93.2000</v>
      </c>
      <c r="G2082" s="8">
        <f>_xlfn.IFNA(INDEX('HS Codes'!$D$2:$K4636,MATCH($B2082,'HS Codes'!$A$2:$A4636,0),MATCH(G$1,'HS Codes'!$D$1:$K$1,0)),"")</f>
        <v>6302600090</v>
      </c>
      <c r="H2082" s="8" t="str">
        <f>_xlfn.IFNA(INDEX('HS Codes'!$D$2:$K4636,MATCH($B2082,'HS Codes'!$A$2:$A4636,0),MATCH(H$1,'HS Codes'!$D$1:$K$1,0)),"")</f>
        <v>6302.93.00.00</v>
      </c>
      <c r="I2082" s="8">
        <f>_xlfn.IFNA(INDEX('HS Codes'!$D$2:$K4636,MATCH($B2082,'HS Codes'!$A$2:$A4636,0),MATCH(I$1,'HS Codes'!$D$1:$K$1,0)),"")</f>
        <v>63029390</v>
      </c>
      <c r="J2082" s="8">
        <f>_xlfn.IFNA(INDEX('HS Codes'!$D$2:$K4636,MATCH($B2082,'HS Codes'!$A$2:$A4636,0),MATCH(J$1,'HS Codes'!$D$1:$K$1,0)),"")</f>
        <v>0</v>
      </c>
      <c r="K2082" s="8" t="str">
        <f>_xlfn.IFNA(INDEX('HS Codes'!$D$2:$K4636,MATCH($B2082,'HS Codes'!$A$2:$A4636,0),MATCH(K$1,'HS Codes'!$D$1:$K$1,0)),"")</f>
        <v>6302.39.00</v>
      </c>
      <c r="L2082" s="8">
        <f>_xlfn.IFNA(INDEX('HS Codes'!$D$2:$K4636,MATCH($B2082,'HS Codes'!$A$2:$A4636,0),MATCH(L$1,'HS Codes'!$D$1:$K$1,0)),"")</f>
        <v>63029120</v>
      </c>
      <c r="M2082" s="8" t="str">
        <f>_xlfn.IFNA(INDEX('HS Codes'!$C$2:$C4636,MATCH($B2082,'HS Codes'!$A$2:$A4636,0)),"")</f>
        <v>Beach Towel - Toilet Linen 100% recycled 220 GSM/83% polyester/17% polyamide includes cotton on the packing pouch drawstring</v>
      </c>
      <c r="N2082" s="9"/>
      <c r="O2082" s="9"/>
      <c r="P2082" s="9"/>
      <c r="Q2082" s="9"/>
    </row>
    <row r="2083" spans="1:17" ht="15.75" customHeight="1">
      <c r="A2083" s="7" t="s">
        <v>2376</v>
      </c>
      <c r="B2083" s="7" t="s">
        <v>164</v>
      </c>
      <c r="C2083" s="7" t="s">
        <v>278</v>
      </c>
      <c r="D2083" s="7" t="s">
        <v>165</v>
      </c>
      <c r="E2083" s="7" t="s">
        <v>348</v>
      </c>
      <c r="F2083" s="8" t="str">
        <f>_xlfn.IFNA(INDEX('HS Codes'!$D$2:$K4637,MATCH($B2083,'HS Codes'!$A$2:$A4637,0),MATCH(F$1,'HS Codes'!$D$1:$K$1,0)),"")</f>
        <v>6302.93.2000</v>
      </c>
      <c r="G2083" s="8">
        <f>_xlfn.IFNA(INDEX('HS Codes'!$D$2:$K4637,MATCH($B2083,'HS Codes'!$A$2:$A4637,0),MATCH(G$1,'HS Codes'!$D$1:$K$1,0)),"")</f>
        <v>6302600090</v>
      </c>
      <c r="H2083" s="8" t="str">
        <f>_xlfn.IFNA(INDEX('HS Codes'!$D$2:$K4637,MATCH($B2083,'HS Codes'!$A$2:$A4637,0),MATCH(H$1,'HS Codes'!$D$1:$K$1,0)),"")</f>
        <v>6302.93.00.00</v>
      </c>
      <c r="I2083" s="8">
        <f>_xlfn.IFNA(INDEX('HS Codes'!$D$2:$K4637,MATCH($B2083,'HS Codes'!$A$2:$A4637,0),MATCH(I$1,'HS Codes'!$D$1:$K$1,0)),"")</f>
        <v>63029390</v>
      </c>
      <c r="J2083" s="8">
        <f>_xlfn.IFNA(INDEX('HS Codes'!$D$2:$K4637,MATCH($B2083,'HS Codes'!$A$2:$A4637,0),MATCH(J$1,'HS Codes'!$D$1:$K$1,0)),"")</f>
        <v>0</v>
      </c>
      <c r="K2083" s="8" t="str">
        <f>_xlfn.IFNA(INDEX('HS Codes'!$D$2:$K4637,MATCH($B2083,'HS Codes'!$A$2:$A4637,0),MATCH(K$1,'HS Codes'!$D$1:$K$1,0)),"")</f>
        <v>6302.39.00</v>
      </c>
      <c r="L2083" s="8">
        <f>_xlfn.IFNA(INDEX('HS Codes'!$D$2:$K4637,MATCH($B2083,'HS Codes'!$A$2:$A4637,0),MATCH(L$1,'HS Codes'!$D$1:$K$1,0)),"")</f>
        <v>63029120</v>
      </c>
      <c r="M2083" s="8" t="str">
        <f>_xlfn.IFNA(INDEX('HS Codes'!$C$2:$C4637,MATCH($B2083,'HS Codes'!$A$2:$A4637,0)),"")</f>
        <v>Beach Towel - Toilet Linen 100% recycled 220 GSM/83% polyester/17% polyamide includes cotton on the packing pouch drawstring</v>
      </c>
      <c r="N2083" s="9"/>
      <c r="O2083" s="9"/>
      <c r="P2083" s="9"/>
      <c r="Q2083" s="9"/>
    </row>
    <row r="2084" spans="1:17" ht="15.75" customHeight="1">
      <c r="A2084" s="7" t="s">
        <v>2377</v>
      </c>
      <c r="B2084" s="7" t="s">
        <v>164</v>
      </c>
      <c r="C2084" s="7" t="s">
        <v>278</v>
      </c>
      <c r="D2084" s="7" t="s">
        <v>165</v>
      </c>
      <c r="E2084" s="7" t="s">
        <v>348</v>
      </c>
      <c r="F2084" s="8" t="str">
        <f>_xlfn.IFNA(INDEX('HS Codes'!$D$2:$K4638,MATCH($B2084,'HS Codes'!$A$2:$A4638,0),MATCH(F$1,'HS Codes'!$D$1:$K$1,0)),"")</f>
        <v>6302.93.2000</v>
      </c>
      <c r="G2084" s="8">
        <f>_xlfn.IFNA(INDEX('HS Codes'!$D$2:$K4638,MATCH($B2084,'HS Codes'!$A$2:$A4638,0),MATCH(G$1,'HS Codes'!$D$1:$K$1,0)),"")</f>
        <v>6302600090</v>
      </c>
      <c r="H2084" s="8" t="str">
        <f>_xlfn.IFNA(INDEX('HS Codes'!$D$2:$K4638,MATCH($B2084,'HS Codes'!$A$2:$A4638,0),MATCH(H$1,'HS Codes'!$D$1:$K$1,0)),"")</f>
        <v>6302.93.00.00</v>
      </c>
      <c r="I2084" s="8">
        <f>_xlfn.IFNA(INDEX('HS Codes'!$D$2:$K4638,MATCH($B2084,'HS Codes'!$A$2:$A4638,0),MATCH(I$1,'HS Codes'!$D$1:$K$1,0)),"")</f>
        <v>63029390</v>
      </c>
      <c r="J2084" s="8">
        <f>_xlfn.IFNA(INDEX('HS Codes'!$D$2:$K4638,MATCH($B2084,'HS Codes'!$A$2:$A4638,0),MATCH(J$1,'HS Codes'!$D$1:$K$1,0)),"")</f>
        <v>0</v>
      </c>
      <c r="K2084" s="8" t="str">
        <f>_xlfn.IFNA(INDEX('HS Codes'!$D$2:$K4638,MATCH($B2084,'HS Codes'!$A$2:$A4638,0),MATCH(K$1,'HS Codes'!$D$1:$K$1,0)),"")</f>
        <v>6302.39.00</v>
      </c>
      <c r="L2084" s="8">
        <f>_xlfn.IFNA(INDEX('HS Codes'!$D$2:$K4638,MATCH($B2084,'HS Codes'!$A$2:$A4638,0),MATCH(L$1,'HS Codes'!$D$1:$K$1,0)),"")</f>
        <v>63029120</v>
      </c>
      <c r="M2084" s="8" t="str">
        <f>_xlfn.IFNA(INDEX('HS Codes'!$C$2:$C4638,MATCH($B2084,'HS Codes'!$A$2:$A4638,0)),"")</f>
        <v>Beach Towel - Toilet Linen 100% recycled 220 GSM/83% polyester/17% polyamide includes cotton on the packing pouch drawstring</v>
      </c>
      <c r="N2084" s="9"/>
      <c r="O2084" s="9"/>
      <c r="P2084" s="9"/>
      <c r="Q2084" s="9"/>
    </row>
    <row r="2085" spans="1:17" ht="15.75" customHeight="1">
      <c r="A2085" s="7" t="s">
        <v>2378</v>
      </c>
      <c r="B2085" s="7" t="s">
        <v>164</v>
      </c>
      <c r="C2085" s="7" t="s">
        <v>278</v>
      </c>
      <c r="D2085" s="7" t="s">
        <v>165</v>
      </c>
      <c r="E2085" s="7" t="s">
        <v>348</v>
      </c>
      <c r="F2085" s="8" t="str">
        <f>_xlfn.IFNA(INDEX('HS Codes'!$D$2:$K4639,MATCH($B2085,'HS Codes'!$A$2:$A4639,0),MATCH(F$1,'HS Codes'!$D$1:$K$1,0)),"")</f>
        <v>6302.93.2000</v>
      </c>
      <c r="G2085" s="8">
        <f>_xlfn.IFNA(INDEX('HS Codes'!$D$2:$K4639,MATCH($B2085,'HS Codes'!$A$2:$A4639,0),MATCH(G$1,'HS Codes'!$D$1:$K$1,0)),"")</f>
        <v>6302600090</v>
      </c>
      <c r="H2085" s="8" t="str">
        <f>_xlfn.IFNA(INDEX('HS Codes'!$D$2:$K4639,MATCH($B2085,'HS Codes'!$A$2:$A4639,0),MATCH(H$1,'HS Codes'!$D$1:$K$1,0)),"")</f>
        <v>6302.93.00.00</v>
      </c>
      <c r="I2085" s="8">
        <f>_xlfn.IFNA(INDEX('HS Codes'!$D$2:$K4639,MATCH($B2085,'HS Codes'!$A$2:$A4639,0),MATCH(I$1,'HS Codes'!$D$1:$K$1,0)),"")</f>
        <v>63029390</v>
      </c>
      <c r="J2085" s="8">
        <f>_xlfn.IFNA(INDEX('HS Codes'!$D$2:$K4639,MATCH($B2085,'HS Codes'!$A$2:$A4639,0),MATCH(J$1,'HS Codes'!$D$1:$K$1,0)),"")</f>
        <v>0</v>
      </c>
      <c r="K2085" s="8" t="str">
        <f>_xlfn.IFNA(INDEX('HS Codes'!$D$2:$K4639,MATCH($B2085,'HS Codes'!$A$2:$A4639,0),MATCH(K$1,'HS Codes'!$D$1:$K$1,0)),"")</f>
        <v>6302.39.00</v>
      </c>
      <c r="L2085" s="8">
        <f>_xlfn.IFNA(INDEX('HS Codes'!$D$2:$K4639,MATCH($B2085,'HS Codes'!$A$2:$A4639,0),MATCH(L$1,'HS Codes'!$D$1:$K$1,0)),"")</f>
        <v>63029120</v>
      </c>
      <c r="M2085" s="8" t="str">
        <f>_xlfn.IFNA(INDEX('HS Codes'!$C$2:$C4639,MATCH($B2085,'HS Codes'!$A$2:$A4639,0)),"")</f>
        <v>Beach Towel - Toilet Linen 100% recycled 220 GSM/83% polyester/17% polyamide includes cotton on the packing pouch drawstring</v>
      </c>
      <c r="N2085" s="9"/>
      <c r="O2085" s="9"/>
      <c r="P2085" s="9"/>
      <c r="Q2085" s="9"/>
    </row>
    <row r="2086" spans="1:17" ht="15.75" customHeight="1">
      <c r="A2086" s="7" t="s">
        <v>2379</v>
      </c>
      <c r="B2086" s="7" t="s">
        <v>164</v>
      </c>
      <c r="C2086" s="7" t="s">
        <v>278</v>
      </c>
      <c r="D2086" s="7" t="s">
        <v>165</v>
      </c>
      <c r="E2086" s="7" t="s">
        <v>348</v>
      </c>
      <c r="F2086" s="8" t="str">
        <f>_xlfn.IFNA(INDEX('HS Codes'!$D$2:$K4640,MATCH($B2086,'HS Codes'!$A$2:$A4640,0),MATCH(F$1,'HS Codes'!$D$1:$K$1,0)),"")</f>
        <v>6302.93.2000</v>
      </c>
      <c r="G2086" s="8">
        <f>_xlfn.IFNA(INDEX('HS Codes'!$D$2:$K4640,MATCH($B2086,'HS Codes'!$A$2:$A4640,0),MATCH(G$1,'HS Codes'!$D$1:$K$1,0)),"")</f>
        <v>6302600090</v>
      </c>
      <c r="H2086" s="8" t="str">
        <f>_xlfn.IFNA(INDEX('HS Codes'!$D$2:$K4640,MATCH($B2086,'HS Codes'!$A$2:$A4640,0),MATCH(H$1,'HS Codes'!$D$1:$K$1,0)),"")</f>
        <v>6302.93.00.00</v>
      </c>
      <c r="I2086" s="8">
        <f>_xlfn.IFNA(INDEX('HS Codes'!$D$2:$K4640,MATCH($B2086,'HS Codes'!$A$2:$A4640,0),MATCH(I$1,'HS Codes'!$D$1:$K$1,0)),"")</f>
        <v>63029390</v>
      </c>
      <c r="J2086" s="8">
        <f>_xlfn.IFNA(INDEX('HS Codes'!$D$2:$K4640,MATCH($B2086,'HS Codes'!$A$2:$A4640,0),MATCH(J$1,'HS Codes'!$D$1:$K$1,0)),"")</f>
        <v>0</v>
      </c>
      <c r="K2086" s="8" t="str">
        <f>_xlfn.IFNA(INDEX('HS Codes'!$D$2:$K4640,MATCH($B2086,'HS Codes'!$A$2:$A4640,0),MATCH(K$1,'HS Codes'!$D$1:$K$1,0)),"")</f>
        <v>6302.39.00</v>
      </c>
      <c r="L2086" s="8">
        <f>_xlfn.IFNA(INDEX('HS Codes'!$D$2:$K4640,MATCH($B2086,'HS Codes'!$A$2:$A4640,0),MATCH(L$1,'HS Codes'!$D$1:$K$1,0)),"")</f>
        <v>63029120</v>
      </c>
      <c r="M2086" s="8" t="str">
        <f>_xlfn.IFNA(INDEX('HS Codes'!$C$2:$C4640,MATCH($B2086,'HS Codes'!$A$2:$A4640,0)),"")</f>
        <v>Beach Towel - Toilet Linen 100% recycled 220 GSM/83% polyester/17% polyamide includes cotton on the packing pouch drawstring</v>
      </c>
      <c r="N2086" s="9"/>
      <c r="O2086" s="9"/>
      <c r="P2086" s="9"/>
      <c r="Q2086" s="9"/>
    </row>
    <row r="2087" spans="1:17" ht="15.75" customHeight="1">
      <c r="A2087" s="7" t="s">
        <v>2380</v>
      </c>
      <c r="B2087" s="7" t="s">
        <v>164</v>
      </c>
      <c r="C2087" s="7" t="s">
        <v>278</v>
      </c>
      <c r="D2087" s="7" t="s">
        <v>165</v>
      </c>
      <c r="E2087" s="7" t="s">
        <v>348</v>
      </c>
      <c r="F2087" s="8" t="str">
        <f>_xlfn.IFNA(INDEX('HS Codes'!$D$2:$K4641,MATCH($B2087,'HS Codes'!$A$2:$A4641,0),MATCH(F$1,'HS Codes'!$D$1:$K$1,0)),"")</f>
        <v>6302.93.2000</v>
      </c>
      <c r="G2087" s="8">
        <f>_xlfn.IFNA(INDEX('HS Codes'!$D$2:$K4641,MATCH($B2087,'HS Codes'!$A$2:$A4641,0),MATCH(G$1,'HS Codes'!$D$1:$K$1,0)),"")</f>
        <v>6302600090</v>
      </c>
      <c r="H2087" s="8" t="str">
        <f>_xlfn.IFNA(INDEX('HS Codes'!$D$2:$K4641,MATCH($B2087,'HS Codes'!$A$2:$A4641,0),MATCH(H$1,'HS Codes'!$D$1:$K$1,0)),"")</f>
        <v>6302.93.00.00</v>
      </c>
      <c r="I2087" s="8">
        <f>_xlfn.IFNA(INDEX('HS Codes'!$D$2:$K4641,MATCH($B2087,'HS Codes'!$A$2:$A4641,0),MATCH(I$1,'HS Codes'!$D$1:$K$1,0)),"")</f>
        <v>63029390</v>
      </c>
      <c r="J2087" s="8">
        <f>_xlfn.IFNA(INDEX('HS Codes'!$D$2:$K4641,MATCH($B2087,'HS Codes'!$A$2:$A4641,0),MATCH(J$1,'HS Codes'!$D$1:$K$1,0)),"")</f>
        <v>0</v>
      </c>
      <c r="K2087" s="8" t="str">
        <f>_xlfn.IFNA(INDEX('HS Codes'!$D$2:$K4641,MATCH($B2087,'HS Codes'!$A$2:$A4641,0),MATCH(K$1,'HS Codes'!$D$1:$K$1,0)),"")</f>
        <v>6302.39.00</v>
      </c>
      <c r="L2087" s="8">
        <f>_xlfn.IFNA(INDEX('HS Codes'!$D$2:$K4641,MATCH($B2087,'HS Codes'!$A$2:$A4641,0),MATCH(L$1,'HS Codes'!$D$1:$K$1,0)),"")</f>
        <v>63029120</v>
      </c>
      <c r="M2087" s="8" t="str">
        <f>_xlfn.IFNA(INDEX('HS Codes'!$C$2:$C4641,MATCH($B2087,'HS Codes'!$A$2:$A4641,0)),"")</f>
        <v>Beach Towel - Toilet Linen 100% recycled 220 GSM/83% polyester/17% polyamide includes cotton on the packing pouch drawstring</v>
      </c>
      <c r="N2087" s="9"/>
      <c r="O2087" s="9"/>
      <c r="P2087" s="9"/>
      <c r="Q2087" s="9"/>
    </row>
    <row r="2088" spans="1:17" ht="15.75" customHeight="1">
      <c r="A2088" s="7" t="s">
        <v>2381</v>
      </c>
      <c r="B2088" s="7" t="s">
        <v>164</v>
      </c>
      <c r="C2088" s="7" t="s">
        <v>278</v>
      </c>
      <c r="D2088" s="7" t="s">
        <v>165</v>
      </c>
      <c r="E2088" s="7" t="s">
        <v>348</v>
      </c>
      <c r="F2088" s="8" t="str">
        <f>_xlfn.IFNA(INDEX('HS Codes'!$D$2:$K4642,MATCH($B2088,'HS Codes'!$A$2:$A4642,0),MATCH(F$1,'HS Codes'!$D$1:$K$1,0)),"")</f>
        <v>6302.93.2000</v>
      </c>
      <c r="G2088" s="8">
        <f>_xlfn.IFNA(INDEX('HS Codes'!$D$2:$K4642,MATCH($B2088,'HS Codes'!$A$2:$A4642,0),MATCH(G$1,'HS Codes'!$D$1:$K$1,0)),"")</f>
        <v>6302600090</v>
      </c>
      <c r="H2088" s="8" t="str">
        <f>_xlfn.IFNA(INDEX('HS Codes'!$D$2:$K4642,MATCH($B2088,'HS Codes'!$A$2:$A4642,0),MATCH(H$1,'HS Codes'!$D$1:$K$1,0)),"")</f>
        <v>6302.93.00.00</v>
      </c>
      <c r="I2088" s="8">
        <f>_xlfn.IFNA(INDEX('HS Codes'!$D$2:$K4642,MATCH($B2088,'HS Codes'!$A$2:$A4642,0),MATCH(I$1,'HS Codes'!$D$1:$K$1,0)),"")</f>
        <v>63029390</v>
      </c>
      <c r="J2088" s="8">
        <f>_xlfn.IFNA(INDEX('HS Codes'!$D$2:$K4642,MATCH($B2088,'HS Codes'!$A$2:$A4642,0),MATCH(J$1,'HS Codes'!$D$1:$K$1,0)),"")</f>
        <v>0</v>
      </c>
      <c r="K2088" s="8" t="str">
        <f>_xlfn.IFNA(INDEX('HS Codes'!$D$2:$K4642,MATCH($B2088,'HS Codes'!$A$2:$A4642,0),MATCH(K$1,'HS Codes'!$D$1:$K$1,0)),"")</f>
        <v>6302.39.00</v>
      </c>
      <c r="L2088" s="8">
        <f>_xlfn.IFNA(INDEX('HS Codes'!$D$2:$K4642,MATCH($B2088,'HS Codes'!$A$2:$A4642,0),MATCH(L$1,'HS Codes'!$D$1:$K$1,0)),"")</f>
        <v>63029120</v>
      </c>
      <c r="M2088" s="8" t="str">
        <f>_xlfn.IFNA(INDEX('HS Codes'!$C$2:$C4642,MATCH($B2088,'HS Codes'!$A$2:$A4642,0)),"")</f>
        <v>Beach Towel - Toilet Linen 100% recycled 220 GSM/83% polyester/17% polyamide includes cotton on the packing pouch drawstring</v>
      </c>
      <c r="N2088" s="9"/>
      <c r="O2088" s="9"/>
      <c r="P2088" s="9"/>
      <c r="Q2088" s="9"/>
    </row>
    <row r="2089" spans="1:17" ht="15.75" customHeight="1">
      <c r="A2089" s="7" t="s">
        <v>2382</v>
      </c>
      <c r="B2089" s="7" t="s">
        <v>164</v>
      </c>
      <c r="C2089" s="7" t="s">
        <v>278</v>
      </c>
      <c r="D2089" s="7" t="s">
        <v>165</v>
      </c>
      <c r="E2089" s="7" t="s">
        <v>348</v>
      </c>
      <c r="F2089" s="8" t="str">
        <f>_xlfn.IFNA(INDEX('HS Codes'!$D$2:$K4643,MATCH($B2089,'HS Codes'!$A$2:$A4643,0),MATCH(F$1,'HS Codes'!$D$1:$K$1,0)),"")</f>
        <v>6302.93.2000</v>
      </c>
      <c r="G2089" s="8">
        <f>_xlfn.IFNA(INDEX('HS Codes'!$D$2:$K4643,MATCH($B2089,'HS Codes'!$A$2:$A4643,0),MATCH(G$1,'HS Codes'!$D$1:$K$1,0)),"")</f>
        <v>6302600090</v>
      </c>
      <c r="H2089" s="8" t="str">
        <f>_xlfn.IFNA(INDEX('HS Codes'!$D$2:$K4643,MATCH($B2089,'HS Codes'!$A$2:$A4643,0),MATCH(H$1,'HS Codes'!$D$1:$K$1,0)),"")</f>
        <v>6302.93.00.00</v>
      </c>
      <c r="I2089" s="8">
        <f>_xlfn.IFNA(INDEX('HS Codes'!$D$2:$K4643,MATCH($B2089,'HS Codes'!$A$2:$A4643,0),MATCH(I$1,'HS Codes'!$D$1:$K$1,0)),"")</f>
        <v>63029390</v>
      </c>
      <c r="J2089" s="8">
        <f>_xlfn.IFNA(INDEX('HS Codes'!$D$2:$K4643,MATCH($B2089,'HS Codes'!$A$2:$A4643,0),MATCH(J$1,'HS Codes'!$D$1:$K$1,0)),"")</f>
        <v>0</v>
      </c>
      <c r="K2089" s="8" t="str">
        <f>_xlfn.IFNA(INDEX('HS Codes'!$D$2:$K4643,MATCH($B2089,'HS Codes'!$A$2:$A4643,0),MATCH(K$1,'HS Codes'!$D$1:$K$1,0)),"")</f>
        <v>6302.39.00</v>
      </c>
      <c r="L2089" s="8">
        <f>_xlfn.IFNA(INDEX('HS Codes'!$D$2:$K4643,MATCH($B2089,'HS Codes'!$A$2:$A4643,0),MATCH(L$1,'HS Codes'!$D$1:$K$1,0)),"")</f>
        <v>63029120</v>
      </c>
      <c r="M2089" s="8" t="str">
        <f>_xlfn.IFNA(INDEX('HS Codes'!$C$2:$C4643,MATCH($B2089,'HS Codes'!$A$2:$A4643,0)),"")</f>
        <v>Beach Towel - Toilet Linen 100% recycled 220 GSM/83% polyester/17% polyamide includes cotton on the packing pouch drawstring</v>
      </c>
      <c r="N2089" s="9"/>
      <c r="O2089" s="9"/>
      <c r="P2089" s="9"/>
      <c r="Q2089" s="9"/>
    </row>
    <row r="2090" spans="1:17" ht="15.75" customHeight="1">
      <c r="A2090" s="7" t="s">
        <v>2383</v>
      </c>
      <c r="B2090" s="7" t="s">
        <v>164</v>
      </c>
      <c r="C2090" s="7" t="s">
        <v>278</v>
      </c>
      <c r="D2090" s="7" t="s">
        <v>165</v>
      </c>
      <c r="E2090" s="7" t="s">
        <v>348</v>
      </c>
      <c r="F2090" s="8" t="str">
        <f>_xlfn.IFNA(INDEX('HS Codes'!$D$2:$K4644,MATCH($B2090,'HS Codes'!$A$2:$A4644,0),MATCH(F$1,'HS Codes'!$D$1:$K$1,0)),"")</f>
        <v>6302.93.2000</v>
      </c>
      <c r="G2090" s="8">
        <f>_xlfn.IFNA(INDEX('HS Codes'!$D$2:$K4644,MATCH($B2090,'HS Codes'!$A$2:$A4644,0),MATCH(G$1,'HS Codes'!$D$1:$K$1,0)),"")</f>
        <v>6302600090</v>
      </c>
      <c r="H2090" s="8" t="str">
        <f>_xlfn.IFNA(INDEX('HS Codes'!$D$2:$K4644,MATCH($B2090,'HS Codes'!$A$2:$A4644,0),MATCH(H$1,'HS Codes'!$D$1:$K$1,0)),"")</f>
        <v>6302.93.00.00</v>
      </c>
      <c r="I2090" s="8">
        <f>_xlfn.IFNA(INDEX('HS Codes'!$D$2:$K4644,MATCH($B2090,'HS Codes'!$A$2:$A4644,0),MATCH(I$1,'HS Codes'!$D$1:$K$1,0)),"")</f>
        <v>63029390</v>
      </c>
      <c r="J2090" s="8">
        <f>_xlfn.IFNA(INDEX('HS Codes'!$D$2:$K4644,MATCH($B2090,'HS Codes'!$A$2:$A4644,0),MATCH(J$1,'HS Codes'!$D$1:$K$1,0)),"")</f>
        <v>0</v>
      </c>
      <c r="K2090" s="8" t="str">
        <f>_xlfn.IFNA(INDEX('HS Codes'!$D$2:$K4644,MATCH($B2090,'HS Codes'!$A$2:$A4644,0),MATCH(K$1,'HS Codes'!$D$1:$K$1,0)),"")</f>
        <v>6302.39.00</v>
      </c>
      <c r="L2090" s="8">
        <f>_xlfn.IFNA(INDEX('HS Codes'!$D$2:$K4644,MATCH($B2090,'HS Codes'!$A$2:$A4644,0),MATCH(L$1,'HS Codes'!$D$1:$K$1,0)),"")</f>
        <v>63029120</v>
      </c>
      <c r="M2090" s="8" t="str">
        <f>_xlfn.IFNA(INDEX('HS Codes'!$C$2:$C4644,MATCH($B2090,'HS Codes'!$A$2:$A4644,0)),"")</f>
        <v>Beach Towel - Toilet Linen 100% recycled 220 GSM/83% polyester/17% polyamide includes cotton on the packing pouch drawstring</v>
      </c>
      <c r="N2090" s="9"/>
      <c r="O2090" s="9"/>
      <c r="P2090" s="9"/>
      <c r="Q2090" s="9"/>
    </row>
    <row r="2091" spans="1:17" ht="15.75" customHeight="1">
      <c r="A2091" s="7" t="s">
        <v>2384</v>
      </c>
      <c r="B2091" s="7" t="s">
        <v>164</v>
      </c>
      <c r="C2091" s="7" t="s">
        <v>278</v>
      </c>
      <c r="D2091" s="7" t="s">
        <v>165</v>
      </c>
      <c r="E2091" s="7" t="s">
        <v>348</v>
      </c>
      <c r="F2091" s="8" t="str">
        <f>_xlfn.IFNA(INDEX('HS Codes'!$D$2:$K4645,MATCH($B2091,'HS Codes'!$A$2:$A4645,0),MATCH(F$1,'HS Codes'!$D$1:$K$1,0)),"")</f>
        <v>6302.93.2000</v>
      </c>
      <c r="G2091" s="8">
        <f>_xlfn.IFNA(INDEX('HS Codes'!$D$2:$K4645,MATCH($B2091,'HS Codes'!$A$2:$A4645,0),MATCH(G$1,'HS Codes'!$D$1:$K$1,0)),"")</f>
        <v>6302600090</v>
      </c>
      <c r="H2091" s="8" t="str">
        <f>_xlfn.IFNA(INDEX('HS Codes'!$D$2:$K4645,MATCH($B2091,'HS Codes'!$A$2:$A4645,0),MATCH(H$1,'HS Codes'!$D$1:$K$1,0)),"")</f>
        <v>6302.93.00.00</v>
      </c>
      <c r="I2091" s="8">
        <f>_xlfn.IFNA(INDEX('HS Codes'!$D$2:$K4645,MATCH($B2091,'HS Codes'!$A$2:$A4645,0),MATCH(I$1,'HS Codes'!$D$1:$K$1,0)),"")</f>
        <v>63029390</v>
      </c>
      <c r="J2091" s="8">
        <f>_xlfn.IFNA(INDEX('HS Codes'!$D$2:$K4645,MATCH($B2091,'HS Codes'!$A$2:$A4645,0),MATCH(J$1,'HS Codes'!$D$1:$K$1,0)),"")</f>
        <v>0</v>
      </c>
      <c r="K2091" s="8" t="str">
        <f>_xlfn.IFNA(INDEX('HS Codes'!$D$2:$K4645,MATCH($B2091,'HS Codes'!$A$2:$A4645,0),MATCH(K$1,'HS Codes'!$D$1:$K$1,0)),"")</f>
        <v>6302.39.00</v>
      </c>
      <c r="L2091" s="8">
        <f>_xlfn.IFNA(INDEX('HS Codes'!$D$2:$K4645,MATCH($B2091,'HS Codes'!$A$2:$A4645,0),MATCH(L$1,'HS Codes'!$D$1:$K$1,0)),"")</f>
        <v>63029120</v>
      </c>
      <c r="M2091" s="8" t="str">
        <f>_xlfn.IFNA(INDEX('HS Codes'!$C$2:$C4645,MATCH($B2091,'HS Codes'!$A$2:$A4645,0)),"")</f>
        <v>Beach Towel - Toilet Linen 100% recycled 220 GSM/83% polyester/17% polyamide includes cotton on the packing pouch drawstring</v>
      </c>
      <c r="N2091" s="9"/>
      <c r="O2091" s="9"/>
      <c r="P2091" s="9"/>
      <c r="Q2091" s="9"/>
    </row>
    <row r="2092" spans="1:17" ht="15.75" customHeight="1">
      <c r="A2092" s="7" t="s">
        <v>2385</v>
      </c>
      <c r="B2092" s="7" t="s">
        <v>164</v>
      </c>
      <c r="C2092" s="7" t="s">
        <v>278</v>
      </c>
      <c r="D2092" s="7" t="s">
        <v>165</v>
      </c>
      <c r="E2092" s="7" t="s">
        <v>348</v>
      </c>
      <c r="F2092" s="8" t="str">
        <f>_xlfn.IFNA(INDEX('HS Codes'!$D$2:$K4646,MATCH($B2092,'HS Codes'!$A$2:$A4646,0),MATCH(F$1,'HS Codes'!$D$1:$K$1,0)),"")</f>
        <v>6302.93.2000</v>
      </c>
      <c r="G2092" s="8">
        <f>_xlfn.IFNA(INDEX('HS Codes'!$D$2:$K4646,MATCH($B2092,'HS Codes'!$A$2:$A4646,0),MATCH(G$1,'HS Codes'!$D$1:$K$1,0)),"")</f>
        <v>6302600090</v>
      </c>
      <c r="H2092" s="8" t="str">
        <f>_xlfn.IFNA(INDEX('HS Codes'!$D$2:$K4646,MATCH($B2092,'HS Codes'!$A$2:$A4646,0),MATCH(H$1,'HS Codes'!$D$1:$K$1,0)),"")</f>
        <v>6302.93.00.00</v>
      </c>
      <c r="I2092" s="8">
        <f>_xlfn.IFNA(INDEX('HS Codes'!$D$2:$K4646,MATCH($B2092,'HS Codes'!$A$2:$A4646,0),MATCH(I$1,'HS Codes'!$D$1:$K$1,0)),"")</f>
        <v>63029390</v>
      </c>
      <c r="J2092" s="8">
        <f>_xlfn.IFNA(INDEX('HS Codes'!$D$2:$K4646,MATCH($B2092,'HS Codes'!$A$2:$A4646,0),MATCH(J$1,'HS Codes'!$D$1:$K$1,0)),"")</f>
        <v>0</v>
      </c>
      <c r="K2092" s="8" t="str">
        <f>_xlfn.IFNA(INDEX('HS Codes'!$D$2:$K4646,MATCH($B2092,'HS Codes'!$A$2:$A4646,0),MATCH(K$1,'HS Codes'!$D$1:$K$1,0)),"")</f>
        <v>6302.39.00</v>
      </c>
      <c r="L2092" s="8">
        <f>_xlfn.IFNA(INDEX('HS Codes'!$D$2:$K4646,MATCH($B2092,'HS Codes'!$A$2:$A4646,0),MATCH(L$1,'HS Codes'!$D$1:$K$1,0)),"")</f>
        <v>63029120</v>
      </c>
      <c r="M2092" s="8" t="str">
        <f>_xlfn.IFNA(INDEX('HS Codes'!$C$2:$C4646,MATCH($B2092,'HS Codes'!$A$2:$A4646,0)),"")</f>
        <v>Beach Towel - Toilet Linen 100% recycled 220 GSM/83% polyester/17% polyamide includes cotton on the packing pouch drawstring</v>
      </c>
      <c r="N2092" s="9"/>
      <c r="O2092" s="9"/>
      <c r="P2092" s="9"/>
      <c r="Q2092" s="9"/>
    </row>
    <row r="2093" spans="1:17" ht="15.75" customHeight="1">
      <c r="A2093" s="7" t="s">
        <v>2386</v>
      </c>
      <c r="B2093" s="7" t="s">
        <v>164</v>
      </c>
      <c r="C2093" s="7" t="s">
        <v>278</v>
      </c>
      <c r="D2093" s="7" t="s">
        <v>165</v>
      </c>
      <c r="E2093" s="7" t="s">
        <v>348</v>
      </c>
      <c r="F2093" s="8" t="str">
        <f>_xlfn.IFNA(INDEX('HS Codes'!$D$2:$K4647,MATCH($B2093,'HS Codes'!$A$2:$A4647,0),MATCH(F$1,'HS Codes'!$D$1:$K$1,0)),"")</f>
        <v>6302.93.2000</v>
      </c>
      <c r="G2093" s="8">
        <f>_xlfn.IFNA(INDEX('HS Codes'!$D$2:$K4647,MATCH($B2093,'HS Codes'!$A$2:$A4647,0),MATCH(G$1,'HS Codes'!$D$1:$K$1,0)),"")</f>
        <v>6302600090</v>
      </c>
      <c r="H2093" s="8" t="str">
        <f>_xlfn.IFNA(INDEX('HS Codes'!$D$2:$K4647,MATCH($B2093,'HS Codes'!$A$2:$A4647,0),MATCH(H$1,'HS Codes'!$D$1:$K$1,0)),"")</f>
        <v>6302.93.00.00</v>
      </c>
      <c r="I2093" s="8">
        <f>_xlfn.IFNA(INDEX('HS Codes'!$D$2:$K4647,MATCH($B2093,'HS Codes'!$A$2:$A4647,0),MATCH(I$1,'HS Codes'!$D$1:$K$1,0)),"")</f>
        <v>63029390</v>
      </c>
      <c r="J2093" s="8">
        <f>_xlfn.IFNA(INDEX('HS Codes'!$D$2:$K4647,MATCH($B2093,'HS Codes'!$A$2:$A4647,0),MATCH(J$1,'HS Codes'!$D$1:$K$1,0)),"")</f>
        <v>0</v>
      </c>
      <c r="K2093" s="8" t="str">
        <f>_xlfn.IFNA(INDEX('HS Codes'!$D$2:$K4647,MATCH($B2093,'HS Codes'!$A$2:$A4647,0),MATCH(K$1,'HS Codes'!$D$1:$K$1,0)),"")</f>
        <v>6302.39.00</v>
      </c>
      <c r="L2093" s="8">
        <f>_xlfn.IFNA(INDEX('HS Codes'!$D$2:$K4647,MATCH($B2093,'HS Codes'!$A$2:$A4647,0),MATCH(L$1,'HS Codes'!$D$1:$K$1,0)),"")</f>
        <v>63029120</v>
      </c>
      <c r="M2093" s="8" t="str">
        <f>_xlfn.IFNA(INDEX('HS Codes'!$C$2:$C4647,MATCH($B2093,'HS Codes'!$A$2:$A4647,0)),"")</f>
        <v>Beach Towel - Toilet Linen 100% recycled 220 GSM/83% polyester/17% polyamide includes cotton on the packing pouch drawstring</v>
      </c>
      <c r="N2093" s="9"/>
      <c r="O2093" s="9"/>
      <c r="P2093" s="9"/>
      <c r="Q2093" s="9"/>
    </row>
    <row r="2094" spans="1:17" ht="15.75" customHeight="1">
      <c r="A2094" s="7" t="s">
        <v>2387</v>
      </c>
      <c r="B2094" s="7" t="s">
        <v>164</v>
      </c>
      <c r="C2094" s="7" t="s">
        <v>278</v>
      </c>
      <c r="D2094" s="7" t="s">
        <v>165</v>
      </c>
      <c r="E2094" s="7" t="s">
        <v>348</v>
      </c>
      <c r="F2094" s="8" t="str">
        <f>_xlfn.IFNA(INDEX('HS Codes'!$D$2:$K4648,MATCH($B2094,'HS Codes'!$A$2:$A4648,0),MATCH(F$1,'HS Codes'!$D$1:$K$1,0)),"")</f>
        <v>6302.93.2000</v>
      </c>
      <c r="G2094" s="8">
        <f>_xlfn.IFNA(INDEX('HS Codes'!$D$2:$K4648,MATCH($B2094,'HS Codes'!$A$2:$A4648,0),MATCH(G$1,'HS Codes'!$D$1:$K$1,0)),"")</f>
        <v>6302600090</v>
      </c>
      <c r="H2094" s="8" t="str">
        <f>_xlfn.IFNA(INDEX('HS Codes'!$D$2:$K4648,MATCH($B2094,'HS Codes'!$A$2:$A4648,0),MATCH(H$1,'HS Codes'!$D$1:$K$1,0)),"")</f>
        <v>6302.93.00.00</v>
      </c>
      <c r="I2094" s="8">
        <f>_xlfn.IFNA(INDEX('HS Codes'!$D$2:$K4648,MATCH($B2094,'HS Codes'!$A$2:$A4648,0),MATCH(I$1,'HS Codes'!$D$1:$K$1,0)),"")</f>
        <v>63029390</v>
      </c>
      <c r="J2094" s="8">
        <f>_xlfn.IFNA(INDEX('HS Codes'!$D$2:$K4648,MATCH($B2094,'HS Codes'!$A$2:$A4648,0),MATCH(J$1,'HS Codes'!$D$1:$K$1,0)),"")</f>
        <v>0</v>
      </c>
      <c r="K2094" s="8" t="str">
        <f>_xlfn.IFNA(INDEX('HS Codes'!$D$2:$K4648,MATCH($B2094,'HS Codes'!$A$2:$A4648,0),MATCH(K$1,'HS Codes'!$D$1:$K$1,0)),"")</f>
        <v>6302.39.00</v>
      </c>
      <c r="L2094" s="8">
        <f>_xlfn.IFNA(INDEX('HS Codes'!$D$2:$K4648,MATCH($B2094,'HS Codes'!$A$2:$A4648,0),MATCH(L$1,'HS Codes'!$D$1:$K$1,0)),"")</f>
        <v>63029120</v>
      </c>
      <c r="M2094" s="8" t="str">
        <f>_xlfn.IFNA(INDEX('HS Codes'!$C$2:$C4648,MATCH($B2094,'HS Codes'!$A$2:$A4648,0)),"")</f>
        <v>Beach Towel - Toilet Linen 100% recycled 220 GSM/83% polyester/17% polyamide includes cotton on the packing pouch drawstring</v>
      </c>
      <c r="N2094" s="9"/>
      <c r="O2094" s="9"/>
      <c r="P2094" s="9"/>
      <c r="Q2094" s="9"/>
    </row>
    <row r="2095" spans="1:17" ht="15.75" customHeight="1">
      <c r="A2095" s="7" t="s">
        <v>2388</v>
      </c>
      <c r="B2095" s="7" t="s">
        <v>164</v>
      </c>
      <c r="C2095" s="7" t="s">
        <v>278</v>
      </c>
      <c r="D2095" s="7" t="s">
        <v>165</v>
      </c>
      <c r="E2095" s="7" t="s">
        <v>348</v>
      </c>
      <c r="F2095" s="8" t="str">
        <f>_xlfn.IFNA(INDEX('HS Codes'!$D$2:$K4649,MATCH($B2095,'HS Codes'!$A$2:$A4649,0),MATCH(F$1,'HS Codes'!$D$1:$K$1,0)),"")</f>
        <v>6302.93.2000</v>
      </c>
      <c r="G2095" s="8">
        <f>_xlfn.IFNA(INDEX('HS Codes'!$D$2:$K4649,MATCH($B2095,'HS Codes'!$A$2:$A4649,0),MATCH(G$1,'HS Codes'!$D$1:$K$1,0)),"")</f>
        <v>6302600090</v>
      </c>
      <c r="H2095" s="8" t="str">
        <f>_xlfn.IFNA(INDEX('HS Codes'!$D$2:$K4649,MATCH($B2095,'HS Codes'!$A$2:$A4649,0),MATCH(H$1,'HS Codes'!$D$1:$K$1,0)),"")</f>
        <v>6302.93.00.00</v>
      </c>
      <c r="I2095" s="8">
        <f>_xlfn.IFNA(INDEX('HS Codes'!$D$2:$K4649,MATCH($B2095,'HS Codes'!$A$2:$A4649,0),MATCH(I$1,'HS Codes'!$D$1:$K$1,0)),"")</f>
        <v>63029390</v>
      </c>
      <c r="J2095" s="8">
        <f>_xlfn.IFNA(INDEX('HS Codes'!$D$2:$K4649,MATCH($B2095,'HS Codes'!$A$2:$A4649,0),MATCH(J$1,'HS Codes'!$D$1:$K$1,0)),"")</f>
        <v>0</v>
      </c>
      <c r="K2095" s="8" t="str">
        <f>_xlfn.IFNA(INDEX('HS Codes'!$D$2:$K4649,MATCH($B2095,'HS Codes'!$A$2:$A4649,0),MATCH(K$1,'HS Codes'!$D$1:$K$1,0)),"")</f>
        <v>6302.39.00</v>
      </c>
      <c r="L2095" s="8">
        <f>_xlfn.IFNA(INDEX('HS Codes'!$D$2:$K4649,MATCH($B2095,'HS Codes'!$A$2:$A4649,0),MATCH(L$1,'HS Codes'!$D$1:$K$1,0)),"")</f>
        <v>63029120</v>
      </c>
      <c r="M2095" s="8" t="str">
        <f>_xlfn.IFNA(INDEX('HS Codes'!$C$2:$C4649,MATCH($B2095,'HS Codes'!$A$2:$A4649,0)),"")</f>
        <v>Beach Towel - Toilet Linen 100% recycled 220 GSM/83% polyester/17% polyamide includes cotton on the packing pouch drawstring</v>
      </c>
      <c r="N2095" s="9"/>
      <c r="O2095" s="9"/>
      <c r="P2095" s="9"/>
      <c r="Q2095" s="9"/>
    </row>
    <row r="2096" spans="1:17" ht="15.75" customHeight="1">
      <c r="A2096" s="7" t="s">
        <v>2389</v>
      </c>
      <c r="B2096" s="7" t="s">
        <v>164</v>
      </c>
      <c r="C2096" s="7" t="s">
        <v>278</v>
      </c>
      <c r="D2096" s="7" t="s">
        <v>165</v>
      </c>
      <c r="E2096" s="7" t="s">
        <v>348</v>
      </c>
      <c r="F2096" s="8" t="str">
        <f>_xlfn.IFNA(INDEX('HS Codes'!$D$2:$K4650,MATCH($B2096,'HS Codes'!$A$2:$A4650,0),MATCH(F$1,'HS Codes'!$D$1:$K$1,0)),"")</f>
        <v>6302.93.2000</v>
      </c>
      <c r="G2096" s="8">
        <f>_xlfn.IFNA(INDEX('HS Codes'!$D$2:$K4650,MATCH($B2096,'HS Codes'!$A$2:$A4650,0),MATCH(G$1,'HS Codes'!$D$1:$K$1,0)),"")</f>
        <v>6302600090</v>
      </c>
      <c r="H2096" s="8" t="str">
        <f>_xlfn.IFNA(INDEX('HS Codes'!$D$2:$K4650,MATCH($B2096,'HS Codes'!$A$2:$A4650,0),MATCH(H$1,'HS Codes'!$D$1:$K$1,0)),"")</f>
        <v>6302.93.00.00</v>
      </c>
      <c r="I2096" s="8">
        <f>_xlfn.IFNA(INDEX('HS Codes'!$D$2:$K4650,MATCH($B2096,'HS Codes'!$A$2:$A4650,0),MATCH(I$1,'HS Codes'!$D$1:$K$1,0)),"")</f>
        <v>63029390</v>
      </c>
      <c r="J2096" s="8">
        <f>_xlfn.IFNA(INDEX('HS Codes'!$D$2:$K4650,MATCH($B2096,'HS Codes'!$A$2:$A4650,0),MATCH(J$1,'HS Codes'!$D$1:$K$1,0)),"")</f>
        <v>0</v>
      </c>
      <c r="K2096" s="8" t="str">
        <f>_xlfn.IFNA(INDEX('HS Codes'!$D$2:$K4650,MATCH($B2096,'HS Codes'!$A$2:$A4650,0),MATCH(K$1,'HS Codes'!$D$1:$K$1,0)),"")</f>
        <v>6302.39.00</v>
      </c>
      <c r="L2096" s="8">
        <f>_xlfn.IFNA(INDEX('HS Codes'!$D$2:$K4650,MATCH($B2096,'HS Codes'!$A$2:$A4650,0),MATCH(L$1,'HS Codes'!$D$1:$K$1,0)),"")</f>
        <v>63029120</v>
      </c>
      <c r="M2096" s="8" t="str">
        <f>_xlfn.IFNA(INDEX('HS Codes'!$C$2:$C4650,MATCH($B2096,'HS Codes'!$A$2:$A4650,0)),"")</f>
        <v>Beach Towel - Toilet Linen 100% recycled 220 GSM/83% polyester/17% polyamide includes cotton on the packing pouch drawstring</v>
      </c>
      <c r="N2096" s="9"/>
      <c r="O2096" s="9"/>
      <c r="P2096" s="9"/>
      <c r="Q2096" s="9"/>
    </row>
    <row r="2097" spans="1:17" ht="15.75" customHeight="1">
      <c r="A2097" s="7" t="s">
        <v>2390</v>
      </c>
      <c r="B2097" s="7" t="s">
        <v>164</v>
      </c>
      <c r="C2097" s="7" t="s">
        <v>278</v>
      </c>
      <c r="D2097" s="7" t="s">
        <v>165</v>
      </c>
      <c r="E2097" s="7" t="s">
        <v>348</v>
      </c>
      <c r="F2097" s="8" t="str">
        <f>_xlfn.IFNA(INDEX('HS Codes'!$D$2:$K4651,MATCH($B2097,'HS Codes'!$A$2:$A4651,0),MATCH(F$1,'HS Codes'!$D$1:$K$1,0)),"")</f>
        <v>6302.93.2000</v>
      </c>
      <c r="G2097" s="8">
        <f>_xlfn.IFNA(INDEX('HS Codes'!$D$2:$K4651,MATCH($B2097,'HS Codes'!$A$2:$A4651,0),MATCH(G$1,'HS Codes'!$D$1:$K$1,0)),"")</f>
        <v>6302600090</v>
      </c>
      <c r="H2097" s="8" t="str">
        <f>_xlfn.IFNA(INDEX('HS Codes'!$D$2:$K4651,MATCH($B2097,'HS Codes'!$A$2:$A4651,0),MATCH(H$1,'HS Codes'!$D$1:$K$1,0)),"")</f>
        <v>6302.93.00.00</v>
      </c>
      <c r="I2097" s="8">
        <f>_xlfn.IFNA(INDEX('HS Codes'!$D$2:$K4651,MATCH($B2097,'HS Codes'!$A$2:$A4651,0),MATCH(I$1,'HS Codes'!$D$1:$K$1,0)),"")</f>
        <v>63029390</v>
      </c>
      <c r="J2097" s="8">
        <f>_xlfn.IFNA(INDEX('HS Codes'!$D$2:$K4651,MATCH($B2097,'HS Codes'!$A$2:$A4651,0),MATCH(J$1,'HS Codes'!$D$1:$K$1,0)),"")</f>
        <v>0</v>
      </c>
      <c r="K2097" s="8" t="str">
        <f>_xlfn.IFNA(INDEX('HS Codes'!$D$2:$K4651,MATCH($B2097,'HS Codes'!$A$2:$A4651,0),MATCH(K$1,'HS Codes'!$D$1:$K$1,0)),"")</f>
        <v>6302.39.00</v>
      </c>
      <c r="L2097" s="8">
        <f>_xlfn.IFNA(INDEX('HS Codes'!$D$2:$K4651,MATCH($B2097,'HS Codes'!$A$2:$A4651,0),MATCH(L$1,'HS Codes'!$D$1:$K$1,0)),"")</f>
        <v>63029120</v>
      </c>
      <c r="M2097" s="8" t="str">
        <f>_xlfn.IFNA(INDEX('HS Codes'!$C$2:$C4651,MATCH($B2097,'HS Codes'!$A$2:$A4651,0)),"")</f>
        <v>Beach Towel - Toilet Linen 100% recycled 220 GSM/83% polyester/17% polyamide includes cotton on the packing pouch drawstring</v>
      </c>
      <c r="N2097" s="9"/>
      <c r="O2097" s="9"/>
      <c r="P2097" s="9"/>
      <c r="Q2097" s="9"/>
    </row>
    <row r="2098" spans="1:17" ht="15.75" customHeight="1">
      <c r="A2098" s="7" t="s">
        <v>2391</v>
      </c>
      <c r="B2098" s="7" t="s">
        <v>164</v>
      </c>
      <c r="C2098" s="7" t="s">
        <v>278</v>
      </c>
      <c r="D2098" s="7" t="s">
        <v>165</v>
      </c>
      <c r="E2098" s="7" t="s">
        <v>348</v>
      </c>
      <c r="F2098" s="8" t="str">
        <f>_xlfn.IFNA(INDEX('HS Codes'!$D$2:$K4652,MATCH($B2098,'HS Codes'!$A$2:$A4652,0),MATCH(F$1,'HS Codes'!$D$1:$K$1,0)),"")</f>
        <v>6302.93.2000</v>
      </c>
      <c r="G2098" s="8">
        <f>_xlfn.IFNA(INDEX('HS Codes'!$D$2:$K4652,MATCH($B2098,'HS Codes'!$A$2:$A4652,0),MATCH(G$1,'HS Codes'!$D$1:$K$1,0)),"")</f>
        <v>6302600090</v>
      </c>
      <c r="H2098" s="8" t="str">
        <f>_xlfn.IFNA(INDEX('HS Codes'!$D$2:$K4652,MATCH($B2098,'HS Codes'!$A$2:$A4652,0),MATCH(H$1,'HS Codes'!$D$1:$K$1,0)),"")</f>
        <v>6302.93.00.00</v>
      </c>
      <c r="I2098" s="8">
        <f>_xlfn.IFNA(INDEX('HS Codes'!$D$2:$K4652,MATCH($B2098,'HS Codes'!$A$2:$A4652,0),MATCH(I$1,'HS Codes'!$D$1:$K$1,0)),"")</f>
        <v>63029390</v>
      </c>
      <c r="J2098" s="8">
        <f>_xlfn.IFNA(INDEX('HS Codes'!$D$2:$K4652,MATCH($B2098,'HS Codes'!$A$2:$A4652,0),MATCH(J$1,'HS Codes'!$D$1:$K$1,0)),"")</f>
        <v>0</v>
      </c>
      <c r="K2098" s="8" t="str">
        <f>_xlfn.IFNA(INDEX('HS Codes'!$D$2:$K4652,MATCH($B2098,'HS Codes'!$A$2:$A4652,0),MATCH(K$1,'HS Codes'!$D$1:$K$1,0)),"")</f>
        <v>6302.39.00</v>
      </c>
      <c r="L2098" s="8">
        <f>_xlfn.IFNA(INDEX('HS Codes'!$D$2:$K4652,MATCH($B2098,'HS Codes'!$A$2:$A4652,0),MATCH(L$1,'HS Codes'!$D$1:$K$1,0)),"")</f>
        <v>63029120</v>
      </c>
      <c r="M2098" s="8" t="str">
        <f>_xlfn.IFNA(INDEX('HS Codes'!$C$2:$C4652,MATCH($B2098,'HS Codes'!$A$2:$A4652,0)),"")</f>
        <v>Beach Towel - Toilet Linen 100% recycled 220 GSM/83% polyester/17% polyamide includes cotton on the packing pouch drawstring</v>
      </c>
      <c r="N2098" s="9"/>
      <c r="O2098" s="9"/>
      <c r="P2098" s="9"/>
      <c r="Q2098" s="9"/>
    </row>
    <row r="2099" spans="1:17" ht="15.75" customHeight="1">
      <c r="A2099" s="7" t="s">
        <v>2392</v>
      </c>
      <c r="B2099" s="7" t="s">
        <v>164</v>
      </c>
      <c r="C2099" s="7" t="s">
        <v>278</v>
      </c>
      <c r="D2099" s="7" t="s">
        <v>165</v>
      </c>
      <c r="E2099" s="7" t="s">
        <v>348</v>
      </c>
      <c r="F2099" s="8" t="str">
        <f>_xlfn.IFNA(INDEX('HS Codes'!$D$2:$K4653,MATCH($B2099,'HS Codes'!$A$2:$A4653,0),MATCH(F$1,'HS Codes'!$D$1:$K$1,0)),"")</f>
        <v>6302.93.2000</v>
      </c>
      <c r="G2099" s="8">
        <f>_xlfn.IFNA(INDEX('HS Codes'!$D$2:$K4653,MATCH($B2099,'HS Codes'!$A$2:$A4653,0),MATCH(G$1,'HS Codes'!$D$1:$K$1,0)),"")</f>
        <v>6302600090</v>
      </c>
      <c r="H2099" s="8" t="str">
        <f>_xlfn.IFNA(INDEX('HS Codes'!$D$2:$K4653,MATCH($B2099,'HS Codes'!$A$2:$A4653,0),MATCH(H$1,'HS Codes'!$D$1:$K$1,0)),"")</f>
        <v>6302.93.00.00</v>
      </c>
      <c r="I2099" s="8">
        <f>_xlfn.IFNA(INDEX('HS Codes'!$D$2:$K4653,MATCH($B2099,'HS Codes'!$A$2:$A4653,0),MATCH(I$1,'HS Codes'!$D$1:$K$1,0)),"")</f>
        <v>63029390</v>
      </c>
      <c r="J2099" s="8">
        <f>_xlfn.IFNA(INDEX('HS Codes'!$D$2:$K4653,MATCH($B2099,'HS Codes'!$A$2:$A4653,0),MATCH(J$1,'HS Codes'!$D$1:$K$1,0)),"")</f>
        <v>0</v>
      </c>
      <c r="K2099" s="8" t="str">
        <f>_xlfn.IFNA(INDEX('HS Codes'!$D$2:$K4653,MATCH($B2099,'HS Codes'!$A$2:$A4653,0),MATCH(K$1,'HS Codes'!$D$1:$K$1,0)),"")</f>
        <v>6302.39.00</v>
      </c>
      <c r="L2099" s="8">
        <f>_xlfn.IFNA(INDEX('HS Codes'!$D$2:$K4653,MATCH($B2099,'HS Codes'!$A$2:$A4653,0),MATCH(L$1,'HS Codes'!$D$1:$K$1,0)),"")</f>
        <v>63029120</v>
      </c>
      <c r="M2099" s="8" t="str">
        <f>_xlfn.IFNA(INDEX('HS Codes'!$C$2:$C4653,MATCH($B2099,'HS Codes'!$A$2:$A4653,0)),"")</f>
        <v>Beach Towel - Toilet Linen 100% recycled 220 GSM/83% polyester/17% polyamide includes cotton on the packing pouch drawstring</v>
      </c>
      <c r="N2099" s="9"/>
      <c r="O2099" s="9"/>
      <c r="P2099" s="9"/>
      <c r="Q2099" s="9"/>
    </row>
    <row r="2100" spans="1:17" ht="15.75" customHeight="1">
      <c r="A2100" s="7" t="s">
        <v>2393</v>
      </c>
      <c r="B2100" s="7" t="s">
        <v>164</v>
      </c>
      <c r="C2100" s="7" t="s">
        <v>278</v>
      </c>
      <c r="D2100" s="7" t="s">
        <v>165</v>
      </c>
      <c r="E2100" s="7" t="s">
        <v>348</v>
      </c>
      <c r="F2100" s="8" t="str">
        <f>_xlfn.IFNA(INDEX('HS Codes'!$D$2:$K4654,MATCH($B2100,'HS Codes'!$A$2:$A4654,0),MATCH(F$1,'HS Codes'!$D$1:$K$1,0)),"")</f>
        <v>6302.93.2000</v>
      </c>
      <c r="G2100" s="8">
        <f>_xlfn.IFNA(INDEX('HS Codes'!$D$2:$K4654,MATCH($B2100,'HS Codes'!$A$2:$A4654,0),MATCH(G$1,'HS Codes'!$D$1:$K$1,0)),"")</f>
        <v>6302600090</v>
      </c>
      <c r="H2100" s="8" t="str">
        <f>_xlfn.IFNA(INDEX('HS Codes'!$D$2:$K4654,MATCH($B2100,'HS Codes'!$A$2:$A4654,0),MATCH(H$1,'HS Codes'!$D$1:$K$1,0)),"")</f>
        <v>6302.93.00.00</v>
      </c>
      <c r="I2100" s="8">
        <f>_xlfn.IFNA(INDEX('HS Codes'!$D$2:$K4654,MATCH($B2100,'HS Codes'!$A$2:$A4654,0),MATCH(I$1,'HS Codes'!$D$1:$K$1,0)),"")</f>
        <v>63029390</v>
      </c>
      <c r="J2100" s="8">
        <f>_xlfn.IFNA(INDEX('HS Codes'!$D$2:$K4654,MATCH($B2100,'HS Codes'!$A$2:$A4654,0),MATCH(J$1,'HS Codes'!$D$1:$K$1,0)),"")</f>
        <v>0</v>
      </c>
      <c r="K2100" s="8" t="str">
        <f>_xlfn.IFNA(INDEX('HS Codes'!$D$2:$K4654,MATCH($B2100,'HS Codes'!$A$2:$A4654,0),MATCH(K$1,'HS Codes'!$D$1:$K$1,0)),"")</f>
        <v>6302.39.00</v>
      </c>
      <c r="L2100" s="8">
        <f>_xlfn.IFNA(INDEX('HS Codes'!$D$2:$K4654,MATCH($B2100,'HS Codes'!$A$2:$A4654,0),MATCH(L$1,'HS Codes'!$D$1:$K$1,0)),"")</f>
        <v>63029120</v>
      </c>
      <c r="M2100" s="8" t="str">
        <f>_xlfn.IFNA(INDEX('HS Codes'!$C$2:$C4654,MATCH($B2100,'HS Codes'!$A$2:$A4654,0)),"")</f>
        <v>Beach Towel - Toilet Linen 100% recycled 220 GSM/83% polyester/17% polyamide includes cotton on the packing pouch drawstring</v>
      </c>
      <c r="N2100" s="9"/>
      <c r="O2100" s="9"/>
      <c r="P2100" s="9"/>
      <c r="Q2100" s="9"/>
    </row>
    <row r="2101" spans="1:17" ht="15.75" customHeight="1">
      <c r="A2101" s="7" t="s">
        <v>2394</v>
      </c>
      <c r="B2101" s="7" t="s">
        <v>164</v>
      </c>
      <c r="C2101" s="7" t="s">
        <v>278</v>
      </c>
      <c r="D2101" s="7" t="s">
        <v>165</v>
      </c>
      <c r="E2101" s="7" t="s">
        <v>348</v>
      </c>
      <c r="F2101" s="8" t="str">
        <f>_xlfn.IFNA(INDEX('HS Codes'!$D$2:$K4655,MATCH($B2101,'HS Codes'!$A$2:$A4655,0),MATCH(F$1,'HS Codes'!$D$1:$K$1,0)),"")</f>
        <v>6302.93.2000</v>
      </c>
      <c r="G2101" s="8">
        <f>_xlfn.IFNA(INDEX('HS Codes'!$D$2:$K4655,MATCH($B2101,'HS Codes'!$A$2:$A4655,0),MATCH(G$1,'HS Codes'!$D$1:$K$1,0)),"")</f>
        <v>6302600090</v>
      </c>
      <c r="H2101" s="8" t="str">
        <f>_xlfn.IFNA(INDEX('HS Codes'!$D$2:$K4655,MATCH($B2101,'HS Codes'!$A$2:$A4655,0),MATCH(H$1,'HS Codes'!$D$1:$K$1,0)),"")</f>
        <v>6302.93.00.00</v>
      </c>
      <c r="I2101" s="8">
        <f>_xlfn.IFNA(INDEX('HS Codes'!$D$2:$K4655,MATCH($B2101,'HS Codes'!$A$2:$A4655,0),MATCH(I$1,'HS Codes'!$D$1:$K$1,0)),"")</f>
        <v>63029390</v>
      </c>
      <c r="J2101" s="8">
        <f>_xlfn.IFNA(INDEX('HS Codes'!$D$2:$K4655,MATCH($B2101,'HS Codes'!$A$2:$A4655,0),MATCH(J$1,'HS Codes'!$D$1:$K$1,0)),"")</f>
        <v>0</v>
      </c>
      <c r="K2101" s="8" t="str">
        <f>_xlfn.IFNA(INDEX('HS Codes'!$D$2:$K4655,MATCH($B2101,'HS Codes'!$A$2:$A4655,0),MATCH(K$1,'HS Codes'!$D$1:$K$1,0)),"")</f>
        <v>6302.39.00</v>
      </c>
      <c r="L2101" s="8">
        <f>_xlfn.IFNA(INDEX('HS Codes'!$D$2:$K4655,MATCH($B2101,'HS Codes'!$A$2:$A4655,0),MATCH(L$1,'HS Codes'!$D$1:$K$1,0)),"")</f>
        <v>63029120</v>
      </c>
      <c r="M2101" s="8" t="str">
        <f>_xlfn.IFNA(INDEX('HS Codes'!$C$2:$C4655,MATCH($B2101,'HS Codes'!$A$2:$A4655,0)),"")</f>
        <v>Beach Towel - Toilet Linen 100% recycled 220 GSM/83% polyester/17% polyamide includes cotton on the packing pouch drawstring</v>
      </c>
      <c r="N2101" s="9"/>
      <c r="O2101" s="9"/>
      <c r="P2101" s="9"/>
      <c r="Q2101" s="9"/>
    </row>
    <row r="2102" spans="1:17" ht="15.75" customHeight="1">
      <c r="A2102" s="7" t="s">
        <v>2395</v>
      </c>
      <c r="B2102" s="7" t="s">
        <v>164</v>
      </c>
      <c r="C2102" s="7" t="s">
        <v>278</v>
      </c>
      <c r="D2102" s="7" t="s">
        <v>165</v>
      </c>
      <c r="E2102" s="7" t="s">
        <v>348</v>
      </c>
      <c r="F2102" s="8" t="str">
        <f>_xlfn.IFNA(INDEX('HS Codes'!$D$2:$K4656,MATCH($B2102,'HS Codes'!$A$2:$A4656,0),MATCH(F$1,'HS Codes'!$D$1:$K$1,0)),"")</f>
        <v>6302.93.2000</v>
      </c>
      <c r="G2102" s="8">
        <f>_xlfn.IFNA(INDEX('HS Codes'!$D$2:$K4656,MATCH($B2102,'HS Codes'!$A$2:$A4656,0),MATCH(G$1,'HS Codes'!$D$1:$K$1,0)),"")</f>
        <v>6302600090</v>
      </c>
      <c r="H2102" s="8" t="str">
        <f>_xlfn.IFNA(INDEX('HS Codes'!$D$2:$K4656,MATCH($B2102,'HS Codes'!$A$2:$A4656,0),MATCH(H$1,'HS Codes'!$D$1:$K$1,0)),"")</f>
        <v>6302.93.00.00</v>
      </c>
      <c r="I2102" s="8">
        <f>_xlfn.IFNA(INDEX('HS Codes'!$D$2:$K4656,MATCH($B2102,'HS Codes'!$A$2:$A4656,0),MATCH(I$1,'HS Codes'!$D$1:$K$1,0)),"")</f>
        <v>63029390</v>
      </c>
      <c r="J2102" s="8">
        <f>_xlfn.IFNA(INDEX('HS Codes'!$D$2:$K4656,MATCH($B2102,'HS Codes'!$A$2:$A4656,0),MATCH(J$1,'HS Codes'!$D$1:$K$1,0)),"")</f>
        <v>0</v>
      </c>
      <c r="K2102" s="8" t="str">
        <f>_xlfn.IFNA(INDEX('HS Codes'!$D$2:$K4656,MATCH($B2102,'HS Codes'!$A$2:$A4656,0),MATCH(K$1,'HS Codes'!$D$1:$K$1,0)),"")</f>
        <v>6302.39.00</v>
      </c>
      <c r="L2102" s="8">
        <f>_xlfn.IFNA(INDEX('HS Codes'!$D$2:$K4656,MATCH($B2102,'HS Codes'!$A$2:$A4656,0),MATCH(L$1,'HS Codes'!$D$1:$K$1,0)),"")</f>
        <v>63029120</v>
      </c>
      <c r="M2102" s="8" t="str">
        <f>_xlfn.IFNA(INDEX('HS Codes'!$C$2:$C4656,MATCH($B2102,'HS Codes'!$A$2:$A4656,0)),"")</f>
        <v>Beach Towel - Toilet Linen 100% recycled 220 GSM/83% polyester/17% polyamide includes cotton on the packing pouch drawstring</v>
      </c>
      <c r="N2102" s="9"/>
      <c r="O2102" s="9"/>
      <c r="P2102" s="9"/>
      <c r="Q2102" s="9"/>
    </row>
    <row r="2103" spans="1:17" ht="15.75" customHeight="1">
      <c r="A2103" s="7" t="s">
        <v>2396</v>
      </c>
      <c r="B2103" s="7" t="s">
        <v>164</v>
      </c>
      <c r="C2103" s="7" t="s">
        <v>278</v>
      </c>
      <c r="D2103" s="7" t="s">
        <v>165</v>
      </c>
      <c r="E2103" s="7" t="s">
        <v>348</v>
      </c>
      <c r="F2103" s="8" t="str">
        <f>_xlfn.IFNA(INDEX('HS Codes'!$D$2:$K4657,MATCH($B2103,'HS Codes'!$A$2:$A4657,0),MATCH(F$1,'HS Codes'!$D$1:$K$1,0)),"")</f>
        <v>6302.93.2000</v>
      </c>
      <c r="G2103" s="8">
        <f>_xlfn.IFNA(INDEX('HS Codes'!$D$2:$K4657,MATCH($B2103,'HS Codes'!$A$2:$A4657,0),MATCH(G$1,'HS Codes'!$D$1:$K$1,0)),"")</f>
        <v>6302600090</v>
      </c>
      <c r="H2103" s="8" t="str">
        <f>_xlfn.IFNA(INDEX('HS Codes'!$D$2:$K4657,MATCH($B2103,'HS Codes'!$A$2:$A4657,0),MATCH(H$1,'HS Codes'!$D$1:$K$1,0)),"")</f>
        <v>6302.93.00.00</v>
      </c>
      <c r="I2103" s="8">
        <f>_xlfn.IFNA(INDEX('HS Codes'!$D$2:$K4657,MATCH($B2103,'HS Codes'!$A$2:$A4657,0),MATCH(I$1,'HS Codes'!$D$1:$K$1,0)),"")</f>
        <v>63029390</v>
      </c>
      <c r="J2103" s="8">
        <f>_xlfn.IFNA(INDEX('HS Codes'!$D$2:$K4657,MATCH($B2103,'HS Codes'!$A$2:$A4657,0),MATCH(J$1,'HS Codes'!$D$1:$K$1,0)),"")</f>
        <v>0</v>
      </c>
      <c r="K2103" s="8" t="str">
        <f>_xlfn.IFNA(INDEX('HS Codes'!$D$2:$K4657,MATCH($B2103,'HS Codes'!$A$2:$A4657,0),MATCH(K$1,'HS Codes'!$D$1:$K$1,0)),"")</f>
        <v>6302.39.00</v>
      </c>
      <c r="L2103" s="8">
        <f>_xlfn.IFNA(INDEX('HS Codes'!$D$2:$K4657,MATCH($B2103,'HS Codes'!$A$2:$A4657,0),MATCH(L$1,'HS Codes'!$D$1:$K$1,0)),"")</f>
        <v>63029120</v>
      </c>
      <c r="M2103" s="8" t="str">
        <f>_xlfn.IFNA(INDEX('HS Codes'!$C$2:$C4657,MATCH($B2103,'HS Codes'!$A$2:$A4657,0)),"")</f>
        <v>Beach Towel - Toilet Linen 100% recycled 220 GSM/83% polyester/17% polyamide includes cotton on the packing pouch drawstring</v>
      </c>
      <c r="N2103" s="9"/>
      <c r="O2103" s="9"/>
      <c r="P2103" s="9"/>
      <c r="Q2103" s="9"/>
    </row>
    <row r="2104" spans="1:17" ht="15.75" customHeight="1">
      <c r="A2104" s="7" t="s">
        <v>2397</v>
      </c>
      <c r="B2104" s="7" t="s">
        <v>164</v>
      </c>
      <c r="C2104" s="7" t="s">
        <v>278</v>
      </c>
      <c r="D2104" s="7" t="s">
        <v>165</v>
      </c>
      <c r="E2104" s="7" t="s">
        <v>348</v>
      </c>
      <c r="F2104" s="8" t="str">
        <f>_xlfn.IFNA(INDEX('HS Codes'!$D$2:$K4658,MATCH($B2104,'HS Codes'!$A$2:$A4658,0),MATCH(F$1,'HS Codes'!$D$1:$K$1,0)),"")</f>
        <v>6302.93.2000</v>
      </c>
      <c r="G2104" s="8">
        <f>_xlfn.IFNA(INDEX('HS Codes'!$D$2:$K4658,MATCH($B2104,'HS Codes'!$A$2:$A4658,0),MATCH(G$1,'HS Codes'!$D$1:$K$1,0)),"")</f>
        <v>6302600090</v>
      </c>
      <c r="H2104" s="8" t="str">
        <f>_xlfn.IFNA(INDEX('HS Codes'!$D$2:$K4658,MATCH($B2104,'HS Codes'!$A$2:$A4658,0),MATCH(H$1,'HS Codes'!$D$1:$K$1,0)),"")</f>
        <v>6302.93.00.00</v>
      </c>
      <c r="I2104" s="8">
        <f>_xlfn.IFNA(INDEX('HS Codes'!$D$2:$K4658,MATCH($B2104,'HS Codes'!$A$2:$A4658,0),MATCH(I$1,'HS Codes'!$D$1:$K$1,0)),"")</f>
        <v>63029390</v>
      </c>
      <c r="J2104" s="8">
        <f>_xlfn.IFNA(INDEX('HS Codes'!$D$2:$K4658,MATCH($B2104,'HS Codes'!$A$2:$A4658,0),MATCH(J$1,'HS Codes'!$D$1:$K$1,0)),"")</f>
        <v>0</v>
      </c>
      <c r="K2104" s="8" t="str">
        <f>_xlfn.IFNA(INDEX('HS Codes'!$D$2:$K4658,MATCH($B2104,'HS Codes'!$A$2:$A4658,0),MATCH(K$1,'HS Codes'!$D$1:$K$1,0)),"")</f>
        <v>6302.39.00</v>
      </c>
      <c r="L2104" s="8">
        <f>_xlfn.IFNA(INDEX('HS Codes'!$D$2:$K4658,MATCH($B2104,'HS Codes'!$A$2:$A4658,0),MATCH(L$1,'HS Codes'!$D$1:$K$1,0)),"")</f>
        <v>63029120</v>
      </c>
      <c r="M2104" s="8" t="str">
        <f>_xlfn.IFNA(INDEX('HS Codes'!$C$2:$C4658,MATCH($B2104,'HS Codes'!$A$2:$A4658,0)),"")</f>
        <v>Beach Towel - Toilet Linen 100% recycled 220 GSM/83% polyester/17% polyamide includes cotton on the packing pouch drawstring</v>
      </c>
      <c r="N2104" s="9"/>
      <c r="O2104" s="9"/>
      <c r="P2104" s="9"/>
      <c r="Q2104" s="9"/>
    </row>
    <row r="2105" spans="1:17" ht="15.75" customHeight="1">
      <c r="A2105" s="7" t="s">
        <v>2398</v>
      </c>
      <c r="B2105" s="7" t="s">
        <v>164</v>
      </c>
      <c r="C2105" s="7" t="s">
        <v>278</v>
      </c>
      <c r="D2105" s="7" t="s">
        <v>165</v>
      </c>
      <c r="E2105" s="7" t="s">
        <v>348</v>
      </c>
      <c r="F2105" s="8" t="str">
        <f>_xlfn.IFNA(INDEX('HS Codes'!$D$2:$K4659,MATCH($B2105,'HS Codes'!$A$2:$A4659,0),MATCH(F$1,'HS Codes'!$D$1:$K$1,0)),"")</f>
        <v>6302.93.2000</v>
      </c>
      <c r="G2105" s="8">
        <f>_xlfn.IFNA(INDEX('HS Codes'!$D$2:$K4659,MATCH($B2105,'HS Codes'!$A$2:$A4659,0),MATCH(G$1,'HS Codes'!$D$1:$K$1,0)),"")</f>
        <v>6302600090</v>
      </c>
      <c r="H2105" s="8" t="str">
        <f>_xlfn.IFNA(INDEX('HS Codes'!$D$2:$K4659,MATCH($B2105,'HS Codes'!$A$2:$A4659,0),MATCH(H$1,'HS Codes'!$D$1:$K$1,0)),"")</f>
        <v>6302.93.00.00</v>
      </c>
      <c r="I2105" s="8">
        <f>_xlfn.IFNA(INDEX('HS Codes'!$D$2:$K4659,MATCH($B2105,'HS Codes'!$A$2:$A4659,0),MATCH(I$1,'HS Codes'!$D$1:$K$1,0)),"")</f>
        <v>63029390</v>
      </c>
      <c r="J2105" s="8">
        <f>_xlfn.IFNA(INDEX('HS Codes'!$D$2:$K4659,MATCH($B2105,'HS Codes'!$A$2:$A4659,0),MATCH(J$1,'HS Codes'!$D$1:$K$1,0)),"")</f>
        <v>0</v>
      </c>
      <c r="K2105" s="8" t="str">
        <f>_xlfn.IFNA(INDEX('HS Codes'!$D$2:$K4659,MATCH($B2105,'HS Codes'!$A$2:$A4659,0),MATCH(K$1,'HS Codes'!$D$1:$K$1,0)),"")</f>
        <v>6302.39.00</v>
      </c>
      <c r="L2105" s="8">
        <f>_xlfn.IFNA(INDEX('HS Codes'!$D$2:$K4659,MATCH($B2105,'HS Codes'!$A$2:$A4659,0),MATCH(L$1,'HS Codes'!$D$1:$K$1,0)),"")</f>
        <v>63029120</v>
      </c>
      <c r="M2105" s="8" t="str">
        <f>_xlfn.IFNA(INDEX('HS Codes'!$C$2:$C4659,MATCH($B2105,'HS Codes'!$A$2:$A4659,0)),"")</f>
        <v>Beach Towel - Toilet Linen 100% recycled 220 GSM/83% polyester/17% polyamide includes cotton on the packing pouch drawstring</v>
      </c>
      <c r="N2105" s="9"/>
      <c r="O2105" s="9"/>
      <c r="P2105" s="9"/>
      <c r="Q2105" s="9"/>
    </row>
    <row r="2106" spans="1:17" ht="15.75" customHeight="1">
      <c r="A2106" s="7" t="s">
        <v>2399</v>
      </c>
      <c r="B2106" s="7" t="s">
        <v>164</v>
      </c>
      <c r="C2106" s="7" t="s">
        <v>278</v>
      </c>
      <c r="D2106" s="7" t="s">
        <v>165</v>
      </c>
      <c r="E2106" s="7" t="s">
        <v>348</v>
      </c>
      <c r="F2106" s="8" t="str">
        <f>_xlfn.IFNA(INDEX('HS Codes'!$D$2:$K4660,MATCH($B2106,'HS Codes'!$A$2:$A4660,0),MATCH(F$1,'HS Codes'!$D$1:$K$1,0)),"")</f>
        <v>6302.93.2000</v>
      </c>
      <c r="G2106" s="8">
        <f>_xlfn.IFNA(INDEX('HS Codes'!$D$2:$K4660,MATCH($B2106,'HS Codes'!$A$2:$A4660,0),MATCH(G$1,'HS Codes'!$D$1:$K$1,0)),"")</f>
        <v>6302600090</v>
      </c>
      <c r="H2106" s="8" t="str">
        <f>_xlfn.IFNA(INDEX('HS Codes'!$D$2:$K4660,MATCH($B2106,'HS Codes'!$A$2:$A4660,0),MATCH(H$1,'HS Codes'!$D$1:$K$1,0)),"")</f>
        <v>6302.93.00.00</v>
      </c>
      <c r="I2106" s="8">
        <f>_xlfn.IFNA(INDEX('HS Codes'!$D$2:$K4660,MATCH($B2106,'HS Codes'!$A$2:$A4660,0),MATCH(I$1,'HS Codes'!$D$1:$K$1,0)),"")</f>
        <v>63029390</v>
      </c>
      <c r="J2106" s="8">
        <f>_xlfn.IFNA(INDEX('HS Codes'!$D$2:$K4660,MATCH($B2106,'HS Codes'!$A$2:$A4660,0),MATCH(J$1,'HS Codes'!$D$1:$K$1,0)),"")</f>
        <v>0</v>
      </c>
      <c r="K2106" s="8" t="str">
        <f>_xlfn.IFNA(INDEX('HS Codes'!$D$2:$K4660,MATCH($B2106,'HS Codes'!$A$2:$A4660,0),MATCH(K$1,'HS Codes'!$D$1:$K$1,0)),"")</f>
        <v>6302.39.00</v>
      </c>
      <c r="L2106" s="8">
        <f>_xlfn.IFNA(INDEX('HS Codes'!$D$2:$K4660,MATCH($B2106,'HS Codes'!$A$2:$A4660,0),MATCH(L$1,'HS Codes'!$D$1:$K$1,0)),"")</f>
        <v>63029120</v>
      </c>
      <c r="M2106" s="8" t="str">
        <f>_xlfn.IFNA(INDEX('HS Codes'!$C$2:$C4660,MATCH($B2106,'HS Codes'!$A$2:$A4660,0)),"")</f>
        <v>Beach Towel - Toilet Linen 100% recycled 220 GSM/83% polyester/17% polyamide includes cotton on the packing pouch drawstring</v>
      </c>
      <c r="N2106" s="9"/>
      <c r="O2106" s="9"/>
      <c r="P2106" s="9"/>
      <c r="Q2106" s="9"/>
    </row>
    <row r="2107" spans="1:17" ht="15.75" customHeight="1">
      <c r="A2107" s="7" t="s">
        <v>2400</v>
      </c>
      <c r="B2107" s="7" t="s">
        <v>164</v>
      </c>
      <c r="C2107" s="7" t="s">
        <v>278</v>
      </c>
      <c r="D2107" s="7" t="s">
        <v>165</v>
      </c>
      <c r="E2107" s="7" t="s">
        <v>348</v>
      </c>
      <c r="F2107" s="8" t="str">
        <f>_xlfn.IFNA(INDEX('HS Codes'!$D$2:$K4661,MATCH($B2107,'HS Codes'!$A$2:$A4661,0),MATCH(F$1,'HS Codes'!$D$1:$K$1,0)),"")</f>
        <v>6302.93.2000</v>
      </c>
      <c r="G2107" s="8">
        <f>_xlfn.IFNA(INDEX('HS Codes'!$D$2:$K4661,MATCH($B2107,'HS Codes'!$A$2:$A4661,0),MATCH(G$1,'HS Codes'!$D$1:$K$1,0)),"")</f>
        <v>6302600090</v>
      </c>
      <c r="H2107" s="8" t="str">
        <f>_xlfn.IFNA(INDEX('HS Codes'!$D$2:$K4661,MATCH($B2107,'HS Codes'!$A$2:$A4661,0),MATCH(H$1,'HS Codes'!$D$1:$K$1,0)),"")</f>
        <v>6302.93.00.00</v>
      </c>
      <c r="I2107" s="8">
        <f>_xlfn.IFNA(INDEX('HS Codes'!$D$2:$K4661,MATCH($B2107,'HS Codes'!$A$2:$A4661,0),MATCH(I$1,'HS Codes'!$D$1:$K$1,0)),"")</f>
        <v>63029390</v>
      </c>
      <c r="J2107" s="8">
        <f>_xlfn.IFNA(INDEX('HS Codes'!$D$2:$K4661,MATCH($B2107,'HS Codes'!$A$2:$A4661,0),MATCH(J$1,'HS Codes'!$D$1:$K$1,0)),"")</f>
        <v>0</v>
      </c>
      <c r="K2107" s="8" t="str">
        <f>_xlfn.IFNA(INDEX('HS Codes'!$D$2:$K4661,MATCH($B2107,'HS Codes'!$A$2:$A4661,0),MATCH(K$1,'HS Codes'!$D$1:$K$1,0)),"")</f>
        <v>6302.39.00</v>
      </c>
      <c r="L2107" s="8">
        <f>_xlfn.IFNA(INDEX('HS Codes'!$D$2:$K4661,MATCH($B2107,'HS Codes'!$A$2:$A4661,0),MATCH(L$1,'HS Codes'!$D$1:$K$1,0)),"")</f>
        <v>63029120</v>
      </c>
      <c r="M2107" s="8" t="str">
        <f>_xlfn.IFNA(INDEX('HS Codes'!$C$2:$C4661,MATCH($B2107,'HS Codes'!$A$2:$A4661,0)),"")</f>
        <v>Beach Towel - Toilet Linen 100% recycled 220 GSM/83% polyester/17% polyamide includes cotton on the packing pouch drawstring</v>
      </c>
      <c r="N2107" s="9"/>
      <c r="O2107" s="9"/>
      <c r="P2107" s="9"/>
      <c r="Q2107" s="9"/>
    </row>
    <row r="2108" spans="1:17" ht="15.75" customHeight="1">
      <c r="A2108" s="7" t="s">
        <v>2401</v>
      </c>
      <c r="B2108" s="7" t="s">
        <v>129</v>
      </c>
      <c r="C2108" s="7" t="s">
        <v>278</v>
      </c>
      <c r="D2108" s="7" t="s">
        <v>130</v>
      </c>
      <c r="E2108" s="7" t="s">
        <v>360</v>
      </c>
      <c r="F2108" s="8" t="str">
        <f>_xlfn.IFNA(INDEX('HS Codes'!$D$2:$K4662,MATCH($B2108,'HS Codes'!$A$2:$A4662,0),MATCH(F$1,'HS Codes'!$D$1:$K$1,0)),"")</f>
        <v>6504.00.90.15</v>
      </c>
      <c r="G2108" s="8">
        <f>_xlfn.IFNA(INDEX('HS Codes'!$D$2:$K4662,MATCH($B2108,'HS Codes'!$A$2:$A4662,0),MATCH(G$1,'HS Codes'!$D$1:$K$1,0)),"")</f>
        <v>6505009090</v>
      </c>
      <c r="H2108" s="8" t="str">
        <f>_xlfn.IFNA(INDEX('HS Codes'!$D$2:$K4662,MATCH($B2108,'HS Codes'!$A$2:$A4662,0),MATCH(H$1,'HS Codes'!$D$1:$K$1,0)),"")</f>
        <v>6505.00.40.00</v>
      </c>
      <c r="I2108" s="8" t="str">
        <f>_xlfn.IFNA(INDEX('HS Codes'!$D$2:$K4662,MATCH($B2108,'HS Codes'!$A$2:$A4662,0),MATCH(I$1,'HS Codes'!$D$1:$K$1,0)),"")</f>
        <v>6505.00.90.90</v>
      </c>
      <c r="J2108" s="8">
        <f>_xlfn.IFNA(INDEX('HS Codes'!$D$2:$K4662,MATCH($B2108,'HS Codes'!$A$2:$A4662,0),MATCH(J$1,'HS Codes'!$D$1:$K$1,0)),"")</f>
        <v>0</v>
      </c>
      <c r="K2108" s="8" t="str">
        <f>_xlfn.IFNA(INDEX('HS Codes'!$D$2:$K4662,MATCH($B2108,'HS Codes'!$A$2:$A4662,0),MATCH(K$1,'HS Codes'!$D$1:$K$1,0)),"")</f>
        <v>6505.00.90</v>
      </c>
      <c r="L2108" s="8">
        <f>_xlfn.IFNA(INDEX('HS Codes'!$D$2:$K4662,MATCH($B2108,'HS Codes'!$A$2:$A4662,0),MATCH(L$1,'HS Codes'!$D$1:$K$1,0)),"")</f>
        <v>0</v>
      </c>
      <c r="M2108" s="8" t="str">
        <f>_xlfn.IFNA(INDEX('HS Codes'!$C$2:$C4662,MATCH($B2108,'HS Codes'!$A$2:$A4662,0)),"")</f>
        <v>Head Towel 100% recycled 200 GSM/83% polyester/17% polyamide (no cotton)</v>
      </c>
      <c r="N2108" s="9"/>
      <c r="O2108" s="9"/>
      <c r="P2108" s="9"/>
      <c r="Q2108" s="9"/>
    </row>
    <row r="2109" spans="1:17" ht="15.75" customHeight="1">
      <c r="A2109" s="7" t="s">
        <v>2402</v>
      </c>
      <c r="B2109" s="7" t="s">
        <v>129</v>
      </c>
      <c r="C2109" s="7" t="s">
        <v>278</v>
      </c>
      <c r="D2109" s="7" t="s">
        <v>130</v>
      </c>
      <c r="E2109" s="7" t="s">
        <v>360</v>
      </c>
      <c r="F2109" s="8" t="str">
        <f>_xlfn.IFNA(INDEX('HS Codes'!$D$2:$K4663,MATCH($B2109,'HS Codes'!$A$2:$A4663,0),MATCH(F$1,'HS Codes'!$D$1:$K$1,0)),"")</f>
        <v>6504.00.90.15</v>
      </c>
      <c r="G2109" s="8">
        <f>_xlfn.IFNA(INDEX('HS Codes'!$D$2:$K4663,MATCH($B2109,'HS Codes'!$A$2:$A4663,0),MATCH(G$1,'HS Codes'!$D$1:$K$1,0)),"")</f>
        <v>6505009090</v>
      </c>
      <c r="H2109" s="8" t="str">
        <f>_xlfn.IFNA(INDEX('HS Codes'!$D$2:$K4663,MATCH($B2109,'HS Codes'!$A$2:$A4663,0),MATCH(H$1,'HS Codes'!$D$1:$K$1,0)),"")</f>
        <v>6505.00.40.00</v>
      </c>
      <c r="I2109" s="8" t="str">
        <f>_xlfn.IFNA(INDEX('HS Codes'!$D$2:$K4663,MATCH($B2109,'HS Codes'!$A$2:$A4663,0),MATCH(I$1,'HS Codes'!$D$1:$K$1,0)),"")</f>
        <v>6505.00.90.90</v>
      </c>
      <c r="J2109" s="8">
        <f>_xlfn.IFNA(INDEX('HS Codes'!$D$2:$K4663,MATCH($B2109,'HS Codes'!$A$2:$A4663,0),MATCH(J$1,'HS Codes'!$D$1:$K$1,0)),"")</f>
        <v>0</v>
      </c>
      <c r="K2109" s="8" t="str">
        <f>_xlfn.IFNA(INDEX('HS Codes'!$D$2:$K4663,MATCH($B2109,'HS Codes'!$A$2:$A4663,0),MATCH(K$1,'HS Codes'!$D$1:$K$1,0)),"")</f>
        <v>6505.00.90</v>
      </c>
      <c r="L2109" s="8">
        <f>_xlfn.IFNA(INDEX('HS Codes'!$D$2:$K4663,MATCH($B2109,'HS Codes'!$A$2:$A4663,0),MATCH(L$1,'HS Codes'!$D$1:$K$1,0)),"")</f>
        <v>0</v>
      </c>
      <c r="M2109" s="8" t="str">
        <f>_xlfn.IFNA(INDEX('HS Codes'!$C$2:$C4663,MATCH($B2109,'HS Codes'!$A$2:$A4663,0)),"")</f>
        <v>Head Towel 100% recycled 200 GSM/83% polyester/17% polyamide (no cotton)</v>
      </c>
      <c r="N2109" s="9"/>
      <c r="O2109" s="9"/>
      <c r="P2109" s="9"/>
      <c r="Q2109" s="9"/>
    </row>
    <row r="2110" spans="1:17" ht="15.75" customHeight="1">
      <c r="A2110" s="7" t="s">
        <v>2403</v>
      </c>
      <c r="B2110" s="7" t="s">
        <v>129</v>
      </c>
      <c r="C2110" s="7" t="s">
        <v>278</v>
      </c>
      <c r="D2110" s="7" t="s">
        <v>130</v>
      </c>
      <c r="E2110" s="7" t="s">
        <v>360</v>
      </c>
      <c r="F2110" s="8" t="str">
        <f>_xlfn.IFNA(INDEX('HS Codes'!$D$2:$K4664,MATCH($B2110,'HS Codes'!$A$2:$A4664,0),MATCH(F$1,'HS Codes'!$D$1:$K$1,0)),"")</f>
        <v>6504.00.90.15</v>
      </c>
      <c r="G2110" s="8">
        <f>_xlfn.IFNA(INDEX('HS Codes'!$D$2:$K4664,MATCH($B2110,'HS Codes'!$A$2:$A4664,0),MATCH(G$1,'HS Codes'!$D$1:$K$1,0)),"")</f>
        <v>6505009090</v>
      </c>
      <c r="H2110" s="8" t="str">
        <f>_xlfn.IFNA(INDEX('HS Codes'!$D$2:$K4664,MATCH($B2110,'HS Codes'!$A$2:$A4664,0),MATCH(H$1,'HS Codes'!$D$1:$K$1,0)),"")</f>
        <v>6505.00.40.00</v>
      </c>
      <c r="I2110" s="8" t="str">
        <f>_xlfn.IFNA(INDEX('HS Codes'!$D$2:$K4664,MATCH($B2110,'HS Codes'!$A$2:$A4664,0),MATCH(I$1,'HS Codes'!$D$1:$K$1,0)),"")</f>
        <v>6505.00.90.90</v>
      </c>
      <c r="J2110" s="8">
        <f>_xlfn.IFNA(INDEX('HS Codes'!$D$2:$K4664,MATCH($B2110,'HS Codes'!$A$2:$A4664,0),MATCH(J$1,'HS Codes'!$D$1:$K$1,0)),"")</f>
        <v>0</v>
      </c>
      <c r="K2110" s="8" t="str">
        <f>_xlfn.IFNA(INDEX('HS Codes'!$D$2:$K4664,MATCH($B2110,'HS Codes'!$A$2:$A4664,0),MATCH(K$1,'HS Codes'!$D$1:$K$1,0)),"")</f>
        <v>6505.00.90</v>
      </c>
      <c r="L2110" s="8">
        <f>_xlfn.IFNA(INDEX('HS Codes'!$D$2:$K4664,MATCH($B2110,'HS Codes'!$A$2:$A4664,0),MATCH(L$1,'HS Codes'!$D$1:$K$1,0)),"")</f>
        <v>0</v>
      </c>
      <c r="M2110" s="8" t="str">
        <f>_xlfn.IFNA(INDEX('HS Codes'!$C$2:$C4664,MATCH($B2110,'HS Codes'!$A$2:$A4664,0)),"")</f>
        <v>Head Towel 100% recycled 200 GSM/83% polyester/17% polyamide (no cotton)</v>
      </c>
      <c r="N2110" s="9"/>
      <c r="O2110" s="9"/>
      <c r="P2110" s="9"/>
      <c r="Q2110" s="9"/>
    </row>
    <row r="2111" spans="1:17" ht="15.75" customHeight="1">
      <c r="A2111" s="7" t="s">
        <v>2404</v>
      </c>
      <c r="B2111" s="7" t="s">
        <v>129</v>
      </c>
      <c r="C2111" s="7" t="s">
        <v>278</v>
      </c>
      <c r="D2111" s="7" t="s">
        <v>130</v>
      </c>
      <c r="E2111" s="7" t="s">
        <v>360</v>
      </c>
      <c r="F2111" s="8" t="str">
        <f>_xlfn.IFNA(INDEX('HS Codes'!$D$2:$K4665,MATCH($B2111,'HS Codes'!$A$2:$A4665,0),MATCH(F$1,'HS Codes'!$D$1:$K$1,0)),"")</f>
        <v>6504.00.90.15</v>
      </c>
      <c r="G2111" s="8">
        <f>_xlfn.IFNA(INDEX('HS Codes'!$D$2:$K4665,MATCH($B2111,'HS Codes'!$A$2:$A4665,0),MATCH(G$1,'HS Codes'!$D$1:$K$1,0)),"")</f>
        <v>6505009090</v>
      </c>
      <c r="H2111" s="8" t="str">
        <f>_xlfn.IFNA(INDEX('HS Codes'!$D$2:$K4665,MATCH($B2111,'HS Codes'!$A$2:$A4665,0),MATCH(H$1,'HS Codes'!$D$1:$K$1,0)),"")</f>
        <v>6505.00.40.00</v>
      </c>
      <c r="I2111" s="8" t="str">
        <f>_xlfn.IFNA(INDEX('HS Codes'!$D$2:$K4665,MATCH($B2111,'HS Codes'!$A$2:$A4665,0),MATCH(I$1,'HS Codes'!$D$1:$K$1,0)),"")</f>
        <v>6505.00.90.90</v>
      </c>
      <c r="J2111" s="8">
        <f>_xlfn.IFNA(INDEX('HS Codes'!$D$2:$K4665,MATCH($B2111,'HS Codes'!$A$2:$A4665,0),MATCH(J$1,'HS Codes'!$D$1:$K$1,0)),"")</f>
        <v>0</v>
      </c>
      <c r="K2111" s="8" t="str">
        <f>_xlfn.IFNA(INDEX('HS Codes'!$D$2:$K4665,MATCH($B2111,'HS Codes'!$A$2:$A4665,0),MATCH(K$1,'HS Codes'!$D$1:$K$1,0)),"")</f>
        <v>6505.00.90</v>
      </c>
      <c r="L2111" s="8">
        <f>_xlfn.IFNA(INDEX('HS Codes'!$D$2:$K4665,MATCH($B2111,'HS Codes'!$A$2:$A4665,0),MATCH(L$1,'HS Codes'!$D$1:$K$1,0)),"")</f>
        <v>0</v>
      </c>
      <c r="M2111" s="8" t="str">
        <f>_xlfn.IFNA(INDEX('HS Codes'!$C$2:$C4665,MATCH($B2111,'HS Codes'!$A$2:$A4665,0)),"")</f>
        <v>Head Towel 100% recycled 200 GSM/83% polyester/17% polyamide (no cotton)</v>
      </c>
      <c r="N2111" s="9"/>
      <c r="O2111" s="9"/>
      <c r="P2111" s="9"/>
      <c r="Q2111" s="9"/>
    </row>
    <row r="2112" spans="1:17" ht="15.75" customHeight="1">
      <c r="A2112" s="7" t="s">
        <v>2405</v>
      </c>
      <c r="B2112" s="7" t="s">
        <v>159</v>
      </c>
      <c r="C2112" s="7" t="s">
        <v>278</v>
      </c>
      <c r="D2112" s="7" t="s">
        <v>160</v>
      </c>
      <c r="E2112" s="7" t="s">
        <v>160</v>
      </c>
      <c r="F2112" s="8" t="str">
        <f>_xlfn.IFNA(INDEX('HS Codes'!$D$2:$K4666,MATCH($B2112,'HS Codes'!$A$2:$A4666,0),MATCH(F$1,'HS Codes'!$D$1:$K$1,0)),"")</f>
        <v>6302.53.00.20</v>
      </c>
      <c r="G2112" s="8">
        <f>_xlfn.IFNA(INDEX('HS Codes'!$D$2:$K4666,MATCH($B2112,'HS Codes'!$A$2:$A4666,0),MATCH(G$1,'HS Codes'!$D$1:$K$1,0)),"")</f>
        <v>6302531000</v>
      </c>
      <c r="H2112" s="8">
        <f>_xlfn.IFNA(INDEX('HS Codes'!$D$2:$K4666,MATCH($B2112,'HS Codes'!$A$2:$A4666,0),MATCH(H$1,'HS Codes'!$D$1:$K$1,0)),"")</f>
        <v>6302531000</v>
      </c>
      <c r="I2112" s="8">
        <f>_xlfn.IFNA(INDEX('HS Codes'!$D$2:$K4666,MATCH($B2112,'HS Codes'!$A$2:$A4666,0),MATCH(I$1,'HS Codes'!$D$1:$K$1,0)),"")</f>
        <v>63029310</v>
      </c>
      <c r="J2112" s="8">
        <f>_xlfn.IFNA(INDEX('HS Codes'!$D$2:$K4666,MATCH($B2112,'HS Codes'!$A$2:$A4666,0),MATCH(J$1,'HS Codes'!$D$1:$K$1,0)),"")</f>
        <v>0</v>
      </c>
      <c r="K2112" s="8" t="str">
        <f>_xlfn.IFNA(INDEX('HS Codes'!$D$2:$K4666,MATCH($B2112,'HS Codes'!$A$2:$A4666,0),MATCH(K$1,'HS Codes'!$D$1:$K$1,0)),"")</f>
        <v>6302.53.00</v>
      </c>
      <c r="L2112" s="8">
        <f>_xlfn.IFNA(INDEX('HS Codes'!$D$2:$K4666,MATCH($B2112,'HS Codes'!$A$2:$A4666,0),MATCH(L$1,'HS Codes'!$D$1:$K$1,0)),"")</f>
        <v>0</v>
      </c>
      <c r="M2112" s="8" t="str">
        <f>_xlfn.IFNA(INDEX('HS Codes'!$C$2:$C4666,MATCH($B2112,'HS Codes'!$A$2:$A4666,0)),"")</f>
        <v>Kitchen Linen 100% recycled 300 GSM/83% polyester/17% polyamide (no cotton)</v>
      </c>
      <c r="N2112" s="9"/>
      <c r="O2112" s="9"/>
      <c r="P2112" s="9"/>
      <c r="Q2112" s="9"/>
    </row>
    <row r="2113" spans="1:17" ht="15.75" customHeight="1">
      <c r="A2113" s="7" t="s">
        <v>2406</v>
      </c>
      <c r="B2113" s="7" t="s">
        <v>159</v>
      </c>
      <c r="C2113" s="7" t="s">
        <v>278</v>
      </c>
      <c r="D2113" s="7" t="s">
        <v>160</v>
      </c>
      <c r="E2113" s="7" t="s">
        <v>160</v>
      </c>
      <c r="F2113" s="8" t="str">
        <f>_xlfn.IFNA(INDEX('HS Codes'!$D$2:$K4667,MATCH($B2113,'HS Codes'!$A$2:$A4667,0),MATCH(F$1,'HS Codes'!$D$1:$K$1,0)),"")</f>
        <v>6302.53.00.20</v>
      </c>
      <c r="G2113" s="8">
        <f>_xlfn.IFNA(INDEX('HS Codes'!$D$2:$K4667,MATCH($B2113,'HS Codes'!$A$2:$A4667,0),MATCH(G$1,'HS Codes'!$D$1:$K$1,0)),"")</f>
        <v>6302531000</v>
      </c>
      <c r="H2113" s="8">
        <f>_xlfn.IFNA(INDEX('HS Codes'!$D$2:$K4667,MATCH($B2113,'HS Codes'!$A$2:$A4667,0),MATCH(H$1,'HS Codes'!$D$1:$K$1,0)),"")</f>
        <v>6302531000</v>
      </c>
      <c r="I2113" s="8">
        <f>_xlfn.IFNA(INDEX('HS Codes'!$D$2:$K4667,MATCH($B2113,'HS Codes'!$A$2:$A4667,0),MATCH(I$1,'HS Codes'!$D$1:$K$1,0)),"")</f>
        <v>63029310</v>
      </c>
      <c r="J2113" s="8">
        <f>_xlfn.IFNA(INDEX('HS Codes'!$D$2:$K4667,MATCH($B2113,'HS Codes'!$A$2:$A4667,0),MATCH(J$1,'HS Codes'!$D$1:$K$1,0)),"")</f>
        <v>0</v>
      </c>
      <c r="K2113" s="8" t="str">
        <f>_xlfn.IFNA(INDEX('HS Codes'!$D$2:$K4667,MATCH($B2113,'HS Codes'!$A$2:$A4667,0),MATCH(K$1,'HS Codes'!$D$1:$K$1,0)),"")</f>
        <v>6302.53.00</v>
      </c>
      <c r="L2113" s="8">
        <f>_xlfn.IFNA(INDEX('HS Codes'!$D$2:$K4667,MATCH($B2113,'HS Codes'!$A$2:$A4667,0),MATCH(L$1,'HS Codes'!$D$1:$K$1,0)),"")</f>
        <v>0</v>
      </c>
      <c r="M2113" s="8" t="str">
        <f>_xlfn.IFNA(INDEX('HS Codes'!$C$2:$C4667,MATCH($B2113,'HS Codes'!$A$2:$A4667,0)),"")</f>
        <v>Kitchen Linen 100% recycled 300 GSM/83% polyester/17% polyamide (no cotton)</v>
      </c>
      <c r="N2113" s="9"/>
      <c r="O2113" s="9"/>
      <c r="P2113" s="9"/>
      <c r="Q2113" s="9"/>
    </row>
    <row r="2114" spans="1:17" ht="15.75" customHeight="1">
      <c r="A2114" s="7" t="s">
        <v>2407</v>
      </c>
      <c r="B2114" s="7" t="s">
        <v>159</v>
      </c>
      <c r="C2114" s="7" t="s">
        <v>278</v>
      </c>
      <c r="D2114" s="7" t="s">
        <v>160</v>
      </c>
      <c r="E2114" s="7" t="s">
        <v>160</v>
      </c>
      <c r="F2114" s="8" t="str">
        <f>_xlfn.IFNA(INDEX('HS Codes'!$D$2:$K4668,MATCH($B2114,'HS Codes'!$A$2:$A4668,0),MATCH(F$1,'HS Codes'!$D$1:$K$1,0)),"")</f>
        <v>6302.53.00.20</v>
      </c>
      <c r="G2114" s="8">
        <f>_xlfn.IFNA(INDEX('HS Codes'!$D$2:$K4668,MATCH($B2114,'HS Codes'!$A$2:$A4668,0),MATCH(G$1,'HS Codes'!$D$1:$K$1,0)),"")</f>
        <v>6302531000</v>
      </c>
      <c r="H2114" s="8">
        <f>_xlfn.IFNA(INDEX('HS Codes'!$D$2:$K4668,MATCH($B2114,'HS Codes'!$A$2:$A4668,0),MATCH(H$1,'HS Codes'!$D$1:$K$1,0)),"")</f>
        <v>6302531000</v>
      </c>
      <c r="I2114" s="8">
        <f>_xlfn.IFNA(INDEX('HS Codes'!$D$2:$K4668,MATCH($B2114,'HS Codes'!$A$2:$A4668,0),MATCH(I$1,'HS Codes'!$D$1:$K$1,0)),"")</f>
        <v>63029310</v>
      </c>
      <c r="J2114" s="8">
        <f>_xlfn.IFNA(INDEX('HS Codes'!$D$2:$K4668,MATCH($B2114,'HS Codes'!$A$2:$A4668,0),MATCH(J$1,'HS Codes'!$D$1:$K$1,0)),"")</f>
        <v>0</v>
      </c>
      <c r="K2114" s="8" t="str">
        <f>_xlfn.IFNA(INDEX('HS Codes'!$D$2:$K4668,MATCH($B2114,'HS Codes'!$A$2:$A4668,0),MATCH(K$1,'HS Codes'!$D$1:$K$1,0)),"")</f>
        <v>6302.53.00</v>
      </c>
      <c r="L2114" s="8">
        <f>_xlfn.IFNA(INDEX('HS Codes'!$D$2:$K4668,MATCH($B2114,'HS Codes'!$A$2:$A4668,0),MATCH(L$1,'HS Codes'!$D$1:$K$1,0)),"")</f>
        <v>0</v>
      </c>
      <c r="M2114" s="8" t="str">
        <f>_xlfn.IFNA(INDEX('HS Codes'!$C$2:$C4668,MATCH($B2114,'HS Codes'!$A$2:$A4668,0)),"")</f>
        <v>Kitchen Linen 100% recycled 300 GSM/83% polyester/17% polyamide (no cotton)</v>
      </c>
      <c r="N2114" s="9"/>
      <c r="O2114" s="9"/>
      <c r="P2114" s="9"/>
      <c r="Q2114" s="9"/>
    </row>
    <row r="2115" spans="1:17" ht="15.75" customHeight="1">
      <c r="A2115" s="7" t="s">
        <v>2408</v>
      </c>
      <c r="B2115" s="7" t="s">
        <v>159</v>
      </c>
      <c r="C2115" s="7" t="s">
        <v>278</v>
      </c>
      <c r="D2115" s="7" t="s">
        <v>160</v>
      </c>
      <c r="E2115" s="7" t="s">
        <v>160</v>
      </c>
      <c r="F2115" s="8" t="str">
        <f>_xlfn.IFNA(INDEX('HS Codes'!$D$2:$K4669,MATCH($B2115,'HS Codes'!$A$2:$A4669,0),MATCH(F$1,'HS Codes'!$D$1:$K$1,0)),"")</f>
        <v>6302.53.00.20</v>
      </c>
      <c r="G2115" s="8">
        <f>_xlfn.IFNA(INDEX('HS Codes'!$D$2:$K4669,MATCH($B2115,'HS Codes'!$A$2:$A4669,0),MATCH(G$1,'HS Codes'!$D$1:$K$1,0)),"")</f>
        <v>6302531000</v>
      </c>
      <c r="H2115" s="8">
        <f>_xlfn.IFNA(INDEX('HS Codes'!$D$2:$K4669,MATCH($B2115,'HS Codes'!$A$2:$A4669,0),MATCH(H$1,'HS Codes'!$D$1:$K$1,0)),"")</f>
        <v>6302531000</v>
      </c>
      <c r="I2115" s="8">
        <f>_xlfn.IFNA(INDEX('HS Codes'!$D$2:$K4669,MATCH($B2115,'HS Codes'!$A$2:$A4669,0),MATCH(I$1,'HS Codes'!$D$1:$K$1,0)),"")</f>
        <v>63029310</v>
      </c>
      <c r="J2115" s="8">
        <f>_xlfn.IFNA(INDEX('HS Codes'!$D$2:$K4669,MATCH($B2115,'HS Codes'!$A$2:$A4669,0),MATCH(J$1,'HS Codes'!$D$1:$K$1,0)),"")</f>
        <v>0</v>
      </c>
      <c r="K2115" s="8" t="str">
        <f>_xlfn.IFNA(INDEX('HS Codes'!$D$2:$K4669,MATCH($B2115,'HS Codes'!$A$2:$A4669,0),MATCH(K$1,'HS Codes'!$D$1:$K$1,0)),"")</f>
        <v>6302.53.00</v>
      </c>
      <c r="L2115" s="8">
        <f>_xlfn.IFNA(INDEX('HS Codes'!$D$2:$K4669,MATCH($B2115,'HS Codes'!$A$2:$A4669,0),MATCH(L$1,'HS Codes'!$D$1:$K$1,0)),"")</f>
        <v>0</v>
      </c>
      <c r="M2115" s="8" t="str">
        <f>_xlfn.IFNA(INDEX('HS Codes'!$C$2:$C4669,MATCH($B2115,'HS Codes'!$A$2:$A4669,0)),"")</f>
        <v>Kitchen Linen 100% recycled 300 GSM/83% polyester/17% polyamide (no cotton)</v>
      </c>
      <c r="N2115" s="9"/>
      <c r="O2115" s="9"/>
      <c r="P2115" s="9"/>
      <c r="Q2115" s="9"/>
    </row>
    <row r="2116" spans="1:17" ht="15.75" customHeight="1">
      <c r="A2116" s="7" t="s">
        <v>2409</v>
      </c>
      <c r="B2116" s="7" t="s">
        <v>159</v>
      </c>
      <c r="C2116" s="7" t="s">
        <v>278</v>
      </c>
      <c r="D2116" s="7" t="s">
        <v>160</v>
      </c>
      <c r="E2116" s="7" t="s">
        <v>160</v>
      </c>
      <c r="F2116" s="8" t="str">
        <f>_xlfn.IFNA(INDEX('HS Codes'!$D$2:$K4670,MATCH($B2116,'HS Codes'!$A$2:$A4670,0),MATCH(F$1,'HS Codes'!$D$1:$K$1,0)),"")</f>
        <v>6302.53.00.20</v>
      </c>
      <c r="G2116" s="8">
        <f>_xlfn.IFNA(INDEX('HS Codes'!$D$2:$K4670,MATCH($B2116,'HS Codes'!$A$2:$A4670,0),MATCH(G$1,'HS Codes'!$D$1:$K$1,0)),"")</f>
        <v>6302531000</v>
      </c>
      <c r="H2116" s="8">
        <f>_xlfn.IFNA(INDEX('HS Codes'!$D$2:$K4670,MATCH($B2116,'HS Codes'!$A$2:$A4670,0),MATCH(H$1,'HS Codes'!$D$1:$K$1,0)),"")</f>
        <v>6302531000</v>
      </c>
      <c r="I2116" s="8">
        <f>_xlfn.IFNA(INDEX('HS Codes'!$D$2:$K4670,MATCH($B2116,'HS Codes'!$A$2:$A4670,0),MATCH(I$1,'HS Codes'!$D$1:$K$1,0)),"")</f>
        <v>63029310</v>
      </c>
      <c r="J2116" s="8">
        <f>_xlfn.IFNA(INDEX('HS Codes'!$D$2:$K4670,MATCH($B2116,'HS Codes'!$A$2:$A4670,0),MATCH(J$1,'HS Codes'!$D$1:$K$1,0)),"")</f>
        <v>0</v>
      </c>
      <c r="K2116" s="8" t="str">
        <f>_xlfn.IFNA(INDEX('HS Codes'!$D$2:$K4670,MATCH($B2116,'HS Codes'!$A$2:$A4670,0),MATCH(K$1,'HS Codes'!$D$1:$K$1,0)),"")</f>
        <v>6302.53.00</v>
      </c>
      <c r="L2116" s="8">
        <f>_xlfn.IFNA(INDEX('HS Codes'!$D$2:$K4670,MATCH($B2116,'HS Codes'!$A$2:$A4670,0),MATCH(L$1,'HS Codes'!$D$1:$K$1,0)),"")</f>
        <v>0</v>
      </c>
      <c r="M2116" s="8" t="str">
        <f>_xlfn.IFNA(INDEX('HS Codes'!$C$2:$C4670,MATCH($B2116,'HS Codes'!$A$2:$A4670,0)),"")</f>
        <v>Kitchen Linen 100% recycled 300 GSM/83% polyester/17% polyamide (no cotton)</v>
      </c>
      <c r="N2116" s="9"/>
      <c r="O2116" s="9"/>
      <c r="P2116" s="9"/>
      <c r="Q2116" s="9"/>
    </row>
    <row r="2117" spans="1:17" ht="15.75" customHeight="1">
      <c r="A2117" s="7" t="s">
        <v>2410</v>
      </c>
      <c r="B2117" s="7" t="s">
        <v>159</v>
      </c>
      <c r="C2117" s="7" t="s">
        <v>278</v>
      </c>
      <c r="D2117" s="7" t="s">
        <v>160</v>
      </c>
      <c r="E2117" s="7" t="s">
        <v>160</v>
      </c>
      <c r="F2117" s="8" t="str">
        <f>_xlfn.IFNA(INDEX('HS Codes'!$D$2:$K4671,MATCH($B2117,'HS Codes'!$A$2:$A4671,0),MATCH(F$1,'HS Codes'!$D$1:$K$1,0)),"")</f>
        <v>6302.53.00.20</v>
      </c>
      <c r="G2117" s="8">
        <f>_xlfn.IFNA(INDEX('HS Codes'!$D$2:$K4671,MATCH($B2117,'HS Codes'!$A$2:$A4671,0),MATCH(G$1,'HS Codes'!$D$1:$K$1,0)),"")</f>
        <v>6302531000</v>
      </c>
      <c r="H2117" s="8">
        <f>_xlfn.IFNA(INDEX('HS Codes'!$D$2:$K4671,MATCH($B2117,'HS Codes'!$A$2:$A4671,0),MATCH(H$1,'HS Codes'!$D$1:$K$1,0)),"")</f>
        <v>6302531000</v>
      </c>
      <c r="I2117" s="8">
        <f>_xlfn.IFNA(INDEX('HS Codes'!$D$2:$K4671,MATCH($B2117,'HS Codes'!$A$2:$A4671,0),MATCH(I$1,'HS Codes'!$D$1:$K$1,0)),"")</f>
        <v>63029310</v>
      </c>
      <c r="J2117" s="8">
        <f>_xlfn.IFNA(INDEX('HS Codes'!$D$2:$K4671,MATCH($B2117,'HS Codes'!$A$2:$A4671,0),MATCH(J$1,'HS Codes'!$D$1:$K$1,0)),"")</f>
        <v>0</v>
      </c>
      <c r="K2117" s="8" t="str">
        <f>_xlfn.IFNA(INDEX('HS Codes'!$D$2:$K4671,MATCH($B2117,'HS Codes'!$A$2:$A4671,0),MATCH(K$1,'HS Codes'!$D$1:$K$1,0)),"")</f>
        <v>6302.53.00</v>
      </c>
      <c r="L2117" s="8">
        <f>_xlfn.IFNA(INDEX('HS Codes'!$D$2:$K4671,MATCH($B2117,'HS Codes'!$A$2:$A4671,0),MATCH(L$1,'HS Codes'!$D$1:$K$1,0)),"")</f>
        <v>0</v>
      </c>
      <c r="M2117" s="8" t="str">
        <f>_xlfn.IFNA(INDEX('HS Codes'!$C$2:$C4671,MATCH($B2117,'HS Codes'!$A$2:$A4671,0)),"")</f>
        <v>Kitchen Linen 100% recycled 300 GSM/83% polyester/17% polyamide (no cotton)</v>
      </c>
      <c r="N2117" s="9"/>
      <c r="O2117" s="9"/>
      <c r="P2117" s="9"/>
      <c r="Q2117" s="9"/>
    </row>
    <row r="2118" spans="1:17" ht="15.75" customHeight="1">
      <c r="A2118" s="7" t="s">
        <v>2410</v>
      </c>
      <c r="B2118" s="7" t="s">
        <v>159</v>
      </c>
      <c r="C2118" s="7" t="s">
        <v>278</v>
      </c>
      <c r="D2118" s="7" t="s">
        <v>160</v>
      </c>
      <c r="E2118" s="7" t="s">
        <v>160</v>
      </c>
      <c r="F2118" s="8" t="str">
        <f>_xlfn.IFNA(INDEX('HS Codes'!$D$2:$K4672,MATCH($B2118,'HS Codes'!$A$2:$A4672,0),MATCH(F$1,'HS Codes'!$D$1:$K$1,0)),"")</f>
        <v>6302.53.00.20</v>
      </c>
      <c r="G2118" s="8">
        <f>_xlfn.IFNA(INDEX('HS Codes'!$D$2:$K4672,MATCH($B2118,'HS Codes'!$A$2:$A4672,0),MATCH(G$1,'HS Codes'!$D$1:$K$1,0)),"")</f>
        <v>6302531000</v>
      </c>
      <c r="H2118" s="8">
        <f>_xlfn.IFNA(INDEX('HS Codes'!$D$2:$K4672,MATCH($B2118,'HS Codes'!$A$2:$A4672,0),MATCH(H$1,'HS Codes'!$D$1:$K$1,0)),"")</f>
        <v>6302531000</v>
      </c>
      <c r="I2118" s="8">
        <f>_xlfn.IFNA(INDEX('HS Codes'!$D$2:$K4672,MATCH($B2118,'HS Codes'!$A$2:$A4672,0),MATCH(I$1,'HS Codes'!$D$1:$K$1,0)),"")</f>
        <v>63029310</v>
      </c>
      <c r="J2118" s="8">
        <f>_xlfn.IFNA(INDEX('HS Codes'!$D$2:$K4672,MATCH($B2118,'HS Codes'!$A$2:$A4672,0),MATCH(J$1,'HS Codes'!$D$1:$K$1,0)),"")</f>
        <v>0</v>
      </c>
      <c r="K2118" s="8" t="str">
        <f>_xlfn.IFNA(INDEX('HS Codes'!$D$2:$K4672,MATCH($B2118,'HS Codes'!$A$2:$A4672,0),MATCH(K$1,'HS Codes'!$D$1:$K$1,0)),"")</f>
        <v>6302.53.00</v>
      </c>
      <c r="L2118" s="8">
        <f>_xlfn.IFNA(INDEX('HS Codes'!$D$2:$K4672,MATCH($B2118,'HS Codes'!$A$2:$A4672,0),MATCH(L$1,'HS Codes'!$D$1:$K$1,0)),"")</f>
        <v>0</v>
      </c>
      <c r="M2118" s="8" t="str">
        <f>_xlfn.IFNA(INDEX('HS Codes'!$C$2:$C4672,MATCH($B2118,'HS Codes'!$A$2:$A4672,0)),"")</f>
        <v>Kitchen Linen 100% recycled 300 GSM/83% polyester/17% polyamide (no cotton)</v>
      </c>
      <c r="N2118" s="9"/>
      <c r="O2118" s="9"/>
      <c r="P2118" s="9"/>
      <c r="Q2118" s="9"/>
    </row>
    <row r="2119" spans="1:17" ht="15.75" customHeight="1">
      <c r="A2119" s="7" t="s">
        <v>2411</v>
      </c>
      <c r="B2119" s="7" t="s">
        <v>159</v>
      </c>
      <c r="C2119" s="7" t="s">
        <v>278</v>
      </c>
      <c r="D2119" s="7" t="s">
        <v>160</v>
      </c>
      <c r="E2119" s="7" t="s">
        <v>160</v>
      </c>
      <c r="F2119" s="8" t="str">
        <f>_xlfn.IFNA(INDEX('HS Codes'!$D$2:$K4673,MATCH($B2119,'HS Codes'!$A$2:$A4673,0),MATCH(F$1,'HS Codes'!$D$1:$K$1,0)),"")</f>
        <v>6302.53.00.20</v>
      </c>
      <c r="G2119" s="8">
        <f>_xlfn.IFNA(INDEX('HS Codes'!$D$2:$K4673,MATCH($B2119,'HS Codes'!$A$2:$A4673,0),MATCH(G$1,'HS Codes'!$D$1:$K$1,0)),"")</f>
        <v>6302531000</v>
      </c>
      <c r="H2119" s="8">
        <f>_xlfn.IFNA(INDEX('HS Codes'!$D$2:$K4673,MATCH($B2119,'HS Codes'!$A$2:$A4673,0),MATCH(H$1,'HS Codes'!$D$1:$K$1,0)),"")</f>
        <v>6302531000</v>
      </c>
      <c r="I2119" s="8">
        <f>_xlfn.IFNA(INDEX('HS Codes'!$D$2:$K4673,MATCH($B2119,'HS Codes'!$A$2:$A4673,0),MATCH(I$1,'HS Codes'!$D$1:$K$1,0)),"")</f>
        <v>63029310</v>
      </c>
      <c r="J2119" s="8">
        <f>_xlfn.IFNA(INDEX('HS Codes'!$D$2:$K4673,MATCH($B2119,'HS Codes'!$A$2:$A4673,0),MATCH(J$1,'HS Codes'!$D$1:$K$1,0)),"")</f>
        <v>0</v>
      </c>
      <c r="K2119" s="8" t="str">
        <f>_xlfn.IFNA(INDEX('HS Codes'!$D$2:$K4673,MATCH($B2119,'HS Codes'!$A$2:$A4673,0),MATCH(K$1,'HS Codes'!$D$1:$K$1,0)),"")</f>
        <v>6302.53.00</v>
      </c>
      <c r="L2119" s="8">
        <f>_xlfn.IFNA(INDEX('HS Codes'!$D$2:$K4673,MATCH($B2119,'HS Codes'!$A$2:$A4673,0),MATCH(L$1,'HS Codes'!$D$1:$K$1,0)),"")</f>
        <v>0</v>
      </c>
      <c r="M2119" s="8" t="str">
        <f>_xlfn.IFNA(INDEX('HS Codes'!$C$2:$C4673,MATCH($B2119,'HS Codes'!$A$2:$A4673,0)),"")</f>
        <v>Kitchen Linen 100% recycled 300 GSM/83% polyester/17% polyamide (no cotton)</v>
      </c>
      <c r="N2119" s="9"/>
      <c r="O2119" s="9"/>
      <c r="P2119" s="9"/>
      <c r="Q2119" s="9"/>
    </row>
    <row r="2120" spans="1:17" ht="15.75" customHeight="1">
      <c r="A2120" s="7" t="s">
        <v>2412</v>
      </c>
      <c r="B2120" s="7" t="s">
        <v>159</v>
      </c>
      <c r="C2120" s="7" t="s">
        <v>278</v>
      </c>
      <c r="D2120" s="7" t="s">
        <v>160</v>
      </c>
      <c r="E2120" s="7" t="s">
        <v>160</v>
      </c>
      <c r="F2120" s="8" t="str">
        <f>_xlfn.IFNA(INDEX('HS Codes'!$D$2:$K4674,MATCH($B2120,'HS Codes'!$A$2:$A4674,0),MATCH(F$1,'HS Codes'!$D$1:$K$1,0)),"")</f>
        <v>6302.53.00.20</v>
      </c>
      <c r="G2120" s="8">
        <f>_xlfn.IFNA(INDEX('HS Codes'!$D$2:$K4674,MATCH($B2120,'HS Codes'!$A$2:$A4674,0),MATCH(G$1,'HS Codes'!$D$1:$K$1,0)),"")</f>
        <v>6302531000</v>
      </c>
      <c r="H2120" s="8">
        <f>_xlfn.IFNA(INDEX('HS Codes'!$D$2:$K4674,MATCH($B2120,'HS Codes'!$A$2:$A4674,0),MATCH(H$1,'HS Codes'!$D$1:$K$1,0)),"")</f>
        <v>6302531000</v>
      </c>
      <c r="I2120" s="8">
        <f>_xlfn.IFNA(INDEX('HS Codes'!$D$2:$K4674,MATCH($B2120,'HS Codes'!$A$2:$A4674,0),MATCH(I$1,'HS Codes'!$D$1:$K$1,0)),"")</f>
        <v>63029310</v>
      </c>
      <c r="J2120" s="8">
        <f>_xlfn.IFNA(INDEX('HS Codes'!$D$2:$K4674,MATCH($B2120,'HS Codes'!$A$2:$A4674,0),MATCH(J$1,'HS Codes'!$D$1:$K$1,0)),"")</f>
        <v>0</v>
      </c>
      <c r="K2120" s="8" t="str">
        <f>_xlfn.IFNA(INDEX('HS Codes'!$D$2:$K4674,MATCH($B2120,'HS Codes'!$A$2:$A4674,0),MATCH(K$1,'HS Codes'!$D$1:$K$1,0)),"")</f>
        <v>6302.53.00</v>
      </c>
      <c r="L2120" s="8">
        <f>_xlfn.IFNA(INDEX('HS Codes'!$D$2:$K4674,MATCH($B2120,'HS Codes'!$A$2:$A4674,0),MATCH(L$1,'HS Codes'!$D$1:$K$1,0)),"")</f>
        <v>0</v>
      </c>
      <c r="M2120" s="8" t="str">
        <f>_xlfn.IFNA(INDEX('HS Codes'!$C$2:$C4674,MATCH($B2120,'HS Codes'!$A$2:$A4674,0)),"")</f>
        <v>Kitchen Linen 100% recycled 300 GSM/83% polyester/17% polyamide (no cotton)</v>
      </c>
      <c r="N2120" s="9"/>
      <c r="O2120" s="9"/>
      <c r="P2120" s="9"/>
      <c r="Q2120" s="9"/>
    </row>
    <row r="2121" spans="1:17" ht="15.75" customHeight="1">
      <c r="A2121" s="7" t="s">
        <v>2413</v>
      </c>
      <c r="B2121" s="7" t="s">
        <v>159</v>
      </c>
      <c r="C2121" s="7" t="s">
        <v>278</v>
      </c>
      <c r="D2121" s="7" t="s">
        <v>160</v>
      </c>
      <c r="E2121" s="7" t="s">
        <v>160</v>
      </c>
      <c r="F2121" s="8" t="str">
        <f>_xlfn.IFNA(INDEX('HS Codes'!$D$2:$K4675,MATCH($B2121,'HS Codes'!$A$2:$A4675,0),MATCH(F$1,'HS Codes'!$D$1:$K$1,0)),"")</f>
        <v>6302.53.00.20</v>
      </c>
      <c r="G2121" s="8">
        <f>_xlfn.IFNA(INDEX('HS Codes'!$D$2:$K4675,MATCH($B2121,'HS Codes'!$A$2:$A4675,0),MATCH(G$1,'HS Codes'!$D$1:$K$1,0)),"")</f>
        <v>6302531000</v>
      </c>
      <c r="H2121" s="8">
        <f>_xlfn.IFNA(INDEX('HS Codes'!$D$2:$K4675,MATCH($B2121,'HS Codes'!$A$2:$A4675,0),MATCH(H$1,'HS Codes'!$D$1:$K$1,0)),"")</f>
        <v>6302531000</v>
      </c>
      <c r="I2121" s="8">
        <f>_xlfn.IFNA(INDEX('HS Codes'!$D$2:$K4675,MATCH($B2121,'HS Codes'!$A$2:$A4675,0),MATCH(I$1,'HS Codes'!$D$1:$K$1,0)),"")</f>
        <v>63029310</v>
      </c>
      <c r="J2121" s="8">
        <f>_xlfn.IFNA(INDEX('HS Codes'!$D$2:$K4675,MATCH($B2121,'HS Codes'!$A$2:$A4675,0),MATCH(J$1,'HS Codes'!$D$1:$K$1,0)),"")</f>
        <v>0</v>
      </c>
      <c r="K2121" s="8" t="str">
        <f>_xlfn.IFNA(INDEX('HS Codes'!$D$2:$K4675,MATCH($B2121,'HS Codes'!$A$2:$A4675,0),MATCH(K$1,'HS Codes'!$D$1:$K$1,0)),"")</f>
        <v>6302.53.00</v>
      </c>
      <c r="L2121" s="8">
        <f>_xlfn.IFNA(INDEX('HS Codes'!$D$2:$K4675,MATCH($B2121,'HS Codes'!$A$2:$A4675,0),MATCH(L$1,'HS Codes'!$D$1:$K$1,0)),"")</f>
        <v>0</v>
      </c>
      <c r="M2121" s="8" t="str">
        <f>_xlfn.IFNA(INDEX('HS Codes'!$C$2:$C4675,MATCH($B2121,'HS Codes'!$A$2:$A4675,0)),"")</f>
        <v>Kitchen Linen 100% recycled 300 GSM/83% polyester/17% polyamide (no cotton)</v>
      </c>
      <c r="N2121" s="9"/>
      <c r="O2121" s="9"/>
      <c r="P2121" s="9"/>
      <c r="Q2121" s="9"/>
    </row>
    <row r="2122" spans="1:17" ht="15.75" customHeight="1">
      <c r="A2122" s="7" t="s">
        <v>2414</v>
      </c>
      <c r="B2122" s="7" t="s">
        <v>159</v>
      </c>
      <c r="C2122" s="7" t="s">
        <v>278</v>
      </c>
      <c r="D2122" s="7" t="s">
        <v>160</v>
      </c>
      <c r="E2122" s="7" t="s">
        <v>160</v>
      </c>
      <c r="F2122" s="8" t="str">
        <f>_xlfn.IFNA(INDEX('HS Codes'!$D$2:$K4676,MATCH($B2122,'HS Codes'!$A$2:$A4676,0),MATCH(F$1,'HS Codes'!$D$1:$K$1,0)),"")</f>
        <v>6302.53.00.20</v>
      </c>
      <c r="G2122" s="8">
        <f>_xlfn.IFNA(INDEX('HS Codes'!$D$2:$K4676,MATCH($B2122,'HS Codes'!$A$2:$A4676,0),MATCH(G$1,'HS Codes'!$D$1:$K$1,0)),"")</f>
        <v>6302531000</v>
      </c>
      <c r="H2122" s="8">
        <f>_xlfn.IFNA(INDEX('HS Codes'!$D$2:$K4676,MATCH($B2122,'HS Codes'!$A$2:$A4676,0),MATCH(H$1,'HS Codes'!$D$1:$K$1,0)),"")</f>
        <v>6302531000</v>
      </c>
      <c r="I2122" s="8">
        <f>_xlfn.IFNA(INDEX('HS Codes'!$D$2:$K4676,MATCH($B2122,'HS Codes'!$A$2:$A4676,0),MATCH(I$1,'HS Codes'!$D$1:$K$1,0)),"")</f>
        <v>63029310</v>
      </c>
      <c r="J2122" s="8">
        <f>_xlfn.IFNA(INDEX('HS Codes'!$D$2:$K4676,MATCH($B2122,'HS Codes'!$A$2:$A4676,0),MATCH(J$1,'HS Codes'!$D$1:$K$1,0)),"")</f>
        <v>0</v>
      </c>
      <c r="K2122" s="8" t="str">
        <f>_xlfn.IFNA(INDEX('HS Codes'!$D$2:$K4676,MATCH($B2122,'HS Codes'!$A$2:$A4676,0),MATCH(K$1,'HS Codes'!$D$1:$K$1,0)),"")</f>
        <v>6302.53.00</v>
      </c>
      <c r="L2122" s="8">
        <f>_xlfn.IFNA(INDEX('HS Codes'!$D$2:$K4676,MATCH($B2122,'HS Codes'!$A$2:$A4676,0),MATCH(L$1,'HS Codes'!$D$1:$K$1,0)),"")</f>
        <v>0</v>
      </c>
      <c r="M2122" s="8" t="str">
        <f>_xlfn.IFNA(INDEX('HS Codes'!$C$2:$C4676,MATCH($B2122,'HS Codes'!$A$2:$A4676,0)),"")</f>
        <v>Kitchen Linen 100% recycled 300 GSM/83% polyester/17% polyamide (no cotton)</v>
      </c>
      <c r="N2122" s="9"/>
      <c r="O2122" s="9"/>
      <c r="P2122" s="9"/>
      <c r="Q2122" s="9"/>
    </row>
    <row r="2123" spans="1:17" ht="15.75" customHeight="1">
      <c r="A2123" s="7" t="s">
        <v>2415</v>
      </c>
      <c r="B2123" s="7" t="s">
        <v>159</v>
      </c>
      <c r="C2123" s="7" t="s">
        <v>278</v>
      </c>
      <c r="D2123" s="7" t="s">
        <v>160</v>
      </c>
      <c r="E2123" s="7" t="s">
        <v>160</v>
      </c>
      <c r="F2123" s="8" t="str">
        <f>_xlfn.IFNA(INDEX('HS Codes'!$D$2:$K4677,MATCH($B2123,'HS Codes'!$A$2:$A4677,0),MATCH(F$1,'HS Codes'!$D$1:$K$1,0)),"")</f>
        <v>6302.53.00.20</v>
      </c>
      <c r="G2123" s="8">
        <f>_xlfn.IFNA(INDEX('HS Codes'!$D$2:$K4677,MATCH($B2123,'HS Codes'!$A$2:$A4677,0),MATCH(G$1,'HS Codes'!$D$1:$K$1,0)),"")</f>
        <v>6302531000</v>
      </c>
      <c r="H2123" s="8">
        <f>_xlfn.IFNA(INDEX('HS Codes'!$D$2:$K4677,MATCH($B2123,'HS Codes'!$A$2:$A4677,0),MATCH(H$1,'HS Codes'!$D$1:$K$1,0)),"")</f>
        <v>6302531000</v>
      </c>
      <c r="I2123" s="8">
        <f>_xlfn.IFNA(INDEX('HS Codes'!$D$2:$K4677,MATCH($B2123,'HS Codes'!$A$2:$A4677,0),MATCH(I$1,'HS Codes'!$D$1:$K$1,0)),"")</f>
        <v>63029310</v>
      </c>
      <c r="J2123" s="8">
        <f>_xlfn.IFNA(INDEX('HS Codes'!$D$2:$K4677,MATCH($B2123,'HS Codes'!$A$2:$A4677,0),MATCH(J$1,'HS Codes'!$D$1:$K$1,0)),"")</f>
        <v>0</v>
      </c>
      <c r="K2123" s="8" t="str">
        <f>_xlfn.IFNA(INDEX('HS Codes'!$D$2:$K4677,MATCH($B2123,'HS Codes'!$A$2:$A4677,0),MATCH(K$1,'HS Codes'!$D$1:$K$1,0)),"")</f>
        <v>6302.53.00</v>
      </c>
      <c r="L2123" s="8">
        <f>_xlfn.IFNA(INDEX('HS Codes'!$D$2:$K4677,MATCH($B2123,'HS Codes'!$A$2:$A4677,0),MATCH(L$1,'HS Codes'!$D$1:$K$1,0)),"")</f>
        <v>0</v>
      </c>
      <c r="M2123" s="8" t="str">
        <f>_xlfn.IFNA(INDEX('HS Codes'!$C$2:$C4677,MATCH($B2123,'HS Codes'!$A$2:$A4677,0)),"")</f>
        <v>Kitchen Linen 100% recycled 300 GSM/83% polyester/17% polyamide (no cotton)</v>
      </c>
      <c r="N2123" s="9"/>
      <c r="O2123" s="9"/>
      <c r="P2123" s="9"/>
      <c r="Q2123" s="9"/>
    </row>
    <row r="2124" spans="1:17" ht="15.75" customHeight="1">
      <c r="A2124" s="7" t="s">
        <v>2416</v>
      </c>
      <c r="B2124" s="7" t="s">
        <v>159</v>
      </c>
      <c r="C2124" s="7" t="s">
        <v>278</v>
      </c>
      <c r="D2124" s="7" t="s">
        <v>160</v>
      </c>
      <c r="E2124" s="7" t="s">
        <v>160</v>
      </c>
      <c r="F2124" s="8" t="str">
        <f>_xlfn.IFNA(INDEX('HS Codes'!$D$2:$K4678,MATCH($B2124,'HS Codes'!$A$2:$A4678,0),MATCH(F$1,'HS Codes'!$D$1:$K$1,0)),"")</f>
        <v>6302.53.00.20</v>
      </c>
      <c r="G2124" s="8">
        <f>_xlfn.IFNA(INDEX('HS Codes'!$D$2:$K4678,MATCH($B2124,'HS Codes'!$A$2:$A4678,0),MATCH(G$1,'HS Codes'!$D$1:$K$1,0)),"")</f>
        <v>6302531000</v>
      </c>
      <c r="H2124" s="8">
        <f>_xlfn.IFNA(INDEX('HS Codes'!$D$2:$K4678,MATCH($B2124,'HS Codes'!$A$2:$A4678,0),MATCH(H$1,'HS Codes'!$D$1:$K$1,0)),"")</f>
        <v>6302531000</v>
      </c>
      <c r="I2124" s="8">
        <f>_xlfn.IFNA(INDEX('HS Codes'!$D$2:$K4678,MATCH($B2124,'HS Codes'!$A$2:$A4678,0),MATCH(I$1,'HS Codes'!$D$1:$K$1,0)),"")</f>
        <v>63029310</v>
      </c>
      <c r="J2124" s="8">
        <f>_xlfn.IFNA(INDEX('HS Codes'!$D$2:$K4678,MATCH($B2124,'HS Codes'!$A$2:$A4678,0),MATCH(J$1,'HS Codes'!$D$1:$K$1,0)),"")</f>
        <v>0</v>
      </c>
      <c r="K2124" s="8" t="str">
        <f>_xlfn.IFNA(INDEX('HS Codes'!$D$2:$K4678,MATCH($B2124,'HS Codes'!$A$2:$A4678,0),MATCH(K$1,'HS Codes'!$D$1:$K$1,0)),"")</f>
        <v>6302.53.00</v>
      </c>
      <c r="L2124" s="8">
        <f>_xlfn.IFNA(INDEX('HS Codes'!$D$2:$K4678,MATCH($B2124,'HS Codes'!$A$2:$A4678,0),MATCH(L$1,'HS Codes'!$D$1:$K$1,0)),"")</f>
        <v>0</v>
      </c>
      <c r="M2124" s="8" t="str">
        <f>_xlfn.IFNA(INDEX('HS Codes'!$C$2:$C4678,MATCH($B2124,'HS Codes'!$A$2:$A4678,0)),"")</f>
        <v>Kitchen Linen 100% recycled 300 GSM/83% polyester/17% polyamide (no cotton)</v>
      </c>
      <c r="N2124" s="9"/>
      <c r="O2124" s="9"/>
      <c r="P2124" s="9"/>
      <c r="Q2124" s="9"/>
    </row>
    <row r="2125" spans="1:17" ht="15.75" customHeight="1">
      <c r="A2125" s="7" t="s">
        <v>2417</v>
      </c>
      <c r="B2125" s="7" t="s">
        <v>159</v>
      </c>
      <c r="C2125" s="7" t="s">
        <v>278</v>
      </c>
      <c r="D2125" s="7" t="s">
        <v>160</v>
      </c>
      <c r="E2125" s="7" t="s">
        <v>160</v>
      </c>
      <c r="F2125" s="8" t="str">
        <f>_xlfn.IFNA(INDEX('HS Codes'!$D$2:$K4679,MATCH($B2125,'HS Codes'!$A$2:$A4679,0),MATCH(F$1,'HS Codes'!$D$1:$K$1,0)),"")</f>
        <v>6302.53.00.20</v>
      </c>
      <c r="G2125" s="8">
        <f>_xlfn.IFNA(INDEX('HS Codes'!$D$2:$K4679,MATCH($B2125,'HS Codes'!$A$2:$A4679,0),MATCH(G$1,'HS Codes'!$D$1:$K$1,0)),"")</f>
        <v>6302531000</v>
      </c>
      <c r="H2125" s="8">
        <f>_xlfn.IFNA(INDEX('HS Codes'!$D$2:$K4679,MATCH($B2125,'HS Codes'!$A$2:$A4679,0),MATCH(H$1,'HS Codes'!$D$1:$K$1,0)),"")</f>
        <v>6302531000</v>
      </c>
      <c r="I2125" s="8">
        <f>_xlfn.IFNA(INDEX('HS Codes'!$D$2:$K4679,MATCH($B2125,'HS Codes'!$A$2:$A4679,0),MATCH(I$1,'HS Codes'!$D$1:$K$1,0)),"")</f>
        <v>63029310</v>
      </c>
      <c r="J2125" s="8">
        <f>_xlfn.IFNA(INDEX('HS Codes'!$D$2:$K4679,MATCH($B2125,'HS Codes'!$A$2:$A4679,0),MATCH(J$1,'HS Codes'!$D$1:$K$1,0)),"")</f>
        <v>0</v>
      </c>
      <c r="K2125" s="8" t="str">
        <f>_xlfn.IFNA(INDEX('HS Codes'!$D$2:$K4679,MATCH($B2125,'HS Codes'!$A$2:$A4679,0),MATCH(K$1,'HS Codes'!$D$1:$K$1,0)),"")</f>
        <v>6302.53.00</v>
      </c>
      <c r="L2125" s="8">
        <f>_xlfn.IFNA(INDEX('HS Codes'!$D$2:$K4679,MATCH($B2125,'HS Codes'!$A$2:$A4679,0),MATCH(L$1,'HS Codes'!$D$1:$K$1,0)),"")</f>
        <v>0</v>
      </c>
      <c r="M2125" s="8" t="str">
        <f>_xlfn.IFNA(INDEX('HS Codes'!$C$2:$C4679,MATCH($B2125,'HS Codes'!$A$2:$A4679,0)),"")</f>
        <v>Kitchen Linen 100% recycled 300 GSM/83% polyester/17% polyamide (no cotton)</v>
      </c>
      <c r="N2125" s="9"/>
      <c r="O2125" s="9"/>
      <c r="P2125" s="9"/>
      <c r="Q2125" s="9"/>
    </row>
    <row r="2126" spans="1:17" ht="15.75" customHeight="1">
      <c r="A2126" s="7" t="s">
        <v>2418</v>
      </c>
      <c r="B2126" s="7" t="s">
        <v>159</v>
      </c>
      <c r="C2126" s="7" t="s">
        <v>278</v>
      </c>
      <c r="D2126" s="7" t="s">
        <v>160</v>
      </c>
      <c r="E2126" s="7" t="s">
        <v>160</v>
      </c>
      <c r="F2126" s="8" t="str">
        <f>_xlfn.IFNA(INDEX('HS Codes'!$D$2:$K4680,MATCH($B2126,'HS Codes'!$A$2:$A4680,0),MATCH(F$1,'HS Codes'!$D$1:$K$1,0)),"")</f>
        <v>6302.53.00.20</v>
      </c>
      <c r="G2126" s="8">
        <f>_xlfn.IFNA(INDEX('HS Codes'!$D$2:$K4680,MATCH($B2126,'HS Codes'!$A$2:$A4680,0),MATCH(G$1,'HS Codes'!$D$1:$K$1,0)),"")</f>
        <v>6302531000</v>
      </c>
      <c r="H2126" s="8">
        <f>_xlfn.IFNA(INDEX('HS Codes'!$D$2:$K4680,MATCH($B2126,'HS Codes'!$A$2:$A4680,0),MATCH(H$1,'HS Codes'!$D$1:$K$1,0)),"")</f>
        <v>6302531000</v>
      </c>
      <c r="I2126" s="8">
        <f>_xlfn.IFNA(INDEX('HS Codes'!$D$2:$K4680,MATCH($B2126,'HS Codes'!$A$2:$A4680,0),MATCH(I$1,'HS Codes'!$D$1:$K$1,0)),"")</f>
        <v>63029310</v>
      </c>
      <c r="J2126" s="8">
        <f>_xlfn.IFNA(INDEX('HS Codes'!$D$2:$K4680,MATCH($B2126,'HS Codes'!$A$2:$A4680,0),MATCH(J$1,'HS Codes'!$D$1:$K$1,0)),"")</f>
        <v>0</v>
      </c>
      <c r="K2126" s="8" t="str">
        <f>_xlfn.IFNA(INDEX('HS Codes'!$D$2:$K4680,MATCH($B2126,'HS Codes'!$A$2:$A4680,0),MATCH(K$1,'HS Codes'!$D$1:$K$1,0)),"")</f>
        <v>6302.53.00</v>
      </c>
      <c r="L2126" s="8">
        <f>_xlfn.IFNA(INDEX('HS Codes'!$D$2:$K4680,MATCH($B2126,'HS Codes'!$A$2:$A4680,0),MATCH(L$1,'HS Codes'!$D$1:$K$1,0)),"")</f>
        <v>0</v>
      </c>
      <c r="M2126" s="8" t="str">
        <f>_xlfn.IFNA(INDEX('HS Codes'!$C$2:$C4680,MATCH($B2126,'HS Codes'!$A$2:$A4680,0)),"")</f>
        <v>Kitchen Linen 100% recycled 300 GSM/83% polyester/17% polyamide (no cotton)</v>
      </c>
      <c r="N2126" s="9"/>
      <c r="O2126" s="9"/>
      <c r="P2126" s="9"/>
      <c r="Q2126" s="9"/>
    </row>
    <row r="2127" spans="1:17" ht="15.75" customHeight="1">
      <c r="A2127" s="7" t="s">
        <v>2419</v>
      </c>
      <c r="B2127" s="7" t="s">
        <v>159</v>
      </c>
      <c r="C2127" s="7" t="s">
        <v>278</v>
      </c>
      <c r="D2127" s="7" t="s">
        <v>160</v>
      </c>
      <c r="E2127" s="7" t="s">
        <v>160</v>
      </c>
      <c r="F2127" s="8" t="str">
        <f>_xlfn.IFNA(INDEX('HS Codes'!$D$2:$K4681,MATCH($B2127,'HS Codes'!$A$2:$A4681,0),MATCH(F$1,'HS Codes'!$D$1:$K$1,0)),"")</f>
        <v>6302.53.00.20</v>
      </c>
      <c r="G2127" s="8">
        <f>_xlfn.IFNA(INDEX('HS Codes'!$D$2:$K4681,MATCH($B2127,'HS Codes'!$A$2:$A4681,0),MATCH(G$1,'HS Codes'!$D$1:$K$1,0)),"")</f>
        <v>6302531000</v>
      </c>
      <c r="H2127" s="8">
        <f>_xlfn.IFNA(INDEX('HS Codes'!$D$2:$K4681,MATCH($B2127,'HS Codes'!$A$2:$A4681,0),MATCH(H$1,'HS Codes'!$D$1:$K$1,0)),"")</f>
        <v>6302531000</v>
      </c>
      <c r="I2127" s="8">
        <f>_xlfn.IFNA(INDEX('HS Codes'!$D$2:$K4681,MATCH($B2127,'HS Codes'!$A$2:$A4681,0),MATCH(I$1,'HS Codes'!$D$1:$K$1,0)),"")</f>
        <v>63029310</v>
      </c>
      <c r="J2127" s="8">
        <f>_xlfn.IFNA(INDEX('HS Codes'!$D$2:$K4681,MATCH($B2127,'HS Codes'!$A$2:$A4681,0),MATCH(J$1,'HS Codes'!$D$1:$K$1,0)),"")</f>
        <v>0</v>
      </c>
      <c r="K2127" s="8" t="str">
        <f>_xlfn.IFNA(INDEX('HS Codes'!$D$2:$K4681,MATCH($B2127,'HS Codes'!$A$2:$A4681,0),MATCH(K$1,'HS Codes'!$D$1:$K$1,0)),"")</f>
        <v>6302.53.00</v>
      </c>
      <c r="L2127" s="8">
        <f>_xlfn.IFNA(INDEX('HS Codes'!$D$2:$K4681,MATCH($B2127,'HS Codes'!$A$2:$A4681,0),MATCH(L$1,'HS Codes'!$D$1:$K$1,0)),"")</f>
        <v>0</v>
      </c>
      <c r="M2127" s="8" t="str">
        <f>_xlfn.IFNA(INDEX('HS Codes'!$C$2:$C4681,MATCH($B2127,'HS Codes'!$A$2:$A4681,0)),"")</f>
        <v>Kitchen Linen 100% recycled 300 GSM/83% polyester/17% polyamide (no cotton)</v>
      </c>
      <c r="N2127" s="9"/>
      <c r="O2127" s="9"/>
      <c r="P2127" s="9"/>
      <c r="Q2127" s="9"/>
    </row>
    <row r="2128" spans="1:17" ht="15.75" customHeight="1">
      <c r="A2128" s="7" t="s">
        <v>2420</v>
      </c>
      <c r="B2128" s="7" t="s">
        <v>159</v>
      </c>
      <c r="C2128" s="7" t="s">
        <v>278</v>
      </c>
      <c r="D2128" s="7" t="s">
        <v>160</v>
      </c>
      <c r="E2128" s="7" t="s">
        <v>160</v>
      </c>
      <c r="F2128" s="8" t="str">
        <f>_xlfn.IFNA(INDEX('HS Codes'!$D$2:$K4682,MATCH($B2128,'HS Codes'!$A$2:$A4682,0),MATCH(F$1,'HS Codes'!$D$1:$K$1,0)),"")</f>
        <v>6302.53.00.20</v>
      </c>
      <c r="G2128" s="8">
        <f>_xlfn.IFNA(INDEX('HS Codes'!$D$2:$K4682,MATCH($B2128,'HS Codes'!$A$2:$A4682,0),MATCH(G$1,'HS Codes'!$D$1:$K$1,0)),"")</f>
        <v>6302531000</v>
      </c>
      <c r="H2128" s="8">
        <f>_xlfn.IFNA(INDEX('HS Codes'!$D$2:$K4682,MATCH($B2128,'HS Codes'!$A$2:$A4682,0),MATCH(H$1,'HS Codes'!$D$1:$K$1,0)),"")</f>
        <v>6302531000</v>
      </c>
      <c r="I2128" s="8">
        <f>_xlfn.IFNA(INDEX('HS Codes'!$D$2:$K4682,MATCH($B2128,'HS Codes'!$A$2:$A4682,0),MATCH(I$1,'HS Codes'!$D$1:$K$1,0)),"")</f>
        <v>63029310</v>
      </c>
      <c r="J2128" s="8">
        <f>_xlfn.IFNA(INDEX('HS Codes'!$D$2:$K4682,MATCH($B2128,'HS Codes'!$A$2:$A4682,0),MATCH(J$1,'HS Codes'!$D$1:$K$1,0)),"")</f>
        <v>0</v>
      </c>
      <c r="K2128" s="8" t="str">
        <f>_xlfn.IFNA(INDEX('HS Codes'!$D$2:$K4682,MATCH($B2128,'HS Codes'!$A$2:$A4682,0),MATCH(K$1,'HS Codes'!$D$1:$K$1,0)),"")</f>
        <v>6302.53.00</v>
      </c>
      <c r="L2128" s="8">
        <f>_xlfn.IFNA(INDEX('HS Codes'!$D$2:$K4682,MATCH($B2128,'HS Codes'!$A$2:$A4682,0),MATCH(L$1,'HS Codes'!$D$1:$K$1,0)),"")</f>
        <v>0</v>
      </c>
      <c r="M2128" s="8" t="str">
        <f>_xlfn.IFNA(INDEX('HS Codes'!$C$2:$C4682,MATCH($B2128,'HS Codes'!$A$2:$A4682,0)),"")</f>
        <v>Kitchen Linen 100% recycled 300 GSM/83% polyester/17% polyamide (no cotton)</v>
      </c>
      <c r="N2128" s="9"/>
      <c r="O2128" s="9"/>
      <c r="P2128" s="9"/>
      <c r="Q2128" s="9"/>
    </row>
    <row r="2129" spans="1:17" ht="15.75" customHeight="1">
      <c r="A2129" s="7" t="s">
        <v>2421</v>
      </c>
      <c r="B2129" s="7" t="s">
        <v>159</v>
      </c>
      <c r="C2129" s="7" t="s">
        <v>278</v>
      </c>
      <c r="D2129" s="7" t="s">
        <v>160</v>
      </c>
      <c r="E2129" s="7" t="s">
        <v>160</v>
      </c>
      <c r="F2129" s="8" t="str">
        <f>_xlfn.IFNA(INDEX('HS Codes'!$D$2:$K4683,MATCH($B2129,'HS Codes'!$A$2:$A4683,0),MATCH(F$1,'HS Codes'!$D$1:$K$1,0)),"")</f>
        <v>6302.53.00.20</v>
      </c>
      <c r="G2129" s="8">
        <f>_xlfn.IFNA(INDEX('HS Codes'!$D$2:$K4683,MATCH($B2129,'HS Codes'!$A$2:$A4683,0),MATCH(G$1,'HS Codes'!$D$1:$K$1,0)),"")</f>
        <v>6302531000</v>
      </c>
      <c r="H2129" s="8">
        <f>_xlfn.IFNA(INDEX('HS Codes'!$D$2:$K4683,MATCH($B2129,'HS Codes'!$A$2:$A4683,0),MATCH(H$1,'HS Codes'!$D$1:$K$1,0)),"")</f>
        <v>6302531000</v>
      </c>
      <c r="I2129" s="8">
        <f>_xlfn.IFNA(INDEX('HS Codes'!$D$2:$K4683,MATCH($B2129,'HS Codes'!$A$2:$A4683,0),MATCH(I$1,'HS Codes'!$D$1:$K$1,0)),"")</f>
        <v>63029310</v>
      </c>
      <c r="J2129" s="8">
        <f>_xlfn.IFNA(INDEX('HS Codes'!$D$2:$K4683,MATCH($B2129,'HS Codes'!$A$2:$A4683,0),MATCH(J$1,'HS Codes'!$D$1:$K$1,0)),"")</f>
        <v>0</v>
      </c>
      <c r="K2129" s="8" t="str">
        <f>_xlfn.IFNA(INDEX('HS Codes'!$D$2:$K4683,MATCH($B2129,'HS Codes'!$A$2:$A4683,0),MATCH(K$1,'HS Codes'!$D$1:$K$1,0)),"")</f>
        <v>6302.53.00</v>
      </c>
      <c r="L2129" s="8">
        <f>_xlfn.IFNA(INDEX('HS Codes'!$D$2:$K4683,MATCH($B2129,'HS Codes'!$A$2:$A4683,0),MATCH(L$1,'HS Codes'!$D$1:$K$1,0)),"")</f>
        <v>0</v>
      </c>
      <c r="M2129" s="8" t="str">
        <f>_xlfn.IFNA(INDEX('HS Codes'!$C$2:$C4683,MATCH($B2129,'HS Codes'!$A$2:$A4683,0)),"")</f>
        <v>Kitchen Linen 100% recycled 300 GSM/83% polyester/17% polyamide (no cotton)</v>
      </c>
      <c r="N2129" s="9"/>
      <c r="O2129" s="9"/>
      <c r="P2129" s="9"/>
      <c r="Q2129" s="9"/>
    </row>
    <row r="2130" spans="1:17" ht="15.75" customHeight="1">
      <c r="A2130" s="7" t="s">
        <v>2422</v>
      </c>
      <c r="B2130" s="7" t="s">
        <v>159</v>
      </c>
      <c r="C2130" s="7" t="s">
        <v>278</v>
      </c>
      <c r="D2130" s="7" t="s">
        <v>160</v>
      </c>
      <c r="E2130" s="7" t="s">
        <v>160</v>
      </c>
      <c r="F2130" s="8" t="str">
        <f>_xlfn.IFNA(INDEX('HS Codes'!$D$2:$K4684,MATCH($B2130,'HS Codes'!$A$2:$A4684,0),MATCH(F$1,'HS Codes'!$D$1:$K$1,0)),"")</f>
        <v>6302.53.00.20</v>
      </c>
      <c r="G2130" s="8">
        <f>_xlfn.IFNA(INDEX('HS Codes'!$D$2:$K4684,MATCH($B2130,'HS Codes'!$A$2:$A4684,0),MATCH(G$1,'HS Codes'!$D$1:$K$1,0)),"")</f>
        <v>6302531000</v>
      </c>
      <c r="H2130" s="8">
        <f>_xlfn.IFNA(INDEX('HS Codes'!$D$2:$K4684,MATCH($B2130,'HS Codes'!$A$2:$A4684,0),MATCH(H$1,'HS Codes'!$D$1:$K$1,0)),"")</f>
        <v>6302531000</v>
      </c>
      <c r="I2130" s="8">
        <f>_xlfn.IFNA(INDEX('HS Codes'!$D$2:$K4684,MATCH($B2130,'HS Codes'!$A$2:$A4684,0),MATCH(I$1,'HS Codes'!$D$1:$K$1,0)),"")</f>
        <v>63029310</v>
      </c>
      <c r="J2130" s="8">
        <f>_xlfn.IFNA(INDEX('HS Codes'!$D$2:$K4684,MATCH($B2130,'HS Codes'!$A$2:$A4684,0),MATCH(J$1,'HS Codes'!$D$1:$K$1,0)),"")</f>
        <v>0</v>
      </c>
      <c r="K2130" s="8" t="str">
        <f>_xlfn.IFNA(INDEX('HS Codes'!$D$2:$K4684,MATCH($B2130,'HS Codes'!$A$2:$A4684,0),MATCH(K$1,'HS Codes'!$D$1:$K$1,0)),"")</f>
        <v>6302.53.00</v>
      </c>
      <c r="L2130" s="8">
        <f>_xlfn.IFNA(INDEX('HS Codes'!$D$2:$K4684,MATCH($B2130,'HS Codes'!$A$2:$A4684,0),MATCH(L$1,'HS Codes'!$D$1:$K$1,0)),"")</f>
        <v>0</v>
      </c>
      <c r="M2130" s="8" t="str">
        <f>_xlfn.IFNA(INDEX('HS Codes'!$C$2:$C4684,MATCH($B2130,'HS Codes'!$A$2:$A4684,0)),"")</f>
        <v>Kitchen Linen 100% recycled 300 GSM/83% polyester/17% polyamide (no cotton)</v>
      </c>
      <c r="N2130" s="9"/>
      <c r="O2130" s="9"/>
      <c r="P2130" s="9"/>
      <c r="Q2130" s="9"/>
    </row>
    <row r="2131" spans="1:17" ht="15.75" customHeight="1">
      <c r="A2131" s="7" t="s">
        <v>2423</v>
      </c>
      <c r="B2131" s="7" t="s">
        <v>159</v>
      </c>
      <c r="C2131" s="7" t="s">
        <v>278</v>
      </c>
      <c r="D2131" s="7" t="s">
        <v>160</v>
      </c>
      <c r="E2131" s="7" t="s">
        <v>160</v>
      </c>
      <c r="F2131" s="8" t="str">
        <f>_xlfn.IFNA(INDEX('HS Codes'!$D$2:$K4685,MATCH($B2131,'HS Codes'!$A$2:$A4685,0),MATCH(F$1,'HS Codes'!$D$1:$K$1,0)),"")</f>
        <v>6302.53.00.20</v>
      </c>
      <c r="G2131" s="8">
        <f>_xlfn.IFNA(INDEX('HS Codes'!$D$2:$K4685,MATCH($B2131,'HS Codes'!$A$2:$A4685,0),MATCH(G$1,'HS Codes'!$D$1:$K$1,0)),"")</f>
        <v>6302531000</v>
      </c>
      <c r="H2131" s="8">
        <f>_xlfn.IFNA(INDEX('HS Codes'!$D$2:$K4685,MATCH($B2131,'HS Codes'!$A$2:$A4685,0),MATCH(H$1,'HS Codes'!$D$1:$K$1,0)),"")</f>
        <v>6302531000</v>
      </c>
      <c r="I2131" s="8">
        <f>_xlfn.IFNA(INDEX('HS Codes'!$D$2:$K4685,MATCH($B2131,'HS Codes'!$A$2:$A4685,0),MATCH(I$1,'HS Codes'!$D$1:$K$1,0)),"")</f>
        <v>63029310</v>
      </c>
      <c r="J2131" s="8">
        <f>_xlfn.IFNA(INDEX('HS Codes'!$D$2:$K4685,MATCH($B2131,'HS Codes'!$A$2:$A4685,0),MATCH(J$1,'HS Codes'!$D$1:$K$1,0)),"")</f>
        <v>0</v>
      </c>
      <c r="K2131" s="8" t="str">
        <f>_xlfn.IFNA(INDEX('HS Codes'!$D$2:$K4685,MATCH($B2131,'HS Codes'!$A$2:$A4685,0),MATCH(K$1,'HS Codes'!$D$1:$K$1,0)),"")</f>
        <v>6302.53.00</v>
      </c>
      <c r="L2131" s="8">
        <f>_xlfn.IFNA(INDEX('HS Codes'!$D$2:$K4685,MATCH($B2131,'HS Codes'!$A$2:$A4685,0),MATCH(L$1,'HS Codes'!$D$1:$K$1,0)),"")</f>
        <v>0</v>
      </c>
      <c r="M2131" s="8" t="str">
        <f>_xlfn.IFNA(INDEX('HS Codes'!$C$2:$C4685,MATCH($B2131,'HS Codes'!$A$2:$A4685,0)),"")</f>
        <v>Kitchen Linen 100% recycled 300 GSM/83% polyester/17% polyamide (no cotton)</v>
      </c>
      <c r="N2131" s="9"/>
      <c r="O2131" s="9"/>
      <c r="P2131" s="9"/>
      <c r="Q2131" s="9"/>
    </row>
    <row r="2132" spans="1:17" ht="15.75" customHeight="1">
      <c r="A2132" s="7" t="s">
        <v>2424</v>
      </c>
      <c r="B2132" s="7" t="s">
        <v>159</v>
      </c>
      <c r="C2132" s="7" t="s">
        <v>278</v>
      </c>
      <c r="D2132" s="7" t="s">
        <v>160</v>
      </c>
      <c r="E2132" s="7" t="s">
        <v>160</v>
      </c>
      <c r="F2132" s="8" t="str">
        <f>_xlfn.IFNA(INDEX('HS Codes'!$D$2:$K4686,MATCH($B2132,'HS Codes'!$A$2:$A4686,0),MATCH(F$1,'HS Codes'!$D$1:$K$1,0)),"")</f>
        <v>6302.53.00.20</v>
      </c>
      <c r="G2132" s="8">
        <f>_xlfn.IFNA(INDEX('HS Codes'!$D$2:$K4686,MATCH($B2132,'HS Codes'!$A$2:$A4686,0),MATCH(G$1,'HS Codes'!$D$1:$K$1,0)),"")</f>
        <v>6302531000</v>
      </c>
      <c r="H2132" s="8">
        <f>_xlfn.IFNA(INDEX('HS Codes'!$D$2:$K4686,MATCH($B2132,'HS Codes'!$A$2:$A4686,0),MATCH(H$1,'HS Codes'!$D$1:$K$1,0)),"")</f>
        <v>6302531000</v>
      </c>
      <c r="I2132" s="8">
        <f>_xlfn.IFNA(INDEX('HS Codes'!$D$2:$K4686,MATCH($B2132,'HS Codes'!$A$2:$A4686,0),MATCH(I$1,'HS Codes'!$D$1:$K$1,0)),"")</f>
        <v>63029310</v>
      </c>
      <c r="J2132" s="8">
        <f>_xlfn.IFNA(INDEX('HS Codes'!$D$2:$K4686,MATCH($B2132,'HS Codes'!$A$2:$A4686,0),MATCH(J$1,'HS Codes'!$D$1:$K$1,0)),"")</f>
        <v>0</v>
      </c>
      <c r="K2132" s="8" t="str">
        <f>_xlfn.IFNA(INDEX('HS Codes'!$D$2:$K4686,MATCH($B2132,'HS Codes'!$A$2:$A4686,0),MATCH(K$1,'HS Codes'!$D$1:$K$1,0)),"")</f>
        <v>6302.53.00</v>
      </c>
      <c r="L2132" s="8">
        <f>_xlfn.IFNA(INDEX('HS Codes'!$D$2:$K4686,MATCH($B2132,'HS Codes'!$A$2:$A4686,0),MATCH(L$1,'HS Codes'!$D$1:$K$1,0)),"")</f>
        <v>0</v>
      </c>
      <c r="M2132" s="8" t="str">
        <f>_xlfn.IFNA(INDEX('HS Codes'!$C$2:$C4686,MATCH($B2132,'HS Codes'!$A$2:$A4686,0)),"")</f>
        <v>Kitchen Linen 100% recycled 300 GSM/83% polyester/17% polyamide (no cotton)</v>
      </c>
      <c r="N2132" s="9"/>
      <c r="O2132" s="9"/>
      <c r="P2132" s="9"/>
      <c r="Q2132" s="9"/>
    </row>
    <row r="2133" spans="1:17" ht="15.75" customHeight="1">
      <c r="A2133" s="7" t="s">
        <v>2425</v>
      </c>
      <c r="B2133" s="7" t="s">
        <v>159</v>
      </c>
      <c r="C2133" s="7" t="s">
        <v>278</v>
      </c>
      <c r="D2133" s="7" t="s">
        <v>160</v>
      </c>
      <c r="E2133" s="7" t="s">
        <v>160</v>
      </c>
      <c r="F2133" s="8" t="str">
        <f>_xlfn.IFNA(INDEX('HS Codes'!$D$2:$K4687,MATCH($B2133,'HS Codes'!$A$2:$A4687,0),MATCH(F$1,'HS Codes'!$D$1:$K$1,0)),"")</f>
        <v>6302.53.00.20</v>
      </c>
      <c r="G2133" s="8">
        <f>_xlfn.IFNA(INDEX('HS Codes'!$D$2:$K4687,MATCH($B2133,'HS Codes'!$A$2:$A4687,0),MATCH(G$1,'HS Codes'!$D$1:$K$1,0)),"")</f>
        <v>6302531000</v>
      </c>
      <c r="H2133" s="8">
        <f>_xlfn.IFNA(INDEX('HS Codes'!$D$2:$K4687,MATCH($B2133,'HS Codes'!$A$2:$A4687,0),MATCH(H$1,'HS Codes'!$D$1:$K$1,0)),"")</f>
        <v>6302531000</v>
      </c>
      <c r="I2133" s="8">
        <f>_xlfn.IFNA(INDEX('HS Codes'!$D$2:$K4687,MATCH($B2133,'HS Codes'!$A$2:$A4687,0),MATCH(I$1,'HS Codes'!$D$1:$K$1,0)),"")</f>
        <v>63029310</v>
      </c>
      <c r="J2133" s="8">
        <f>_xlfn.IFNA(INDEX('HS Codes'!$D$2:$K4687,MATCH($B2133,'HS Codes'!$A$2:$A4687,0),MATCH(J$1,'HS Codes'!$D$1:$K$1,0)),"")</f>
        <v>0</v>
      </c>
      <c r="K2133" s="8" t="str">
        <f>_xlfn.IFNA(INDEX('HS Codes'!$D$2:$K4687,MATCH($B2133,'HS Codes'!$A$2:$A4687,0),MATCH(K$1,'HS Codes'!$D$1:$K$1,0)),"")</f>
        <v>6302.53.00</v>
      </c>
      <c r="L2133" s="8">
        <f>_xlfn.IFNA(INDEX('HS Codes'!$D$2:$K4687,MATCH($B2133,'HS Codes'!$A$2:$A4687,0),MATCH(L$1,'HS Codes'!$D$1:$K$1,0)),"")</f>
        <v>0</v>
      </c>
      <c r="M2133" s="8" t="str">
        <f>_xlfn.IFNA(INDEX('HS Codes'!$C$2:$C4687,MATCH($B2133,'HS Codes'!$A$2:$A4687,0)),"")</f>
        <v>Kitchen Linen 100% recycled 300 GSM/83% polyester/17% polyamide (no cotton)</v>
      </c>
      <c r="N2133" s="9"/>
      <c r="O2133" s="9"/>
      <c r="P2133" s="9"/>
      <c r="Q2133" s="9"/>
    </row>
    <row r="2134" spans="1:17" ht="15.75" customHeight="1">
      <c r="A2134" s="7" t="s">
        <v>2426</v>
      </c>
      <c r="B2134" s="7" t="s">
        <v>159</v>
      </c>
      <c r="C2134" s="7" t="s">
        <v>278</v>
      </c>
      <c r="D2134" s="7" t="s">
        <v>160</v>
      </c>
      <c r="E2134" s="7" t="s">
        <v>160</v>
      </c>
      <c r="F2134" s="8" t="str">
        <f>_xlfn.IFNA(INDEX('HS Codes'!$D$2:$K4688,MATCH($B2134,'HS Codes'!$A$2:$A4688,0),MATCH(F$1,'HS Codes'!$D$1:$K$1,0)),"")</f>
        <v>6302.53.00.20</v>
      </c>
      <c r="G2134" s="8">
        <f>_xlfn.IFNA(INDEX('HS Codes'!$D$2:$K4688,MATCH($B2134,'HS Codes'!$A$2:$A4688,0),MATCH(G$1,'HS Codes'!$D$1:$K$1,0)),"")</f>
        <v>6302531000</v>
      </c>
      <c r="H2134" s="8">
        <f>_xlfn.IFNA(INDEX('HS Codes'!$D$2:$K4688,MATCH($B2134,'HS Codes'!$A$2:$A4688,0),MATCH(H$1,'HS Codes'!$D$1:$K$1,0)),"")</f>
        <v>6302531000</v>
      </c>
      <c r="I2134" s="8">
        <f>_xlfn.IFNA(INDEX('HS Codes'!$D$2:$K4688,MATCH($B2134,'HS Codes'!$A$2:$A4688,0),MATCH(I$1,'HS Codes'!$D$1:$K$1,0)),"")</f>
        <v>63029310</v>
      </c>
      <c r="J2134" s="8">
        <f>_xlfn.IFNA(INDEX('HS Codes'!$D$2:$K4688,MATCH($B2134,'HS Codes'!$A$2:$A4688,0),MATCH(J$1,'HS Codes'!$D$1:$K$1,0)),"")</f>
        <v>0</v>
      </c>
      <c r="K2134" s="8" t="str">
        <f>_xlfn.IFNA(INDEX('HS Codes'!$D$2:$K4688,MATCH($B2134,'HS Codes'!$A$2:$A4688,0),MATCH(K$1,'HS Codes'!$D$1:$K$1,0)),"")</f>
        <v>6302.53.00</v>
      </c>
      <c r="L2134" s="8">
        <f>_xlfn.IFNA(INDEX('HS Codes'!$D$2:$K4688,MATCH($B2134,'HS Codes'!$A$2:$A4688,0),MATCH(L$1,'HS Codes'!$D$1:$K$1,0)),"")</f>
        <v>0</v>
      </c>
      <c r="M2134" s="8" t="str">
        <f>_xlfn.IFNA(INDEX('HS Codes'!$C$2:$C4688,MATCH($B2134,'HS Codes'!$A$2:$A4688,0)),"")</f>
        <v>Kitchen Linen 100% recycled 300 GSM/83% polyester/17% polyamide (no cotton)</v>
      </c>
      <c r="N2134" s="9"/>
      <c r="O2134" s="9"/>
      <c r="P2134" s="9"/>
      <c r="Q2134" s="9"/>
    </row>
    <row r="2135" spans="1:17" ht="15.75" customHeight="1">
      <c r="A2135" s="7" t="s">
        <v>2427</v>
      </c>
      <c r="B2135" s="7" t="s">
        <v>159</v>
      </c>
      <c r="C2135" s="7" t="s">
        <v>278</v>
      </c>
      <c r="D2135" s="7" t="s">
        <v>160</v>
      </c>
      <c r="E2135" s="7" t="s">
        <v>160</v>
      </c>
      <c r="F2135" s="8" t="str">
        <f>_xlfn.IFNA(INDEX('HS Codes'!$D$2:$K4689,MATCH($B2135,'HS Codes'!$A$2:$A4689,0),MATCH(F$1,'HS Codes'!$D$1:$K$1,0)),"")</f>
        <v>6302.53.00.20</v>
      </c>
      <c r="G2135" s="8">
        <f>_xlfn.IFNA(INDEX('HS Codes'!$D$2:$K4689,MATCH($B2135,'HS Codes'!$A$2:$A4689,0),MATCH(G$1,'HS Codes'!$D$1:$K$1,0)),"")</f>
        <v>6302531000</v>
      </c>
      <c r="H2135" s="8">
        <f>_xlfn.IFNA(INDEX('HS Codes'!$D$2:$K4689,MATCH($B2135,'HS Codes'!$A$2:$A4689,0),MATCH(H$1,'HS Codes'!$D$1:$K$1,0)),"")</f>
        <v>6302531000</v>
      </c>
      <c r="I2135" s="8">
        <f>_xlfn.IFNA(INDEX('HS Codes'!$D$2:$K4689,MATCH($B2135,'HS Codes'!$A$2:$A4689,0),MATCH(I$1,'HS Codes'!$D$1:$K$1,0)),"")</f>
        <v>63029310</v>
      </c>
      <c r="J2135" s="8">
        <f>_xlfn.IFNA(INDEX('HS Codes'!$D$2:$K4689,MATCH($B2135,'HS Codes'!$A$2:$A4689,0),MATCH(J$1,'HS Codes'!$D$1:$K$1,0)),"")</f>
        <v>0</v>
      </c>
      <c r="K2135" s="8" t="str">
        <f>_xlfn.IFNA(INDEX('HS Codes'!$D$2:$K4689,MATCH($B2135,'HS Codes'!$A$2:$A4689,0),MATCH(K$1,'HS Codes'!$D$1:$K$1,0)),"")</f>
        <v>6302.53.00</v>
      </c>
      <c r="L2135" s="8">
        <f>_xlfn.IFNA(INDEX('HS Codes'!$D$2:$K4689,MATCH($B2135,'HS Codes'!$A$2:$A4689,0),MATCH(L$1,'HS Codes'!$D$1:$K$1,0)),"")</f>
        <v>0</v>
      </c>
      <c r="M2135" s="8" t="str">
        <f>_xlfn.IFNA(INDEX('HS Codes'!$C$2:$C4689,MATCH($B2135,'HS Codes'!$A$2:$A4689,0)),"")</f>
        <v>Kitchen Linen 100% recycled 300 GSM/83% polyester/17% polyamide (no cotton)</v>
      </c>
      <c r="N2135" s="9"/>
      <c r="O2135" s="9"/>
      <c r="P2135" s="9"/>
      <c r="Q2135" s="9"/>
    </row>
    <row r="2136" spans="1:17" ht="15.75" customHeight="1">
      <c r="A2136" s="7" t="s">
        <v>2428</v>
      </c>
      <c r="B2136" s="7" t="s">
        <v>159</v>
      </c>
      <c r="C2136" s="7" t="s">
        <v>278</v>
      </c>
      <c r="D2136" s="7" t="s">
        <v>160</v>
      </c>
      <c r="E2136" s="7" t="s">
        <v>160</v>
      </c>
      <c r="F2136" s="8" t="str">
        <f>_xlfn.IFNA(INDEX('HS Codes'!$D$2:$K4690,MATCH($B2136,'HS Codes'!$A$2:$A4690,0),MATCH(F$1,'HS Codes'!$D$1:$K$1,0)),"")</f>
        <v>6302.53.00.20</v>
      </c>
      <c r="G2136" s="8">
        <f>_xlfn.IFNA(INDEX('HS Codes'!$D$2:$K4690,MATCH($B2136,'HS Codes'!$A$2:$A4690,0),MATCH(G$1,'HS Codes'!$D$1:$K$1,0)),"")</f>
        <v>6302531000</v>
      </c>
      <c r="H2136" s="8">
        <f>_xlfn.IFNA(INDEX('HS Codes'!$D$2:$K4690,MATCH($B2136,'HS Codes'!$A$2:$A4690,0),MATCH(H$1,'HS Codes'!$D$1:$K$1,0)),"")</f>
        <v>6302531000</v>
      </c>
      <c r="I2136" s="8">
        <f>_xlfn.IFNA(INDEX('HS Codes'!$D$2:$K4690,MATCH($B2136,'HS Codes'!$A$2:$A4690,0),MATCH(I$1,'HS Codes'!$D$1:$K$1,0)),"")</f>
        <v>63029310</v>
      </c>
      <c r="J2136" s="8">
        <f>_xlfn.IFNA(INDEX('HS Codes'!$D$2:$K4690,MATCH($B2136,'HS Codes'!$A$2:$A4690,0),MATCH(J$1,'HS Codes'!$D$1:$K$1,0)),"")</f>
        <v>0</v>
      </c>
      <c r="K2136" s="8" t="str">
        <f>_xlfn.IFNA(INDEX('HS Codes'!$D$2:$K4690,MATCH($B2136,'HS Codes'!$A$2:$A4690,0),MATCH(K$1,'HS Codes'!$D$1:$K$1,0)),"")</f>
        <v>6302.53.00</v>
      </c>
      <c r="L2136" s="8">
        <f>_xlfn.IFNA(INDEX('HS Codes'!$D$2:$K4690,MATCH($B2136,'HS Codes'!$A$2:$A4690,0),MATCH(L$1,'HS Codes'!$D$1:$K$1,0)),"")</f>
        <v>0</v>
      </c>
      <c r="M2136" s="8" t="str">
        <f>_xlfn.IFNA(INDEX('HS Codes'!$C$2:$C4690,MATCH($B2136,'HS Codes'!$A$2:$A4690,0)),"")</f>
        <v>Kitchen Linen 100% recycled 300 GSM/83% polyester/17% polyamide (no cotton)</v>
      </c>
      <c r="N2136" s="9"/>
      <c r="O2136" s="9"/>
      <c r="P2136" s="9"/>
      <c r="Q2136" s="9"/>
    </row>
    <row r="2137" spans="1:17" ht="15.75" customHeight="1">
      <c r="A2137" s="7" t="s">
        <v>2429</v>
      </c>
      <c r="B2137" s="7" t="s">
        <v>159</v>
      </c>
      <c r="C2137" s="7" t="s">
        <v>278</v>
      </c>
      <c r="D2137" s="7" t="s">
        <v>160</v>
      </c>
      <c r="E2137" s="7" t="s">
        <v>160</v>
      </c>
      <c r="F2137" s="8" t="str">
        <f>_xlfn.IFNA(INDEX('HS Codes'!$D$2:$K4691,MATCH($B2137,'HS Codes'!$A$2:$A4691,0),MATCH(F$1,'HS Codes'!$D$1:$K$1,0)),"")</f>
        <v>6302.53.00.20</v>
      </c>
      <c r="G2137" s="8">
        <f>_xlfn.IFNA(INDEX('HS Codes'!$D$2:$K4691,MATCH($B2137,'HS Codes'!$A$2:$A4691,0),MATCH(G$1,'HS Codes'!$D$1:$K$1,0)),"")</f>
        <v>6302531000</v>
      </c>
      <c r="H2137" s="8">
        <f>_xlfn.IFNA(INDEX('HS Codes'!$D$2:$K4691,MATCH($B2137,'HS Codes'!$A$2:$A4691,0),MATCH(H$1,'HS Codes'!$D$1:$K$1,0)),"")</f>
        <v>6302531000</v>
      </c>
      <c r="I2137" s="8">
        <f>_xlfn.IFNA(INDEX('HS Codes'!$D$2:$K4691,MATCH($B2137,'HS Codes'!$A$2:$A4691,0),MATCH(I$1,'HS Codes'!$D$1:$K$1,0)),"")</f>
        <v>63029310</v>
      </c>
      <c r="J2137" s="8">
        <f>_xlfn.IFNA(INDEX('HS Codes'!$D$2:$K4691,MATCH($B2137,'HS Codes'!$A$2:$A4691,0),MATCH(J$1,'HS Codes'!$D$1:$K$1,0)),"")</f>
        <v>0</v>
      </c>
      <c r="K2137" s="8" t="str">
        <f>_xlfn.IFNA(INDEX('HS Codes'!$D$2:$K4691,MATCH($B2137,'HS Codes'!$A$2:$A4691,0),MATCH(K$1,'HS Codes'!$D$1:$K$1,0)),"")</f>
        <v>6302.53.00</v>
      </c>
      <c r="L2137" s="8">
        <f>_xlfn.IFNA(INDEX('HS Codes'!$D$2:$K4691,MATCH($B2137,'HS Codes'!$A$2:$A4691,0),MATCH(L$1,'HS Codes'!$D$1:$K$1,0)),"")</f>
        <v>0</v>
      </c>
      <c r="M2137" s="8" t="str">
        <f>_xlfn.IFNA(INDEX('HS Codes'!$C$2:$C4691,MATCH($B2137,'HS Codes'!$A$2:$A4691,0)),"")</f>
        <v>Kitchen Linen 100% recycled 300 GSM/83% polyester/17% polyamide (no cotton)</v>
      </c>
      <c r="N2137" s="9"/>
      <c r="O2137" s="9"/>
      <c r="P2137" s="9"/>
      <c r="Q2137" s="9"/>
    </row>
    <row r="2138" spans="1:17" ht="15.75" customHeight="1">
      <c r="A2138" s="7" t="s">
        <v>2430</v>
      </c>
      <c r="B2138" s="7" t="s">
        <v>164</v>
      </c>
      <c r="C2138" s="7" t="s">
        <v>278</v>
      </c>
      <c r="D2138" s="7" t="s">
        <v>165</v>
      </c>
      <c r="E2138" s="7" t="s">
        <v>348</v>
      </c>
      <c r="F2138" s="8" t="str">
        <f>_xlfn.IFNA(INDEX('HS Codes'!$D$2:$K4692,MATCH($B2138,'HS Codes'!$A$2:$A4692,0),MATCH(F$1,'HS Codes'!$D$1:$K$1,0)),"")</f>
        <v>6302.93.2000</v>
      </c>
      <c r="G2138" s="8">
        <f>_xlfn.IFNA(INDEX('HS Codes'!$D$2:$K4692,MATCH($B2138,'HS Codes'!$A$2:$A4692,0),MATCH(G$1,'HS Codes'!$D$1:$K$1,0)),"")</f>
        <v>6302600090</v>
      </c>
      <c r="H2138" s="8" t="str">
        <f>_xlfn.IFNA(INDEX('HS Codes'!$D$2:$K4692,MATCH($B2138,'HS Codes'!$A$2:$A4692,0),MATCH(H$1,'HS Codes'!$D$1:$K$1,0)),"")</f>
        <v>6302.93.00.00</v>
      </c>
      <c r="I2138" s="8">
        <f>_xlfn.IFNA(INDEX('HS Codes'!$D$2:$K4692,MATCH($B2138,'HS Codes'!$A$2:$A4692,0),MATCH(I$1,'HS Codes'!$D$1:$K$1,0)),"")</f>
        <v>63029390</v>
      </c>
      <c r="J2138" s="8">
        <f>_xlfn.IFNA(INDEX('HS Codes'!$D$2:$K4692,MATCH($B2138,'HS Codes'!$A$2:$A4692,0),MATCH(J$1,'HS Codes'!$D$1:$K$1,0)),"")</f>
        <v>0</v>
      </c>
      <c r="K2138" s="8" t="str">
        <f>_xlfn.IFNA(INDEX('HS Codes'!$D$2:$K4692,MATCH($B2138,'HS Codes'!$A$2:$A4692,0),MATCH(K$1,'HS Codes'!$D$1:$K$1,0)),"")</f>
        <v>6302.39.00</v>
      </c>
      <c r="L2138" s="8">
        <f>_xlfn.IFNA(INDEX('HS Codes'!$D$2:$K4692,MATCH($B2138,'HS Codes'!$A$2:$A4692,0),MATCH(L$1,'HS Codes'!$D$1:$K$1,0)),"")</f>
        <v>63029120</v>
      </c>
      <c r="M2138" s="8" t="str">
        <f>_xlfn.IFNA(INDEX('HS Codes'!$C$2:$C4692,MATCH($B2138,'HS Codes'!$A$2:$A4692,0)),"")</f>
        <v>Beach Towel - Toilet Linen 100% recycled 220 GSM/83% polyester/17% polyamide includes cotton on the packing pouch drawstring</v>
      </c>
      <c r="N2138" s="9"/>
      <c r="O2138" s="9"/>
      <c r="P2138" s="9"/>
      <c r="Q2138" s="9"/>
    </row>
    <row r="2139" spans="1:17" ht="15.75" customHeight="1">
      <c r="A2139" s="7" t="s">
        <v>2431</v>
      </c>
      <c r="B2139" s="7" t="s">
        <v>164</v>
      </c>
      <c r="C2139" s="7" t="s">
        <v>278</v>
      </c>
      <c r="D2139" s="7" t="s">
        <v>165</v>
      </c>
      <c r="E2139" s="7" t="s">
        <v>348</v>
      </c>
      <c r="F2139" s="8" t="str">
        <f>_xlfn.IFNA(INDEX('HS Codes'!$D$2:$K4693,MATCH($B2139,'HS Codes'!$A$2:$A4693,0),MATCH(F$1,'HS Codes'!$D$1:$K$1,0)),"")</f>
        <v>6302.93.2000</v>
      </c>
      <c r="G2139" s="8">
        <f>_xlfn.IFNA(INDEX('HS Codes'!$D$2:$K4693,MATCH($B2139,'HS Codes'!$A$2:$A4693,0),MATCH(G$1,'HS Codes'!$D$1:$K$1,0)),"")</f>
        <v>6302600090</v>
      </c>
      <c r="H2139" s="8" t="str">
        <f>_xlfn.IFNA(INDEX('HS Codes'!$D$2:$K4693,MATCH($B2139,'HS Codes'!$A$2:$A4693,0),MATCH(H$1,'HS Codes'!$D$1:$K$1,0)),"")</f>
        <v>6302.93.00.00</v>
      </c>
      <c r="I2139" s="8">
        <f>_xlfn.IFNA(INDEX('HS Codes'!$D$2:$K4693,MATCH($B2139,'HS Codes'!$A$2:$A4693,0),MATCH(I$1,'HS Codes'!$D$1:$K$1,0)),"")</f>
        <v>63029390</v>
      </c>
      <c r="J2139" s="8">
        <f>_xlfn.IFNA(INDEX('HS Codes'!$D$2:$K4693,MATCH($B2139,'HS Codes'!$A$2:$A4693,0),MATCH(J$1,'HS Codes'!$D$1:$K$1,0)),"")</f>
        <v>0</v>
      </c>
      <c r="K2139" s="8" t="str">
        <f>_xlfn.IFNA(INDEX('HS Codes'!$D$2:$K4693,MATCH($B2139,'HS Codes'!$A$2:$A4693,0),MATCH(K$1,'HS Codes'!$D$1:$K$1,0)),"")</f>
        <v>6302.39.00</v>
      </c>
      <c r="L2139" s="8">
        <f>_xlfn.IFNA(INDEX('HS Codes'!$D$2:$K4693,MATCH($B2139,'HS Codes'!$A$2:$A4693,0),MATCH(L$1,'HS Codes'!$D$1:$K$1,0)),"")</f>
        <v>63029120</v>
      </c>
      <c r="M2139" s="8" t="str">
        <f>_xlfn.IFNA(INDEX('HS Codes'!$C$2:$C4693,MATCH($B2139,'HS Codes'!$A$2:$A4693,0)),"")</f>
        <v>Beach Towel - Toilet Linen 100% recycled 220 GSM/83% polyester/17% polyamide includes cotton on the packing pouch drawstring</v>
      </c>
      <c r="N2139" s="9"/>
      <c r="O2139" s="9"/>
      <c r="P2139" s="9"/>
      <c r="Q2139" s="9"/>
    </row>
    <row r="2140" spans="1:17" ht="15.75" customHeight="1">
      <c r="A2140" s="7" t="s">
        <v>2432</v>
      </c>
      <c r="B2140" s="7" t="s">
        <v>164</v>
      </c>
      <c r="C2140" s="7" t="s">
        <v>278</v>
      </c>
      <c r="D2140" s="7" t="s">
        <v>165</v>
      </c>
      <c r="E2140" s="7" t="s">
        <v>348</v>
      </c>
      <c r="F2140" s="8" t="str">
        <f>_xlfn.IFNA(INDEX('HS Codes'!$D$2:$K4694,MATCH($B2140,'HS Codes'!$A$2:$A4694,0),MATCH(F$1,'HS Codes'!$D$1:$K$1,0)),"")</f>
        <v>6302.93.2000</v>
      </c>
      <c r="G2140" s="8">
        <f>_xlfn.IFNA(INDEX('HS Codes'!$D$2:$K4694,MATCH($B2140,'HS Codes'!$A$2:$A4694,0),MATCH(G$1,'HS Codes'!$D$1:$K$1,0)),"")</f>
        <v>6302600090</v>
      </c>
      <c r="H2140" s="8" t="str">
        <f>_xlfn.IFNA(INDEX('HS Codes'!$D$2:$K4694,MATCH($B2140,'HS Codes'!$A$2:$A4694,0),MATCH(H$1,'HS Codes'!$D$1:$K$1,0)),"")</f>
        <v>6302.93.00.00</v>
      </c>
      <c r="I2140" s="8">
        <f>_xlfn.IFNA(INDEX('HS Codes'!$D$2:$K4694,MATCH($B2140,'HS Codes'!$A$2:$A4694,0),MATCH(I$1,'HS Codes'!$D$1:$K$1,0)),"")</f>
        <v>63029390</v>
      </c>
      <c r="J2140" s="8">
        <f>_xlfn.IFNA(INDEX('HS Codes'!$D$2:$K4694,MATCH($B2140,'HS Codes'!$A$2:$A4694,0),MATCH(J$1,'HS Codes'!$D$1:$K$1,0)),"")</f>
        <v>0</v>
      </c>
      <c r="K2140" s="8" t="str">
        <f>_xlfn.IFNA(INDEX('HS Codes'!$D$2:$K4694,MATCH($B2140,'HS Codes'!$A$2:$A4694,0),MATCH(K$1,'HS Codes'!$D$1:$K$1,0)),"")</f>
        <v>6302.39.00</v>
      </c>
      <c r="L2140" s="8">
        <f>_xlfn.IFNA(INDEX('HS Codes'!$D$2:$K4694,MATCH($B2140,'HS Codes'!$A$2:$A4694,0),MATCH(L$1,'HS Codes'!$D$1:$K$1,0)),"")</f>
        <v>63029120</v>
      </c>
      <c r="M2140" s="8" t="str">
        <f>_xlfn.IFNA(INDEX('HS Codes'!$C$2:$C4694,MATCH($B2140,'HS Codes'!$A$2:$A4694,0)),"")</f>
        <v>Beach Towel - Toilet Linen 100% recycled 220 GSM/83% polyester/17% polyamide includes cotton on the packing pouch drawstring</v>
      </c>
      <c r="N2140" s="9"/>
      <c r="O2140" s="9"/>
      <c r="P2140" s="9"/>
      <c r="Q2140" s="9"/>
    </row>
    <row r="2141" spans="1:17" ht="15.75" customHeight="1">
      <c r="A2141" s="7" t="s">
        <v>2433</v>
      </c>
      <c r="B2141" s="7" t="s">
        <v>164</v>
      </c>
      <c r="C2141" s="7" t="s">
        <v>278</v>
      </c>
      <c r="D2141" s="7" t="s">
        <v>165</v>
      </c>
      <c r="E2141" s="7" t="s">
        <v>348</v>
      </c>
      <c r="F2141" s="8" t="str">
        <f>_xlfn.IFNA(INDEX('HS Codes'!$D$2:$K4695,MATCH($B2141,'HS Codes'!$A$2:$A4695,0),MATCH(F$1,'HS Codes'!$D$1:$K$1,0)),"")</f>
        <v>6302.93.2000</v>
      </c>
      <c r="G2141" s="8">
        <f>_xlfn.IFNA(INDEX('HS Codes'!$D$2:$K4695,MATCH($B2141,'HS Codes'!$A$2:$A4695,0),MATCH(G$1,'HS Codes'!$D$1:$K$1,0)),"")</f>
        <v>6302600090</v>
      </c>
      <c r="H2141" s="8" t="str">
        <f>_xlfn.IFNA(INDEX('HS Codes'!$D$2:$K4695,MATCH($B2141,'HS Codes'!$A$2:$A4695,0),MATCH(H$1,'HS Codes'!$D$1:$K$1,0)),"")</f>
        <v>6302.93.00.00</v>
      </c>
      <c r="I2141" s="8">
        <f>_xlfn.IFNA(INDEX('HS Codes'!$D$2:$K4695,MATCH($B2141,'HS Codes'!$A$2:$A4695,0),MATCH(I$1,'HS Codes'!$D$1:$K$1,0)),"")</f>
        <v>63029390</v>
      </c>
      <c r="J2141" s="8">
        <f>_xlfn.IFNA(INDEX('HS Codes'!$D$2:$K4695,MATCH($B2141,'HS Codes'!$A$2:$A4695,0),MATCH(J$1,'HS Codes'!$D$1:$K$1,0)),"")</f>
        <v>0</v>
      </c>
      <c r="K2141" s="8" t="str">
        <f>_xlfn.IFNA(INDEX('HS Codes'!$D$2:$K4695,MATCH($B2141,'HS Codes'!$A$2:$A4695,0),MATCH(K$1,'HS Codes'!$D$1:$K$1,0)),"")</f>
        <v>6302.39.00</v>
      </c>
      <c r="L2141" s="8">
        <f>_xlfn.IFNA(INDEX('HS Codes'!$D$2:$K4695,MATCH($B2141,'HS Codes'!$A$2:$A4695,0),MATCH(L$1,'HS Codes'!$D$1:$K$1,0)),"")</f>
        <v>63029120</v>
      </c>
      <c r="M2141" s="8" t="str">
        <f>_xlfn.IFNA(INDEX('HS Codes'!$C$2:$C4695,MATCH($B2141,'HS Codes'!$A$2:$A4695,0)),"")</f>
        <v>Beach Towel - Toilet Linen 100% recycled 220 GSM/83% polyester/17% polyamide includes cotton on the packing pouch drawstring</v>
      </c>
      <c r="N2141" s="9"/>
      <c r="O2141" s="9"/>
      <c r="P2141" s="9"/>
      <c r="Q2141" s="9"/>
    </row>
    <row r="2142" spans="1:17" ht="15.75" customHeight="1">
      <c r="A2142" s="7" t="s">
        <v>2434</v>
      </c>
      <c r="B2142" s="7" t="s">
        <v>164</v>
      </c>
      <c r="C2142" s="7" t="s">
        <v>278</v>
      </c>
      <c r="D2142" s="7" t="s">
        <v>165</v>
      </c>
      <c r="E2142" s="7" t="s">
        <v>348</v>
      </c>
      <c r="F2142" s="8" t="str">
        <f>_xlfn.IFNA(INDEX('HS Codes'!$D$2:$K4696,MATCH($B2142,'HS Codes'!$A$2:$A4696,0),MATCH(F$1,'HS Codes'!$D$1:$K$1,0)),"")</f>
        <v>6302.93.2000</v>
      </c>
      <c r="G2142" s="8">
        <f>_xlfn.IFNA(INDEX('HS Codes'!$D$2:$K4696,MATCH($B2142,'HS Codes'!$A$2:$A4696,0),MATCH(G$1,'HS Codes'!$D$1:$K$1,0)),"")</f>
        <v>6302600090</v>
      </c>
      <c r="H2142" s="8" t="str">
        <f>_xlfn.IFNA(INDEX('HS Codes'!$D$2:$K4696,MATCH($B2142,'HS Codes'!$A$2:$A4696,0),MATCH(H$1,'HS Codes'!$D$1:$K$1,0)),"")</f>
        <v>6302.93.00.00</v>
      </c>
      <c r="I2142" s="8">
        <f>_xlfn.IFNA(INDEX('HS Codes'!$D$2:$K4696,MATCH($B2142,'HS Codes'!$A$2:$A4696,0),MATCH(I$1,'HS Codes'!$D$1:$K$1,0)),"")</f>
        <v>63029390</v>
      </c>
      <c r="J2142" s="8">
        <f>_xlfn.IFNA(INDEX('HS Codes'!$D$2:$K4696,MATCH($B2142,'HS Codes'!$A$2:$A4696,0),MATCH(J$1,'HS Codes'!$D$1:$K$1,0)),"")</f>
        <v>0</v>
      </c>
      <c r="K2142" s="8" t="str">
        <f>_xlfn.IFNA(INDEX('HS Codes'!$D$2:$K4696,MATCH($B2142,'HS Codes'!$A$2:$A4696,0),MATCH(K$1,'HS Codes'!$D$1:$K$1,0)),"")</f>
        <v>6302.39.00</v>
      </c>
      <c r="L2142" s="8">
        <f>_xlfn.IFNA(INDEX('HS Codes'!$D$2:$K4696,MATCH($B2142,'HS Codes'!$A$2:$A4696,0),MATCH(L$1,'HS Codes'!$D$1:$K$1,0)),"")</f>
        <v>63029120</v>
      </c>
      <c r="M2142" s="8" t="str">
        <f>_xlfn.IFNA(INDEX('HS Codes'!$C$2:$C4696,MATCH($B2142,'HS Codes'!$A$2:$A4696,0)),"")</f>
        <v>Beach Towel - Toilet Linen 100% recycled 220 GSM/83% polyester/17% polyamide includes cotton on the packing pouch drawstring</v>
      </c>
      <c r="N2142" s="9"/>
      <c r="O2142" s="9"/>
      <c r="P2142" s="9"/>
      <c r="Q2142" s="9"/>
    </row>
    <row r="2143" spans="1:17" ht="15.75" customHeight="1">
      <c r="A2143" s="7" t="s">
        <v>2435</v>
      </c>
      <c r="B2143" s="7" t="s">
        <v>164</v>
      </c>
      <c r="C2143" s="7" t="s">
        <v>278</v>
      </c>
      <c r="D2143" s="7" t="s">
        <v>165</v>
      </c>
      <c r="E2143" s="7" t="s">
        <v>348</v>
      </c>
      <c r="F2143" s="8" t="str">
        <f>_xlfn.IFNA(INDEX('HS Codes'!$D$2:$K4697,MATCH($B2143,'HS Codes'!$A$2:$A4697,0),MATCH(F$1,'HS Codes'!$D$1:$K$1,0)),"")</f>
        <v>6302.93.2000</v>
      </c>
      <c r="G2143" s="8">
        <f>_xlfn.IFNA(INDEX('HS Codes'!$D$2:$K4697,MATCH($B2143,'HS Codes'!$A$2:$A4697,0),MATCH(G$1,'HS Codes'!$D$1:$K$1,0)),"")</f>
        <v>6302600090</v>
      </c>
      <c r="H2143" s="8" t="str">
        <f>_xlfn.IFNA(INDEX('HS Codes'!$D$2:$K4697,MATCH($B2143,'HS Codes'!$A$2:$A4697,0),MATCH(H$1,'HS Codes'!$D$1:$K$1,0)),"")</f>
        <v>6302.93.00.00</v>
      </c>
      <c r="I2143" s="8">
        <f>_xlfn.IFNA(INDEX('HS Codes'!$D$2:$K4697,MATCH($B2143,'HS Codes'!$A$2:$A4697,0),MATCH(I$1,'HS Codes'!$D$1:$K$1,0)),"")</f>
        <v>63029390</v>
      </c>
      <c r="J2143" s="8">
        <f>_xlfn.IFNA(INDEX('HS Codes'!$D$2:$K4697,MATCH($B2143,'HS Codes'!$A$2:$A4697,0),MATCH(J$1,'HS Codes'!$D$1:$K$1,0)),"")</f>
        <v>0</v>
      </c>
      <c r="K2143" s="8" t="str">
        <f>_xlfn.IFNA(INDEX('HS Codes'!$D$2:$K4697,MATCH($B2143,'HS Codes'!$A$2:$A4697,0),MATCH(K$1,'HS Codes'!$D$1:$K$1,0)),"")</f>
        <v>6302.39.00</v>
      </c>
      <c r="L2143" s="8">
        <f>_xlfn.IFNA(INDEX('HS Codes'!$D$2:$K4697,MATCH($B2143,'HS Codes'!$A$2:$A4697,0),MATCH(L$1,'HS Codes'!$D$1:$K$1,0)),"")</f>
        <v>63029120</v>
      </c>
      <c r="M2143" s="8" t="str">
        <f>_xlfn.IFNA(INDEX('HS Codes'!$C$2:$C4697,MATCH($B2143,'HS Codes'!$A$2:$A4697,0)),"")</f>
        <v>Beach Towel - Toilet Linen 100% recycled 220 GSM/83% polyester/17% polyamide includes cotton on the packing pouch drawstring</v>
      </c>
      <c r="N2143" s="9"/>
      <c r="O2143" s="9"/>
      <c r="P2143" s="9"/>
      <c r="Q2143" s="9"/>
    </row>
    <row r="2144" spans="1:17" ht="15.75" customHeight="1">
      <c r="A2144" s="7" t="s">
        <v>2436</v>
      </c>
      <c r="B2144" s="7" t="s">
        <v>164</v>
      </c>
      <c r="C2144" s="7" t="s">
        <v>278</v>
      </c>
      <c r="D2144" s="7" t="s">
        <v>165</v>
      </c>
      <c r="E2144" s="7" t="s">
        <v>348</v>
      </c>
      <c r="F2144" s="8" t="str">
        <f>_xlfn.IFNA(INDEX('HS Codes'!$D$2:$K4698,MATCH($B2144,'HS Codes'!$A$2:$A4698,0),MATCH(F$1,'HS Codes'!$D$1:$K$1,0)),"")</f>
        <v>6302.93.2000</v>
      </c>
      <c r="G2144" s="8">
        <f>_xlfn.IFNA(INDEX('HS Codes'!$D$2:$K4698,MATCH($B2144,'HS Codes'!$A$2:$A4698,0),MATCH(G$1,'HS Codes'!$D$1:$K$1,0)),"")</f>
        <v>6302600090</v>
      </c>
      <c r="H2144" s="8" t="str">
        <f>_xlfn.IFNA(INDEX('HS Codes'!$D$2:$K4698,MATCH($B2144,'HS Codes'!$A$2:$A4698,0),MATCH(H$1,'HS Codes'!$D$1:$K$1,0)),"")</f>
        <v>6302.93.00.00</v>
      </c>
      <c r="I2144" s="8">
        <f>_xlfn.IFNA(INDEX('HS Codes'!$D$2:$K4698,MATCH($B2144,'HS Codes'!$A$2:$A4698,0),MATCH(I$1,'HS Codes'!$D$1:$K$1,0)),"")</f>
        <v>63029390</v>
      </c>
      <c r="J2144" s="8">
        <f>_xlfn.IFNA(INDEX('HS Codes'!$D$2:$K4698,MATCH($B2144,'HS Codes'!$A$2:$A4698,0),MATCH(J$1,'HS Codes'!$D$1:$K$1,0)),"")</f>
        <v>0</v>
      </c>
      <c r="K2144" s="8" t="str">
        <f>_xlfn.IFNA(INDEX('HS Codes'!$D$2:$K4698,MATCH($B2144,'HS Codes'!$A$2:$A4698,0),MATCH(K$1,'HS Codes'!$D$1:$K$1,0)),"")</f>
        <v>6302.39.00</v>
      </c>
      <c r="L2144" s="8">
        <f>_xlfn.IFNA(INDEX('HS Codes'!$D$2:$K4698,MATCH($B2144,'HS Codes'!$A$2:$A4698,0),MATCH(L$1,'HS Codes'!$D$1:$K$1,0)),"")</f>
        <v>63029120</v>
      </c>
      <c r="M2144" s="8" t="str">
        <f>_xlfn.IFNA(INDEX('HS Codes'!$C$2:$C4698,MATCH($B2144,'HS Codes'!$A$2:$A4698,0)),"")</f>
        <v>Beach Towel - Toilet Linen 100% recycled 220 GSM/83% polyester/17% polyamide includes cotton on the packing pouch drawstring</v>
      </c>
      <c r="N2144" s="9"/>
      <c r="O2144" s="9"/>
      <c r="P2144" s="9"/>
      <c r="Q2144" s="9"/>
    </row>
    <row r="2145" spans="1:17" ht="15.75" customHeight="1">
      <c r="A2145" s="7" t="s">
        <v>2437</v>
      </c>
      <c r="B2145" s="7" t="s">
        <v>164</v>
      </c>
      <c r="C2145" s="7" t="s">
        <v>278</v>
      </c>
      <c r="D2145" s="7" t="s">
        <v>165</v>
      </c>
      <c r="E2145" s="7" t="s">
        <v>348</v>
      </c>
      <c r="F2145" s="8" t="str">
        <f>_xlfn.IFNA(INDEX('HS Codes'!$D$2:$K4699,MATCH($B2145,'HS Codes'!$A$2:$A4699,0),MATCH(F$1,'HS Codes'!$D$1:$K$1,0)),"")</f>
        <v>6302.93.2000</v>
      </c>
      <c r="G2145" s="8">
        <f>_xlfn.IFNA(INDEX('HS Codes'!$D$2:$K4699,MATCH($B2145,'HS Codes'!$A$2:$A4699,0),MATCH(G$1,'HS Codes'!$D$1:$K$1,0)),"")</f>
        <v>6302600090</v>
      </c>
      <c r="H2145" s="8" t="str">
        <f>_xlfn.IFNA(INDEX('HS Codes'!$D$2:$K4699,MATCH($B2145,'HS Codes'!$A$2:$A4699,0),MATCH(H$1,'HS Codes'!$D$1:$K$1,0)),"")</f>
        <v>6302.93.00.00</v>
      </c>
      <c r="I2145" s="8">
        <f>_xlfn.IFNA(INDEX('HS Codes'!$D$2:$K4699,MATCH($B2145,'HS Codes'!$A$2:$A4699,0),MATCH(I$1,'HS Codes'!$D$1:$K$1,0)),"")</f>
        <v>63029390</v>
      </c>
      <c r="J2145" s="8">
        <f>_xlfn.IFNA(INDEX('HS Codes'!$D$2:$K4699,MATCH($B2145,'HS Codes'!$A$2:$A4699,0),MATCH(J$1,'HS Codes'!$D$1:$K$1,0)),"")</f>
        <v>0</v>
      </c>
      <c r="K2145" s="8" t="str">
        <f>_xlfn.IFNA(INDEX('HS Codes'!$D$2:$K4699,MATCH($B2145,'HS Codes'!$A$2:$A4699,0),MATCH(K$1,'HS Codes'!$D$1:$K$1,0)),"")</f>
        <v>6302.39.00</v>
      </c>
      <c r="L2145" s="8">
        <f>_xlfn.IFNA(INDEX('HS Codes'!$D$2:$K4699,MATCH($B2145,'HS Codes'!$A$2:$A4699,0),MATCH(L$1,'HS Codes'!$D$1:$K$1,0)),"")</f>
        <v>63029120</v>
      </c>
      <c r="M2145" s="8" t="str">
        <f>_xlfn.IFNA(INDEX('HS Codes'!$C$2:$C4699,MATCH($B2145,'HS Codes'!$A$2:$A4699,0)),"")</f>
        <v>Beach Towel - Toilet Linen 100% recycled 220 GSM/83% polyester/17% polyamide includes cotton on the packing pouch drawstring</v>
      </c>
      <c r="N2145" s="9"/>
      <c r="O2145" s="9"/>
      <c r="P2145" s="9"/>
      <c r="Q2145" s="9"/>
    </row>
    <row r="2146" spans="1:17" ht="15.75" customHeight="1">
      <c r="A2146" s="7" t="s">
        <v>2438</v>
      </c>
      <c r="B2146" s="7" t="s">
        <v>164</v>
      </c>
      <c r="C2146" s="7" t="s">
        <v>278</v>
      </c>
      <c r="D2146" s="7" t="s">
        <v>165</v>
      </c>
      <c r="E2146" s="7" t="s">
        <v>348</v>
      </c>
      <c r="F2146" s="8" t="str">
        <f>_xlfn.IFNA(INDEX('HS Codes'!$D$2:$K4700,MATCH($B2146,'HS Codes'!$A$2:$A4700,0),MATCH(F$1,'HS Codes'!$D$1:$K$1,0)),"")</f>
        <v>6302.93.2000</v>
      </c>
      <c r="G2146" s="8">
        <f>_xlfn.IFNA(INDEX('HS Codes'!$D$2:$K4700,MATCH($B2146,'HS Codes'!$A$2:$A4700,0),MATCH(G$1,'HS Codes'!$D$1:$K$1,0)),"")</f>
        <v>6302600090</v>
      </c>
      <c r="H2146" s="8" t="str">
        <f>_xlfn.IFNA(INDEX('HS Codes'!$D$2:$K4700,MATCH($B2146,'HS Codes'!$A$2:$A4700,0),MATCH(H$1,'HS Codes'!$D$1:$K$1,0)),"")</f>
        <v>6302.93.00.00</v>
      </c>
      <c r="I2146" s="8">
        <f>_xlfn.IFNA(INDEX('HS Codes'!$D$2:$K4700,MATCH($B2146,'HS Codes'!$A$2:$A4700,0),MATCH(I$1,'HS Codes'!$D$1:$K$1,0)),"")</f>
        <v>63029390</v>
      </c>
      <c r="J2146" s="8">
        <f>_xlfn.IFNA(INDEX('HS Codes'!$D$2:$K4700,MATCH($B2146,'HS Codes'!$A$2:$A4700,0),MATCH(J$1,'HS Codes'!$D$1:$K$1,0)),"")</f>
        <v>0</v>
      </c>
      <c r="K2146" s="8" t="str">
        <f>_xlfn.IFNA(INDEX('HS Codes'!$D$2:$K4700,MATCH($B2146,'HS Codes'!$A$2:$A4700,0),MATCH(K$1,'HS Codes'!$D$1:$K$1,0)),"")</f>
        <v>6302.39.00</v>
      </c>
      <c r="L2146" s="8">
        <f>_xlfn.IFNA(INDEX('HS Codes'!$D$2:$K4700,MATCH($B2146,'HS Codes'!$A$2:$A4700,0),MATCH(L$1,'HS Codes'!$D$1:$K$1,0)),"")</f>
        <v>63029120</v>
      </c>
      <c r="M2146" s="8" t="str">
        <f>_xlfn.IFNA(INDEX('HS Codes'!$C$2:$C4700,MATCH($B2146,'HS Codes'!$A$2:$A4700,0)),"")</f>
        <v>Beach Towel - Toilet Linen 100% recycled 220 GSM/83% polyester/17% polyamide includes cotton on the packing pouch drawstring</v>
      </c>
      <c r="N2146" s="9"/>
      <c r="O2146" s="9"/>
      <c r="P2146" s="9"/>
      <c r="Q2146" s="9"/>
    </row>
    <row r="2147" spans="1:17" ht="15.75" customHeight="1">
      <c r="A2147" s="7" t="s">
        <v>2439</v>
      </c>
      <c r="B2147" s="7" t="s">
        <v>164</v>
      </c>
      <c r="C2147" s="7" t="s">
        <v>278</v>
      </c>
      <c r="D2147" s="7" t="s">
        <v>165</v>
      </c>
      <c r="E2147" s="7" t="s">
        <v>348</v>
      </c>
      <c r="F2147" s="8" t="str">
        <f>_xlfn.IFNA(INDEX('HS Codes'!$D$2:$K4701,MATCH($B2147,'HS Codes'!$A$2:$A4701,0),MATCH(F$1,'HS Codes'!$D$1:$K$1,0)),"")</f>
        <v>6302.93.2000</v>
      </c>
      <c r="G2147" s="8">
        <f>_xlfn.IFNA(INDEX('HS Codes'!$D$2:$K4701,MATCH($B2147,'HS Codes'!$A$2:$A4701,0),MATCH(G$1,'HS Codes'!$D$1:$K$1,0)),"")</f>
        <v>6302600090</v>
      </c>
      <c r="H2147" s="8" t="str">
        <f>_xlfn.IFNA(INDEX('HS Codes'!$D$2:$K4701,MATCH($B2147,'HS Codes'!$A$2:$A4701,0),MATCH(H$1,'HS Codes'!$D$1:$K$1,0)),"")</f>
        <v>6302.93.00.00</v>
      </c>
      <c r="I2147" s="8">
        <f>_xlfn.IFNA(INDEX('HS Codes'!$D$2:$K4701,MATCH($B2147,'HS Codes'!$A$2:$A4701,0),MATCH(I$1,'HS Codes'!$D$1:$K$1,0)),"")</f>
        <v>63029390</v>
      </c>
      <c r="J2147" s="8">
        <f>_xlfn.IFNA(INDEX('HS Codes'!$D$2:$K4701,MATCH($B2147,'HS Codes'!$A$2:$A4701,0),MATCH(J$1,'HS Codes'!$D$1:$K$1,0)),"")</f>
        <v>0</v>
      </c>
      <c r="K2147" s="8" t="str">
        <f>_xlfn.IFNA(INDEX('HS Codes'!$D$2:$K4701,MATCH($B2147,'HS Codes'!$A$2:$A4701,0),MATCH(K$1,'HS Codes'!$D$1:$K$1,0)),"")</f>
        <v>6302.39.00</v>
      </c>
      <c r="L2147" s="8">
        <f>_xlfn.IFNA(INDEX('HS Codes'!$D$2:$K4701,MATCH($B2147,'HS Codes'!$A$2:$A4701,0),MATCH(L$1,'HS Codes'!$D$1:$K$1,0)),"")</f>
        <v>63029120</v>
      </c>
      <c r="M2147" s="8" t="str">
        <f>_xlfn.IFNA(INDEX('HS Codes'!$C$2:$C4701,MATCH($B2147,'HS Codes'!$A$2:$A4701,0)),"")</f>
        <v>Beach Towel - Toilet Linen 100% recycled 220 GSM/83% polyester/17% polyamide includes cotton on the packing pouch drawstring</v>
      </c>
      <c r="N2147" s="9"/>
      <c r="O2147" s="9"/>
      <c r="P2147" s="9"/>
      <c r="Q2147" s="9"/>
    </row>
    <row r="2148" spans="1:17" ht="15.75" customHeight="1">
      <c r="A2148" s="7" t="s">
        <v>2440</v>
      </c>
      <c r="B2148" s="7" t="s">
        <v>164</v>
      </c>
      <c r="C2148" s="7" t="s">
        <v>278</v>
      </c>
      <c r="D2148" s="7" t="s">
        <v>165</v>
      </c>
      <c r="E2148" s="7" t="s">
        <v>348</v>
      </c>
      <c r="F2148" s="8" t="str">
        <f>_xlfn.IFNA(INDEX('HS Codes'!$D$2:$K4702,MATCH($B2148,'HS Codes'!$A$2:$A4702,0),MATCH(F$1,'HS Codes'!$D$1:$K$1,0)),"")</f>
        <v>6302.93.2000</v>
      </c>
      <c r="G2148" s="8">
        <f>_xlfn.IFNA(INDEX('HS Codes'!$D$2:$K4702,MATCH($B2148,'HS Codes'!$A$2:$A4702,0),MATCH(G$1,'HS Codes'!$D$1:$K$1,0)),"")</f>
        <v>6302600090</v>
      </c>
      <c r="H2148" s="8" t="str">
        <f>_xlfn.IFNA(INDEX('HS Codes'!$D$2:$K4702,MATCH($B2148,'HS Codes'!$A$2:$A4702,0),MATCH(H$1,'HS Codes'!$D$1:$K$1,0)),"")</f>
        <v>6302.93.00.00</v>
      </c>
      <c r="I2148" s="8">
        <f>_xlfn.IFNA(INDEX('HS Codes'!$D$2:$K4702,MATCH($B2148,'HS Codes'!$A$2:$A4702,0),MATCH(I$1,'HS Codes'!$D$1:$K$1,0)),"")</f>
        <v>63029390</v>
      </c>
      <c r="J2148" s="8">
        <f>_xlfn.IFNA(INDEX('HS Codes'!$D$2:$K4702,MATCH($B2148,'HS Codes'!$A$2:$A4702,0),MATCH(J$1,'HS Codes'!$D$1:$K$1,0)),"")</f>
        <v>0</v>
      </c>
      <c r="K2148" s="8" t="str">
        <f>_xlfn.IFNA(INDEX('HS Codes'!$D$2:$K4702,MATCH($B2148,'HS Codes'!$A$2:$A4702,0),MATCH(K$1,'HS Codes'!$D$1:$K$1,0)),"")</f>
        <v>6302.39.00</v>
      </c>
      <c r="L2148" s="8">
        <f>_xlfn.IFNA(INDEX('HS Codes'!$D$2:$K4702,MATCH($B2148,'HS Codes'!$A$2:$A4702,0),MATCH(L$1,'HS Codes'!$D$1:$K$1,0)),"")</f>
        <v>63029120</v>
      </c>
      <c r="M2148" s="8" t="str">
        <f>_xlfn.IFNA(INDEX('HS Codes'!$C$2:$C4702,MATCH($B2148,'HS Codes'!$A$2:$A4702,0)),"")</f>
        <v>Beach Towel - Toilet Linen 100% recycled 220 GSM/83% polyester/17% polyamide includes cotton on the packing pouch drawstring</v>
      </c>
      <c r="N2148" s="9"/>
      <c r="O2148" s="9"/>
      <c r="P2148" s="9"/>
      <c r="Q2148" s="9"/>
    </row>
    <row r="2149" spans="1:17" ht="15.75" customHeight="1">
      <c r="A2149" s="7" t="s">
        <v>2441</v>
      </c>
      <c r="B2149" s="7" t="s">
        <v>164</v>
      </c>
      <c r="C2149" s="7" t="s">
        <v>278</v>
      </c>
      <c r="D2149" s="7" t="s">
        <v>165</v>
      </c>
      <c r="E2149" s="7" t="s">
        <v>348</v>
      </c>
      <c r="F2149" s="8" t="str">
        <f>_xlfn.IFNA(INDEX('HS Codes'!$D$2:$K4703,MATCH($B2149,'HS Codes'!$A$2:$A4703,0),MATCH(F$1,'HS Codes'!$D$1:$K$1,0)),"")</f>
        <v>6302.93.2000</v>
      </c>
      <c r="G2149" s="8">
        <f>_xlfn.IFNA(INDEX('HS Codes'!$D$2:$K4703,MATCH($B2149,'HS Codes'!$A$2:$A4703,0),MATCH(G$1,'HS Codes'!$D$1:$K$1,0)),"")</f>
        <v>6302600090</v>
      </c>
      <c r="H2149" s="8" t="str">
        <f>_xlfn.IFNA(INDEX('HS Codes'!$D$2:$K4703,MATCH($B2149,'HS Codes'!$A$2:$A4703,0),MATCH(H$1,'HS Codes'!$D$1:$K$1,0)),"")</f>
        <v>6302.93.00.00</v>
      </c>
      <c r="I2149" s="8">
        <f>_xlfn.IFNA(INDEX('HS Codes'!$D$2:$K4703,MATCH($B2149,'HS Codes'!$A$2:$A4703,0),MATCH(I$1,'HS Codes'!$D$1:$K$1,0)),"")</f>
        <v>63029390</v>
      </c>
      <c r="J2149" s="8">
        <f>_xlfn.IFNA(INDEX('HS Codes'!$D$2:$K4703,MATCH($B2149,'HS Codes'!$A$2:$A4703,0),MATCH(J$1,'HS Codes'!$D$1:$K$1,0)),"")</f>
        <v>0</v>
      </c>
      <c r="K2149" s="8" t="str">
        <f>_xlfn.IFNA(INDEX('HS Codes'!$D$2:$K4703,MATCH($B2149,'HS Codes'!$A$2:$A4703,0),MATCH(K$1,'HS Codes'!$D$1:$K$1,0)),"")</f>
        <v>6302.39.00</v>
      </c>
      <c r="L2149" s="8">
        <f>_xlfn.IFNA(INDEX('HS Codes'!$D$2:$K4703,MATCH($B2149,'HS Codes'!$A$2:$A4703,0),MATCH(L$1,'HS Codes'!$D$1:$K$1,0)),"")</f>
        <v>63029120</v>
      </c>
      <c r="M2149" s="8" t="str">
        <f>_xlfn.IFNA(INDEX('HS Codes'!$C$2:$C4703,MATCH($B2149,'HS Codes'!$A$2:$A4703,0)),"")</f>
        <v>Beach Towel - Toilet Linen 100% recycled 220 GSM/83% polyester/17% polyamide includes cotton on the packing pouch drawstring</v>
      </c>
      <c r="N2149" s="9"/>
      <c r="O2149" s="9"/>
      <c r="P2149" s="9"/>
      <c r="Q2149" s="9"/>
    </row>
    <row r="2150" spans="1:17" ht="15.75" customHeight="1">
      <c r="A2150" s="7" t="s">
        <v>2442</v>
      </c>
      <c r="B2150" s="7" t="s">
        <v>164</v>
      </c>
      <c r="C2150" s="7" t="s">
        <v>278</v>
      </c>
      <c r="D2150" s="7" t="s">
        <v>165</v>
      </c>
      <c r="E2150" s="7" t="s">
        <v>348</v>
      </c>
      <c r="F2150" s="8" t="str">
        <f>_xlfn.IFNA(INDEX('HS Codes'!$D$2:$K4704,MATCH($B2150,'HS Codes'!$A$2:$A4704,0),MATCH(F$1,'HS Codes'!$D$1:$K$1,0)),"")</f>
        <v>6302.93.2000</v>
      </c>
      <c r="G2150" s="8">
        <f>_xlfn.IFNA(INDEX('HS Codes'!$D$2:$K4704,MATCH($B2150,'HS Codes'!$A$2:$A4704,0),MATCH(G$1,'HS Codes'!$D$1:$K$1,0)),"")</f>
        <v>6302600090</v>
      </c>
      <c r="H2150" s="8" t="str">
        <f>_xlfn.IFNA(INDEX('HS Codes'!$D$2:$K4704,MATCH($B2150,'HS Codes'!$A$2:$A4704,0),MATCH(H$1,'HS Codes'!$D$1:$K$1,0)),"")</f>
        <v>6302.93.00.00</v>
      </c>
      <c r="I2150" s="8">
        <f>_xlfn.IFNA(INDEX('HS Codes'!$D$2:$K4704,MATCH($B2150,'HS Codes'!$A$2:$A4704,0),MATCH(I$1,'HS Codes'!$D$1:$K$1,0)),"")</f>
        <v>63029390</v>
      </c>
      <c r="J2150" s="8">
        <f>_xlfn.IFNA(INDEX('HS Codes'!$D$2:$K4704,MATCH($B2150,'HS Codes'!$A$2:$A4704,0),MATCH(J$1,'HS Codes'!$D$1:$K$1,0)),"")</f>
        <v>0</v>
      </c>
      <c r="K2150" s="8" t="str">
        <f>_xlfn.IFNA(INDEX('HS Codes'!$D$2:$K4704,MATCH($B2150,'HS Codes'!$A$2:$A4704,0),MATCH(K$1,'HS Codes'!$D$1:$K$1,0)),"")</f>
        <v>6302.39.00</v>
      </c>
      <c r="L2150" s="8">
        <f>_xlfn.IFNA(INDEX('HS Codes'!$D$2:$K4704,MATCH($B2150,'HS Codes'!$A$2:$A4704,0),MATCH(L$1,'HS Codes'!$D$1:$K$1,0)),"")</f>
        <v>63029120</v>
      </c>
      <c r="M2150" s="8" t="str">
        <f>_xlfn.IFNA(INDEX('HS Codes'!$C$2:$C4704,MATCH($B2150,'HS Codes'!$A$2:$A4704,0)),"")</f>
        <v>Beach Towel - Toilet Linen 100% recycled 220 GSM/83% polyester/17% polyamide includes cotton on the packing pouch drawstring</v>
      </c>
      <c r="N2150" s="9"/>
      <c r="O2150" s="9"/>
      <c r="P2150" s="9"/>
      <c r="Q2150" s="9"/>
    </row>
    <row r="2151" spans="1:17" ht="15.75" customHeight="1">
      <c r="A2151" s="7" t="s">
        <v>2443</v>
      </c>
      <c r="B2151" s="7" t="s">
        <v>164</v>
      </c>
      <c r="C2151" s="7" t="s">
        <v>278</v>
      </c>
      <c r="D2151" s="7" t="s">
        <v>165</v>
      </c>
      <c r="E2151" s="7" t="s">
        <v>348</v>
      </c>
      <c r="F2151" s="8" t="str">
        <f>_xlfn.IFNA(INDEX('HS Codes'!$D$2:$K4705,MATCH($B2151,'HS Codes'!$A$2:$A4705,0),MATCH(F$1,'HS Codes'!$D$1:$K$1,0)),"")</f>
        <v>6302.93.2000</v>
      </c>
      <c r="G2151" s="8">
        <f>_xlfn.IFNA(INDEX('HS Codes'!$D$2:$K4705,MATCH($B2151,'HS Codes'!$A$2:$A4705,0),MATCH(G$1,'HS Codes'!$D$1:$K$1,0)),"")</f>
        <v>6302600090</v>
      </c>
      <c r="H2151" s="8" t="str">
        <f>_xlfn.IFNA(INDEX('HS Codes'!$D$2:$K4705,MATCH($B2151,'HS Codes'!$A$2:$A4705,0),MATCH(H$1,'HS Codes'!$D$1:$K$1,0)),"")</f>
        <v>6302.93.00.00</v>
      </c>
      <c r="I2151" s="8">
        <f>_xlfn.IFNA(INDEX('HS Codes'!$D$2:$K4705,MATCH($B2151,'HS Codes'!$A$2:$A4705,0),MATCH(I$1,'HS Codes'!$D$1:$K$1,0)),"")</f>
        <v>63029390</v>
      </c>
      <c r="J2151" s="8">
        <f>_xlfn.IFNA(INDEX('HS Codes'!$D$2:$K4705,MATCH($B2151,'HS Codes'!$A$2:$A4705,0),MATCH(J$1,'HS Codes'!$D$1:$K$1,0)),"")</f>
        <v>0</v>
      </c>
      <c r="K2151" s="8" t="str">
        <f>_xlfn.IFNA(INDEX('HS Codes'!$D$2:$K4705,MATCH($B2151,'HS Codes'!$A$2:$A4705,0),MATCH(K$1,'HS Codes'!$D$1:$K$1,0)),"")</f>
        <v>6302.39.00</v>
      </c>
      <c r="L2151" s="8">
        <f>_xlfn.IFNA(INDEX('HS Codes'!$D$2:$K4705,MATCH($B2151,'HS Codes'!$A$2:$A4705,0),MATCH(L$1,'HS Codes'!$D$1:$K$1,0)),"")</f>
        <v>63029120</v>
      </c>
      <c r="M2151" s="8" t="str">
        <f>_xlfn.IFNA(INDEX('HS Codes'!$C$2:$C4705,MATCH($B2151,'HS Codes'!$A$2:$A4705,0)),"")</f>
        <v>Beach Towel - Toilet Linen 100% recycled 220 GSM/83% polyester/17% polyamide includes cotton on the packing pouch drawstring</v>
      </c>
      <c r="N2151" s="9"/>
      <c r="O2151" s="9"/>
      <c r="P2151" s="9"/>
      <c r="Q2151" s="9"/>
    </row>
    <row r="2152" spans="1:17" ht="15.75" customHeight="1">
      <c r="A2152" s="7" t="s">
        <v>2444</v>
      </c>
      <c r="B2152" s="7" t="s">
        <v>164</v>
      </c>
      <c r="C2152" s="7" t="s">
        <v>278</v>
      </c>
      <c r="D2152" s="7" t="s">
        <v>165</v>
      </c>
      <c r="E2152" s="7" t="s">
        <v>348</v>
      </c>
      <c r="F2152" s="8" t="str">
        <f>_xlfn.IFNA(INDEX('HS Codes'!$D$2:$K4706,MATCH($B2152,'HS Codes'!$A$2:$A4706,0),MATCH(F$1,'HS Codes'!$D$1:$K$1,0)),"")</f>
        <v>6302.93.2000</v>
      </c>
      <c r="G2152" s="8">
        <f>_xlfn.IFNA(INDEX('HS Codes'!$D$2:$K4706,MATCH($B2152,'HS Codes'!$A$2:$A4706,0),MATCH(G$1,'HS Codes'!$D$1:$K$1,0)),"")</f>
        <v>6302600090</v>
      </c>
      <c r="H2152" s="8" t="str">
        <f>_xlfn.IFNA(INDEX('HS Codes'!$D$2:$K4706,MATCH($B2152,'HS Codes'!$A$2:$A4706,0),MATCH(H$1,'HS Codes'!$D$1:$K$1,0)),"")</f>
        <v>6302.93.00.00</v>
      </c>
      <c r="I2152" s="8">
        <f>_xlfn.IFNA(INDEX('HS Codes'!$D$2:$K4706,MATCH($B2152,'HS Codes'!$A$2:$A4706,0),MATCH(I$1,'HS Codes'!$D$1:$K$1,0)),"")</f>
        <v>63029390</v>
      </c>
      <c r="J2152" s="8">
        <f>_xlfn.IFNA(INDEX('HS Codes'!$D$2:$K4706,MATCH($B2152,'HS Codes'!$A$2:$A4706,0),MATCH(J$1,'HS Codes'!$D$1:$K$1,0)),"")</f>
        <v>0</v>
      </c>
      <c r="K2152" s="8" t="str">
        <f>_xlfn.IFNA(INDEX('HS Codes'!$D$2:$K4706,MATCH($B2152,'HS Codes'!$A$2:$A4706,0),MATCH(K$1,'HS Codes'!$D$1:$K$1,0)),"")</f>
        <v>6302.39.00</v>
      </c>
      <c r="L2152" s="8">
        <f>_xlfn.IFNA(INDEX('HS Codes'!$D$2:$K4706,MATCH($B2152,'HS Codes'!$A$2:$A4706,0),MATCH(L$1,'HS Codes'!$D$1:$K$1,0)),"")</f>
        <v>63029120</v>
      </c>
      <c r="M2152" s="8" t="str">
        <f>_xlfn.IFNA(INDEX('HS Codes'!$C$2:$C4706,MATCH($B2152,'HS Codes'!$A$2:$A4706,0)),"")</f>
        <v>Beach Towel - Toilet Linen 100% recycled 220 GSM/83% polyester/17% polyamide includes cotton on the packing pouch drawstring</v>
      </c>
      <c r="N2152" s="9"/>
      <c r="O2152" s="9"/>
      <c r="P2152" s="9"/>
      <c r="Q2152" s="9"/>
    </row>
    <row r="2153" spans="1:17" ht="15.75" customHeight="1">
      <c r="A2153" s="7" t="s">
        <v>2445</v>
      </c>
      <c r="B2153" s="7" t="s">
        <v>164</v>
      </c>
      <c r="C2153" s="7" t="s">
        <v>278</v>
      </c>
      <c r="D2153" s="7" t="s">
        <v>165</v>
      </c>
      <c r="E2153" s="7" t="s">
        <v>348</v>
      </c>
      <c r="F2153" s="8" t="str">
        <f>_xlfn.IFNA(INDEX('HS Codes'!$D$2:$K4707,MATCH($B2153,'HS Codes'!$A$2:$A4707,0),MATCH(F$1,'HS Codes'!$D$1:$K$1,0)),"")</f>
        <v>6302.93.2000</v>
      </c>
      <c r="G2153" s="8">
        <f>_xlfn.IFNA(INDEX('HS Codes'!$D$2:$K4707,MATCH($B2153,'HS Codes'!$A$2:$A4707,0),MATCH(G$1,'HS Codes'!$D$1:$K$1,0)),"")</f>
        <v>6302600090</v>
      </c>
      <c r="H2153" s="8" t="str">
        <f>_xlfn.IFNA(INDEX('HS Codes'!$D$2:$K4707,MATCH($B2153,'HS Codes'!$A$2:$A4707,0),MATCH(H$1,'HS Codes'!$D$1:$K$1,0)),"")</f>
        <v>6302.93.00.00</v>
      </c>
      <c r="I2153" s="8">
        <f>_xlfn.IFNA(INDEX('HS Codes'!$D$2:$K4707,MATCH($B2153,'HS Codes'!$A$2:$A4707,0),MATCH(I$1,'HS Codes'!$D$1:$K$1,0)),"")</f>
        <v>63029390</v>
      </c>
      <c r="J2153" s="8">
        <f>_xlfn.IFNA(INDEX('HS Codes'!$D$2:$K4707,MATCH($B2153,'HS Codes'!$A$2:$A4707,0),MATCH(J$1,'HS Codes'!$D$1:$K$1,0)),"")</f>
        <v>0</v>
      </c>
      <c r="K2153" s="8" t="str">
        <f>_xlfn.IFNA(INDEX('HS Codes'!$D$2:$K4707,MATCH($B2153,'HS Codes'!$A$2:$A4707,0),MATCH(K$1,'HS Codes'!$D$1:$K$1,0)),"")</f>
        <v>6302.39.00</v>
      </c>
      <c r="L2153" s="8">
        <f>_xlfn.IFNA(INDEX('HS Codes'!$D$2:$K4707,MATCH($B2153,'HS Codes'!$A$2:$A4707,0),MATCH(L$1,'HS Codes'!$D$1:$K$1,0)),"")</f>
        <v>63029120</v>
      </c>
      <c r="M2153" s="8" t="str">
        <f>_xlfn.IFNA(INDEX('HS Codes'!$C$2:$C4707,MATCH($B2153,'HS Codes'!$A$2:$A4707,0)),"")</f>
        <v>Beach Towel - Toilet Linen 100% recycled 220 GSM/83% polyester/17% polyamide includes cotton on the packing pouch drawstring</v>
      </c>
      <c r="N2153" s="9"/>
      <c r="O2153" s="9"/>
      <c r="P2153" s="9"/>
      <c r="Q2153" s="9"/>
    </row>
    <row r="2154" spans="1:17" ht="15.75" customHeight="1">
      <c r="A2154" s="7" t="s">
        <v>2446</v>
      </c>
      <c r="B2154" s="7" t="s">
        <v>164</v>
      </c>
      <c r="C2154" s="7" t="s">
        <v>278</v>
      </c>
      <c r="D2154" s="7" t="s">
        <v>165</v>
      </c>
      <c r="E2154" s="7" t="s">
        <v>348</v>
      </c>
      <c r="F2154" s="8" t="str">
        <f>_xlfn.IFNA(INDEX('HS Codes'!$D$2:$K4708,MATCH($B2154,'HS Codes'!$A$2:$A4708,0),MATCH(F$1,'HS Codes'!$D$1:$K$1,0)),"")</f>
        <v>6302.93.2000</v>
      </c>
      <c r="G2154" s="8">
        <f>_xlfn.IFNA(INDEX('HS Codes'!$D$2:$K4708,MATCH($B2154,'HS Codes'!$A$2:$A4708,0),MATCH(G$1,'HS Codes'!$D$1:$K$1,0)),"")</f>
        <v>6302600090</v>
      </c>
      <c r="H2154" s="8" t="str">
        <f>_xlfn.IFNA(INDEX('HS Codes'!$D$2:$K4708,MATCH($B2154,'HS Codes'!$A$2:$A4708,0),MATCH(H$1,'HS Codes'!$D$1:$K$1,0)),"")</f>
        <v>6302.93.00.00</v>
      </c>
      <c r="I2154" s="8">
        <f>_xlfn.IFNA(INDEX('HS Codes'!$D$2:$K4708,MATCH($B2154,'HS Codes'!$A$2:$A4708,0),MATCH(I$1,'HS Codes'!$D$1:$K$1,0)),"")</f>
        <v>63029390</v>
      </c>
      <c r="J2154" s="8">
        <f>_xlfn.IFNA(INDEX('HS Codes'!$D$2:$K4708,MATCH($B2154,'HS Codes'!$A$2:$A4708,0),MATCH(J$1,'HS Codes'!$D$1:$K$1,0)),"")</f>
        <v>0</v>
      </c>
      <c r="K2154" s="8" t="str">
        <f>_xlfn.IFNA(INDEX('HS Codes'!$D$2:$K4708,MATCH($B2154,'HS Codes'!$A$2:$A4708,0),MATCH(K$1,'HS Codes'!$D$1:$K$1,0)),"")</f>
        <v>6302.39.00</v>
      </c>
      <c r="L2154" s="8">
        <f>_xlfn.IFNA(INDEX('HS Codes'!$D$2:$K4708,MATCH($B2154,'HS Codes'!$A$2:$A4708,0),MATCH(L$1,'HS Codes'!$D$1:$K$1,0)),"")</f>
        <v>63029120</v>
      </c>
      <c r="M2154" s="8" t="str">
        <f>_xlfn.IFNA(INDEX('HS Codes'!$C$2:$C4708,MATCH($B2154,'HS Codes'!$A$2:$A4708,0)),"")</f>
        <v>Beach Towel - Toilet Linen 100% recycled 220 GSM/83% polyester/17% polyamide includes cotton on the packing pouch drawstring</v>
      </c>
      <c r="N2154" s="9"/>
      <c r="O2154" s="9"/>
      <c r="P2154" s="9"/>
      <c r="Q2154" s="9"/>
    </row>
    <row r="2155" spans="1:17" ht="15.75" customHeight="1">
      <c r="A2155" s="7" t="s">
        <v>2447</v>
      </c>
      <c r="B2155" s="7" t="s">
        <v>164</v>
      </c>
      <c r="C2155" s="7" t="s">
        <v>278</v>
      </c>
      <c r="D2155" s="7" t="s">
        <v>165</v>
      </c>
      <c r="E2155" s="7" t="s">
        <v>348</v>
      </c>
      <c r="F2155" s="8" t="str">
        <f>_xlfn.IFNA(INDEX('HS Codes'!$D$2:$K4709,MATCH($B2155,'HS Codes'!$A$2:$A4709,0),MATCH(F$1,'HS Codes'!$D$1:$K$1,0)),"")</f>
        <v>6302.93.2000</v>
      </c>
      <c r="G2155" s="8">
        <f>_xlfn.IFNA(INDEX('HS Codes'!$D$2:$K4709,MATCH($B2155,'HS Codes'!$A$2:$A4709,0),MATCH(G$1,'HS Codes'!$D$1:$K$1,0)),"")</f>
        <v>6302600090</v>
      </c>
      <c r="H2155" s="8" t="str">
        <f>_xlfn.IFNA(INDEX('HS Codes'!$D$2:$K4709,MATCH($B2155,'HS Codes'!$A$2:$A4709,0),MATCH(H$1,'HS Codes'!$D$1:$K$1,0)),"")</f>
        <v>6302.93.00.00</v>
      </c>
      <c r="I2155" s="8">
        <f>_xlfn.IFNA(INDEX('HS Codes'!$D$2:$K4709,MATCH($B2155,'HS Codes'!$A$2:$A4709,0),MATCH(I$1,'HS Codes'!$D$1:$K$1,0)),"")</f>
        <v>63029390</v>
      </c>
      <c r="J2155" s="8">
        <f>_xlfn.IFNA(INDEX('HS Codes'!$D$2:$K4709,MATCH($B2155,'HS Codes'!$A$2:$A4709,0),MATCH(J$1,'HS Codes'!$D$1:$K$1,0)),"")</f>
        <v>0</v>
      </c>
      <c r="K2155" s="8" t="str">
        <f>_xlfn.IFNA(INDEX('HS Codes'!$D$2:$K4709,MATCH($B2155,'HS Codes'!$A$2:$A4709,0),MATCH(K$1,'HS Codes'!$D$1:$K$1,0)),"")</f>
        <v>6302.39.00</v>
      </c>
      <c r="L2155" s="8">
        <f>_xlfn.IFNA(INDEX('HS Codes'!$D$2:$K4709,MATCH($B2155,'HS Codes'!$A$2:$A4709,0),MATCH(L$1,'HS Codes'!$D$1:$K$1,0)),"")</f>
        <v>63029120</v>
      </c>
      <c r="M2155" s="8" t="str">
        <f>_xlfn.IFNA(INDEX('HS Codes'!$C$2:$C4709,MATCH($B2155,'HS Codes'!$A$2:$A4709,0)),"")</f>
        <v>Beach Towel - Toilet Linen 100% recycled 220 GSM/83% polyester/17% polyamide includes cotton on the packing pouch drawstring</v>
      </c>
      <c r="N2155" s="9"/>
      <c r="O2155" s="9"/>
      <c r="P2155" s="9"/>
      <c r="Q2155" s="9"/>
    </row>
    <row r="2156" spans="1:17" ht="15.75" customHeight="1">
      <c r="A2156" s="7" t="s">
        <v>2448</v>
      </c>
      <c r="B2156" s="7" t="s">
        <v>164</v>
      </c>
      <c r="C2156" s="7" t="s">
        <v>278</v>
      </c>
      <c r="D2156" s="7" t="s">
        <v>165</v>
      </c>
      <c r="E2156" s="7" t="s">
        <v>348</v>
      </c>
      <c r="F2156" s="8" t="str">
        <f>_xlfn.IFNA(INDEX('HS Codes'!$D$2:$K4710,MATCH($B2156,'HS Codes'!$A$2:$A4710,0),MATCH(F$1,'HS Codes'!$D$1:$K$1,0)),"")</f>
        <v>6302.93.2000</v>
      </c>
      <c r="G2156" s="8">
        <f>_xlfn.IFNA(INDEX('HS Codes'!$D$2:$K4710,MATCH($B2156,'HS Codes'!$A$2:$A4710,0),MATCH(G$1,'HS Codes'!$D$1:$K$1,0)),"")</f>
        <v>6302600090</v>
      </c>
      <c r="H2156" s="8" t="str">
        <f>_xlfn.IFNA(INDEX('HS Codes'!$D$2:$K4710,MATCH($B2156,'HS Codes'!$A$2:$A4710,0),MATCH(H$1,'HS Codes'!$D$1:$K$1,0)),"")</f>
        <v>6302.93.00.00</v>
      </c>
      <c r="I2156" s="8">
        <f>_xlfn.IFNA(INDEX('HS Codes'!$D$2:$K4710,MATCH($B2156,'HS Codes'!$A$2:$A4710,0),MATCH(I$1,'HS Codes'!$D$1:$K$1,0)),"")</f>
        <v>63029390</v>
      </c>
      <c r="J2156" s="8">
        <f>_xlfn.IFNA(INDEX('HS Codes'!$D$2:$K4710,MATCH($B2156,'HS Codes'!$A$2:$A4710,0),MATCH(J$1,'HS Codes'!$D$1:$K$1,0)),"")</f>
        <v>0</v>
      </c>
      <c r="K2156" s="8" t="str">
        <f>_xlfn.IFNA(INDEX('HS Codes'!$D$2:$K4710,MATCH($B2156,'HS Codes'!$A$2:$A4710,0),MATCH(K$1,'HS Codes'!$D$1:$K$1,0)),"")</f>
        <v>6302.39.00</v>
      </c>
      <c r="L2156" s="8">
        <f>_xlfn.IFNA(INDEX('HS Codes'!$D$2:$K4710,MATCH($B2156,'HS Codes'!$A$2:$A4710,0),MATCH(L$1,'HS Codes'!$D$1:$K$1,0)),"")</f>
        <v>63029120</v>
      </c>
      <c r="M2156" s="8" t="str">
        <f>_xlfn.IFNA(INDEX('HS Codes'!$C$2:$C4710,MATCH($B2156,'HS Codes'!$A$2:$A4710,0)),"")</f>
        <v>Beach Towel - Toilet Linen 100% recycled 220 GSM/83% polyester/17% polyamide includes cotton on the packing pouch drawstring</v>
      </c>
      <c r="N2156" s="9"/>
      <c r="O2156" s="9"/>
      <c r="P2156" s="9"/>
      <c r="Q2156" s="9"/>
    </row>
    <row r="2157" spans="1:17" ht="15.75" customHeight="1">
      <c r="A2157" s="7" t="s">
        <v>2449</v>
      </c>
      <c r="B2157" s="7" t="s">
        <v>164</v>
      </c>
      <c r="C2157" s="7" t="s">
        <v>278</v>
      </c>
      <c r="D2157" s="7" t="s">
        <v>165</v>
      </c>
      <c r="E2157" s="7" t="s">
        <v>348</v>
      </c>
      <c r="F2157" s="8" t="str">
        <f>_xlfn.IFNA(INDEX('HS Codes'!$D$2:$K4711,MATCH($B2157,'HS Codes'!$A$2:$A4711,0),MATCH(F$1,'HS Codes'!$D$1:$K$1,0)),"")</f>
        <v>6302.93.2000</v>
      </c>
      <c r="G2157" s="8">
        <f>_xlfn.IFNA(INDEX('HS Codes'!$D$2:$K4711,MATCH($B2157,'HS Codes'!$A$2:$A4711,0),MATCH(G$1,'HS Codes'!$D$1:$K$1,0)),"")</f>
        <v>6302600090</v>
      </c>
      <c r="H2157" s="8" t="str">
        <f>_xlfn.IFNA(INDEX('HS Codes'!$D$2:$K4711,MATCH($B2157,'HS Codes'!$A$2:$A4711,0),MATCH(H$1,'HS Codes'!$D$1:$K$1,0)),"")</f>
        <v>6302.93.00.00</v>
      </c>
      <c r="I2157" s="8">
        <f>_xlfn.IFNA(INDEX('HS Codes'!$D$2:$K4711,MATCH($B2157,'HS Codes'!$A$2:$A4711,0),MATCH(I$1,'HS Codes'!$D$1:$K$1,0)),"")</f>
        <v>63029390</v>
      </c>
      <c r="J2157" s="8">
        <f>_xlfn.IFNA(INDEX('HS Codes'!$D$2:$K4711,MATCH($B2157,'HS Codes'!$A$2:$A4711,0),MATCH(J$1,'HS Codes'!$D$1:$K$1,0)),"")</f>
        <v>0</v>
      </c>
      <c r="K2157" s="8" t="str">
        <f>_xlfn.IFNA(INDEX('HS Codes'!$D$2:$K4711,MATCH($B2157,'HS Codes'!$A$2:$A4711,0),MATCH(K$1,'HS Codes'!$D$1:$K$1,0)),"")</f>
        <v>6302.39.00</v>
      </c>
      <c r="L2157" s="8">
        <f>_xlfn.IFNA(INDEX('HS Codes'!$D$2:$K4711,MATCH($B2157,'HS Codes'!$A$2:$A4711,0),MATCH(L$1,'HS Codes'!$D$1:$K$1,0)),"")</f>
        <v>63029120</v>
      </c>
      <c r="M2157" s="8" t="str">
        <f>_xlfn.IFNA(INDEX('HS Codes'!$C$2:$C4711,MATCH($B2157,'HS Codes'!$A$2:$A4711,0)),"")</f>
        <v>Beach Towel - Toilet Linen 100% recycled 220 GSM/83% polyester/17% polyamide includes cotton on the packing pouch drawstring</v>
      </c>
      <c r="N2157" s="9"/>
      <c r="O2157" s="9"/>
      <c r="P2157" s="9"/>
      <c r="Q2157" s="9"/>
    </row>
    <row r="2158" spans="1:17" ht="15.75" customHeight="1">
      <c r="A2158" s="7" t="s">
        <v>2450</v>
      </c>
      <c r="B2158" s="7" t="s">
        <v>164</v>
      </c>
      <c r="C2158" s="7" t="s">
        <v>278</v>
      </c>
      <c r="D2158" s="7" t="s">
        <v>165</v>
      </c>
      <c r="E2158" s="7" t="s">
        <v>348</v>
      </c>
      <c r="F2158" s="8" t="str">
        <f>_xlfn.IFNA(INDEX('HS Codes'!$D$2:$K4712,MATCH($B2158,'HS Codes'!$A$2:$A4712,0),MATCH(F$1,'HS Codes'!$D$1:$K$1,0)),"")</f>
        <v>6302.93.2000</v>
      </c>
      <c r="G2158" s="8">
        <f>_xlfn.IFNA(INDEX('HS Codes'!$D$2:$K4712,MATCH($B2158,'HS Codes'!$A$2:$A4712,0),MATCH(G$1,'HS Codes'!$D$1:$K$1,0)),"")</f>
        <v>6302600090</v>
      </c>
      <c r="H2158" s="8" t="str">
        <f>_xlfn.IFNA(INDEX('HS Codes'!$D$2:$K4712,MATCH($B2158,'HS Codes'!$A$2:$A4712,0),MATCH(H$1,'HS Codes'!$D$1:$K$1,0)),"")</f>
        <v>6302.93.00.00</v>
      </c>
      <c r="I2158" s="8">
        <f>_xlfn.IFNA(INDEX('HS Codes'!$D$2:$K4712,MATCH($B2158,'HS Codes'!$A$2:$A4712,0),MATCH(I$1,'HS Codes'!$D$1:$K$1,0)),"")</f>
        <v>63029390</v>
      </c>
      <c r="J2158" s="8">
        <f>_xlfn.IFNA(INDEX('HS Codes'!$D$2:$K4712,MATCH($B2158,'HS Codes'!$A$2:$A4712,0),MATCH(J$1,'HS Codes'!$D$1:$K$1,0)),"")</f>
        <v>0</v>
      </c>
      <c r="K2158" s="8" t="str">
        <f>_xlfn.IFNA(INDEX('HS Codes'!$D$2:$K4712,MATCH($B2158,'HS Codes'!$A$2:$A4712,0),MATCH(K$1,'HS Codes'!$D$1:$K$1,0)),"")</f>
        <v>6302.39.00</v>
      </c>
      <c r="L2158" s="8">
        <f>_xlfn.IFNA(INDEX('HS Codes'!$D$2:$K4712,MATCH($B2158,'HS Codes'!$A$2:$A4712,0),MATCH(L$1,'HS Codes'!$D$1:$K$1,0)),"")</f>
        <v>63029120</v>
      </c>
      <c r="M2158" s="8" t="str">
        <f>_xlfn.IFNA(INDEX('HS Codes'!$C$2:$C4712,MATCH($B2158,'HS Codes'!$A$2:$A4712,0)),"")</f>
        <v>Beach Towel - Toilet Linen 100% recycled 220 GSM/83% polyester/17% polyamide includes cotton on the packing pouch drawstring</v>
      </c>
      <c r="N2158" s="9"/>
      <c r="O2158" s="9"/>
      <c r="P2158" s="9"/>
      <c r="Q2158" s="9"/>
    </row>
    <row r="2159" spans="1:17" ht="15.75" customHeight="1">
      <c r="A2159" s="7" t="s">
        <v>2451</v>
      </c>
      <c r="B2159" s="7" t="s">
        <v>164</v>
      </c>
      <c r="C2159" s="7" t="s">
        <v>278</v>
      </c>
      <c r="D2159" s="7" t="s">
        <v>165</v>
      </c>
      <c r="E2159" s="7" t="s">
        <v>348</v>
      </c>
      <c r="F2159" s="8" t="str">
        <f>_xlfn.IFNA(INDEX('HS Codes'!$D$2:$K4713,MATCH($B2159,'HS Codes'!$A$2:$A4713,0),MATCH(F$1,'HS Codes'!$D$1:$K$1,0)),"")</f>
        <v>6302.93.2000</v>
      </c>
      <c r="G2159" s="8">
        <f>_xlfn.IFNA(INDEX('HS Codes'!$D$2:$K4713,MATCH($B2159,'HS Codes'!$A$2:$A4713,0),MATCH(G$1,'HS Codes'!$D$1:$K$1,0)),"")</f>
        <v>6302600090</v>
      </c>
      <c r="H2159" s="8" t="str">
        <f>_xlfn.IFNA(INDEX('HS Codes'!$D$2:$K4713,MATCH($B2159,'HS Codes'!$A$2:$A4713,0),MATCH(H$1,'HS Codes'!$D$1:$K$1,0)),"")</f>
        <v>6302.93.00.00</v>
      </c>
      <c r="I2159" s="8">
        <f>_xlfn.IFNA(INDEX('HS Codes'!$D$2:$K4713,MATCH($B2159,'HS Codes'!$A$2:$A4713,0),MATCH(I$1,'HS Codes'!$D$1:$K$1,0)),"")</f>
        <v>63029390</v>
      </c>
      <c r="J2159" s="8">
        <f>_xlfn.IFNA(INDEX('HS Codes'!$D$2:$K4713,MATCH($B2159,'HS Codes'!$A$2:$A4713,0),MATCH(J$1,'HS Codes'!$D$1:$K$1,0)),"")</f>
        <v>0</v>
      </c>
      <c r="K2159" s="8" t="str">
        <f>_xlfn.IFNA(INDEX('HS Codes'!$D$2:$K4713,MATCH($B2159,'HS Codes'!$A$2:$A4713,0),MATCH(K$1,'HS Codes'!$D$1:$K$1,0)),"")</f>
        <v>6302.39.00</v>
      </c>
      <c r="L2159" s="8">
        <f>_xlfn.IFNA(INDEX('HS Codes'!$D$2:$K4713,MATCH($B2159,'HS Codes'!$A$2:$A4713,0),MATCH(L$1,'HS Codes'!$D$1:$K$1,0)),"")</f>
        <v>63029120</v>
      </c>
      <c r="M2159" s="8" t="str">
        <f>_xlfn.IFNA(INDEX('HS Codes'!$C$2:$C4713,MATCH($B2159,'HS Codes'!$A$2:$A4713,0)),"")</f>
        <v>Beach Towel - Toilet Linen 100% recycled 220 GSM/83% polyester/17% polyamide includes cotton on the packing pouch drawstring</v>
      </c>
      <c r="N2159" s="9"/>
      <c r="O2159" s="9"/>
      <c r="P2159" s="9"/>
      <c r="Q2159" s="9"/>
    </row>
    <row r="2160" spans="1:17" ht="15.75" customHeight="1">
      <c r="A2160" s="7" t="s">
        <v>2452</v>
      </c>
      <c r="B2160" s="7" t="s">
        <v>164</v>
      </c>
      <c r="C2160" s="7" t="s">
        <v>278</v>
      </c>
      <c r="D2160" s="7" t="s">
        <v>165</v>
      </c>
      <c r="E2160" s="7" t="s">
        <v>348</v>
      </c>
      <c r="F2160" s="8" t="str">
        <f>_xlfn.IFNA(INDEX('HS Codes'!$D$2:$K4714,MATCH($B2160,'HS Codes'!$A$2:$A4714,0),MATCH(F$1,'HS Codes'!$D$1:$K$1,0)),"")</f>
        <v>6302.93.2000</v>
      </c>
      <c r="G2160" s="8">
        <f>_xlfn.IFNA(INDEX('HS Codes'!$D$2:$K4714,MATCH($B2160,'HS Codes'!$A$2:$A4714,0),MATCH(G$1,'HS Codes'!$D$1:$K$1,0)),"")</f>
        <v>6302600090</v>
      </c>
      <c r="H2160" s="8" t="str">
        <f>_xlfn.IFNA(INDEX('HS Codes'!$D$2:$K4714,MATCH($B2160,'HS Codes'!$A$2:$A4714,0),MATCH(H$1,'HS Codes'!$D$1:$K$1,0)),"")</f>
        <v>6302.93.00.00</v>
      </c>
      <c r="I2160" s="8">
        <f>_xlfn.IFNA(INDEX('HS Codes'!$D$2:$K4714,MATCH($B2160,'HS Codes'!$A$2:$A4714,0),MATCH(I$1,'HS Codes'!$D$1:$K$1,0)),"")</f>
        <v>63029390</v>
      </c>
      <c r="J2160" s="8">
        <f>_xlfn.IFNA(INDEX('HS Codes'!$D$2:$K4714,MATCH($B2160,'HS Codes'!$A$2:$A4714,0),MATCH(J$1,'HS Codes'!$D$1:$K$1,0)),"")</f>
        <v>0</v>
      </c>
      <c r="K2160" s="8" t="str">
        <f>_xlfn.IFNA(INDEX('HS Codes'!$D$2:$K4714,MATCH($B2160,'HS Codes'!$A$2:$A4714,0),MATCH(K$1,'HS Codes'!$D$1:$K$1,0)),"")</f>
        <v>6302.39.00</v>
      </c>
      <c r="L2160" s="8">
        <f>_xlfn.IFNA(INDEX('HS Codes'!$D$2:$K4714,MATCH($B2160,'HS Codes'!$A$2:$A4714,0),MATCH(L$1,'HS Codes'!$D$1:$K$1,0)),"")</f>
        <v>63029120</v>
      </c>
      <c r="M2160" s="8" t="str">
        <f>_xlfn.IFNA(INDEX('HS Codes'!$C$2:$C4714,MATCH($B2160,'HS Codes'!$A$2:$A4714,0)),"")</f>
        <v>Beach Towel - Toilet Linen 100% recycled 220 GSM/83% polyester/17% polyamide includes cotton on the packing pouch drawstring</v>
      </c>
      <c r="N2160" s="9"/>
      <c r="O2160" s="9"/>
      <c r="P2160" s="9"/>
      <c r="Q2160" s="9"/>
    </row>
    <row r="2161" spans="1:17" ht="15.75" customHeight="1">
      <c r="A2161" s="7" t="s">
        <v>2453</v>
      </c>
      <c r="B2161" s="7" t="s">
        <v>164</v>
      </c>
      <c r="C2161" s="7" t="s">
        <v>278</v>
      </c>
      <c r="D2161" s="7" t="s">
        <v>165</v>
      </c>
      <c r="E2161" s="7" t="s">
        <v>348</v>
      </c>
      <c r="F2161" s="8" t="str">
        <f>_xlfn.IFNA(INDEX('HS Codes'!$D$2:$K4715,MATCH($B2161,'HS Codes'!$A$2:$A4715,0),MATCH(F$1,'HS Codes'!$D$1:$K$1,0)),"")</f>
        <v>6302.93.2000</v>
      </c>
      <c r="G2161" s="8">
        <f>_xlfn.IFNA(INDEX('HS Codes'!$D$2:$K4715,MATCH($B2161,'HS Codes'!$A$2:$A4715,0),MATCH(G$1,'HS Codes'!$D$1:$K$1,0)),"")</f>
        <v>6302600090</v>
      </c>
      <c r="H2161" s="8" t="str">
        <f>_xlfn.IFNA(INDEX('HS Codes'!$D$2:$K4715,MATCH($B2161,'HS Codes'!$A$2:$A4715,0),MATCH(H$1,'HS Codes'!$D$1:$K$1,0)),"")</f>
        <v>6302.93.00.00</v>
      </c>
      <c r="I2161" s="8">
        <f>_xlfn.IFNA(INDEX('HS Codes'!$D$2:$K4715,MATCH($B2161,'HS Codes'!$A$2:$A4715,0),MATCH(I$1,'HS Codes'!$D$1:$K$1,0)),"")</f>
        <v>63029390</v>
      </c>
      <c r="J2161" s="8">
        <f>_xlfn.IFNA(INDEX('HS Codes'!$D$2:$K4715,MATCH($B2161,'HS Codes'!$A$2:$A4715,0),MATCH(J$1,'HS Codes'!$D$1:$K$1,0)),"")</f>
        <v>0</v>
      </c>
      <c r="K2161" s="8" t="str">
        <f>_xlfn.IFNA(INDEX('HS Codes'!$D$2:$K4715,MATCH($B2161,'HS Codes'!$A$2:$A4715,0),MATCH(K$1,'HS Codes'!$D$1:$K$1,0)),"")</f>
        <v>6302.39.00</v>
      </c>
      <c r="L2161" s="8">
        <f>_xlfn.IFNA(INDEX('HS Codes'!$D$2:$K4715,MATCH($B2161,'HS Codes'!$A$2:$A4715,0),MATCH(L$1,'HS Codes'!$D$1:$K$1,0)),"")</f>
        <v>63029120</v>
      </c>
      <c r="M2161" s="8" t="str">
        <f>_xlfn.IFNA(INDEX('HS Codes'!$C$2:$C4715,MATCH($B2161,'HS Codes'!$A$2:$A4715,0)),"")</f>
        <v>Beach Towel - Toilet Linen 100% recycled 220 GSM/83% polyester/17% polyamide includes cotton on the packing pouch drawstring</v>
      </c>
      <c r="N2161" s="9"/>
      <c r="O2161" s="9"/>
      <c r="P2161" s="9"/>
      <c r="Q2161" s="9"/>
    </row>
    <row r="2162" spans="1:17" ht="15.75" customHeight="1">
      <c r="A2162" s="7" t="s">
        <v>2454</v>
      </c>
      <c r="B2162" s="7" t="s">
        <v>164</v>
      </c>
      <c r="C2162" s="7" t="s">
        <v>278</v>
      </c>
      <c r="D2162" s="7" t="s">
        <v>165</v>
      </c>
      <c r="E2162" s="7" t="s">
        <v>348</v>
      </c>
      <c r="F2162" s="8" t="str">
        <f>_xlfn.IFNA(INDEX('HS Codes'!$D$2:$K4716,MATCH($B2162,'HS Codes'!$A$2:$A4716,0),MATCH(F$1,'HS Codes'!$D$1:$K$1,0)),"")</f>
        <v>6302.93.2000</v>
      </c>
      <c r="G2162" s="8">
        <f>_xlfn.IFNA(INDEX('HS Codes'!$D$2:$K4716,MATCH($B2162,'HS Codes'!$A$2:$A4716,0),MATCH(G$1,'HS Codes'!$D$1:$K$1,0)),"")</f>
        <v>6302600090</v>
      </c>
      <c r="H2162" s="8" t="str">
        <f>_xlfn.IFNA(INDEX('HS Codes'!$D$2:$K4716,MATCH($B2162,'HS Codes'!$A$2:$A4716,0),MATCH(H$1,'HS Codes'!$D$1:$K$1,0)),"")</f>
        <v>6302.93.00.00</v>
      </c>
      <c r="I2162" s="8">
        <f>_xlfn.IFNA(INDEX('HS Codes'!$D$2:$K4716,MATCH($B2162,'HS Codes'!$A$2:$A4716,0),MATCH(I$1,'HS Codes'!$D$1:$K$1,0)),"")</f>
        <v>63029390</v>
      </c>
      <c r="J2162" s="8">
        <f>_xlfn.IFNA(INDEX('HS Codes'!$D$2:$K4716,MATCH($B2162,'HS Codes'!$A$2:$A4716,0),MATCH(J$1,'HS Codes'!$D$1:$K$1,0)),"")</f>
        <v>0</v>
      </c>
      <c r="K2162" s="8" t="str">
        <f>_xlfn.IFNA(INDEX('HS Codes'!$D$2:$K4716,MATCH($B2162,'HS Codes'!$A$2:$A4716,0),MATCH(K$1,'HS Codes'!$D$1:$K$1,0)),"")</f>
        <v>6302.39.00</v>
      </c>
      <c r="L2162" s="8">
        <f>_xlfn.IFNA(INDEX('HS Codes'!$D$2:$K4716,MATCH($B2162,'HS Codes'!$A$2:$A4716,0),MATCH(L$1,'HS Codes'!$D$1:$K$1,0)),"")</f>
        <v>63029120</v>
      </c>
      <c r="M2162" s="8" t="str">
        <f>_xlfn.IFNA(INDEX('HS Codes'!$C$2:$C4716,MATCH($B2162,'HS Codes'!$A$2:$A4716,0)),"")</f>
        <v>Beach Towel - Toilet Linen 100% recycled 220 GSM/83% polyester/17% polyamide includes cotton on the packing pouch drawstring</v>
      </c>
      <c r="N2162" s="9"/>
      <c r="O2162" s="9"/>
      <c r="P2162" s="9"/>
      <c r="Q2162" s="9"/>
    </row>
    <row r="2163" spans="1:17" ht="15.75" customHeight="1">
      <c r="A2163" s="7" t="s">
        <v>2455</v>
      </c>
      <c r="B2163" s="7" t="s">
        <v>164</v>
      </c>
      <c r="C2163" s="7" t="s">
        <v>278</v>
      </c>
      <c r="D2163" s="7" t="s">
        <v>165</v>
      </c>
      <c r="E2163" s="7" t="s">
        <v>348</v>
      </c>
      <c r="F2163" s="8" t="str">
        <f>_xlfn.IFNA(INDEX('HS Codes'!$D$2:$K4717,MATCH($B2163,'HS Codes'!$A$2:$A4717,0),MATCH(F$1,'HS Codes'!$D$1:$K$1,0)),"")</f>
        <v>6302.93.2000</v>
      </c>
      <c r="G2163" s="8">
        <f>_xlfn.IFNA(INDEX('HS Codes'!$D$2:$K4717,MATCH($B2163,'HS Codes'!$A$2:$A4717,0),MATCH(G$1,'HS Codes'!$D$1:$K$1,0)),"")</f>
        <v>6302600090</v>
      </c>
      <c r="H2163" s="8" t="str">
        <f>_xlfn.IFNA(INDEX('HS Codes'!$D$2:$K4717,MATCH($B2163,'HS Codes'!$A$2:$A4717,0),MATCH(H$1,'HS Codes'!$D$1:$K$1,0)),"")</f>
        <v>6302.93.00.00</v>
      </c>
      <c r="I2163" s="8">
        <f>_xlfn.IFNA(INDEX('HS Codes'!$D$2:$K4717,MATCH($B2163,'HS Codes'!$A$2:$A4717,0),MATCH(I$1,'HS Codes'!$D$1:$K$1,0)),"")</f>
        <v>63029390</v>
      </c>
      <c r="J2163" s="8">
        <f>_xlfn.IFNA(INDEX('HS Codes'!$D$2:$K4717,MATCH($B2163,'HS Codes'!$A$2:$A4717,0),MATCH(J$1,'HS Codes'!$D$1:$K$1,0)),"")</f>
        <v>0</v>
      </c>
      <c r="K2163" s="8" t="str">
        <f>_xlfn.IFNA(INDEX('HS Codes'!$D$2:$K4717,MATCH($B2163,'HS Codes'!$A$2:$A4717,0),MATCH(K$1,'HS Codes'!$D$1:$K$1,0)),"")</f>
        <v>6302.39.00</v>
      </c>
      <c r="L2163" s="8">
        <f>_xlfn.IFNA(INDEX('HS Codes'!$D$2:$K4717,MATCH($B2163,'HS Codes'!$A$2:$A4717,0),MATCH(L$1,'HS Codes'!$D$1:$K$1,0)),"")</f>
        <v>63029120</v>
      </c>
      <c r="M2163" s="8" t="str">
        <f>_xlfn.IFNA(INDEX('HS Codes'!$C$2:$C4717,MATCH($B2163,'HS Codes'!$A$2:$A4717,0)),"")</f>
        <v>Beach Towel - Toilet Linen 100% recycled 220 GSM/83% polyester/17% polyamide includes cotton on the packing pouch drawstring</v>
      </c>
      <c r="N2163" s="9"/>
      <c r="O2163" s="9"/>
      <c r="P2163" s="9"/>
      <c r="Q2163" s="9"/>
    </row>
    <row r="2164" spans="1:17" ht="15.75" customHeight="1">
      <c r="A2164" s="7" t="s">
        <v>2456</v>
      </c>
      <c r="B2164" s="7" t="s">
        <v>164</v>
      </c>
      <c r="C2164" s="7" t="s">
        <v>278</v>
      </c>
      <c r="D2164" s="7" t="s">
        <v>165</v>
      </c>
      <c r="E2164" s="7" t="s">
        <v>348</v>
      </c>
      <c r="F2164" s="8" t="str">
        <f>_xlfn.IFNA(INDEX('HS Codes'!$D$2:$K4718,MATCH($B2164,'HS Codes'!$A$2:$A4718,0),MATCH(F$1,'HS Codes'!$D$1:$K$1,0)),"")</f>
        <v>6302.93.2000</v>
      </c>
      <c r="G2164" s="8">
        <f>_xlfn.IFNA(INDEX('HS Codes'!$D$2:$K4718,MATCH($B2164,'HS Codes'!$A$2:$A4718,0),MATCH(G$1,'HS Codes'!$D$1:$K$1,0)),"")</f>
        <v>6302600090</v>
      </c>
      <c r="H2164" s="8" t="str">
        <f>_xlfn.IFNA(INDEX('HS Codes'!$D$2:$K4718,MATCH($B2164,'HS Codes'!$A$2:$A4718,0),MATCH(H$1,'HS Codes'!$D$1:$K$1,0)),"")</f>
        <v>6302.93.00.00</v>
      </c>
      <c r="I2164" s="8">
        <f>_xlfn.IFNA(INDEX('HS Codes'!$D$2:$K4718,MATCH($B2164,'HS Codes'!$A$2:$A4718,0),MATCH(I$1,'HS Codes'!$D$1:$K$1,0)),"")</f>
        <v>63029390</v>
      </c>
      <c r="J2164" s="8">
        <f>_xlfn.IFNA(INDEX('HS Codes'!$D$2:$K4718,MATCH($B2164,'HS Codes'!$A$2:$A4718,0),MATCH(J$1,'HS Codes'!$D$1:$K$1,0)),"")</f>
        <v>0</v>
      </c>
      <c r="K2164" s="8" t="str">
        <f>_xlfn.IFNA(INDEX('HS Codes'!$D$2:$K4718,MATCH($B2164,'HS Codes'!$A$2:$A4718,0),MATCH(K$1,'HS Codes'!$D$1:$K$1,0)),"")</f>
        <v>6302.39.00</v>
      </c>
      <c r="L2164" s="8">
        <f>_xlfn.IFNA(INDEX('HS Codes'!$D$2:$K4718,MATCH($B2164,'HS Codes'!$A$2:$A4718,0),MATCH(L$1,'HS Codes'!$D$1:$K$1,0)),"")</f>
        <v>63029120</v>
      </c>
      <c r="M2164" s="8" t="str">
        <f>_xlfn.IFNA(INDEX('HS Codes'!$C$2:$C4718,MATCH($B2164,'HS Codes'!$A$2:$A4718,0)),"")</f>
        <v>Beach Towel - Toilet Linen 100% recycled 220 GSM/83% polyester/17% polyamide includes cotton on the packing pouch drawstring</v>
      </c>
      <c r="N2164" s="9"/>
      <c r="O2164" s="9"/>
      <c r="P2164" s="9"/>
      <c r="Q2164" s="9"/>
    </row>
    <row r="2165" spans="1:17" ht="15.75" customHeight="1">
      <c r="A2165" s="7" t="s">
        <v>2457</v>
      </c>
      <c r="B2165" s="7" t="s">
        <v>164</v>
      </c>
      <c r="C2165" s="7" t="s">
        <v>278</v>
      </c>
      <c r="D2165" s="7" t="s">
        <v>165</v>
      </c>
      <c r="E2165" s="7" t="s">
        <v>348</v>
      </c>
      <c r="F2165" s="8" t="str">
        <f>_xlfn.IFNA(INDEX('HS Codes'!$D$2:$K4719,MATCH($B2165,'HS Codes'!$A$2:$A4719,0),MATCH(F$1,'HS Codes'!$D$1:$K$1,0)),"")</f>
        <v>6302.93.2000</v>
      </c>
      <c r="G2165" s="8">
        <f>_xlfn.IFNA(INDEX('HS Codes'!$D$2:$K4719,MATCH($B2165,'HS Codes'!$A$2:$A4719,0),MATCH(G$1,'HS Codes'!$D$1:$K$1,0)),"")</f>
        <v>6302600090</v>
      </c>
      <c r="H2165" s="8" t="str">
        <f>_xlfn.IFNA(INDEX('HS Codes'!$D$2:$K4719,MATCH($B2165,'HS Codes'!$A$2:$A4719,0),MATCH(H$1,'HS Codes'!$D$1:$K$1,0)),"")</f>
        <v>6302.93.00.00</v>
      </c>
      <c r="I2165" s="8">
        <f>_xlfn.IFNA(INDEX('HS Codes'!$D$2:$K4719,MATCH($B2165,'HS Codes'!$A$2:$A4719,0),MATCH(I$1,'HS Codes'!$D$1:$K$1,0)),"")</f>
        <v>63029390</v>
      </c>
      <c r="J2165" s="8">
        <f>_xlfn.IFNA(INDEX('HS Codes'!$D$2:$K4719,MATCH($B2165,'HS Codes'!$A$2:$A4719,0),MATCH(J$1,'HS Codes'!$D$1:$K$1,0)),"")</f>
        <v>0</v>
      </c>
      <c r="K2165" s="8" t="str">
        <f>_xlfn.IFNA(INDEX('HS Codes'!$D$2:$K4719,MATCH($B2165,'HS Codes'!$A$2:$A4719,0),MATCH(K$1,'HS Codes'!$D$1:$K$1,0)),"")</f>
        <v>6302.39.00</v>
      </c>
      <c r="L2165" s="8">
        <f>_xlfn.IFNA(INDEX('HS Codes'!$D$2:$K4719,MATCH($B2165,'HS Codes'!$A$2:$A4719,0),MATCH(L$1,'HS Codes'!$D$1:$K$1,0)),"")</f>
        <v>63029120</v>
      </c>
      <c r="M2165" s="8" t="str">
        <f>_xlfn.IFNA(INDEX('HS Codes'!$C$2:$C4719,MATCH($B2165,'HS Codes'!$A$2:$A4719,0)),"")</f>
        <v>Beach Towel - Toilet Linen 100% recycled 220 GSM/83% polyester/17% polyamide includes cotton on the packing pouch drawstring</v>
      </c>
      <c r="N2165" s="9"/>
      <c r="O2165" s="9"/>
      <c r="P2165" s="9"/>
      <c r="Q2165" s="9"/>
    </row>
    <row r="2166" spans="1:17" ht="15.75" customHeight="1">
      <c r="A2166" s="7" t="s">
        <v>2458</v>
      </c>
      <c r="B2166" s="7" t="s">
        <v>164</v>
      </c>
      <c r="C2166" s="7" t="s">
        <v>278</v>
      </c>
      <c r="D2166" s="7" t="s">
        <v>165</v>
      </c>
      <c r="E2166" s="7" t="s">
        <v>348</v>
      </c>
      <c r="F2166" s="8" t="str">
        <f>_xlfn.IFNA(INDEX('HS Codes'!$D$2:$K4720,MATCH($B2166,'HS Codes'!$A$2:$A4720,0),MATCH(F$1,'HS Codes'!$D$1:$K$1,0)),"")</f>
        <v>6302.93.2000</v>
      </c>
      <c r="G2166" s="8">
        <f>_xlfn.IFNA(INDEX('HS Codes'!$D$2:$K4720,MATCH($B2166,'HS Codes'!$A$2:$A4720,0),MATCH(G$1,'HS Codes'!$D$1:$K$1,0)),"")</f>
        <v>6302600090</v>
      </c>
      <c r="H2166" s="8" t="str">
        <f>_xlfn.IFNA(INDEX('HS Codes'!$D$2:$K4720,MATCH($B2166,'HS Codes'!$A$2:$A4720,0),MATCH(H$1,'HS Codes'!$D$1:$K$1,0)),"")</f>
        <v>6302.93.00.00</v>
      </c>
      <c r="I2166" s="8">
        <f>_xlfn.IFNA(INDEX('HS Codes'!$D$2:$K4720,MATCH($B2166,'HS Codes'!$A$2:$A4720,0),MATCH(I$1,'HS Codes'!$D$1:$K$1,0)),"")</f>
        <v>63029390</v>
      </c>
      <c r="J2166" s="8">
        <f>_xlfn.IFNA(INDEX('HS Codes'!$D$2:$K4720,MATCH($B2166,'HS Codes'!$A$2:$A4720,0),MATCH(J$1,'HS Codes'!$D$1:$K$1,0)),"")</f>
        <v>0</v>
      </c>
      <c r="K2166" s="8" t="str">
        <f>_xlfn.IFNA(INDEX('HS Codes'!$D$2:$K4720,MATCH($B2166,'HS Codes'!$A$2:$A4720,0),MATCH(K$1,'HS Codes'!$D$1:$K$1,0)),"")</f>
        <v>6302.39.00</v>
      </c>
      <c r="L2166" s="8">
        <f>_xlfn.IFNA(INDEX('HS Codes'!$D$2:$K4720,MATCH($B2166,'HS Codes'!$A$2:$A4720,0),MATCH(L$1,'HS Codes'!$D$1:$K$1,0)),"")</f>
        <v>63029120</v>
      </c>
      <c r="M2166" s="8" t="str">
        <f>_xlfn.IFNA(INDEX('HS Codes'!$C$2:$C4720,MATCH($B2166,'HS Codes'!$A$2:$A4720,0)),"")</f>
        <v>Beach Towel - Toilet Linen 100% recycled 220 GSM/83% polyester/17% polyamide includes cotton on the packing pouch drawstring</v>
      </c>
      <c r="N2166" s="9"/>
      <c r="O2166" s="9"/>
      <c r="P2166" s="9"/>
      <c r="Q2166" s="9"/>
    </row>
    <row r="2167" spans="1:17" ht="15.75" customHeight="1">
      <c r="A2167" s="7" t="s">
        <v>2459</v>
      </c>
      <c r="B2167" s="7" t="s">
        <v>164</v>
      </c>
      <c r="C2167" s="7" t="s">
        <v>278</v>
      </c>
      <c r="D2167" s="7" t="s">
        <v>165</v>
      </c>
      <c r="E2167" s="7" t="s">
        <v>348</v>
      </c>
      <c r="F2167" s="8" t="str">
        <f>_xlfn.IFNA(INDEX('HS Codes'!$D$2:$K4721,MATCH($B2167,'HS Codes'!$A$2:$A4721,0),MATCH(F$1,'HS Codes'!$D$1:$K$1,0)),"")</f>
        <v>6302.93.2000</v>
      </c>
      <c r="G2167" s="8">
        <f>_xlfn.IFNA(INDEX('HS Codes'!$D$2:$K4721,MATCH($B2167,'HS Codes'!$A$2:$A4721,0),MATCH(G$1,'HS Codes'!$D$1:$K$1,0)),"")</f>
        <v>6302600090</v>
      </c>
      <c r="H2167" s="8" t="str">
        <f>_xlfn.IFNA(INDEX('HS Codes'!$D$2:$K4721,MATCH($B2167,'HS Codes'!$A$2:$A4721,0),MATCH(H$1,'HS Codes'!$D$1:$K$1,0)),"")</f>
        <v>6302.93.00.00</v>
      </c>
      <c r="I2167" s="8">
        <f>_xlfn.IFNA(INDEX('HS Codes'!$D$2:$K4721,MATCH($B2167,'HS Codes'!$A$2:$A4721,0),MATCH(I$1,'HS Codes'!$D$1:$K$1,0)),"")</f>
        <v>63029390</v>
      </c>
      <c r="J2167" s="8">
        <f>_xlfn.IFNA(INDEX('HS Codes'!$D$2:$K4721,MATCH($B2167,'HS Codes'!$A$2:$A4721,0),MATCH(J$1,'HS Codes'!$D$1:$K$1,0)),"")</f>
        <v>0</v>
      </c>
      <c r="K2167" s="8" t="str">
        <f>_xlfn.IFNA(INDEX('HS Codes'!$D$2:$K4721,MATCH($B2167,'HS Codes'!$A$2:$A4721,0),MATCH(K$1,'HS Codes'!$D$1:$K$1,0)),"")</f>
        <v>6302.39.00</v>
      </c>
      <c r="L2167" s="8">
        <f>_xlfn.IFNA(INDEX('HS Codes'!$D$2:$K4721,MATCH($B2167,'HS Codes'!$A$2:$A4721,0),MATCH(L$1,'HS Codes'!$D$1:$K$1,0)),"")</f>
        <v>63029120</v>
      </c>
      <c r="M2167" s="8" t="str">
        <f>_xlfn.IFNA(INDEX('HS Codes'!$C$2:$C4721,MATCH($B2167,'HS Codes'!$A$2:$A4721,0)),"")</f>
        <v>Beach Towel - Toilet Linen 100% recycled 220 GSM/83% polyester/17% polyamide includes cotton on the packing pouch drawstring</v>
      </c>
      <c r="N2167" s="9"/>
      <c r="O2167" s="9"/>
      <c r="P2167" s="9"/>
      <c r="Q2167" s="9"/>
    </row>
    <row r="2168" spans="1:17" ht="15.75" customHeight="1">
      <c r="A2168" s="7" t="s">
        <v>2460</v>
      </c>
      <c r="B2168" s="7" t="s">
        <v>164</v>
      </c>
      <c r="C2168" s="7" t="s">
        <v>278</v>
      </c>
      <c r="D2168" s="7" t="s">
        <v>165</v>
      </c>
      <c r="E2168" s="7" t="s">
        <v>348</v>
      </c>
      <c r="F2168" s="8" t="str">
        <f>_xlfn.IFNA(INDEX('HS Codes'!$D$2:$K4722,MATCH($B2168,'HS Codes'!$A$2:$A4722,0),MATCH(F$1,'HS Codes'!$D$1:$K$1,0)),"")</f>
        <v>6302.93.2000</v>
      </c>
      <c r="G2168" s="8">
        <f>_xlfn.IFNA(INDEX('HS Codes'!$D$2:$K4722,MATCH($B2168,'HS Codes'!$A$2:$A4722,0),MATCH(G$1,'HS Codes'!$D$1:$K$1,0)),"")</f>
        <v>6302600090</v>
      </c>
      <c r="H2168" s="8" t="str">
        <f>_xlfn.IFNA(INDEX('HS Codes'!$D$2:$K4722,MATCH($B2168,'HS Codes'!$A$2:$A4722,0),MATCH(H$1,'HS Codes'!$D$1:$K$1,0)),"")</f>
        <v>6302.93.00.00</v>
      </c>
      <c r="I2168" s="8">
        <f>_xlfn.IFNA(INDEX('HS Codes'!$D$2:$K4722,MATCH($B2168,'HS Codes'!$A$2:$A4722,0),MATCH(I$1,'HS Codes'!$D$1:$K$1,0)),"")</f>
        <v>63029390</v>
      </c>
      <c r="J2168" s="8">
        <f>_xlfn.IFNA(INDEX('HS Codes'!$D$2:$K4722,MATCH($B2168,'HS Codes'!$A$2:$A4722,0),MATCH(J$1,'HS Codes'!$D$1:$K$1,0)),"")</f>
        <v>0</v>
      </c>
      <c r="K2168" s="8" t="str">
        <f>_xlfn.IFNA(INDEX('HS Codes'!$D$2:$K4722,MATCH($B2168,'HS Codes'!$A$2:$A4722,0),MATCH(K$1,'HS Codes'!$D$1:$K$1,0)),"")</f>
        <v>6302.39.00</v>
      </c>
      <c r="L2168" s="8">
        <f>_xlfn.IFNA(INDEX('HS Codes'!$D$2:$K4722,MATCH($B2168,'HS Codes'!$A$2:$A4722,0),MATCH(L$1,'HS Codes'!$D$1:$K$1,0)),"")</f>
        <v>63029120</v>
      </c>
      <c r="M2168" s="8" t="str">
        <f>_xlfn.IFNA(INDEX('HS Codes'!$C$2:$C4722,MATCH($B2168,'HS Codes'!$A$2:$A4722,0)),"")</f>
        <v>Beach Towel - Toilet Linen 100% recycled 220 GSM/83% polyester/17% polyamide includes cotton on the packing pouch drawstring</v>
      </c>
      <c r="N2168" s="9"/>
      <c r="O2168" s="9"/>
      <c r="P2168" s="9"/>
      <c r="Q2168" s="9"/>
    </row>
    <row r="2169" spans="1:17" ht="15.75" customHeight="1">
      <c r="A2169" s="7" t="s">
        <v>2461</v>
      </c>
      <c r="B2169" s="7" t="s">
        <v>164</v>
      </c>
      <c r="C2169" s="7" t="s">
        <v>278</v>
      </c>
      <c r="D2169" s="7" t="s">
        <v>165</v>
      </c>
      <c r="E2169" s="7" t="s">
        <v>348</v>
      </c>
      <c r="F2169" s="8" t="str">
        <f>_xlfn.IFNA(INDEX('HS Codes'!$D$2:$K4723,MATCH($B2169,'HS Codes'!$A$2:$A4723,0),MATCH(F$1,'HS Codes'!$D$1:$K$1,0)),"")</f>
        <v>6302.93.2000</v>
      </c>
      <c r="G2169" s="8">
        <f>_xlfn.IFNA(INDEX('HS Codes'!$D$2:$K4723,MATCH($B2169,'HS Codes'!$A$2:$A4723,0),MATCH(G$1,'HS Codes'!$D$1:$K$1,0)),"")</f>
        <v>6302600090</v>
      </c>
      <c r="H2169" s="8" t="str">
        <f>_xlfn.IFNA(INDEX('HS Codes'!$D$2:$K4723,MATCH($B2169,'HS Codes'!$A$2:$A4723,0),MATCH(H$1,'HS Codes'!$D$1:$K$1,0)),"")</f>
        <v>6302.93.00.00</v>
      </c>
      <c r="I2169" s="8">
        <f>_xlfn.IFNA(INDEX('HS Codes'!$D$2:$K4723,MATCH($B2169,'HS Codes'!$A$2:$A4723,0),MATCH(I$1,'HS Codes'!$D$1:$K$1,0)),"")</f>
        <v>63029390</v>
      </c>
      <c r="J2169" s="8">
        <f>_xlfn.IFNA(INDEX('HS Codes'!$D$2:$K4723,MATCH($B2169,'HS Codes'!$A$2:$A4723,0),MATCH(J$1,'HS Codes'!$D$1:$K$1,0)),"")</f>
        <v>0</v>
      </c>
      <c r="K2169" s="8" t="str">
        <f>_xlfn.IFNA(INDEX('HS Codes'!$D$2:$K4723,MATCH($B2169,'HS Codes'!$A$2:$A4723,0),MATCH(K$1,'HS Codes'!$D$1:$K$1,0)),"")</f>
        <v>6302.39.00</v>
      </c>
      <c r="L2169" s="8">
        <f>_xlfn.IFNA(INDEX('HS Codes'!$D$2:$K4723,MATCH($B2169,'HS Codes'!$A$2:$A4723,0),MATCH(L$1,'HS Codes'!$D$1:$K$1,0)),"")</f>
        <v>63029120</v>
      </c>
      <c r="M2169" s="8" t="str">
        <f>_xlfn.IFNA(INDEX('HS Codes'!$C$2:$C4723,MATCH($B2169,'HS Codes'!$A$2:$A4723,0)),"")</f>
        <v>Beach Towel - Toilet Linen 100% recycled 220 GSM/83% polyester/17% polyamide includes cotton on the packing pouch drawstring</v>
      </c>
      <c r="N2169" s="9"/>
      <c r="O2169" s="9"/>
      <c r="P2169" s="9"/>
      <c r="Q2169" s="9"/>
    </row>
    <row r="2170" spans="1:17" ht="15.75" customHeight="1">
      <c r="A2170" s="7" t="s">
        <v>2462</v>
      </c>
      <c r="B2170" s="7" t="s">
        <v>164</v>
      </c>
      <c r="C2170" s="7" t="s">
        <v>278</v>
      </c>
      <c r="D2170" s="7" t="s">
        <v>165</v>
      </c>
      <c r="E2170" s="7" t="s">
        <v>348</v>
      </c>
      <c r="F2170" s="8" t="str">
        <f>_xlfn.IFNA(INDEX('HS Codes'!$D$2:$K4724,MATCH($B2170,'HS Codes'!$A$2:$A4724,0),MATCH(F$1,'HS Codes'!$D$1:$K$1,0)),"")</f>
        <v>6302.93.2000</v>
      </c>
      <c r="G2170" s="8">
        <f>_xlfn.IFNA(INDEX('HS Codes'!$D$2:$K4724,MATCH($B2170,'HS Codes'!$A$2:$A4724,0),MATCH(G$1,'HS Codes'!$D$1:$K$1,0)),"")</f>
        <v>6302600090</v>
      </c>
      <c r="H2170" s="8" t="str">
        <f>_xlfn.IFNA(INDEX('HS Codes'!$D$2:$K4724,MATCH($B2170,'HS Codes'!$A$2:$A4724,0),MATCH(H$1,'HS Codes'!$D$1:$K$1,0)),"")</f>
        <v>6302.93.00.00</v>
      </c>
      <c r="I2170" s="8">
        <f>_xlfn.IFNA(INDEX('HS Codes'!$D$2:$K4724,MATCH($B2170,'HS Codes'!$A$2:$A4724,0),MATCH(I$1,'HS Codes'!$D$1:$K$1,0)),"")</f>
        <v>63029390</v>
      </c>
      <c r="J2170" s="8">
        <f>_xlfn.IFNA(INDEX('HS Codes'!$D$2:$K4724,MATCH($B2170,'HS Codes'!$A$2:$A4724,0),MATCH(J$1,'HS Codes'!$D$1:$K$1,0)),"")</f>
        <v>0</v>
      </c>
      <c r="K2170" s="8" t="str">
        <f>_xlfn.IFNA(INDEX('HS Codes'!$D$2:$K4724,MATCH($B2170,'HS Codes'!$A$2:$A4724,0),MATCH(K$1,'HS Codes'!$D$1:$K$1,0)),"")</f>
        <v>6302.39.00</v>
      </c>
      <c r="L2170" s="8">
        <f>_xlfn.IFNA(INDEX('HS Codes'!$D$2:$K4724,MATCH($B2170,'HS Codes'!$A$2:$A4724,0),MATCH(L$1,'HS Codes'!$D$1:$K$1,0)),"")</f>
        <v>63029120</v>
      </c>
      <c r="M2170" s="8" t="str">
        <f>_xlfn.IFNA(INDEX('HS Codes'!$C$2:$C4724,MATCH($B2170,'HS Codes'!$A$2:$A4724,0)),"")</f>
        <v>Beach Towel - Toilet Linen 100% recycled 220 GSM/83% polyester/17% polyamide includes cotton on the packing pouch drawstring</v>
      </c>
      <c r="N2170" s="9"/>
      <c r="O2170" s="9"/>
      <c r="P2170" s="9"/>
      <c r="Q2170" s="9"/>
    </row>
    <row r="2171" spans="1:17" ht="15.75" customHeight="1">
      <c r="A2171" s="7" t="s">
        <v>2463</v>
      </c>
      <c r="B2171" s="7" t="s">
        <v>164</v>
      </c>
      <c r="C2171" s="7" t="s">
        <v>278</v>
      </c>
      <c r="D2171" s="7" t="s">
        <v>165</v>
      </c>
      <c r="E2171" s="7" t="s">
        <v>348</v>
      </c>
      <c r="F2171" s="8" t="str">
        <f>_xlfn.IFNA(INDEX('HS Codes'!$D$2:$K4725,MATCH($B2171,'HS Codes'!$A$2:$A4725,0),MATCH(F$1,'HS Codes'!$D$1:$K$1,0)),"")</f>
        <v>6302.93.2000</v>
      </c>
      <c r="G2171" s="8">
        <f>_xlfn.IFNA(INDEX('HS Codes'!$D$2:$K4725,MATCH($B2171,'HS Codes'!$A$2:$A4725,0),MATCH(G$1,'HS Codes'!$D$1:$K$1,0)),"")</f>
        <v>6302600090</v>
      </c>
      <c r="H2171" s="8" t="str">
        <f>_xlfn.IFNA(INDEX('HS Codes'!$D$2:$K4725,MATCH($B2171,'HS Codes'!$A$2:$A4725,0),MATCH(H$1,'HS Codes'!$D$1:$K$1,0)),"")</f>
        <v>6302.93.00.00</v>
      </c>
      <c r="I2171" s="8">
        <f>_xlfn.IFNA(INDEX('HS Codes'!$D$2:$K4725,MATCH($B2171,'HS Codes'!$A$2:$A4725,0),MATCH(I$1,'HS Codes'!$D$1:$K$1,0)),"")</f>
        <v>63029390</v>
      </c>
      <c r="J2171" s="8">
        <f>_xlfn.IFNA(INDEX('HS Codes'!$D$2:$K4725,MATCH($B2171,'HS Codes'!$A$2:$A4725,0),MATCH(J$1,'HS Codes'!$D$1:$K$1,0)),"")</f>
        <v>0</v>
      </c>
      <c r="K2171" s="8" t="str">
        <f>_xlfn.IFNA(INDEX('HS Codes'!$D$2:$K4725,MATCH($B2171,'HS Codes'!$A$2:$A4725,0),MATCH(K$1,'HS Codes'!$D$1:$K$1,0)),"")</f>
        <v>6302.39.00</v>
      </c>
      <c r="L2171" s="8">
        <f>_xlfn.IFNA(INDEX('HS Codes'!$D$2:$K4725,MATCH($B2171,'HS Codes'!$A$2:$A4725,0),MATCH(L$1,'HS Codes'!$D$1:$K$1,0)),"")</f>
        <v>63029120</v>
      </c>
      <c r="M2171" s="8" t="str">
        <f>_xlfn.IFNA(INDEX('HS Codes'!$C$2:$C4725,MATCH($B2171,'HS Codes'!$A$2:$A4725,0)),"")</f>
        <v>Beach Towel - Toilet Linen 100% recycled 220 GSM/83% polyester/17% polyamide includes cotton on the packing pouch drawstring</v>
      </c>
      <c r="N2171" s="9"/>
      <c r="O2171" s="9"/>
      <c r="P2171" s="9"/>
      <c r="Q2171" s="9"/>
    </row>
    <row r="2172" spans="1:17" ht="15.75" customHeight="1">
      <c r="A2172" s="7" t="s">
        <v>2464</v>
      </c>
      <c r="B2172" s="7" t="s">
        <v>164</v>
      </c>
      <c r="C2172" s="7" t="s">
        <v>278</v>
      </c>
      <c r="D2172" s="7" t="s">
        <v>165</v>
      </c>
      <c r="E2172" s="7" t="s">
        <v>348</v>
      </c>
      <c r="F2172" s="8" t="str">
        <f>_xlfn.IFNA(INDEX('HS Codes'!$D$2:$K4726,MATCH($B2172,'HS Codes'!$A$2:$A4726,0),MATCH(F$1,'HS Codes'!$D$1:$K$1,0)),"")</f>
        <v>6302.93.2000</v>
      </c>
      <c r="G2172" s="8">
        <f>_xlfn.IFNA(INDEX('HS Codes'!$D$2:$K4726,MATCH($B2172,'HS Codes'!$A$2:$A4726,0),MATCH(G$1,'HS Codes'!$D$1:$K$1,0)),"")</f>
        <v>6302600090</v>
      </c>
      <c r="H2172" s="8" t="str">
        <f>_xlfn.IFNA(INDEX('HS Codes'!$D$2:$K4726,MATCH($B2172,'HS Codes'!$A$2:$A4726,0),MATCH(H$1,'HS Codes'!$D$1:$K$1,0)),"")</f>
        <v>6302.93.00.00</v>
      </c>
      <c r="I2172" s="8">
        <f>_xlfn.IFNA(INDEX('HS Codes'!$D$2:$K4726,MATCH($B2172,'HS Codes'!$A$2:$A4726,0),MATCH(I$1,'HS Codes'!$D$1:$K$1,0)),"")</f>
        <v>63029390</v>
      </c>
      <c r="J2172" s="8">
        <f>_xlfn.IFNA(INDEX('HS Codes'!$D$2:$K4726,MATCH($B2172,'HS Codes'!$A$2:$A4726,0),MATCH(J$1,'HS Codes'!$D$1:$K$1,0)),"")</f>
        <v>0</v>
      </c>
      <c r="K2172" s="8" t="str">
        <f>_xlfn.IFNA(INDEX('HS Codes'!$D$2:$K4726,MATCH($B2172,'HS Codes'!$A$2:$A4726,0),MATCH(K$1,'HS Codes'!$D$1:$K$1,0)),"")</f>
        <v>6302.39.00</v>
      </c>
      <c r="L2172" s="8">
        <f>_xlfn.IFNA(INDEX('HS Codes'!$D$2:$K4726,MATCH($B2172,'HS Codes'!$A$2:$A4726,0),MATCH(L$1,'HS Codes'!$D$1:$K$1,0)),"")</f>
        <v>63029120</v>
      </c>
      <c r="M2172" s="8" t="str">
        <f>_xlfn.IFNA(INDEX('HS Codes'!$C$2:$C4726,MATCH($B2172,'HS Codes'!$A$2:$A4726,0)),"")</f>
        <v>Beach Towel - Toilet Linen 100% recycled 220 GSM/83% polyester/17% polyamide includes cotton on the packing pouch drawstring</v>
      </c>
      <c r="N2172" s="9"/>
      <c r="O2172" s="9"/>
      <c r="P2172" s="9"/>
      <c r="Q2172" s="9"/>
    </row>
    <row r="2173" spans="1:17" ht="15.75" customHeight="1">
      <c r="A2173" s="7" t="s">
        <v>2465</v>
      </c>
      <c r="B2173" s="7" t="s">
        <v>164</v>
      </c>
      <c r="C2173" s="7" t="s">
        <v>278</v>
      </c>
      <c r="D2173" s="7" t="s">
        <v>165</v>
      </c>
      <c r="E2173" s="7" t="s">
        <v>348</v>
      </c>
      <c r="F2173" s="8" t="str">
        <f>_xlfn.IFNA(INDEX('HS Codes'!$D$2:$K4727,MATCH($B2173,'HS Codes'!$A$2:$A4727,0),MATCH(F$1,'HS Codes'!$D$1:$K$1,0)),"")</f>
        <v>6302.93.2000</v>
      </c>
      <c r="G2173" s="8">
        <f>_xlfn.IFNA(INDEX('HS Codes'!$D$2:$K4727,MATCH($B2173,'HS Codes'!$A$2:$A4727,0),MATCH(G$1,'HS Codes'!$D$1:$K$1,0)),"")</f>
        <v>6302600090</v>
      </c>
      <c r="H2173" s="8" t="str">
        <f>_xlfn.IFNA(INDEX('HS Codes'!$D$2:$K4727,MATCH($B2173,'HS Codes'!$A$2:$A4727,0),MATCH(H$1,'HS Codes'!$D$1:$K$1,0)),"")</f>
        <v>6302.93.00.00</v>
      </c>
      <c r="I2173" s="8">
        <f>_xlfn.IFNA(INDEX('HS Codes'!$D$2:$K4727,MATCH($B2173,'HS Codes'!$A$2:$A4727,0),MATCH(I$1,'HS Codes'!$D$1:$K$1,0)),"")</f>
        <v>63029390</v>
      </c>
      <c r="J2173" s="8">
        <f>_xlfn.IFNA(INDEX('HS Codes'!$D$2:$K4727,MATCH($B2173,'HS Codes'!$A$2:$A4727,0),MATCH(J$1,'HS Codes'!$D$1:$K$1,0)),"")</f>
        <v>0</v>
      </c>
      <c r="K2173" s="8" t="str">
        <f>_xlfn.IFNA(INDEX('HS Codes'!$D$2:$K4727,MATCH($B2173,'HS Codes'!$A$2:$A4727,0),MATCH(K$1,'HS Codes'!$D$1:$K$1,0)),"")</f>
        <v>6302.39.00</v>
      </c>
      <c r="L2173" s="8">
        <f>_xlfn.IFNA(INDEX('HS Codes'!$D$2:$K4727,MATCH($B2173,'HS Codes'!$A$2:$A4727,0),MATCH(L$1,'HS Codes'!$D$1:$K$1,0)),"")</f>
        <v>63029120</v>
      </c>
      <c r="M2173" s="8" t="str">
        <f>_xlfn.IFNA(INDEX('HS Codes'!$C$2:$C4727,MATCH($B2173,'HS Codes'!$A$2:$A4727,0)),"")</f>
        <v>Beach Towel - Toilet Linen 100% recycled 220 GSM/83% polyester/17% polyamide includes cotton on the packing pouch drawstring</v>
      </c>
      <c r="N2173" s="9"/>
      <c r="O2173" s="9"/>
      <c r="P2173" s="9"/>
      <c r="Q2173" s="9"/>
    </row>
    <row r="2174" spans="1:17" ht="15.75" customHeight="1">
      <c r="A2174" s="7" t="s">
        <v>2466</v>
      </c>
      <c r="B2174" s="7" t="s">
        <v>164</v>
      </c>
      <c r="C2174" s="7" t="s">
        <v>278</v>
      </c>
      <c r="D2174" s="7" t="s">
        <v>165</v>
      </c>
      <c r="E2174" s="7" t="s">
        <v>348</v>
      </c>
      <c r="F2174" s="8" t="str">
        <f>_xlfn.IFNA(INDEX('HS Codes'!$D$2:$K4728,MATCH($B2174,'HS Codes'!$A$2:$A4728,0),MATCH(F$1,'HS Codes'!$D$1:$K$1,0)),"")</f>
        <v>6302.93.2000</v>
      </c>
      <c r="G2174" s="8">
        <f>_xlfn.IFNA(INDEX('HS Codes'!$D$2:$K4728,MATCH($B2174,'HS Codes'!$A$2:$A4728,0),MATCH(G$1,'HS Codes'!$D$1:$K$1,0)),"")</f>
        <v>6302600090</v>
      </c>
      <c r="H2174" s="8" t="str">
        <f>_xlfn.IFNA(INDEX('HS Codes'!$D$2:$K4728,MATCH($B2174,'HS Codes'!$A$2:$A4728,0),MATCH(H$1,'HS Codes'!$D$1:$K$1,0)),"")</f>
        <v>6302.93.00.00</v>
      </c>
      <c r="I2174" s="8">
        <f>_xlfn.IFNA(INDEX('HS Codes'!$D$2:$K4728,MATCH($B2174,'HS Codes'!$A$2:$A4728,0),MATCH(I$1,'HS Codes'!$D$1:$K$1,0)),"")</f>
        <v>63029390</v>
      </c>
      <c r="J2174" s="8">
        <f>_xlfn.IFNA(INDEX('HS Codes'!$D$2:$K4728,MATCH($B2174,'HS Codes'!$A$2:$A4728,0),MATCH(J$1,'HS Codes'!$D$1:$K$1,0)),"")</f>
        <v>0</v>
      </c>
      <c r="K2174" s="8" t="str">
        <f>_xlfn.IFNA(INDEX('HS Codes'!$D$2:$K4728,MATCH($B2174,'HS Codes'!$A$2:$A4728,0),MATCH(K$1,'HS Codes'!$D$1:$K$1,0)),"")</f>
        <v>6302.39.00</v>
      </c>
      <c r="L2174" s="8">
        <f>_xlfn.IFNA(INDEX('HS Codes'!$D$2:$K4728,MATCH($B2174,'HS Codes'!$A$2:$A4728,0),MATCH(L$1,'HS Codes'!$D$1:$K$1,0)),"")</f>
        <v>63029120</v>
      </c>
      <c r="M2174" s="8" t="str">
        <f>_xlfn.IFNA(INDEX('HS Codes'!$C$2:$C4728,MATCH($B2174,'HS Codes'!$A$2:$A4728,0)),"")</f>
        <v>Beach Towel - Toilet Linen 100% recycled 220 GSM/83% polyester/17% polyamide includes cotton on the packing pouch drawstring</v>
      </c>
      <c r="N2174" s="9"/>
      <c r="O2174" s="9"/>
      <c r="P2174" s="9"/>
      <c r="Q2174" s="9"/>
    </row>
    <row r="2175" spans="1:17" ht="15.75" customHeight="1">
      <c r="A2175" s="7" t="s">
        <v>2467</v>
      </c>
      <c r="B2175" s="7" t="s">
        <v>164</v>
      </c>
      <c r="C2175" s="7" t="s">
        <v>278</v>
      </c>
      <c r="D2175" s="7" t="s">
        <v>165</v>
      </c>
      <c r="E2175" s="7" t="s">
        <v>348</v>
      </c>
      <c r="F2175" s="8" t="str">
        <f>_xlfn.IFNA(INDEX('HS Codes'!$D$2:$K4729,MATCH($B2175,'HS Codes'!$A$2:$A4729,0),MATCH(F$1,'HS Codes'!$D$1:$K$1,0)),"")</f>
        <v>6302.93.2000</v>
      </c>
      <c r="G2175" s="8">
        <f>_xlfn.IFNA(INDEX('HS Codes'!$D$2:$K4729,MATCH($B2175,'HS Codes'!$A$2:$A4729,0),MATCH(G$1,'HS Codes'!$D$1:$K$1,0)),"")</f>
        <v>6302600090</v>
      </c>
      <c r="H2175" s="8" t="str">
        <f>_xlfn.IFNA(INDEX('HS Codes'!$D$2:$K4729,MATCH($B2175,'HS Codes'!$A$2:$A4729,0),MATCH(H$1,'HS Codes'!$D$1:$K$1,0)),"")</f>
        <v>6302.93.00.00</v>
      </c>
      <c r="I2175" s="8">
        <f>_xlfn.IFNA(INDEX('HS Codes'!$D$2:$K4729,MATCH($B2175,'HS Codes'!$A$2:$A4729,0),MATCH(I$1,'HS Codes'!$D$1:$K$1,0)),"")</f>
        <v>63029390</v>
      </c>
      <c r="J2175" s="8">
        <f>_xlfn.IFNA(INDEX('HS Codes'!$D$2:$K4729,MATCH($B2175,'HS Codes'!$A$2:$A4729,0),MATCH(J$1,'HS Codes'!$D$1:$K$1,0)),"")</f>
        <v>0</v>
      </c>
      <c r="K2175" s="8" t="str">
        <f>_xlfn.IFNA(INDEX('HS Codes'!$D$2:$K4729,MATCH($B2175,'HS Codes'!$A$2:$A4729,0),MATCH(K$1,'HS Codes'!$D$1:$K$1,0)),"")</f>
        <v>6302.39.00</v>
      </c>
      <c r="L2175" s="8">
        <f>_xlfn.IFNA(INDEX('HS Codes'!$D$2:$K4729,MATCH($B2175,'HS Codes'!$A$2:$A4729,0),MATCH(L$1,'HS Codes'!$D$1:$K$1,0)),"")</f>
        <v>63029120</v>
      </c>
      <c r="M2175" s="8" t="str">
        <f>_xlfn.IFNA(INDEX('HS Codes'!$C$2:$C4729,MATCH($B2175,'HS Codes'!$A$2:$A4729,0)),"")</f>
        <v>Beach Towel - Toilet Linen 100% recycled 220 GSM/83% polyester/17% polyamide includes cotton on the packing pouch drawstring</v>
      </c>
      <c r="N2175" s="9"/>
      <c r="O2175" s="9"/>
      <c r="P2175" s="9"/>
      <c r="Q2175" s="9"/>
    </row>
    <row r="2176" spans="1:17" ht="15.75" customHeight="1">
      <c r="A2176" s="7" t="s">
        <v>2468</v>
      </c>
      <c r="B2176" s="7" t="s">
        <v>164</v>
      </c>
      <c r="C2176" s="7" t="s">
        <v>278</v>
      </c>
      <c r="D2176" s="7" t="s">
        <v>165</v>
      </c>
      <c r="E2176" s="7" t="s">
        <v>348</v>
      </c>
      <c r="F2176" s="8" t="str">
        <f>_xlfn.IFNA(INDEX('HS Codes'!$D$2:$K4730,MATCH($B2176,'HS Codes'!$A$2:$A4730,0),MATCH(F$1,'HS Codes'!$D$1:$K$1,0)),"")</f>
        <v>6302.93.2000</v>
      </c>
      <c r="G2176" s="8">
        <f>_xlfn.IFNA(INDEX('HS Codes'!$D$2:$K4730,MATCH($B2176,'HS Codes'!$A$2:$A4730,0),MATCH(G$1,'HS Codes'!$D$1:$K$1,0)),"")</f>
        <v>6302600090</v>
      </c>
      <c r="H2176" s="8" t="str">
        <f>_xlfn.IFNA(INDEX('HS Codes'!$D$2:$K4730,MATCH($B2176,'HS Codes'!$A$2:$A4730,0),MATCH(H$1,'HS Codes'!$D$1:$K$1,0)),"")</f>
        <v>6302.93.00.00</v>
      </c>
      <c r="I2176" s="8">
        <f>_xlfn.IFNA(INDEX('HS Codes'!$D$2:$K4730,MATCH($B2176,'HS Codes'!$A$2:$A4730,0),MATCH(I$1,'HS Codes'!$D$1:$K$1,0)),"")</f>
        <v>63029390</v>
      </c>
      <c r="J2176" s="8">
        <f>_xlfn.IFNA(INDEX('HS Codes'!$D$2:$K4730,MATCH($B2176,'HS Codes'!$A$2:$A4730,0),MATCH(J$1,'HS Codes'!$D$1:$K$1,0)),"")</f>
        <v>0</v>
      </c>
      <c r="K2176" s="8" t="str">
        <f>_xlfn.IFNA(INDEX('HS Codes'!$D$2:$K4730,MATCH($B2176,'HS Codes'!$A$2:$A4730,0),MATCH(K$1,'HS Codes'!$D$1:$K$1,0)),"")</f>
        <v>6302.39.00</v>
      </c>
      <c r="L2176" s="8">
        <f>_xlfn.IFNA(INDEX('HS Codes'!$D$2:$K4730,MATCH($B2176,'HS Codes'!$A$2:$A4730,0),MATCH(L$1,'HS Codes'!$D$1:$K$1,0)),"")</f>
        <v>63029120</v>
      </c>
      <c r="M2176" s="8" t="str">
        <f>_xlfn.IFNA(INDEX('HS Codes'!$C$2:$C4730,MATCH($B2176,'HS Codes'!$A$2:$A4730,0)),"")</f>
        <v>Beach Towel - Toilet Linen 100% recycled 220 GSM/83% polyester/17% polyamide includes cotton on the packing pouch drawstring</v>
      </c>
      <c r="N2176" s="9"/>
      <c r="O2176" s="9"/>
      <c r="P2176" s="9"/>
      <c r="Q2176" s="9"/>
    </row>
    <row r="2177" spans="1:17" ht="15.75" customHeight="1">
      <c r="A2177" s="7" t="s">
        <v>2469</v>
      </c>
      <c r="B2177" s="7" t="s">
        <v>164</v>
      </c>
      <c r="C2177" s="7" t="s">
        <v>278</v>
      </c>
      <c r="D2177" s="7" t="s">
        <v>165</v>
      </c>
      <c r="E2177" s="7" t="s">
        <v>348</v>
      </c>
      <c r="F2177" s="8" t="str">
        <f>_xlfn.IFNA(INDEX('HS Codes'!$D$2:$K4731,MATCH($B2177,'HS Codes'!$A$2:$A4731,0),MATCH(F$1,'HS Codes'!$D$1:$K$1,0)),"")</f>
        <v>6302.93.2000</v>
      </c>
      <c r="G2177" s="8">
        <f>_xlfn.IFNA(INDEX('HS Codes'!$D$2:$K4731,MATCH($B2177,'HS Codes'!$A$2:$A4731,0),MATCH(G$1,'HS Codes'!$D$1:$K$1,0)),"")</f>
        <v>6302600090</v>
      </c>
      <c r="H2177" s="8" t="str">
        <f>_xlfn.IFNA(INDEX('HS Codes'!$D$2:$K4731,MATCH($B2177,'HS Codes'!$A$2:$A4731,0),MATCH(H$1,'HS Codes'!$D$1:$K$1,0)),"")</f>
        <v>6302.93.00.00</v>
      </c>
      <c r="I2177" s="8">
        <f>_xlfn.IFNA(INDEX('HS Codes'!$D$2:$K4731,MATCH($B2177,'HS Codes'!$A$2:$A4731,0),MATCH(I$1,'HS Codes'!$D$1:$K$1,0)),"")</f>
        <v>63029390</v>
      </c>
      <c r="J2177" s="8">
        <f>_xlfn.IFNA(INDEX('HS Codes'!$D$2:$K4731,MATCH($B2177,'HS Codes'!$A$2:$A4731,0),MATCH(J$1,'HS Codes'!$D$1:$K$1,0)),"")</f>
        <v>0</v>
      </c>
      <c r="K2177" s="8" t="str">
        <f>_xlfn.IFNA(INDEX('HS Codes'!$D$2:$K4731,MATCH($B2177,'HS Codes'!$A$2:$A4731,0),MATCH(K$1,'HS Codes'!$D$1:$K$1,0)),"")</f>
        <v>6302.39.00</v>
      </c>
      <c r="L2177" s="8">
        <f>_xlfn.IFNA(INDEX('HS Codes'!$D$2:$K4731,MATCH($B2177,'HS Codes'!$A$2:$A4731,0),MATCH(L$1,'HS Codes'!$D$1:$K$1,0)),"")</f>
        <v>63029120</v>
      </c>
      <c r="M2177" s="8" t="str">
        <f>_xlfn.IFNA(INDEX('HS Codes'!$C$2:$C4731,MATCH($B2177,'HS Codes'!$A$2:$A4731,0)),"")</f>
        <v>Beach Towel - Toilet Linen 100% recycled 220 GSM/83% polyester/17% polyamide includes cotton on the packing pouch drawstring</v>
      </c>
      <c r="N2177" s="9"/>
      <c r="O2177" s="9"/>
      <c r="P2177" s="9"/>
      <c r="Q2177" s="9"/>
    </row>
    <row r="2178" spans="1:17" ht="15.75" customHeight="1">
      <c r="A2178" s="7" t="s">
        <v>2470</v>
      </c>
      <c r="B2178" s="7" t="s">
        <v>164</v>
      </c>
      <c r="C2178" s="7" t="s">
        <v>278</v>
      </c>
      <c r="D2178" s="7" t="s">
        <v>165</v>
      </c>
      <c r="E2178" s="7" t="s">
        <v>348</v>
      </c>
      <c r="F2178" s="8" t="str">
        <f>_xlfn.IFNA(INDEX('HS Codes'!$D$2:$K4732,MATCH($B2178,'HS Codes'!$A$2:$A4732,0),MATCH(F$1,'HS Codes'!$D$1:$K$1,0)),"")</f>
        <v>6302.93.2000</v>
      </c>
      <c r="G2178" s="8">
        <f>_xlfn.IFNA(INDEX('HS Codes'!$D$2:$K4732,MATCH($B2178,'HS Codes'!$A$2:$A4732,0),MATCH(G$1,'HS Codes'!$D$1:$K$1,0)),"")</f>
        <v>6302600090</v>
      </c>
      <c r="H2178" s="8" t="str">
        <f>_xlfn.IFNA(INDEX('HS Codes'!$D$2:$K4732,MATCH($B2178,'HS Codes'!$A$2:$A4732,0),MATCH(H$1,'HS Codes'!$D$1:$K$1,0)),"")</f>
        <v>6302.93.00.00</v>
      </c>
      <c r="I2178" s="8">
        <f>_xlfn.IFNA(INDEX('HS Codes'!$D$2:$K4732,MATCH($B2178,'HS Codes'!$A$2:$A4732,0),MATCH(I$1,'HS Codes'!$D$1:$K$1,0)),"")</f>
        <v>63029390</v>
      </c>
      <c r="J2178" s="8">
        <f>_xlfn.IFNA(INDEX('HS Codes'!$D$2:$K4732,MATCH($B2178,'HS Codes'!$A$2:$A4732,0),MATCH(J$1,'HS Codes'!$D$1:$K$1,0)),"")</f>
        <v>0</v>
      </c>
      <c r="K2178" s="8" t="str">
        <f>_xlfn.IFNA(INDEX('HS Codes'!$D$2:$K4732,MATCH($B2178,'HS Codes'!$A$2:$A4732,0),MATCH(K$1,'HS Codes'!$D$1:$K$1,0)),"")</f>
        <v>6302.39.00</v>
      </c>
      <c r="L2178" s="8">
        <f>_xlfn.IFNA(INDEX('HS Codes'!$D$2:$K4732,MATCH($B2178,'HS Codes'!$A$2:$A4732,0),MATCH(L$1,'HS Codes'!$D$1:$K$1,0)),"")</f>
        <v>63029120</v>
      </c>
      <c r="M2178" s="8" t="str">
        <f>_xlfn.IFNA(INDEX('HS Codes'!$C$2:$C4732,MATCH($B2178,'HS Codes'!$A$2:$A4732,0)),"")</f>
        <v>Beach Towel - Toilet Linen 100% recycled 220 GSM/83% polyester/17% polyamide includes cotton on the packing pouch drawstring</v>
      </c>
      <c r="N2178" s="9"/>
      <c r="O2178" s="9"/>
      <c r="P2178" s="9"/>
      <c r="Q2178" s="9"/>
    </row>
    <row r="2179" spans="1:17" ht="15.75" customHeight="1">
      <c r="A2179" s="7" t="s">
        <v>2471</v>
      </c>
      <c r="B2179" s="7" t="s">
        <v>164</v>
      </c>
      <c r="C2179" s="7" t="s">
        <v>278</v>
      </c>
      <c r="D2179" s="7" t="s">
        <v>165</v>
      </c>
      <c r="E2179" s="7" t="s">
        <v>348</v>
      </c>
      <c r="F2179" s="8" t="str">
        <f>_xlfn.IFNA(INDEX('HS Codes'!$D$2:$K4733,MATCH($B2179,'HS Codes'!$A$2:$A4733,0),MATCH(F$1,'HS Codes'!$D$1:$K$1,0)),"")</f>
        <v>6302.93.2000</v>
      </c>
      <c r="G2179" s="8">
        <f>_xlfn.IFNA(INDEX('HS Codes'!$D$2:$K4733,MATCH($B2179,'HS Codes'!$A$2:$A4733,0),MATCH(G$1,'HS Codes'!$D$1:$K$1,0)),"")</f>
        <v>6302600090</v>
      </c>
      <c r="H2179" s="8" t="str">
        <f>_xlfn.IFNA(INDEX('HS Codes'!$D$2:$K4733,MATCH($B2179,'HS Codes'!$A$2:$A4733,0),MATCH(H$1,'HS Codes'!$D$1:$K$1,0)),"")</f>
        <v>6302.93.00.00</v>
      </c>
      <c r="I2179" s="8">
        <f>_xlfn.IFNA(INDEX('HS Codes'!$D$2:$K4733,MATCH($B2179,'HS Codes'!$A$2:$A4733,0),MATCH(I$1,'HS Codes'!$D$1:$K$1,0)),"")</f>
        <v>63029390</v>
      </c>
      <c r="J2179" s="8">
        <f>_xlfn.IFNA(INDEX('HS Codes'!$D$2:$K4733,MATCH($B2179,'HS Codes'!$A$2:$A4733,0),MATCH(J$1,'HS Codes'!$D$1:$K$1,0)),"")</f>
        <v>0</v>
      </c>
      <c r="K2179" s="8" t="str">
        <f>_xlfn.IFNA(INDEX('HS Codes'!$D$2:$K4733,MATCH($B2179,'HS Codes'!$A$2:$A4733,0),MATCH(K$1,'HS Codes'!$D$1:$K$1,0)),"")</f>
        <v>6302.39.00</v>
      </c>
      <c r="L2179" s="8">
        <f>_xlfn.IFNA(INDEX('HS Codes'!$D$2:$K4733,MATCH($B2179,'HS Codes'!$A$2:$A4733,0),MATCH(L$1,'HS Codes'!$D$1:$K$1,0)),"")</f>
        <v>63029120</v>
      </c>
      <c r="M2179" s="8" t="str">
        <f>_xlfn.IFNA(INDEX('HS Codes'!$C$2:$C4733,MATCH($B2179,'HS Codes'!$A$2:$A4733,0)),"")</f>
        <v>Beach Towel - Toilet Linen 100% recycled 220 GSM/83% polyester/17% polyamide includes cotton on the packing pouch drawstring</v>
      </c>
      <c r="N2179" s="9"/>
      <c r="O2179" s="9"/>
      <c r="P2179" s="9"/>
      <c r="Q2179" s="9"/>
    </row>
    <row r="2180" spans="1:17" ht="15.75" customHeight="1">
      <c r="A2180" s="7" t="s">
        <v>2472</v>
      </c>
      <c r="B2180" s="7" t="s">
        <v>164</v>
      </c>
      <c r="C2180" s="7" t="s">
        <v>278</v>
      </c>
      <c r="D2180" s="7" t="s">
        <v>165</v>
      </c>
      <c r="E2180" s="7" t="s">
        <v>348</v>
      </c>
      <c r="F2180" s="8" t="str">
        <f>_xlfn.IFNA(INDEX('HS Codes'!$D$2:$K4734,MATCH($B2180,'HS Codes'!$A$2:$A4734,0),MATCH(F$1,'HS Codes'!$D$1:$K$1,0)),"")</f>
        <v>6302.93.2000</v>
      </c>
      <c r="G2180" s="8">
        <f>_xlfn.IFNA(INDEX('HS Codes'!$D$2:$K4734,MATCH($B2180,'HS Codes'!$A$2:$A4734,0),MATCH(G$1,'HS Codes'!$D$1:$K$1,0)),"")</f>
        <v>6302600090</v>
      </c>
      <c r="H2180" s="8" t="str">
        <f>_xlfn.IFNA(INDEX('HS Codes'!$D$2:$K4734,MATCH($B2180,'HS Codes'!$A$2:$A4734,0),MATCH(H$1,'HS Codes'!$D$1:$K$1,0)),"")</f>
        <v>6302.93.00.00</v>
      </c>
      <c r="I2180" s="8">
        <f>_xlfn.IFNA(INDEX('HS Codes'!$D$2:$K4734,MATCH($B2180,'HS Codes'!$A$2:$A4734,0),MATCH(I$1,'HS Codes'!$D$1:$K$1,0)),"")</f>
        <v>63029390</v>
      </c>
      <c r="J2180" s="8">
        <f>_xlfn.IFNA(INDEX('HS Codes'!$D$2:$K4734,MATCH($B2180,'HS Codes'!$A$2:$A4734,0),MATCH(J$1,'HS Codes'!$D$1:$K$1,0)),"")</f>
        <v>0</v>
      </c>
      <c r="K2180" s="8" t="str">
        <f>_xlfn.IFNA(INDEX('HS Codes'!$D$2:$K4734,MATCH($B2180,'HS Codes'!$A$2:$A4734,0),MATCH(K$1,'HS Codes'!$D$1:$K$1,0)),"")</f>
        <v>6302.39.00</v>
      </c>
      <c r="L2180" s="8">
        <f>_xlfn.IFNA(INDEX('HS Codes'!$D$2:$K4734,MATCH($B2180,'HS Codes'!$A$2:$A4734,0),MATCH(L$1,'HS Codes'!$D$1:$K$1,0)),"")</f>
        <v>63029120</v>
      </c>
      <c r="M2180" s="8" t="str">
        <f>_xlfn.IFNA(INDEX('HS Codes'!$C$2:$C4734,MATCH($B2180,'HS Codes'!$A$2:$A4734,0)),"")</f>
        <v>Beach Towel - Toilet Linen 100% recycled 220 GSM/83% polyester/17% polyamide includes cotton on the packing pouch drawstring</v>
      </c>
      <c r="N2180" s="9"/>
      <c r="O2180" s="9"/>
      <c r="P2180" s="9"/>
      <c r="Q2180" s="9"/>
    </row>
    <row r="2181" spans="1:17" ht="15.75" customHeight="1">
      <c r="A2181" s="7" t="s">
        <v>2473</v>
      </c>
      <c r="B2181" s="7" t="s">
        <v>164</v>
      </c>
      <c r="C2181" s="7" t="s">
        <v>278</v>
      </c>
      <c r="D2181" s="7" t="s">
        <v>165</v>
      </c>
      <c r="E2181" s="7" t="s">
        <v>348</v>
      </c>
      <c r="F2181" s="8" t="str">
        <f>_xlfn.IFNA(INDEX('HS Codes'!$D$2:$K4735,MATCH($B2181,'HS Codes'!$A$2:$A4735,0),MATCH(F$1,'HS Codes'!$D$1:$K$1,0)),"")</f>
        <v>6302.93.2000</v>
      </c>
      <c r="G2181" s="8">
        <f>_xlfn.IFNA(INDEX('HS Codes'!$D$2:$K4735,MATCH($B2181,'HS Codes'!$A$2:$A4735,0),MATCH(G$1,'HS Codes'!$D$1:$K$1,0)),"")</f>
        <v>6302600090</v>
      </c>
      <c r="H2181" s="8" t="str">
        <f>_xlfn.IFNA(INDEX('HS Codes'!$D$2:$K4735,MATCH($B2181,'HS Codes'!$A$2:$A4735,0),MATCH(H$1,'HS Codes'!$D$1:$K$1,0)),"")</f>
        <v>6302.93.00.00</v>
      </c>
      <c r="I2181" s="8">
        <f>_xlfn.IFNA(INDEX('HS Codes'!$D$2:$K4735,MATCH($B2181,'HS Codes'!$A$2:$A4735,0),MATCH(I$1,'HS Codes'!$D$1:$K$1,0)),"")</f>
        <v>63029390</v>
      </c>
      <c r="J2181" s="8">
        <f>_xlfn.IFNA(INDEX('HS Codes'!$D$2:$K4735,MATCH($B2181,'HS Codes'!$A$2:$A4735,0),MATCH(J$1,'HS Codes'!$D$1:$K$1,0)),"")</f>
        <v>0</v>
      </c>
      <c r="K2181" s="8" t="str">
        <f>_xlfn.IFNA(INDEX('HS Codes'!$D$2:$K4735,MATCH($B2181,'HS Codes'!$A$2:$A4735,0),MATCH(K$1,'HS Codes'!$D$1:$K$1,0)),"")</f>
        <v>6302.39.00</v>
      </c>
      <c r="L2181" s="8">
        <f>_xlfn.IFNA(INDEX('HS Codes'!$D$2:$K4735,MATCH($B2181,'HS Codes'!$A$2:$A4735,0),MATCH(L$1,'HS Codes'!$D$1:$K$1,0)),"")</f>
        <v>63029120</v>
      </c>
      <c r="M2181" s="8" t="str">
        <f>_xlfn.IFNA(INDEX('HS Codes'!$C$2:$C4735,MATCH($B2181,'HS Codes'!$A$2:$A4735,0)),"")</f>
        <v>Beach Towel - Toilet Linen 100% recycled 220 GSM/83% polyester/17% polyamide includes cotton on the packing pouch drawstring</v>
      </c>
      <c r="N2181" s="9"/>
      <c r="O2181" s="9"/>
      <c r="P2181" s="9"/>
      <c r="Q2181" s="9"/>
    </row>
    <row r="2182" spans="1:17" ht="15.75" customHeight="1">
      <c r="A2182" s="7" t="s">
        <v>2474</v>
      </c>
      <c r="B2182" s="7" t="s">
        <v>164</v>
      </c>
      <c r="C2182" s="7" t="s">
        <v>278</v>
      </c>
      <c r="D2182" s="7" t="s">
        <v>165</v>
      </c>
      <c r="E2182" s="7" t="s">
        <v>348</v>
      </c>
      <c r="F2182" s="8" t="str">
        <f>_xlfn.IFNA(INDEX('HS Codes'!$D$2:$K4736,MATCH($B2182,'HS Codes'!$A$2:$A4736,0),MATCH(F$1,'HS Codes'!$D$1:$K$1,0)),"")</f>
        <v>6302.93.2000</v>
      </c>
      <c r="G2182" s="8">
        <f>_xlfn.IFNA(INDEX('HS Codes'!$D$2:$K4736,MATCH($B2182,'HS Codes'!$A$2:$A4736,0),MATCH(G$1,'HS Codes'!$D$1:$K$1,0)),"")</f>
        <v>6302600090</v>
      </c>
      <c r="H2182" s="8" t="str">
        <f>_xlfn.IFNA(INDEX('HS Codes'!$D$2:$K4736,MATCH($B2182,'HS Codes'!$A$2:$A4736,0),MATCH(H$1,'HS Codes'!$D$1:$K$1,0)),"")</f>
        <v>6302.93.00.00</v>
      </c>
      <c r="I2182" s="8">
        <f>_xlfn.IFNA(INDEX('HS Codes'!$D$2:$K4736,MATCH($B2182,'HS Codes'!$A$2:$A4736,0),MATCH(I$1,'HS Codes'!$D$1:$K$1,0)),"")</f>
        <v>63029390</v>
      </c>
      <c r="J2182" s="8">
        <f>_xlfn.IFNA(INDEX('HS Codes'!$D$2:$K4736,MATCH($B2182,'HS Codes'!$A$2:$A4736,0),MATCH(J$1,'HS Codes'!$D$1:$K$1,0)),"")</f>
        <v>0</v>
      </c>
      <c r="K2182" s="8" t="str">
        <f>_xlfn.IFNA(INDEX('HS Codes'!$D$2:$K4736,MATCH($B2182,'HS Codes'!$A$2:$A4736,0),MATCH(K$1,'HS Codes'!$D$1:$K$1,0)),"")</f>
        <v>6302.39.00</v>
      </c>
      <c r="L2182" s="8">
        <f>_xlfn.IFNA(INDEX('HS Codes'!$D$2:$K4736,MATCH($B2182,'HS Codes'!$A$2:$A4736,0),MATCH(L$1,'HS Codes'!$D$1:$K$1,0)),"")</f>
        <v>63029120</v>
      </c>
      <c r="M2182" s="8" t="str">
        <f>_xlfn.IFNA(INDEX('HS Codes'!$C$2:$C4736,MATCH($B2182,'HS Codes'!$A$2:$A4736,0)),"")</f>
        <v>Beach Towel - Toilet Linen 100% recycled 220 GSM/83% polyester/17% polyamide includes cotton on the packing pouch drawstring</v>
      </c>
      <c r="N2182" s="9"/>
      <c r="O2182" s="9"/>
      <c r="P2182" s="9"/>
      <c r="Q2182" s="9"/>
    </row>
    <row r="2183" spans="1:17" ht="15.75" customHeight="1">
      <c r="A2183" s="7" t="s">
        <v>2475</v>
      </c>
      <c r="B2183" s="7" t="s">
        <v>164</v>
      </c>
      <c r="C2183" s="7" t="s">
        <v>278</v>
      </c>
      <c r="D2183" s="7" t="s">
        <v>165</v>
      </c>
      <c r="E2183" s="7" t="s">
        <v>348</v>
      </c>
      <c r="F2183" s="8" t="str">
        <f>_xlfn.IFNA(INDEX('HS Codes'!$D$2:$K4737,MATCH($B2183,'HS Codes'!$A$2:$A4737,0),MATCH(F$1,'HS Codes'!$D$1:$K$1,0)),"")</f>
        <v>6302.93.2000</v>
      </c>
      <c r="G2183" s="8">
        <f>_xlfn.IFNA(INDEX('HS Codes'!$D$2:$K4737,MATCH($B2183,'HS Codes'!$A$2:$A4737,0),MATCH(G$1,'HS Codes'!$D$1:$K$1,0)),"")</f>
        <v>6302600090</v>
      </c>
      <c r="H2183" s="8" t="str">
        <f>_xlfn.IFNA(INDEX('HS Codes'!$D$2:$K4737,MATCH($B2183,'HS Codes'!$A$2:$A4737,0),MATCH(H$1,'HS Codes'!$D$1:$K$1,0)),"")</f>
        <v>6302.93.00.00</v>
      </c>
      <c r="I2183" s="8">
        <f>_xlfn.IFNA(INDEX('HS Codes'!$D$2:$K4737,MATCH($B2183,'HS Codes'!$A$2:$A4737,0),MATCH(I$1,'HS Codes'!$D$1:$K$1,0)),"")</f>
        <v>63029390</v>
      </c>
      <c r="J2183" s="8">
        <f>_xlfn.IFNA(INDEX('HS Codes'!$D$2:$K4737,MATCH($B2183,'HS Codes'!$A$2:$A4737,0),MATCH(J$1,'HS Codes'!$D$1:$K$1,0)),"")</f>
        <v>0</v>
      </c>
      <c r="K2183" s="8" t="str">
        <f>_xlfn.IFNA(INDEX('HS Codes'!$D$2:$K4737,MATCH($B2183,'HS Codes'!$A$2:$A4737,0),MATCH(K$1,'HS Codes'!$D$1:$K$1,0)),"")</f>
        <v>6302.39.00</v>
      </c>
      <c r="L2183" s="8">
        <f>_xlfn.IFNA(INDEX('HS Codes'!$D$2:$K4737,MATCH($B2183,'HS Codes'!$A$2:$A4737,0),MATCH(L$1,'HS Codes'!$D$1:$K$1,0)),"")</f>
        <v>63029120</v>
      </c>
      <c r="M2183" s="8" t="str">
        <f>_xlfn.IFNA(INDEX('HS Codes'!$C$2:$C4737,MATCH($B2183,'HS Codes'!$A$2:$A4737,0)),"")</f>
        <v>Beach Towel - Toilet Linen 100% recycled 220 GSM/83% polyester/17% polyamide includes cotton on the packing pouch drawstring</v>
      </c>
      <c r="N2183" s="9"/>
      <c r="O2183" s="9"/>
      <c r="P2183" s="9"/>
      <c r="Q2183" s="9"/>
    </row>
    <row r="2184" spans="1:17" ht="15.75" customHeight="1">
      <c r="A2184" s="7" t="s">
        <v>2476</v>
      </c>
      <c r="B2184" s="7" t="s">
        <v>164</v>
      </c>
      <c r="C2184" s="7" t="s">
        <v>278</v>
      </c>
      <c r="D2184" s="7" t="s">
        <v>165</v>
      </c>
      <c r="E2184" s="7" t="s">
        <v>348</v>
      </c>
      <c r="F2184" s="8" t="str">
        <f>_xlfn.IFNA(INDEX('HS Codes'!$D$2:$K4738,MATCH($B2184,'HS Codes'!$A$2:$A4738,0),MATCH(F$1,'HS Codes'!$D$1:$K$1,0)),"")</f>
        <v>6302.93.2000</v>
      </c>
      <c r="G2184" s="8">
        <f>_xlfn.IFNA(INDEX('HS Codes'!$D$2:$K4738,MATCH($B2184,'HS Codes'!$A$2:$A4738,0),MATCH(G$1,'HS Codes'!$D$1:$K$1,0)),"")</f>
        <v>6302600090</v>
      </c>
      <c r="H2184" s="8" t="str">
        <f>_xlfn.IFNA(INDEX('HS Codes'!$D$2:$K4738,MATCH($B2184,'HS Codes'!$A$2:$A4738,0),MATCH(H$1,'HS Codes'!$D$1:$K$1,0)),"")</f>
        <v>6302.93.00.00</v>
      </c>
      <c r="I2184" s="8">
        <f>_xlfn.IFNA(INDEX('HS Codes'!$D$2:$K4738,MATCH($B2184,'HS Codes'!$A$2:$A4738,0),MATCH(I$1,'HS Codes'!$D$1:$K$1,0)),"")</f>
        <v>63029390</v>
      </c>
      <c r="J2184" s="8">
        <f>_xlfn.IFNA(INDEX('HS Codes'!$D$2:$K4738,MATCH($B2184,'HS Codes'!$A$2:$A4738,0),MATCH(J$1,'HS Codes'!$D$1:$K$1,0)),"")</f>
        <v>0</v>
      </c>
      <c r="K2184" s="8" t="str">
        <f>_xlfn.IFNA(INDEX('HS Codes'!$D$2:$K4738,MATCH($B2184,'HS Codes'!$A$2:$A4738,0),MATCH(K$1,'HS Codes'!$D$1:$K$1,0)),"")</f>
        <v>6302.39.00</v>
      </c>
      <c r="L2184" s="8">
        <f>_xlfn.IFNA(INDEX('HS Codes'!$D$2:$K4738,MATCH($B2184,'HS Codes'!$A$2:$A4738,0),MATCH(L$1,'HS Codes'!$D$1:$K$1,0)),"")</f>
        <v>63029120</v>
      </c>
      <c r="M2184" s="8" t="str">
        <f>_xlfn.IFNA(INDEX('HS Codes'!$C$2:$C4738,MATCH($B2184,'HS Codes'!$A$2:$A4738,0)),"")</f>
        <v>Beach Towel - Toilet Linen 100% recycled 220 GSM/83% polyester/17% polyamide includes cotton on the packing pouch drawstring</v>
      </c>
      <c r="N2184" s="9"/>
      <c r="O2184" s="9"/>
      <c r="P2184" s="9"/>
      <c r="Q2184" s="9"/>
    </row>
    <row r="2185" spans="1:17" ht="15.75" customHeight="1">
      <c r="A2185" s="7" t="s">
        <v>2477</v>
      </c>
      <c r="B2185" s="7" t="s">
        <v>164</v>
      </c>
      <c r="C2185" s="7" t="s">
        <v>278</v>
      </c>
      <c r="D2185" s="7" t="s">
        <v>165</v>
      </c>
      <c r="E2185" s="7" t="s">
        <v>348</v>
      </c>
      <c r="F2185" s="8" t="str">
        <f>_xlfn.IFNA(INDEX('HS Codes'!$D$2:$K4739,MATCH($B2185,'HS Codes'!$A$2:$A4739,0),MATCH(F$1,'HS Codes'!$D$1:$K$1,0)),"")</f>
        <v>6302.93.2000</v>
      </c>
      <c r="G2185" s="8">
        <f>_xlfn.IFNA(INDEX('HS Codes'!$D$2:$K4739,MATCH($B2185,'HS Codes'!$A$2:$A4739,0),MATCH(G$1,'HS Codes'!$D$1:$K$1,0)),"")</f>
        <v>6302600090</v>
      </c>
      <c r="H2185" s="8" t="str">
        <f>_xlfn.IFNA(INDEX('HS Codes'!$D$2:$K4739,MATCH($B2185,'HS Codes'!$A$2:$A4739,0),MATCH(H$1,'HS Codes'!$D$1:$K$1,0)),"")</f>
        <v>6302.93.00.00</v>
      </c>
      <c r="I2185" s="8">
        <f>_xlfn.IFNA(INDEX('HS Codes'!$D$2:$K4739,MATCH($B2185,'HS Codes'!$A$2:$A4739,0),MATCH(I$1,'HS Codes'!$D$1:$K$1,0)),"")</f>
        <v>63029390</v>
      </c>
      <c r="J2185" s="8">
        <f>_xlfn.IFNA(INDEX('HS Codes'!$D$2:$K4739,MATCH($B2185,'HS Codes'!$A$2:$A4739,0),MATCH(J$1,'HS Codes'!$D$1:$K$1,0)),"")</f>
        <v>0</v>
      </c>
      <c r="K2185" s="8" t="str">
        <f>_xlfn.IFNA(INDEX('HS Codes'!$D$2:$K4739,MATCH($B2185,'HS Codes'!$A$2:$A4739,0),MATCH(K$1,'HS Codes'!$D$1:$K$1,0)),"")</f>
        <v>6302.39.00</v>
      </c>
      <c r="L2185" s="8">
        <f>_xlfn.IFNA(INDEX('HS Codes'!$D$2:$K4739,MATCH($B2185,'HS Codes'!$A$2:$A4739,0),MATCH(L$1,'HS Codes'!$D$1:$K$1,0)),"")</f>
        <v>63029120</v>
      </c>
      <c r="M2185" s="8" t="str">
        <f>_xlfn.IFNA(INDEX('HS Codes'!$C$2:$C4739,MATCH($B2185,'HS Codes'!$A$2:$A4739,0)),"")</f>
        <v>Beach Towel - Toilet Linen 100% recycled 220 GSM/83% polyester/17% polyamide includes cotton on the packing pouch drawstring</v>
      </c>
      <c r="N2185" s="9"/>
      <c r="O2185" s="9"/>
      <c r="P2185" s="9"/>
      <c r="Q2185" s="9"/>
    </row>
    <row r="2186" spans="1:17" ht="15.75" customHeight="1">
      <c r="A2186" s="7" t="s">
        <v>2478</v>
      </c>
      <c r="B2186" s="7" t="s">
        <v>164</v>
      </c>
      <c r="C2186" s="7" t="s">
        <v>278</v>
      </c>
      <c r="D2186" s="7" t="s">
        <v>165</v>
      </c>
      <c r="E2186" s="7" t="s">
        <v>348</v>
      </c>
      <c r="F2186" s="8" t="str">
        <f>_xlfn.IFNA(INDEX('HS Codes'!$D$2:$K4740,MATCH($B2186,'HS Codes'!$A$2:$A4740,0),MATCH(F$1,'HS Codes'!$D$1:$K$1,0)),"")</f>
        <v>6302.93.2000</v>
      </c>
      <c r="G2186" s="8">
        <f>_xlfn.IFNA(INDEX('HS Codes'!$D$2:$K4740,MATCH($B2186,'HS Codes'!$A$2:$A4740,0),MATCH(G$1,'HS Codes'!$D$1:$K$1,0)),"")</f>
        <v>6302600090</v>
      </c>
      <c r="H2186" s="8" t="str">
        <f>_xlfn.IFNA(INDEX('HS Codes'!$D$2:$K4740,MATCH($B2186,'HS Codes'!$A$2:$A4740,0),MATCH(H$1,'HS Codes'!$D$1:$K$1,0)),"")</f>
        <v>6302.93.00.00</v>
      </c>
      <c r="I2186" s="8">
        <f>_xlfn.IFNA(INDEX('HS Codes'!$D$2:$K4740,MATCH($B2186,'HS Codes'!$A$2:$A4740,0),MATCH(I$1,'HS Codes'!$D$1:$K$1,0)),"")</f>
        <v>63029390</v>
      </c>
      <c r="J2186" s="8">
        <f>_xlfn.IFNA(INDEX('HS Codes'!$D$2:$K4740,MATCH($B2186,'HS Codes'!$A$2:$A4740,0),MATCH(J$1,'HS Codes'!$D$1:$K$1,0)),"")</f>
        <v>0</v>
      </c>
      <c r="K2186" s="8" t="str">
        <f>_xlfn.IFNA(INDEX('HS Codes'!$D$2:$K4740,MATCH($B2186,'HS Codes'!$A$2:$A4740,0),MATCH(K$1,'HS Codes'!$D$1:$K$1,0)),"")</f>
        <v>6302.39.00</v>
      </c>
      <c r="L2186" s="8">
        <f>_xlfn.IFNA(INDEX('HS Codes'!$D$2:$K4740,MATCH($B2186,'HS Codes'!$A$2:$A4740,0),MATCH(L$1,'HS Codes'!$D$1:$K$1,0)),"")</f>
        <v>63029120</v>
      </c>
      <c r="M2186" s="8" t="str">
        <f>_xlfn.IFNA(INDEX('HS Codes'!$C$2:$C4740,MATCH($B2186,'HS Codes'!$A$2:$A4740,0)),"")</f>
        <v>Beach Towel - Toilet Linen 100% recycled 220 GSM/83% polyester/17% polyamide includes cotton on the packing pouch drawstring</v>
      </c>
      <c r="N2186" s="9"/>
      <c r="O2186" s="9"/>
      <c r="P2186" s="9"/>
      <c r="Q2186" s="9"/>
    </row>
    <row r="2187" spans="1:17" ht="15.75" customHeight="1">
      <c r="A2187" s="7" t="s">
        <v>2479</v>
      </c>
      <c r="B2187" s="7" t="s">
        <v>164</v>
      </c>
      <c r="C2187" s="7" t="s">
        <v>278</v>
      </c>
      <c r="D2187" s="7" t="s">
        <v>165</v>
      </c>
      <c r="E2187" s="7" t="s">
        <v>348</v>
      </c>
      <c r="F2187" s="8" t="str">
        <f>_xlfn.IFNA(INDEX('HS Codes'!$D$2:$K4741,MATCH($B2187,'HS Codes'!$A$2:$A4741,0),MATCH(F$1,'HS Codes'!$D$1:$K$1,0)),"")</f>
        <v>6302.93.2000</v>
      </c>
      <c r="G2187" s="8">
        <f>_xlfn.IFNA(INDEX('HS Codes'!$D$2:$K4741,MATCH($B2187,'HS Codes'!$A$2:$A4741,0),MATCH(G$1,'HS Codes'!$D$1:$K$1,0)),"")</f>
        <v>6302600090</v>
      </c>
      <c r="H2187" s="8" t="str">
        <f>_xlfn.IFNA(INDEX('HS Codes'!$D$2:$K4741,MATCH($B2187,'HS Codes'!$A$2:$A4741,0),MATCH(H$1,'HS Codes'!$D$1:$K$1,0)),"")</f>
        <v>6302.93.00.00</v>
      </c>
      <c r="I2187" s="8">
        <f>_xlfn.IFNA(INDEX('HS Codes'!$D$2:$K4741,MATCH($B2187,'HS Codes'!$A$2:$A4741,0),MATCH(I$1,'HS Codes'!$D$1:$K$1,0)),"")</f>
        <v>63029390</v>
      </c>
      <c r="J2187" s="8">
        <f>_xlfn.IFNA(INDEX('HS Codes'!$D$2:$K4741,MATCH($B2187,'HS Codes'!$A$2:$A4741,0),MATCH(J$1,'HS Codes'!$D$1:$K$1,0)),"")</f>
        <v>0</v>
      </c>
      <c r="K2187" s="8" t="str">
        <f>_xlfn.IFNA(INDEX('HS Codes'!$D$2:$K4741,MATCH($B2187,'HS Codes'!$A$2:$A4741,0),MATCH(K$1,'HS Codes'!$D$1:$K$1,0)),"")</f>
        <v>6302.39.00</v>
      </c>
      <c r="L2187" s="8">
        <f>_xlfn.IFNA(INDEX('HS Codes'!$D$2:$K4741,MATCH($B2187,'HS Codes'!$A$2:$A4741,0),MATCH(L$1,'HS Codes'!$D$1:$K$1,0)),"")</f>
        <v>63029120</v>
      </c>
      <c r="M2187" s="8" t="str">
        <f>_xlfn.IFNA(INDEX('HS Codes'!$C$2:$C4741,MATCH($B2187,'HS Codes'!$A$2:$A4741,0)),"")</f>
        <v>Beach Towel - Toilet Linen 100% recycled 220 GSM/83% polyester/17% polyamide includes cotton on the packing pouch drawstring</v>
      </c>
      <c r="N2187" s="9"/>
      <c r="O2187" s="9"/>
      <c r="P2187" s="9"/>
      <c r="Q2187" s="9"/>
    </row>
    <row r="2188" spans="1:17" ht="15.75" customHeight="1">
      <c r="A2188" s="7" t="s">
        <v>2480</v>
      </c>
      <c r="B2188" s="7" t="s">
        <v>164</v>
      </c>
      <c r="C2188" s="7" t="s">
        <v>278</v>
      </c>
      <c r="D2188" s="7" t="s">
        <v>165</v>
      </c>
      <c r="E2188" s="7" t="s">
        <v>348</v>
      </c>
      <c r="F2188" s="8" t="str">
        <f>_xlfn.IFNA(INDEX('HS Codes'!$D$2:$K4742,MATCH($B2188,'HS Codes'!$A$2:$A4742,0),MATCH(F$1,'HS Codes'!$D$1:$K$1,0)),"")</f>
        <v>6302.93.2000</v>
      </c>
      <c r="G2188" s="8">
        <f>_xlfn.IFNA(INDEX('HS Codes'!$D$2:$K4742,MATCH($B2188,'HS Codes'!$A$2:$A4742,0),MATCH(G$1,'HS Codes'!$D$1:$K$1,0)),"")</f>
        <v>6302600090</v>
      </c>
      <c r="H2188" s="8" t="str">
        <f>_xlfn.IFNA(INDEX('HS Codes'!$D$2:$K4742,MATCH($B2188,'HS Codes'!$A$2:$A4742,0),MATCH(H$1,'HS Codes'!$D$1:$K$1,0)),"")</f>
        <v>6302.93.00.00</v>
      </c>
      <c r="I2188" s="8">
        <f>_xlfn.IFNA(INDEX('HS Codes'!$D$2:$K4742,MATCH($B2188,'HS Codes'!$A$2:$A4742,0),MATCH(I$1,'HS Codes'!$D$1:$K$1,0)),"")</f>
        <v>63029390</v>
      </c>
      <c r="J2188" s="8">
        <f>_xlfn.IFNA(INDEX('HS Codes'!$D$2:$K4742,MATCH($B2188,'HS Codes'!$A$2:$A4742,0),MATCH(J$1,'HS Codes'!$D$1:$K$1,0)),"")</f>
        <v>0</v>
      </c>
      <c r="K2188" s="8" t="str">
        <f>_xlfn.IFNA(INDEX('HS Codes'!$D$2:$K4742,MATCH($B2188,'HS Codes'!$A$2:$A4742,0),MATCH(K$1,'HS Codes'!$D$1:$K$1,0)),"")</f>
        <v>6302.39.00</v>
      </c>
      <c r="L2188" s="8">
        <f>_xlfn.IFNA(INDEX('HS Codes'!$D$2:$K4742,MATCH($B2188,'HS Codes'!$A$2:$A4742,0),MATCH(L$1,'HS Codes'!$D$1:$K$1,0)),"")</f>
        <v>63029120</v>
      </c>
      <c r="M2188" s="8" t="str">
        <f>_xlfn.IFNA(INDEX('HS Codes'!$C$2:$C4742,MATCH($B2188,'HS Codes'!$A$2:$A4742,0)),"")</f>
        <v>Beach Towel - Toilet Linen 100% recycled 220 GSM/83% polyester/17% polyamide includes cotton on the packing pouch drawstring</v>
      </c>
      <c r="N2188" s="9"/>
      <c r="O2188" s="9"/>
      <c r="P2188" s="9"/>
      <c r="Q2188" s="9"/>
    </row>
    <row r="2189" spans="1:17" ht="15.75" customHeight="1">
      <c r="A2189" s="7" t="s">
        <v>2481</v>
      </c>
      <c r="B2189" s="7" t="s">
        <v>164</v>
      </c>
      <c r="C2189" s="7" t="s">
        <v>278</v>
      </c>
      <c r="D2189" s="7" t="s">
        <v>165</v>
      </c>
      <c r="E2189" s="7" t="s">
        <v>348</v>
      </c>
      <c r="F2189" s="8" t="str">
        <f>_xlfn.IFNA(INDEX('HS Codes'!$D$2:$K4743,MATCH($B2189,'HS Codes'!$A$2:$A4743,0),MATCH(F$1,'HS Codes'!$D$1:$K$1,0)),"")</f>
        <v>6302.93.2000</v>
      </c>
      <c r="G2189" s="8">
        <f>_xlfn.IFNA(INDEX('HS Codes'!$D$2:$K4743,MATCH($B2189,'HS Codes'!$A$2:$A4743,0),MATCH(G$1,'HS Codes'!$D$1:$K$1,0)),"")</f>
        <v>6302600090</v>
      </c>
      <c r="H2189" s="8" t="str">
        <f>_xlfn.IFNA(INDEX('HS Codes'!$D$2:$K4743,MATCH($B2189,'HS Codes'!$A$2:$A4743,0),MATCH(H$1,'HS Codes'!$D$1:$K$1,0)),"")</f>
        <v>6302.93.00.00</v>
      </c>
      <c r="I2189" s="8">
        <f>_xlfn.IFNA(INDEX('HS Codes'!$D$2:$K4743,MATCH($B2189,'HS Codes'!$A$2:$A4743,0),MATCH(I$1,'HS Codes'!$D$1:$K$1,0)),"")</f>
        <v>63029390</v>
      </c>
      <c r="J2189" s="8">
        <f>_xlfn.IFNA(INDEX('HS Codes'!$D$2:$K4743,MATCH($B2189,'HS Codes'!$A$2:$A4743,0),MATCH(J$1,'HS Codes'!$D$1:$K$1,0)),"")</f>
        <v>0</v>
      </c>
      <c r="K2189" s="8" t="str">
        <f>_xlfn.IFNA(INDEX('HS Codes'!$D$2:$K4743,MATCH($B2189,'HS Codes'!$A$2:$A4743,0),MATCH(K$1,'HS Codes'!$D$1:$K$1,0)),"")</f>
        <v>6302.39.00</v>
      </c>
      <c r="L2189" s="8">
        <f>_xlfn.IFNA(INDEX('HS Codes'!$D$2:$K4743,MATCH($B2189,'HS Codes'!$A$2:$A4743,0),MATCH(L$1,'HS Codes'!$D$1:$K$1,0)),"")</f>
        <v>63029120</v>
      </c>
      <c r="M2189" s="8" t="str">
        <f>_xlfn.IFNA(INDEX('HS Codes'!$C$2:$C4743,MATCH($B2189,'HS Codes'!$A$2:$A4743,0)),"")</f>
        <v>Beach Towel - Toilet Linen 100% recycled 220 GSM/83% polyester/17% polyamide includes cotton on the packing pouch drawstring</v>
      </c>
      <c r="N2189" s="9"/>
      <c r="O2189" s="9"/>
      <c r="P2189" s="9"/>
      <c r="Q2189" s="9"/>
    </row>
    <row r="2190" spans="1:17" ht="15.75" customHeight="1">
      <c r="A2190" s="7" t="s">
        <v>2482</v>
      </c>
      <c r="B2190" s="7" t="s">
        <v>164</v>
      </c>
      <c r="C2190" s="7" t="s">
        <v>278</v>
      </c>
      <c r="D2190" s="7" t="s">
        <v>165</v>
      </c>
      <c r="E2190" s="7" t="s">
        <v>348</v>
      </c>
      <c r="F2190" s="8" t="str">
        <f>_xlfn.IFNA(INDEX('HS Codes'!$D$2:$K4744,MATCH($B2190,'HS Codes'!$A$2:$A4744,0),MATCH(F$1,'HS Codes'!$D$1:$K$1,0)),"")</f>
        <v>6302.93.2000</v>
      </c>
      <c r="G2190" s="8">
        <f>_xlfn.IFNA(INDEX('HS Codes'!$D$2:$K4744,MATCH($B2190,'HS Codes'!$A$2:$A4744,0),MATCH(G$1,'HS Codes'!$D$1:$K$1,0)),"")</f>
        <v>6302600090</v>
      </c>
      <c r="H2190" s="8" t="str">
        <f>_xlfn.IFNA(INDEX('HS Codes'!$D$2:$K4744,MATCH($B2190,'HS Codes'!$A$2:$A4744,0),MATCH(H$1,'HS Codes'!$D$1:$K$1,0)),"")</f>
        <v>6302.93.00.00</v>
      </c>
      <c r="I2190" s="8">
        <f>_xlfn.IFNA(INDEX('HS Codes'!$D$2:$K4744,MATCH($B2190,'HS Codes'!$A$2:$A4744,0),MATCH(I$1,'HS Codes'!$D$1:$K$1,0)),"")</f>
        <v>63029390</v>
      </c>
      <c r="J2190" s="8">
        <f>_xlfn.IFNA(INDEX('HS Codes'!$D$2:$K4744,MATCH($B2190,'HS Codes'!$A$2:$A4744,0),MATCH(J$1,'HS Codes'!$D$1:$K$1,0)),"")</f>
        <v>0</v>
      </c>
      <c r="K2190" s="8" t="str">
        <f>_xlfn.IFNA(INDEX('HS Codes'!$D$2:$K4744,MATCH($B2190,'HS Codes'!$A$2:$A4744,0),MATCH(K$1,'HS Codes'!$D$1:$K$1,0)),"")</f>
        <v>6302.39.00</v>
      </c>
      <c r="L2190" s="8">
        <f>_xlfn.IFNA(INDEX('HS Codes'!$D$2:$K4744,MATCH($B2190,'HS Codes'!$A$2:$A4744,0),MATCH(L$1,'HS Codes'!$D$1:$K$1,0)),"")</f>
        <v>63029120</v>
      </c>
      <c r="M2190" s="8" t="str">
        <f>_xlfn.IFNA(INDEX('HS Codes'!$C$2:$C4744,MATCH($B2190,'HS Codes'!$A$2:$A4744,0)),"")</f>
        <v>Beach Towel - Toilet Linen 100% recycled 220 GSM/83% polyester/17% polyamide includes cotton on the packing pouch drawstring</v>
      </c>
      <c r="N2190" s="9"/>
      <c r="O2190" s="9"/>
      <c r="P2190" s="9"/>
      <c r="Q2190" s="9"/>
    </row>
    <row r="2191" spans="1:17" ht="15.75" customHeight="1">
      <c r="A2191" s="7" t="s">
        <v>2483</v>
      </c>
      <c r="B2191" s="7" t="s">
        <v>164</v>
      </c>
      <c r="C2191" s="7" t="s">
        <v>278</v>
      </c>
      <c r="D2191" s="7" t="s">
        <v>165</v>
      </c>
      <c r="E2191" s="7" t="s">
        <v>348</v>
      </c>
      <c r="F2191" s="8" t="str">
        <f>_xlfn.IFNA(INDEX('HS Codes'!$D$2:$K4745,MATCH($B2191,'HS Codes'!$A$2:$A4745,0),MATCH(F$1,'HS Codes'!$D$1:$K$1,0)),"")</f>
        <v>6302.93.2000</v>
      </c>
      <c r="G2191" s="8">
        <f>_xlfn.IFNA(INDEX('HS Codes'!$D$2:$K4745,MATCH($B2191,'HS Codes'!$A$2:$A4745,0),MATCH(G$1,'HS Codes'!$D$1:$K$1,0)),"")</f>
        <v>6302600090</v>
      </c>
      <c r="H2191" s="8" t="str">
        <f>_xlfn.IFNA(INDEX('HS Codes'!$D$2:$K4745,MATCH($B2191,'HS Codes'!$A$2:$A4745,0),MATCH(H$1,'HS Codes'!$D$1:$K$1,0)),"")</f>
        <v>6302.93.00.00</v>
      </c>
      <c r="I2191" s="8">
        <f>_xlfn.IFNA(INDEX('HS Codes'!$D$2:$K4745,MATCH($B2191,'HS Codes'!$A$2:$A4745,0),MATCH(I$1,'HS Codes'!$D$1:$K$1,0)),"")</f>
        <v>63029390</v>
      </c>
      <c r="J2191" s="8">
        <f>_xlfn.IFNA(INDEX('HS Codes'!$D$2:$K4745,MATCH($B2191,'HS Codes'!$A$2:$A4745,0),MATCH(J$1,'HS Codes'!$D$1:$K$1,0)),"")</f>
        <v>0</v>
      </c>
      <c r="K2191" s="8" t="str">
        <f>_xlfn.IFNA(INDEX('HS Codes'!$D$2:$K4745,MATCH($B2191,'HS Codes'!$A$2:$A4745,0),MATCH(K$1,'HS Codes'!$D$1:$K$1,0)),"")</f>
        <v>6302.39.00</v>
      </c>
      <c r="L2191" s="8">
        <f>_xlfn.IFNA(INDEX('HS Codes'!$D$2:$K4745,MATCH($B2191,'HS Codes'!$A$2:$A4745,0),MATCH(L$1,'HS Codes'!$D$1:$K$1,0)),"")</f>
        <v>63029120</v>
      </c>
      <c r="M2191" s="8" t="str">
        <f>_xlfn.IFNA(INDEX('HS Codes'!$C$2:$C4745,MATCH($B2191,'HS Codes'!$A$2:$A4745,0)),"")</f>
        <v>Beach Towel - Toilet Linen 100% recycled 220 GSM/83% polyester/17% polyamide includes cotton on the packing pouch drawstring</v>
      </c>
      <c r="N2191" s="9"/>
      <c r="O2191" s="9"/>
      <c r="P2191" s="9"/>
      <c r="Q2191" s="9"/>
    </row>
    <row r="2192" spans="1:17" ht="15.75" customHeight="1">
      <c r="A2192" s="7" t="s">
        <v>2484</v>
      </c>
      <c r="B2192" s="7" t="s">
        <v>164</v>
      </c>
      <c r="C2192" s="7" t="s">
        <v>278</v>
      </c>
      <c r="D2192" s="7" t="s">
        <v>165</v>
      </c>
      <c r="E2192" s="7" t="s">
        <v>348</v>
      </c>
      <c r="F2192" s="8" t="str">
        <f>_xlfn.IFNA(INDEX('HS Codes'!$D$2:$K4746,MATCH($B2192,'HS Codes'!$A$2:$A4746,0),MATCH(F$1,'HS Codes'!$D$1:$K$1,0)),"")</f>
        <v>6302.93.2000</v>
      </c>
      <c r="G2192" s="8">
        <f>_xlfn.IFNA(INDEX('HS Codes'!$D$2:$K4746,MATCH($B2192,'HS Codes'!$A$2:$A4746,0),MATCH(G$1,'HS Codes'!$D$1:$K$1,0)),"")</f>
        <v>6302600090</v>
      </c>
      <c r="H2192" s="8" t="str">
        <f>_xlfn.IFNA(INDEX('HS Codes'!$D$2:$K4746,MATCH($B2192,'HS Codes'!$A$2:$A4746,0),MATCH(H$1,'HS Codes'!$D$1:$K$1,0)),"")</f>
        <v>6302.93.00.00</v>
      </c>
      <c r="I2192" s="8">
        <f>_xlfn.IFNA(INDEX('HS Codes'!$D$2:$K4746,MATCH($B2192,'HS Codes'!$A$2:$A4746,0),MATCH(I$1,'HS Codes'!$D$1:$K$1,0)),"")</f>
        <v>63029390</v>
      </c>
      <c r="J2192" s="8">
        <f>_xlfn.IFNA(INDEX('HS Codes'!$D$2:$K4746,MATCH($B2192,'HS Codes'!$A$2:$A4746,0),MATCH(J$1,'HS Codes'!$D$1:$K$1,0)),"")</f>
        <v>0</v>
      </c>
      <c r="K2192" s="8" t="str">
        <f>_xlfn.IFNA(INDEX('HS Codes'!$D$2:$K4746,MATCH($B2192,'HS Codes'!$A$2:$A4746,0),MATCH(K$1,'HS Codes'!$D$1:$K$1,0)),"")</f>
        <v>6302.39.00</v>
      </c>
      <c r="L2192" s="8">
        <f>_xlfn.IFNA(INDEX('HS Codes'!$D$2:$K4746,MATCH($B2192,'HS Codes'!$A$2:$A4746,0),MATCH(L$1,'HS Codes'!$D$1:$K$1,0)),"")</f>
        <v>63029120</v>
      </c>
      <c r="M2192" s="8" t="str">
        <f>_xlfn.IFNA(INDEX('HS Codes'!$C$2:$C4746,MATCH($B2192,'HS Codes'!$A$2:$A4746,0)),"")</f>
        <v>Beach Towel - Toilet Linen 100% recycled 220 GSM/83% polyester/17% polyamide includes cotton on the packing pouch drawstring</v>
      </c>
      <c r="N2192" s="9"/>
      <c r="O2192" s="9"/>
      <c r="P2192" s="9"/>
      <c r="Q2192" s="9"/>
    </row>
    <row r="2193" spans="1:17" ht="15.75" customHeight="1">
      <c r="A2193" s="7" t="s">
        <v>2485</v>
      </c>
      <c r="B2193" s="7" t="s">
        <v>164</v>
      </c>
      <c r="C2193" s="7" t="s">
        <v>278</v>
      </c>
      <c r="D2193" s="7" t="s">
        <v>165</v>
      </c>
      <c r="E2193" s="7" t="s">
        <v>348</v>
      </c>
      <c r="F2193" s="8" t="str">
        <f>_xlfn.IFNA(INDEX('HS Codes'!$D$2:$K4747,MATCH($B2193,'HS Codes'!$A$2:$A4747,0),MATCH(F$1,'HS Codes'!$D$1:$K$1,0)),"")</f>
        <v>6302.93.2000</v>
      </c>
      <c r="G2193" s="8">
        <f>_xlfn.IFNA(INDEX('HS Codes'!$D$2:$K4747,MATCH($B2193,'HS Codes'!$A$2:$A4747,0),MATCH(G$1,'HS Codes'!$D$1:$K$1,0)),"")</f>
        <v>6302600090</v>
      </c>
      <c r="H2193" s="8" t="str">
        <f>_xlfn.IFNA(INDEX('HS Codes'!$D$2:$K4747,MATCH($B2193,'HS Codes'!$A$2:$A4747,0),MATCH(H$1,'HS Codes'!$D$1:$K$1,0)),"")</f>
        <v>6302.93.00.00</v>
      </c>
      <c r="I2193" s="8">
        <f>_xlfn.IFNA(INDEX('HS Codes'!$D$2:$K4747,MATCH($B2193,'HS Codes'!$A$2:$A4747,0),MATCH(I$1,'HS Codes'!$D$1:$K$1,0)),"")</f>
        <v>63029390</v>
      </c>
      <c r="J2193" s="8">
        <f>_xlfn.IFNA(INDEX('HS Codes'!$D$2:$K4747,MATCH($B2193,'HS Codes'!$A$2:$A4747,0),MATCH(J$1,'HS Codes'!$D$1:$K$1,0)),"")</f>
        <v>0</v>
      </c>
      <c r="K2193" s="8" t="str">
        <f>_xlfn.IFNA(INDEX('HS Codes'!$D$2:$K4747,MATCH($B2193,'HS Codes'!$A$2:$A4747,0),MATCH(K$1,'HS Codes'!$D$1:$K$1,0)),"")</f>
        <v>6302.39.00</v>
      </c>
      <c r="L2193" s="8">
        <f>_xlfn.IFNA(INDEX('HS Codes'!$D$2:$K4747,MATCH($B2193,'HS Codes'!$A$2:$A4747,0),MATCH(L$1,'HS Codes'!$D$1:$K$1,0)),"")</f>
        <v>63029120</v>
      </c>
      <c r="M2193" s="8" t="str">
        <f>_xlfn.IFNA(INDEX('HS Codes'!$C$2:$C4747,MATCH($B2193,'HS Codes'!$A$2:$A4747,0)),"")</f>
        <v>Beach Towel - Toilet Linen 100% recycled 220 GSM/83% polyester/17% polyamide includes cotton on the packing pouch drawstring</v>
      </c>
      <c r="N2193" s="9"/>
      <c r="O2193" s="9"/>
      <c r="P2193" s="9"/>
      <c r="Q2193" s="9"/>
    </row>
    <row r="2194" spans="1:17" ht="15.75" customHeight="1">
      <c r="A2194" s="7" t="s">
        <v>2486</v>
      </c>
      <c r="B2194" s="7" t="s">
        <v>164</v>
      </c>
      <c r="C2194" s="7" t="s">
        <v>278</v>
      </c>
      <c r="D2194" s="7" t="s">
        <v>165</v>
      </c>
      <c r="E2194" s="7" t="s">
        <v>348</v>
      </c>
      <c r="F2194" s="8" t="str">
        <f>_xlfn.IFNA(INDEX('HS Codes'!$D$2:$K4748,MATCH($B2194,'HS Codes'!$A$2:$A4748,0),MATCH(F$1,'HS Codes'!$D$1:$K$1,0)),"")</f>
        <v>6302.93.2000</v>
      </c>
      <c r="G2194" s="8">
        <f>_xlfn.IFNA(INDEX('HS Codes'!$D$2:$K4748,MATCH($B2194,'HS Codes'!$A$2:$A4748,0),MATCH(G$1,'HS Codes'!$D$1:$K$1,0)),"")</f>
        <v>6302600090</v>
      </c>
      <c r="H2194" s="8" t="str">
        <f>_xlfn.IFNA(INDEX('HS Codes'!$D$2:$K4748,MATCH($B2194,'HS Codes'!$A$2:$A4748,0),MATCH(H$1,'HS Codes'!$D$1:$K$1,0)),"")</f>
        <v>6302.93.00.00</v>
      </c>
      <c r="I2194" s="8">
        <f>_xlfn.IFNA(INDEX('HS Codes'!$D$2:$K4748,MATCH($B2194,'HS Codes'!$A$2:$A4748,0),MATCH(I$1,'HS Codes'!$D$1:$K$1,0)),"")</f>
        <v>63029390</v>
      </c>
      <c r="J2194" s="8">
        <f>_xlfn.IFNA(INDEX('HS Codes'!$D$2:$K4748,MATCH($B2194,'HS Codes'!$A$2:$A4748,0),MATCH(J$1,'HS Codes'!$D$1:$K$1,0)),"")</f>
        <v>0</v>
      </c>
      <c r="K2194" s="8" t="str">
        <f>_xlfn.IFNA(INDEX('HS Codes'!$D$2:$K4748,MATCH($B2194,'HS Codes'!$A$2:$A4748,0),MATCH(K$1,'HS Codes'!$D$1:$K$1,0)),"")</f>
        <v>6302.39.00</v>
      </c>
      <c r="L2194" s="8">
        <f>_xlfn.IFNA(INDEX('HS Codes'!$D$2:$K4748,MATCH($B2194,'HS Codes'!$A$2:$A4748,0),MATCH(L$1,'HS Codes'!$D$1:$K$1,0)),"")</f>
        <v>63029120</v>
      </c>
      <c r="M2194" s="8" t="str">
        <f>_xlfn.IFNA(INDEX('HS Codes'!$C$2:$C4748,MATCH($B2194,'HS Codes'!$A$2:$A4748,0)),"")</f>
        <v>Beach Towel - Toilet Linen 100% recycled 220 GSM/83% polyester/17% polyamide includes cotton on the packing pouch drawstring</v>
      </c>
      <c r="N2194" s="9"/>
      <c r="O2194" s="9"/>
      <c r="P2194" s="9"/>
      <c r="Q2194" s="9"/>
    </row>
    <row r="2195" spans="1:17" ht="15.75" customHeight="1">
      <c r="A2195" s="7" t="s">
        <v>2487</v>
      </c>
      <c r="B2195" s="7" t="s">
        <v>164</v>
      </c>
      <c r="C2195" s="7" t="s">
        <v>278</v>
      </c>
      <c r="D2195" s="7" t="s">
        <v>165</v>
      </c>
      <c r="E2195" s="7" t="s">
        <v>348</v>
      </c>
      <c r="F2195" s="8" t="str">
        <f>_xlfn.IFNA(INDEX('HS Codes'!$D$2:$K4749,MATCH($B2195,'HS Codes'!$A$2:$A4749,0),MATCH(F$1,'HS Codes'!$D$1:$K$1,0)),"")</f>
        <v>6302.93.2000</v>
      </c>
      <c r="G2195" s="8">
        <f>_xlfn.IFNA(INDEX('HS Codes'!$D$2:$K4749,MATCH($B2195,'HS Codes'!$A$2:$A4749,0),MATCH(G$1,'HS Codes'!$D$1:$K$1,0)),"")</f>
        <v>6302600090</v>
      </c>
      <c r="H2195" s="8" t="str">
        <f>_xlfn.IFNA(INDEX('HS Codes'!$D$2:$K4749,MATCH($B2195,'HS Codes'!$A$2:$A4749,0),MATCH(H$1,'HS Codes'!$D$1:$K$1,0)),"")</f>
        <v>6302.93.00.00</v>
      </c>
      <c r="I2195" s="8">
        <f>_xlfn.IFNA(INDEX('HS Codes'!$D$2:$K4749,MATCH($B2195,'HS Codes'!$A$2:$A4749,0),MATCH(I$1,'HS Codes'!$D$1:$K$1,0)),"")</f>
        <v>63029390</v>
      </c>
      <c r="J2195" s="8">
        <f>_xlfn.IFNA(INDEX('HS Codes'!$D$2:$K4749,MATCH($B2195,'HS Codes'!$A$2:$A4749,0),MATCH(J$1,'HS Codes'!$D$1:$K$1,0)),"")</f>
        <v>0</v>
      </c>
      <c r="K2195" s="8" t="str">
        <f>_xlfn.IFNA(INDEX('HS Codes'!$D$2:$K4749,MATCH($B2195,'HS Codes'!$A$2:$A4749,0),MATCH(K$1,'HS Codes'!$D$1:$K$1,0)),"")</f>
        <v>6302.39.00</v>
      </c>
      <c r="L2195" s="8">
        <f>_xlfn.IFNA(INDEX('HS Codes'!$D$2:$K4749,MATCH($B2195,'HS Codes'!$A$2:$A4749,0),MATCH(L$1,'HS Codes'!$D$1:$K$1,0)),"")</f>
        <v>63029120</v>
      </c>
      <c r="M2195" s="8" t="str">
        <f>_xlfn.IFNA(INDEX('HS Codes'!$C$2:$C4749,MATCH($B2195,'HS Codes'!$A$2:$A4749,0)),"")</f>
        <v>Beach Towel - Toilet Linen 100% recycled 220 GSM/83% polyester/17% polyamide includes cotton on the packing pouch drawstring</v>
      </c>
      <c r="N2195" s="9"/>
      <c r="O2195" s="9"/>
      <c r="P2195" s="9"/>
      <c r="Q2195" s="9"/>
    </row>
    <row r="2196" spans="1:17" ht="15.75" customHeight="1">
      <c r="A2196" s="7" t="s">
        <v>2488</v>
      </c>
      <c r="B2196" s="7" t="s">
        <v>164</v>
      </c>
      <c r="C2196" s="7" t="s">
        <v>278</v>
      </c>
      <c r="D2196" s="7" t="s">
        <v>165</v>
      </c>
      <c r="E2196" s="7" t="s">
        <v>348</v>
      </c>
      <c r="F2196" s="8" t="str">
        <f>_xlfn.IFNA(INDEX('HS Codes'!$D$2:$K4750,MATCH($B2196,'HS Codes'!$A$2:$A4750,0),MATCH(F$1,'HS Codes'!$D$1:$K$1,0)),"")</f>
        <v>6302.93.2000</v>
      </c>
      <c r="G2196" s="8">
        <f>_xlfn.IFNA(INDEX('HS Codes'!$D$2:$K4750,MATCH($B2196,'HS Codes'!$A$2:$A4750,0),MATCH(G$1,'HS Codes'!$D$1:$K$1,0)),"")</f>
        <v>6302600090</v>
      </c>
      <c r="H2196" s="8" t="str">
        <f>_xlfn.IFNA(INDEX('HS Codes'!$D$2:$K4750,MATCH($B2196,'HS Codes'!$A$2:$A4750,0),MATCH(H$1,'HS Codes'!$D$1:$K$1,0)),"")</f>
        <v>6302.93.00.00</v>
      </c>
      <c r="I2196" s="8">
        <f>_xlfn.IFNA(INDEX('HS Codes'!$D$2:$K4750,MATCH($B2196,'HS Codes'!$A$2:$A4750,0),MATCH(I$1,'HS Codes'!$D$1:$K$1,0)),"")</f>
        <v>63029390</v>
      </c>
      <c r="J2196" s="8">
        <f>_xlfn.IFNA(INDEX('HS Codes'!$D$2:$K4750,MATCH($B2196,'HS Codes'!$A$2:$A4750,0),MATCH(J$1,'HS Codes'!$D$1:$K$1,0)),"")</f>
        <v>0</v>
      </c>
      <c r="K2196" s="8" t="str">
        <f>_xlfn.IFNA(INDEX('HS Codes'!$D$2:$K4750,MATCH($B2196,'HS Codes'!$A$2:$A4750,0),MATCH(K$1,'HS Codes'!$D$1:$K$1,0)),"")</f>
        <v>6302.39.00</v>
      </c>
      <c r="L2196" s="8">
        <f>_xlfn.IFNA(INDEX('HS Codes'!$D$2:$K4750,MATCH($B2196,'HS Codes'!$A$2:$A4750,0),MATCH(L$1,'HS Codes'!$D$1:$K$1,0)),"")</f>
        <v>63029120</v>
      </c>
      <c r="M2196" s="8" t="str">
        <f>_xlfn.IFNA(INDEX('HS Codes'!$C$2:$C4750,MATCH($B2196,'HS Codes'!$A$2:$A4750,0)),"")</f>
        <v>Beach Towel - Toilet Linen 100% recycled 220 GSM/83% polyester/17% polyamide includes cotton on the packing pouch drawstring</v>
      </c>
      <c r="N2196" s="9"/>
      <c r="O2196" s="9"/>
      <c r="P2196" s="9"/>
      <c r="Q2196" s="9"/>
    </row>
    <row r="2197" spans="1:17" ht="15.75" customHeight="1">
      <c r="A2197" s="7" t="s">
        <v>2489</v>
      </c>
      <c r="B2197" s="7" t="s">
        <v>164</v>
      </c>
      <c r="C2197" s="7" t="s">
        <v>278</v>
      </c>
      <c r="D2197" s="7" t="s">
        <v>165</v>
      </c>
      <c r="E2197" s="7" t="s">
        <v>348</v>
      </c>
      <c r="F2197" s="8" t="str">
        <f>_xlfn.IFNA(INDEX('HS Codes'!$D$2:$K4751,MATCH($B2197,'HS Codes'!$A$2:$A4751,0),MATCH(F$1,'HS Codes'!$D$1:$K$1,0)),"")</f>
        <v>6302.93.2000</v>
      </c>
      <c r="G2197" s="8">
        <f>_xlfn.IFNA(INDEX('HS Codes'!$D$2:$K4751,MATCH($B2197,'HS Codes'!$A$2:$A4751,0),MATCH(G$1,'HS Codes'!$D$1:$K$1,0)),"")</f>
        <v>6302600090</v>
      </c>
      <c r="H2197" s="8" t="str">
        <f>_xlfn.IFNA(INDEX('HS Codes'!$D$2:$K4751,MATCH($B2197,'HS Codes'!$A$2:$A4751,0),MATCH(H$1,'HS Codes'!$D$1:$K$1,0)),"")</f>
        <v>6302.93.00.00</v>
      </c>
      <c r="I2197" s="8">
        <f>_xlfn.IFNA(INDEX('HS Codes'!$D$2:$K4751,MATCH($B2197,'HS Codes'!$A$2:$A4751,0),MATCH(I$1,'HS Codes'!$D$1:$K$1,0)),"")</f>
        <v>63029390</v>
      </c>
      <c r="J2197" s="8">
        <f>_xlfn.IFNA(INDEX('HS Codes'!$D$2:$K4751,MATCH($B2197,'HS Codes'!$A$2:$A4751,0),MATCH(J$1,'HS Codes'!$D$1:$K$1,0)),"")</f>
        <v>0</v>
      </c>
      <c r="K2197" s="8" t="str">
        <f>_xlfn.IFNA(INDEX('HS Codes'!$D$2:$K4751,MATCH($B2197,'HS Codes'!$A$2:$A4751,0),MATCH(K$1,'HS Codes'!$D$1:$K$1,0)),"")</f>
        <v>6302.39.00</v>
      </c>
      <c r="L2197" s="8">
        <f>_xlfn.IFNA(INDEX('HS Codes'!$D$2:$K4751,MATCH($B2197,'HS Codes'!$A$2:$A4751,0),MATCH(L$1,'HS Codes'!$D$1:$K$1,0)),"")</f>
        <v>63029120</v>
      </c>
      <c r="M2197" s="8" t="str">
        <f>_xlfn.IFNA(INDEX('HS Codes'!$C$2:$C4751,MATCH($B2197,'HS Codes'!$A$2:$A4751,0)),"")</f>
        <v>Beach Towel - Toilet Linen 100% recycled 220 GSM/83% polyester/17% polyamide includes cotton on the packing pouch drawstring</v>
      </c>
      <c r="N2197" s="9"/>
      <c r="O2197" s="9"/>
      <c r="P2197" s="9"/>
      <c r="Q2197" s="9"/>
    </row>
    <row r="2198" spans="1:17" ht="15.75" customHeight="1">
      <c r="A2198" s="7" t="s">
        <v>2490</v>
      </c>
      <c r="B2198" s="7" t="s">
        <v>164</v>
      </c>
      <c r="C2198" s="7" t="s">
        <v>278</v>
      </c>
      <c r="D2198" s="7" t="s">
        <v>165</v>
      </c>
      <c r="E2198" s="7" t="s">
        <v>348</v>
      </c>
      <c r="F2198" s="8" t="str">
        <f>_xlfn.IFNA(INDEX('HS Codes'!$D$2:$K4752,MATCH($B2198,'HS Codes'!$A$2:$A4752,0),MATCH(F$1,'HS Codes'!$D$1:$K$1,0)),"")</f>
        <v>6302.93.2000</v>
      </c>
      <c r="G2198" s="8">
        <f>_xlfn.IFNA(INDEX('HS Codes'!$D$2:$K4752,MATCH($B2198,'HS Codes'!$A$2:$A4752,0),MATCH(G$1,'HS Codes'!$D$1:$K$1,0)),"")</f>
        <v>6302600090</v>
      </c>
      <c r="H2198" s="8" t="str">
        <f>_xlfn.IFNA(INDEX('HS Codes'!$D$2:$K4752,MATCH($B2198,'HS Codes'!$A$2:$A4752,0),MATCH(H$1,'HS Codes'!$D$1:$K$1,0)),"")</f>
        <v>6302.93.00.00</v>
      </c>
      <c r="I2198" s="8">
        <f>_xlfn.IFNA(INDEX('HS Codes'!$D$2:$K4752,MATCH($B2198,'HS Codes'!$A$2:$A4752,0),MATCH(I$1,'HS Codes'!$D$1:$K$1,0)),"")</f>
        <v>63029390</v>
      </c>
      <c r="J2198" s="8">
        <f>_xlfn.IFNA(INDEX('HS Codes'!$D$2:$K4752,MATCH($B2198,'HS Codes'!$A$2:$A4752,0),MATCH(J$1,'HS Codes'!$D$1:$K$1,0)),"")</f>
        <v>0</v>
      </c>
      <c r="K2198" s="8" t="str">
        <f>_xlfn.IFNA(INDEX('HS Codes'!$D$2:$K4752,MATCH($B2198,'HS Codes'!$A$2:$A4752,0),MATCH(K$1,'HS Codes'!$D$1:$K$1,0)),"")</f>
        <v>6302.39.00</v>
      </c>
      <c r="L2198" s="8">
        <f>_xlfn.IFNA(INDEX('HS Codes'!$D$2:$K4752,MATCH($B2198,'HS Codes'!$A$2:$A4752,0),MATCH(L$1,'HS Codes'!$D$1:$K$1,0)),"")</f>
        <v>63029120</v>
      </c>
      <c r="M2198" s="8" t="str">
        <f>_xlfn.IFNA(INDEX('HS Codes'!$C$2:$C4752,MATCH($B2198,'HS Codes'!$A$2:$A4752,0)),"")</f>
        <v>Beach Towel - Toilet Linen 100% recycled 220 GSM/83% polyester/17% polyamide includes cotton on the packing pouch drawstring</v>
      </c>
      <c r="N2198" s="9"/>
      <c r="O2198" s="9"/>
      <c r="P2198" s="9"/>
      <c r="Q2198" s="9"/>
    </row>
    <row r="2199" spans="1:17" ht="15.75" customHeight="1">
      <c r="A2199" s="7" t="s">
        <v>2491</v>
      </c>
      <c r="B2199" s="7" t="s">
        <v>164</v>
      </c>
      <c r="C2199" s="7" t="s">
        <v>278</v>
      </c>
      <c r="D2199" s="7" t="s">
        <v>165</v>
      </c>
      <c r="E2199" s="7" t="s">
        <v>348</v>
      </c>
      <c r="F2199" s="8" t="str">
        <f>_xlfn.IFNA(INDEX('HS Codes'!$D$2:$K4753,MATCH($B2199,'HS Codes'!$A$2:$A4753,0),MATCH(F$1,'HS Codes'!$D$1:$K$1,0)),"")</f>
        <v>6302.93.2000</v>
      </c>
      <c r="G2199" s="8">
        <f>_xlfn.IFNA(INDEX('HS Codes'!$D$2:$K4753,MATCH($B2199,'HS Codes'!$A$2:$A4753,0),MATCH(G$1,'HS Codes'!$D$1:$K$1,0)),"")</f>
        <v>6302600090</v>
      </c>
      <c r="H2199" s="8" t="str">
        <f>_xlfn.IFNA(INDEX('HS Codes'!$D$2:$K4753,MATCH($B2199,'HS Codes'!$A$2:$A4753,0),MATCH(H$1,'HS Codes'!$D$1:$K$1,0)),"")</f>
        <v>6302.93.00.00</v>
      </c>
      <c r="I2199" s="8">
        <f>_xlfn.IFNA(INDEX('HS Codes'!$D$2:$K4753,MATCH($B2199,'HS Codes'!$A$2:$A4753,0),MATCH(I$1,'HS Codes'!$D$1:$K$1,0)),"")</f>
        <v>63029390</v>
      </c>
      <c r="J2199" s="8">
        <f>_xlfn.IFNA(INDEX('HS Codes'!$D$2:$K4753,MATCH($B2199,'HS Codes'!$A$2:$A4753,0),MATCH(J$1,'HS Codes'!$D$1:$K$1,0)),"")</f>
        <v>0</v>
      </c>
      <c r="K2199" s="8" t="str">
        <f>_xlfn.IFNA(INDEX('HS Codes'!$D$2:$K4753,MATCH($B2199,'HS Codes'!$A$2:$A4753,0),MATCH(K$1,'HS Codes'!$D$1:$K$1,0)),"")</f>
        <v>6302.39.00</v>
      </c>
      <c r="L2199" s="8">
        <f>_xlfn.IFNA(INDEX('HS Codes'!$D$2:$K4753,MATCH($B2199,'HS Codes'!$A$2:$A4753,0),MATCH(L$1,'HS Codes'!$D$1:$K$1,0)),"")</f>
        <v>63029120</v>
      </c>
      <c r="M2199" s="8" t="str">
        <f>_xlfn.IFNA(INDEX('HS Codes'!$C$2:$C4753,MATCH($B2199,'HS Codes'!$A$2:$A4753,0)),"")</f>
        <v>Beach Towel - Toilet Linen 100% recycled 220 GSM/83% polyester/17% polyamide includes cotton on the packing pouch drawstring</v>
      </c>
      <c r="N2199" s="9"/>
      <c r="O2199" s="9"/>
      <c r="P2199" s="9"/>
      <c r="Q2199" s="9"/>
    </row>
    <row r="2200" spans="1:17" ht="15.75" customHeight="1">
      <c r="A2200" s="7" t="s">
        <v>2492</v>
      </c>
      <c r="B2200" s="7" t="s">
        <v>164</v>
      </c>
      <c r="C2200" s="7" t="s">
        <v>278</v>
      </c>
      <c r="D2200" s="7" t="s">
        <v>165</v>
      </c>
      <c r="E2200" s="7" t="s">
        <v>348</v>
      </c>
      <c r="F2200" s="8" t="str">
        <f>_xlfn.IFNA(INDEX('HS Codes'!$D$2:$K4754,MATCH($B2200,'HS Codes'!$A$2:$A4754,0),MATCH(F$1,'HS Codes'!$D$1:$K$1,0)),"")</f>
        <v>6302.93.2000</v>
      </c>
      <c r="G2200" s="8">
        <f>_xlfn.IFNA(INDEX('HS Codes'!$D$2:$K4754,MATCH($B2200,'HS Codes'!$A$2:$A4754,0),MATCH(G$1,'HS Codes'!$D$1:$K$1,0)),"")</f>
        <v>6302600090</v>
      </c>
      <c r="H2200" s="8" t="str">
        <f>_xlfn.IFNA(INDEX('HS Codes'!$D$2:$K4754,MATCH($B2200,'HS Codes'!$A$2:$A4754,0),MATCH(H$1,'HS Codes'!$D$1:$K$1,0)),"")</f>
        <v>6302.93.00.00</v>
      </c>
      <c r="I2200" s="8">
        <f>_xlfn.IFNA(INDEX('HS Codes'!$D$2:$K4754,MATCH($B2200,'HS Codes'!$A$2:$A4754,0),MATCH(I$1,'HS Codes'!$D$1:$K$1,0)),"")</f>
        <v>63029390</v>
      </c>
      <c r="J2200" s="8">
        <f>_xlfn.IFNA(INDEX('HS Codes'!$D$2:$K4754,MATCH($B2200,'HS Codes'!$A$2:$A4754,0),MATCH(J$1,'HS Codes'!$D$1:$K$1,0)),"")</f>
        <v>0</v>
      </c>
      <c r="K2200" s="8" t="str">
        <f>_xlfn.IFNA(INDEX('HS Codes'!$D$2:$K4754,MATCH($B2200,'HS Codes'!$A$2:$A4754,0),MATCH(K$1,'HS Codes'!$D$1:$K$1,0)),"")</f>
        <v>6302.39.00</v>
      </c>
      <c r="L2200" s="8">
        <f>_xlfn.IFNA(INDEX('HS Codes'!$D$2:$K4754,MATCH($B2200,'HS Codes'!$A$2:$A4754,0),MATCH(L$1,'HS Codes'!$D$1:$K$1,0)),"")</f>
        <v>63029120</v>
      </c>
      <c r="M2200" s="8" t="str">
        <f>_xlfn.IFNA(INDEX('HS Codes'!$C$2:$C4754,MATCH($B2200,'HS Codes'!$A$2:$A4754,0)),"")</f>
        <v>Beach Towel - Toilet Linen 100% recycled 220 GSM/83% polyester/17% polyamide includes cotton on the packing pouch drawstring</v>
      </c>
      <c r="N2200" s="9"/>
      <c r="O2200" s="9"/>
      <c r="P2200" s="9"/>
      <c r="Q2200" s="9"/>
    </row>
    <row r="2201" spans="1:17" ht="15.75" customHeight="1">
      <c r="A2201" s="7" t="s">
        <v>2493</v>
      </c>
      <c r="B2201" s="7" t="s">
        <v>164</v>
      </c>
      <c r="C2201" s="7" t="s">
        <v>278</v>
      </c>
      <c r="D2201" s="7" t="s">
        <v>165</v>
      </c>
      <c r="E2201" s="7" t="s">
        <v>348</v>
      </c>
      <c r="F2201" s="8" t="str">
        <f>_xlfn.IFNA(INDEX('HS Codes'!$D$2:$K4755,MATCH($B2201,'HS Codes'!$A$2:$A4755,0),MATCH(F$1,'HS Codes'!$D$1:$K$1,0)),"")</f>
        <v>6302.93.2000</v>
      </c>
      <c r="G2201" s="8">
        <f>_xlfn.IFNA(INDEX('HS Codes'!$D$2:$K4755,MATCH($B2201,'HS Codes'!$A$2:$A4755,0),MATCH(G$1,'HS Codes'!$D$1:$K$1,0)),"")</f>
        <v>6302600090</v>
      </c>
      <c r="H2201" s="8" t="str">
        <f>_xlfn.IFNA(INDEX('HS Codes'!$D$2:$K4755,MATCH($B2201,'HS Codes'!$A$2:$A4755,0),MATCH(H$1,'HS Codes'!$D$1:$K$1,0)),"")</f>
        <v>6302.93.00.00</v>
      </c>
      <c r="I2201" s="8">
        <f>_xlfn.IFNA(INDEX('HS Codes'!$D$2:$K4755,MATCH($B2201,'HS Codes'!$A$2:$A4755,0),MATCH(I$1,'HS Codes'!$D$1:$K$1,0)),"")</f>
        <v>63029390</v>
      </c>
      <c r="J2201" s="8">
        <f>_xlfn.IFNA(INDEX('HS Codes'!$D$2:$K4755,MATCH($B2201,'HS Codes'!$A$2:$A4755,0),MATCH(J$1,'HS Codes'!$D$1:$K$1,0)),"")</f>
        <v>0</v>
      </c>
      <c r="K2201" s="8" t="str">
        <f>_xlfn.IFNA(INDEX('HS Codes'!$D$2:$K4755,MATCH($B2201,'HS Codes'!$A$2:$A4755,0),MATCH(K$1,'HS Codes'!$D$1:$K$1,0)),"")</f>
        <v>6302.39.00</v>
      </c>
      <c r="L2201" s="8">
        <f>_xlfn.IFNA(INDEX('HS Codes'!$D$2:$K4755,MATCH($B2201,'HS Codes'!$A$2:$A4755,0),MATCH(L$1,'HS Codes'!$D$1:$K$1,0)),"")</f>
        <v>63029120</v>
      </c>
      <c r="M2201" s="8" t="str">
        <f>_xlfn.IFNA(INDEX('HS Codes'!$C$2:$C4755,MATCH($B2201,'HS Codes'!$A$2:$A4755,0)),"")</f>
        <v>Beach Towel - Toilet Linen 100% recycled 220 GSM/83% polyester/17% polyamide includes cotton on the packing pouch drawstring</v>
      </c>
      <c r="N2201" s="9"/>
      <c r="O2201" s="9"/>
      <c r="P2201" s="9"/>
      <c r="Q2201" s="9"/>
    </row>
    <row r="2202" spans="1:17" ht="15.75" customHeight="1">
      <c r="A2202" s="7" t="s">
        <v>2494</v>
      </c>
      <c r="B2202" s="7" t="s">
        <v>164</v>
      </c>
      <c r="C2202" s="7" t="s">
        <v>278</v>
      </c>
      <c r="D2202" s="7" t="s">
        <v>165</v>
      </c>
      <c r="E2202" s="7" t="s">
        <v>348</v>
      </c>
      <c r="F2202" s="8" t="str">
        <f>_xlfn.IFNA(INDEX('HS Codes'!$D$2:$K4756,MATCH($B2202,'HS Codes'!$A$2:$A4756,0),MATCH(F$1,'HS Codes'!$D$1:$K$1,0)),"")</f>
        <v>6302.93.2000</v>
      </c>
      <c r="G2202" s="8">
        <f>_xlfn.IFNA(INDEX('HS Codes'!$D$2:$K4756,MATCH($B2202,'HS Codes'!$A$2:$A4756,0),MATCH(G$1,'HS Codes'!$D$1:$K$1,0)),"")</f>
        <v>6302600090</v>
      </c>
      <c r="H2202" s="8" t="str">
        <f>_xlfn.IFNA(INDEX('HS Codes'!$D$2:$K4756,MATCH($B2202,'HS Codes'!$A$2:$A4756,0),MATCH(H$1,'HS Codes'!$D$1:$K$1,0)),"")</f>
        <v>6302.93.00.00</v>
      </c>
      <c r="I2202" s="8">
        <f>_xlfn.IFNA(INDEX('HS Codes'!$D$2:$K4756,MATCH($B2202,'HS Codes'!$A$2:$A4756,0),MATCH(I$1,'HS Codes'!$D$1:$K$1,0)),"")</f>
        <v>63029390</v>
      </c>
      <c r="J2202" s="8">
        <f>_xlfn.IFNA(INDEX('HS Codes'!$D$2:$K4756,MATCH($B2202,'HS Codes'!$A$2:$A4756,0),MATCH(J$1,'HS Codes'!$D$1:$K$1,0)),"")</f>
        <v>0</v>
      </c>
      <c r="K2202" s="8" t="str">
        <f>_xlfn.IFNA(INDEX('HS Codes'!$D$2:$K4756,MATCH($B2202,'HS Codes'!$A$2:$A4756,0),MATCH(K$1,'HS Codes'!$D$1:$K$1,0)),"")</f>
        <v>6302.39.00</v>
      </c>
      <c r="L2202" s="8">
        <f>_xlfn.IFNA(INDEX('HS Codes'!$D$2:$K4756,MATCH($B2202,'HS Codes'!$A$2:$A4756,0),MATCH(L$1,'HS Codes'!$D$1:$K$1,0)),"")</f>
        <v>63029120</v>
      </c>
      <c r="M2202" s="8" t="str">
        <f>_xlfn.IFNA(INDEX('HS Codes'!$C$2:$C4756,MATCH($B2202,'HS Codes'!$A$2:$A4756,0)),"")</f>
        <v>Beach Towel - Toilet Linen 100% recycled 220 GSM/83% polyester/17% polyamide includes cotton on the packing pouch drawstring</v>
      </c>
      <c r="N2202" s="9"/>
      <c r="O2202" s="9"/>
      <c r="P2202" s="9"/>
      <c r="Q2202" s="9"/>
    </row>
    <row r="2203" spans="1:17" ht="15.75" customHeight="1">
      <c r="A2203" s="7" t="s">
        <v>2495</v>
      </c>
      <c r="B2203" s="7" t="s">
        <v>164</v>
      </c>
      <c r="C2203" s="7" t="s">
        <v>278</v>
      </c>
      <c r="D2203" s="7" t="s">
        <v>165</v>
      </c>
      <c r="E2203" s="7" t="s">
        <v>348</v>
      </c>
      <c r="F2203" s="8" t="str">
        <f>_xlfn.IFNA(INDEX('HS Codes'!$D$2:$K4757,MATCH($B2203,'HS Codes'!$A$2:$A4757,0),MATCH(F$1,'HS Codes'!$D$1:$K$1,0)),"")</f>
        <v>6302.93.2000</v>
      </c>
      <c r="G2203" s="8">
        <f>_xlfn.IFNA(INDEX('HS Codes'!$D$2:$K4757,MATCH($B2203,'HS Codes'!$A$2:$A4757,0),MATCH(G$1,'HS Codes'!$D$1:$K$1,0)),"")</f>
        <v>6302600090</v>
      </c>
      <c r="H2203" s="8" t="str">
        <f>_xlfn.IFNA(INDEX('HS Codes'!$D$2:$K4757,MATCH($B2203,'HS Codes'!$A$2:$A4757,0),MATCH(H$1,'HS Codes'!$D$1:$K$1,0)),"")</f>
        <v>6302.93.00.00</v>
      </c>
      <c r="I2203" s="8">
        <f>_xlfn.IFNA(INDEX('HS Codes'!$D$2:$K4757,MATCH($B2203,'HS Codes'!$A$2:$A4757,0),MATCH(I$1,'HS Codes'!$D$1:$K$1,0)),"")</f>
        <v>63029390</v>
      </c>
      <c r="J2203" s="8">
        <f>_xlfn.IFNA(INDEX('HS Codes'!$D$2:$K4757,MATCH($B2203,'HS Codes'!$A$2:$A4757,0),MATCH(J$1,'HS Codes'!$D$1:$K$1,0)),"")</f>
        <v>0</v>
      </c>
      <c r="K2203" s="8" t="str">
        <f>_xlfn.IFNA(INDEX('HS Codes'!$D$2:$K4757,MATCH($B2203,'HS Codes'!$A$2:$A4757,0),MATCH(K$1,'HS Codes'!$D$1:$K$1,0)),"")</f>
        <v>6302.39.00</v>
      </c>
      <c r="L2203" s="8">
        <f>_xlfn.IFNA(INDEX('HS Codes'!$D$2:$K4757,MATCH($B2203,'HS Codes'!$A$2:$A4757,0),MATCH(L$1,'HS Codes'!$D$1:$K$1,0)),"")</f>
        <v>63029120</v>
      </c>
      <c r="M2203" s="8" t="str">
        <f>_xlfn.IFNA(INDEX('HS Codes'!$C$2:$C4757,MATCH($B2203,'HS Codes'!$A$2:$A4757,0)),"")</f>
        <v>Beach Towel - Toilet Linen 100% recycled 220 GSM/83% polyester/17% polyamide includes cotton on the packing pouch drawstring</v>
      </c>
      <c r="N2203" s="9"/>
      <c r="O2203" s="9"/>
      <c r="P2203" s="9"/>
      <c r="Q2203" s="9"/>
    </row>
    <row r="2204" spans="1:17" ht="15.75" customHeight="1">
      <c r="A2204" s="7" t="s">
        <v>2496</v>
      </c>
      <c r="B2204" s="7" t="s">
        <v>164</v>
      </c>
      <c r="C2204" s="7" t="s">
        <v>278</v>
      </c>
      <c r="D2204" s="7" t="s">
        <v>165</v>
      </c>
      <c r="E2204" s="7" t="s">
        <v>348</v>
      </c>
      <c r="F2204" s="8" t="str">
        <f>_xlfn.IFNA(INDEX('HS Codes'!$D$2:$K4758,MATCH($B2204,'HS Codes'!$A$2:$A4758,0),MATCH(F$1,'HS Codes'!$D$1:$K$1,0)),"")</f>
        <v>6302.93.2000</v>
      </c>
      <c r="G2204" s="8">
        <f>_xlfn.IFNA(INDEX('HS Codes'!$D$2:$K4758,MATCH($B2204,'HS Codes'!$A$2:$A4758,0),MATCH(G$1,'HS Codes'!$D$1:$K$1,0)),"")</f>
        <v>6302600090</v>
      </c>
      <c r="H2204" s="8" t="str">
        <f>_xlfn.IFNA(INDEX('HS Codes'!$D$2:$K4758,MATCH($B2204,'HS Codes'!$A$2:$A4758,0),MATCH(H$1,'HS Codes'!$D$1:$K$1,0)),"")</f>
        <v>6302.93.00.00</v>
      </c>
      <c r="I2204" s="8">
        <f>_xlfn.IFNA(INDEX('HS Codes'!$D$2:$K4758,MATCH($B2204,'HS Codes'!$A$2:$A4758,0),MATCH(I$1,'HS Codes'!$D$1:$K$1,0)),"")</f>
        <v>63029390</v>
      </c>
      <c r="J2204" s="8">
        <f>_xlfn.IFNA(INDEX('HS Codes'!$D$2:$K4758,MATCH($B2204,'HS Codes'!$A$2:$A4758,0),MATCH(J$1,'HS Codes'!$D$1:$K$1,0)),"")</f>
        <v>0</v>
      </c>
      <c r="K2204" s="8" t="str">
        <f>_xlfn.IFNA(INDEX('HS Codes'!$D$2:$K4758,MATCH($B2204,'HS Codes'!$A$2:$A4758,0),MATCH(K$1,'HS Codes'!$D$1:$K$1,0)),"")</f>
        <v>6302.39.00</v>
      </c>
      <c r="L2204" s="8">
        <f>_xlfn.IFNA(INDEX('HS Codes'!$D$2:$K4758,MATCH($B2204,'HS Codes'!$A$2:$A4758,0),MATCH(L$1,'HS Codes'!$D$1:$K$1,0)),"")</f>
        <v>63029120</v>
      </c>
      <c r="M2204" s="8" t="str">
        <f>_xlfn.IFNA(INDEX('HS Codes'!$C$2:$C4758,MATCH($B2204,'HS Codes'!$A$2:$A4758,0)),"")</f>
        <v>Beach Towel - Toilet Linen 100% recycled 220 GSM/83% polyester/17% polyamide includes cotton on the packing pouch drawstring</v>
      </c>
      <c r="N2204" s="9"/>
      <c r="O2204" s="9"/>
      <c r="P2204" s="9"/>
      <c r="Q2204" s="9"/>
    </row>
    <row r="2205" spans="1:17" ht="15.75" customHeight="1">
      <c r="A2205" s="7" t="s">
        <v>2497</v>
      </c>
      <c r="B2205" s="7" t="s">
        <v>164</v>
      </c>
      <c r="C2205" s="7" t="s">
        <v>278</v>
      </c>
      <c r="D2205" s="7" t="s">
        <v>165</v>
      </c>
      <c r="E2205" s="7" t="s">
        <v>348</v>
      </c>
      <c r="F2205" s="8" t="str">
        <f>_xlfn.IFNA(INDEX('HS Codes'!$D$2:$K4759,MATCH($B2205,'HS Codes'!$A$2:$A4759,0),MATCH(F$1,'HS Codes'!$D$1:$K$1,0)),"")</f>
        <v>6302.93.2000</v>
      </c>
      <c r="G2205" s="8">
        <f>_xlfn.IFNA(INDEX('HS Codes'!$D$2:$K4759,MATCH($B2205,'HS Codes'!$A$2:$A4759,0),MATCH(G$1,'HS Codes'!$D$1:$K$1,0)),"")</f>
        <v>6302600090</v>
      </c>
      <c r="H2205" s="8" t="str">
        <f>_xlfn.IFNA(INDEX('HS Codes'!$D$2:$K4759,MATCH($B2205,'HS Codes'!$A$2:$A4759,0),MATCH(H$1,'HS Codes'!$D$1:$K$1,0)),"")</f>
        <v>6302.93.00.00</v>
      </c>
      <c r="I2205" s="8">
        <f>_xlfn.IFNA(INDEX('HS Codes'!$D$2:$K4759,MATCH($B2205,'HS Codes'!$A$2:$A4759,0),MATCH(I$1,'HS Codes'!$D$1:$K$1,0)),"")</f>
        <v>63029390</v>
      </c>
      <c r="J2205" s="8">
        <f>_xlfn.IFNA(INDEX('HS Codes'!$D$2:$K4759,MATCH($B2205,'HS Codes'!$A$2:$A4759,0),MATCH(J$1,'HS Codes'!$D$1:$K$1,0)),"")</f>
        <v>0</v>
      </c>
      <c r="K2205" s="8" t="str">
        <f>_xlfn.IFNA(INDEX('HS Codes'!$D$2:$K4759,MATCH($B2205,'HS Codes'!$A$2:$A4759,0),MATCH(K$1,'HS Codes'!$D$1:$K$1,0)),"")</f>
        <v>6302.39.00</v>
      </c>
      <c r="L2205" s="8">
        <f>_xlfn.IFNA(INDEX('HS Codes'!$D$2:$K4759,MATCH($B2205,'HS Codes'!$A$2:$A4759,0),MATCH(L$1,'HS Codes'!$D$1:$K$1,0)),"")</f>
        <v>63029120</v>
      </c>
      <c r="M2205" s="8" t="str">
        <f>_xlfn.IFNA(INDEX('HS Codes'!$C$2:$C4759,MATCH($B2205,'HS Codes'!$A$2:$A4759,0)),"")</f>
        <v>Beach Towel - Toilet Linen 100% recycled 220 GSM/83% polyester/17% polyamide includes cotton on the packing pouch drawstring</v>
      </c>
      <c r="N2205" s="9"/>
      <c r="O2205" s="9"/>
      <c r="P2205" s="9"/>
      <c r="Q2205" s="9"/>
    </row>
    <row r="2206" spans="1:17" ht="15.75" customHeight="1">
      <c r="A2206" s="7" t="s">
        <v>2498</v>
      </c>
      <c r="B2206" s="7" t="s">
        <v>164</v>
      </c>
      <c r="C2206" s="7" t="s">
        <v>278</v>
      </c>
      <c r="D2206" s="7" t="s">
        <v>165</v>
      </c>
      <c r="E2206" s="7" t="s">
        <v>348</v>
      </c>
      <c r="F2206" s="8" t="str">
        <f>_xlfn.IFNA(INDEX('HS Codes'!$D$2:$K4760,MATCH($B2206,'HS Codes'!$A$2:$A4760,0),MATCH(F$1,'HS Codes'!$D$1:$K$1,0)),"")</f>
        <v>6302.93.2000</v>
      </c>
      <c r="G2206" s="8">
        <f>_xlfn.IFNA(INDEX('HS Codes'!$D$2:$K4760,MATCH($B2206,'HS Codes'!$A$2:$A4760,0),MATCH(G$1,'HS Codes'!$D$1:$K$1,0)),"")</f>
        <v>6302600090</v>
      </c>
      <c r="H2206" s="8" t="str">
        <f>_xlfn.IFNA(INDEX('HS Codes'!$D$2:$K4760,MATCH($B2206,'HS Codes'!$A$2:$A4760,0),MATCH(H$1,'HS Codes'!$D$1:$K$1,0)),"")</f>
        <v>6302.93.00.00</v>
      </c>
      <c r="I2206" s="8">
        <f>_xlfn.IFNA(INDEX('HS Codes'!$D$2:$K4760,MATCH($B2206,'HS Codes'!$A$2:$A4760,0),MATCH(I$1,'HS Codes'!$D$1:$K$1,0)),"")</f>
        <v>63029390</v>
      </c>
      <c r="J2206" s="8">
        <f>_xlfn.IFNA(INDEX('HS Codes'!$D$2:$K4760,MATCH($B2206,'HS Codes'!$A$2:$A4760,0),MATCH(J$1,'HS Codes'!$D$1:$K$1,0)),"")</f>
        <v>0</v>
      </c>
      <c r="K2206" s="8" t="str">
        <f>_xlfn.IFNA(INDEX('HS Codes'!$D$2:$K4760,MATCH($B2206,'HS Codes'!$A$2:$A4760,0),MATCH(K$1,'HS Codes'!$D$1:$K$1,0)),"")</f>
        <v>6302.39.00</v>
      </c>
      <c r="L2206" s="8">
        <f>_xlfn.IFNA(INDEX('HS Codes'!$D$2:$K4760,MATCH($B2206,'HS Codes'!$A$2:$A4760,0),MATCH(L$1,'HS Codes'!$D$1:$K$1,0)),"")</f>
        <v>63029120</v>
      </c>
      <c r="M2206" s="8" t="str">
        <f>_xlfn.IFNA(INDEX('HS Codes'!$C$2:$C4760,MATCH($B2206,'HS Codes'!$A$2:$A4760,0)),"")</f>
        <v>Beach Towel - Toilet Linen 100% recycled 220 GSM/83% polyester/17% polyamide includes cotton on the packing pouch drawstring</v>
      </c>
      <c r="N2206" s="9"/>
      <c r="O2206" s="9"/>
      <c r="P2206" s="9"/>
      <c r="Q2206" s="9"/>
    </row>
    <row r="2207" spans="1:17" ht="15.75" customHeight="1">
      <c r="A2207" s="7" t="s">
        <v>2499</v>
      </c>
      <c r="B2207" s="7" t="s">
        <v>164</v>
      </c>
      <c r="C2207" s="7" t="s">
        <v>278</v>
      </c>
      <c r="D2207" s="7" t="s">
        <v>165</v>
      </c>
      <c r="E2207" s="7" t="s">
        <v>348</v>
      </c>
      <c r="F2207" s="8" t="str">
        <f>_xlfn.IFNA(INDEX('HS Codes'!$D$2:$K4761,MATCH($B2207,'HS Codes'!$A$2:$A4761,0),MATCH(F$1,'HS Codes'!$D$1:$K$1,0)),"")</f>
        <v>6302.93.2000</v>
      </c>
      <c r="G2207" s="8">
        <f>_xlfn.IFNA(INDEX('HS Codes'!$D$2:$K4761,MATCH($B2207,'HS Codes'!$A$2:$A4761,0),MATCH(G$1,'HS Codes'!$D$1:$K$1,0)),"")</f>
        <v>6302600090</v>
      </c>
      <c r="H2207" s="8" t="str">
        <f>_xlfn.IFNA(INDEX('HS Codes'!$D$2:$K4761,MATCH($B2207,'HS Codes'!$A$2:$A4761,0),MATCH(H$1,'HS Codes'!$D$1:$K$1,0)),"")</f>
        <v>6302.93.00.00</v>
      </c>
      <c r="I2207" s="8">
        <f>_xlfn.IFNA(INDEX('HS Codes'!$D$2:$K4761,MATCH($B2207,'HS Codes'!$A$2:$A4761,0),MATCH(I$1,'HS Codes'!$D$1:$K$1,0)),"")</f>
        <v>63029390</v>
      </c>
      <c r="J2207" s="8">
        <f>_xlfn.IFNA(INDEX('HS Codes'!$D$2:$K4761,MATCH($B2207,'HS Codes'!$A$2:$A4761,0),MATCH(J$1,'HS Codes'!$D$1:$K$1,0)),"")</f>
        <v>0</v>
      </c>
      <c r="K2207" s="8" t="str">
        <f>_xlfn.IFNA(INDEX('HS Codes'!$D$2:$K4761,MATCH($B2207,'HS Codes'!$A$2:$A4761,0),MATCH(K$1,'HS Codes'!$D$1:$K$1,0)),"")</f>
        <v>6302.39.00</v>
      </c>
      <c r="L2207" s="8">
        <f>_xlfn.IFNA(INDEX('HS Codes'!$D$2:$K4761,MATCH($B2207,'HS Codes'!$A$2:$A4761,0),MATCH(L$1,'HS Codes'!$D$1:$K$1,0)),"")</f>
        <v>63029120</v>
      </c>
      <c r="M2207" s="8" t="str">
        <f>_xlfn.IFNA(INDEX('HS Codes'!$C$2:$C4761,MATCH($B2207,'HS Codes'!$A$2:$A4761,0)),"")</f>
        <v>Beach Towel - Toilet Linen 100% recycled 220 GSM/83% polyester/17% polyamide includes cotton on the packing pouch drawstring</v>
      </c>
      <c r="N2207" s="9"/>
      <c r="O2207" s="9"/>
      <c r="P2207" s="9"/>
      <c r="Q2207" s="9"/>
    </row>
    <row r="2208" spans="1:17" ht="15.75" customHeight="1">
      <c r="A2208" s="7" t="s">
        <v>2500</v>
      </c>
      <c r="B2208" s="7" t="s">
        <v>164</v>
      </c>
      <c r="C2208" s="7" t="s">
        <v>278</v>
      </c>
      <c r="D2208" s="7" t="s">
        <v>165</v>
      </c>
      <c r="E2208" s="7" t="s">
        <v>348</v>
      </c>
      <c r="F2208" s="8" t="str">
        <f>_xlfn.IFNA(INDEX('HS Codes'!$D$2:$K4762,MATCH($B2208,'HS Codes'!$A$2:$A4762,0),MATCH(F$1,'HS Codes'!$D$1:$K$1,0)),"")</f>
        <v>6302.93.2000</v>
      </c>
      <c r="G2208" s="8">
        <f>_xlfn.IFNA(INDEX('HS Codes'!$D$2:$K4762,MATCH($B2208,'HS Codes'!$A$2:$A4762,0),MATCH(G$1,'HS Codes'!$D$1:$K$1,0)),"")</f>
        <v>6302600090</v>
      </c>
      <c r="H2208" s="8" t="str">
        <f>_xlfn.IFNA(INDEX('HS Codes'!$D$2:$K4762,MATCH($B2208,'HS Codes'!$A$2:$A4762,0),MATCH(H$1,'HS Codes'!$D$1:$K$1,0)),"")</f>
        <v>6302.93.00.00</v>
      </c>
      <c r="I2208" s="8">
        <f>_xlfn.IFNA(INDEX('HS Codes'!$D$2:$K4762,MATCH($B2208,'HS Codes'!$A$2:$A4762,0),MATCH(I$1,'HS Codes'!$D$1:$K$1,0)),"")</f>
        <v>63029390</v>
      </c>
      <c r="J2208" s="8">
        <f>_xlfn.IFNA(INDEX('HS Codes'!$D$2:$K4762,MATCH($B2208,'HS Codes'!$A$2:$A4762,0),MATCH(J$1,'HS Codes'!$D$1:$K$1,0)),"")</f>
        <v>0</v>
      </c>
      <c r="K2208" s="8" t="str">
        <f>_xlfn.IFNA(INDEX('HS Codes'!$D$2:$K4762,MATCH($B2208,'HS Codes'!$A$2:$A4762,0),MATCH(K$1,'HS Codes'!$D$1:$K$1,0)),"")</f>
        <v>6302.39.00</v>
      </c>
      <c r="L2208" s="8">
        <f>_xlfn.IFNA(INDEX('HS Codes'!$D$2:$K4762,MATCH($B2208,'HS Codes'!$A$2:$A4762,0),MATCH(L$1,'HS Codes'!$D$1:$K$1,0)),"")</f>
        <v>63029120</v>
      </c>
      <c r="M2208" s="8" t="str">
        <f>_xlfn.IFNA(INDEX('HS Codes'!$C$2:$C4762,MATCH($B2208,'HS Codes'!$A$2:$A4762,0)),"")</f>
        <v>Beach Towel - Toilet Linen 100% recycled 220 GSM/83% polyester/17% polyamide includes cotton on the packing pouch drawstring</v>
      </c>
      <c r="N2208" s="9"/>
      <c r="O2208" s="9"/>
      <c r="P2208" s="9"/>
      <c r="Q2208" s="9"/>
    </row>
    <row r="2209" spans="1:17" ht="15.75" customHeight="1">
      <c r="A2209" s="7" t="s">
        <v>2501</v>
      </c>
      <c r="B2209" s="7" t="s">
        <v>164</v>
      </c>
      <c r="C2209" s="7" t="s">
        <v>278</v>
      </c>
      <c r="D2209" s="7" t="s">
        <v>165</v>
      </c>
      <c r="E2209" s="7" t="s">
        <v>348</v>
      </c>
      <c r="F2209" s="8" t="str">
        <f>_xlfn.IFNA(INDEX('HS Codes'!$D$2:$K4763,MATCH($B2209,'HS Codes'!$A$2:$A4763,0),MATCH(F$1,'HS Codes'!$D$1:$K$1,0)),"")</f>
        <v>6302.93.2000</v>
      </c>
      <c r="G2209" s="8">
        <f>_xlfn.IFNA(INDEX('HS Codes'!$D$2:$K4763,MATCH($B2209,'HS Codes'!$A$2:$A4763,0),MATCH(G$1,'HS Codes'!$D$1:$K$1,0)),"")</f>
        <v>6302600090</v>
      </c>
      <c r="H2209" s="8" t="str">
        <f>_xlfn.IFNA(INDEX('HS Codes'!$D$2:$K4763,MATCH($B2209,'HS Codes'!$A$2:$A4763,0),MATCH(H$1,'HS Codes'!$D$1:$K$1,0)),"")</f>
        <v>6302.93.00.00</v>
      </c>
      <c r="I2209" s="8">
        <f>_xlfn.IFNA(INDEX('HS Codes'!$D$2:$K4763,MATCH($B2209,'HS Codes'!$A$2:$A4763,0),MATCH(I$1,'HS Codes'!$D$1:$K$1,0)),"")</f>
        <v>63029390</v>
      </c>
      <c r="J2209" s="8">
        <f>_xlfn.IFNA(INDEX('HS Codes'!$D$2:$K4763,MATCH($B2209,'HS Codes'!$A$2:$A4763,0),MATCH(J$1,'HS Codes'!$D$1:$K$1,0)),"")</f>
        <v>0</v>
      </c>
      <c r="K2209" s="8" t="str">
        <f>_xlfn.IFNA(INDEX('HS Codes'!$D$2:$K4763,MATCH($B2209,'HS Codes'!$A$2:$A4763,0),MATCH(K$1,'HS Codes'!$D$1:$K$1,0)),"")</f>
        <v>6302.39.00</v>
      </c>
      <c r="L2209" s="8">
        <f>_xlfn.IFNA(INDEX('HS Codes'!$D$2:$K4763,MATCH($B2209,'HS Codes'!$A$2:$A4763,0),MATCH(L$1,'HS Codes'!$D$1:$K$1,0)),"")</f>
        <v>63029120</v>
      </c>
      <c r="M2209" s="8" t="str">
        <f>_xlfn.IFNA(INDEX('HS Codes'!$C$2:$C4763,MATCH($B2209,'HS Codes'!$A$2:$A4763,0)),"")</f>
        <v>Beach Towel - Toilet Linen 100% recycled 220 GSM/83% polyester/17% polyamide includes cotton on the packing pouch drawstring</v>
      </c>
      <c r="N2209" s="9"/>
      <c r="O2209" s="9"/>
      <c r="P2209" s="9"/>
      <c r="Q2209" s="9"/>
    </row>
    <row r="2210" spans="1:17" ht="15.75" customHeight="1">
      <c r="A2210" s="7" t="s">
        <v>2502</v>
      </c>
      <c r="B2210" s="7" t="s">
        <v>164</v>
      </c>
      <c r="C2210" s="7" t="s">
        <v>278</v>
      </c>
      <c r="D2210" s="7" t="s">
        <v>165</v>
      </c>
      <c r="E2210" s="7" t="s">
        <v>348</v>
      </c>
      <c r="F2210" s="8" t="str">
        <f>_xlfn.IFNA(INDEX('HS Codes'!$D$2:$K4764,MATCH($B2210,'HS Codes'!$A$2:$A4764,0),MATCH(F$1,'HS Codes'!$D$1:$K$1,0)),"")</f>
        <v>6302.93.2000</v>
      </c>
      <c r="G2210" s="8">
        <f>_xlfn.IFNA(INDEX('HS Codes'!$D$2:$K4764,MATCH($B2210,'HS Codes'!$A$2:$A4764,0),MATCH(G$1,'HS Codes'!$D$1:$K$1,0)),"")</f>
        <v>6302600090</v>
      </c>
      <c r="H2210" s="8" t="str">
        <f>_xlfn.IFNA(INDEX('HS Codes'!$D$2:$K4764,MATCH($B2210,'HS Codes'!$A$2:$A4764,0),MATCH(H$1,'HS Codes'!$D$1:$K$1,0)),"")</f>
        <v>6302.93.00.00</v>
      </c>
      <c r="I2210" s="8">
        <f>_xlfn.IFNA(INDEX('HS Codes'!$D$2:$K4764,MATCH($B2210,'HS Codes'!$A$2:$A4764,0),MATCH(I$1,'HS Codes'!$D$1:$K$1,0)),"")</f>
        <v>63029390</v>
      </c>
      <c r="J2210" s="8">
        <f>_xlfn.IFNA(INDEX('HS Codes'!$D$2:$K4764,MATCH($B2210,'HS Codes'!$A$2:$A4764,0),MATCH(J$1,'HS Codes'!$D$1:$K$1,0)),"")</f>
        <v>0</v>
      </c>
      <c r="K2210" s="8" t="str">
        <f>_xlfn.IFNA(INDEX('HS Codes'!$D$2:$K4764,MATCH($B2210,'HS Codes'!$A$2:$A4764,0),MATCH(K$1,'HS Codes'!$D$1:$K$1,0)),"")</f>
        <v>6302.39.00</v>
      </c>
      <c r="L2210" s="8">
        <f>_xlfn.IFNA(INDEX('HS Codes'!$D$2:$K4764,MATCH($B2210,'HS Codes'!$A$2:$A4764,0),MATCH(L$1,'HS Codes'!$D$1:$K$1,0)),"")</f>
        <v>63029120</v>
      </c>
      <c r="M2210" s="8" t="str">
        <f>_xlfn.IFNA(INDEX('HS Codes'!$C$2:$C4764,MATCH($B2210,'HS Codes'!$A$2:$A4764,0)),"")</f>
        <v>Beach Towel - Toilet Linen 100% recycled 220 GSM/83% polyester/17% polyamide includes cotton on the packing pouch drawstring</v>
      </c>
      <c r="N2210" s="9"/>
      <c r="O2210" s="9"/>
      <c r="P2210" s="9"/>
      <c r="Q2210" s="9"/>
    </row>
    <row r="2211" spans="1:17" ht="15.75" customHeight="1">
      <c r="A2211" s="7" t="s">
        <v>2503</v>
      </c>
      <c r="B2211" s="7" t="s">
        <v>164</v>
      </c>
      <c r="C2211" s="7" t="s">
        <v>278</v>
      </c>
      <c r="D2211" s="7" t="s">
        <v>165</v>
      </c>
      <c r="E2211" s="7" t="s">
        <v>348</v>
      </c>
      <c r="F2211" s="8" t="str">
        <f>_xlfn.IFNA(INDEX('HS Codes'!$D$2:$K4765,MATCH($B2211,'HS Codes'!$A$2:$A4765,0),MATCH(F$1,'HS Codes'!$D$1:$K$1,0)),"")</f>
        <v>6302.93.2000</v>
      </c>
      <c r="G2211" s="8">
        <f>_xlfn.IFNA(INDEX('HS Codes'!$D$2:$K4765,MATCH($B2211,'HS Codes'!$A$2:$A4765,0),MATCH(G$1,'HS Codes'!$D$1:$K$1,0)),"")</f>
        <v>6302600090</v>
      </c>
      <c r="H2211" s="8" t="str">
        <f>_xlfn.IFNA(INDEX('HS Codes'!$D$2:$K4765,MATCH($B2211,'HS Codes'!$A$2:$A4765,0),MATCH(H$1,'HS Codes'!$D$1:$K$1,0)),"")</f>
        <v>6302.93.00.00</v>
      </c>
      <c r="I2211" s="8">
        <f>_xlfn.IFNA(INDEX('HS Codes'!$D$2:$K4765,MATCH($B2211,'HS Codes'!$A$2:$A4765,0),MATCH(I$1,'HS Codes'!$D$1:$K$1,0)),"")</f>
        <v>63029390</v>
      </c>
      <c r="J2211" s="8">
        <f>_xlfn.IFNA(INDEX('HS Codes'!$D$2:$K4765,MATCH($B2211,'HS Codes'!$A$2:$A4765,0),MATCH(J$1,'HS Codes'!$D$1:$K$1,0)),"")</f>
        <v>0</v>
      </c>
      <c r="K2211" s="8" t="str">
        <f>_xlfn.IFNA(INDEX('HS Codes'!$D$2:$K4765,MATCH($B2211,'HS Codes'!$A$2:$A4765,0),MATCH(K$1,'HS Codes'!$D$1:$K$1,0)),"")</f>
        <v>6302.39.00</v>
      </c>
      <c r="L2211" s="8">
        <f>_xlfn.IFNA(INDEX('HS Codes'!$D$2:$K4765,MATCH($B2211,'HS Codes'!$A$2:$A4765,0),MATCH(L$1,'HS Codes'!$D$1:$K$1,0)),"")</f>
        <v>63029120</v>
      </c>
      <c r="M2211" s="8" t="str">
        <f>_xlfn.IFNA(INDEX('HS Codes'!$C$2:$C4765,MATCH($B2211,'HS Codes'!$A$2:$A4765,0)),"")</f>
        <v>Beach Towel - Toilet Linen 100% recycled 220 GSM/83% polyester/17% polyamide includes cotton on the packing pouch drawstring</v>
      </c>
      <c r="N2211" s="9"/>
      <c r="O2211" s="9"/>
      <c r="P2211" s="9"/>
      <c r="Q2211" s="9"/>
    </row>
    <row r="2212" spans="1:17" ht="15.75" customHeight="1">
      <c r="A2212" s="7" t="s">
        <v>2504</v>
      </c>
      <c r="B2212" s="7" t="s">
        <v>164</v>
      </c>
      <c r="C2212" s="7" t="s">
        <v>278</v>
      </c>
      <c r="D2212" s="7" t="s">
        <v>165</v>
      </c>
      <c r="E2212" s="7" t="s">
        <v>348</v>
      </c>
      <c r="F2212" s="8" t="str">
        <f>_xlfn.IFNA(INDEX('HS Codes'!$D$2:$K4766,MATCH($B2212,'HS Codes'!$A$2:$A4766,0),MATCH(F$1,'HS Codes'!$D$1:$K$1,0)),"")</f>
        <v>6302.93.2000</v>
      </c>
      <c r="G2212" s="8">
        <f>_xlfn.IFNA(INDEX('HS Codes'!$D$2:$K4766,MATCH($B2212,'HS Codes'!$A$2:$A4766,0),MATCH(G$1,'HS Codes'!$D$1:$K$1,0)),"")</f>
        <v>6302600090</v>
      </c>
      <c r="H2212" s="8" t="str">
        <f>_xlfn.IFNA(INDEX('HS Codes'!$D$2:$K4766,MATCH($B2212,'HS Codes'!$A$2:$A4766,0),MATCH(H$1,'HS Codes'!$D$1:$K$1,0)),"")</f>
        <v>6302.93.00.00</v>
      </c>
      <c r="I2212" s="8">
        <f>_xlfn.IFNA(INDEX('HS Codes'!$D$2:$K4766,MATCH($B2212,'HS Codes'!$A$2:$A4766,0),MATCH(I$1,'HS Codes'!$D$1:$K$1,0)),"")</f>
        <v>63029390</v>
      </c>
      <c r="J2212" s="8">
        <f>_xlfn.IFNA(INDEX('HS Codes'!$D$2:$K4766,MATCH($B2212,'HS Codes'!$A$2:$A4766,0),MATCH(J$1,'HS Codes'!$D$1:$K$1,0)),"")</f>
        <v>0</v>
      </c>
      <c r="K2212" s="8" t="str">
        <f>_xlfn.IFNA(INDEX('HS Codes'!$D$2:$K4766,MATCH($B2212,'HS Codes'!$A$2:$A4766,0),MATCH(K$1,'HS Codes'!$D$1:$K$1,0)),"")</f>
        <v>6302.39.00</v>
      </c>
      <c r="L2212" s="8">
        <f>_xlfn.IFNA(INDEX('HS Codes'!$D$2:$K4766,MATCH($B2212,'HS Codes'!$A$2:$A4766,0),MATCH(L$1,'HS Codes'!$D$1:$K$1,0)),"")</f>
        <v>63029120</v>
      </c>
      <c r="M2212" s="8" t="str">
        <f>_xlfn.IFNA(INDEX('HS Codes'!$C$2:$C4766,MATCH($B2212,'HS Codes'!$A$2:$A4766,0)),"")</f>
        <v>Beach Towel - Toilet Linen 100% recycled 220 GSM/83% polyester/17% polyamide includes cotton on the packing pouch drawstring</v>
      </c>
      <c r="N2212" s="9"/>
      <c r="O2212" s="9"/>
      <c r="P2212" s="9"/>
      <c r="Q2212" s="9"/>
    </row>
    <row r="2213" spans="1:17" ht="15.75" customHeight="1">
      <c r="A2213" s="7" t="s">
        <v>2505</v>
      </c>
      <c r="B2213" s="7" t="s">
        <v>164</v>
      </c>
      <c r="C2213" s="7" t="s">
        <v>278</v>
      </c>
      <c r="D2213" s="7" t="s">
        <v>165</v>
      </c>
      <c r="E2213" s="7" t="s">
        <v>348</v>
      </c>
      <c r="F2213" s="8" t="str">
        <f>_xlfn.IFNA(INDEX('HS Codes'!$D$2:$K4767,MATCH($B2213,'HS Codes'!$A$2:$A4767,0),MATCH(F$1,'HS Codes'!$D$1:$K$1,0)),"")</f>
        <v>6302.93.2000</v>
      </c>
      <c r="G2213" s="8">
        <f>_xlfn.IFNA(INDEX('HS Codes'!$D$2:$K4767,MATCH($B2213,'HS Codes'!$A$2:$A4767,0),MATCH(G$1,'HS Codes'!$D$1:$K$1,0)),"")</f>
        <v>6302600090</v>
      </c>
      <c r="H2213" s="8" t="str">
        <f>_xlfn.IFNA(INDEX('HS Codes'!$D$2:$K4767,MATCH($B2213,'HS Codes'!$A$2:$A4767,0),MATCH(H$1,'HS Codes'!$D$1:$K$1,0)),"")</f>
        <v>6302.93.00.00</v>
      </c>
      <c r="I2213" s="8">
        <f>_xlfn.IFNA(INDEX('HS Codes'!$D$2:$K4767,MATCH($B2213,'HS Codes'!$A$2:$A4767,0),MATCH(I$1,'HS Codes'!$D$1:$K$1,0)),"")</f>
        <v>63029390</v>
      </c>
      <c r="J2213" s="8">
        <f>_xlfn.IFNA(INDEX('HS Codes'!$D$2:$K4767,MATCH($B2213,'HS Codes'!$A$2:$A4767,0),MATCH(J$1,'HS Codes'!$D$1:$K$1,0)),"")</f>
        <v>0</v>
      </c>
      <c r="K2213" s="8" t="str">
        <f>_xlfn.IFNA(INDEX('HS Codes'!$D$2:$K4767,MATCH($B2213,'HS Codes'!$A$2:$A4767,0),MATCH(K$1,'HS Codes'!$D$1:$K$1,0)),"")</f>
        <v>6302.39.00</v>
      </c>
      <c r="L2213" s="8">
        <f>_xlfn.IFNA(INDEX('HS Codes'!$D$2:$K4767,MATCH($B2213,'HS Codes'!$A$2:$A4767,0),MATCH(L$1,'HS Codes'!$D$1:$K$1,0)),"")</f>
        <v>63029120</v>
      </c>
      <c r="M2213" s="8" t="str">
        <f>_xlfn.IFNA(INDEX('HS Codes'!$C$2:$C4767,MATCH($B2213,'HS Codes'!$A$2:$A4767,0)),"")</f>
        <v>Beach Towel - Toilet Linen 100% recycled 220 GSM/83% polyester/17% polyamide includes cotton on the packing pouch drawstring</v>
      </c>
      <c r="N2213" s="9"/>
      <c r="O2213" s="9"/>
      <c r="P2213" s="9"/>
      <c r="Q2213" s="9"/>
    </row>
    <row r="2214" spans="1:17" ht="15.75" customHeight="1">
      <c r="A2214" s="7" t="s">
        <v>2506</v>
      </c>
      <c r="B2214" s="7" t="s">
        <v>164</v>
      </c>
      <c r="C2214" s="7" t="s">
        <v>278</v>
      </c>
      <c r="D2214" s="7" t="s">
        <v>165</v>
      </c>
      <c r="E2214" s="7" t="s">
        <v>348</v>
      </c>
      <c r="F2214" s="8" t="str">
        <f>_xlfn.IFNA(INDEX('HS Codes'!$D$2:$K4768,MATCH($B2214,'HS Codes'!$A$2:$A4768,0),MATCH(F$1,'HS Codes'!$D$1:$K$1,0)),"")</f>
        <v>6302.93.2000</v>
      </c>
      <c r="G2214" s="8">
        <f>_xlfn.IFNA(INDEX('HS Codes'!$D$2:$K4768,MATCH($B2214,'HS Codes'!$A$2:$A4768,0),MATCH(G$1,'HS Codes'!$D$1:$K$1,0)),"")</f>
        <v>6302600090</v>
      </c>
      <c r="H2214" s="8" t="str">
        <f>_xlfn.IFNA(INDEX('HS Codes'!$D$2:$K4768,MATCH($B2214,'HS Codes'!$A$2:$A4768,0),MATCH(H$1,'HS Codes'!$D$1:$K$1,0)),"")</f>
        <v>6302.93.00.00</v>
      </c>
      <c r="I2214" s="8">
        <f>_xlfn.IFNA(INDEX('HS Codes'!$D$2:$K4768,MATCH($B2214,'HS Codes'!$A$2:$A4768,0),MATCH(I$1,'HS Codes'!$D$1:$K$1,0)),"")</f>
        <v>63029390</v>
      </c>
      <c r="J2214" s="8">
        <f>_xlfn.IFNA(INDEX('HS Codes'!$D$2:$K4768,MATCH($B2214,'HS Codes'!$A$2:$A4768,0),MATCH(J$1,'HS Codes'!$D$1:$K$1,0)),"")</f>
        <v>0</v>
      </c>
      <c r="K2214" s="8" t="str">
        <f>_xlfn.IFNA(INDEX('HS Codes'!$D$2:$K4768,MATCH($B2214,'HS Codes'!$A$2:$A4768,0),MATCH(K$1,'HS Codes'!$D$1:$K$1,0)),"")</f>
        <v>6302.39.00</v>
      </c>
      <c r="L2214" s="8">
        <f>_xlfn.IFNA(INDEX('HS Codes'!$D$2:$K4768,MATCH($B2214,'HS Codes'!$A$2:$A4768,0),MATCH(L$1,'HS Codes'!$D$1:$K$1,0)),"")</f>
        <v>63029120</v>
      </c>
      <c r="M2214" s="8" t="str">
        <f>_xlfn.IFNA(INDEX('HS Codes'!$C$2:$C4768,MATCH($B2214,'HS Codes'!$A$2:$A4768,0)),"")</f>
        <v>Beach Towel - Toilet Linen 100% recycled 220 GSM/83% polyester/17% polyamide includes cotton on the packing pouch drawstring</v>
      </c>
      <c r="N2214" s="9"/>
      <c r="O2214" s="9"/>
      <c r="P2214" s="9"/>
      <c r="Q2214" s="9"/>
    </row>
    <row r="2215" spans="1:17" ht="15.75" customHeight="1">
      <c r="A2215" s="7" t="s">
        <v>2507</v>
      </c>
      <c r="B2215" s="7" t="s">
        <v>164</v>
      </c>
      <c r="C2215" s="7" t="s">
        <v>278</v>
      </c>
      <c r="D2215" s="7" t="s">
        <v>165</v>
      </c>
      <c r="E2215" s="7" t="s">
        <v>348</v>
      </c>
      <c r="F2215" s="8" t="str">
        <f>_xlfn.IFNA(INDEX('HS Codes'!$D$2:$K4769,MATCH($B2215,'HS Codes'!$A$2:$A4769,0),MATCH(F$1,'HS Codes'!$D$1:$K$1,0)),"")</f>
        <v>6302.93.2000</v>
      </c>
      <c r="G2215" s="8">
        <f>_xlfn.IFNA(INDEX('HS Codes'!$D$2:$K4769,MATCH($B2215,'HS Codes'!$A$2:$A4769,0),MATCH(G$1,'HS Codes'!$D$1:$K$1,0)),"")</f>
        <v>6302600090</v>
      </c>
      <c r="H2215" s="8" t="str">
        <f>_xlfn.IFNA(INDEX('HS Codes'!$D$2:$K4769,MATCH($B2215,'HS Codes'!$A$2:$A4769,0),MATCH(H$1,'HS Codes'!$D$1:$K$1,0)),"")</f>
        <v>6302.93.00.00</v>
      </c>
      <c r="I2215" s="8">
        <f>_xlfn.IFNA(INDEX('HS Codes'!$D$2:$K4769,MATCH($B2215,'HS Codes'!$A$2:$A4769,0),MATCH(I$1,'HS Codes'!$D$1:$K$1,0)),"")</f>
        <v>63029390</v>
      </c>
      <c r="J2215" s="8">
        <f>_xlfn.IFNA(INDEX('HS Codes'!$D$2:$K4769,MATCH($B2215,'HS Codes'!$A$2:$A4769,0),MATCH(J$1,'HS Codes'!$D$1:$K$1,0)),"")</f>
        <v>0</v>
      </c>
      <c r="K2215" s="8" t="str">
        <f>_xlfn.IFNA(INDEX('HS Codes'!$D$2:$K4769,MATCH($B2215,'HS Codes'!$A$2:$A4769,0),MATCH(K$1,'HS Codes'!$D$1:$K$1,0)),"")</f>
        <v>6302.39.00</v>
      </c>
      <c r="L2215" s="8">
        <f>_xlfn.IFNA(INDEX('HS Codes'!$D$2:$K4769,MATCH($B2215,'HS Codes'!$A$2:$A4769,0),MATCH(L$1,'HS Codes'!$D$1:$K$1,0)),"")</f>
        <v>63029120</v>
      </c>
      <c r="M2215" s="8" t="str">
        <f>_xlfn.IFNA(INDEX('HS Codes'!$C$2:$C4769,MATCH($B2215,'HS Codes'!$A$2:$A4769,0)),"")</f>
        <v>Beach Towel - Toilet Linen 100% recycled 220 GSM/83% polyester/17% polyamide includes cotton on the packing pouch drawstring</v>
      </c>
      <c r="N2215" s="9"/>
      <c r="O2215" s="9"/>
      <c r="P2215" s="9"/>
      <c r="Q2215" s="9"/>
    </row>
    <row r="2216" spans="1:17" ht="15.75" customHeight="1">
      <c r="A2216" s="7" t="s">
        <v>2508</v>
      </c>
      <c r="B2216" s="7" t="s">
        <v>164</v>
      </c>
      <c r="C2216" s="7" t="s">
        <v>278</v>
      </c>
      <c r="D2216" s="7" t="s">
        <v>165</v>
      </c>
      <c r="E2216" s="7" t="s">
        <v>348</v>
      </c>
      <c r="F2216" s="8" t="str">
        <f>_xlfn.IFNA(INDEX('HS Codes'!$D$2:$K4770,MATCH($B2216,'HS Codes'!$A$2:$A4770,0),MATCH(F$1,'HS Codes'!$D$1:$K$1,0)),"")</f>
        <v>6302.93.2000</v>
      </c>
      <c r="G2216" s="8">
        <f>_xlfn.IFNA(INDEX('HS Codes'!$D$2:$K4770,MATCH($B2216,'HS Codes'!$A$2:$A4770,0),MATCH(G$1,'HS Codes'!$D$1:$K$1,0)),"")</f>
        <v>6302600090</v>
      </c>
      <c r="H2216" s="8" t="str">
        <f>_xlfn.IFNA(INDEX('HS Codes'!$D$2:$K4770,MATCH($B2216,'HS Codes'!$A$2:$A4770,0),MATCH(H$1,'HS Codes'!$D$1:$K$1,0)),"")</f>
        <v>6302.93.00.00</v>
      </c>
      <c r="I2216" s="8">
        <f>_xlfn.IFNA(INDEX('HS Codes'!$D$2:$K4770,MATCH($B2216,'HS Codes'!$A$2:$A4770,0),MATCH(I$1,'HS Codes'!$D$1:$K$1,0)),"")</f>
        <v>63029390</v>
      </c>
      <c r="J2216" s="8">
        <f>_xlfn.IFNA(INDEX('HS Codes'!$D$2:$K4770,MATCH($B2216,'HS Codes'!$A$2:$A4770,0),MATCH(J$1,'HS Codes'!$D$1:$K$1,0)),"")</f>
        <v>0</v>
      </c>
      <c r="K2216" s="8" t="str">
        <f>_xlfn.IFNA(INDEX('HS Codes'!$D$2:$K4770,MATCH($B2216,'HS Codes'!$A$2:$A4770,0),MATCH(K$1,'HS Codes'!$D$1:$K$1,0)),"")</f>
        <v>6302.39.00</v>
      </c>
      <c r="L2216" s="8">
        <f>_xlfn.IFNA(INDEX('HS Codes'!$D$2:$K4770,MATCH($B2216,'HS Codes'!$A$2:$A4770,0),MATCH(L$1,'HS Codes'!$D$1:$K$1,0)),"")</f>
        <v>63029120</v>
      </c>
      <c r="M2216" s="8" t="str">
        <f>_xlfn.IFNA(INDEX('HS Codes'!$C$2:$C4770,MATCH($B2216,'HS Codes'!$A$2:$A4770,0)),"")</f>
        <v>Beach Towel - Toilet Linen 100% recycled 220 GSM/83% polyester/17% polyamide includes cotton on the packing pouch drawstring</v>
      </c>
      <c r="N2216" s="9"/>
      <c r="O2216" s="9"/>
      <c r="P2216" s="9"/>
      <c r="Q2216" s="9"/>
    </row>
    <row r="2217" spans="1:17" ht="15.75" customHeight="1">
      <c r="A2217" s="7" t="s">
        <v>2509</v>
      </c>
      <c r="B2217" s="7" t="s">
        <v>164</v>
      </c>
      <c r="C2217" s="7" t="s">
        <v>278</v>
      </c>
      <c r="D2217" s="7" t="s">
        <v>165</v>
      </c>
      <c r="E2217" s="7" t="s">
        <v>348</v>
      </c>
      <c r="F2217" s="8" t="str">
        <f>_xlfn.IFNA(INDEX('HS Codes'!$D$2:$K4771,MATCH($B2217,'HS Codes'!$A$2:$A4771,0),MATCH(F$1,'HS Codes'!$D$1:$K$1,0)),"")</f>
        <v>6302.93.2000</v>
      </c>
      <c r="G2217" s="8">
        <f>_xlfn.IFNA(INDEX('HS Codes'!$D$2:$K4771,MATCH($B2217,'HS Codes'!$A$2:$A4771,0),MATCH(G$1,'HS Codes'!$D$1:$K$1,0)),"")</f>
        <v>6302600090</v>
      </c>
      <c r="H2217" s="8" t="str">
        <f>_xlfn.IFNA(INDEX('HS Codes'!$D$2:$K4771,MATCH($B2217,'HS Codes'!$A$2:$A4771,0),MATCH(H$1,'HS Codes'!$D$1:$K$1,0)),"")</f>
        <v>6302.93.00.00</v>
      </c>
      <c r="I2217" s="8">
        <f>_xlfn.IFNA(INDEX('HS Codes'!$D$2:$K4771,MATCH($B2217,'HS Codes'!$A$2:$A4771,0),MATCH(I$1,'HS Codes'!$D$1:$K$1,0)),"")</f>
        <v>63029390</v>
      </c>
      <c r="J2217" s="8">
        <f>_xlfn.IFNA(INDEX('HS Codes'!$D$2:$K4771,MATCH($B2217,'HS Codes'!$A$2:$A4771,0),MATCH(J$1,'HS Codes'!$D$1:$K$1,0)),"")</f>
        <v>0</v>
      </c>
      <c r="K2217" s="8" t="str">
        <f>_xlfn.IFNA(INDEX('HS Codes'!$D$2:$K4771,MATCH($B2217,'HS Codes'!$A$2:$A4771,0),MATCH(K$1,'HS Codes'!$D$1:$K$1,0)),"")</f>
        <v>6302.39.00</v>
      </c>
      <c r="L2217" s="8">
        <f>_xlfn.IFNA(INDEX('HS Codes'!$D$2:$K4771,MATCH($B2217,'HS Codes'!$A$2:$A4771,0),MATCH(L$1,'HS Codes'!$D$1:$K$1,0)),"")</f>
        <v>63029120</v>
      </c>
      <c r="M2217" s="8" t="str">
        <f>_xlfn.IFNA(INDEX('HS Codes'!$C$2:$C4771,MATCH($B2217,'HS Codes'!$A$2:$A4771,0)),"")</f>
        <v>Beach Towel - Toilet Linen 100% recycled 220 GSM/83% polyester/17% polyamide includes cotton on the packing pouch drawstring</v>
      </c>
      <c r="N2217" s="9"/>
      <c r="O2217" s="9"/>
      <c r="P2217" s="9"/>
      <c r="Q2217" s="9"/>
    </row>
    <row r="2218" spans="1:17" ht="15.75" customHeight="1">
      <c r="A2218" s="7" t="s">
        <v>2510</v>
      </c>
      <c r="B2218" s="7" t="s">
        <v>164</v>
      </c>
      <c r="C2218" s="7" t="s">
        <v>278</v>
      </c>
      <c r="D2218" s="7" t="s">
        <v>165</v>
      </c>
      <c r="E2218" s="7" t="s">
        <v>348</v>
      </c>
      <c r="F2218" s="8" t="str">
        <f>_xlfn.IFNA(INDEX('HS Codes'!$D$2:$K4772,MATCH($B2218,'HS Codes'!$A$2:$A4772,0),MATCH(F$1,'HS Codes'!$D$1:$K$1,0)),"")</f>
        <v>6302.93.2000</v>
      </c>
      <c r="G2218" s="8">
        <f>_xlfn.IFNA(INDEX('HS Codes'!$D$2:$K4772,MATCH($B2218,'HS Codes'!$A$2:$A4772,0),MATCH(G$1,'HS Codes'!$D$1:$K$1,0)),"")</f>
        <v>6302600090</v>
      </c>
      <c r="H2218" s="8" t="str">
        <f>_xlfn.IFNA(INDEX('HS Codes'!$D$2:$K4772,MATCH($B2218,'HS Codes'!$A$2:$A4772,0),MATCH(H$1,'HS Codes'!$D$1:$K$1,0)),"")</f>
        <v>6302.93.00.00</v>
      </c>
      <c r="I2218" s="8">
        <f>_xlfn.IFNA(INDEX('HS Codes'!$D$2:$K4772,MATCH($B2218,'HS Codes'!$A$2:$A4772,0),MATCH(I$1,'HS Codes'!$D$1:$K$1,0)),"")</f>
        <v>63029390</v>
      </c>
      <c r="J2218" s="8">
        <f>_xlfn.IFNA(INDEX('HS Codes'!$D$2:$K4772,MATCH($B2218,'HS Codes'!$A$2:$A4772,0),MATCH(J$1,'HS Codes'!$D$1:$K$1,0)),"")</f>
        <v>0</v>
      </c>
      <c r="K2218" s="8" t="str">
        <f>_xlfn.IFNA(INDEX('HS Codes'!$D$2:$K4772,MATCH($B2218,'HS Codes'!$A$2:$A4772,0),MATCH(K$1,'HS Codes'!$D$1:$K$1,0)),"")</f>
        <v>6302.39.00</v>
      </c>
      <c r="L2218" s="8">
        <f>_xlfn.IFNA(INDEX('HS Codes'!$D$2:$K4772,MATCH($B2218,'HS Codes'!$A$2:$A4772,0),MATCH(L$1,'HS Codes'!$D$1:$K$1,0)),"")</f>
        <v>63029120</v>
      </c>
      <c r="M2218" s="8" t="str">
        <f>_xlfn.IFNA(INDEX('HS Codes'!$C$2:$C4772,MATCH($B2218,'HS Codes'!$A$2:$A4772,0)),"")</f>
        <v>Beach Towel - Toilet Linen 100% recycled 220 GSM/83% polyester/17% polyamide includes cotton on the packing pouch drawstring</v>
      </c>
      <c r="N2218" s="9"/>
      <c r="O2218" s="9"/>
      <c r="P2218" s="9"/>
      <c r="Q2218" s="9"/>
    </row>
    <row r="2219" spans="1:17" ht="15.75" customHeight="1">
      <c r="A2219" s="7" t="s">
        <v>2511</v>
      </c>
      <c r="B2219" s="7" t="s">
        <v>164</v>
      </c>
      <c r="C2219" s="7" t="s">
        <v>278</v>
      </c>
      <c r="D2219" s="7" t="s">
        <v>165</v>
      </c>
      <c r="E2219" s="7" t="s">
        <v>348</v>
      </c>
      <c r="F2219" s="8" t="str">
        <f>_xlfn.IFNA(INDEX('HS Codes'!$D$2:$K4773,MATCH($B2219,'HS Codes'!$A$2:$A4773,0),MATCH(F$1,'HS Codes'!$D$1:$K$1,0)),"")</f>
        <v>6302.93.2000</v>
      </c>
      <c r="G2219" s="8">
        <f>_xlfn.IFNA(INDEX('HS Codes'!$D$2:$K4773,MATCH($B2219,'HS Codes'!$A$2:$A4773,0),MATCH(G$1,'HS Codes'!$D$1:$K$1,0)),"")</f>
        <v>6302600090</v>
      </c>
      <c r="H2219" s="8" t="str">
        <f>_xlfn.IFNA(INDEX('HS Codes'!$D$2:$K4773,MATCH($B2219,'HS Codes'!$A$2:$A4773,0),MATCH(H$1,'HS Codes'!$D$1:$K$1,0)),"")</f>
        <v>6302.93.00.00</v>
      </c>
      <c r="I2219" s="8">
        <f>_xlfn.IFNA(INDEX('HS Codes'!$D$2:$K4773,MATCH($B2219,'HS Codes'!$A$2:$A4773,0),MATCH(I$1,'HS Codes'!$D$1:$K$1,0)),"")</f>
        <v>63029390</v>
      </c>
      <c r="J2219" s="8">
        <f>_xlfn.IFNA(INDEX('HS Codes'!$D$2:$K4773,MATCH($B2219,'HS Codes'!$A$2:$A4773,0),MATCH(J$1,'HS Codes'!$D$1:$K$1,0)),"")</f>
        <v>0</v>
      </c>
      <c r="K2219" s="8" t="str">
        <f>_xlfn.IFNA(INDEX('HS Codes'!$D$2:$K4773,MATCH($B2219,'HS Codes'!$A$2:$A4773,0),MATCH(K$1,'HS Codes'!$D$1:$K$1,0)),"")</f>
        <v>6302.39.00</v>
      </c>
      <c r="L2219" s="8">
        <f>_xlfn.IFNA(INDEX('HS Codes'!$D$2:$K4773,MATCH($B2219,'HS Codes'!$A$2:$A4773,0),MATCH(L$1,'HS Codes'!$D$1:$K$1,0)),"")</f>
        <v>63029120</v>
      </c>
      <c r="M2219" s="8" t="str">
        <f>_xlfn.IFNA(INDEX('HS Codes'!$C$2:$C4773,MATCH($B2219,'HS Codes'!$A$2:$A4773,0)),"")</f>
        <v>Beach Towel - Toilet Linen 100% recycled 220 GSM/83% polyester/17% polyamide includes cotton on the packing pouch drawstring</v>
      </c>
      <c r="N2219" s="9"/>
      <c r="O2219" s="9"/>
      <c r="P2219" s="9"/>
      <c r="Q2219" s="9"/>
    </row>
    <row r="2220" spans="1:17" ht="15.75" customHeight="1">
      <c r="A2220" s="7" t="s">
        <v>2512</v>
      </c>
      <c r="B2220" s="7" t="s">
        <v>164</v>
      </c>
      <c r="C2220" s="7" t="s">
        <v>278</v>
      </c>
      <c r="D2220" s="7" t="s">
        <v>165</v>
      </c>
      <c r="E2220" s="7" t="s">
        <v>348</v>
      </c>
      <c r="F2220" s="8" t="str">
        <f>_xlfn.IFNA(INDEX('HS Codes'!$D$2:$K4774,MATCH($B2220,'HS Codes'!$A$2:$A4774,0),MATCH(F$1,'HS Codes'!$D$1:$K$1,0)),"")</f>
        <v>6302.93.2000</v>
      </c>
      <c r="G2220" s="8">
        <f>_xlfn.IFNA(INDEX('HS Codes'!$D$2:$K4774,MATCH($B2220,'HS Codes'!$A$2:$A4774,0),MATCH(G$1,'HS Codes'!$D$1:$K$1,0)),"")</f>
        <v>6302600090</v>
      </c>
      <c r="H2220" s="8" t="str">
        <f>_xlfn.IFNA(INDEX('HS Codes'!$D$2:$K4774,MATCH($B2220,'HS Codes'!$A$2:$A4774,0),MATCH(H$1,'HS Codes'!$D$1:$K$1,0)),"")</f>
        <v>6302.93.00.00</v>
      </c>
      <c r="I2220" s="8">
        <f>_xlfn.IFNA(INDEX('HS Codes'!$D$2:$K4774,MATCH($B2220,'HS Codes'!$A$2:$A4774,0),MATCH(I$1,'HS Codes'!$D$1:$K$1,0)),"")</f>
        <v>63029390</v>
      </c>
      <c r="J2220" s="8">
        <f>_xlfn.IFNA(INDEX('HS Codes'!$D$2:$K4774,MATCH($B2220,'HS Codes'!$A$2:$A4774,0),MATCH(J$1,'HS Codes'!$D$1:$K$1,0)),"")</f>
        <v>0</v>
      </c>
      <c r="K2220" s="8" t="str">
        <f>_xlfn.IFNA(INDEX('HS Codes'!$D$2:$K4774,MATCH($B2220,'HS Codes'!$A$2:$A4774,0),MATCH(K$1,'HS Codes'!$D$1:$K$1,0)),"")</f>
        <v>6302.39.00</v>
      </c>
      <c r="L2220" s="8">
        <f>_xlfn.IFNA(INDEX('HS Codes'!$D$2:$K4774,MATCH($B2220,'HS Codes'!$A$2:$A4774,0),MATCH(L$1,'HS Codes'!$D$1:$K$1,0)),"")</f>
        <v>63029120</v>
      </c>
      <c r="M2220" s="8" t="str">
        <f>_xlfn.IFNA(INDEX('HS Codes'!$C$2:$C4774,MATCH($B2220,'HS Codes'!$A$2:$A4774,0)),"")</f>
        <v>Beach Towel - Toilet Linen 100% recycled 220 GSM/83% polyester/17% polyamide includes cotton on the packing pouch drawstring</v>
      </c>
      <c r="N2220" s="9"/>
      <c r="O2220" s="9"/>
      <c r="P2220" s="9"/>
      <c r="Q2220" s="9"/>
    </row>
    <row r="2221" spans="1:17" ht="15.75" customHeight="1">
      <c r="A2221" s="7" t="s">
        <v>2513</v>
      </c>
      <c r="B2221" s="7" t="s">
        <v>164</v>
      </c>
      <c r="C2221" s="7" t="s">
        <v>278</v>
      </c>
      <c r="D2221" s="7" t="s">
        <v>165</v>
      </c>
      <c r="E2221" s="7" t="s">
        <v>348</v>
      </c>
      <c r="F2221" s="8" t="str">
        <f>_xlfn.IFNA(INDEX('HS Codes'!$D$2:$K4775,MATCH($B2221,'HS Codes'!$A$2:$A4775,0),MATCH(F$1,'HS Codes'!$D$1:$K$1,0)),"")</f>
        <v>6302.93.2000</v>
      </c>
      <c r="G2221" s="8">
        <f>_xlfn.IFNA(INDEX('HS Codes'!$D$2:$K4775,MATCH($B2221,'HS Codes'!$A$2:$A4775,0),MATCH(G$1,'HS Codes'!$D$1:$K$1,0)),"")</f>
        <v>6302600090</v>
      </c>
      <c r="H2221" s="8" t="str">
        <f>_xlfn.IFNA(INDEX('HS Codes'!$D$2:$K4775,MATCH($B2221,'HS Codes'!$A$2:$A4775,0),MATCH(H$1,'HS Codes'!$D$1:$K$1,0)),"")</f>
        <v>6302.93.00.00</v>
      </c>
      <c r="I2221" s="8">
        <f>_xlfn.IFNA(INDEX('HS Codes'!$D$2:$K4775,MATCH($B2221,'HS Codes'!$A$2:$A4775,0),MATCH(I$1,'HS Codes'!$D$1:$K$1,0)),"")</f>
        <v>63029390</v>
      </c>
      <c r="J2221" s="8">
        <f>_xlfn.IFNA(INDEX('HS Codes'!$D$2:$K4775,MATCH($B2221,'HS Codes'!$A$2:$A4775,0),MATCH(J$1,'HS Codes'!$D$1:$K$1,0)),"")</f>
        <v>0</v>
      </c>
      <c r="K2221" s="8" t="str">
        <f>_xlfn.IFNA(INDEX('HS Codes'!$D$2:$K4775,MATCH($B2221,'HS Codes'!$A$2:$A4775,0),MATCH(K$1,'HS Codes'!$D$1:$K$1,0)),"")</f>
        <v>6302.39.00</v>
      </c>
      <c r="L2221" s="8">
        <f>_xlfn.IFNA(INDEX('HS Codes'!$D$2:$K4775,MATCH($B2221,'HS Codes'!$A$2:$A4775,0),MATCH(L$1,'HS Codes'!$D$1:$K$1,0)),"")</f>
        <v>63029120</v>
      </c>
      <c r="M2221" s="8" t="str">
        <f>_xlfn.IFNA(INDEX('HS Codes'!$C$2:$C4775,MATCH($B2221,'HS Codes'!$A$2:$A4775,0)),"")</f>
        <v>Beach Towel - Toilet Linen 100% recycled 220 GSM/83% polyester/17% polyamide includes cotton on the packing pouch drawstring</v>
      </c>
      <c r="N2221" s="9"/>
      <c r="O2221" s="9"/>
      <c r="P2221" s="9"/>
      <c r="Q2221" s="9"/>
    </row>
    <row r="2222" spans="1:17" ht="15.75" customHeight="1">
      <c r="A2222" s="7" t="s">
        <v>2514</v>
      </c>
      <c r="B2222" s="7" t="s">
        <v>164</v>
      </c>
      <c r="C2222" s="7" t="s">
        <v>278</v>
      </c>
      <c r="D2222" s="7" t="s">
        <v>165</v>
      </c>
      <c r="E2222" s="7" t="s">
        <v>348</v>
      </c>
      <c r="F2222" s="8" t="str">
        <f>_xlfn.IFNA(INDEX('HS Codes'!$D$2:$K4776,MATCH($B2222,'HS Codes'!$A$2:$A4776,0),MATCH(F$1,'HS Codes'!$D$1:$K$1,0)),"")</f>
        <v>6302.93.2000</v>
      </c>
      <c r="G2222" s="8">
        <f>_xlfn.IFNA(INDEX('HS Codes'!$D$2:$K4776,MATCH($B2222,'HS Codes'!$A$2:$A4776,0),MATCH(G$1,'HS Codes'!$D$1:$K$1,0)),"")</f>
        <v>6302600090</v>
      </c>
      <c r="H2222" s="8" t="str">
        <f>_xlfn.IFNA(INDEX('HS Codes'!$D$2:$K4776,MATCH($B2222,'HS Codes'!$A$2:$A4776,0),MATCH(H$1,'HS Codes'!$D$1:$K$1,0)),"")</f>
        <v>6302.93.00.00</v>
      </c>
      <c r="I2222" s="8">
        <f>_xlfn.IFNA(INDEX('HS Codes'!$D$2:$K4776,MATCH($B2222,'HS Codes'!$A$2:$A4776,0),MATCH(I$1,'HS Codes'!$D$1:$K$1,0)),"")</f>
        <v>63029390</v>
      </c>
      <c r="J2222" s="8">
        <f>_xlfn.IFNA(INDEX('HS Codes'!$D$2:$K4776,MATCH($B2222,'HS Codes'!$A$2:$A4776,0),MATCH(J$1,'HS Codes'!$D$1:$K$1,0)),"")</f>
        <v>0</v>
      </c>
      <c r="K2222" s="8" t="str">
        <f>_xlfn.IFNA(INDEX('HS Codes'!$D$2:$K4776,MATCH($B2222,'HS Codes'!$A$2:$A4776,0),MATCH(K$1,'HS Codes'!$D$1:$K$1,0)),"")</f>
        <v>6302.39.00</v>
      </c>
      <c r="L2222" s="8">
        <f>_xlfn.IFNA(INDEX('HS Codes'!$D$2:$K4776,MATCH($B2222,'HS Codes'!$A$2:$A4776,0),MATCH(L$1,'HS Codes'!$D$1:$K$1,0)),"")</f>
        <v>63029120</v>
      </c>
      <c r="M2222" s="8" t="str">
        <f>_xlfn.IFNA(INDEX('HS Codes'!$C$2:$C4776,MATCH($B2222,'HS Codes'!$A$2:$A4776,0)),"")</f>
        <v>Beach Towel - Toilet Linen 100% recycled 220 GSM/83% polyester/17% polyamide includes cotton on the packing pouch drawstring</v>
      </c>
      <c r="N2222" s="9"/>
      <c r="O2222" s="9"/>
      <c r="P2222" s="9"/>
      <c r="Q2222" s="9"/>
    </row>
    <row r="2223" spans="1:17" ht="15.75" customHeight="1">
      <c r="A2223" s="7" t="s">
        <v>2515</v>
      </c>
      <c r="B2223" s="7" t="s">
        <v>164</v>
      </c>
      <c r="C2223" s="7" t="s">
        <v>278</v>
      </c>
      <c r="D2223" s="7" t="s">
        <v>165</v>
      </c>
      <c r="E2223" s="7" t="s">
        <v>348</v>
      </c>
      <c r="F2223" s="8" t="str">
        <f>_xlfn.IFNA(INDEX('HS Codes'!$D$2:$K4777,MATCH($B2223,'HS Codes'!$A$2:$A4777,0),MATCH(F$1,'HS Codes'!$D$1:$K$1,0)),"")</f>
        <v>6302.93.2000</v>
      </c>
      <c r="G2223" s="8">
        <f>_xlfn.IFNA(INDEX('HS Codes'!$D$2:$K4777,MATCH($B2223,'HS Codes'!$A$2:$A4777,0),MATCH(G$1,'HS Codes'!$D$1:$K$1,0)),"")</f>
        <v>6302600090</v>
      </c>
      <c r="H2223" s="8" t="str">
        <f>_xlfn.IFNA(INDEX('HS Codes'!$D$2:$K4777,MATCH($B2223,'HS Codes'!$A$2:$A4777,0),MATCH(H$1,'HS Codes'!$D$1:$K$1,0)),"")</f>
        <v>6302.93.00.00</v>
      </c>
      <c r="I2223" s="8">
        <f>_xlfn.IFNA(INDEX('HS Codes'!$D$2:$K4777,MATCH($B2223,'HS Codes'!$A$2:$A4777,0),MATCH(I$1,'HS Codes'!$D$1:$K$1,0)),"")</f>
        <v>63029390</v>
      </c>
      <c r="J2223" s="8">
        <f>_xlfn.IFNA(INDEX('HS Codes'!$D$2:$K4777,MATCH($B2223,'HS Codes'!$A$2:$A4777,0),MATCH(J$1,'HS Codes'!$D$1:$K$1,0)),"")</f>
        <v>0</v>
      </c>
      <c r="K2223" s="8" t="str">
        <f>_xlfn.IFNA(INDEX('HS Codes'!$D$2:$K4777,MATCH($B2223,'HS Codes'!$A$2:$A4777,0),MATCH(K$1,'HS Codes'!$D$1:$K$1,0)),"")</f>
        <v>6302.39.00</v>
      </c>
      <c r="L2223" s="8">
        <f>_xlfn.IFNA(INDEX('HS Codes'!$D$2:$K4777,MATCH($B2223,'HS Codes'!$A$2:$A4777,0),MATCH(L$1,'HS Codes'!$D$1:$K$1,0)),"")</f>
        <v>63029120</v>
      </c>
      <c r="M2223" s="8" t="str">
        <f>_xlfn.IFNA(INDEX('HS Codes'!$C$2:$C4777,MATCH($B2223,'HS Codes'!$A$2:$A4777,0)),"")</f>
        <v>Beach Towel - Toilet Linen 100% recycled 220 GSM/83% polyester/17% polyamide includes cotton on the packing pouch drawstring</v>
      </c>
      <c r="N2223" s="9"/>
      <c r="O2223" s="9"/>
      <c r="P2223" s="9"/>
      <c r="Q2223" s="9"/>
    </row>
    <row r="2224" spans="1:17" ht="15.75" customHeight="1">
      <c r="A2224" s="7" t="s">
        <v>2516</v>
      </c>
      <c r="B2224" s="7" t="s">
        <v>164</v>
      </c>
      <c r="C2224" s="7" t="s">
        <v>278</v>
      </c>
      <c r="D2224" s="7" t="s">
        <v>165</v>
      </c>
      <c r="E2224" s="7" t="s">
        <v>348</v>
      </c>
      <c r="F2224" s="8" t="str">
        <f>_xlfn.IFNA(INDEX('HS Codes'!$D$2:$K4778,MATCH($B2224,'HS Codes'!$A$2:$A4778,0),MATCH(F$1,'HS Codes'!$D$1:$K$1,0)),"")</f>
        <v>6302.93.2000</v>
      </c>
      <c r="G2224" s="8">
        <f>_xlfn.IFNA(INDEX('HS Codes'!$D$2:$K4778,MATCH($B2224,'HS Codes'!$A$2:$A4778,0),MATCH(G$1,'HS Codes'!$D$1:$K$1,0)),"")</f>
        <v>6302600090</v>
      </c>
      <c r="H2224" s="8" t="str">
        <f>_xlfn.IFNA(INDEX('HS Codes'!$D$2:$K4778,MATCH($B2224,'HS Codes'!$A$2:$A4778,0),MATCH(H$1,'HS Codes'!$D$1:$K$1,0)),"")</f>
        <v>6302.93.00.00</v>
      </c>
      <c r="I2224" s="8">
        <f>_xlfn.IFNA(INDEX('HS Codes'!$D$2:$K4778,MATCH($B2224,'HS Codes'!$A$2:$A4778,0),MATCH(I$1,'HS Codes'!$D$1:$K$1,0)),"")</f>
        <v>63029390</v>
      </c>
      <c r="J2224" s="8">
        <f>_xlfn.IFNA(INDEX('HS Codes'!$D$2:$K4778,MATCH($B2224,'HS Codes'!$A$2:$A4778,0),MATCH(J$1,'HS Codes'!$D$1:$K$1,0)),"")</f>
        <v>0</v>
      </c>
      <c r="K2224" s="8" t="str">
        <f>_xlfn.IFNA(INDEX('HS Codes'!$D$2:$K4778,MATCH($B2224,'HS Codes'!$A$2:$A4778,0),MATCH(K$1,'HS Codes'!$D$1:$K$1,0)),"")</f>
        <v>6302.39.00</v>
      </c>
      <c r="L2224" s="8">
        <f>_xlfn.IFNA(INDEX('HS Codes'!$D$2:$K4778,MATCH($B2224,'HS Codes'!$A$2:$A4778,0),MATCH(L$1,'HS Codes'!$D$1:$K$1,0)),"")</f>
        <v>63029120</v>
      </c>
      <c r="M2224" s="8" t="str">
        <f>_xlfn.IFNA(INDEX('HS Codes'!$C$2:$C4778,MATCH($B2224,'HS Codes'!$A$2:$A4778,0)),"")</f>
        <v>Beach Towel - Toilet Linen 100% recycled 220 GSM/83% polyester/17% polyamide includes cotton on the packing pouch drawstring</v>
      </c>
      <c r="N2224" s="9"/>
      <c r="O2224" s="9"/>
      <c r="P2224" s="9"/>
      <c r="Q2224" s="9"/>
    </row>
    <row r="2225" spans="1:17" ht="15.75" customHeight="1">
      <c r="A2225" s="7" t="s">
        <v>2517</v>
      </c>
      <c r="B2225" s="7" t="s">
        <v>164</v>
      </c>
      <c r="C2225" s="7" t="s">
        <v>278</v>
      </c>
      <c r="D2225" s="7" t="s">
        <v>165</v>
      </c>
      <c r="E2225" s="7" t="s">
        <v>348</v>
      </c>
      <c r="F2225" s="8" t="str">
        <f>_xlfn.IFNA(INDEX('HS Codes'!$D$2:$K4779,MATCH($B2225,'HS Codes'!$A$2:$A4779,0),MATCH(F$1,'HS Codes'!$D$1:$K$1,0)),"")</f>
        <v>6302.93.2000</v>
      </c>
      <c r="G2225" s="8">
        <f>_xlfn.IFNA(INDEX('HS Codes'!$D$2:$K4779,MATCH($B2225,'HS Codes'!$A$2:$A4779,0),MATCH(G$1,'HS Codes'!$D$1:$K$1,0)),"")</f>
        <v>6302600090</v>
      </c>
      <c r="H2225" s="8" t="str">
        <f>_xlfn.IFNA(INDEX('HS Codes'!$D$2:$K4779,MATCH($B2225,'HS Codes'!$A$2:$A4779,0),MATCH(H$1,'HS Codes'!$D$1:$K$1,0)),"")</f>
        <v>6302.93.00.00</v>
      </c>
      <c r="I2225" s="8">
        <f>_xlfn.IFNA(INDEX('HS Codes'!$D$2:$K4779,MATCH($B2225,'HS Codes'!$A$2:$A4779,0),MATCH(I$1,'HS Codes'!$D$1:$K$1,0)),"")</f>
        <v>63029390</v>
      </c>
      <c r="J2225" s="8">
        <f>_xlfn.IFNA(INDEX('HS Codes'!$D$2:$K4779,MATCH($B2225,'HS Codes'!$A$2:$A4779,0),MATCH(J$1,'HS Codes'!$D$1:$K$1,0)),"")</f>
        <v>0</v>
      </c>
      <c r="K2225" s="8" t="str">
        <f>_xlfn.IFNA(INDEX('HS Codes'!$D$2:$K4779,MATCH($B2225,'HS Codes'!$A$2:$A4779,0),MATCH(K$1,'HS Codes'!$D$1:$K$1,0)),"")</f>
        <v>6302.39.00</v>
      </c>
      <c r="L2225" s="8">
        <f>_xlfn.IFNA(INDEX('HS Codes'!$D$2:$K4779,MATCH($B2225,'HS Codes'!$A$2:$A4779,0),MATCH(L$1,'HS Codes'!$D$1:$K$1,0)),"")</f>
        <v>63029120</v>
      </c>
      <c r="M2225" s="8" t="str">
        <f>_xlfn.IFNA(INDEX('HS Codes'!$C$2:$C4779,MATCH($B2225,'HS Codes'!$A$2:$A4779,0)),"")</f>
        <v>Beach Towel - Toilet Linen 100% recycled 220 GSM/83% polyester/17% polyamide includes cotton on the packing pouch drawstring</v>
      </c>
      <c r="N2225" s="9"/>
      <c r="O2225" s="9"/>
      <c r="P2225" s="9"/>
      <c r="Q2225" s="9"/>
    </row>
    <row r="2226" spans="1:17" ht="15.75" customHeight="1">
      <c r="A2226" s="7" t="s">
        <v>2518</v>
      </c>
      <c r="B2226" s="7" t="s">
        <v>164</v>
      </c>
      <c r="C2226" s="7" t="s">
        <v>278</v>
      </c>
      <c r="D2226" s="7" t="s">
        <v>165</v>
      </c>
      <c r="E2226" s="7" t="s">
        <v>348</v>
      </c>
      <c r="F2226" s="8" t="str">
        <f>_xlfn.IFNA(INDEX('HS Codes'!$D$2:$K4780,MATCH($B2226,'HS Codes'!$A$2:$A4780,0),MATCH(F$1,'HS Codes'!$D$1:$K$1,0)),"")</f>
        <v>6302.93.2000</v>
      </c>
      <c r="G2226" s="8">
        <f>_xlfn.IFNA(INDEX('HS Codes'!$D$2:$K4780,MATCH($B2226,'HS Codes'!$A$2:$A4780,0),MATCH(G$1,'HS Codes'!$D$1:$K$1,0)),"")</f>
        <v>6302600090</v>
      </c>
      <c r="H2226" s="8" t="str">
        <f>_xlfn.IFNA(INDEX('HS Codes'!$D$2:$K4780,MATCH($B2226,'HS Codes'!$A$2:$A4780,0),MATCH(H$1,'HS Codes'!$D$1:$K$1,0)),"")</f>
        <v>6302.93.00.00</v>
      </c>
      <c r="I2226" s="8">
        <f>_xlfn.IFNA(INDEX('HS Codes'!$D$2:$K4780,MATCH($B2226,'HS Codes'!$A$2:$A4780,0),MATCH(I$1,'HS Codes'!$D$1:$K$1,0)),"")</f>
        <v>63029390</v>
      </c>
      <c r="J2226" s="8">
        <f>_xlfn.IFNA(INDEX('HS Codes'!$D$2:$K4780,MATCH($B2226,'HS Codes'!$A$2:$A4780,0),MATCH(J$1,'HS Codes'!$D$1:$K$1,0)),"")</f>
        <v>0</v>
      </c>
      <c r="K2226" s="8" t="str">
        <f>_xlfn.IFNA(INDEX('HS Codes'!$D$2:$K4780,MATCH($B2226,'HS Codes'!$A$2:$A4780,0),MATCH(K$1,'HS Codes'!$D$1:$K$1,0)),"")</f>
        <v>6302.39.00</v>
      </c>
      <c r="L2226" s="8">
        <f>_xlfn.IFNA(INDEX('HS Codes'!$D$2:$K4780,MATCH($B2226,'HS Codes'!$A$2:$A4780,0),MATCH(L$1,'HS Codes'!$D$1:$K$1,0)),"")</f>
        <v>63029120</v>
      </c>
      <c r="M2226" s="8" t="str">
        <f>_xlfn.IFNA(INDEX('HS Codes'!$C$2:$C4780,MATCH($B2226,'HS Codes'!$A$2:$A4780,0)),"")</f>
        <v>Beach Towel - Toilet Linen 100% recycled 220 GSM/83% polyester/17% polyamide includes cotton on the packing pouch drawstring</v>
      </c>
      <c r="N2226" s="9"/>
      <c r="O2226" s="9"/>
      <c r="P2226" s="9"/>
      <c r="Q2226" s="9"/>
    </row>
    <row r="2227" spans="1:17" ht="15.75" customHeight="1">
      <c r="A2227" s="7" t="s">
        <v>2519</v>
      </c>
      <c r="B2227" s="7" t="s">
        <v>164</v>
      </c>
      <c r="C2227" s="7" t="s">
        <v>278</v>
      </c>
      <c r="D2227" s="7" t="s">
        <v>165</v>
      </c>
      <c r="E2227" s="7" t="s">
        <v>348</v>
      </c>
      <c r="F2227" s="8" t="str">
        <f>_xlfn.IFNA(INDEX('HS Codes'!$D$2:$K4781,MATCH($B2227,'HS Codes'!$A$2:$A4781,0),MATCH(F$1,'HS Codes'!$D$1:$K$1,0)),"")</f>
        <v>6302.93.2000</v>
      </c>
      <c r="G2227" s="8">
        <f>_xlfn.IFNA(INDEX('HS Codes'!$D$2:$K4781,MATCH($B2227,'HS Codes'!$A$2:$A4781,0),MATCH(G$1,'HS Codes'!$D$1:$K$1,0)),"")</f>
        <v>6302600090</v>
      </c>
      <c r="H2227" s="8" t="str">
        <f>_xlfn.IFNA(INDEX('HS Codes'!$D$2:$K4781,MATCH($B2227,'HS Codes'!$A$2:$A4781,0),MATCH(H$1,'HS Codes'!$D$1:$K$1,0)),"")</f>
        <v>6302.93.00.00</v>
      </c>
      <c r="I2227" s="8">
        <f>_xlfn.IFNA(INDEX('HS Codes'!$D$2:$K4781,MATCH($B2227,'HS Codes'!$A$2:$A4781,0),MATCH(I$1,'HS Codes'!$D$1:$K$1,0)),"")</f>
        <v>63029390</v>
      </c>
      <c r="J2227" s="8">
        <f>_xlfn.IFNA(INDEX('HS Codes'!$D$2:$K4781,MATCH($B2227,'HS Codes'!$A$2:$A4781,0),MATCH(J$1,'HS Codes'!$D$1:$K$1,0)),"")</f>
        <v>0</v>
      </c>
      <c r="K2227" s="8" t="str">
        <f>_xlfn.IFNA(INDEX('HS Codes'!$D$2:$K4781,MATCH($B2227,'HS Codes'!$A$2:$A4781,0),MATCH(K$1,'HS Codes'!$D$1:$K$1,0)),"")</f>
        <v>6302.39.00</v>
      </c>
      <c r="L2227" s="8">
        <f>_xlfn.IFNA(INDEX('HS Codes'!$D$2:$K4781,MATCH($B2227,'HS Codes'!$A$2:$A4781,0),MATCH(L$1,'HS Codes'!$D$1:$K$1,0)),"")</f>
        <v>63029120</v>
      </c>
      <c r="M2227" s="8" t="str">
        <f>_xlfn.IFNA(INDEX('HS Codes'!$C$2:$C4781,MATCH($B2227,'HS Codes'!$A$2:$A4781,0)),"")</f>
        <v>Beach Towel - Toilet Linen 100% recycled 220 GSM/83% polyester/17% polyamide includes cotton on the packing pouch drawstring</v>
      </c>
      <c r="N2227" s="9"/>
      <c r="O2227" s="9"/>
      <c r="P2227" s="9"/>
      <c r="Q2227" s="9"/>
    </row>
    <row r="2228" spans="1:17" ht="15.75" customHeight="1">
      <c r="A2228" s="7" t="s">
        <v>2520</v>
      </c>
      <c r="B2228" s="7" t="s">
        <v>164</v>
      </c>
      <c r="C2228" s="7" t="s">
        <v>278</v>
      </c>
      <c r="D2228" s="7" t="s">
        <v>165</v>
      </c>
      <c r="E2228" s="7" t="s">
        <v>348</v>
      </c>
      <c r="F2228" s="8" t="str">
        <f>_xlfn.IFNA(INDEX('HS Codes'!$D$2:$K4782,MATCH($B2228,'HS Codes'!$A$2:$A4782,0),MATCH(F$1,'HS Codes'!$D$1:$K$1,0)),"")</f>
        <v>6302.93.2000</v>
      </c>
      <c r="G2228" s="8">
        <f>_xlfn.IFNA(INDEX('HS Codes'!$D$2:$K4782,MATCH($B2228,'HS Codes'!$A$2:$A4782,0),MATCH(G$1,'HS Codes'!$D$1:$K$1,0)),"")</f>
        <v>6302600090</v>
      </c>
      <c r="H2228" s="8" t="str">
        <f>_xlfn.IFNA(INDEX('HS Codes'!$D$2:$K4782,MATCH($B2228,'HS Codes'!$A$2:$A4782,0),MATCH(H$1,'HS Codes'!$D$1:$K$1,0)),"")</f>
        <v>6302.93.00.00</v>
      </c>
      <c r="I2228" s="8">
        <f>_xlfn.IFNA(INDEX('HS Codes'!$D$2:$K4782,MATCH($B2228,'HS Codes'!$A$2:$A4782,0),MATCH(I$1,'HS Codes'!$D$1:$K$1,0)),"")</f>
        <v>63029390</v>
      </c>
      <c r="J2228" s="8">
        <f>_xlfn.IFNA(INDEX('HS Codes'!$D$2:$K4782,MATCH($B2228,'HS Codes'!$A$2:$A4782,0),MATCH(J$1,'HS Codes'!$D$1:$K$1,0)),"")</f>
        <v>0</v>
      </c>
      <c r="K2228" s="8" t="str">
        <f>_xlfn.IFNA(INDEX('HS Codes'!$D$2:$K4782,MATCH($B2228,'HS Codes'!$A$2:$A4782,0),MATCH(K$1,'HS Codes'!$D$1:$K$1,0)),"")</f>
        <v>6302.39.00</v>
      </c>
      <c r="L2228" s="8">
        <f>_xlfn.IFNA(INDEX('HS Codes'!$D$2:$K4782,MATCH($B2228,'HS Codes'!$A$2:$A4782,0),MATCH(L$1,'HS Codes'!$D$1:$K$1,0)),"")</f>
        <v>63029120</v>
      </c>
      <c r="M2228" s="8" t="str">
        <f>_xlfn.IFNA(INDEX('HS Codes'!$C$2:$C4782,MATCH($B2228,'HS Codes'!$A$2:$A4782,0)),"")</f>
        <v>Beach Towel - Toilet Linen 100% recycled 220 GSM/83% polyester/17% polyamide includes cotton on the packing pouch drawstring</v>
      </c>
      <c r="N2228" s="9"/>
      <c r="O2228" s="9"/>
      <c r="P2228" s="9"/>
      <c r="Q2228" s="9"/>
    </row>
    <row r="2229" spans="1:17" ht="15.75" customHeight="1">
      <c r="A2229" s="7" t="s">
        <v>2521</v>
      </c>
      <c r="B2229" s="7" t="s">
        <v>164</v>
      </c>
      <c r="C2229" s="7" t="s">
        <v>278</v>
      </c>
      <c r="D2229" s="7" t="s">
        <v>165</v>
      </c>
      <c r="E2229" s="7" t="s">
        <v>348</v>
      </c>
      <c r="F2229" s="8" t="str">
        <f>_xlfn.IFNA(INDEX('HS Codes'!$D$2:$K4783,MATCH($B2229,'HS Codes'!$A$2:$A4783,0),MATCH(F$1,'HS Codes'!$D$1:$K$1,0)),"")</f>
        <v>6302.93.2000</v>
      </c>
      <c r="G2229" s="8">
        <f>_xlfn.IFNA(INDEX('HS Codes'!$D$2:$K4783,MATCH($B2229,'HS Codes'!$A$2:$A4783,0),MATCH(G$1,'HS Codes'!$D$1:$K$1,0)),"")</f>
        <v>6302600090</v>
      </c>
      <c r="H2229" s="8" t="str">
        <f>_xlfn.IFNA(INDEX('HS Codes'!$D$2:$K4783,MATCH($B2229,'HS Codes'!$A$2:$A4783,0),MATCH(H$1,'HS Codes'!$D$1:$K$1,0)),"")</f>
        <v>6302.93.00.00</v>
      </c>
      <c r="I2229" s="8">
        <f>_xlfn.IFNA(INDEX('HS Codes'!$D$2:$K4783,MATCH($B2229,'HS Codes'!$A$2:$A4783,0),MATCH(I$1,'HS Codes'!$D$1:$K$1,0)),"")</f>
        <v>63029390</v>
      </c>
      <c r="J2229" s="8">
        <f>_xlfn.IFNA(INDEX('HS Codes'!$D$2:$K4783,MATCH($B2229,'HS Codes'!$A$2:$A4783,0),MATCH(J$1,'HS Codes'!$D$1:$K$1,0)),"")</f>
        <v>0</v>
      </c>
      <c r="K2229" s="8" t="str">
        <f>_xlfn.IFNA(INDEX('HS Codes'!$D$2:$K4783,MATCH($B2229,'HS Codes'!$A$2:$A4783,0),MATCH(K$1,'HS Codes'!$D$1:$K$1,0)),"")</f>
        <v>6302.39.00</v>
      </c>
      <c r="L2229" s="8">
        <f>_xlfn.IFNA(INDEX('HS Codes'!$D$2:$K4783,MATCH($B2229,'HS Codes'!$A$2:$A4783,0),MATCH(L$1,'HS Codes'!$D$1:$K$1,0)),"")</f>
        <v>63029120</v>
      </c>
      <c r="M2229" s="8" t="str">
        <f>_xlfn.IFNA(INDEX('HS Codes'!$C$2:$C4783,MATCH($B2229,'HS Codes'!$A$2:$A4783,0)),"")</f>
        <v>Beach Towel - Toilet Linen 100% recycled 220 GSM/83% polyester/17% polyamide includes cotton on the packing pouch drawstring</v>
      </c>
      <c r="N2229" s="9"/>
      <c r="O2229" s="9"/>
      <c r="P2229" s="9"/>
      <c r="Q2229" s="9"/>
    </row>
    <row r="2230" spans="1:17" ht="15.75" customHeight="1">
      <c r="A2230" s="7" t="s">
        <v>2522</v>
      </c>
      <c r="B2230" s="7" t="s">
        <v>164</v>
      </c>
      <c r="C2230" s="7" t="s">
        <v>278</v>
      </c>
      <c r="D2230" s="7" t="s">
        <v>165</v>
      </c>
      <c r="E2230" s="7" t="s">
        <v>348</v>
      </c>
      <c r="F2230" s="8" t="str">
        <f>_xlfn.IFNA(INDEX('HS Codes'!$D$2:$K4784,MATCH($B2230,'HS Codes'!$A$2:$A4784,0),MATCH(F$1,'HS Codes'!$D$1:$K$1,0)),"")</f>
        <v>6302.93.2000</v>
      </c>
      <c r="G2230" s="8">
        <f>_xlfn.IFNA(INDEX('HS Codes'!$D$2:$K4784,MATCH($B2230,'HS Codes'!$A$2:$A4784,0),MATCH(G$1,'HS Codes'!$D$1:$K$1,0)),"")</f>
        <v>6302600090</v>
      </c>
      <c r="H2230" s="8" t="str">
        <f>_xlfn.IFNA(INDEX('HS Codes'!$D$2:$K4784,MATCH($B2230,'HS Codes'!$A$2:$A4784,0),MATCH(H$1,'HS Codes'!$D$1:$K$1,0)),"")</f>
        <v>6302.93.00.00</v>
      </c>
      <c r="I2230" s="8">
        <f>_xlfn.IFNA(INDEX('HS Codes'!$D$2:$K4784,MATCH($B2230,'HS Codes'!$A$2:$A4784,0),MATCH(I$1,'HS Codes'!$D$1:$K$1,0)),"")</f>
        <v>63029390</v>
      </c>
      <c r="J2230" s="8">
        <f>_xlfn.IFNA(INDEX('HS Codes'!$D$2:$K4784,MATCH($B2230,'HS Codes'!$A$2:$A4784,0),MATCH(J$1,'HS Codes'!$D$1:$K$1,0)),"")</f>
        <v>0</v>
      </c>
      <c r="K2230" s="8" t="str">
        <f>_xlfn.IFNA(INDEX('HS Codes'!$D$2:$K4784,MATCH($B2230,'HS Codes'!$A$2:$A4784,0),MATCH(K$1,'HS Codes'!$D$1:$K$1,0)),"")</f>
        <v>6302.39.00</v>
      </c>
      <c r="L2230" s="8">
        <f>_xlfn.IFNA(INDEX('HS Codes'!$D$2:$K4784,MATCH($B2230,'HS Codes'!$A$2:$A4784,0),MATCH(L$1,'HS Codes'!$D$1:$K$1,0)),"")</f>
        <v>63029120</v>
      </c>
      <c r="M2230" s="8" t="str">
        <f>_xlfn.IFNA(INDEX('HS Codes'!$C$2:$C4784,MATCH($B2230,'HS Codes'!$A$2:$A4784,0)),"")</f>
        <v>Beach Towel - Toilet Linen 100% recycled 220 GSM/83% polyester/17% polyamide includes cotton on the packing pouch drawstring</v>
      </c>
      <c r="N2230" s="9"/>
      <c r="O2230" s="9"/>
      <c r="P2230" s="9"/>
      <c r="Q2230" s="9"/>
    </row>
    <row r="2231" spans="1:17" ht="15.75" customHeight="1">
      <c r="A2231" s="7" t="s">
        <v>2523</v>
      </c>
      <c r="B2231" s="7" t="s">
        <v>164</v>
      </c>
      <c r="C2231" s="7" t="s">
        <v>278</v>
      </c>
      <c r="D2231" s="7" t="s">
        <v>165</v>
      </c>
      <c r="E2231" s="7" t="s">
        <v>348</v>
      </c>
      <c r="F2231" s="8" t="str">
        <f>_xlfn.IFNA(INDEX('HS Codes'!$D$2:$K4785,MATCH($B2231,'HS Codes'!$A$2:$A4785,0),MATCH(F$1,'HS Codes'!$D$1:$K$1,0)),"")</f>
        <v>6302.93.2000</v>
      </c>
      <c r="G2231" s="8">
        <f>_xlfn.IFNA(INDEX('HS Codes'!$D$2:$K4785,MATCH($B2231,'HS Codes'!$A$2:$A4785,0),MATCH(G$1,'HS Codes'!$D$1:$K$1,0)),"")</f>
        <v>6302600090</v>
      </c>
      <c r="H2231" s="8" t="str">
        <f>_xlfn.IFNA(INDEX('HS Codes'!$D$2:$K4785,MATCH($B2231,'HS Codes'!$A$2:$A4785,0),MATCH(H$1,'HS Codes'!$D$1:$K$1,0)),"")</f>
        <v>6302.93.00.00</v>
      </c>
      <c r="I2231" s="8">
        <f>_xlfn.IFNA(INDEX('HS Codes'!$D$2:$K4785,MATCH($B2231,'HS Codes'!$A$2:$A4785,0),MATCH(I$1,'HS Codes'!$D$1:$K$1,0)),"")</f>
        <v>63029390</v>
      </c>
      <c r="J2231" s="8">
        <f>_xlfn.IFNA(INDEX('HS Codes'!$D$2:$K4785,MATCH($B2231,'HS Codes'!$A$2:$A4785,0),MATCH(J$1,'HS Codes'!$D$1:$K$1,0)),"")</f>
        <v>0</v>
      </c>
      <c r="K2231" s="8" t="str">
        <f>_xlfn.IFNA(INDEX('HS Codes'!$D$2:$K4785,MATCH($B2231,'HS Codes'!$A$2:$A4785,0),MATCH(K$1,'HS Codes'!$D$1:$K$1,0)),"")</f>
        <v>6302.39.00</v>
      </c>
      <c r="L2231" s="8">
        <f>_xlfn.IFNA(INDEX('HS Codes'!$D$2:$K4785,MATCH($B2231,'HS Codes'!$A$2:$A4785,0),MATCH(L$1,'HS Codes'!$D$1:$K$1,0)),"")</f>
        <v>63029120</v>
      </c>
      <c r="M2231" s="8" t="str">
        <f>_xlfn.IFNA(INDEX('HS Codes'!$C$2:$C4785,MATCH($B2231,'HS Codes'!$A$2:$A4785,0)),"")</f>
        <v>Beach Towel - Toilet Linen 100% recycled 220 GSM/83% polyester/17% polyamide includes cotton on the packing pouch drawstring</v>
      </c>
      <c r="N2231" s="9"/>
      <c r="O2231" s="9"/>
      <c r="P2231" s="9"/>
      <c r="Q2231" s="9"/>
    </row>
    <row r="2232" spans="1:17" ht="15.75" customHeight="1">
      <c r="A2232" s="7" t="s">
        <v>2524</v>
      </c>
      <c r="B2232" s="7" t="s">
        <v>164</v>
      </c>
      <c r="C2232" s="7" t="s">
        <v>278</v>
      </c>
      <c r="D2232" s="7" t="s">
        <v>165</v>
      </c>
      <c r="E2232" s="7" t="s">
        <v>348</v>
      </c>
      <c r="F2232" s="8" t="str">
        <f>_xlfn.IFNA(INDEX('HS Codes'!$D$2:$K4786,MATCH($B2232,'HS Codes'!$A$2:$A4786,0),MATCH(F$1,'HS Codes'!$D$1:$K$1,0)),"")</f>
        <v>6302.93.2000</v>
      </c>
      <c r="G2232" s="8">
        <f>_xlfn.IFNA(INDEX('HS Codes'!$D$2:$K4786,MATCH($B2232,'HS Codes'!$A$2:$A4786,0),MATCH(G$1,'HS Codes'!$D$1:$K$1,0)),"")</f>
        <v>6302600090</v>
      </c>
      <c r="H2232" s="8" t="str">
        <f>_xlfn.IFNA(INDEX('HS Codes'!$D$2:$K4786,MATCH($B2232,'HS Codes'!$A$2:$A4786,0),MATCH(H$1,'HS Codes'!$D$1:$K$1,0)),"")</f>
        <v>6302.93.00.00</v>
      </c>
      <c r="I2232" s="8">
        <f>_xlfn.IFNA(INDEX('HS Codes'!$D$2:$K4786,MATCH($B2232,'HS Codes'!$A$2:$A4786,0),MATCH(I$1,'HS Codes'!$D$1:$K$1,0)),"")</f>
        <v>63029390</v>
      </c>
      <c r="J2232" s="8">
        <f>_xlfn.IFNA(INDEX('HS Codes'!$D$2:$K4786,MATCH($B2232,'HS Codes'!$A$2:$A4786,0),MATCH(J$1,'HS Codes'!$D$1:$K$1,0)),"")</f>
        <v>0</v>
      </c>
      <c r="K2232" s="8" t="str">
        <f>_xlfn.IFNA(INDEX('HS Codes'!$D$2:$K4786,MATCH($B2232,'HS Codes'!$A$2:$A4786,0),MATCH(K$1,'HS Codes'!$D$1:$K$1,0)),"")</f>
        <v>6302.39.00</v>
      </c>
      <c r="L2232" s="8">
        <f>_xlfn.IFNA(INDEX('HS Codes'!$D$2:$K4786,MATCH($B2232,'HS Codes'!$A$2:$A4786,0),MATCH(L$1,'HS Codes'!$D$1:$K$1,0)),"")</f>
        <v>63029120</v>
      </c>
      <c r="M2232" s="8" t="str">
        <f>_xlfn.IFNA(INDEX('HS Codes'!$C$2:$C4786,MATCH($B2232,'HS Codes'!$A$2:$A4786,0)),"")</f>
        <v>Beach Towel - Toilet Linen 100% recycled 220 GSM/83% polyester/17% polyamide includes cotton on the packing pouch drawstring</v>
      </c>
      <c r="N2232" s="9"/>
      <c r="O2232" s="9"/>
      <c r="P2232" s="9"/>
      <c r="Q2232" s="9"/>
    </row>
    <row r="2233" spans="1:17" ht="15.75" customHeight="1">
      <c r="A2233" s="7" t="s">
        <v>2525</v>
      </c>
      <c r="B2233" s="7" t="s">
        <v>164</v>
      </c>
      <c r="C2233" s="7" t="s">
        <v>278</v>
      </c>
      <c r="D2233" s="7" t="s">
        <v>165</v>
      </c>
      <c r="E2233" s="7" t="s">
        <v>348</v>
      </c>
      <c r="F2233" s="8" t="str">
        <f>_xlfn.IFNA(INDEX('HS Codes'!$D$2:$K4787,MATCH($B2233,'HS Codes'!$A$2:$A4787,0),MATCH(F$1,'HS Codes'!$D$1:$K$1,0)),"")</f>
        <v>6302.93.2000</v>
      </c>
      <c r="G2233" s="8">
        <f>_xlfn.IFNA(INDEX('HS Codes'!$D$2:$K4787,MATCH($B2233,'HS Codes'!$A$2:$A4787,0),MATCH(G$1,'HS Codes'!$D$1:$K$1,0)),"")</f>
        <v>6302600090</v>
      </c>
      <c r="H2233" s="8" t="str">
        <f>_xlfn.IFNA(INDEX('HS Codes'!$D$2:$K4787,MATCH($B2233,'HS Codes'!$A$2:$A4787,0),MATCH(H$1,'HS Codes'!$D$1:$K$1,0)),"")</f>
        <v>6302.93.00.00</v>
      </c>
      <c r="I2233" s="8">
        <f>_xlfn.IFNA(INDEX('HS Codes'!$D$2:$K4787,MATCH($B2233,'HS Codes'!$A$2:$A4787,0),MATCH(I$1,'HS Codes'!$D$1:$K$1,0)),"")</f>
        <v>63029390</v>
      </c>
      <c r="J2233" s="8">
        <f>_xlfn.IFNA(INDEX('HS Codes'!$D$2:$K4787,MATCH($B2233,'HS Codes'!$A$2:$A4787,0),MATCH(J$1,'HS Codes'!$D$1:$K$1,0)),"")</f>
        <v>0</v>
      </c>
      <c r="K2233" s="8" t="str">
        <f>_xlfn.IFNA(INDEX('HS Codes'!$D$2:$K4787,MATCH($B2233,'HS Codes'!$A$2:$A4787,0),MATCH(K$1,'HS Codes'!$D$1:$K$1,0)),"")</f>
        <v>6302.39.00</v>
      </c>
      <c r="L2233" s="8">
        <f>_xlfn.IFNA(INDEX('HS Codes'!$D$2:$K4787,MATCH($B2233,'HS Codes'!$A$2:$A4787,0),MATCH(L$1,'HS Codes'!$D$1:$K$1,0)),"")</f>
        <v>63029120</v>
      </c>
      <c r="M2233" s="8" t="str">
        <f>_xlfn.IFNA(INDEX('HS Codes'!$C$2:$C4787,MATCH($B2233,'HS Codes'!$A$2:$A4787,0)),"")</f>
        <v>Beach Towel - Toilet Linen 100% recycled 220 GSM/83% polyester/17% polyamide includes cotton on the packing pouch drawstring</v>
      </c>
      <c r="N2233" s="9"/>
      <c r="O2233" s="9"/>
      <c r="P2233" s="9"/>
      <c r="Q2233" s="9"/>
    </row>
    <row r="2234" spans="1:17" ht="15.75" customHeight="1">
      <c r="A2234" s="7" t="s">
        <v>2526</v>
      </c>
      <c r="B2234" s="7" t="s">
        <v>164</v>
      </c>
      <c r="C2234" s="7" t="s">
        <v>278</v>
      </c>
      <c r="D2234" s="7" t="s">
        <v>165</v>
      </c>
      <c r="E2234" s="7" t="s">
        <v>348</v>
      </c>
      <c r="F2234" s="8" t="str">
        <f>_xlfn.IFNA(INDEX('HS Codes'!$D$2:$K4788,MATCH($B2234,'HS Codes'!$A$2:$A4788,0),MATCH(F$1,'HS Codes'!$D$1:$K$1,0)),"")</f>
        <v>6302.93.2000</v>
      </c>
      <c r="G2234" s="8">
        <f>_xlfn.IFNA(INDEX('HS Codes'!$D$2:$K4788,MATCH($B2234,'HS Codes'!$A$2:$A4788,0),MATCH(G$1,'HS Codes'!$D$1:$K$1,0)),"")</f>
        <v>6302600090</v>
      </c>
      <c r="H2234" s="8" t="str">
        <f>_xlfn.IFNA(INDEX('HS Codes'!$D$2:$K4788,MATCH($B2234,'HS Codes'!$A$2:$A4788,0),MATCH(H$1,'HS Codes'!$D$1:$K$1,0)),"")</f>
        <v>6302.93.00.00</v>
      </c>
      <c r="I2234" s="8">
        <f>_xlfn.IFNA(INDEX('HS Codes'!$D$2:$K4788,MATCH($B2234,'HS Codes'!$A$2:$A4788,0),MATCH(I$1,'HS Codes'!$D$1:$K$1,0)),"")</f>
        <v>63029390</v>
      </c>
      <c r="J2234" s="8">
        <f>_xlfn.IFNA(INDEX('HS Codes'!$D$2:$K4788,MATCH($B2234,'HS Codes'!$A$2:$A4788,0),MATCH(J$1,'HS Codes'!$D$1:$K$1,0)),"")</f>
        <v>0</v>
      </c>
      <c r="K2234" s="8" t="str">
        <f>_xlfn.IFNA(INDEX('HS Codes'!$D$2:$K4788,MATCH($B2234,'HS Codes'!$A$2:$A4788,0),MATCH(K$1,'HS Codes'!$D$1:$K$1,0)),"")</f>
        <v>6302.39.00</v>
      </c>
      <c r="L2234" s="8">
        <f>_xlfn.IFNA(INDEX('HS Codes'!$D$2:$K4788,MATCH($B2234,'HS Codes'!$A$2:$A4788,0),MATCH(L$1,'HS Codes'!$D$1:$K$1,0)),"")</f>
        <v>63029120</v>
      </c>
      <c r="M2234" s="8" t="str">
        <f>_xlfn.IFNA(INDEX('HS Codes'!$C$2:$C4788,MATCH($B2234,'HS Codes'!$A$2:$A4788,0)),"")</f>
        <v>Beach Towel - Toilet Linen 100% recycled 220 GSM/83% polyester/17% polyamide includes cotton on the packing pouch drawstring</v>
      </c>
      <c r="N2234" s="9"/>
      <c r="O2234" s="9"/>
      <c r="P2234" s="9"/>
      <c r="Q2234" s="9"/>
    </row>
    <row r="2235" spans="1:17" ht="15.75" customHeight="1">
      <c r="A2235" s="7" t="s">
        <v>2527</v>
      </c>
      <c r="B2235" s="7" t="s">
        <v>164</v>
      </c>
      <c r="C2235" s="7" t="s">
        <v>278</v>
      </c>
      <c r="D2235" s="7" t="s">
        <v>165</v>
      </c>
      <c r="E2235" s="7" t="s">
        <v>348</v>
      </c>
      <c r="F2235" s="8" t="str">
        <f>_xlfn.IFNA(INDEX('HS Codes'!$D$2:$K4789,MATCH($B2235,'HS Codes'!$A$2:$A4789,0),MATCH(F$1,'HS Codes'!$D$1:$K$1,0)),"")</f>
        <v>6302.93.2000</v>
      </c>
      <c r="G2235" s="8">
        <f>_xlfn.IFNA(INDEX('HS Codes'!$D$2:$K4789,MATCH($B2235,'HS Codes'!$A$2:$A4789,0),MATCH(G$1,'HS Codes'!$D$1:$K$1,0)),"")</f>
        <v>6302600090</v>
      </c>
      <c r="H2235" s="8" t="str">
        <f>_xlfn.IFNA(INDEX('HS Codes'!$D$2:$K4789,MATCH($B2235,'HS Codes'!$A$2:$A4789,0),MATCH(H$1,'HS Codes'!$D$1:$K$1,0)),"")</f>
        <v>6302.93.00.00</v>
      </c>
      <c r="I2235" s="8">
        <f>_xlfn.IFNA(INDEX('HS Codes'!$D$2:$K4789,MATCH($B2235,'HS Codes'!$A$2:$A4789,0),MATCH(I$1,'HS Codes'!$D$1:$K$1,0)),"")</f>
        <v>63029390</v>
      </c>
      <c r="J2235" s="8">
        <f>_xlfn.IFNA(INDEX('HS Codes'!$D$2:$K4789,MATCH($B2235,'HS Codes'!$A$2:$A4789,0),MATCH(J$1,'HS Codes'!$D$1:$K$1,0)),"")</f>
        <v>0</v>
      </c>
      <c r="K2235" s="8" t="str">
        <f>_xlfn.IFNA(INDEX('HS Codes'!$D$2:$K4789,MATCH($B2235,'HS Codes'!$A$2:$A4789,0),MATCH(K$1,'HS Codes'!$D$1:$K$1,0)),"")</f>
        <v>6302.39.00</v>
      </c>
      <c r="L2235" s="8">
        <f>_xlfn.IFNA(INDEX('HS Codes'!$D$2:$K4789,MATCH($B2235,'HS Codes'!$A$2:$A4789,0),MATCH(L$1,'HS Codes'!$D$1:$K$1,0)),"")</f>
        <v>63029120</v>
      </c>
      <c r="M2235" s="8" t="str">
        <f>_xlfn.IFNA(INDEX('HS Codes'!$C$2:$C4789,MATCH($B2235,'HS Codes'!$A$2:$A4789,0)),"")</f>
        <v>Beach Towel - Toilet Linen 100% recycled 220 GSM/83% polyester/17% polyamide includes cotton on the packing pouch drawstring</v>
      </c>
      <c r="N2235" s="9"/>
      <c r="O2235" s="9"/>
      <c r="P2235" s="9"/>
      <c r="Q2235" s="9"/>
    </row>
    <row r="2236" spans="1:17" ht="15.75" customHeight="1">
      <c r="A2236" s="7" t="s">
        <v>2528</v>
      </c>
      <c r="B2236" s="7" t="s">
        <v>164</v>
      </c>
      <c r="C2236" s="7" t="s">
        <v>278</v>
      </c>
      <c r="D2236" s="7" t="s">
        <v>165</v>
      </c>
      <c r="E2236" s="7" t="s">
        <v>348</v>
      </c>
      <c r="F2236" s="8" t="str">
        <f>_xlfn.IFNA(INDEX('HS Codes'!$D$2:$K4790,MATCH($B2236,'HS Codes'!$A$2:$A4790,0),MATCH(F$1,'HS Codes'!$D$1:$K$1,0)),"")</f>
        <v>6302.93.2000</v>
      </c>
      <c r="G2236" s="8">
        <f>_xlfn.IFNA(INDEX('HS Codes'!$D$2:$K4790,MATCH($B2236,'HS Codes'!$A$2:$A4790,0),MATCH(G$1,'HS Codes'!$D$1:$K$1,0)),"")</f>
        <v>6302600090</v>
      </c>
      <c r="H2236" s="8" t="str">
        <f>_xlfn.IFNA(INDEX('HS Codes'!$D$2:$K4790,MATCH($B2236,'HS Codes'!$A$2:$A4790,0),MATCH(H$1,'HS Codes'!$D$1:$K$1,0)),"")</f>
        <v>6302.93.00.00</v>
      </c>
      <c r="I2236" s="8">
        <f>_xlfn.IFNA(INDEX('HS Codes'!$D$2:$K4790,MATCH($B2236,'HS Codes'!$A$2:$A4790,0),MATCH(I$1,'HS Codes'!$D$1:$K$1,0)),"")</f>
        <v>63029390</v>
      </c>
      <c r="J2236" s="8">
        <f>_xlfn.IFNA(INDEX('HS Codes'!$D$2:$K4790,MATCH($B2236,'HS Codes'!$A$2:$A4790,0),MATCH(J$1,'HS Codes'!$D$1:$K$1,0)),"")</f>
        <v>0</v>
      </c>
      <c r="K2236" s="8" t="str">
        <f>_xlfn.IFNA(INDEX('HS Codes'!$D$2:$K4790,MATCH($B2236,'HS Codes'!$A$2:$A4790,0),MATCH(K$1,'HS Codes'!$D$1:$K$1,0)),"")</f>
        <v>6302.39.00</v>
      </c>
      <c r="L2236" s="8">
        <f>_xlfn.IFNA(INDEX('HS Codes'!$D$2:$K4790,MATCH($B2236,'HS Codes'!$A$2:$A4790,0),MATCH(L$1,'HS Codes'!$D$1:$K$1,0)),"")</f>
        <v>63029120</v>
      </c>
      <c r="M2236" s="8" t="str">
        <f>_xlfn.IFNA(INDEX('HS Codes'!$C$2:$C4790,MATCH($B2236,'HS Codes'!$A$2:$A4790,0)),"")</f>
        <v>Beach Towel - Toilet Linen 100% recycled 220 GSM/83% polyester/17% polyamide includes cotton on the packing pouch drawstring</v>
      </c>
      <c r="N2236" s="9"/>
      <c r="O2236" s="9"/>
      <c r="P2236" s="9"/>
      <c r="Q2236" s="9"/>
    </row>
    <row r="2237" spans="1:17" ht="15.75" customHeight="1">
      <c r="A2237" s="7" t="s">
        <v>2529</v>
      </c>
      <c r="B2237" s="7" t="s">
        <v>164</v>
      </c>
      <c r="C2237" s="7" t="s">
        <v>278</v>
      </c>
      <c r="D2237" s="7" t="s">
        <v>165</v>
      </c>
      <c r="E2237" s="7" t="s">
        <v>348</v>
      </c>
      <c r="F2237" s="8" t="str">
        <f>_xlfn.IFNA(INDEX('HS Codes'!$D$2:$K4791,MATCH($B2237,'HS Codes'!$A$2:$A4791,0),MATCH(F$1,'HS Codes'!$D$1:$K$1,0)),"")</f>
        <v>6302.93.2000</v>
      </c>
      <c r="G2237" s="8">
        <f>_xlfn.IFNA(INDEX('HS Codes'!$D$2:$K4791,MATCH($B2237,'HS Codes'!$A$2:$A4791,0),MATCH(G$1,'HS Codes'!$D$1:$K$1,0)),"")</f>
        <v>6302600090</v>
      </c>
      <c r="H2237" s="8" t="str">
        <f>_xlfn.IFNA(INDEX('HS Codes'!$D$2:$K4791,MATCH($B2237,'HS Codes'!$A$2:$A4791,0),MATCH(H$1,'HS Codes'!$D$1:$K$1,0)),"")</f>
        <v>6302.93.00.00</v>
      </c>
      <c r="I2237" s="8">
        <f>_xlfn.IFNA(INDEX('HS Codes'!$D$2:$K4791,MATCH($B2237,'HS Codes'!$A$2:$A4791,0),MATCH(I$1,'HS Codes'!$D$1:$K$1,0)),"")</f>
        <v>63029390</v>
      </c>
      <c r="J2237" s="8">
        <f>_xlfn.IFNA(INDEX('HS Codes'!$D$2:$K4791,MATCH($B2237,'HS Codes'!$A$2:$A4791,0),MATCH(J$1,'HS Codes'!$D$1:$K$1,0)),"")</f>
        <v>0</v>
      </c>
      <c r="K2237" s="8" t="str">
        <f>_xlfn.IFNA(INDEX('HS Codes'!$D$2:$K4791,MATCH($B2237,'HS Codes'!$A$2:$A4791,0),MATCH(K$1,'HS Codes'!$D$1:$K$1,0)),"")</f>
        <v>6302.39.00</v>
      </c>
      <c r="L2237" s="8">
        <f>_xlfn.IFNA(INDEX('HS Codes'!$D$2:$K4791,MATCH($B2237,'HS Codes'!$A$2:$A4791,0),MATCH(L$1,'HS Codes'!$D$1:$K$1,0)),"")</f>
        <v>63029120</v>
      </c>
      <c r="M2237" s="8" t="str">
        <f>_xlfn.IFNA(INDEX('HS Codes'!$C$2:$C4791,MATCH($B2237,'HS Codes'!$A$2:$A4791,0)),"")</f>
        <v>Beach Towel - Toilet Linen 100% recycled 220 GSM/83% polyester/17% polyamide includes cotton on the packing pouch drawstring</v>
      </c>
      <c r="N2237" s="9"/>
      <c r="O2237" s="9"/>
      <c r="P2237" s="9"/>
      <c r="Q2237" s="9"/>
    </row>
    <row r="2238" spans="1:17" ht="15.75" customHeight="1">
      <c r="A2238" s="7" t="s">
        <v>2530</v>
      </c>
      <c r="B2238" s="7" t="s">
        <v>164</v>
      </c>
      <c r="C2238" s="7" t="s">
        <v>278</v>
      </c>
      <c r="D2238" s="7" t="s">
        <v>165</v>
      </c>
      <c r="E2238" s="7" t="s">
        <v>348</v>
      </c>
      <c r="F2238" s="8" t="str">
        <f>_xlfn.IFNA(INDEX('HS Codes'!$D$2:$K4792,MATCH($B2238,'HS Codes'!$A$2:$A4792,0),MATCH(F$1,'HS Codes'!$D$1:$K$1,0)),"")</f>
        <v>6302.93.2000</v>
      </c>
      <c r="G2238" s="8">
        <f>_xlfn.IFNA(INDEX('HS Codes'!$D$2:$K4792,MATCH($B2238,'HS Codes'!$A$2:$A4792,0),MATCH(G$1,'HS Codes'!$D$1:$K$1,0)),"")</f>
        <v>6302600090</v>
      </c>
      <c r="H2238" s="8" t="str">
        <f>_xlfn.IFNA(INDEX('HS Codes'!$D$2:$K4792,MATCH($B2238,'HS Codes'!$A$2:$A4792,0),MATCH(H$1,'HS Codes'!$D$1:$K$1,0)),"")</f>
        <v>6302.93.00.00</v>
      </c>
      <c r="I2238" s="8">
        <f>_xlfn.IFNA(INDEX('HS Codes'!$D$2:$K4792,MATCH($B2238,'HS Codes'!$A$2:$A4792,0),MATCH(I$1,'HS Codes'!$D$1:$K$1,0)),"")</f>
        <v>63029390</v>
      </c>
      <c r="J2238" s="8">
        <f>_xlfn.IFNA(INDEX('HS Codes'!$D$2:$K4792,MATCH($B2238,'HS Codes'!$A$2:$A4792,0),MATCH(J$1,'HS Codes'!$D$1:$K$1,0)),"")</f>
        <v>0</v>
      </c>
      <c r="K2238" s="8" t="str">
        <f>_xlfn.IFNA(INDEX('HS Codes'!$D$2:$K4792,MATCH($B2238,'HS Codes'!$A$2:$A4792,0),MATCH(K$1,'HS Codes'!$D$1:$K$1,0)),"")</f>
        <v>6302.39.00</v>
      </c>
      <c r="L2238" s="8">
        <f>_xlfn.IFNA(INDEX('HS Codes'!$D$2:$K4792,MATCH($B2238,'HS Codes'!$A$2:$A4792,0),MATCH(L$1,'HS Codes'!$D$1:$K$1,0)),"")</f>
        <v>63029120</v>
      </c>
      <c r="M2238" s="8" t="str">
        <f>_xlfn.IFNA(INDEX('HS Codes'!$C$2:$C4792,MATCH($B2238,'HS Codes'!$A$2:$A4792,0)),"")</f>
        <v>Beach Towel - Toilet Linen 100% recycled 220 GSM/83% polyester/17% polyamide includes cotton on the packing pouch drawstring</v>
      </c>
      <c r="N2238" s="9"/>
      <c r="O2238" s="9"/>
      <c r="P2238" s="9"/>
      <c r="Q2238" s="9"/>
    </row>
    <row r="2239" spans="1:17" ht="15.75" customHeight="1">
      <c r="A2239" s="7" t="s">
        <v>2531</v>
      </c>
      <c r="B2239" s="7" t="s">
        <v>164</v>
      </c>
      <c r="C2239" s="7" t="s">
        <v>278</v>
      </c>
      <c r="D2239" s="7" t="s">
        <v>165</v>
      </c>
      <c r="E2239" s="7" t="s">
        <v>348</v>
      </c>
      <c r="F2239" s="8" t="str">
        <f>_xlfn.IFNA(INDEX('HS Codes'!$D$2:$K4793,MATCH($B2239,'HS Codes'!$A$2:$A4793,0),MATCH(F$1,'HS Codes'!$D$1:$K$1,0)),"")</f>
        <v>6302.93.2000</v>
      </c>
      <c r="G2239" s="8">
        <f>_xlfn.IFNA(INDEX('HS Codes'!$D$2:$K4793,MATCH($B2239,'HS Codes'!$A$2:$A4793,0),MATCH(G$1,'HS Codes'!$D$1:$K$1,0)),"")</f>
        <v>6302600090</v>
      </c>
      <c r="H2239" s="8" t="str">
        <f>_xlfn.IFNA(INDEX('HS Codes'!$D$2:$K4793,MATCH($B2239,'HS Codes'!$A$2:$A4793,0),MATCH(H$1,'HS Codes'!$D$1:$K$1,0)),"")</f>
        <v>6302.93.00.00</v>
      </c>
      <c r="I2239" s="8">
        <f>_xlfn.IFNA(INDEX('HS Codes'!$D$2:$K4793,MATCH($B2239,'HS Codes'!$A$2:$A4793,0),MATCH(I$1,'HS Codes'!$D$1:$K$1,0)),"")</f>
        <v>63029390</v>
      </c>
      <c r="J2239" s="8">
        <f>_xlfn.IFNA(INDEX('HS Codes'!$D$2:$K4793,MATCH($B2239,'HS Codes'!$A$2:$A4793,0),MATCH(J$1,'HS Codes'!$D$1:$K$1,0)),"")</f>
        <v>0</v>
      </c>
      <c r="K2239" s="8" t="str">
        <f>_xlfn.IFNA(INDEX('HS Codes'!$D$2:$K4793,MATCH($B2239,'HS Codes'!$A$2:$A4793,0),MATCH(K$1,'HS Codes'!$D$1:$K$1,0)),"")</f>
        <v>6302.39.00</v>
      </c>
      <c r="L2239" s="8">
        <f>_xlfn.IFNA(INDEX('HS Codes'!$D$2:$K4793,MATCH($B2239,'HS Codes'!$A$2:$A4793,0),MATCH(L$1,'HS Codes'!$D$1:$K$1,0)),"")</f>
        <v>63029120</v>
      </c>
      <c r="M2239" s="8" t="str">
        <f>_xlfn.IFNA(INDEX('HS Codes'!$C$2:$C4793,MATCH($B2239,'HS Codes'!$A$2:$A4793,0)),"")</f>
        <v>Beach Towel - Toilet Linen 100% recycled 220 GSM/83% polyester/17% polyamide includes cotton on the packing pouch drawstring</v>
      </c>
      <c r="N2239" s="9"/>
      <c r="O2239" s="9"/>
      <c r="P2239" s="9"/>
      <c r="Q2239" s="9"/>
    </row>
    <row r="2240" spans="1:17" ht="15.75" customHeight="1">
      <c r="A2240" s="7" t="s">
        <v>2532</v>
      </c>
      <c r="B2240" s="7" t="s">
        <v>164</v>
      </c>
      <c r="C2240" s="7" t="s">
        <v>278</v>
      </c>
      <c r="D2240" s="7" t="s">
        <v>165</v>
      </c>
      <c r="E2240" s="7" t="s">
        <v>348</v>
      </c>
      <c r="F2240" s="8" t="str">
        <f>_xlfn.IFNA(INDEX('HS Codes'!$D$2:$K4794,MATCH($B2240,'HS Codes'!$A$2:$A4794,0),MATCH(F$1,'HS Codes'!$D$1:$K$1,0)),"")</f>
        <v>6302.93.2000</v>
      </c>
      <c r="G2240" s="8">
        <f>_xlfn.IFNA(INDEX('HS Codes'!$D$2:$K4794,MATCH($B2240,'HS Codes'!$A$2:$A4794,0),MATCH(G$1,'HS Codes'!$D$1:$K$1,0)),"")</f>
        <v>6302600090</v>
      </c>
      <c r="H2240" s="8" t="str">
        <f>_xlfn.IFNA(INDEX('HS Codes'!$D$2:$K4794,MATCH($B2240,'HS Codes'!$A$2:$A4794,0),MATCH(H$1,'HS Codes'!$D$1:$K$1,0)),"")</f>
        <v>6302.93.00.00</v>
      </c>
      <c r="I2240" s="8">
        <f>_xlfn.IFNA(INDEX('HS Codes'!$D$2:$K4794,MATCH($B2240,'HS Codes'!$A$2:$A4794,0),MATCH(I$1,'HS Codes'!$D$1:$K$1,0)),"")</f>
        <v>63029390</v>
      </c>
      <c r="J2240" s="8">
        <f>_xlfn.IFNA(INDEX('HS Codes'!$D$2:$K4794,MATCH($B2240,'HS Codes'!$A$2:$A4794,0),MATCH(J$1,'HS Codes'!$D$1:$K$1,0)),"")</f>
        <v>0</v>
      </c>
      <c r="K2240" s="8" t="str">
        <f>_xlfn.IFNA(INDEX('HS Codes'!$D$2:$K4794,MATCH($B2240,'HS Codes'!$A$2:$A4794,0),MATCH(K$1,'HS Codes'!$D$1:$K$1,0)),"")</f>
        <v>6302.39.00</v>
      </c>
      <c r="L2240" s="8">
        <f>_xlfn.IFNA(INDEX('HS Codes'!$D$2:$K4794,MATCH($B2240,'HS Codes'!$A$2:$A4794,0),MATCH(L$1,'HS Codes'!$D$1:$K$1,0)),"")</f>
        <v>63029120</v>
      </c>
      <c r="M2240" s="8" t="str">
        <f>_xlfn.IFNA(INDEX('HS Codes'!$C$2:$C4794,MATCH($B2240,'HS Codes'!$A$2:$A4794,0)),"")</f>
        <v>Beach Towel - Toilet Linen 100% recycled 220 GSM/83% polyester/17% polyamide includes cotton on the packing pouch drawstring</v>
      </c>
      <c r="N2240" s="9"/>
      <c r="O2240" s="9"/>
      <c r="P2240" s="9"/>
      <c r="Q2240" s="9"/>
    </row>
    <row r="2241" spans="1:17" ht="15.75" customHeight="1">
      <c r="A2241" s="7" t="s">
        <v>2533</v>
      </c>
      <c r="B2241" s="7" t="s">
        <v>164</v>
      </c>
      <c r="C2241" s="7" t="s">
        <v>278</v>
      </c>
      <c r="D2241" s="7" t="s">
        <v>165</v>
      </c>
      <c r="E2241" s="7" t="s">
        <v>348</v>
      </c>
      <c r="F2241" s="8" t="str">
        <f>_xlfn.IFNA(INDEX('HS Codes'!$D$2:$K4795,MATCH($B2241,'HS Codes'!$A$2:$A4795,0),MATCH(F$1,'HS Codes'!$D$1:$K$1,0)),"")</f>
        <v>6302.93.2000</v>
      </c>
      <c r="G2241" s="8">
        <f>_xlfn.IFNA(INDEX('HS Codes'!$D$2:$K4795,MATCH($B2241,'HS Codes'!$A$2:$A4795,0),MATCH(G$1,'HS Codes'!$D$1:$K$1,0)),"")</f>
        <v>6302600090</v>
      </c>
      <c r="H2241" s="8" t="str">
        <f>_xlfn.IFNA(INDEX('HS Codes'!$D$2:$K4795,MATCH($B2241,'HS Codes'!$A$2:$A4795,0),MATCH(H$1,'HS Codes'!$D$1:$K$1,0)),"")</f>
        <v>6302.93.00.00</v>
      </c>
      <c r="I2241" s="8">
        <f>_xlfn.IFNA(INDEX('HS Codes'!$D$2:$K4795,MATCH($B2241,'HS Codes'!$A$2:$A4795,0),MATCH(I$1,'HS Codes'!$D$1:$K$1,0)),"")</f>
        <v>63029390</v>
      </c>
      <c r="J2241" s="8">
        <f>_xlfn.IFNA(INDEX('HS Codes'!$D$2:$K4795,MATCH($B2241,'HS Codes'!$A$2:$A4795,0),MATCH(J$1,'HS Codes'!$D$1:$K$1,0)),"")</f>
        <v>0</v>
      </c>
      <c r="K2241" s="8" t="str">
        <f>_xlfn.IFNA(INDEX('HS Codes'!$D$2:$K4795,MATCH($B2241,'HS Codes'!$A$2:$A4795,0),MATCH(K$1,'HS Codes'!$D$1:$K$1,0)),"")</f>
        <v>6302.39.00</v>
      </c>
      <c r="L2241" s="8">
        <f>_xlfn.IFNA(INDEX('HS Codes'!$D$2:$K4795,MATCH($B2241,'HS Codes'!$A$2:$A4795,0),MATCH(L$1,'HS Codes'!$D$1:$K$1,0)),"")</f>
        <v>63029120</v>
      </c>
      <c r="M2241" s="8" t="str">
        <f>_xlfn.IFNA(INDEX('HS Codes'!$C$2:$C4795,MATCH($B2241,'HS Codes'!$A$2:$A4795,0)),"")</f>
        <v>Beach Towel - Toilet Linen 100% recycled 220 GSM/83% polyester/17% polyamide includes cotton on the packing pouch drawstring</v>
      </c>
      <c r="N2241" s="9"/>
      <c r="O2241" s="9"/>
      <c r="P2241" s="9"/>
      <c r="Q2241" s="9"/>
    </row>
    <row r="2242" spans="1:17" ht="15.75" customHeight="1">
      <c r="A2242" s="7" t="s">
        <v>2534</v>
      </c>
      <c r="B2242" s="7" t="s">
        <v>164</v>
      </c>
      <c r="C2242" s="7" t="s">
        <v>278</v>
      </c>
      <c r="D2242" s="7" t="s">
        <v>165</v>
      </c>
      <c r="E2242" s="7" t="s">
        <v>348</v>
      </c>
      <c r="F2242" s="8" t="str">
        <f>_xlfn.IFNA(INDEX('HS Codes'!$D$2:$K4796,MATCH($B2242,'HS Codes'!$A$2:$A4796,0),MATCH(F$1,'HS Codes'!$D$1:$K$1,0)),"")</f>
        <v>6302.93.2000</v>
      </c>
      <c r="G2242" s="8">
        <f>_xlfn.IFNA(INDEX('HS Codes'!$D$2:$K4796,MATCH($B2242,'HS Codes'!$A$2:$A4796,0),MATCH(G$1,'HS Codes'!$D$1:$K$1,0)),"")</f>
        <v>6302600090</v>
      </c>
      <c r="H2242" s="8" t="str">
        <f>_xlfn.IFNA(INDEX('HS Codes'!$D$2:$K4796,MATCH($B2242,'HS Codes'!$A$2:$A4796,0),MATCH(H$1,'HS Codes'!$D$1:$K$1,0)),"")</f>
        <v>6302.93.00.00</v>
      </c>
      <c r="I2242" s="8">
        <f>_xlfn.IFNA(INDEX('HS Codes'!$D$2:$K4796,MATCH($B2242,'HS Codes'!$A$2:$A4796,0),MATCH(I$1,'HS Codes'!$D$1:$K$1,0)),"")</f>
        <v>63029390</v>
      </c>
      <c r="J2242" s="8">
        <f>_xlfn.IFNA(INDEX('HS Codes'!$D$2:$K4796,MATCH($B2242,'HS Codes'!$A$2:$A4796,0),MATCH(J$1,'HS Codes'!$D$1:$K$1,0)),"")</f>
        <v>0</v>
      </c>
      <c r="K2242" s="8" t="str">
        <f>_xlfn.IFNA(INDEX('HS Codes'!$D$2:$K4796,MATCH($B2242,'HS Codes'!$A$2:$A4796,0),MATCH(K$1,'HS Codes'!$D$1:$K$1,0)),"")</f>
        <v>6302.39.00</v>
      </c>
      <c r="L2242" s="8">
        <f>_xlfn.IFNA(INDEX('HS Codes'!$D$2:$K4796,MATCH($B2242,'HS Codes'!$A$2:$A4796,0),MATCH(L$1,'HS Codes'!$D$1:$K$1,0)),"")</f>
        <v>63029120</v>
      </c>
      <c r="M2242" s="8" t="str">
        <f>_xlfn.IFNA(INDEX('HS Codes'!$C$2:$C4796,MATCH($B2242,'HS Codes'!$A$2:$A4796,0)),"")</f>
        <v>Beach Towel - Toilet Linen 100% recycled 220 GSM/83% polyester/17% polyamide includes cotton on the packing pouch drawstring</v>
      </c>
      <c r="N2242" s="9"/>
      <c r="O2242" s="9"/>
      <c r="P2242" s="9"/>
      <c r="Q2242" s="9"/>
    </row>
    <row r="2243" spans="1:17" ht="15.75" customHeight="1">
      <c r="A2243" s="7" t="s">
        <v>2535</v>
      </c>
      <c r="B2243" s="7" t="s">
        <v>164</v>
      </c>
      <c r="C2243" s="7" t="s">
        <v>278</v>
      </c>
      <c r="D2243" s="7" t="s">
        <v>165</v>
      </c>
      <c r="E2243" s="7" t="s">
        <v>348</v>
      </c>
      <c r="F2243" s="8" t="str">
        <f>_xlfn.IFNA(INDEX('HS Codes'!$D$2:$K4797,MATCH($B2243,'HS Codes'!$A$2:$A4797,0),MATCH(F$1,'HS Codes'!$D$1:$K$1,0)),"")</f>
        <v>6302.93.2000</v>
      </c>
      <c r="G2243" s="8">
        <f>_xlfn.IFNA(INDEX('HS Codes'!$D$2:$K4797,MATCH($B2243,'HS Codes'!$A$2:$A4797,0),MATCH(G$1,'HS Codes'!$D$1:$K$1,0)),"")</f>
        <v>6302600090</v>
      </c>
      <c r="H2243" s="8" t="str">
        <f>_xlfn.IFNA(INDEX('HS Codes'!$D$2:$K4797,MATCH($B2243,'HS Codes'!$A$2:$A4797,0),MATCH(H$1,'HS Codes'!$D$1:$K$1,0)),"")</f>
        <v>6302.93.00.00</v>
      </c>
      <c r="I2243" s="8">
        <f>_xlfn.IFNA(INDEX('HS Codes'!$D$2:$K4797,MATCH($B2243,'HS Codes'!$A$2:$A4797,0),MATCH(I$1,'HS Codes'!$D$1:$K$1,0)),"")</f>
        <v>63029390</v>
      </c>
      <c r="J2243" s="8">
        <f>_xlfn.IFNA(INDEX('HS Codes'!$D$2:$K4797,MATCH($B2243,'HS Codes'!$A$2:$A4797,0),MATCH(J$1,'HS Codes'!$D$1:$K$1,0)),"")</f>
        <v>0</v>
      </c>
      <c r="K2243" s="8" t="str">
        <f>_xlfn.IFNA(INDEX('HS Codes'!$D$2:$K4797,MATCH($B2243,'HS Codes'!$A$2:$A4797,0),MATCH(K$1,'HS Codes'!$D$1:$K$1,0)),"")</f>
        <v>6302.39.00</v>
      </c>
      <c r="L2243" s="8">
        <f>_xlfn.IFNA(INDEX('HS Codes'!$D$2:$K4797,MATCH($B2243,'HS Codes'!$A$2:$A4797,0),MATCH(L$1,'HS Codes'!$D$1:$K$1,0)),"")</f>
        <v>63029120</v>
      </c>
      <c r="M2243" s="8" t="str">
        <f>_xlfn.IFNA(INDEX('HS Codes'!$C$2:$C4797,MATCH($B2243,'HS Codes'!$A$2:$A4797,0)),"")</f>
        <v>Beach Towel - Toilet Linen 100% recycled 220 GSM/83% polyester/17% polyamide includes cotton on the packing pouch drawstring</v>
      </c>
      <c r="N2243" s="9"/>
      <c r="O2243" s="9"/>
      <c r="P2243" s="9"/>
      <c r="Q2243" s="9"/>
    </row>
    <row r="2244" spans="1:17" ht="15.75" customHeight="1">
      <c r="A2244" s="7" t="s">
        <v>2536</v>
      </c>
      <c r="B2244" s="7" t="s">
        <v>164</v>
      </c>
      <c r="C2244" s="7" t="s">
        <v>278</v>
      </c>
      <c r="D2244" s="7" t="s">
        <v>165</v>
      </c>
      <c r="E2244" s="7" t="s">
        <v>348</v>
      </c>
      <c r="F2244" s="8" t="str">
        <f>_xlfn.IFNA(INDEX('HS Codes'!$D$2:$K4798,MATCH($B2244,'HS Codes'!$A$2:$A4798,0),MATCH(F$1,'HS Codes'!$D$1:$K$1,0)),"")</f>
        <v>6302.93.2000</v>
      </c>
      <c r="G2244" s="8">
        <f>_xlfn.IFNA(INDEX('HS Codes'!$D$2:$K4798,MATCH($B2244,'HS Codes'!$A$2:$A4798,0),MATCH(G$1,'HS Codes'!$D$1:$K$1,0)),"")</f>
        <v>6302600090</v>
      </c>
      <c r="H2244" s="8" t="str">
        <f>_xlfn.IFNA(INDEX('HS Codes'!$D$2:$K4798,MATCH($B2244,'HS Codes'!$A$2:$A4798,0),MATCH(H$1,'HS Codes'!$D$1:$K$1,0)),"")</f>
        <v>6302.93.00.00</v>
      </c>
      <c r="I2244" s="8">
        <f>_xlfn.IFNA(INDEX('HS Codes'!$D$2:$K4798,MATCH($B2244,'HS Codes'!$A$2:$A4798,0),MATCH(I$1,'HS Codes'!$D$1:$K$1,0)),"")</f>
        <v>63029390</v>
      </c>
      <c r="J2244" s="8">
        <f>_xlfn.IFNA(INDEX('HS Codes'!$D$2:$K4798,MATCH($B2244,'HS Codes'!$A$2:$A4798,0),MATCH(J$1,'HS Codes'!$D$1:$K$1,0)),"")</f>
        <v>0</v>
      </c>
      <c r="K2244" s="8" t="str">
        <f>_xlfn.IFNA(INDEX('HS Codes'!$D$2:$K4798,MATCH($B2244,'HS Codes'!$A$2:$A4798,0),MATCH(K$1,'HS Codes'!$D$1:$K$1,0)),"")</f>
        <v>6302.39.00</v>
      </c>
      <c r="L2244" s="8">
        <f>_xlfn.IFNA(INDEX('HS Codes'!$D$2:$K4798,MATCH($B2244,'HS Codes'!$A$2:$A4798,0),MATCH(L$1,'HS Codes'!$D$1:$K$1,0)),"")</f>
        <v>63029120</v>
      </c>
      <c r="M2244" s="8" t="str">
        <f>_xlfn.IFNA(INDEX('HS Codes'!$C$2:$C4798,MATCH($B2244,'HS Codes'!$A$2:$A4798,0)),"")</f>
        <v>Beach Towel - Toilet Linen 100% recycled 220 GSM/83% polyester/17% polyamide includes cotton on the packing pouch drawstring</v>
      </c>
      <c r="N2244" s="9"/>
      <c r="O2244" s="9"/>
      <c r="P2244" s="9"/>
      <c r="Q2244" s="9"/>
    </row>
    <row r="2245" spans="1:17" ht="15.75" customHeight="1">
      <c r="A2245" s="7" t="s">
        <v>2537</v>
      </c>
      <c r="B2245" s="7" t="s">
        <v>164</v>
      </c>
      <c r="C2245" s="7" t="s">
        <v>278</v>
      </c>
      <c r="D2245" s="7" t="s">
        <v>165</v>
      </c>
      <c r="E2245" s="7" t="s">
        <v>348</v>
      </c>
      <c r="F2245" s="8" t="str">
        <f>_xlfn.IFNA(INDEX('HS Codes'!$D$2:$K4799,MATCH($B2245,'HS Codes'!$A$2:$A4799,0),MATCH(F$1,'HS Codes'!$D$1:$K$1,0)),"")</f>
        <v>6302.93.2000</v>
      </c>
      <c r="G2245" s="8">
        <f>_xlfn.IFNA(INDEX('HS Codes'!$D$2:$K4799,MATCH($B2245,'HS Codes'!$A$2:$A4799,0),MATCH(G$1,'HS Codes'!$D$1:$K$1,0)),"")</f>
        <v>6302600090</v>
      </c>
      <c r="H2245" s="8" t="str">
        <f>_xlfn.IFNA(INDEX('HS Codes'!$D$2:$K4799,MATCH($B2245,'HS Codes'!$A$2:$A4799,0),MATCH(H$1,'HS Codes'!$D$1:$K$1,0)),"")</f>
        <v>6302.93.00.00</v>
      </c>
      <c r="I2245" s="8">
        <f>_xlfn.IFNA(INDEX('HS Codes'!$D$2:$K4799,MATCH($B2245,'HS Codes'!$A$2:$A4799,0),MATCH(I$1,'HS Codes'!$D$1:$K$1,0)),"")</f>
        <v>63029390</v>
      </c>
      <c r="J2245" s="8">
        <f>_xlfn.IFNA(INDEX('HS Codes'!$D$2:$K4799,MATCH($B2245,'HS Codes'!$A$2:$A4799,0),MATCH(J$1,'HS Codes'!$D$1:$K$1,0)),"")</f>
        <v>0</v>
      </c>
      <c r="K2245" s="8" t="str">
        <f>_xlfn.IFNA(INDEX('HS Codes'!$D$2:$K4799,MATCH($B2245,'HS Codes'!$A$2:$A4799,0),MATCH(K$1,'HS Codes'!$D$1:$K$1,0)),"")</f>
        <v>6302.39.00</v>
      </c>
      <c r="L2245" s="8">
        <f>_xlfn.IFNA(INDEX('HS Codes'!$D$2:$K4799,MATCH($B2245,'HS Codes'!$A$2:$A4799,0),MATCH(L$1,'HS Codes'!$D$1:$K$1,0)),"")</f>
        <v>63029120</v>
      </c>
      <c r="M2245" s="8" t="str">
        <f>_xlfn.IFNA(INDEX('HS Codes'!$C$2:$C4799,MATCH($B2245,'HS Codes'!$A$2:$A4799,0)),"")</f>
        <v>Beach Towel - Toilet Linen 100% recycled 220 GSM/83% polyester/17% polyamide includes cotton on the packing pouch drawstring</v>
      </c>
      <c r="N2245" s="9"/>
      <c r="O2245" s="9"/>
      <c r="P2245" s="9"/>
      <c r="Q2245" s="9"/>
    </row>
    <row r="2246" spans="1:17" ht="15.75" customHeight="1">
      <c r="A2246" s="7" t="s">
        <v>2538</v>
      </c>
      <c r="B2246" s="7" t="s">
        <v>164</v>
      </c>
      <c r="C2246" s="7" t="s">
        <v>278</v>
      </c>
      <c r="D2246" s="7" t="s">
        <v>165</v>
      </c>
      <c r="E2246" s="7" t="s">
        <v>348</v>
      </c>
      <c r="F2246" s="8" t="str">
        <f>_xlfn.IFNA(INDEX('HS Codes'!$D$2:$K4800,MATCH($B2246,'HS Codes'!$A$2:$A4800,0),MATCH(F$1,'HS Codes'!$D$1:$K$1,0)),"")</f>
        <v>6302.93.2000</v>
      </c>
      <c r="G2246" s="8">
        <f>_xlfn.IFNA(INDEX('HS Codes'!$D$2:$K4800,MATCH($B2246,'HS Codes'!$A$2:$A4800,0),MATCH(G$1,'HS Codes'!$D$1:$K$1,0)),"")</f>
        <v>6302600090</v>
      </c>
      <c r="H2246" s="8" t="str">
        <f>_xlfn.IFNA(INDEX('HS Codes'!$D$2:$K4800,MATCH($B2246,'HS Codes'!$A$2:$A4800,0),MATCH(H$1,'HS Codes'!$D$1:$K$1,0)),"")</f>
        <v>6302.93.00.00</v>
      </c>
      <c r="I2246" s="8">
        <f>_xlfn.IFNA(INDEX('HS Codes'!$D$2:$K4800,MATCH($B2246,'HS Codes'!$A$2:$A4800,0),MATCH(I$1,'HS Codes'!$D$1:$K$1,0)),"")</f>
        <v>63029390</v>
      </c>
      <c r="J2246" s="8">
        <f>_xlfn.IFNA(INDEX('HS Codes'!$D$2:$K4800,MATCH($B2246,'HS Codes'!$A$2:$A4800,0),MATCH(J$1,'HS Codes'!$D$1:$K$1,0)),"")</f>
        <v>0</v>
      </c>
      <c r="K2246" s="8" t="str">
        <f>_xlfn.IFNA(INDEX('HS Codes'!$D$2:$K4800,MATCH($B2246,'HS Codes'!$A$2:$A4800,0),MATCH(K$1,'HS Codes'!$D$1:$K$1,0)),"")</f>
        <v>6302.39.00</v>
      </c>
      <c r="L2246" s="8">
        <f>_xlfn.IFNA(INDEX('HS Codes'!$D$2:$K4800,MATCH($B2246,'HS Codes'!$A$2:$A4800,0),MATCH(L$1,'HS Codes'!$D$1:$K$1,0)),"")</f>
        <v>63029120</v>
      </c>
      <c r="M2246" s="8" t="str">
        <f>_xlfn.IFNA(INDEX('HS Codes'!$C$2:$C4800,MATCH($B2246,'HS Codes'!$A$2:$A4800,0)),"")</f>
        <v>Beach Towel - Toilet Linen 100% recycled 220 GSM/83% polyester/17% polyamide includes cotton on the packing pouch drawstring</v>
      </c>
      <c r="N2246" s="9"/>
      <c r="O2246" s="9"/>
      <c r="P2246" s="9"/>
      <c r="Q2246" s="9"/>
    </row>
    <row r="2247" spans="1:17" ht="15.75" customHeight="1">
      <c r="A2247" s="7" t="s">
        <v>2539</v>
      </c>
      <c r="B2247" s="7" t="s">
        <v>164</v>
      </c>
      <c r="C2247" s="7" t="s">
        <v>278</v>
      </c>
      <c r="D2247" s="7" t="s">
        <v>165</v>
      </c>
      <c r="E2247" s="7" t="s">
        <v>348</v>
      </c>
      <c r="F2247" s="8" t="str">
        <f>_xlfn.IFNA(INDEX('HS Codes'!$D$2:$K4801,MATCH($B2247,'HS Codes'!$A$2:$A4801,0),MATCH(F$1,'HS Codes'!$D$1:$K$1,0)),"")</f>
        <v>6302.93.2000</v>
      </c>
      <c r="G2247" s="8">
        <f>_xlfn.IFNA(INDEX('HS Codes'!$D$2:$K4801,MATCH($B2247,'HS Codes'!$A$2:$A4801,0),MATCH(G$1,'HS Codes'!$D$1:$K$1,0)),"")</f>
        <v>6302600090</v>
      </c>
      <c r="H2247" s="8" t="str">
        <f>_xlfn.IFNA(INDEX('HS Codes'!$D$2:$K4801,MATCH($B2247,'HS Codes'!$A$2:$A4801,0),MATCH(H$1,'HS Codes'!$D$1:$K$1,0)),"")</f>
        <v>6302.93.00.00</v>
      </c>
      <c r="I2247" s="8">
        <f>_xlfn.IFNA(INDEX('HS Codes'!$D$2:$K4801,MATCH($B2247,'HS Codes'!$A$2:$A4801,0),MATCH(I$1,'HS Codes'!$D$1:$K$1,0)),"")</f>
        <v>63029390</v>
      </c>
      <c r="J2247" s="8">
        <f>_xlfn.IFNA(INDEX('HS Codes'!$D$2:$K4801,MATCH($B2247,'HS Codes'!$A$2:$A4801,0),MATCH(J$1,'HS Codes'!$D$1:$K$1,0)),"")</f>
        <v>0</v>
      </c>
      <c r="K2247" s="8" t="str">
        <f>_xlfn.IFNA(INDEX('HS Codes'!$D$2:$K4801,MATCH($B2247,'HS Codes'!$A$2:$A4801,0),MATCH(K$1,'HS Codes'!$D$1:$K$1,0)),"")</f>
        <v>6302.39.00</v>
      </c>
      <c r="L2247" s="8">
        <f>_xlfn.IFNA(INDEX('HS Codes'!$D$2:$K4801,MATCH($B2247,'HS Codes'!$A$2:$A4801,0),MATCH(L$1,'HS Codes'!$D$1:$K$1,0)),"")</f>
        <v>63029120</v>
      </c>
      <c r="M2247" s="8" t="str">
        <f>_xlfn.IFNA(INDEX('HS Codes'!$C$2:$C4801,MATCH($B2247,'HS Codes'!$A$2:$A4801,0)),"")</f>
        <v>Beach Towel - Toilet Linen 100% recycled 220 GSM/83% polyester/17% polyamide includes cotton on the packing pouch drawstring</v>
      </c>
      <c r="N2247" s="9"/>
      <c r="O2247" s="9"/>
      <c r="P2247" s="9"/>
      <c r="Q2247" s="9"/>
    </row>
    <row r="2248" spans="1:17" ht="15.75" customHeight="1">
      <c r="A2248" s="7" t="s">
        <v>2540</v>
      </c>
      <c r="B2248" s="7" t="s">
        <v>164</v>
      </c>
      <c r="C2248" s="7" t="s">
        <v>278</v>
      </c>
      <c r="D2248" s="7" t="s">
        <v>165</v>
      </c>
      <c r="E2248" s="7" t="s">
        <v>348</v>
      </c>
      <c r="F2248" s="8" t="str">
        <f>_xlfn.IFNA(INDEX('HS Codes'!$D$2:$K4802,MATCH($B2248,'HS Codes'!$A$2:$A4802,0),MATCH(F$1,'HS Codes'!$D$1:$K$1,0)),"")</f>
        <v>6302.93.2000</v>
      </c>
      <c r="G2248" s="8">
        <f>_xlfn.IFNA(INDEX('HS Codes'!$D$2:$K4802,MATCH($B2248,'HS Codes'!$A$2:$A4802,0),MATCH(G$1,'HS Codes'!$D$1:$K$1,0)),"")</f>
        <v>6302600090</v>
      </c>
      <c r="H2248" s="8" t="str">
        <f>_xlfn.IFNA(INDEX('HS Codes'!$D$2:$K4802,MATCH($B2248,'HS Codes'!$A$2:$A4802,0),MATCH(H$1,'HS Codes'!$D$1:$K$1,0)),"")</f>
        <v>6302.93.00.00</v>
      </c>
      <c r="I2248" s="8">
        <f>_xlfn.IFNA(INDEX('HS Codes'!$D$2:$K4802,MATCH($B2248,'HS Codes'!$A$2:$A4802,0),MATCH(I$1,'HS Codes'!$D$1:$K$1,0)),"")</f>
        <v>63029390</v>
      </c>
      <c r="J2248" s="8">
        <f>_xlfn.IFNA(INDEX('HS Codes'!$D$2:$K4802,MATCH($B2248,'HS Codes'!$A$2:$A4802,0),MATCH(J$1,'HS Codes'!$D$1:$K$1,0)),"")</f>
        <v>0</v>
      </c>
      <c r="K2248" s="8" t="str">
        <f>_xlfn.IFNA(INDEX('HS Codes'!$D$2:$K4802,MATCH($B2248,'HS Codes'!$A$2:$A4802,0),MATCH(K$1,'HS Codes'!$D$1:$K$1,0)),"")</f>
        <v>6302.39.00</v>
      </c>
      <c r="L2248" s="8">
        <f>_xlfn.IFNA(INDEX('HS Codes'!$D$2:$K4802,MATCH($B2248,'HS Codes'!$A$2:$A4802,0),MATCH(L$1,'HS Codes'!$D$1:$K$1,0)),"")</f>
        <v>63029120</v>
      </c>
      <c r="M2248" s="8" t="str">
        <f>_xlfn.IFNA(INDEX('HS Codes'!$C$2:$C4802,MATCH($B2248,'HS Codes'!$A$2:$A4802,0)),"")</f>
        <v>Beach Towel - Toilet Linen 100% recycled 220 GSM/83% polyester/17% polyamide includes cotton on the packing pouch drawstring</v>
      </c>
      <c r="N2248" s="9"/>
      <c r="O2248" s="9"/>
      <c r="P2248" s="9"/>
      <c r="Q2248" s="9"/>
    </row>
    <row r="2249" spans="1:17" ht="15.75" customHeight="1">
      <c r="A2249" s="7" t="s">
        <v>2541</v>
      </c>
      <c r="B2249" s="7" t="s">
        <v>164</v>
      </c>
      <c r="C2249" s="7" t="s">
        <v>278</v>
      </c>
      <c r="D2249" s="7" t="s">
        <v>165</v>
      </c>
      <c r="E2249" s="7" t="s">
        <v>348</v>
      </c>
      <c r="F2249" s="8" t="str">
        <f>_xlfn.IFNA(INDEX('HS Codes'!$D$2:$K4803,MATCH($B2249,'HS Codes'!$A$2:$A4803,0),MATCH(F$1,'HS Codes'!$D$1:$K$1,0)),"")</f>
        <v>6302.93.2000</v>
      </c>
      <c r="G2249" s="8">
        <f>_xlfn.IFNA(INDEX('HS Codes'!$D$2:$K4803,MATCH($B2249,'HS Codes'!$A$2:$A4803,0),MATCH(G$1,'HS Codes'!$D$1:$K$1,0)),"")</f>
        <v>6302600090</v>
      </c>
      <c r="H2249" s="8" t="str">
        <f>_xlfn.IFNA(INDEX('HS Codes'!$D$2:$K4803,MATCH($B2249,'HS Codes'!$A$2:$A4803,0),MATCH(H$1,'HS Codes'!$D$1:$K$1,0)),"")</f>
        <v>6302.93.00.00</v>
      </c>
      <c r="I2249" s="8">
        <f>_xlfn.IFNA(INDEX('HS Codes'!$D$2:$K4803,MATCH($B2249,'HS Codes'!$A$2:$A4803,0),MATCH(I$1,'HS Codes'!$D$1:$K$1,0)),"")</f>
        <v>63029390</v>
      </c>
      <c r="J2249" s="8">
        <f>_xlfn.IFNA(INDEX('HS Codes'!$D$2:$K4803,MATCH($B2249,'HS Codes'!$A$2:$A4803,0),MATCH(J$1,'HS Codes'!$D$1:$K$1,0)),"")</f>
        <v>0</v>
      </c>
      <c r="K2249" s="8" t="str">
        <f>_xlfn.IFNA(INDEX('HS Codes'!$D$2:$K4803,MATCH($B2249,'HS Codes'!$A$2:$A4803,0),MATCH(K$1,'HS Codes'!$D$1:$K$1,0)),"")</f>
        <v>6302.39.00</v>
      </c>
      <c r="L2249" s="8">
        <f>_xlfn.IFNA(INDEX('HS Codes'!$D$2:$K4803,MATCH($B2249,'HS Codes'!$A$2:$A4803,0),MATCH(L$1,'HS Codes'!$D$1:$K$1,0)),"")</f>
        <v>63029120</v>
      </c>
      <c r="M2249" s="8" t="str">
        <f>_xlfn.IFNA(INDEX('HS Codes'!$C$2:$C4803,MATCH($B2249,'HS Codes'!$A$2:$A4803,0)),"")</f>
        <v>Beach Towel - Toilet Linen 100% recycled 220 GSM/83% polyester/17% polyamide includes cotton on the packing pouch drawstring</v>
      </c>
      <c r="N2249" s="9"/>
      <c r="O2249" s="9"/>
      <c r="P2249" s="9"/>
      <c r="Q2249" s="9"/>
    </row>
    <row r="2250" spans="1:17" ht="15.75" customHeight="1">
      <c r="A2250" s="7" t="s">
        <v>2542</v>
      </c>
      <c r="B2250" s="7"/>
      <c r="C2250" s="7"/>
      <c r="D2250" s="7"/>
      <c r="E2250" s="7"/>
      <c r="F2250" s="8" t="str">
        <f>_xlfn.IFNA(INDEX('HS Codes'!$D$2:$K4804,MATCH($B2250,'HS Codes'!$A$2:$A4804,0),MATCH(F$1,'HS Codes'!$D$1:$K$1,0)),"")</f>
        <v/>
      </c>
      <c r="G2250" s="8" t="str">
        <f>_xlfn.IFNA(INDEX('HS Codes'!$D$2:$K4804,MATCH($B2250,'HS Codes'!$A$2:$A4804,0),MATCH(G$1,'HS Codes'!$D$1:$K$1,0)),"")</f>
        <v/>
      </c>
      <c r="H2250" s="8" t="str">
        <f>_xlfn.IFNA(INDEX('HS Codes'!$D$2:$K4804,MATCH($B2250,'HS Codes'!$A$2:$A4804,0),MATCH(H$1,'HS Codes'!$D$1:$K$1,0)),"")</f>
        <v/>
      </c>
      <c r="I2250" s="8" t="str">
        <f>_xlfn.IFNA(INDEX('HS Codes'!$D$2:$K4804,MATCH($B2250,'HS Codes'!$A$2:$A4804,0),MATCH(I$1,'HS Codes'!$D$1:$K$1,0)),"")</f>
        <v/>
      </c>
      <c r="J2250" s="8" t="str">
        <f>_xlfn.IFNA(INDEX('HS Codes'!$D$2:$K4804,MATCH($B2250,'HS Codes'!$A$2:$A4804,0),MATCH(J$1,'HS Codes'!$D$1:$K$1,0)),"")</f>
        <v/>
      </c>
      <c r="K2250" s="8" t="str">
        <f>_xlfn.IFNA(INDEX('HS Codes'!$D$2:$K4804,MATCH($B2250,'HS Codes'!$A$2:$A4804,0),MATCH(K$1,'HS Codes'!$D$1:$K$1,0)),"")</f>
        <v/>
      </c>
      <c r="L2250" s="8" t="str">
        <f>_xlfn.IFNA(INDEX('HS Codes'!$D$2:$K4804,MATCH($B2250,'HS Codes'!$A$2:$A4804,0),MATCH(L$1,'HS Codes'!$D$1:$K$1,0)),"")</f>
        <v/>
      </c>
      <c r="M2250" s="8" t="str">
        <f>_xlfn.IFNA(INDEX('HS Codes'!$C$2:$C4804,MATCH($B2250,'HS Codes'!$A$2:$A4804,0)),"")</f>
        <v/>
      </c>
      <c r="N2250" s="9"/>
      <c r="O2250" s="9"/>
      <c r="P2250" s="9"/>
      <c r="Q2250" s="9"/>
    </row>
    <row r="2251" spans="1:17" ht="15.75" customHeight="1">
      <c r="A2251" s="7" t="s">
        <v>2543</v>
      </c>
      <c r="B2251" s="7" t="s">
        <v>164</v>
      </c>
      <c r="C2251" s="7" t="s">
        <v>278</v>
      </c>
      <c r="D2251" s="7" t="s">
        <v>165</v>
      </c>
      <c r="E2251" s="7" t="s">
        <v>348</v>
      </c>
      <c r="F2251" s="8" t="str">
        <f>_xlfn.IFNA(INDEX('HS Codes'!$D$2:$K4805,MATCH($B2251,'HS Codes'!$A$2:$A4805,0),MATCH(F$1,'HS Codes'!$D$1:$K$1,0)),"")</f>
        <v>6302.93.2000</v>
      </c>
      <c r="G2251" s="8">
        <f>_xlfn.IFNA(INDEX('HS Codes'!$D$2:$K4805,MATCH($B2251,'HS Codes'!$A$2:$A4805,0),MATCH(G$1,'HS Codes'!$D$1:$K$1,0)),"")</f>
        <v>6302600090</v>
      </c>
      <c r="H2251" s="8" t="str">
        <f>_xlfn.IFNA(INDEX('HS Codes'!$D$2:$K4805,MATCH($B2251,'HS Codes'!$A$2:$A4805,0),MATCH(H$1,'HS Codes'!$D$1:$K$1,0)),"")</f>
        <v>6302.93.00.00</v>
      </c>
      <c r="I2251" s="8">
        <f>_xlfn.IFNA(INDEX('HS Codes'!$D$2:$K4805,MATCH($B2251,'HS Codes'!$A$2:$A4805,0),MATCH(I$1,'HS Codes'!$D$1:$K$1,0)),"")</f>
        <v>63029390</v>
      </c>
      <c r="J2251" s="8">
        <f>_xlfn.IFNA(INDEX('HS Codes'!$D$2:$K4805,MATCH($B2251,'HS Codes'!$A$2:$A4805,0),MATCH(J$1,'HS Codes'!$D$1:$K$1,0)),"")</f>
        <v>0</v>
      </c>
      <c r="K2251" s="8" t="str">
        <f>_xlfn.IFNA(INDEX('HS Codes'!$D$2:$K4805,MATCH($B2251,'HS Codes'!$A$2:$A4805,0),MATCH(K$1,'HS Codes'!$D$1:$K$1,0)),"")</f>
        <v>6302.39.00</v>
      </c>
      <c r="L2251" s="8">
        <f>_xlfn.IFNA(INDEX('HS Codes'!$D$2:$K4805,MATCH($B2251,'HS Codes'!$A$2:$A4805,0),MATCH(L$1,'HS Codes'!$D$1:$K$1,0)),"")</f>
        <v>63029120</v>
      </c>
      <c r="M2251" s="8" t="str">
        <f>_xlfn.IFNA(INDEX('HS Codes'!$C$2:$C4805,MATCH($B2251,'HS Codes'!$A$2:$A4805,0)),"")</f>
        <v>Beach Towel - Toilet Linen 100% recycled 220 GSM/83% polyester/17% polyamide includes cotton on the packing pouch drawstring</v>
      </c>
      <c r="N2251" s="9"/>
      <c r="O2251" s="9"/>
      <c r="P2251" s="9"/>
      <c r="Q2251" s="9"/>
    </row>
    <row r="2252" spans="1:17" ht="15.75" customHeight="1">
      <c r="A2252" s="7" t="s">
        <v>2544</v>
      </c>
      <c r="B2252" s="7" t="s">
        <v>164</v>
      </c>
      <c r="C2252" s="7" t="s">
        <v>278</v>
      </c>
      <c r="D2252" s="7" t="s">
        <v>165</v>
      </c>
      <c r="E2252" s="7" t="s">
        <v>348</v>
      </c>
      <c r="F2252" s="8" t="str">
        <f>_xlfn.IFNA(INDEX('HS Codes'!$D$2:$K4806,MATCH($B2252,'HS Codes'!$A$2:$A4806,0),MATCH(F$1,'HS Codes'!$D$1:$K$1,0)),"")</f>
        <v>6302.93.2000</v>
      </c>
      <c r="G2252" s="8">
        <f>_xlfn.IFNA(INDEX('HS Codes'!$D$2:$K4806,MATCH($B2252,'HS Codes'!$A$2:$A4806,0),MATCH(G$1,'HS Codes'!$D$1:$K$1,0)),"")</f>
        <v>6302600090</v>
      </c>
      <c r="H2252" s="8" t="str">
        <f>_xlfn.IFNA(INDEX('HS Codes'!$D$2:$K4806,MATCH($B2252,'HS Codes'!$A$2:$A4806,0),MATCH(H$1,'HS Codes'!$D$1:$K$1,0)),"")</f>
        <v>6302.93.00.00</v>
      </c>
      <c r="I2252" s="8">
        <f>_xlfn.IFNA(INDEX('HS Codes'!$D$2:$K4806,MATCH($B2252,'HS Codes'!$A$2:$A4806,0),MATCH(I$1,'HS Codes'!$D$1:$K$1,0)),"")</f>
        <v>63029390</v>
      </c>
      <c r="J2252" s="8">
        <f>_xlfn.IFNA(INDEX('HS Codes'!$D$2:$K4806,MATCH($B2252,'HS Codes'!$A$2:$A4806,0),MATCH(J$1,'HS Codes'!$D$1:$K$1,0)),"")</f>
        <v>0</v>
      </c>
      <c r="K2252" s="8" t="str">
        <f>_xlfn.IFNA(INDEX('HS Codes'!$D$2:$K4806,MATCH($B2252,'HS Codes'!$A$2:$A4806,0),MATCH(K$1,'HS Codes'!$D$1:$K$1,0)),"")</f>
        <v>6302.39.00</v>
      </c>
      <c r="L2252" s="8">
        <f>_xlfn.IFNA(INDEX('HS Codes'!$D$2:$K4806,MATCH($B2252,'HS Codes'!$A$2:$A4806,0),MATCH(L$1,'HS Codes'!$D$1:$K$1,0)),"")</f>
        <v>63029120</v>
      </c>
      <c r="M2252" s="8" t="str">
        <f>_xlfn.IFNA(INDEX('HS Codes'!$C$2:$C4806,MATCH($B2252,'HS Codes'!$A$2:$A4806,0)),"")</f>
        <v>Beach Towel - Toilet Linen 100% recycled 220 GSM/83% polyester/17% polyamide includes cotton on the packing pouch drawstring</v>
      </c>
      <c r="N2252" s="9"/>
      <c r="O2252" s="9"/>
      <c r="P2252" s="9"/>
      <c r="Q2252" s="9"/>
    </row>
    <row r="2253" spans="1:17" ht="15.75" customHeight="1">
      <c r="A2253" s="7" t="s">
        <v>2545</v>
      </c>
      <c r="B2253" s="7" t="s">
        <v>164</v>
      </c>
      <c r="C2253" s="7" t="s">
        <v>278</v>
      </c>
      <c r="D2253" s="7" t="s">
        <v>165</v>
      </c>
      <c r="E2253" s="7" t="s">
        <v>348</v>
      </c>
      <c r="F2253" s="8" t="str">
        <f>_xlfn.IFNA(INDEX('HS Codes'!$D$2:$K4807,MATCH($B2253,'HS Codes'!$A$2:$A4807,0),MATCH(F$1,'HS Codes'!$D$1:$K$1,0)),"")</f>
        <v>6302.93.2000</v>
      </c>
      <c r="G2253" s="8">
        <f>_xlfn.IFNA(INDEX('HS Codes'!$D$2:$K4807,MATCH($B2253,'HS Codes'!$A$2:$A4807,0),MATCH(G$1,'HS Codes'!$D$1:$K$1,0)),"")</f>
        <v>6302600090</v>
      </c>
      <c r="H2253" s="8" t="str">
        <f>_xlfn.IFNA(INDEX('HS Codes'!$D$2:$K4807,MATCH($B2253,'HS Codes'!$A$2:$A4807,0),MATCH(H$1,'HS Codes'!$D$1:$K$1,0)),"")</f>
        <v>6302.93.00.00</v>
      </c>
      <c r="I2253" s="8">
        <f>_xlfn.IFNA(INDEX('HS Codes'!$D$2:$K4807,MATCH($B2253,'HS Codes'!$A$2:$A4807,0),MATCH(I$1,'HS Codes'!$D$1:$K$1,0)),"")</f>
        <v>63029390</v>
      </c>
      <c r="J2253" s="8">
        <f>_xlfn.IFNA(INDEX('HS Codes'!$D$2:$K4807,MATCH($B2253,'HS Codes'!$A$2:$A4807,0),MATCH(J$1,'HS Codes'!$D$1:$K$1,0)),"")</f>
        <v>0</v>
      </c>
      <c r="K2253" s="8" t="str">
        <f>_xlfn.IFNA(INDEX('HS Codes'!$D$2:$K4807,MATCH($B2253,'HS Codes'!$A$2:$A4807,0),MATCH(K$1,'HS Codes'!$D$1:$K$1,0)),"")</f>
        <v>6302.39.00</v>
      </c>
      <c r="L2253" s="8">
        <f>_xlfn.IFNA(INDEX('HS Codes'!$D$2:$K4807,MATCH($B2253,'HS Codes'!$A$2:$A4807,0),MATCH(L$1,'HS Codes'!$D$1:$K$1,0)),"")</f>
        <v>63029120</v>
      </c>
      <c r="M2253" s="8" t="str">
        <f>_xlfn.IFNA(INDEX('HS Codes'!$C$2:$C4807,MATCH($B2253,'HS Codes'!$A$2:$A4807,0)),"")</f>
        <v>Beach Towel - Toilet Linen 100% recycled 220 GSM/83% polyester/17% polyamide includes cotton on the packing pouch drawstring</v>
      </c>
      <c r="N2253" s="9"/>
      <c r="O2253" s="9"/>
      <c r="P2253" s="9"/>
      <c r="Q2253" s="9"/>
    </row>
    <row r="2254" spans="1:17" ht="15.75" customHeight="1">
      <c r="A2254" s="7" t="s">
        <v>2546</v>
      </c>
      <c r="B2254" s="7" t="s">
        <v>164</v>
      </c>
      <c r="C2254" s="7" t="s">
        <v>278</v>
      </c>
      <c r="D2254" s="7" t="s">
        <v>165</v>
      </c>
      <c r="E2254" s="7" t="s">
        <v>348</v>
      </c>
      <c r="F2254" s="8" t="str">
        <f>_xlfn.IFNA(INDEX('HS Codes'!$D$2:$K4808,MATCH($B2254,'HS Codes'!$A$2:$A4808,0),MATCH(F$1,'HS Codes'!$D$1:$K$1,0)),"")</f>
        <v>6302.93.2000</v>
      </c>
      <c r="G2254" s="8">
        <f>_xlfn.IFNA(INDEX('HS Codes'!$D$2:$K4808,MATCH($B2254,'HS Codes'!$A$2:$A4808,0),MATCH(G$1,'HS Codes'!$D$1:$K$1,0)),"")</f>
        <v>6302600090</v>
      </c>
      <c r="H2254" s="8" t="str">
        <f>_xlfn.IFNA(INDEX('HS Codes'!$D$2:$K4808,MATCH($B2254,'HS Codes'!$A$2:$A4808,0),MATCH(H$1,'HS Codes'!$D$1:$K$1,0)),"")</f>
        <v>6302.93.00.00</v>
      </c>
      <c r="I2254" s="8">
        <f>_xlfn.IFNA(INDEX('HS Codes'!$D$2:$K4808,MATCH($B2254,'HS Codes'!$A$2:$A4808,0),MATCH(I$1,'HS Codes'!$D$1:$K$1,0)),"")</f>
        <v>63029390</v>
      </c>
      <c r="J2254" s="8">
        <f>_xlfn.IFNA(INDEX('HS Codes'!$D$2:$K4808,MATCH($B2254,'HS Codes'!$A$2:$A4808,0),MATCH(J$1,'HS Codes'!$D$1:$K$1,0)),"")</f>
        <v>0</v>
      </c>
      <c r="K2254" s="8" t="str">
        <f>_xlfn.IFNA(INDEX('HS Codes'!$D$2:$K4808,MATCH($B2254,'HS Codes'!$A$2:$A4808,0),MATCH(K$1,'HS Codes'!$D$1:$K$1,0)),"")</f>
        <v>6302.39.00</v>
      </c>
      <c r="L2254" s="8">
        <f>_xlfn.IFNA(INDEX('HS Codes'!$D$2:$K4808,MATCH($B2254,'HS Codes'!$A$2:$A4808,0),MATCH(L$1,'HS Codes'!$D$1:$K$1,0)),"")</f>
        <v>63029120</v>
      </c>
      <c r="M2254" s="8" t="str">
        <f>_xlfn.IFNA(INDEX('HS Codes'!$C$2:$C4808,MATCH($B2254,'HS Codes'!$A$2:$A4808,0)),"")</f>
        <v>Beach Towel - Toilet Linen 100% recycled 220 GSM/83% polyester/17% polyamide includes cotton on the packing pouch drawstring</v>
      </c>
      <c r="N2254" s="9"/>
      <c r="O2254" s="9"/>
      <c r="P2254" s="9"/>
      <c r="Q2254" s="9"/>
    </row>
    <row r="2255" spans="1:17" ht="15.75" customHeight="1">
      <c r="A2255" s="7" t="s">
        <v>2547</v>
      </c>
      <c r="B2255" s="7" t="s">
        <v>164</v>
      </c>
      <c r="C2255" s="7" t="s">
        <v>278</v>
      </c>
      <c r="D2255" s="7" t="s">
        <v>165</v>
      </c>
      <c r="E2255" s="7" t="s">
        <v>348</v>
      </c>
      <c r="F2255" s="8" t="str">
        <f>_xlfn.IFNA(INDEX('HS Codes'!$D$2:$K4809,MATCH($B2255,'HS Codes'!$A$2:$A4809,0),MATCH(F$1,'HS Codes'!$D$1:$K$1,0)),"")</f>
        <v>6302.93.2000</v>
      </c>
      <c r="G2255" s="8">
        <f>_xlfn.IFNA(INDEX('HS Codes'!$D$2:$K4809,MATCH($B2255,'HS Codes'!$A$2:$A4809,0),MATCH(G$1,'HS Codes'!$D$1:$K$1,0)),"")</f>
        <v>6302600090</v>
      </c>
      <c r="H2255" s="8" t="str">
        <f>_xlfn.IFNA(INDEX('HS Codes'!$D$2:$K4809,MATCH($B2255,'HS Codes'!$A$2:$A4809,0),MATCH(H$1,'HS Codes'!$D$1:$K$1,0)),"")</f>
        <v>6302.93.00.00</v>
      </c>
      <c r="I2255" s="8">
        <f>_xlfn.IFNA(INDEX('HS Codes'!$D$2:$K4809,MATCH($B2255,'HS Codes'!$A$2:$A4809,0),MATCH(I$1,'HS Codes'!$D$1:$K$1,0)),"")</f>
        <v>63029390</v>
      </c>
      <c r="J2255" s="8">
        <f>_xlfn.IFNA(INDEX('HS Codes'!$D$2:$K4809,MATCH($B2255,'HS Codes'!$A$2:$A4809,0),MATCH(J$1,'HS Codes'!$D$1:$K$1,0)),"")</f>
        <v>0</v>
      </c>
      <c r="K2255" s="8" t="str">
        <f>_xlfn.IFNA(INDEX('HS Codes'!$D$2:$K4809,MATCH($B2255,'HS Codes'!$A$2:$A4809,0),MATCH(K$1,'HS Codes'!$D$1:$K$1,0)),"")</f>
        <v>6302.39.00</v>
      </c>
      <c r="L2255" s="8">
        <f>_xlfn.IFNA(INDEX('HS Codes'!$D$2:$K4809,MATCH($B2255,'HS Codes'!$A$2:$A4809,0),MATCH(L$1,'HS Codes'!$D$1:$K$1,0)),"")</f>
        <v>63029120</v>
      </c>
      <c r="M2255" s="8" t="str">
        <f>_xlfn.IFNA(INDEX('HS Codes'!$C$2:$C4809,MATCH($B2255,'HS Codes'!$A$2:$A4809,0)),"")</f>
        <v>Beach Towel - Toilet Linen 100% recycled 220 GSM/83% polyester/17% polyamide includes cotton on the packing pouch drawstring</v>
      </c>
      <c r="N2255" s="9"/>
      <c r="O2255" s="9"/>
      <c r="P2255" s="9"/>
      <c r="Q2255" s="9"/>
    </row>
    <row r="2256" spans="1:17" ht="15.75" customHeight="1">
      <c r="A2256" s="7" t="s">
        <v>2548</v>
      </c>
      <c r="B2256" s="7" t="s">
        <v>164</v>
      </c>
      <c r="C2256" s="7" t="s">
        <v>278</v>
      </c>
      <c r="D2256" s="7" t="s">
        <v>165</v>
      </c>
      <c r="E2256" s="7" t="s">
        <v>348</v>
      </c>
      <c r="F2256" s="8" t="str">
        <f>_xlfn.IFNA(INDEX('HS Codes'!$D$2:$K4810,MATCH($B2256,'HS Codes'!$A$2:$A4810,0),MATCH(F$1,'HS Codes'!$D$1:$K$1,0)),"")</f>
        <v>6302.93.2000</v>
      </c>
      <c r="G2256" s="8">
        <f>_xlfn.IFNA(INDEX('HS Codes'!$D$2:$K4810,MATCH($B2256,'HS Codes'!$A$2:$A4810,0),MATCH(G$1,'HS Codes'!$D$1:$K$1,0)),"")</f>
        <v>6302600090</v>
      </c>
      <c r="H2256" s="8" t="str">
        <f>_xlfn.IFNA(INDEX('HS Codes'!$D$2:$K4810,MATCH($B2256,'HS Codes'!$A$2:$A4810,0),MATCH(H$1,'HS Codes'!$D$1:$K$1,0)),"")</f>
        <v>6302.93.00.00</v>
      </c>
      <c r="I2256" s="8">
        <f>_xlfn.IFNA(INDEX('HS Codes'!$D$2:$K4810,MATCH($B2256,'HS Codes'!$A$2:$A4810,0),MATCH(I$1,'HS Codes'!$D$1:$K$1,0)),"")</f>
        <v>63029390</v>
      </c>
      <c r="J2256" s="8">
        <f>_xlfn.IFNA(INDEX('HS Codes'!$D$2:$K4810,MATCH($B2256,'HS Codes'!$A$2:$A4810,0),MATCH(J$1,'HS Codes'!$D$1:$K$1,0)),"")</f>
        <v>0</v>
      </c>
      <c r="K2256" s="8" t="str">
        <f>_xlfn.IFNA(INDEX('HS Codes'!$D$2:$K4810,MATCH($B2256,'HS Codes'!$A$2:$A4810,0),MATCH(K$1,'HS Codes'!$D$1:$K$1,0)),"")</f>
        <v>6302.39.00</v>
      </c>
      <c r="L2256" s="8">
        <f>_xlfn.IFNA(INDEX('HS Codes'!$D$2:$K4810,MATCH($B2256,'HS Codes'!$A$2:$A4810,0),MATCH(L$1,'HS Codes'!$D$1:$K$1,0)),"")</f>
        <v>63029120</v>
      </c>
      <c r="M2256" s="8" t="str">
        <f>_xlfn.IFNA(INDEX('HS Codes'!$C$2:$C4810,MATCH($B2256,'HS Codes'!$A$2:$A4810,0)),"")</f>
        <v>Beach Towel - Toilet Linen 100% recycled 220 GSM/83% polyester/17% polyamide includes cotton on the packing pouch drawstring</v>
      </c>
      <c r="N2256" s="9"/>
      <c r="O2256" s="9"/>
      <c r="P2256" s="9"/>
      <c r="Q2256" s="9"/>
    </row>
    <row r="2257" spans="1:17" ht="15.75" customHeight="1">
      <c r="A2257" s="7" t="s">
        <v>2549</v>
      </c>
      <c r="B2257" s="7" t="s">
        <v>164</v>
      </c>
      <c r="C2257" s="7" t="s">
        <v>278</v>
      </c>
      <c r="D2257" s="7" t="s">
        <v>165</v>
      </c>
      <c r="E2257" s="7" t="s">
        <v>348</v>
      </c>
      <c r="F2257" s="8" t="str">
        <f>_xlfn.IFNA(INDEX('HS Codes'!$D$2:$K4811,MATCH($B2257,'HS Codes'!$A$2:$A4811,0),MATCH(F$1,'HS Codes'!$D$1:$K$1,0)),"")</f>
        <v>6302.93.2000</v>
      </c>
      <c r="G2257" s="8">
        <f>_xlfn.IFNA(INDEX('HS Codes'!$D$2:$K4811,MATCH($B2257,'HS Codes'!$A$2:$A4811,0),MATCH(G$1,'HS Codes'!$D$1:$K$1,0)),"")</f>
        <v>6302600090</v>
      </c>
      <c r="H2257" s="8" t="str">
        <f>_xlfn.IFNA(INDEX('HS Codes'!$D$2:$K4811,MATCH($B2257,'HS Codes'!$A$2:$A4811,0),MATCH(H$1,'HS Codes'!$D$1:$K$1,0)),"")</f>
        <v>6302.93.00.00</v>
      </c>
      <c r="I2257" s="8">
        <f>_xlfn.IFNA(INDEX('HS Codes'!$D$2:$K4811,MATCH($B2257,'HS Codes'!$A$2:$A4811,0),MATCH(I$1,'HS Codes'!$D$1:$K$1,0)),"")</f>
        <v>63029390</v>
      </c>
      <c r="J2257" s="8">
        <f>_xlfn.IFNA(INDEX('HS Codes'!$D$2:$K4811,MATCH($B2257,'HS Codes'!$A$2:$A4811,0),MATCH(J$1,'HS Codes'!$D$1:$K$1,0)),"")</f>
        <v>0</v>
      </c>
      <c r="K2257" s="8" t="str">
        <f>_xlfn.IFNA(INDEX('HS Codes'!$D$2:$K4811,MATCH($B2257,'HS Codes'!$A$2:$A4811,0),MATCH(K$1,'HS Codes'!$D$1:$K$1,0)),"")</f>
        <v>6302.39.00</v>
      </c>
      <c r="L2257" s="8">
        <f>_xlfn.IFNA(INDEX('HS Codes'!$D$2:$K4811,MATCH($B2257,'HS Codes'!$A$2:$A4811,0),MATCH(L$1,'HS Codes'!$D$1:$K$1,0)),"")</f>
        <v>63029120</v>
      </c>
      <c r="M2257" s="8" t="str">
        <f>_xlfn.IFNA(INDEX('HS Codes'!$C$2:$C4811,MATCH($B2257,'HS Codes'!$A$2:$A4811,0)),"")</f>
        <v>Beach Towel - Toilet Linen 100% recycled 220 GSM/83% polyester/17% polyamide includes cotton on the packing pouch drawstring</v>
      </c>
      <c r="N2257" s="9"/>
      <c r="O2257" s="9"/>
      <c r="P2257" s="9"/>
      <c r="Q2257" s="9"/>
    </row>
    <row r="2258" spans="1:17" ht="15.75" customHeight="1">
      <c r="A2258" s="7" t="s">
        <v>2550</v>
      </c>
      <c r="B2258" s="7" t="s">
        <v>164</v>
      </c>
      <c r="C2258" s="7" t="s">
        <v>278</v>
      </c>
      <c r="D2258" s="7" t="s">
        <v>165</v>
      </c>
      <c r="E2258" s="7" t="s">
        <v>348</v>
      </c>
      <c r="F2258" s="8" t="str">
        <f>_xlfn.IFNA(INDEX('HS Codes'!$D$2:$K4812,MATCH($B2258,'HS Codes'!$A$2:$A4812,0),MATCH(F$1,'HS Codes'!$D$1:$K$1,0)),"")</f>
        <v>6302.93.2000</v>
      </c>
      <c r="G2258" s="8">
        <f>_xlfn.IFNA(INDEX('HS Codes'!$D$2:$K4812,MATCH($B2258,'HS Codes'!$A$2:$A4812,0),MATCH(G$1,'HS Codes'!$D$1:$K$1,0)),"")</f>
        <v>6302600090</v>
      </c>
      <c r="H2258" s="8" t="str">
        <f>_xlfn.IFNA(INDEX('HS Codes'!$D$2:$K4812,MATCH($B2258,'HS Codes'!$A$2:$A4812,0),MATCH(H$1,'HS Codes'!$D$1:$K$1,0)),"")</f>
        <v>6302.93.00.00</v>
      </c>
      <c r="I2258" s="8">
        <f>_xlfn.IFNA(INDEX('HS Codes'!$D$2:$K4812,MATCH($B2258,'HS Codes'!$A$2:$A4812,0),MATCH(I$1,'HS Codes'!$D$1:$K$1,0)),"")</f>
        <v>63029390</v>
      </c>
      <c r="J2258" s="8">
        <f>_xlfn.IFNA(INDEX('HS Codes'!$D$2:$K4812,MATCH($B2258,'HS Codes'!$A$2:$A4812,0),MATCH(J$1,'HS Codes'!$D$1:$K$1,0)),"")</f>
        <v>0</v>
      </c>
      <c r="K2258" s="8" t="str">
        <f>_xlfn.IFNA(INDEX('HS Codes'!$D$2:$K4812,MATCH($B2258,'HS Codes'!$A$2:$A4812,0),MATCH(K$1,'HS Codes'!$D$1:$K$1,0)),"")</f>
        <v>6302.39.00</v>
      </c>
      <c r="L2258" s="8">
        <f>_xlfn.IFNA(INDEX('HS Codes'!$D$2:$K4812,MATCH($B2258,'HS Codes'!$A$2:$A4812,0),MATCH(L$1,'HS Codes'!$D$1:$K$1,0)),"")</f>
        <v>63029120</v>
      </c>
      <c r="M2258" s="8" t="str">
        <f>_xlfn.IFNA(INDEX('HS Codes'!$C$2:$C4812,MATCH($B2258,'HS Codes'!$A$2:$A4812,0)),"")</f>
        <v>Beach Towel - Toilet Linen 100% recycled 220 GSM/83% polyester/17% polyamide includes cotton on the packing pouch drawstring</v>
      </c>
      <c r="N2258" s="9"/>
      <c r="O2258" s="9"/>
      <c r="P2258" s="9"/>
      <c r="Q2258" s="9"/>
    </row>
    <row r="2259" spans="1:17" ht="15.75" customHeight="1">
      <c r="A2259" s="7" t="s">
        <v>2551</v>
      </c>
      <c r="B2259" s="7" t="s">
        <v>164</v>
      </c>
      <c r="C2259" s="7" t="s">
        <v>278</v>
      </c>
      <c r="D2259" s="7" t="s">
        <v>165</v>
      </c>
      <c r="E2259" s="7" t="s">
        <v>348</v>
      </c>
      <c r="F2259" s="8" t="str">
        <f>_xlfn.IFNA(INDEX('HS Codes'!$D$2:$K4813,MATCH($B2259,'HS Codes'!$A$2:$A4813,0),MATCH(F$1,'HS Codes'!$D$1:$K$1,0)),"")</f>
        <v>6302.93.2000</v>
      </c>
      <c r="G2259" s="8">
        <f>_xlfn.IFNA(INDEX('HS Codes'!$D$2:$K4813,MATCH($B2259,'HS Codes'!$A$2:$A4813,0),MATCH(G$1,'HS Codes'!$D$1:$K$1,0)),"")</f>
        <v>6302600090</v>
      </c>
      <c r="H2259" s="8" t="str">
        <f>_xlfn.IFNA(INDEX('HS Codes'!$D$2:$K4813,MATCH($B2259,'HS Codes'!$A$2:$A4813,0),MATCH(H$1,'HS Codes'!$D$1:$K$1,0)),"")</f>
        <v>6302.93.00.00</v>
      </c>
      <c r="I2259" s="8">
        <f>_xlfn.IFNA(INDEX('HS Codes'!$D$2:$K4813,MATCH($B2259,'HS Codes'!$A$2:$A4813,0),MATCH(I$1,'HS Codes'!$D$1:$K$1,0)),"")</f>
        <v>63029390</v>
      </c>
      <c r="J2259" s="8">
        <f>_xlfn.IFNA(INDEX('HS Codes'!$D$2:$K4813,MATCH($B2259,'HS Codes'!$A$2:$A4813,0),MATCH(J$1,'HS Codes'!$D$1:$K$1,0)),"")</f>
        <v>0</v>
      </c>
      <c r="K2259" s="8" t="str">
        <f>_xlfn.IFNA(INDEX('HS Codes'!$D$2:$K4813,MATCH($B2259,'HS Codes'!$A$2:$A4813,0),MATCH(K$1,'HS Codes'!$D$1:$K$1,0)),"")</f>
        <v>6302.39.00</v>
      </c>
      <c r="L2259" s="8">
        <f>_xlfn.IFNA(INDEX('HS Codes'!$D$2:$K4813,MATCH($B2259,'HS Codes'!$A$2:$A4813,0),MATCH(L$1,'HS Codes'!$D$1:$K$1,0)),"")</f>
        <v>63029120</v>
      </c>
      <c r="M2259" s="8" t="str">
        <f>_xlfn.IFNA(INDEX('HS Codes'!$C$2:$C4813,MATCH($B2259,'HS Codes'!$A$2:$A4813,0)),"")</f>
        <v>Beach Towel - Toilet Linen 100% recycled 220 GSM/83% polyester/17% polyamide includes cotton on the packing pouch drawstring</v>
      </c>
      <c r="N2259" s="9"/>
      <c r="O2259" s="9"/>
      <c r="P2259" s="9"/>
      <c r="Q2259" s="9"/>
    </row>
    <row r="2260" spans="1:17" ht="15.75" customHeight="1">
      <c r="A2260" s="7" t="s">
        <v>2552</v>
      </c>
      <c r="B2260" s="7" t="s">
        <v>164</v>
      </c>
      <c r="C2260" s="7" t="s">
        <v>278</v>
      </c>
      <c r="D2260" s="7" t="s">
        <v>165</v>
      </c>
      <c r="E2260" s="7" t="s">
        <v>348</v>
      </c>
      <c r="F2260" s="8" t="str">
        <f>_xlfn.IFNA(INDEX('HS Codes'!$D$2:$K4814,MATCH($B2260,'HS Codes'!$A$2:$A4814,0),MATCH(F$1,'HS Codes'!$D$1:$K$1,0)),"")</f>
        <v>6302.93.2000</v>
      </c>
      <c r="G2260" s="8">
        <f>_xlfn.IFNA(INDEX('HS Codes'!$D$2:$K4814,MATCH($B2260,'HS Codes'!$A$2:$A4814,0),MATCH(G$1,'HS Codes'!$D$1:$K$1,0)),"")</f>
        <v>6302600090</v>
      </c>
      <c r="H2260" s="8" t="str">
        <f>_xlfn.IFNA(INDEX('HS Codes'!$D$2:$K4814,MATCH($B2260,'HS Codes'!$A$2:$A4814,0),MATCH(H$1,'HS Codes'!$D$1:$K$1,0)),"")</f>
        <v>6302.93.00.00</v>
      </c>
      <c r="I2260" s="8">
        <f>_xlfn.IFNA(INDEX('HS Codes'!$D$2:$K4814,MATCH($B2260,'HS Codes'!$A$2:$A4814,0),MATCH(I$1,'HS Codes'!$D$1:$K$1,0)),"")</f>
        <v>63029390</v>
      </c>
      <c r="J2260" s="8">
        <f>_xlfn.IFNA(INDEX('HS Codes'!$D$2:$K4814,MATCH($B2260,'HS Codes'!$A$2:$A4814,0),MATCH(J$1,'HS Codes'!$D$1:$K$1,0)),"")</f>
        <v>0</v>
      </c>
      <c r="K2260" s="8" t="str">
        <f>_xlfn.IFNA(INDEX('HS Codes'!$D$2:$K4814,MATCH($B2260,'HS Codes'!$A$2:$A4814,0),MATCH(K$1,'HS Codes'!$D$1:$K$1,0)),"")</f>
        <v>6302.39.00</v>
      </c>
      <c r="L2260" s="8">
        <f>_xlfn.IFNA(INDEX('HS Codes'!$D$2:$K4814,MATCH($B2260,'HS Codes'!$A$2:$A4814,0),MATCH(L$1,'HS Codes'!$D$1:$K$1,0)),"")</f>
        <v>63029120</v>
      </c>
      <c r="M2260" s="8" t="str">
        <f>_xlfn.IFNA(INDEX('HS Codes'!$C$2:$C4814,MATCH($B2260,'HS Codes'!$A$2:$A4814,0)),"")</f>
        <v>Beach Towel - Toilet Linen 100% recycled 220 GSM/83% polyester/17% polyamide includes cotton on the packing pouch drawstring</v>
      </c>
      <c r="N2260" s="9"/>
      <c r="O2260" s="9"/>
      <c r="P2260" s="9"/>
      <c r="Q2260" s="9"/>
    </row>
    <row r="2261" spans="1:17" ht="15.75" customHeight="1">
      <c r="A2261" s="7" t="s">
        <v>2553</v>
      </c>
      <c r="B2261" s="7" t="s">
        <v>167</v>
      </c>
      <c r="C2261" s="7" t="s">
        <v>278</v>
      </c>
      <c r="D2261" s="7" t="s">
        <v>168</v>
      </c>
      <c r="E2261" s="7" t="s">
        <v>752</v>
      </c>
      <c r="F2261" s="8" t="str">
        <f>_xlfn.IFNA(INDEX('HS Codes'!$D$2:$K4815,MATCH($B2261,'HS Codes'!$A$2:$A4815,0),MATCH(F$1,'HS Codes'!$D$1:$K$1,0)),"")</f>
        <v>6302.93.2000</v>
      </c>
      <c r="G2261" s="8">
        <f>_xlfn.IFNA(INDEX('HS Codes'!$D$2:$K4815,MATCH($B2261,'HS Codes'!$A$2:$A4815,0),MATCH(G$1,'HS Codes'!$D$1:$K$1,0)),"")</f>
        <v>6302600090</v>
      </c>
      <c r="H2261" s="8" t="str">
        <f>_xlfn.IFNA(INDEX('HS Codes'!$D$2:$K4815,MATCH($B2261,'HS Codes'!$A$2:$A4815,0),MATCH(H$1,'HS Codes'!$D$1:$K$1,0)),"")</f>
        <v>6302.93.00.00</v>
      </c>
      <c r="I2261" s="8">
        <f>_xlfn.IFNA(INDEX('HS Codes'!$D$2:$K4815,MATCH($B2261,'HS Codes'!$A$2:$A4815,0),MATCH(I$1,'HS Codes'!$D$1:$K$1,0)),"")</f>
        <v>6302939000</v>
      </c>
      <c r="J2261" s="8">
        <f>_xlfn.IFNA(INDEX('HS Codes'!$D$2:$K4815,MATCH($B2261,'HS Codes'!$A$2:$A4815,0),MATCH(J$1,'HS Codes'!$D$1:$K$1,0)),"")</f>
        <v>0</v>
      </c>
      <c r="K2261" s="8" t="str">
        <f>_xlfn.IFNA(INDEX('HS Codes'!$D$2:$K4815,MATCH($B2261,'HS Codes'!$A$2:$A4815,0),MATCH(K$1,'HS Codes'!$D$1:$K$1,0)),"")</f>
        <v>6302.39.00</v>
      </c>
      <c r="L2261" s="8">
        <f>_xlfn.IFNA(INDEX('HS Codes'!$D$2:$K4815,MATCH($B2261,'HS Codes'!$A$2:$A4815,0),MATCH(L$1,'HS Codes'!$D$1:$K$1,0)),"")</f>
        <v>63029120</v>
      </c>
      <c r="M2261" s="8" t="str">
        <f>_xlfn.IFNA(INDEX('HS Codes'!$C$2:$C4815,MATCH($B2261,'HS Codes'!$A$2:$A4815,0)),"")</f>
        <v>Beach Towel - Toilet Linen 100% recycled 220 GSM/83% polyester/17% polyamide includes cotton on the packing pouch drawstring</v>
      </c>
      <c r="N2261" s="9"/>
      <c r="O2261" s="9"/>
      <c r="P2261" s="9"/>
      <c r="Q2261" s="9"/>
    </row>
    <row r="2262" spans="1:17" ht="15.75" customHeight="1">
      <c r="A2262" s="7" t="s">
        <v>2554</v>
      </c>
      <c r="B2262" s="7" t="s">
        <v>167</v>
      </c>
      <c r="C2262" s="7" t="s">
        <v>278</v>
      </c>
      <c r="D2262" s="7" t="s">
        <v>168</v>
      </c>
      <c r="E2262" s="7" t="s">
        <v>752</v>
      </c>
      <c r="F2262" s="8" t="str">
        <f>_xlfn.IFNA(INDEX('HS Codes'!$D$2:$K4816,MATCH($B2262,'HS Codes'!$A$2:$A4816,0),MATCH(F$1,'HS Codes'!$D$1:$K$1,0)),"")</f>
        <v>6302.93.2000</v>
      </c>
      <c r="G2262" s="8">
        <f>_xlfn.IFNA(INDEX('HS Codes'!$D$2:$K4816,MATCH($B2262,'HS Codes'!$A$2:$A4816,0),MATCH(G$1,'HS Codes'!$D$1:$K$1,0)),"")</f>
        <v>6302600090</v>
      </c>
      <c r="H2262" s="8" t="str">
        <f>_xlfn.IFNA(INDEX('HS Codes'!$D$2:$K4816,MATCH($B2262,'HS Codes'!$A$2:$A4816,0),MATCH(H$1,'HS Codes'!$D$1:$K$1,0)),"")</f>
        <v>6302.93.00.00</v>
      </c>
      <c r="I2262" s="8">
        <f>_xlfn.IFNA(INDEX('HS Codes'!$D$2:$K4816,MATCH($B2262,'HS Codes'!$A$2:$A4816,0),MATCH(I$1,'HS Codes'!$D$1:$K$1,0)),"")</f>
        <v>6302939000</v>
      </c>
      <c r="J2262" s="8">
        <f>_xlfn.IFNA(INDEX('HS Codes'!$D$2:$K4816,MATCH($B2262,'HS Codes'!$A$2:$A4816,0),MATCH(J$1,'HS Codes'!$D$1:$K$1,0)),"")</f>
        <v>0</v>
      </c>
      <c r="K2262" s="8" t="str">
        <f>_xlfn.IFNA(INDEX('HS Codes'!$D$2:$K4816,MATCH($B2262,'HS Codes'!$A$2:$A4816,0),MATCH(K$1,'HS Codes'!$D$1:$K$1,0)),"")</f>
        <v>6302.39.00</v>
      </c>
      <c r="L2262" s="8">
        <f>_xlfn.IFNA(INDEX('HS Codes'!$D$2:$K4816,MATCH($B2262,'HS Codes'!$A$2:$A4816,0),MATCH(L$1,'HS Codes'!$D$1:$K$1,0)),"")</f>
        <v>63029120</v>
      </c>
      <c r="M2262" s="8" t="str">
        <f>_xlfn.IFNA(INDEX('HS Codes'!$C$2:$C4816,MATCH($B2262,'HS Codes'!$A$2:$A4816,0)),"")</f>
        <v>Beach Towel - Toilet Linen 100% recycled 220 GSM/83% polyester/17% polyamide includes cotton on the packing pouch drawstring</v>
      </c>
      <c r="N2262" s="9"/>
      <c r="O2262" s="9"/>
      <c r="P2262" s="9"/>
      <c r="Q2262" s="9"/>
    </row>
    <row r="2263" spans="1:17" ht="15.75" customHeight="1">
      <c r="A2263" s="7" t="s">
        <v>2555</v>
      </c>
      <c r="B2263" s="7" t="s">
        <v>167</v>
      </c>
      <c r="C2263" s="7" t="s">
        <v>278</v>
      </c>
      <c r="D2263" s="7" t="s">
        <v>168</v>
      </c>
      <c r="E2263" s="7" t="s">
        <v>752</v>
      </c>
      <c r="F2263" s="8" t="str">
        <f>_xlfn.IFNA(INDEX('HS Codes'!$D$2:$K4817,MATCH($B2263,'HS Codes'!$A$2:$A4817,0),MATCH(F$1,'HS Codes'!$D$1:$K$1,0)),"")</f>
        <v>6302.93.2000</v>
      </c>
      <c r="G2263" s="8">
        <f>_xlfn.IFNA(INDEX('HS Codes'!$D$2:$K4817,MATCH($B2263,'HS Codes'!$A$2:$A4817,0),MATCH(G$1,'HS Codes'!$D$1:$K$1,0)),"")</f>
        <v>6302600090</v>
      </c>
      <c r="H2263" s="8" t="str">
        <f>_xlfn.IFNA(INDEX('HS Codes'!$D$2:$K4817,MATCH($B2263,'HS Codes'!$A$2:$A4817,0),MATCH(H$1,'HS Codes'!$D$1:$K$1,0)),"")</f>
        <v>6302.93.00.00</v>
      </c>
      <c r="I2263" s="8">
        <f>_xlfn.IFNA(INDEX('HS Codes'!$D$2:$K4817,MATCH($B2263,'HS Codes'!$A$2:$A4817,0),MATCH(I$1,'HS Codes'!$D$1:$K$1,0)),"")</f>
        <v>6302939000</v>
      </c>
      <c r="J2263" s="8">
        <f>_xlfn.IFNA(INDEX('HS Codes'!$D$2:$K4817,MATCH($B2263,'HS Codes'!$A$2:$A4817,0),MATCH(J$1,'HS Codes'!$D$1:$K$1,0)),"")</f>
        <v>0</v>
      </c>
      <c r="K2263" s="8" t="str">
        <f>_xlfn.IFNA(INDEX('HS Codes'!$D$2:$K4817,MATCH($B2263,'HS Codes'!$A$2:$A4817,0),MATCH(K$1,'HS Codes'!$D$1:$K$1,0)),"")</f>
        <v>6302.39.00</v>
      </c>
      <c r="L2263" s="8">
        <f>_xlfn.IFNA(INDEX('HS Codes'!$D$2:$K4817,MATCH($B2263,'HS Codes'!$A$2:$A4817,0),MATCH(L$1,'HS Codes'!$D$1:$K$1,0)),"")</f>
        <v>63029120</v>
      </c>
      <c r="M2263" s="8" t="str">
        <f>_xlfn.IFNA(INDEX('HS Codes'!$C$2:$C4817,MATCH($B2263,'HS Codes'!$A$2:$A4817,0)),"")</f>
        <v>Beach Towel - Toilet Linen 100% recycled 220 GSM/83% polyester/17% polyamide includes cotton on the packing pouch drawstring</v>
      </c>
      <c r="N2263" s="9"/>
      <c r="O2263" s="9"/>
      <c r="P2263" s="9"/>
      <c r="Q2263" s="9"/>
    </row>
    <row r="2264" spans="1:17" ht="15.75" customHeight="1">
      <c r="A2264" s="7" t="s">
        <v>2556</v>
      </c>
      <c r="B2264" s="7" t="s">
        <v>167</v>
      </c>
      <c r="C2264" s="7" t="s">
        <v>278</v>
      </c>
      <c r="D2264" s="7" t="s">
        <v>168</v>
      </c>
      <c r="E2264" s="7" t="s">
        <v>752</v>
      </c>
      <c r="F2264" s="8" t="str">
        <f>_xlfn.IFNA(INDEX('HS Codes'!$D$2:$K4818,MATCH($B2264,'HS Codes'!$A$2:$A4818,0),MATCH(F$1,'HS Codes'!$D$1:$K$1,0)),"")</f>
        <v>6302.93.2000</v>
      </c>
      <c r="G2264" s="8">
        <f>_xlfn.IFNA(INDEX('HS Codes'!$D$2:$K4818,MATCH($B2264,'HS Codes'!$A$2:$A4818,0),MATCH(G$1,'HS Codes'!$D$1:$K$1,0)),"")</f>
        <v>6302600090</v>
      </c>
      <c r="H2264" s="8" t="str">
        <f>_xlfn.IFNA(INDEX('HS Codes'!$D$2:$K4818,MATCH($B2264,'HS Codes'!$A$2:$A4818,0),MATCH(H$1,'HS Codes'!$D$1:$K$1,0)),"")</f>
        <v>6302.93.00.00</v>
      </c>
      <c r="I2264" s="8">
        <f>_xlfn.IFNA(INDEX('HS Codes'!$D$2:$K4818,MATCH($B2264,'HS Codes'!$A$2:$A4818,0),MATCH(I$1,'HS Codes'!$D$1:$K$1,0)),"")</f>
        <v>6302939000</v>
      </c>
      <c r="J2264" s="8">
        <f>_xlfn.IFNA(INDEX('HS Codes'!$D$2:$K4818,MATCH($B2264,'HS Codes'!$A$2:$A4818,0),MATCH(J$1,'HS Codes'!$D$1:$K$1,0)),"")</f>
        <v>0</v>
      </c>
      <c r="K2264" s="8" t="str">
        <f>_xlfn.IFNA(INDEX('HS Codes'!$D$2:$K4818,MATCH($B2264,'HS Codes'!$A$2:$A4818,0),MATCH(K$1,'HS Codes'!$D$1:$K$1,0)),"")</f>
        <v>6302.39.00</v>
      </c>
      <c r="L2264" s="8">
        <f>_xlfn.IFNA(INDEX('HS Codes'!$D$2:$K4818,MATCH($B2264,'HS Codes'!$A$2:$A4818,0),MATCH(L$1,'HS Codes'!$D$1:$K$1,0)),"")</f>
        <v>63029120</v>
      </c>
      <c r="M2264" s="8" t="str">
        <f>_xlfn.IFNA(INDEX('HS Codes'!$C$2:$C4818,MATCH($B2264,'HS Codes'!$A$2:$A4818,0)),"")</f>
        <v>Beach Towel - Toilet Linen 100% recycled 220 GSM/83% polyester/17% polyamide includes cotton on the packing pouch drawstring</v>
      </c>
      <c r="N2264" s="9"/>
      <c r="O2264" s="9"/>
      <c r="P2264" s="9"/>
      <c r="Q2264" s="9"/>
    </row>
    <row r="2265" spans="1:17" ht="15.75" customHeight="1">
      <c r="A2265" s="7" t="s">
        <v>2557</v>
      </c>
      <c r="B2265" s="7" t="s">
        <v>167</v>
      </c>
      <c r="C2265" s="7" t="s">
        <v>278</v>
      </c>
      <c r="D2265" s="7" t="s">
        <v>168</v>
      </c>
      <c r="E2265" s="7" t="s">
        <v>752</v>
      </c>
      <c r="F2265" s="8" t="str">
        <f>_xlfn.IFNA(INDEX('HS Codes'!$D$2:$K4819,MATCH($B2265,'HS Codes'!$A$2:$A4819,0),MATCH(F$1,'HS Codes'!$D$1:$K$1,0)),"")</f>
        <v>6302.93.2000</v>
      </c>
      <c r="G2265" s="8">
        <f>_xlfn.IFNA(INDEX('HS Codes'!$D$2:$K4819,MATCH($B2265,'HS Codes'!$A$2:$A4819,0),MATCH(G$1,'HS Codes'!$D$1:$K$1,0)),"")</f>
        <v>6302600090</v>
      </c>
      <c r="H2265" s="8" t="str">
        <f>_xlfn.IFNA(INDEX('HS Codes'!$D$2:$K4819,MATCH($B2265,'HS Codes'!$A$2:$A4819,0),MATCH(H$1,'HS Codes'!$D$1:$K$1,0)),"")</f>
        <v>6302.93.00.00</v>
      </c>
      <c r="I2265" s="8">
        <f>_xlfn.IFNA(INDEX('HS Codes'!$D$2:$K4819,MATCH($B2265,'HS Codes'!$A$2:$A4819,0),MATCH(I$1,'HS Codes'!$D$1:$K$1,0)),"")</f>
        <v>6302939000</v>
      </c>
      <c r="J2265" s="8">
        <f>_xlfn.IFNA(INDEX('HS Codes'!$D$2:$K4819,MATCH($B2265,'HS Codes'!$A$2:$A4819,0),MATCH(J$1,'HS Codes'!$D$1:$K$1,0)),"")</f>
        <v>0</v>
      </c>
      <c r="K2265" s="8" t="str">
        <f>_xlfn.IFNA(INDEX('HS Codes'!$D$2:$K4819,MATCH($B2265,'HS Codes'!$A$2:$A4819,0),MATCH(K$1,'HS Codes'!$D$1:$K$1,0)),"")</f>
        <v>6302.39.00</v>
      </c>
      <c r="L2265" s="8">
        <f>_xlfn.IFNA(INDEX('HS Codes'!$D$2:$K4819,MATCH($B2265,'HS Codes'!$A$2:$A4819,0),MATCH(L$1,'HS Codes'!$D$1:$K$1,0)),"")</f>
        <v>63029120</v>
      </c>
      <c r="M2265" s="8" t="str">
        <f>_xlfn.IFNA(INDEX('HS Codes'!$C$2:$C4819,MATCH($B2265,'HS Codes'!$A$2:$A4819,0)),"")</f>
        <v>Beach Towel - Toilet Linen 100% recycled 220 GSM/83% polyester/17% polyamide includes cotton on the packing pouch drawstring</v>
      </c>
      <c r="N2265" s="9"/>
      <c r="O2265" s="9"/>
      <c r="P2265" s="9"/>
      <c r="Q2265" s="9"/>
    </row>
    <row r="2266" spans="1:17" ht="15.75" customHeight="1">
      <c r="A2266" s="7" t="s">
        <v>2558</v>
      </c>
      <c r="B2266" s="7" t="s">
        <v>167</v>
      </c>
      <c r="C2266" s="7" t="s">
        <v>278</v>
      </c>
      <c r="D2266" s="7" t="s">
        <v>168</v>
      </c>
      <c r="E2266" s="7" t="s">
        <v>752</v>
      </c>
      <c r="F2266" s="8" t="str">
        <f>_xlfn.IFNA(INDEX('HS Codes'!$D$2:$K4820,MATCH($B2266,'HS Codes'!$A$2:$A4820,0),MATCH(F$1,'HS Codes'!$D$1:$K$1,0)),"")</f>
        <v>6302.93.2000</v>
      </c>
      <c r="G2266" s="8">
        <f>_xlfn.IFNA(INDEX('HS Codes'!$D$2:$K4820,MATCH($B2266,'HS Codes'!$A$2:$A4820,0),MATCH(G$1,'HS Codes'!$D$1:$K$1,0)),"")</f>
        <v>6302600090</v>
      </c>
      <c r="H2266" s="8" t="str">
        <f>_xlfn.IFNA(INDEX('HS Codes'!$D$2:$K4820,MATCH($B2266,'HS Codes'!$A$2:$A4820,0),MATCH(H$1,'HS Codes'!$D$1:$K$1,0)),"")</f>
        <v>6302.93.00.00</v>
      </c>
      <c r="I2266" s="8">
        <f>_xlfn.IFNA(INDEX('HS Codes'!$D$2:$K4820,MATCH($B2266,'HS Codes'!$A$2:$A4820,0),MATCH(I$1,'HS Codes'!$D$1:$K$1,0)),"")</f>
        <v>6302939000</v>
      </c>
      <c r="J2266" s="8">
        <f>_xlfn.IFNA(INDEX('HS Codes'!$D$2:$K4820,MATCH($B2266,'HS Codes'!$A$2:$A4820,0),MATCH(J$1,'HS Codes'!$D$1:$K$1,0)),"")</f>
        <v>0</v>
      </c>
      <c r="K2266" s="8" t="str">
        <f>_xlfn.IFNA(INDEX('HS Codes'!$D$2:$K4820,MATCH($B2266,'HS Codes'!$A$2:$A4820,0),MATCH(K$1,'HS Codes'!$D$1:$K$1,0)),"")</f>
        <v>6302.39.00</v>
      </c>
      <c r="L2266" s="8">
        <f>_xlfn.IFNA(INDEX('HS Codes'!$D$2:$K4820,MATCH($B2266,'HS Codes'!$A$2:$A4820,0),MATCH(L$1,'HS Codes'!$D$1:$K$1,0)),"")</f>
        <v>63029120</v>
      </c>
      <c r="M2266" s="8" t="str">
        <f>_xlfn.IFNA(INDEX('HS Codes'!$C$2:$C4820,MATCH($B2266,'HS Codes'!$A$2:$A4820,0)),"")</f>
        <v>Beach Towel - Toilet Linen 100% recycled 220 GSM/83% polyester/17% polyamide includes cotton on the packing pouch drawstring</v>
      </c>
      <c r="N2266" s="9"/>
      <c r="O2266" s="9"/>
      <c r="P2266" s="9"/>
      <c r="Q2266" s="9"/>
    </row>
    <row r="2267" spans="1:17" ht="15.75" customHeight="1">
      <c r="A2267" s="7" t="s">
        <v>2559</v>
      </c>
      <c r="B2267" s="7" t="s">
        <v>167</v>
      </c>
      <c r="C2267" s="7" t="s">
        <v>278</v>
      </c>
      <c r="D2267" s="7" t="s">
        <v>168</v>
      </c>
      <c r="E2267" s="7" t="s">
        <v>752</v>
      </c>
      <c r="F2267" s="8" t="str">
        <f>_xlfn.IFNA(INDEX('HS Codes'!$D$2:$K4821,MATCH($B2267,'HS Codes'!$A$2:$A4821,0),MATCH(F$1,'HS Codes'!$D$1:$K$1,0)),"")</f>
        <v>6302.93.2000</v>
      </c>
      <c r="G2267" s="8">
        <f>_xlfn.IFNA(INDEX('HS Codes'!$D$2:$K4821,MATCH($B2267,'HS Codes'!$A$2:$A4821,0),MATCH(G$1,'HS Codes'!$D$1:$K$1,0)),"")</f>
        <v>6302600090</v>
      </c>
      <c r="H2267" s="8" t="str">
        <f>_xlfn.IFNA(INDEX('HS Codes'!$D$2:$K4821,MATCH($B2267,'HS Codes'!$A$2:$A4821,0),MATCH(H$1,'HS Codes'!$D$1:$K$1,0)),"")</f>
        <v>6302.93.00.00</v>
      </c>
      <c r="I2267" s="8">
        <f>_xlfn.IFNA(INDEX('HS Codes'!$D$2:$K4821,MATCH($B2267,'HS Codes'!$A$2:$A4821,0),MATCH(I$1,'HS Codes'!$D$1:$K$1,0)),"")</f>
        <v>6302939000</v>
      </c>
      <c r="J2267" s="8">
        <f>_xlfn.IFNA(INDEX('HS Codes'!$D$2:$K4821,MATCH($B2267,'HS Codes'!$A$2:$A4821,0),MATCH(J$1,'HS Codes'!$D$1:$K$1,0)),"")</f>
        <v>0</v>
      </c>
      <c r="K2267" s="8" t="str">
        <f>_xlfn.IFNA(INDEX('HS Codes'!$D$2:$K4821,MATCH($B2267,'HS Codes'!$A$2:$A4821,0),MATCH(K$1,'HS Codes'!$D$1:$K$1,0)),"")</f>
        <v>6302.39.00</v>
      </c>
      <c r="L2267" s="8">
        <f>_xlfn.IFNA(INDEX('HS Codes'!$D$2:$K4821,MATCH($B2267,'HS Codes'!$A$2:$A4821,0),MATCH(L$1,'HS Codes'!$D$1:$K$1,0)),"")</f>
        <v>63029120</v>
      </c>
      <c r="M2267" s="8" t="str">
        <f>_xlfn.IFNA(INDEX('HS Codes'!$C$2:$C4821,MATCH($B2267,'HS Codes'!$A$2:$A4821,0)),"")</f>
        <v>Beach Towel - Toilet Linen 100% recycled 220 GSM/83% polyester/17% polyamide includes cotton on the packing pouch drawstring</v>
      </c>
      <c r="N2267" s="9"/>
      <c r="O2267" s="9"/>
      <c r="P2267" s="9"/>
      <c r="Q2267" s="9"/>
    </row>
    <row r="2268" spans="1:17" ht="15.75" customHeight="1">
      <c r="A2268" s="7" t="s">
        <v>2560</v>
      </c>
      <c r="B2268" s="7" t="s">
        <v>167</v>
      </c>
      <c r="C2268" s="7" t="s">
        <v>278</v>
      </c>
      <c r="D2268" s="7" t="s">
        <v>168</v>
      </c>
      <c r="E2268" s="7" t="s">
        <v>752</v>
      </c>
      <c r="F2268" s="8" t="str">
        <f>_xlfn.IFNA(INDEX('HS Codes'!$D$2:$K4822,MATCH($B2268,'HS Codes'!$A$2:$A4822,0),MATCH(F$1,'HS Codes'!$D$1:$K$1,0)),"")</f>
        <v>6302.93.2000</v>
      </c>
      <c r="G2268" s="8">
        <f>_xlfn.IFNA(INDEX('HS Codes'!$D$2:$K4822,MATCH($B2268,'HS Codes'!$A$2:$A4822,0),MATCH(G$1,'HS Codes'!$D$1:$K$1,0)),"")</f>
        <v>6302600090</v>
      </c>
      <c r="H2268" s="8" t="str">
        <f>_xlfn.IFNA(INDEX('HS Codes'!$D$2:$K4822,MATCH($B2268,'HS Codes'!$A$2:$A4822,0),MATCH(H$1,'HS Codes'!$D$1:$K$1,0)),"")</f>
        <v>6302.93.00.00</v>
      </c>
      <c r="I2268" s="8">
        <f>_xlfn.IFNA(INDEX('HS Codes'!$D$2:$K4822,MATCH($B2268,'HS Codes'!$A$2:$A4822,0),MATCH(I$1,'HS Codes'!$D$1:$K$1,0)),"")</f>
        <v>6302939000</v>
      </c>
      <c r="J2268" s="8">
        <f>_xlfn.IFNA(INDEX('HS Codes'!$D$2:$K4822,MATCH($B2268,'HS Codes'!$A$2:$A4822,0),MATCH(J$1,'HS Codes'!$D$1:$K$1,0)),"")</f>
        <v>0</v>
      </c>
      <c r="K2268" s="8" t="str">
        <f>_xlfn.IFNA(INDEX('HS Codes'!$D$2:$K4822,MATCH($B2268,'HS Codes'!$A$2:$A4822,0),MATCH(K$1,'HS Codes'!$D$1:$K$1,0)),"")</f>
        <v>6302.39.00</v>
      </c>
      <c r="L2268" s="8">
        <f>_xlfn.IFNA(INDEX('HS Codes'!$D$2:$K4822,MATCH($B2268,'HS Codes'!$A$2:$A4822,0),MATCH(L$1,'HS Codes'!$D$1:$K$1,0)),"")</f>
        <v>63029120</v>
      </c>
      <c r="M2268" s="8" t="str">
        <f>_xlfn.IFNA(INDEX('HS Codes'!$C$2:$C4822,MATCH($B2268,'HS Codes'!$A$2:$A4822,0)),"")</f>
        <v>Beach Towel - Toilet Linen 100% recycled 220 GSM/83% polyester/17% polyamide includes cotton on the packing pouch drawstring</v>
      </c>
      <c r="N2268" s="9"/>
      <c r="O2268" s="9"/>
      <c r="P2268" s="9"/>
      <c r="Q2268" s="9"/>
    </row>
    <row r="2269" spans="1:17" ht="15.75" customHeight="1">
      <c r="A2269" s="7" t="s">
        <v>2561</v>
      </c>
      <c r="B2269" s="7" t="s">
        <v>167</v>
      </c>
      <c r="C2269" s="7" t="s">
        <v>278</v>
      </c>
      <c r="D2269" s="7" t="s">
        <v>168</v>
      </c>
      <c r="E2269" s="7" t="s">
        <v>752</v>
      </c>
      <c r="F2269" s="8" t="str">
        <f>_xlfn.IFNA(INDEX('HS Codes'!$D$2:$K4823,MATCH($B2269,'HS Codes'!$A$2:$A4823,0),MATCH(F$1,'HS Codes'!$D$1:$K$1,0)),"")</f>
        <v>6302.93.2000</v>
      </c>
      <c r="G2269" s="8">
        <f>_xlfn.IFNA(INDEX('HS Codes'!$D$2:$K4823,MATCH($B2269,'HS Codes'!$A$2:$A4823,0),MATCH(G$1,'HS Codes'!$D$1:$K$1,0)),"")</f>
        <v>6302600090</v>
      </c>
      <c r="H2269" s="8" t="str">
        <f>_xlfn.IFNA(INDEX('HS Codes'!$D$2:$K4823,MATCH($B2269,'HS Codes'!$A$2:$A4823,0),MATCH(H$1,'HS Codes'!$D$1:$K$1,0)),"")</f>
        <v>6302.93.00.00</v>
      </c>
      <c r="I2269" s="8">
        <f>_xlfn.IFNA(INDEX('HS Codes'!$D$2:$K4823,MATCH($B2269,'HS Codes'!$A$2:$A4823,0),MATCH(I$1,'HS Codes'!$D$1:$K$1,0)),"")</f>
        <v>6302939000</v>
      </c>
      <c r="J2269" s="8">
        <f>_xlfn.IFNA(INDEX('HS Codes'!$D$2:$K4823,MATCH($B2269,'HS Codes'!$A$2:$A4823,0),MATCH(J$1,'HS Codes'!$D$1:$K$1,0)),"")</f>
        <v>0</v>
      </c>
      <c r="K2269" s="8" t="str">
        <f>_xlfn.IFNA(INDEX('HS Codes'!$D$2:$K4823,MATCH($B2269,'HS Codes'!$A$2:$A4823,0),MATCH(K$1,'HS Codes'!$D$1:$K$1,0)),"")</f>
        <v>6302.39.00</v>
      </c>
      <c r="L2269" s="8">
        <f>_xlfn.IFNA(INDEX('HS Codes'!$D$2:$K4823,MATCH($B2269,'HS Codes'!$A$2:$A4823,0),MATCH(L$1,'HS Codes'!$D$1:$K$1,0)),"")</f>
        <v>63029120</v>
      </c>
      <c r="M2269" s="8" t="str">
        <f>_xlfn.IFNA(INDEX('HS Codes'!$C$2:$C4823,MATCH($B2269,'HS Codes'!$A$2:$A4823,0)),"")</f>
        <v>Beach Towel - Toilet Linen 100% recycled 220 GSM/83% polyester/17% polyamide includes cotton on the packing pouch drawstring</v>
      </c>
      <c r="N2269" s="9"/>
      <c r="O2269" s="9"/>
      <c r="P2269" s="9"/>
      <c r="Q2269" s="9"/>
    </row>
    <row r="2270" spans="1:17" ht="15.75" customHeight="1">
      <c r="A2270" s="7" t="s">
        <v>2562</v>
      </c>
      <c r="B2270" s="7" t="s">
        <v>167</v>
      </c>
      <c r="C2270" s="7" t="s">
        <v>278</v>
      </c>
      <c r="D2270" s="7" t="s">
        <v>168</v>
      </c>
      <c r="E2270" s="7" t="s">
        <v>752</v>
      </c>
      <c r="F2270" s="8" t="str">
        <f>_xlfn.IFNA(INDEX('HS Codes'!$D$2:$K4824,MATCH($B2270,'HS Codes'!$A$2:$A4824,0),MATCH(F$1,'HS Codes'!$D$1:$K$1,0)),"")</f>
        <v>6302.93.2000</v>
      </c>
      <c r="G2270" s="8">
        <f>_xlfn.IFNA(INDEX('HS Codes'!$D$2:$K4824,MATCH($B2270,'HS Codes'!$A$2:$A4824,0),MATCH(G$1,'HS Codes'!$D$1:$K$1,0)),"")</f>
        <v>6302600090</v>
      </c>
      <c r="H2270" s="8" t="str">
        <f>_xlfn.IFNA(INDEX('HS Codes'!$D$2:$K4824,MATCH($B2270,'HS Codes'!$A$2:$A4824,0),MATCH(H$1,'HS Codes'!$D$1:$K$1,0)),"")</f>
        <v>6302.93.00.00</v>
      </c>
      <c r="I2270" s="8">
        <f>_xlfn.IFNA(INDEX('HS Codes'!$D$2:$K4824,MATCH($B2270,'HS Codes'!$A$2:$A4824,0),MATCH(I$1,'HS Codes'!$D$1:$K$1,0)),"")</f>
        <v>6302939000</v>
      </c>
      <c r="J2270" s="8">
        <f>_xlfn.IFNA(INDEX('HS Codes'!$D$2:$K4824,MATCH($B2270,'HS Codes'!$A$2:$A4824,0),MATCH(J$1,'HS Codes'!$D$1:$K$1,0)),"")</f>
        <v>0</v>
      </c>
      <c r="K2270" s="8" t="str">
        <f>_xlfn.IFNA(INDEX('HS Codes'!$D$2:$K4824,MATCH($B2270,'HS Codes'!$A$2:$A4824,0),MATCH(K$1,'HS Codes'!$D$1:$K$1,0)),"")</f>
        <v>6302.39.00</v>
      </c>
      <c r="L2270" s="8">
        <f>_xlfn.IFNA(INDEX('HS Codes'!$D$2:$K4824,MATCH($B2270,'HS Codes'!$A$2:$A4824,0),MATCH(L$1,'HS Codes'!$D$1:$K$1,0)),"")</f>
        <v>63029120</v>
      </c>
      <c r="M2270" s="8" t="str">
        <f>_xlfn.IFNA(INDEX('HS Codes'!$C$2:$C4824,MATCH($B2270,'HS Codes'!$A$2:$A4824,0)),"")</f>
        <v>Beach Towel - Toilet Linen 100% recycled 220 GSM/83% polyester/17% polyamide includes cotton on the packing pouch drawstring</v>
      </c>
      <c r="N2270" s="9"/>
      <c r="O2270" s="9"/>
      <c r="P2270" s="9"/>
      <c r="Q2270" s="9"/>
    </row>
    <row r="2271" spans="1:17" ht="15.75" customHeight="1">
      <c r="A2271" s="7" t="s">
        <v>2563</v>
      </c>
      <c r="B2271" s="7" t="s">
        <v>164</v>
      </c>
      <c r="C2271" s="7" t="s">
        <v>278</v>
      </c>
      <c r="D2271" s="7" t="s">
        <v>165</v>
      </c>
      <c r="E2271" s="7" t="s">
        <v>348</v>
      </c>
      <c r="F2271" s="8" t="str">
        <f>_xlfn.IFNA(INDEX('HS Codes'!$D$2:$K4825,MATCH($B2271,'HS Codes'!$A$2:$A4825,0),MATCH(F$1,'HS Codes'!$D$1:$K$1,0)),"")</f>
        <v>6302.93.2000</v>
      </c>
      <c r="G2271" s="8">
        <f>_xlfn.IFNA(INDEX('HS Codes'!$D$2:$K4825,MATCH($B2271,'HS Codes'!$A$2:$A4825,0),MATCH(G$1,'HS Codes'!$D$1:$K$1,0)),"")</f>
        <v>6302600090</v>
      </c>
      <c r="H2271" s="8" t="str">
        <f>_xlfn.IFNA(INDEX('HS Codes'!$D$2:$K4825,MATCH($B2271,'HS Codes'!$A$2:$A4825,0),MATCH(H$1,'HS Codes'!$D$1:$K$1,0)),"")</f>
        <v>6302.93.00.00</v>
      </c>
      <c r="I2271" s="8">
        <f>_xlfn.IFNA(INDEX('HS Codes'!$D$2:$K4825,MATCH($B2271,'HS Codes'!$A$2:$A4825,0),MATCH(I$1,'HS Codes'!$D$1:$K$1,0)),"")</f>
        <v>63029390</v>
      </c>
      <c r="J2271" s="8">
        <f>_xlfn.IFNA(INDEX('HS Codes'!$D$2:$K4825,MATCH($B2271,'HS Codes'!$A$2:$A4825,0),MATCH(J$1,'HS Codes'!$D$1:$K$1,0)),"")</f>
        <v>0</v>
      </c>
      <c r="K2271" s="8" t="str">
        <f>_xlfn.IFNA(INDEX('HS Codes'!$D$2:$K4825,MATCH($B2271,'HS Codes'!$A$2:$A4825,0),MATCH(K$1,'HS Codes'!$D$1:$K$1,0)),"")</f>
        <v>6302.39.00</v>
      </c>
      <c r="L2271" s="8">
        <f>_xlfn.IFNA(INDEX('HS Codes'!$D$2:$K4825,MATCH($B2271,'HS Codes'!$A$2:$A4825,0),MATCH(L$1,'HS Codes'!$D$1:$K$1,0)),"")</f>
        <v>63029120</v>
      </c>
      <c r="M2271" s="8" t="str">
        <f>_xlfn.IFNA(INDEX('HS Codes'!$C$2:$C4825,MATCH($B2271,'HS Codes'!$A$2:$A4825,0)),"")</f>
        <v>Beach Towel - Toilet Linen 100% recycled 220 GSM/83% polyester/17% polyamide includes cotton on the packing pouch drawstring</v>
      </c>
      <c r="N2271" s="9"/>
      <c r="O2271" s="9"/>
      <c r="P2271" s="9"/>
      <c r="Q2271" s="9"/>
    </row>
    <row r="2272" spans="1:17" ht="15.75" customHeight="1">
      <c r="A2272" s="7" t="s">
        <v>2564</v>
      </c>
      <c r="B2272" s="7" t="s">
        <v>167</v>
      </c>
      <c r="C2272" s="7" t="s">
        <v>278</v>
      </c>
      <c r="D2272" s="7" t="s">
        <v>168</v>
      </c>
      <c r="E2272" s="7" t="s">
        <v>752</v>
      </c>
      <c r="F2272" s="8" t="str">
        <f>_xlfn.IFNA(INDEX('HS Codes'!$D$2:$K4826,MATCH($B2272,'HS Codes'!$A$2:$A4826,0),MATCH(F$1,'HS Codes'!$D$1:$K$1,0)),"")</f>
        <v>6302.93.2000</v>
      </c>
      <c r="G2272" s="8">
        <f>_xlfn.IFNA(INDEX('HS Codes'!$D$2:$K4826,MATCH($B2272,'HS Codes'!$A$2:$A4826,0),MATCH(G$1,'HS Codes'!$D$1:$K$1,0)),"")</f>
        <v>6302600090</v>
      </c>
      <c r="H2272" s="8" t="str">
        <f>_xlfn.IFNA(INDEX('HS Codes'!$D$2:$K4826,MATCH($B2272,'HS Codes'!$A$2:$A4826,0),MATCH(H$1,'HS Codes'!$D$1:$K$1,0)),"")</f>
        <v>6302.93.00.00</v>
      </c>
      <c r="I2272" s="8">
        <f>_xlfn.IFNA(INDEX('HS Codes'!$D$2:$K4826,MATCH($B2272,'HS Codes'!$A$2:$A4826,0),MATCH(I$1,'HS Codes'!$D$1:$K$1,0)),"")</f>
        <v>6302939000</v>
      </c>
      <c r="J2272" s="8">
        <f>_xlfn.IFNA(INDEX('HS Codes'!$D$2:$K4826,MATCH($B2272,'HS Codes'!$A$2:$A4826,0),MATCH(J$1,'HS Codes'!$D$1:$K$1,0)),"")</f>
        <v>0</v>
      </c>
      <c r="K2272" s="8" t="str">
        <f>_xlfn.IFNA(INDEX('HS Codes'!$D$2:$K4826,MATCH($B2272,'HS Codes'!$A$2:$A4826,0),MATCH(K$1,'HS Codes'!$D$1:$K$1,0)),"")</f>
        <v>6302.39.00</v>
      </c>
      <c r="L2272" s="8">
        <f>_xlfn.IFNA(INDEX('HS Codes'!$D$2:$K4826,MATCH($B2272,'HS Codes'!$A$2:$A4826,0),MATCH(L$1,'HS Codes'!$D$1:$K$1,0)),"")</f>
        <v>63029120</v>
      </c>
      <c r="M2272" s="8" t="str">
        <f>_xlfn.IFNA(INDEX('HS Codes'!$C$2:$C4826,MATCH($B2272,'HS Codes'!$A$2:$A4826,0)),"")</f>
        <v>Beach Towel - Toilet Linen 100% recycled 220 GSM/83% polyester/17% polyamide includes cotton on the packing pouch drawstring</v>
      </c>
      <c r="N2272" s="9"/>
      <c r="O2272" s="9"/>
      <c r="P2272" s="9"/>
      <c r="Q2272" s="9"/>
    </row>
    <row r="2273" spans="1:17" ht="15.75" customHeight="1">
      <c r="A2273" s="7" t="s">
        <v>2565</v>
      </c>
      <c r="B2273" s="7" t="s">
        <v>167</v>
      </c>
      <c r="C2273" s="7" t="s">
        <v>278</v>
      </c>
      <c r="D2273" s="7" t="s">
        <v>168</v>
      </c>
      <c r="E2273" s="7" t="s">
        <v>752</v>
      </c>
      <c r="F2273" s="8" t="str">
        <f>_xlfn.IFNA(INDEX('HS Codes'!$D$2:$K4827,MATCH($B2273,'HS Codes'!$A$2:$A4827,0),MATCH(F$1,'HS Codes'!$D$1:$K$1,0)),"")</f>
        <v>6302.93.2000</v>
      </c>
      <c r="G2273" s="8">
        <f>_xlfn.IFNA(INDEX('HS Codes'!$D$2:$K4827,MATCH($B2273,'HS Codes'!$A$2:$A4827,0),MATCH(G$1,'HS Codes'!$D$1:$K$1,0)),"")</f>
        <v>6302600090</v>
      </c>
      <c r="H2273" s="8" t="str">
        <f>_xlfn.IFNA(INDEX('HS Codes'!$D$2:$K4827,MATCH($B2273,'HS Codes'!$A$2:$A4827,0),MATCH(H$1,'HS Codes'!$D$1:$K$1,0)),"")</f>
        <v>6302.93.00.00</v>
      </c>
      <c r="I2273" s="8">
        <f>_xlfn.IFNA(INDEX('HS Codes'!$D$2:$K4827,MATCH($B2273,'HS Codes'!$A$2:$A4827,0),MATCH(I$1,'HS Codes'!$D$1:$K$1,0)),"")</f>
        <v>6302939000</v>
      </c>
      <c r="J2273" s="8">
        <f>_xlfn.IFNA(INDEX('HS Codes'!$D$2:$K4827,MATCH($B2273,'HS Codes'!$A$2:$A4827,0),MATCH(J$1,'HS Codes'!$D$1:$K$1,0)),"")</f>
        <v>0</v>
      </c>
      <c r="K2273" s="8" t="str">
        <f>_xlfn.IFNA(INDEX('HS Codes'!$D$2:$K4827,MATCH($B2273,'HS Codes'!$A$2:$A4827,0),MATCH(K$1,'HS Codes'!$D$1:$K$1,0)),"")</f>
        <v>6302.39.00</v>
      </c>
      <c r="L2273" s="8">
        <f>_xlfn.IFNA(INDEX('HS Codes'!$D$2:$K4827,MATCH($B2273,'HS Codes'!$A$2:$A4827,0),MATCH(L$1,'HS Codes'!$D$1:$K$1,0)),"")</f>
        <v>63029120</v>
      </c>
      <c r="M2273" s="8" t="str">
        <f>_xlfn.IFNA(INDEX('HS Codes'!$C$2:$C4827,MATCH($B2273,'HS Codes'!$A$2:$A4827,0)),"")</f>
        <v>Beach Towel - Toilet Linen 100% recycled 220 GSM/83% polyester/17% polyamide includes cotton on the packing pouch drawstring</v>
      </c>
      <c r="N2273" s="9"/>
      <c r="O2273" s="9"/>
      <c r="P2273" s="9"/>
      <c r="Q2273" s="9"/>
    </row>
    <row r="2274" spans="1:17" ht="15.75" customHeight="1">
      <c r="A2274" s="7" t="s">
        <v>2566</v>
      </c>
      <c r="B2274" s="7" t="s">
        <v>167</v>
      </c>
      <c r="C2274" s="7" t="s">
        <v>278</v>
      </c>
      <c r="D2274" s="7" t="s">
        <v>168</v>
      </c>
      <c r="E2274" s="7" t="s">
        <v>752</v>
      </c>
      <c r="F2274" s="8" t="str">
        <f>_xlfn.IFNA(INDEX('HS Codes'!$D$2:$K4828,MATCH($B2274,'HS Codes'!$A$2:$A4828,0),MATCH(F$1,'HS Codes'!$D$1:$K$1,0)),"")</f>
        <v>6302.93.2000</v>
      </c>
      <c r="G2274" s="8">
        <f>_xlfn.IFNA(INDEX('HS Codes'!$D$2:$K4828,MATCH($B2274,'HS Codes'!$A$2:$A4828,0),MATCH(G$1,'HS Codes'!$D$1:$K$1,0)),"")</f>
        <v>6302600090</v>
      </c>
      <c r="H2274" s="8" t="str">
        <f>_xlfn.IFNA(INDEX('HS Codes'!$D$2:$K4828,MATCH($B2274,'HS Codes'!$A$2:$A4828,0),MATCH(H$1,'HS Codes'!$D$1:$K$1,0)),"")</f>
        <v>6302.93.00.00</v>
      </c>
      <c r="I2274" s="8">
        <f>_xlfn.IFNA(INDEX('HS Codes'!$D$2:$K4828,MATCH($B2274,'HS Codes'!$A$2:$A4828,0),MATCH(I$1,'HS Codes'!$D$1:$K$1,0)),"")</f>
        <v>6302939000</v>
      </c>
      <c r="J2274" s="8">
        <f>_xlfn.IFNA(INDEX('HS Codes'!$D$2:$K4828,MATCH($B2274,'HS Codes'!$A$2:$A4828,0),MATCH(J$1,'HS Codes'!$D$1:$K$1,0)),"")</f>
        <v>0</v>
      </c>
      <c r="K2274" s="8" t="str">
        <f>_xlfn.IFNA(INDEX('HS Codes'!$D$2:$K4828,MATCH($B2274,'HS Codes'!$A$2:$A4828,0),MATCH(K$1,'HS Codes'!$D$1:$K$1,0)),"")</f>
        <v>6302.39.00</v>
      </c>
      <c r="L2274" s="8">
        <f>_xlfn.IFNA(INDEX('HS Codes'!$D$2:$K4828,MATCH($B2274,'HS Codes'!$A$2:$A4828,0),MATCH(L$1,'HS Codes'!$D$1:$K$1,0)),"")</f>
        <v>63029120</v>
      </c>
      <c r="M2274" s="8" t="str">
        <f>_xlfn.IFNA(INDEX('HS Codes'!$C$2:$C4828,MATCH($B2274,'HS Codes'!$A$2:$A4828,0)),"")</f>
        <v>Beach Towel - Toilet Linen 100% recycled 220 GSM/83% polyester/17% polyamide includes cotton on the packing pouch drawstring</v>
      </c>
      <c r="N2274" s="9"/>
      <c r="O2274" s="9"/>
      <c r="P2274" s="9"/>
      <c r="Q2274" s="9"/>
    </row>
    <row r="2275" spans="1:17" ht="15.75" customHeight="1">
      <c r="A2275" s="7" t="s">
        <v>2567</v>
      </c>
      <c r="B2275" s="7" t="s">
        <v>167</v>
      </c>
      <c r="C2275" s="7" t="s">
        <v>278</v>
      </c>
      <c r="D2275" s="7" t="s">
        <v>168</v>
      </c>
      <c r="E2275" s="7" t="s">
        <v>752</v>
      </c>
      <c r="F2275" s="8" t="str">
        <f>_xlfn.IFNA(INDEX('HS Codes'!$D$2:$K4829,MATCH($B2275,'HS Codes'!$A$2:$A4829,0),MATCH(F$1,'HS Codes'!$D$1:$K$1,0)),"")</f>
        <v>6302.93.2000</v>
      </c>
      <c r="G2275" s="8">
        <f>_xlfn.IFNA(INDEX('HS Codes'!$D$2:$K4829,MATCH($B2275,'HS Codes'!$A$2:$A4829,0),MATCH(G$1,'HS Codes'!$D$1:$K$1,0)),"")</f>
        <v>6302600090</v>
      </c>
      <c r="H2275" s="8" t="str">
        <f>_xlfn.IFNA(INDEX('HS Codes'!$D$2:$K4829,MATCH($B2275,'HS Codes'!$A$2:$A4829,0),MATCH(H$1,'HS Codes'!$D$1:$K$1,0)),"")</f>
        <v>6302.93.00.00</v>
      </c>
      <c r="I2275" s="8">
        <f>_xlfn.IFNA(INDEX('HS Codes'!$D$2:$K4829,MATCH($B2275,'HS Codes'!$A$2:$A4829,0),MATCH(I$1,'HS Codes'!$D$1:$K$1,0)),"")</f>
        <v>6302939000</v>
      </c>
      <c r="J2275" s="8">
        <f>_xlfn.IFNA(INDEX('HS Codes'!$D$2:$K4829,MATCH($B2275,'HS Codes'!$A$2:$A4829,0),MATCH(J$1,'HS Codes'!$D$1:$K$1,0)),"")</f>
        <v>0</v>
      </c>
      <c r="K2275" s="8" t="str">
        <f>_xlfn.IFNA(INDEX('HS Codes'!$D$2:$K4829,MATCH($B2275,'HS Codes'!$A$2:$A4829,0),MATCH(K$1,'HS Codes'!$D$1:$K$1,0)),"")</f>
        <v>6302.39.00</v>
      </c>
      <c r="L2275" s="8">
        <f>_xlfn.IFNA(INDEX('HS Codes'!$D$2:$K4829,MATCH($B2275,'HS Codes'!$A$2:$A4829,0),MATCH(L$1,'HS Codes'!$D$1:$K$1,0)),"")</f>
        <v>63029120</v>
      </c>
      <c r="M2275" s="8" t="str">
        <f>_xlfn.IFNA(INDEX('HS Codes'!$C$2:$C4829,MATCH($B2275,'HS Codes'!$A$2:$A4829,0)),"")</f>
        <v>Beach Towel - Toilet Linen 100% recycled 220 GSM/83% polyester/17% polyamide includes cotton on the packing pouch drawstring</v>
      </c>
      <c r="N2275" s="9"/>
      <c r="O2275" s="9"/>
      <c r="P2275" s="9"/>
      <c r="Q2275" s="9"/>
    </row>
    <row r="2276" spans="1:17" ht="15.75" customHeight="1">
      <c r="A2276" s="7" t="s">
        <v>2568</v>
      </c>
      <c r="B2276" s="7" t="s">
        <v>167</v>
      </c>
      <c r="C2276" s="7" t="s">
        <v>278</v>
      </c>
      <c r="D2276" s="7" t="s">
        <v>168</v>
      </c>
      <c r="E2276" s="7" t="s">
        <v>752</v>
      </c>
      <c r="F2276" s="8" t="str">
        <f>_xlfn.IFNA(INDEX('HS Codes'!$D$2:$K4830,MATCH($B2276,'HS Codes'!$A$2:$A4830,0),MATCH(F$1,'HS Codes'!$D$1:$K$1,0)),"")</f>
        <v>6302.93.2000</v>
      </c>
      <c r="G2276" s="8">
        <f>_xlfn.IFNA(INDEX('HS Codes'!$D$2:$K4830,MATCH($B2276,'HS Codes'!$A$2:$A4830,0),MATCH(G$1,'HS Codes'!$D$1:$K$1,0)),"")</f>
        <v>6302600090</v>
      </c>
      <c r="H2276" s="8" t="str">
        <f>_xlfn.IFNA(INDEX('HS Codes'!$D$2:$K4830,MATCH($B2276,'HS Codes'!$A$2:$A4830,0),MATCH(H$1,'HS Codes'!$D$1:$K$1,0)),"")</f>
        <v>6302.93.00.00</v>
      </c>
      <c r="I2276" s="8">
        <f>_xlfn.IFNA(INDEX('HS Codes'!$D$2:$K4830,MATCH($B2276,'HS Codes'!$A$2:$A4830,0),MATCH(I$1,'HS Codes'!$D$1:$K$1,0)),"")</f>
        <v>6302939000</v>
      </c>
      <c r="J2276" s="8">
        <f>_xlfn.IFNA(INDEX('HS Codes'!$D$2:$K4830,MATCH($B2276,'HS Codes'!$A$2:$A4830,0),MATCH(J$1,'HS Codes'!$D$1:$K$1,0)),"")</f>
        <v>0</v>
      </c>
      <c r="K2276" s="8" t="str">
        <f>_xlfn.IFNA(INDEX('HS Codes'!$D$2:$K4830,MATCH($B2276,'HS Codes'!$A$2:$A4830,0),MATCH(K$1,'HS Codes'!$D$1:$K$1,0)),"")</f>
        <v>6302.39.00</v>
      </c>
      <c r="L2276" s="8">
        <f>_xlfn.IFNA(INDEX('HS Codes'!$D$2:$K4830,MATCH($B2276,'HS Codes'!$A$2:$A4830,0),MATCH(L$1,'HS Codes'!$D$1:$K$1,0)),"")</f>
        <v>63029120</v>
      </c>
      <c r="M2276" s="8" t="str">
        <f>_xlfn.IFNA(INDEX('HS Codes'!$C$2:$C4830,MATCH($B2276,'HS Codes'!$A$2:$A4830,0)),"")</f>
        <v>Beach Towel - Toilet Linen 100% recycled 220 GSM/83% polyester/17% polyamide includes cotton on the packing pouch drawstring</v>
      </c>
      <c r="N2276" s="9"/>
      <c r="O2276" s="9"/>
      <c r="P2276" s="9"/>
      <c r="Q2276" s="9"/>
    </row>
    <row r="2277" spans="1:17" ht="15.75" customHeight="1">
      <c r="A2277" s="7" t="s">
        <v>2569</v>
      </c>
      <c r="B2277" s="7" t="s">
        <v>167</v>
      </c>
      <c r="C2277" s="7" t="s">
        <v>278</v>
      </c>
      <c r="D2277" s="7" t="s">
        <v>168</v>
      </c>
      <c r="E2277" s="7" t="s">
        <v>752</v>
      </c>
      <c r="F2277" s="8" t="str">
        <f>_xlfn.IFNA(INDEX('HS Codes'!$D$2:$K4831,MATCH($B2277,'HS Codes'!$A$2:$A4831,0),MATCH(F$1,'HS Codes'!$D$1:$K$1,0)),"")</f>
        <v>6302.93.2000</v>
      </c>
      <c r="G2277" s="8">
        <f>_xlfn.IFNA(INDEX('HS Codes'!$D$2:$K4831,MATCH($B2277,'HS Codes'!$A$2:$A4831,0),MATCH(G$1,'HS Codes'!$D$1:$K$1,0)),"")</f>
        <v>6302600090</v>
      </c>
      <c r="H2277" s="8" t="str">
        <f>_xlfn.IFNA(INDEX('HS Codes'!$D$2:$K4831,MATCH($B2277,'HS Codes'!$A$2:$A4831,0),MATCH(H$1,'HS Codes'!$D$1:$K$1,0)),"")</f>
        <v>6302.93.00.00</v>
      </c>
      <c r="I2277" s="8">
        <f>_xlfn.IFNA(INDEX('HS Codes'!$D$2:$K4831,MATCH($B2277,'HS Codes'!$A$2:$A4831,0),MATCH(I$1,'HS Codes'!$D$1:$K$1,0)),"")</f>
        <v>6302939000</v>
      </c>
      <c r="J2277" s="8">
        <f>_xlfn.IFNA(INDEX('HS Codes'!$D$2:$K4831,MATCH($B2277,'HS Codes'!$A$2:$A4831,0),MATCH(J$1,'HS Codes'!$D$1:$K$1,0)),"")</f>
        <v>0</v>
      </c>
      <c r="K2277" s="8" t="str">
        <f>_xlfn.IFNA(INDEX('HS Codes'!$D$2:$K4831,MATCH($B2277,'HS Codes'!$A$2:$A4831,0),MATCH(K$1,'HS Codes'!$D$1:$K$1,0)),"")</f>
        <v>6302.39.00</v>
      </c>
      <c r="L2277" s="8">
        <f>_xlfn.IFNA(INDEX('HS Codes'!$D$2:$K4831,MATCH($B2277,'HS Codes'!$A$2:$A4831,0),MATCH(L$1,'HS Codes'!$D$1:$K$1,0)),"")</f>
        <v>63029120</v>
      </c>
      <c r="M2277" s="8" t="str">
        <f>_xlfn.IFNA(INDEX('HS Codes'!$C$2:$C4831,MATCH($B2277,'HS Codes'!$A$2:$A4831,0)),"")</f>
        <v>Beach Towel - Toilet Linen 100% recycled 220 GSM/83% polyester/17% polyamide includes cotton on the packing pouch drawstring</v>
      </c>
      <c r="N2277" s="9"/>
      <c r="O2277" s="9"/>
      <c r="P2277" s="9"/>
      <c r="Q2277" s="9"/>
    </row>
    <row r="2278" spans="1:17" ht="15.75" customHeight="1">
      <c r="A2278" s="7" t="s">
        <v>2570</v>
      </c>
      <c r="B2278" s="7" t="s">
        <v>167</v>
      </c>
      <c r="C2278" s="7" t="s">
        <v>278</v>
      </c>
      <c r="D2278" s="7" t="s">
        <v>168</v>
      </c>
      <c r="E2278" s="7" t="s">
        <v>752</v>
      </c>
      <c r="F2278" s="8" t="str">
        <f>_xlfn.IFNA(INDEX('HS Codes'!$D$2:$K4832,MATCH($B2278,'HS Codes'!$A$2:$A4832,0),MATCH(F$1,'HS Codes'!$D$1:$K$1,0)),"")</f>
        <v>6302.93.2000</v>
      </c>
      <c r="G2278" s="8">
        <f>_xlfn.IFNA(INDEX('HS Codes'!$D$2:$K4832,MATCH($B2278,'HS Codes'!$A$2:$A4832,0),MATCH(G$1,'HS Codes'!$D$1:$K$1,0)),"")</f>
        <v>6302600090</v>
      </c>
      <c r="H2278" s="8" t="str">
        <f>_xlfn.IFNA(INDEX('HS Codes'!$D$2:$K4832,MATCH($B2278,'HS Codes'!$A$2:$A4832,0),MATCH(H$1,'HS Codes'!$D$1:$K$1,0)),"")</f>
        <v>6302.93.00.00</v>
      </c>
      <c r="I2278" s="8">
        <f>_xlfn.IFNA(INDEX('HS Codes'!$D$2:$K4832,MATCH($B2278,'HS Codes'!$A$2:$A4832,0),MATCH(I$1,'HS Codes'!$D$1:$K$1,0)),"")</f>
        <v>6302939000</v>
      </c>
      <c r="J2278" s="8">
        <f>_xlfn.IFNA(INDEX('HS Codes'!$D$2:$K4832,MATCH($B2278,'HS Codes'!$A$2:$A4832,0),MATCH(J$1,'HS Codes'!$D$1:$K$1,0)),"")</f>
        <v>0</v>
      </c>
      <c r="K2278" s="8" t="str">
        <f>_xlfn.IFNA(INDEX('HS Codes'!$D$2:$K4832,MATCH($B2278,'HS Codes'!$A$2:$A4832,0),MATCH(K$1,'HS Codes'!$D$1:$K$1,0)),"")</f>
        <v>6302.39.00</v>
      </c>
      <c r="L2278" s="8">
        <f>_xlfn.IFNA(INDEX('HS Codes'!$D$2:$K4832,MATCH($B2278,'HS Codes'!$A$2:$A4832,0),MATCH(L$1,'HS Codes'!$D$1:$K$1,0)),"")</f>
        <v>63029120</v>
      </c>
      <c r="M2278" s="8" t="str">
        <f>_xlfn.IFNA(INDEX('HS Codes'!$C$2:$C4832,MATCH($B2278,'HS Codes'!$A$2:$A4832,0)),"")</f>
        <v>Beach Towel - Toilet Linen 100% recycled 220 GSM/83% polyester/17% polyamide includes cotton on the packing pouch drawstring</v>
      </c>
      <c r="N2278" s="9"/>
      <c r="O2278" s="9"/>
      <c r="P2278" s="9"/>
      <c r="Q2278" s="9"/>
    </row>
    <row r="2279" spans="1:17" ht="15.75" customHeight="1">
      <c r="A2279" s="7" t="s">
        <v>2571</v>
      </c>
      <c r="B2279" s="7" t="s">
        <v>167</v>
      </c>
      <c r="C2279" s="7" t="s">
        <v>278</v>
      </c>
      <c r="D2279" s="7" t="s">
        <v>168</v>
      </c>
      <c r="E2279" s="7" t="s">
        <v>752</v>
      </c>
      <c r="F2279" s="8" t="str">
        <f>_xlfn.IFNA(INDEX('HS Codes'!$D$2:$K4833,MATCH($B2279,'HS Codes'!$A$2:$A4833,0),MATCH(F$1,'HS Codes'!$D$1:$K$1,0)),"")</f>
        <v>6302.93.2000</v>
      </c>
      <c r="G2279" s="8">
        <f>_xlfn.IFNA(INDEX('HS Codes'!$D$2:$K4833,MATCH($B2279,'HS Codes'!$A$2:$A4833,0),MATCH(G$1,'HS Codes'!$D$1:$K$1,0)),"")</f>
        <v>6302600090</v>
      </c>
      <c r="H2279" s="8" t="str">
        <f>_xlfn.IFNA(INDEX('HS Codes'!$D$2:$K4833,MATCH($B2279,'HS Codes'!$A$2:$A4833,0),MATCH(H$1,'HS Codes'!$D$1:$K$1,0)),"")</f>
        <v>6302.93.00.00</v>
      </c>
      <c r="I2279" s="8">
        <f>_xlfn.IFNA(INDEX('HS Codes'!$D$2:$K4833,MATCH($B2279,'HS Codes'!$A$2:$A4833,0),MATCH(I$1,'HS Codes'!$D$1:$K$1,0)),"")</f>
        <v>6302939000</v>
      </c>
      <c r="J2279" s="8">
        <f>_xlfn.IFNA(INDEX('HS Codes'!$D$2:$K4833,MATCH($B2279,'HS Codes'!$A$2:$A4833,0),MATCH(J$1,'HS Codes'!$D$1:$K$1,0)),"")</f>
        <v>0</v>
      </c>
      <c r="K2279" s="8" t="str">
        <f>_xlfn.IFNA(INDEX('HS Codes'!$D$2:$K4833,MATCH($B2279,'HS Codes'!$A$2:$A4833,0),MATCH(K$1,'HS Codes'!$D$1:$K$1,0)),"")</f>
        <v>6302.39.00</v>
      </c>
      <c r="L2279" s="8">
        <f>_xlfn.IFNA(INDEX('HS Codes'!$D$2:$K4833,MATCH($B2279,'HS Codes'!$A$2:$A4833,0),MATCH(L$1,'HS Codes'!$D$1:$K$1,0)),"")</f>
        <v>63029120</v>
      </c>
      <c r="M2279" s="8" t="str">
        <f>_xlfn.IFNA(INDEX('HS Codes'!$C$2:$C4833,MATCH($B2279,'HS Codes'!$A$2:$A4833,0)),"")</f>
        <v>Beach Towel - Toilet Linen 100% recycled 220 GSM/83% polyester/17% polyamide includes cotton on the packing pouch drawstring</v>
      </c>
      <c r="N2279" s="9"/>
      <c r="O2279" s="9"/>
      <c r="P2279" s="9"/>
      <c r="Q2279" s="9"/>
    </row>
    <row r="2280" spans="1:17" ht="15.75" customHeight="1">
      <c r="A2280" s="7" t="s">
        <v>2572</v>
      </c>
      <c r="B2280" s="7" t="s">
        <v>167</v>
      </c>
      <c r="C2280" s="7" t="s">
        <v>278</v>
      </c>
      <c r="D2280" s="7" t="s">
        <v>168</v>
      </c>
      <c r="E2280" s="7" t="s">
        <v>752</v>
      </c>
      <c r="F2280" s="8" t="str">
        <f>_xlfn.IFNA(INDEX('HS Codes'!$D$2:$K4834,MATCH($B2280,'HS Codes'!$A$2:$A4834,0),MATCH(F$1,'HS Codes'!$D$1:$K$1,0)),"")</f>
        <v>6302.93.2000</v>
      </c>
      <c r="G2280" s="8">
        <f>_xlfn.IFNA(INDEX('HS Codes'!$D$2:$K4834,MATCH($B2280,'HS Codes'!$A$2:$A4834,0),MATCH(G$1,'HS Codes'!$D$1:$K$1,0)),"")</f>
        <v>6302600090</v>
      </c>
      <c r="H2280" s="8" t="str">
        <f>_xlfn.IFNA(INDEX('HS Codes'!$D$2:$K4834,MATCH($B2280,'HS Codes'!$A$2:$A4834,0),MATCH(H$1,'HS Codes'!$D$1:$K$1,0)),"")</f>
        <v>6302.93.00.00</v>
      </c>
      <c r="I2280" s="8">
        <f>_xlfn.IFNA(INDEX('HS Codes'!$D$2:$K4834,MATCH($B2280,'HS Codes'!$A$2:$A4834,0),MATCH(I$1,'HS Codes'!$D$1:$K$1,0)),"")</f>
        <v>6302939000</v>
      </c>
      <c r="J2280" s="8">
        <f>_xlfn.IFNA(INDEX('HS Codes'!$D$2:$K4834,MATCH($B2280,'HS Codes'!$A$2:$A4834,0),MATCH(J$1,'HS Codes'!$D$1:$K$1,0)),"")</f>
        <v>0</v>
      </c>
      <c r="K2280" s="8" t="str">
        <f>_xlfn.IFNA(INDEX('HS Codes'!$D$2:$K4834,MATCH($B2280,'HS Codes'!$A$2:$A4834,0),MATCH(K$1,'HS Codes'!$D$1:$K$1,0)),"")</f>
        <v>6302.39.00</v>
      </c>
      <c r="L2280" s="8">
        <f>_xlfn.IFNA(INDEX('HS Codes'!$D$2:$K4834,MATCH($B2280,'HS Codes'!$A$2:$A4834,0),MATCH(L$1,'HS Codes'!$D$1:$K$1,0)),"")</f>
        <v>63029120</v>
      </c>
      <c r="M2280" s="8" t="str">
        <f>_xlfn.IFNA(INDEX('HS Codes'!$C$2:$C4834,MATCH($B2280,'HS Codes'!$A$2:$A4834,0)),"")</f>
        <v>Beach Towel - Toilet Linen 100% recycled 220 GSM/83% polyester/17% polyamide includes cotton on the packing pouch drawstring</v>
      </c>
      <c r="N2280" s="9"/>
      <c r="O2280" s="9"/>
      <c r="P2280" s="9"/>
      <c r="Q2280" s="9"/>
    </row>
    <row r="2281" spans="1:17" ht="15.75" customHeight="1">
      <c r="A2281" s="7" t="s">
        <v>2573</v>
      </c>
      <c r="B2281" s="7" t="s">
        <v>167</v>
      </c>
      <c r="C2281" s="7" t="s">
        <v>278</v>
      </c>
      <c r="D2281" s="7" t="s">
        <v>168</v>
      </c>
      <c r="E2281" s="7" t="s">
        <v>752</v>
      </c>
      <c r="F2281" s="8" t="str">
        <f>_xlfn.IFNA(INDEX('HS Codes'!$D$2:$K4835,MATCH($B2281,'HS Codes'!$A$2:$A4835,0),MATCH(F$1,'HS Codes'!$D$1:$K$1,0)),"")</f>
        <v>6302.93.2000</v>
      </c>
      <c r="G2281" s="8">
        <f>_xlfn.IFNA(INDEX('HS Codes'!$D$2:$K4835,MATCH($B2281,'HS Codes'!$A$2:$A4835,0),MATCH(G$1,'HS Codes'!$D$1:$K$1,0)),"")</f>
        <v>6302600090</v>
      </c>
      <c r="H2281" s="8" t="str">
        <f>_xlfn.IFNA(INDEX('HS Codes'!$D$2:$K4835,MATCH($B2281,'HS Codes'!$A$2:$A4835,0),MATCH(H$1,'HS Codes'!$D$1:$K$1,0)),"")</f>
        <v>6302.93.00.00</v>
      </c>
      <c r="I2281" s="8">
        <f>_xlfn.IFNA(INDEX('HS Codes'!$D$2:$K4835,MATCH($B2281,'HS Codes'!$A$2:$A4835,0),MATCH(I$1,'HS Codes'!$D$1:$K$1,0)),"")</f>
        <v>6302939000</v>
      </c>
      <c r="J2281" s="8">
        <f>_xlfn.IFNA(INDEX('HS Codes'!$D$2:$K4835,MATCH($B2281,'HS Codes'!$A$2:$A4835,0),MATCH(J$1,'HS Codes'!$D$1:$K$1,0)),"")</f>
        <v>0</v>
      </c>
      <c r="K2281" s="8" t="str">
        <f>_xlfn.IFNA(INDEX('HS Codes'!$D$2:$K4835,MATCH($B2281,'HS Codes'!$A$2:$A4835,0),MATCH(K$1,'HS Codes'!$D$1:$K$1,0)),"")</f>
        <v>6302.39.00</v>
      </c>
      <c r="L2281" s="8">
        <f>_xlfn.IFNA(INDEX('HS Codes'!$D$2:$K4835,MATCH($B2281,'HS Codes'!$A$2:$A4835,0),MATCH(L$1,'HS Codes'!$D$1:$K$1,0)),"")</f>
        <v>63029120</v>
      </c>
      <c r="M2281" s="8" t="str">
        <f>_xlfn.IFNA(INDEX('HS Codes'!$C$2:$C4835,MATCH($B2281,'HS Codes'!$A$2:$A4835,0)),"")</f>
        <v>Beach Towel - Toilet Linen 100% recycled 220 GSM/83% polyester/17% polyamide includes cotton on the packing pouch drawstring</v>
      </c>
      <c r="N2281" s="9"/>
      <c r="O2281" s="9"/>
      <c r="P2281" s="9"/>
      <c r="Q2281" s="9"/>
    </row>
    <row r="2282" spans="1:17" ht="15.75" customHeight="1">
      <c r="A2282" s="7" t="s">
        <v>2574</v>
      </c>
      <c r="B2282" s="7" t="s">
        <v>167</v>
      </c>
      <c r="C2282" s="7" t="s">
        <v>278</v>
      </c>
      <c r="D2282" s="7" t="s">
        <v>168</v>
      </c>
      <c r="E2282" s="7" t="s">
        <v>752</v>
      </c>
      <c r="F2282" s="8" t="str">
        <f>_xlfn.IFNA(INDEX('HS Codes'!$D$2:$K4836,MATCH($B2282,'HS Codes'!$A$2:$A4836,0),MATCH(F$1,'HS Codes'!$D$1:$K$1,0)),"")</f>
        <v>6302.93.2000</v>
      </c>
      <c r="G2282" s="8">
        <f>_xlfn.IFNA(INDEX('HS Codes'!$D$2:$K4836,MATCH($B2282,'HS Codes'!$A$2:$A4836,0),MATCH(G$1,'HS Codes'!$D$1:$K$1,0)),"")</f>
        <v>6302600090</v>
      </c>
      <c r="H2282" s="8" t="str">
        <f>_xlfn.IFNA(INDEX('HS Codes'!$D$2:$K4836,MATCH($B2282,'HS Codes'!$A$2:$A4836,0),MATCH(H$1,'HS Codes'!$D$1:$K$1,0)),"")</f>
        <v>6302.93.00.00</v>
      </c>
      <c r="I2282" s="8">
        <f>_xlfn.IFNA(INDEX('HS Codes'!$D$2:$K4836,MATCH($B2282,'HS Codes'!$A$2:$A4836,0),MATCH(I$1,'HS Codes'!$D$1:$K$1,0)),"")</f>
        <v>6302939000</v>
      </c>
      <c r="J2282" s="8">
        <f>_xlfn.IFNA(INDEX('HS Codes'!$D$2:$K4836,MATCH($B2282,'HS Codes'!$A$2:$A4836,0),MATCH(J$1,'HS Codes'!$D$1:$K$1,0)),"")</f>
        <v>0</v>
      </c>
      <c r="K2282" s="8" t="str">
        <f>_xlfn.IFNA(INDEX('HS Codes'!$D$2:$K4836,MATCH($B2282,'HS Codes'!$A$2:$A4836,0),MATCH(K$1,'HS Codes'!$D$1:$K$1,0)),"")</f>
        <v>6302.39.00</v>
      </c>
      <c r="L2282" s="8">
        <f>_xlfn.IFNA(INDEX('HS Codes'!$D$2:$K4836,MATCH($B2282,'HS Codes'!$A$2:$A4836,0),MATCH(L$1,'HS Codes'!$D$1:$K$1,0)),"")</f>
        <v>63029120</v>
      </c>
      <c r="M2282" s="8" t="str">
        <f>_xlfn.IFNA(INDEX('HS Codes'!$C$2:$C4836,MATCH($B2282,'HS Codes'!$A$2:$A4836,0)),"")</f>
        <v>Beach Towel - Toilet Linen 100% recycled 220 GSM/83% polyester/17% polyamide includes cotton on the packing pouch drawstring</v>
      </c>
      <c r="N2282" s="9"/>
      <c r="O2282" s="9"/>
      <c r="P2282" s="9"/>
      <c r="Q2282" s="9"/>
    </row>
    <row r="2283" spans="1:17" ht="15.75" customHeight="1">
      <c r="A2283" s="7" t="s">
        <v>2575</v>
      </c>
      <c r="B2283" s="7" t="s">
        <v>167</v>
      </c>
      <c r="C2283" s="7" t="s">
        <v>278</v>
      </c>
      <c r="D2283" s="7" t="s">
        <v>168</v>
      </c>
      <c r="E2283" s="7" t="s">
        <v>752</v>
      </c>
      <c r="F2283" s="8" t="str">
        <f>_xlfn.IFNA(INDEX('HS Codes'!$D$2:$K4837,MATCH($B2283,'HS Codes'!$A$2:$A4837,0),MATCH(F$1,'HS Codes'!$D$1:$K$1,0)),"")</f>
        <v>6302.93.2000</v>
      </c>
      <c r="G2283" s="8">
        <f>_xlfn.IFNA(INDEX('HS Codes'!$D$2:$K4837,MATCH($B2283,'HS Codes'!$A$2:$A4837,0),MATCH(G$1,'HS Codes'!$D$1:$K$1,0)),"")</f>
        <v>6302600090</v>
      </c>
      <c r="H2283" s="8" t="str">
        <f>_xlfn.IFNA(INDEX('HS Codes'!$D$2:$K4837,MATCH($B2283,'HS Codes'!$A$2:$A4837,0),MATCH(H$1,'HS Codes'!$D$1:$K$1,0)),"")</f>
        <v>6302.93.00.00</v>
      </c>
      <c r="I2283" s="8">
        <f>_xlfn.IFNA(INDEX('HS Codes'!$D$2:$K4837,MATCH($B2283,'HS Codes'!$A$2:$A4837,0),MATCH(I$1,'HS Codes'!$D$1:$K$1,0)),"")</f>
        <v>6302939000</v>
      </c>
      <c r="J2283" s="8">
        <f>_xlfn.IFNA(INDEX('HS Codes'!$D$2:$K4837,MATCH($B2283,'HS Codes'!$A$2:$A4837,0),MATCH(J$1,'HS Codes'!$D$1:$K$1,0)),"")</f>
        <v>0</v>
      </c>
      <c r="K2283" s="8" t="str">
        <f>_xlfn.IFNA(INDEX('HS Codes'!$D$2:$K4837,MATCH($B2283,'HS Codes'!$A$2:$A4837,0),MATCH(K$1,'HS Codes'!$D$1:$K$1,0)),"")</f>
        <v>6302.39.00</v>
      </c>
      <c r="L2283" s="8">
        <f>_xlfn.IFNA(INDEX('HS Codes'!$D$2:$K4837,MATCH($B2283,'HS Codes'!$A$2:$A4837,0),MATCH(L$1,'HS Codes'!$D$1:$K$1,0)),"")</f>
        <v>63029120</v>
      </c>
      <c r="M2283" s="8" t="str">
        <f>_xlfn.IFNA(INDEX('HS Codes'!$C$2:$C4837,MATCH($B2283,'HS Codes'!$A$2:$A4837,0)),"")</f>
        <v>Beach Towel - Toilet Linen 100% recycled 220 GSM/83% polyester/17% polyamide includes cotton on the packing pouch drawstring</v>
      </c>
      <c r="N2283" s="9"/>
      <c r="O2283" s="9"/>
      <c r="P2283" s="9"/>
      <c r="Q2283" s="9"/>
    </row>
    <row r="2284" spans="1:17" ht="15.75" customHeight="1">
      <c r="A2284" s="7" t="s">
        <v>2576</v>
      </c>
      <c r="B2284" s="7" t="s">
        <v>167</v>
      </c>
      <c r="C2284" s="7" t="s">
        <v>278</v>
      </c>
      <c r="D2284" s="7" t="s">
        <v>168</v>
      </c>
      <c r="E2284" s="7" t="s">
        <v>752</v>
      </c>
      <c r="F2284" s="8" t="str">
        <f>_xlfn.IFNA(INDEX('HS Codes'!$D$2:$K4838,MATCH($B2284,'HS Codes'!$A$2:$A4838,0),MATCH(F$1,'HS Codes'!$D$1:$K$1,0)),"")</f>
        <v>6302.93.2000</v>
      </c>
      <c r="G2284" s="8">
        <f>_xlfn.IFNA(INDEX('HS Codes'!$D$2:$K4838,MATCH($B2284,'HS Codes'!$A$2:$A4838,0),MATCH(G$1,'HS Codes'!$D$1:$K$1,0)),"")</f>
        <v>6302600090</v>
      </c>
      <c r="H2284" s="8" t="str">
        <f>_xlfn.IFNA(INDEX('HS Codes'!$D$2:$K4838,MATCH($B2284,'HS Codes'!$A$2:$A4838,0),MATCH(H$1,'HS Codes'!$D$1:$K$1,0)),"")</f>
        <v>6302.93.00.00</v>
      </c>
      <c r="I2284" s="8">
        <f>_xlfn.IFNA(INDEX('HS Codes'!$D$2:$K4838,MATCH($B2284,'HS Codes'!$A$2:$A4838,0),MATCH(I$1,'HS Codes'!$D$1:$K$1,0)),"")</f>
        <v>6302939000</v>
      </c>
      <c r="J2284" s="8">
        <f>_xlfn.IFNA(INDEX('HS Codes'!$D$2:$K4838,MATCH($B2284,'HS Codes'!$A$2:$A4838,0),MATCH(J$1,'HS Codes'!$D$1:$K$1,0)),"")</f>
        <v>0</v>
      </c>
      <c r="K2284" s="8" t="str">
        <f>_xlfn.IFNA(INDEX('HS Codes'!$D$2:$K4838,MATCH($B2284,'HS Codes'!$A$2:$A4838,0),MATCH(K$1,'HS Codes'!$D$1:$K$1,0)),"")</f>
        <v>6302.39.00</v>
      </c>
      <c r="L2284" s="8">
        <f>_xlfn.IFNA(INDEX('HS Codes'!$D$2:$K4838,MATCH($B2284,'HS Codes'!$A$2:$A4838,0),MATCH(L$1,'HS Codes'!$D$1:$K$1,0)),"")</f>
        <v>63029120</v>
      </c>
      <c r="M2284" s="8" t="str">
        <f>_xlfn.IFNA(INDEX('HS Codes'!$C$2:$C4838,MATCH($B2284,'HS Codes'!$A$2:$A4838,0)),"")</f>
        <v>Beach Towel - Toilet Linen 100% recycled 220 GSM/83% polyester/17% polyamide includes cotton on the packing pouch drawstring</v>
      </c>
      <c r="N2284" s="9"/>
      <c r="O2284" s="9"/>
      <c r="P2284" s="9"/>
      <c r="Q2284" s="9"/>
    </row>
    <row r="2285" spans="1:17" ht="15.75" customHeight="1">
      <c r="A2285" s="7" t="s">
        <v>2577</v>
      </c>
      <c r="B2285" s="7" t="s">
        <v>167</v>
      </c>
      <c r="C2285" s="7" t="s">
        <v>278</v>
      </c>
      <c r="D2285" s="7" t="s">
        <v>168</v>
      </c>
      <c r="E2285" s="7" t="s">
        <v>752</v>
      </c>
      <c r="F2285" s="8" t="str">
        <f>_xlfn.IFNA(INDEX('HS Codes'!$D$2:$K4839,MATCH($B2285,'HS Codes'!$A$2:$A4839,0),MATCH(F$1,'HS Codes'!$D$1:$K$1,0)),"")</f>
        <v>6302.93.2000</v>
      </c>
      <c r="G2285" s="8">
        <f>_xlfn.IFNA(INDEX('HS Codes'!$D$2:$K4839,MATCH($B2285,'HS Codes'!$A$2:$A4839,0),MATCH(G$1,'HS Codes'!$D$1:$K$1,0)),"")</f>
        <v>6302600090</v>
      </c>
      <c r="H2285" s="8" t="str">
        <f>_xlfn.IFNA(INDEX('HS Codes'!$D$2:$K4839,MATCH($B2285,'HS Codes'!$A$2:$A4839,0),MATCH(H$1,'HS Codes'!$D$1:$K$1,0)),"")</f>
        <v>6302.93.00.00</v>
      </c>
      <c r="I2285" s="8">
        <f>_xlfn.IFNA(INDEX('HS Codes'!$D$2:$K4839,MATCH($B2285,'HS Codes'!$A$2:$A4839,0),MATCH(I$1,'HS Codes'!$D$1:$K$1,0)),"")</f>
        <v>6302939000</v>
      </c>
      <c r="J2285" s="8">
        <f>_xlfn.IFNA(INDEX('HS Codes'!$D$2:$K4839,MATCH($B2285,'HS Codes'!$A$2:$A4839,0),MATCH(J$1,'HS Codes'!$D$1:$K$1,0)),"")</f>
        <v>0</v>
      </c>
      <c r="K2285" s="8" t="str">
        <f>_xlfn.IFNA(INDEX('HS Codes'!$D$2:$K4839,MATCH($B2285,'HS Codes'!$A$2:$A4839,0),MATCH(K$1,'HS Codes'!$D$1:$K$1,0)),"")</f>
        <v>6302.39.00</v>
      </c>
      <c r="L2285" s="8">
        <f>_xlfn.IFNA(INDEX('HS Codes'!$D$2:$K4839,MATCH($B2285,'HS Codes'!$A$2:$A4839,0),MATCH(L$1,'HS Codes'!$D$1:$K$1,0)),"")</f>
        <v>63029120</v>
      </c>
      <c r="M2285" s="8" t="str">
        <f>_xlfn.IFNA(INDEX('HS Codes'!$C$2:$C4839,MATCH($B2285,'HS Codes'!$A$2:$A4839,0)),"")</f>
        <v>Beach Towel - Toilet Linen 100% recycled 220 GSM/83% polyester/17% polyamide includes cotton on the packing pouch drawstring</v>
      </c>
      <c r="N2285" s="9"/>
      <c r="O2285" s="9"/>
      <c r="P2285" s="9"/>
      <c r="Q2285" s="9"/>
    </row>
    <row r="2286" spans="1:17" ht="15.75" customHeight="1">
      <c r="A2286" s="7" t="s">
        <v>2578</v>
      </c>
      <c r="B2286" s="7" t="s">
        <v>167</v>
      </c>
      <c r="C2286" s="7" t="s">
        <v>278</v>
      </c>
      <c r="D2286" s="7" t="s">
        <v>168</v>
      </c>
      <c r="E2286" s="7" t="s">
        <v>752</v>
      </c>
      <c r="F2286" s="8" t="str">
        <f>_xlfn.IFNA(INDEX('HS Codes'!$D$2:$K4840,MATCH($B2286,'HS Codes'!$A$2:$A4840,0),MATCH(F$1,'HS Codes'!$D$1:$K$1,0)),"")</f>
        <v>6302.93.2000</v>
      </c>
      <c r="G2286" s="8">
        <f>_xlfn.IFNA(INDEX('HS Codes'!$D$2:$K4840,MATCH($B2286,'HS Codes'!$A$2:$A4840,0),MATCH(G$1,'HS Codes'!$D$1:$K$1,0)),"")</f>
        <v>6302600090</v>
      </c>
      <c r="H2286" s="8" t="str">
        <f>_xlfn.IFNA(INDEX('HS Codes'!$D$2:$K4840,MATCH($B2286,'HS Codes'!$A$2:$A4840,0),MATCH(H$1,'HS Codes'!$D$1:$K$1,0)),"")</f>
        <v>6302.93.00.00</v>
      </c>
      <c r="I2286" s="8">
        <f>_xlfn.IFNA(INDEX('HS Codes'!$D$2:$K4840,MATCH($B2286,'HS Codes'!$A$2:$A4840,0),MATCH(I$1,'HS Codes'!$D$1:$K$1,0)),"")</f>
        <v>6302939000</v>
      </c>
      <c r="J2286" s="8">
        <f>_xlfn.IFNA(INDEX('HS Codes'!$D$2:$K4840,MATCH($B2286,'HS Codes'!$A$2:$A4840,0),MATCH(J$1,'HS Codes'!$D$1:$K$1,0)),"")</f>
        <v>0</v>
      </c>
      <c r="K2286" s="8" t="str">
        <f>_xlfn.IFNA(INDEX('HS Codes'!$D$2:$K4840,MATCH($B2286,'HS Codes'!$A$2:$A4840,0),MATCH(K$1,'HS Codes'!$D$1:$K$1,0)),"")</f>
        <v>6302.39.00</v>
      </c>
      <c r="L2286" s="8">
        <f>_xlfn.IFNA(INDEX('HS Codes'!$D$2:$K4840,MATCH($B2286,'HS Codes'!$A$2:$A4840,0),MATCH(L$1,'HS Codes'!$D$1:$K$1,0)),"")</f>
        <v>63029120</v>
      </c>
      <c r="M2286" s="8" t="str">
        <f>_xlfn.IFNA(INDEX('HS Codes'!$C$2:$C4840,MATCH($B2286,'HS Codes'!$A$2:$A4840,0)),"")</f>
        <v>Beach Towel - Toilet Linen 100% recycled 220 GSM/83% polyester/17% polyamide includes cotton on the packing pouch drawstring</v>
      </c>
      <c r="N2286" s="9"/>
      <c r="O2286" s="9"/>
      <c r="P2286" s="9"/>
      <c r="Q2286" s="9"/>
    </row>
    <row r="2287" spans="1:17" ht="15.75" customHeight="1">
      <c r="A2287" s="7" t="s">
        <v>2579</v>
      </c>
      <c r="B2287" s="7" t="s">
        <v>167</v>
      </c>
      <c r="C2287" s="7" t="s">
        <v>278</v>
      </c>
      <c r="D2287" s="7" t="s">
        <v>168</v>
      </c>
      <c r="E2287" s="7" t="s">
        <v>752</v>
      </c>
      <c r="F2287" s="8" t="str">
        <f>_xlfn.IFNA(INDEX('HS Codes'!$D$2:$K4841,MATCH($B2287,'HS Codes'!$A$2:$A4841,0),MATCH(F$1,'HS Codes'!$D$1:$K$1,0)),"")</f>
        <v>6302.93.2000</v>
      </c>
      <c r="G2287" s="8">
        <f>_xlfn.IFNA(INDEX('HS Codes'!$D$2:$K4841,MATCH($B2287,'HS Codes'!$A$2:$A4841,0),MATCH(G$1,'HS Codes'!$D$1:$K$1,0)),"")</f>
        <v>6302600090</v>
      </c>
      <c r="H2287" s="8" t="str">
        <f>_xlfn.IFNA(INDEX('HS Codes'!$D$2:$K4841,MATCH($B2287,'HS Codes'!$A$2:$A4841,0),MATCH(H$1,'HS Codes'!$D$1:$K$1,0)),"")</f>
        <v>6302.93.00.00</v>
      </c>
      <c r="I2287" s="8">
        <f>_xlfn.IFNA(INDEX('HS Codes'!$D$2:$K4841,MATCH($B2287,'HS Codes'!$A$2:$A4841,0),MATCH(I$1,'HS Codes'!$D$1:$K$1,0)),"")</f>
        <v>6302939000</v>
      </c>
      <c r="J2287" s="8">
        <f>_xlfn.IFNA(INDEX('HS Codes'!$D$2:$K4841,MATCH($B2287,'HS Codes'!$A$2:$A4841,0),MATCH(J$1,'HS Codes'!$D$1:$K$1,0)),"")</f>
        <v>0</v>
      </c>
      <c r="K2287" s="8" t="str">
        <f>_xlfn.IFNA(INDEX('HS Codes'!$D$2:$K4841,MATCH($B2287,'HS Codes'!$A$2:$A4841,0),MATCH(K$1,'HS Codes'!$D$1:$K$1,0)),"")</f>
        <v>6302.39.00</v>
      </c>
      <c r="L2287" s="8">
        <f>_xlfn.IFNA(INDEX('HS Codes'!$D$2:$K4841,MATCH($B2287,'HS Codes'!$A$2:$A4841,0),MATCH(L$1,'HS Codes'!$D$1:$K$1,0)),"")</f>
        <v>63029120</v>
      </c>
      <c r="M2287" s="8" t="str">
        <f>_xlfn.IFNA(INDEX('HS Codes'!$C$2:$C4841,MATCH($B2287,'HS Codes'!$A$2:$A4841,0)),"")</f>
        <v>Beach Towel - Toilet Linen 100% recycled 220 GSM/83% polyester/17% polyamide includes cotton on the packing pouch drawstring</v>
      </c>
      <c r="N2287" s="9"/>
      <c r="O2287" s="9"/>
      <c r="P2287" s="9"/>
      <c r="Q2287" s="9"/>
    </row>
    <row r="2288" spans="1:17" ht="15.75" customHeight="1">
      <c r="A2288" s="7" t="s">
        <v>2580</v>
      </c>
      <c r="B2288" s="7" t="s">
        <v>167</v>
      </c>
      <c r="C2288" s="7" t="s">
        <v>278</v>
      </c>
      <c r="D2288" s="7" t="s">
        <v>168</v>
      </c>
      <c r="E2288" s="7" t="s">
        <v>752</v>
      </c>
      <c r="F2288" s="8" t="str">
        <f>_xlfn.IFNA(INDEX('HS Codes'!$D$2:$K4842,MATCH($B2288,'HS Codes'!$A$2:$A4842,0),MATCH(F$1,'HS Codes'!$D$1:$K$1,0)),"")</f>
        <v>6302.93.2000</v>
      </c>
      <c r="G2288" s="8">
        <f>_xlfn.IFNA(INDEX('HS Codes'!$D$2:$K4842,MATCH($B2288,'HS Codes'!$A$2:$A4842,0),MATCH(G$1,'HS Codes'!$D$1:$K$1,0)),"")</f>
        <v>6302600090</v>
      </c>
      <c r="H2288" s="8" t="str">
        <f>_xlfn.IFNA(INDEX('HS Codes'!$D$2:$K4842,MATCH($B2288,'HS Codes'!$A$2:$A4842,0),MATCH(H$1,'HS Codes'!$D$1:$K$1,0)),"")</f>
        <v>6302.93.00.00</v>
      </c>
      <c r="I2288" s="8">
        <f>_xlfn.IFNA(INDEX('HS Codes'!$D$2:$K4842,MATCH($B2288,'HS Codes'!$A$2:$A4842,0),MATCH(I$1,'HS Codes'!$D$1:$K$1,0)),"")</f>
        <v>6302939000</v>
      </c>
      <c r="J2288" s="8">
        <f>_xlfn.IFNA(INDEX('HS Codes'!$D$2:$K4842,MATCH($B2288,'HS Codes'!$A$2:$A4842,0),MATCH(J$1,'HS Codes'!$D$1:$K$1,0)),"")</f>
        <v>0</v>
      </c>
      <c r="K2288" s="8" t="str">
        <f>_xlfn.IFNA(INDEX('HS Codes'!$D$2:$K4842,MATCH($B2288,'HS Codes'!$A$2:$A4842,0),MATCH(K$1,'HS Codes'!$D$1:$K$1,0)),"")</f>
        <v>6302.39.00</v>
      </c>
      <c r="L2288" s="8">
        <f>_xlfn.IFNA(INDEX('HS Codes'!$D$2:$K4842,MATCH($B2288,'HS Codes'!$A$2:$A4842,0),MATCH(L$1,'HS Codes'!$D$1:$K$1,0)),"")</f>
        <v>63029120</v>
      </c>
      <c r="M2288" s="8" t="str">
        <f>_xlfn.IFNA(INDEX('HS Codes'!$C$2:$C4842,MATCH($B2288,'HS Codes'!$A$2:$A4842,0)),"")</f>
        <v>Beach Towel - Toilet Linen 100% recycled 220 GSM/83% polyester/17% polyamide includes cotton on the packing pouch drawstring</v>
      </c>
      <c r="N2288" s="9"/>
      <c r="O2288" s="9"/>
      <c r="P2288" s="9"/>
      <c r="Q2288" s="9"/>
    </row>
    <row r="2289" spans="1:17" ht="15.75" customHeight="1">
      <c r="A2289" s="7" t="s">
        <v>2581</v>
      </c>
      <c r="B2289" s="7" t="s">
        <v>167</v>
      </c>
      <c r="C2289" s="7" t="s">
        <v>278</v>
      </c>
      <c r="D2289" s="7" t="s">
        <v>168</v>
      </c>
      <c r="E2289" s="7" t="s">
        <v>752</v>
      </c>
      <c r="F2289" s="8" t="str">
        <f>_xlfn.IFNA(INDEX('HS Codes'!$D$2:$K4843,MATCH($B2289,'HS Codes'!$A$2:$A4843,0),MATCH(F$1,'HS Codes'!$D$1:$K$1,0)),"")</f>
        <v>6302.93.2000</v>
      </c>
      <c r="G2289" s="8">
        <f>_xlfn.IFNA(INDEX('HS Codes'!$D$2:$K4843,MATCH($B2289,'HS Codes'!$A$2:$A4843,0),MATCH(G$1,'HS Codes'!$D$1:$K$1,0)),"")</f>
        <v>6302600090</v>
      </c>
      <c r="H2289" s="8" t="str">
        <f>_xlfn.IFNA(INDEX('HS Codes'!$D$2:$K4843,MATCH($B2289,'HS Codes'!$A$2:$A4843,0),MATCH(H$1,'HS Codes'!$D$1:$K$1,0)),"")</f>
        <v>6302.93.00.00</v>
      </c>
      <c r="I2289" s="8">
        <f>_xlfn.IFNA(INDEX('HS Codes'!$D$2:$K4843,MATCH($B2289,'HS Codes'!$A$2:$A4843,0),MATCH(I$1,'HS Codes'!$D$1:$K$1,0)),"")</f>
        <v>6302939000</v>
      </c>
      <c r="J2289" s="8">
        <f>_xlfn.IFNA(INDEX('HS Codes'!$D$2:$K4843,MATCH($B2289,'HS Codes'!$A$2:$A4843,0),MATCH(J$1,'HS Codes'!$D$1:$K$1,0)),"")</f>
        <v>0</v>
      </c>
      <c r="K2289" s="8" t="str">
        <f>_xlfn.IFNA(INDEX('HS Codes'!$D$2:$K4843,MATCH($B2289,'HS Codes'!$A$2:$A4843,0),MATCH(K$1,'HS Codes'!$D$1:$K$1,0)),"")</f>
        <v>6302.39.00</v>
      </c>
      <c r="L2289" s="8">
        <f>_xlfn.IFNA(INDEX('HS Codes'!$D$2:$K4843,MATCH($B2289,'HS Codes'!$A$2:$A4843,0),MATCH(L$1,'HS Codes'!$D$1:$K$1,0)),"")</f>
        <v>63029120</v>
      </c>
      <c r="M2289" s="8" t="str">
        <f>_xlfn.IFNA(INDEX('HS Codes'!$C$2:$C4843,MATCH($B2289,'HS Codes'!$A$2:$A4843,0)),"")</f>
        <v>Beach Towel - Toilet Linen 100% recycled 220 GSM/83% polyester/17% polyamide includes cotton on the packing pouch drawstring</v>
      </c>
      <c r="N2289" s="9"/>
      <c r="O2289" s="9"/>
      <c r="P2289" s="9"/>
      <c r="Q2289" s="9"/>
    </row>
    <row r="2290" spans="1:17" ht="15.75" customHeight="1">
      <c r="A2290" s="7" t="s">
        <v>2582</v>
      </c>
      <c r="B2290" s="7" t="s">
        <v>167</v>
      </c>
      <c r="C2290" s="7" t="s">
        <v>278</v>
      </c>
      <c r="D2290" s="7" t="s">
        <v>168</v>
      </c>
      <c r="E2290" s="7" t="s">
        <v>752</v>
      </c>
      <c r="F2290" s="8" t="str">
        <f>_xlfn.IFNA(INDEX('HS Codes'!$D$2:$K4844,MATCH($B2290,'HS Codes'!$A$2:$A4844,0),MATCH(F$1,'HS Codes'!$D$1:$K$1,0)),"")</f>
        <v>6302.93.2000</v>
      </c>
      <c r="G2290" s="8">
        <f>_xlfn.IFNA(INDEX('HS Codes'!$D$2:$K4844,MATCH($B2290,'HS Codes'!$A$2:$A4844,0),MATCH(G$1,'HS Codes'!$D$1:$K$1,0)),"")</f>
        <v>6302600090</v>
      </c>
      <c r="H2290" s="8" t="str">
        <f>_xlfn.IFNA(INDEX('HS Codes'!$D$2:$K4844,MATCH($B2290,'HS Codes'!$A$2:$A4844,0),MATCH(H$1,'HS Codes'!$D$1:$K$1,0)),"")</f>
        <v>6302.93.00.00</v>
      </c>
      <c r="I2290" s="8">
        <f>_xlfn.IFNA(INDEX('HS Codes'!$D$2:$K4844,MATCH($B2290,'HS Codes'!$A$2:$A4844,0),MATCH(I$1,'HS Codes'!$D$1:$K$1,0)),"")</f>
        <v>6302939000</v>
      </c>
      <c r="J2290" s="8">
        <f>_xlfn.IFNA(INDEX('HS Codes'!$D$2:$K4844,MATCH($B2290,'HS Codes'!$A$2:$A4844,0),MATCH(J$1,'HS Codes'!$D$1:$K$1,0)),"")</f>
        <v>0</v>
      </c>
      <c r="K2290" s="8" t="str">
        <f>_xlfn.IFNA(INDEX('HS Codes'!$D$2:$K4844,MATCH($B2290,'HS Codes'!$A$2:$A4844,0),MATCH(K$1,'HS Codes'!$D$1:$K$1,0)),"")</f>
        <v>6302.39.00</v>
      </c>
      <c r="L2290" s="8">
        <f>_xlfn.IFNA(INDEX('HS Codes'!$D$2:$K4844,MATCH($B2290,'HS Codes'!$A$2:$A4844,0),MATCH(L$1,'HS Codes'!$D$1:$K$1,0)),"")</f>
        <v>63029120</v>
      </c>
      <c r="M2290" s="8" t="str">
        <f>_xlfn.IFNA(INDEX('HS Codes'!$C$2:$C4844,MATCH($B2290,'HS Codes'!$A$2:$A4844,0)),"")</f>
        <v>Beach Towel - Toilet Linen 100% recycled 220 GSM/83% polyester/17% polyamide includes cotton on the packing pouch drawstring</v>
      </c>
      <c r="N2290" s="9"/>
      <c r="O2290" s="9"/>
      <c r="P2290" s="9"/>
      <c r="Q2290" s="9"/>
    </row>
    <row r="2291" spans="1:17" ht="15.75" customHeight="1">
      <c r="A2291" s="7" t="s">
        <v>2583</v>
      </c>
      <c r="B2291" s="7" t="s">
        <v>167</v>
      </c>
      <c r="C2291" s="7" t="s">
        <v>278</v>
      </c>
      <c r="D2291" s="7" t="s">
        <v>168</v>
      </c>
      <c r="E2291" s="7" t="s">
        <v>752</v>
      </c>
      <c r="F2291" s="8" t="str">
        <f>_xlfn.IFNA(INDEX('HS Codes'!$D$2:$K4845,MATCH($B2291,'HS Codes'!$A$2:$A4845,0),MATCH(F$1,'HS Codes'!$D$1:$K$1,0)),"")</f>
        <v>6302.93.2000</v>
      </c>
      <c r="G2291" s="8">
        <f>_xlfn.IFNA(INDEX('HS Codes'!$D$2:$K4845,MATCH($B2291,'HS Codes'!$A$2:$A4845,0),MATCH(G$1,'HS Codes'!$D$1:$K$1,0)),"")</f>
        <v>6302600090</v>
      </c>
      <c r="H2291" s="8" t="str">
        <f>_xlfn.IFNA(INDEX('HS Codes'!$D$2:$K4845,MATCH($B2291,'HS Codes'!$A$2:$A4845,0),MATCH(H$1,'HS Codes'!$D$1:$K$1,0)),"")</f>
        <v>6302.93.00.00</v>
      </c>
      <c r="I2291" s="8">
        <f>_xlfn.IFNA(INDEX('HS Codes'!$D$2:$K4845,MATCH($B2291,'HS Codes'!$A$2:$A4845,0),MATCH(I$1,'HS Codes'!$D$1:$K$1,0)),"")</f>
        <v>6302939000</v>
      </c>
      <c r="J2291" s="8">
        <f>_xlfn.IFNA(INDEX('HS Codes'!$D$2:$K4845,MATCH($B2291,'HS Codes'!$A$2:$A4845,0),MATCH(J$1,'HS Codes'!$D$1:$K$1,0)),"")</f>
        <v>0</v>
      </c>
      <c r="K2291" s="8" t="str">
        <f>_xlfn.IFNA(INDEX('HS Codes'!$D$2:$K4845,MATCH($B2291,'HS Codes'!$A$2:$A4845,0),MATCH(K$1,'HS Codes'!$D$1:$K$1,0)),"")</f>
        <v>6302.39.00</v>
      </c>
      <c r="L2291" s="8">
        <f>_xlfn.IFNA(INDEX('HS Codes'!$D$2:$K4845,MATCH($B2291,'HS Codes'!$A$2:$A4845,0),MATCH(L$1,'HS Codes'!$D$1:$K$1,0)),"")</f>
        <v>63029120</v>
      </c>
      <c r="M2291" s="8" t="str">
        <f>_xlfn.IFNA(INDEX('HS Codes'!$C$2:$C4845,MATCH($B2291,'HS Codes'!$A$2:$A4845,0)),"")</f>
        <v>Beach Towel - Toilet Linen 100% recycled 220 GSM/83% polyester/17% polyamide includes cotton on the packing pouch drawstring</v>
      </c>
      <c r="N2291" s="9"/>
      <c r="O2291" s="9"/>
      <c r="P2291" s="9"/>
      <c r="Q2291" s="9"/>
    </row>
    <row r="2292" spans="1:17" ht="15.75" customHeight="1">
      <c r="A2292" s="7" t="s">
        <v>2584</v>
      </c>
      <c r="B2292" s="7" t="s">
        <v>167</v>
      </c>
      <c r="C2292" s="7" t="s">
        <v>278</v>
      </c>
      <c r="D2292" s="7" t="s">
        <v>168</v>
      </c>
      <c r="E2292" s="7" t="s">
        <v>752</v>
      </c>
      <c r="F2292" s="8" t="str">
        <f>_xlfn.IFNA(INDEX('HS Codes'!$D$2:$K4846,MATCH($B2292,'HS Codes'!$A$2:$A4846,0),MATCH(F$1,'HS Codes'!$D$1:$K$1,0)),"")</f>
        <v>6302.93.2000</v>
      </c>
      <c r="G2292" s="8">
        <f>_xlfn.IFNA(INDEX('HS Codes'!$D$2:$K4846,MATCH($B2292,'HS Codes'!$A$2:$A4846,0),MATCH(G$1,'HS Codes'!$D$1:$K$1,0)),"")</f>
        <v>6302600090</v>
      </c>
      <c r="H2292" s="8" t="str">
        <f>_xlfn.IFNA(INDEX('HS Codes'!$D$2:$K4846,MATCH($B2292,'HS Codes'!$A$2:$A4846,0),MATCH(H$1,'HS Codes'!$D$1:$K$1,0)),"")</f>
        <v>6302.93.00.00</v>
      </c>
      <c r="I2292" s="8">
        <f>_xlfn.IFNA(INDEX('HS Codes'!$D$2:$K4846,MATCH($B2292,'HS Codes'!$A$2:$A4846,0),MATCH(I$1,'HS Codes'!$D$1:$K$1,0)),"")</f>
        <v>6302939000</v>
      </c>
      <c r="J2292" s="8">
        <f>_xlfn.IFNA(INDEX('HS Codes'!$D$2:$K4846,MATCH($B2292,'HS Codes'!$A$2:$A4846,0),MATCH(J$1,'HS Codes'!$D$1:$K$1,0)),"")</f>
        <v>0</v>
      </c>
      <c r="K2292" s="8" t="str">
        <f>_xlfn.IFNA(INDEX('HS Codes'!$D$2:$K4846,MATCH($B2292,'HS Codes'!$A$2:$A4846,0),MATCH(K$1,'HS Codes'!$D$1:$K$1,0)),"")</f>
        <v>6302.39.00</v>
      </c>
      <c r="L2292" s="8">
        <f>_xlfn.IFNA(INDEX('HS Codes'!$D$2:$K4846,MATCH($B2292,'HS Codes'!$A$2:$A4846,0),MATCH(L$1,'HS Codes'!$D$1:$K$1,0)),"")</f>
        <v>63029120</v>
      </c>
      <c r="M2292" s="8" t="str">
        <f>_xlfn.IFNA(INDEX('HS Codes'!$C$2:$C4846,MATCH($B2292,'HS Codes'!$A$2:$A4846,0)),"")</f>
        <v>Beach Towel - Toilet Linen 100% recycled 220 GSM/83% polyester/17% polyamide includes cotton on the packing pouch drawstring</v>
      </c>
      <c r="N2292" s="9"/>
      <c r="O2292" s="9"/>
      <c r="P2292" s="9"/>
      <c r="Q2292" s="9"/>
    </row>
    <row r="2293" spans="1:17" ht="15.75" customHeight="1">
      <c r="A2293" s="7" t="s">
        <v>2585</v>
      </c>
      <c r="B2293" s="7" t="s">
        <v>167</v>
      </c>
      <c r="C2293" s="7" t="s">
        <v>278</v>
      </c>
      <c r="D2293" s="7" t="s">
        <v>168</v>
      </c>
      <c r="E2293" s="7" t="s">
        <v>752</v>
      </c>
      <c r="F2293" s="8" t="str">
        <f>_xlfn.IFNA(INDEX('HS Codes'!$D$2:$K4847,MATCH($B2293,'HS Codes'!$A$2:$A4847,0),MATCH(F$1,'HS Codes'!$D$1:$K$1,0)),"")</f>
        <v>6302.93.2000</v>
      </c>
      <c r="G2293" s="8">
        <f>_xlfn.IFNA(INDEX('HS Codes'!$D$2:$K4847,MATCH($B2293,'HS Codes'!$A$2:$A4847,0),MATCH(G$1,'HS Codes'!$D$1:$K$1,0)),"")</f>
        <v>6302600090</v>
      </c>
      <c r="H2293" s="8" t="str">
        <f>_xlfn.IFNA(INDEX('HS Codes'!$D$2:$K4847,MATCH($B2293,'HS Codes'!$A$2:$A4847,0),MATCH(H$1,'HS Codes'!$D$1:$K$1,0)),"")</f>
        <v>6302.93.00.00</v>
      </c>
      <c r="I2293" s="8">
        <f>_xlfn.IFNA(INDEX('HS Codes'!$D$2:$K4847,MATCH($B2293,'HS Codes'!$A$2:$A4847,0),MATCH(I$1,'HS Codes'!$D$1:$K$1,0)),"")</f>
        <v>6302939000</v>
      </c>
      <c r="J2293" s="8">
        <f>_xlfn.IFNA(INDEX('HS Codes'!$D$2:$K4847,MATCH($B2293,'HS Codes'!$A$2:$A4847,0),MATCH(J$1,'HS Codes'!$D$1:$K$1,0)),"")</f>
        <v>0</v>
      </c>
      <c r="K2293" s="8" t="str">
        <f>_xlfn.IFNA(INDEX('HS Codes'!$D$2:$K4847,MATCH($B2293,'HS Codes'!$A$2:$A4847,0),MATCH(K$1,'HS Codes'!$D$1:$K$1,0)),"")</f>
        <v>6302.39.00</v>
      </c>
      <c r="L2293" s="8">
        <f>_xlfn.IFNA(INDEX('HS Codes'!$D$2:$K4847,MATCH($B2293,'HS Codes'!$A$2:$A4847,0),MATCH(L$1,'HS Codes'!$D$1:$K$1,0)),"")</f>
        <v>63029120</v>
      </c>
      <c r="M2293" s="8" t="str">
        <f>_xlfn.IFNA(INDEX('HS Codes'!$C$2:$C4847,MATCH($B2293,'HS Codes'!$A$2:$A4847,0)),"")</f>
        <v>Beach Towel - Toilet Linen 100% recycled 220 GSM/83% polyester/17% polyamide includes cotton on the packing pouch drawstring</v>
      </c>
      <c r="N2293" s="9"/>
      <c r="O2293" s="9"/>
      <c r="P2293" s="9"/>
      <c r="Q2293" s="9"/>
    </row>
    <row r="2294" spans="1:17" ht="15.75" customHeight="1">
      <c r="A2294" s="7" t="s">
        <v>2586</v>
      </c>
      <c r="B2294" s="7" t="s">
        <v>167</v>
      </c>
      <c r="C2294" s="7" t="s">
        <v>278</v>
      </c>
      <c r="D2294" s="7" t="s">
        <v>168</v>
      </c>
      <c r="E2294" s="7" t="s">
        <v>752</v>
      </c>
      <c r="F2294" s="8" t="str">
        <f>_xlfn.IFNA(INDEX('HS Codes'!$D$2:$K4848,MATCH($B2294,'HS Codes'!$A$2:$A4848,0),MATCH(F$1,'HS Codes'!$D$1:$K$1,0)),"")</f>
        <v>6302.93.2000</v>
      </c>
      <c r="G2294" s="8">
        <f>_xlfn.IFNA(INDEX('HS Codes'!$D$2:$K4848,MATCH($B2294,'HS Codes'!$A$2:$A4848,0),MATCH(G$1,'HS Codes'!$D$1:$K$1,0)),"")</f>
        <v>6302600090</v>
      </c>
      <c r="H2294" s="8" t="str">
        <f>_xlfn.IFNA(INDEX('HS Codes'!$D$2:$K4848,MATCH($B2294,'HS Codes'!$A$2:$A4848,0),MATCH(H$1,'HS Codes'!$D$1:$K$1,0)),"")</f>
        <v>6302.93.00.00</v>
      </c>
      <c r="I2294" s="8">
        <f>_xlfn.IFNA(INDEX('HS Codes'!$D$2:$K4848,MATCH($B2294,'HS Codes'!$A$2:$A4848,0),MATCH(I$1,'HS Codes'!$D$1:$K$1,0)),"")</f>
        <v>6302939000</v>
      </c>
      <c r="J2294" s="8">
        <f>_xlfn.IFNA(INDEX('HS Codes'!$D$2:$K4848,MATCH($B2294,'HS Codes'!$A$2:$A4848,0),MATCH(J$1,'HS Codes'!$D$1:$K$1,0)),"")</f>
        <v>0</v>
      </c>
      <c r="K2294" s="8" t="str">
        <f>_xlfn.IFNA(INDEX('HS Codes'!$D$2:$K4848,MATCH($B2294,'HS Codes'!$A$2:$A4848,0),MATCH(K$1,'HS Codes'!$D$1:$K$1,0)),"")</f>
        <v>6302.39.00</v>
      </c>
      <c r="L2294" s="8">
        <f>_xlfn.IFNA(INDEX('HS Codes'!$D$2:$K4848,MATCH($B2294,'HS Codes'!$A$2:$A4848,0),MATCH(L$1,'HS Codes'!$D$1:$K$1,0)),"")</f>
        <v>63029120</v>
      </c>
      <c r="M2294" s="8" t="str">
        <f>_xlfn.IFNA(INDEX('HS Codes'!$C$2:$C4848,MATCH($B2294,'HS Codes'!$A$2:$A4848,0)),"")</f>
        <v>Beach Towel - Toilet Linen 100% recycled 220 GSM/83% polyester/17% polyamide includes cotton on the packing pouch drawstring</v>
      </c>
      <c r="N2294" s="9"/>
      <c r="O2294" s="9"/>
      <c r="P2294" s="9"/>
      <c r="Q2294" s="9"/>
    </row>
    <row r="2295" spans="1:17" ht="15.75" customHeight="1">
      <c r="A2295" s="7" t="s">
        <v>2587</v>
      </c>
      <c r="B2295" s="7" t="s">
        <v>167</v>
      </c>
      <c r="C2295" s="7" t="s">
        <v>278</v>
      </c>
      <c r="D2295" s="7" t="s">
        <v>168</v>
      </c>
      <c r="E2295" s="7" t="s">
        <v>752</v>
      </c>
      <c r="F2295" s="8" t="str">
        <f>_xlfn.IFNA(INDEX('HS Codes'!$D$2:$K4849,MATCH($B2295,'HS Codes'!$A$2:$A4849,0),MATCH(F$1,'HS Codes'!$D$1:$K$1,0)),"")</f>
        <v>6302.93.2000</v>
      </c>
      <c r="G2295" s="8">
        <f>_xlfn.IFNA(INDEX('HS Codes'!$D$2:$K4849,MATCH($B2295,'HS Codes'!$A$2:$A4849,0),MATCH(G$1,'HS Codes'!$D$1:$K$1,0)),"")</f>
        <v>6302600090</v>
      </c>
      <c r="H2295" s="8" t="str">
        <f>_xlfn.IFNA(INDEX('HS Codes'!$D$2:$K4849,MATCH($B2295,'HS Codes'!$A$2:$A4849,0),MATCH(H$1,'HS Codes'!$D$1:$K$1,0)),"")</f>
        <v>6302.93.00.00</v>
      </c>
      <c r="I2295" s="8">
        <f>_xlfn.IFNA(INDEX('HS Codes'!$D$2:$K4849,MATCH($B2295,'HS Codes'!$A$2:$A4849,0),MATCH(I$1,'HS Codes'!$D$1:$K$1,0)),"")</f>
        <v>6302939000</v>
      </c>
      <c r="J2295" s="8">
        <f>_xlfn.IFNA(INDEX('HS Codes'!$D$2:$K4849,MATCH($B2295,'HS Codes'!$A$2:$A4849,0),MATCH(J$1,'HS Codes'!$D$1:$K$1,0)),"")</f>
        <v>0</v>
      </c>
      <c r="K2295" s="8" t="str">
        <f>_xlfn.IFNA(INDEX('HS Codes'!$D$2:$K4849,MATCH($B2295,'HS Codes'!$A$2:$A4849,0),MATCH(K$1,'HS Codes'!$D$1:$K$1,0)),"")</f>
        <v>6302.39.00</v>
      </c>
      <c r="L2295" s="8">
        <f>_xlfn.IFNA(INDEX('HS Codes'!$D$2:$K4849,MATCH($B2295,'HS Codes'!$A$2:$A4849,0),MATCH(L$1,'HS Codes'!$D$1:$K$1,0)),"")</f>
        <v>63029120</v>
      </c>
      <c r="M2295" s="8" t="str">
        <f>_xlfn.IFNA(INDEX('HS Codes'!$C$2:$C4849,MATCH($B2295,'HS Codes'!$A$2:$A4849,0)),"")</f>
        <v>Beach Towel - Toilet Linen 100% recycled 220 GSM/83% polyester/17% polyamide includes cotton on the packing pouch drawstring</v>
      </c>
      <c r="N2295" s="9"/>
      <c r="O2295" s="9"/>
      <c r="P2295" s="9"/>
      <c r="Q2295" s="9"/>
    </row>
    <row r="2296" spans="1:17" ht="15.75" customHeight="1">
      <c r="A2296" s="7" t="s">
        <v>2588</v>
      </c>
      <c r="B2296" s="7" t="s">
        <v>167</v>
      </c>
      <c r="C2296" s="7" t="s">
        <v>278</v>
      </c>
      <c r="D2296" s="7" t="s">
        <v>168</v>
      </c>
      <c r="E2296" s="7" t="s">
        <v>752</v>
      </c>
      <c r="F2296" s="8" t="str">
        <f>_xlfn.IFNA(INDEX('HS Codes'!$D$2:$K4850,MATCH($B2296,'HS Codes'!$A$2:$A4850,0),MATCH(F$1,'HS Codes'!$D$1:$K$1,0)),"")</f>
        <v>6302.93.2000</v>
      </c>
      <c r="G2296" s="8">
        <f>_xlfn.IFNA(INDEX('HS Codes'!$D$2:$K4850,MATCH($B2296,'HS Codes'!$A$2:$A4850,0),MATCH(G$1,'HS Codes'!$D$1:$K$1,0)),"")</f>
        <v>6302600090</v>
      </c>
      <c r="H2296" s="8" t="str">
        <f>_xlfn.IFNA(INDEX('HS Codes'!$D$2:$K4850,MATCH($B2296,'HS Codes'!$A$2:$A4850,0),MATCH(H$1,'HS Codes'!$D$1:$K$1,0)),"")</f>
        <v>6302.93.00.00</v>
      </c>
      <c r="I2296" s="8">
        <f>_xlfn.IFNA(INDEX('HS Codes'!$D$2:$K4850,MATCH($B2296,'HS Codes'!$A$2:$A4850,0),MATCH(I$1,'HS Codes'!$D$1:$K$1,0)),"")</f>
        <v>6302939000</v>
      </c>
      <c r="J2296" s="8">
        <f>_xlfn.IFNA(INDEX('HS Codes'!$D$2:$K4850,MATCH($B2296,'HS Codes'!$A$2:$A4850,0),MATCH(J$1,'HS Codes'!$D$1:$K$1,0)),"")</f>
        <v>0</v>
      </c>
      <c r="K2296" s="8" t="str">
        <f>_xlfn.IFNA(INDEX('HS Codes'!$D$2:$K4850,MATCH($B2296,'HS Codes'!$A$2:$A4850,0),MATCH(K$1,'HS Codes'!$D$1:$K$1,0)),"")</f>
        <v>6302.39.00</v>
      </c>
      <c r="L2296" s="8">
        <f>_xlfn.IFNA(INDEX('HS Codes'!$D$2:$K4850,MATCH($B2296,'HS Codes'!$A$2:$A4850,0),MATCH(L$1,'HS Codes'!$D$1:$K$1,0)),"")</f>
        <v>63029120</v>
      </c>
      <c r="M2296" s="8" t="str">
        <f>_xlfn.IFNA(INDEX('HS Codes'!$C$2:$C4850,MATCH($B2296,'HS Codes'!$A$2:$A4850,0)),"")</f>
        <v>Beach Towel - Toilet Linen 100% recycled 220 GSM/83% polyester/17% polyamide includes cotton on the packing pouch drawstring</v>
      </c>
      <c r="N2296" s="9"/>
      <c r="O2296" s="9"/>
      <c r="P2296" s="9"/>
      <c r="Q2296" s="9"/>
    </row>
    <row r="2297" spans="1:17" ht="15.75" customHeight="1">
      <c r="A2297" s="7" t="s">
        <v>2589</v>
      </c>
      <c r="B2297" s="7" t="s">
        <v>167</v>
      </c>
      <c r="C2297" s="7" t="s">
        <v>278</v>
      </c>
      <c r="D2297" s="7" t="s">
        <v>168</v>
      </c>
      <c r="E2297" s="7" t="s">
        <v>752</v>
      </c>
      <c r="F2297" s="8" t="str">
        <f>_xlfn.IFNA(INDEX('HS Codes'!$D$2:$K4851,MATCH($B2297,'HS Codes'!$A$2:$A4851,0),MATCH(F$1,'HS Codes'!$D$1:$K$1,0)),"")</f>
        <v>6302.93.2000</v>
      </c>
      <c r="G2297" s="8">
        <f>_xlfn.IFNA(INDEX('HS Codes'!$D$2:$K4851,MATCH($B2297,'HS Codes'!$A$2:$A4851,0),MATCH(G$1,'HS Codes'!$D$1:$K$1,0)),"")</f>
        <v>6302600090</v>
      </c>
      <c r="H2297" s="8" t="str">
        <f>_xlfn.IFNA(INDEX('HS Codes'!$D$2:$K4851,MATCH($B2297,'HS Codes'!$A$2:$A4851,0),MATCH(H$1,'HS Codes'!$D$1:$K$1,0)),"")</f>
        <v>6302.93.00.00</v>
      </c>
      <c r="I2297" s="8">
        <f>_xlfn.IFNA(INDEX('HS Codes'!$D$2:$K4851,MATCH($B2297,'HS Codes'!$A$2:$A4851,0),MATCH(I$1,'HS Codes'!$D$1:$K$1,0)),"")</f>
        <v>6302939000</v>
      </c>
      <c r="J2297" s="8">
        <f>_xlfn.IFNA(INDEX('HS Codes'!$D$2:$K4851,MATCH($B2297,'HS Codes'!$A$2:$A4851,0),MATCH(J$1,'HS Codes'!$D$1:$K$1,0)),"")</f>
        <v>0</v>
      </c>
      <c r="K2297" s="8" t="str">
        <f>_xlfn.IFNA(INDEX('HS Codes'!$D$2:$K4851,MATCH($B2297,'HS Codes'!$A$2:$A4851,0),MATCH(K$1,'HS Codes'!$D$1:$K$1,0)),"")</f>
        <v>6302.39.00</v>
      </c>
      <c r="L2297" s="8">
        <f>_xlfn.IFNA(INDEX('HS Codes'!$D$2:$K4851,MATCH($B2297,'HS Codes'!$A$2:$A4851,0),MATCH(L$1,'HS Codes'!$D$1:$K$1,0)),"")</f>
        <v>63029120</v>
      </c>
      <c r="M2297" s="8" t="str">
        <f>_xlfn.IFNA(INDEX('HS Codes'!$C$2:$C4851,MATCH($B2297,'HS Codes'!$A$2:$A4851,0)),"")</f>
        <v>Beach Towel - Toilet Linen 100% recycled 220 GSM/83% polyester/17% polyamide includes cotton on the packing pouch drawstring</v>
      </c>
      <c r="N2297" s="9"/>
      <c r="O2297" s="9"/>
      <c r="P2297" s="9"/>
      <c r="Q2297" s="9"/>
    </row>
    <row r="2298" spans="1:17" ht="15.75" customHeight="1">
      <c r="A2298" s="7" t="s">
        <v>2590</v>
      </c>
      <c r="B2298" s="7" t="s">
        <v>167</v>
      </c>
      <c r="C2298" s="7" t="s">
        <v>278</v>
      </c>
      <c r="D2298" s="7" t="s">
        <v>168</v>
      </c>
      <c r="E2298" s="7" t="s">
        <v>752</v>
      </c>
      <c r="F2298" s="8" t="str">
        <f>_xlfn.IFNA(INDEX('HS Codes'!$D$2:$K4852,MATCH($B2298,'HS Codes'!$A$2:$A4852,0),MATCH(F$1,'HS Codes'!$D$1:$K$1,0)),"")</f>
        <v>6302.93.2000</v>
      </c>
      <c r="G2298" s="8">
        <f>_xlfn.IFNA(INDEX('HS Codes'!$D$2:$K4852,MATCH($B2298,'HS Codes'!$A$2:$A4852,0),MATCH(G$1,'HS Codes'!$D$1:$K$1,0)),"")</f>
        <v>6302600090</v>
      </c>
      <c r="H2298" s="8" t="str">
        <f>_xlfn.IFNA(INDEX('HS Codes'!$D$2:$K4852,MATCH($B2298,'HS Codes'!$A$2:$A4852,0),MATCH(H$1,'HS Codes'!$D$1:$K$1,0)),"")</f>
        <v>6302.93.00.00</v>
      </c>
      <c r="I2298" s="8">
        <f>_xlfn.IFNA(INDEX('HS Codes'!$D$2:$K4852,MATCH($B2298,'HS Codes'!$A$2:$A4852,0),MATCH(I$1,'HS Codes'!$D$1:$K$1,0)),"")</f>
        <v>6302939000</v>
      </c>
      <c r="J2298" s="8">
        <f>_xlfn.IFNA(INDEX('HS Codes'!$D$2:$K4852,MATCH($B2298,'HS Codes'!$A$2:$A4852,0),MATCH(J$1,'HS Codes'!$D$1:$K$1,0)),"")</f>
        <v>0</v>
      </c>
      <c r="K2298" s="8" t="str">
        <f>_xlfn.IFNA(INDEX('HS Codes'!$D$2:$K4852,MATCH($B2298,'HS Codes'!$A$2:$A4852,0),MATCH(K$1,'HS Codes'!$D$1:$K$1,0)),"")</f>
        <v>6302.39.00</v>
      </c>
      <c r="L2298" s="8">
        <f>_xlfn.IFNA(INDEX('HS Codes'!$D$2:$K4852,MATCH($B2298,'HS Codes'!$A$2:$A4852,0),MATCH(L$1,'HS Codes'!$D$1:$K$1,0)),"")</f>
        <v>63029120</v>
      </c>
      <c r="M2298" s="8" t="str">
        <f>_xlfn.IFNA(INDEX('HS Codes'!$C$2:$C4852,MATCH($B2298,'HS Codes'!$A$2:$A4852,0)),"")</f>
        <v>Beach Towel - Toilet Linen 100% recycled 220 GSM/83% polyester/17% polyamide includes cotton on the packing pouch drawstring</v>
      </c>
      <c r="N2298" s="9"/>
      <c r="O2298" s="9"/>
      <c r="P2298" s="9"/>
      <c r="Q2298" s="9"/>
    </row>
    <row r="2299" spans="1:17" ht="15.75" customHeight="1">
      <c r="A2299" s="7" t="s">
        <v>2591</v>
      </c>
      <c r="B2299" s="7" t="s">
        <v>167</v>
      </c>
      <c r="C2299" s="7" t="s">
        <v>278</v>
      </c>
      <c r="D2299" s="7" t="s">
        <v>168</v>
      </c>
      <c r="E2299" s="7" t="s">
        <v>752</v>
      </c>
      <c r="F2299" s="8" t="str">
        <f>_xlfn.IFNA(INDEX('HS Codes'!$D$2:$K4853,MATCH($B2299,'HS Codes'!$A$2:$A4853,0),MATCH(F$1,'HS Codes'!$D$1:$K$1,0)),"")</f>
        <v>6302.93.2000</v>
      </c>
      <c r="G2299" s="8">
        <f>_xlfn.IFNA(INDEX('HS Codes'!$D$2:$K4853,MATCH($B2299,'HS Codes'!$A$2:$A4853,0),MATCH(G$1,'HS Codes'!$D$1:$K$1,0)),"")</f>
        <v>6302600090</v>
      </c>
      <c r="H2299" s="8" t="str">
        <f>_xlfn.IFNA(INDEX('HS Codes'!$D$2:$K4853,MATCH($B2299,'HS Codes'!$A$2:$A4853,0),MATCH(H$1,'HS Codes'!$D$1:$K$1,0)),"")</f>
        <v>6302.93.00.00</v>
      </c>
      <c r="I2299" s="8">
        <f>_xlfn.IFNA(INDEX('HS Codes'!$D$2:$K4853,MATCH($B2299,'HS Codes'!$A$2:$A4853,0),MATCH(I$1,'HS Codes'!$D$1:$K$1,0)),"")</f>
        <v>6302939000</v>
      </c>
      <c r="J2299" s="8">
        <f>_xlfn.IFNA(INDEX('HS Codes'!$D$2:$K4853,MATCH($B2299,'HS Codes'!$A$2:$A4853,0),MATCH(J$1,'HS Codes'!$D$1:$K$1,0)),"")</f>
        <v>0</v>
      </c>
      <c r="K2299" s="8" t="str">
        <f>_xlfn.IFNA(INDEX('HS Codes'!$D$2:$K4853,MATCH($B2299,'HS Codes'!$A$2:$A4853,0),MATCH(K$1,'HS Codes'!$D$1:$K$1,0)),"")</f>
        <v>6302.39.00</v>
      </c>
      <c r="L2299" s="8">
        <f>_xlfn.IFNA(INDEX('HS Codes'!$D$2:$K4853,MATCH($B2299,'HS Codes'!$A$2:$A4853,0),MATCH(L$1,'HS Codes'!$D$1:$K$1,0)),"")</f>
        <v>63029120</v>
      </c>
      <c r="M2299" s="8" t="str">
        <f>_xlfn.IFNA(INDEX('HS Codes'!$C$2:$C4853,MATCH($B2299,'HS Codes'!$A$2:$A4853,0)),"")</f>
        <v>Beach Towel - Toilet Linen 100% recycled 220 GSM/83% polyester/17% polyamide includes cotton on the packing pouch drawstring</v>
      </c>
      <c r="N2299" s="9"/>
      <c r="O2299" s="9"/>
      <c r="P2299" s="9"/>
      <c r="Q2299" s="9"/>
    </row>
    <row r="2300" spans="1:17" ht="15.75" customHeight="1">
      <c r="A2300" s="7" t="s">
        <v>2592</v>
      </c>
      <c r="B2300" s="7" t="s">
        <v>167</v>
      </c>
      <c r="C2300" s="7" t="s">
        <v>278</v>
      </c>
      <c r="D2300" s="7" t="s">
        <v>168</v>
      </c>
      <c r="E2300" s="7" t="s">
        <v>752</v>
      </c>
      <c r="F2300" s="8" t="str">
        <f>_xlfn.IFNA(INDEX('HS Codes'!$D$2:$K4854,MATCH($B2300,'HS Codes'!$A$2:$A4854,0),MATCH(F$1,'HS Codes'!$D$1:$K$1,0)),"")</f>
        <v>6302.93.2000</v>
      </c>
      <c r="G2300" s="8">
        <f>_xlfn.IFNA(INDEX('HS Codes'!$D$2:$K4854,MATCH($B2300,'HS Codes'!$A$2:$A4854,0),MATCH(G$1,'HS Codes'!$D$1:$K$1,0)),"")</f>
        <v>6302600090</v>
      </c>
      <c r="H2300" s="8" t="str">
        <f>_xlfn.IFNA(INDEX('HS Codes'!$D$2:$K4854,MATCH($B2300,'HS Codes'!$A$2:$A4854,0),MATCH(H$1,'HS Codes'!$D$1:$K$1,0)),"")</f>
        <v>6302.93.00.00</v>
      </c>
      <c r="I2300" s="8">
        <f>_xlfn.IFNA(INDEX('HS Codes'!$D$2:$K4854,MATCH($B2300,'HS Codes'!$A$2:$A4854,0),MATCH(I$1,'HS Codes'!$D$1:$K$1,0)),"")</f>
        <v>6302939000</v>
      </c>
      <c r="J2300" s="8">
        <f>_xlfn.IFNA(INDEX('HS Codes'!$D$2:$K4854,MATCH($B2300,'HS Codes'!$A$2:$A4854,0),MATCH(J$1,'HS Codes'!$D$1:$K$1,0)),"")</f>
        <v>0</v>
      </c>
      <c r="K2300" s="8" t="str">
        <f>_xlfn.IFNA(INDEX('HS Codes'!$D$2:$K4854,MATCH($B2300,'HS Codes'!$A$2:$A4854,0),MATCH(K$1,'HS Codes'!$D$1:$K$1,0)),"")</f>
        <v>6302.39.00</v>
      </c>
      <c r="L2300" s="8">
        <f>_xlfn.IFNA(INDEX('HS Codes'!$D$2:$K4854,MATCH($B2300,'HS Codes'!$A$2:$A4854,0),MATCH(L$1,'HS Codes'!$D$1:$K$1,0)),"")</f>
        <v>63029120</v>
      </c>
      <c r="M2300" s="8" t="str">
        <f>_xlfn.IFNA(INDEX('HS Codes'!$C$2:$C4854,MATCH($B2300,'HS Codes'!$A$2:$A4854,0)),"")</f>
        <v>Beach Towel - Toilet Linen 100% recycled 220 GSM/83% polyester/17% polyamide includes cotton on the packing pouch drawstring</v>
      </c>
      <c r="N2300" s="9"/>
      <c r="O2300" s="9"/>
      <c r="P2300" s="9"/>
      <c r="Q2300" s="9"/>
    </row>
    <row r="2301" spans="1:17" ht="15.75" customHeight="1">
      <c r="A2301" s="7" t="s">
        <v>2593</v>
      </c>
      <c r="B2301" s="7" t="s">
        <v>167</v>
      </c>
      <c r="C2301" s="7" t="s">
        <v>278</v>
      </c>
      <c r="D2301" s="7" t="s">
        <v>168</v>
      </c>
      <c r="E2301" s="7" t="s">
        <v>752</v>
      </c>
      <c r="F2301" s="8" t="str">
        <f>_xlfn.IFNA(INDEX('HS Codes'!$D$2:$K4855,MATCH($B2301,'HS Codes'!$A$2:$A4855,0),MATCH(F$1,'HS Codes'!$D$1:$K$1,0)),"")</f>
        <v>6302.93.2000</v>
      </c>
      <c r="G2301" s="8">
        <f>_xlfn.IFNA(INDEX('HS Codes'!$D$2:$K4855,MATCH($B2301,'HS Codes'!$A$2:$A4855,0),MATCH(G$1,'HS Codes'!$D$1:$K$1,0)),"")</f>
        <v>6302600090</v>
      </c>
      <c r="H2301" s="8" t="str">
        <f>_xlfn.IFNA(INDEX('HS Codes'!$D$2:$K4855,MATCH($B2301,'HS Codes'!$A$2:$A4855,0),MATCH(H$1,'HS Codes'!$D$1:$K$1,0)),"")</f>
        <v>6302.93.00.00</v>
      </c>
      <c r="I2301" s="8">
        <f>_xlfn.IFNA(INDEX('HS Codes'!$D$2:$K4855,MATCH($B2301,'HS Codes'!$A$2:$A4855,0),MATCH(I$1,'HS Codes'!$D$1:$K$1,0)),"")</f>
        <v>6302939000</v>
      </c>
      <c r="J2301" s="8">
        <f>_xlfn.IFNA(INDEX('HS Codes'!$D$2:$K4855,MATCH($B2301,'HS Codes'!$A$2:$A4855,0),MATCH(J$1,'HS Codes'!$D$1:$K$1,0)),"")</f>
        <v>0</v>
      </c>
      <c r="K2301" s="8" t="str">
        <f>_xlfn.IFNA(INDEX('HS Codes'!$D$2:$K4855,MATCH($B2301,'HS Codes'!$A$2:$A4855,0),MATCH(K$1,'HS Codes'!$D$1:$K$1,0)),"")</f>
        <v>6302.39.00</v>
      </c>
      <c r="L2301" s="8">
        <f>_xlfn.IFNA(INDEX('HS Codes'!$D$2:$K4855,MATCH($B2301,'HS Codes'!$A$2:$A4855,0),MATCH(L$1,'HS Codes'!$D$1:$K$1,0)),"")</f>
        <v>63029120</v>
      </c>
      <c r="M2301" s="8" t="str">
        <f>_xlfn.IFNA(INDEX('HS Codes'!$C$2:$C4855,MATCH($B2301,'HS Codes'!$A$2:$A4855,0)),"")</f>
        <v>Beach Towel - Toilet Linen 100% recycled 220 GSM/83% polyester/17% polyamide includes cotton on the packing pouch drawstring</v>
      </c>
      <c r="N2301" s="9"/>
      <c r="O2301" s="9"/>
      <c r="P2301" s="9"/>
      <c r="Q2301" s="9"/>
    </row>
    <row r="2302" spans="1:17" ht="15.75" customHeight="1">
      <c r="A2302" s="7" t="s">
        <v>2594</v>
      </c>
      <c r="B2302" s="7" t="s">
        <v>167</v>
      </c>
      <c r="C2302" s="7" t="s">
        <v>278</v>
      </c>
      <c r="D2302" s="7" t="s">
        <v>168</v>
      </c>
      <c r="E2302" s="7" t="s">
        <v>752</v>
      </c>
      <c r="F2302" s="8" t="str">
        <f>_xlfn.IFNA(INDEX('HS Codes'!$D$2:$K4856,MATCH($B2302,'HS Codes'!$A$2:$A4856,0),MATCH(F$1,'HS Codes'!$D$1:$K$1,0)),"")</f>
        <v>6302.93.2000</v>
      </c>
      <c r="G2302" s="8">
        <f>_xlfn.IFNA(INDEX('HS Codes'!$D$2:$K4856,MATCH($B2302,'HS Codes'!$A$2:$A4856,0),MATCH(G$1,'HS Codes'!$D$1:$K$1,0)),"")</f>
        <v>6302600090</v>
      </c>
      <c r="H2302" s="8" t="str">
        <f>_xlfn.IFNA(INDEX('HS Codes'!$D$2:$K4856,MATCH($B2302,'HS Codes'!$A$2:$A4856,0),MATCH(H$1,'HS Codes'!$D$1:$K$1,0)),"")</f>
        <v>6302.93.00.00</v>
      </c>
      <c r="I2302" s="8">
        <f>_xlfn.IFNA(INDEX('HS Codes'!$D$2:$K4856,MATCH($B2302,'HS Codes'!$A$2:$A4856,0),MATCH(I$1,'HS Codes'!$D$1:$K$1,0)),"")</f>
        <v>6302939000</v>
      </c>
      <c r="J2302" s="8">
        <f>_xlfn.IFNA(INDEX('HS Codes'!$D$2:$K4856,MATCH($B2302,'HS Codes'!$A$2:$A4856,0),MATCH(J$1,'HS Codes'!$D$1:$K$1,0)),"")</f>
        <v>0</v>
      </c>
      <c r="K2302" s="8" t="str">
        <f>_xlfn.IFNA(INDEX('HS Codes'!$D$2:$K4856,MATCH($B2302,'HS Codes'!$A$2:$A4856,0),MATCH(K$1,'HS Codes'!$D$1:$K$1,0)),"")</f>
        <v>6302.39.00</v>
      </c>
      <c r="L2302" s="8">
        <f>_xlfn.IFNA(INDEX('HS Codes'!$D$2:$K4856,MATCH($B2302,'HS Codes'!$A$2:$A4856,0),MATCH(L$1,'HS Codes'!$D$1:$K$1,0)),"")</f>
        <v>63029120</v>
      </c>
      <c r="M2302" s="8" t="str">
        <f>_xlfn.IFNA(INDEX('HS Codes'!$C$2:$C4856,MATCH($B2302,'HS Codes'!$A$2:$A4856,0)),"")</f>
        <v>Beach Towel - Toilet Linen 100% recycled 220 GSM/83% polyester/17% polyamide includes cotton on the packing pouch drawstring</v>
      </c>
      <c r="N2302" s="9"/>
      <c r="O2302" s="9"/>
      <c r="P2302" s="9"/>
      <c r="Q2302" s="9"/>
    </row>
    <row r="2303" spans="1:17" ht="15.75" customHeight="1">
      <c r="A2303" s="7" t="s">
        <v>2595</v>
      </c>
      <c r="B2303" s="7" t="s">
        <v>164</v>
      </c>
      <c r="C2303" s="7" t="s">
        <v>278</v>
      </c>
      <c r="D2303" s="7" t="s">
        <v>165</v>
      </c>
      <c r="E2303" s="7" t="s">
        <v>348</v>
      </c>
      <c r="F2303" s="8" t="str">
        <f>_xlfn.IFNA(INDEX('HS Codes'!$D$2:$K4857,MATCH($B2303,'HS Codes'!$A$2:$A4857,0),MATCH(F$1,'HS Codes'!$D$1:$K$1,0)),"")</f>
        <v>6302.93.2000</v>
      </c>
      <c r="G2303" s="8">
        <f>_xlfn.IFNA(INDEX('HS Codes'!$D$2:$K4857,MATCH($B2303,'HS Codes'!$A$2:$A4857,0),MATCH(G$1,'HS Codes'!$D$1:$K$1,0)),"")</f>
        <v>6302600090</v>
      </c>
      <c r="H2303" s="8" t="str">
        <f>_xlfn.IFNA(INDEX('HS Codes'!$D$2:$K4857,MATCH($B2303,'HS Codes'!$A$2:$A4857,0),MATCH(H$1,'HS Codes'!$D$1:$K$1,0)),"")</f>
        <v>6302.93.00.00</v>
      </c>
      <c r="I2303" s="8">
        <f>_xlfn.IFNA(INDEX('HS Codes'!$D$2:$K4857,MATCH($B2303,'HS Codes'!$A$2:$A4857,0),MATCH(I$1,'HS Codes'!$D$1:$K$1,0)),"")</f>
        <v>63029390</v>
      </c>
      <c r="J2303" s="8">
        <f>_xlfn.IFNA(INDEX('HS Codes'!$D$2:$K4857,MATCH($B2303,'HS Codes'!$A$2:$A4857,0),MATCH(J$1,'HS Codes'!$D$1:$K$1,0)),"")</f>
        <v>0</v>
      </c>
      <c r="K2303" s="8" t="str">
        <f>_xlfn.IFNA(INDEX('HS Codes'!$D$2:$K4857,MATCH($B2303,'HS Codes'!$A$2:$A4857,0),MATCH(K$1,'HS Codes'!$D$1:$K$1,0)),"")</f>
        <v>6302.39.00</v>
      </c>
      <c r="L2303" s="8">
        <f>_xlfn.IFNA(INDEX('HS Codes'!$D$2:$K4857,MATCH($B2303,'HS Codes'!$A$2:$A4857,0),MATCH(L$1,'HS Codes'!$D$1:$K$1,0)),"")</f>
        <v>63029120</v>
      </c>
      <c r="M2303" s="8" t="str">
        <f>_xlfn.IFNA(INDEX('HS Codes'!$C$2:$C4857,MATCH($B2303,'HS Codes'!$A$2:$A4857,0)),"")</f>
        <v>Beach Towel - Toilet Linen 100% recycled 220 GSM/83% polyester/17% polyamide includes cotton on the packing pouch drawstring</v>
      </c>
      <c r="N2303" s="9"/>
      <c r="O2303" s="9"/>
      <c r="P2303" s="9"/>
      <c r="Q2303" s="9"/>
    </row>
    <row r="2304" spans="1:17" ht="15.75" customHeight="1">
      <c r="A2304" s="7" t="s">
        <v>2596</v>
      </c>
      <c r="B2304" s="7" t="s">
        <v>164</v>
      </c>
      <c r="C2304" s="7" t="s">
        <v>278</v>
      </c>
      <c r="D2304" s="7" t="s">
        <v>165</v>
      </c>
      <c r="E2304" s="7" t="s">
        <v>348</v>
      </c>
      <c r="F2304" s="8" t="str">
        <f>_xlfn.IFNA(INDEX('HS Codes'!$D$2:$K4858,MATCH($B2304,'HS Codes'!$A$2:$A4858,0),MATCH(F$1,'HS Codes'!$D$1:$K$1,0)),"")</f>
        <v>6302.93.2000</v>
      </c>
      <c r="G2304" s="8">
        <f>_xlfn.IFNA(INDEX('HS Codes'!$D$2:$K4858,MATCH($B2304,'HS Codes'!$A$2:$A4858,0),MATCH(G$1,'HS Codes'!$D$1:$K$1,0)),"")</f>
        <v>6302600090</v>
      </c>
      <c r="H2304" s="8" t="str">
        <f>_xlfn.IFNA(INDEX('HS Codes'!$D$2:$K4858,MATCH($B2304,'HS Codes'!$A$2:$A4858,0),MATCH(H$1,'HS Codes'!$D$1:$K$1,0)),"")</f>
        <v>6302.93.00.00</v>
      </c>
      <c r="I2304" s="8">
        <f>_xlfn.IFNA(INDEX('HS Codes'!$D$2:$K4858,MATCH($B2304,'HS Codes'!$A$2:$A4858,0),MATCH(I$1,'HS Codes'!$D$1:$K$1,0)),"")</f>
        <v>63029390</v>
      </c>
      <c r="J2304" s="8">
        <f>_xlfn.IFNA(INDEX('HS Codes'!$D$2:$K4858,MATCH($B2304,'HS Codes'!$A$2:$A4858,0),MATCH(J$1,'HS Codes'!$D$1:$K$1,0)),"")</f>
        <v>0</v>
      </c>
      <c r="K2304" s="8" t="str">
        <f>_xlfn.IFNA(INDEX('HS Codes'!$D$2:$K4858,MATCH($B2304,'HS Codes'!$A$2:$A4858,0),MATCH(K$1,'HS Codes'!$D$1:$K$1,0)),"")</f>
        <v>6302.39.00</v>
      </c>
      <c r="L2304" s="8">
        <f>_xlfn.IFNA(INDEX('HS Codes'!$D$2:$K4858,MATCH($B2304,'HS Codes'!$A$2:$A4858,0),MATCH(L$1,'HS Codes'!$D$1:$K$1,0)),"")</f>
        <v>63029120</v>
      </c>
      <c r="M2304" s="8" t="str">
        <f>_xlfn.IFNA(INDEX('HS Codes'!$C$2:$C4858,MATCH($B2304,'HS Codes'!$A$2:$A4858,0)),"")</f>
        <v>Beach Towel - Toilet Linen 100% recycled 220 GSM/83% polyester/17% polyamide includes cotton on the packing pouch drawstring</v>
      </c>
      <c r="N2304" s="9"/>
      <c r="O2304" s="9"/>
      <c r="P2304" s="9"/>
      <c r="Q2304" s="9"/>
    </row>
    <row r="2305" spans="1:17" ht="15.75" customHeight="1">
      <c r="A2305" s="7" t="s">
        <v>2597</v>
      </c>
      <c r="B2305" s="7" t="s">
        <v>164</v>
      </c>
      <c r="C2305" s="7" t="s">
        <v>278</v>
      </c>
      <c r="D2305" s="7" t="s">
        <v>165</v>
      </c>
      <c r="E2305" s="7" t="s">
        <v>348</v>
      </c>
      <c r="F2305" s="8" t="str">
        <f>_xlfn.IFNA(INDEX('HS Codes'!$D$2:$K4859,MATCH($B2305,'HS Codes'!$A$2:$A4859,0),MATCH(F$1,'HS Codes'!$D$1:$K$1,0)),"")</f>
        <v>6302.93.2000</v>
      </c>
      <c r="G2305" s="8">
        <f>_xlfn.IFNA(INDEX('HS Codes'!$D$2:$K4859,MATCH($B2305,'HS Codes'!$A$2:$A4859,0),MATCH(G$1,'HS Codes'!$D$1:$K$1,0)),"")</f>
        <v>6302600090</v>
      </c>
      <c r="H2305" s="8" t="str">
        <f>_xlfn.IFNA(INDEX('HS Codes'!$D$2:$K4859,MATCH($B2305,'HS Codes'!$A$2:$A4859,0),MATCH(H$1,'HS Codes'!$D$1:$K$1,0)),"")</f>
        <v>6302.93.00.00</v>
      </c>
      <c r="I2305" s="8">
        <f>_xlfn.IFNA(INDEX('HS Codes'!$D$2:$K4859,MATCH($B2305,'HS Codes'!$A$2:$A4859,0),MATCH(I$1,'HS Codes'!$D$1:$K$1,0)),"")</f>
        <v>63029390</v>
      </c>
      <c r="J2305" s="8">
        <f>_xlfn.IFNA(INDEX('HS Codes'!$D$2:$K4859,MATCH($B2305,'HS Codes'!$A$2:$A4859,0),MATCH(J$1,'HS Codes'!$D$1:$K$1,0)),"")</f>
        <v>0</v>
      </c>
      <c r="K2305" s="8" t="str">
        <f>_xlfn.IFNA(INDEX('HS Codes'!$D$2:$K4859,MATCH($B2305,'HS Codes'!$A$2:$A4859,0),MATCH(K$1,'HS Codes'!$D$1:$K$1,0)),"")</f>
        <v>6302.39.00</v>
      </c>
      <c r="L2305" s="8">
        <f>_xlfn.IFNA(INDEX('HS Codes'!$D$2:$K4859,MATCH($B2305,'HS Codes'!$A$2:$A4859,0),MATCH(L$1,'HS Codes'!$D$1:$K$1,0)),"")</f>
        <v>63029120</v>
      </c>
      <c r="M2305" s="8" t="str">
        <f>_xlfn.IFNA(INDEX('HS Codes'!$C$2:$C4859,MATCH($B2305,'HS Codes'!$A$2:$A4859,0)),"")</f>
        <v>Beach Towel - Toilet Linen 100% recycled 220 GSM/83% polyester/17% polyamide includes cotton on the packing pouch drawstring</v>
      </c>
      <c r="N2305" s="9"/>
      <c r="O2305" s="9"/>
      <c r="P2305" s="9"/>
      <c r="Q2305" s="9"/>
    </row>
    <row r="2306" spans="1:17" ht="15.75" customHeight="1">
      <c r="A2306" s="7" t="s">
        <v>2598</v>
      </c>
      <c r="B2306" s="7" t="s">
        <v>164</v>
      </c>
      <c r="C2306" s="7" t="s">
        <v>278</v>
      </c>
      <c r="D2306" s="7" t="s">
        <v>165</v>
      </c>
      <c r="E2306" s="7" t="s">
        <v>348</v>
      </c>
      <c r="F2306" s="8" t="str">
        <f>_xlfn.IFNA(INDEX('HS Codes'!$D$2:$K4860,MATCH($B2306,'HS Codes'!$A$2:$A4860,0),MATCH(F$1,'HS Codes'!$D$1:$K$1,0)),"")</f>
        <v>6302.93.2000</v>
      </c>
      <c r="G2306" s="8">
        <f>_xlfn.IFNA(INDEX('HS Codes'!$D$2:$K4860,MATCH($B2306,'HS Codes'!$A$2:$A4860,0),MATCH(G$1,'HS Codes'!$D$1:$K$1,0)),"")</f>
        <v>6302600090</v>
      </c>
      <c r="H2306" s="8" t="str">
        <f>_xlfn.IFNA(INDEX('HS Codes'!$D$2:$K4860,MATCH($B2306,'HS Codes'!$A$2:$A4860,0),MATCH(H$1,'HS Codes'!$D$1:$K$1,0)),"")</f>
        <v>6302.93.00.00</v>
      </c>
      <c r="I2306" s="8">
        <f>_xlfn.IFNA(INDEX('HS Codes'!$D$2:$K4860,MATCH($B2306,'HS Codes'!$A$2:$A4860,0),MATCH(I$1,'HS Codes'!$D$1:$K$1,0)),"")</f>
        <v>63029390</v>
      </c>
      <c r="J2306" s="8">
        <f>_xlfn.IFNA(INDEX('HS Codes'!$D$2:$K4860,MATCH($B2306,'HS Codes'!$A$2:$A4860,0),MATCH(J$1,'HS Codes'!$D$1:$K$1,0)),"")</f>
        <v>0</v>
      </c>
      <c r="K2306" s="8" t="str">
        <f>_xlfn.IFNA(INDEX('HS Codes'!$D$2:$K4860,MATCH($B2306,'HS Codes'!$A$2:$A4860,0),MATCH(K$1,'HS Codes'!$D$1:$K$1,0)),"")</f>
        <v>6302.39.00</v>
      </c>
      <c r="L2306" s="8">
        <f>_xlfn.IFNA(INDEX('HS Codes'!$D$2:$K4860,MATCH($B2306,'HS Codes'!$A$2:$A4860,0),MATCH(L$1,'HS Codes'!$D$1:$K$1,0)),"")</f>
        <v>63029120</v>
      </c>
      <c r="M2306" s="8" t="str">
        <f>_xlfn.IFNA(INDEX('HS Codes'!$C$2:$C4860,MATCH($B2306,'HS Codes'!$A$2:$A4860,0)),"")</f>
        <v>Beach Towel - Toilet Linen 100% recycled 220 GSM/83% polyester/17% polyamide includes cotton on the packing pouch drawstring</v>
      </c>
      <c r="N2306" s="9"/>
      <c r="O2306" s="9"/>
      <c r="P2306" s="9"/>
      <c r="Q2306" s="9"/>
    </row>
    <row r="2307" spans="1:17" ht="15.75" customHeight="1">
      <c r="A2307" s="7" t="s">
        <v>2599</v>
      </c>
      <c r="B2307" s="7" t="s">
        <v>164</v>
      </c>
      <c r="C2307" s="7" t="s">
        <v>278</v>
      </c>
      <c r="D2307" s="7" t="s">
        <v>165</v>
      </c>
      <c r="E2307" s="7" t="s">
        <v>348</v>
      </c>
      <c r="F2307" s="8" t="str">
        <f>_xlfn.IFNA(INDEX('HS Codes'!$D$2:$K4861,MATCH($B2307,'HS Codes'!$A$2:$A4861,0),MATCH(F$1,'HS Codes'!$D$1:$K$1,0)),"")</f>
        <v>6302.93.2000</v>
      </c>
      <c r="G2307" s="8">
        <f>_xlfn.IFNA(INDEX('HS Codes'!$D$2:$K4861,MATCH($B2307,'HS Codes'!$A$2:$A4861,0),MATCH(G$1,'HS Codes'!$D$1:$K$1,0)),"")</f>
        <v>6302600090</v>
      </c>
      <c r="H2307" s="8" t="str">
        <f>_xlfn.IFNA(INDEX('HS Codes'!$D$2:$K4861,MATCH($B2307,'HS Codes'!$A$2:$A4861,0),MATCH(H$1,'HS Codes'!$D$1:$K$1,0)),"")</f>
        <v>6302.93.00.00</v>
      </c>
      <c r="I2307" s="8">
        <f>_xlfn.IFNA(INDEX('HS Codes'!$D$2:$K4861,MATCH($B2307,'HS Codes'!$A$2:$A4861,0),MATCH(I$1,'HS Codes'!$D$1:$K$1,0)),"")</f>
        <v>63029390</v>
      </c>
      <c r="J2307" s="8">
        <f>_xlfn.IFNA(INDEX('HS Codes'!$D$2:$K4861,MATCH($B2307,'HS Codes'!$A$2:$A4861,0),MATCH(J$1,'HS Codes'!$D$1:$K$1,0)),"")</f>
        <v>0</v>
      </c>
      <c r="K2307" s="8" t="str">
        <f>_xlfn.IFNA(INDEX('HS Codes'!$D$2:$K4861,MATCH($B2307,'HS Codes'!$A$2:$A4861,0),MATCH(K$1,'HS Codes'!$D$1:$K$1,0)),"")</f>
        <v>6302.39.00</v>
      </c>
      <c r="L2307" s="8">
        <f>_xlfn.IFNA(INDEX('HS Codes'!$D$2:$K4861,MATCH($B2307,'HS Codes'!$A$2:$A4861,0),MATCH(L$1,'HS Codes'!$D$1:$K$1,0)),"")</f>
        <v>63029120</v>
      </c>
      <c r="M2307" s="8" t="str">
        <f>_xlfn.IFNA(INDEX('HS Codes'!$C$2:$C4861,MATCH($B2307,'HS Codes'!$A$2:$A4861,0)),"")</f>
        <v>Beach Towel - Toilet Linen 100% recycled 220 GSM/83% polyester/17% polyamide includes cotton on the packing pouch drawstring</v>
      </c>
      <c r="N2307" s="9"/>
      <c r="O2307" s="9"/>
      <c r="P2307" s="9"/>
      <c r="Q2307" s="9"/>
    </row>
    <row r="2308" spans="1:17" ht="15.75" customHeight="1">
      <c r="A2308" s="7" t="s">
        <v>2600</v>
      </c>
      <c r="B2308" s="7" t="s">
        <v>164</v>
      </c>
      <c r="C2308" s="7" t="s">
        <v>278</v>
      </c>
      <c r="D2308" s="7" t="s">
        <v>165</v>
      </c>
      <c r="E2308" s="7" t="s">
        <v>348</v>
      </c>
      <c r="F2308" s="8" t="str">
        <f>_xlfn.IFNA(INDEX('HS Codes'!$D$2:$K4862,MATCH($B2308,'HS Codes'!$A$2:$A4862,0),MATCH(F$1,'HS Codes'!$D$1:$K$1,0)),"")</f>
        <v>6302.93.2000</v>
      </c>
      <c r="G2308" s="8">
        <f>_xlfn.IFNA(INDEX('HS Codes'!$D$2:$K4862,MATCH($B2308,'HS Codes'!$A$2:$A4862,0),MATCH(G$1,'HS Codes'!$D$1:$K$1,0)),"")</f>
        <v>6302600090</v>
      </c>
      <c r="H2308" s="8" t="str">
        <f>_xlfn.IFNA(INDEX('HS Codes'!$D$2:$K4862,MATCH($B2308,'HS Codes'!$A$2:$A4862,0),MATCH(H$1,'HS Codes'!$D$1:$K$1,0)),"")</f>
        <v>6302.93.00.00</v>
      </c>
      <c r="I2308" s="8">
        <f>_xlfn.IFNA(INDEX('HS Codes'!$D$2:$K4862,MATCH($B2308,'HS Codes'!$A$2:$A4862,0),MATCH(I$1,'HS Codes'!$D$1:$K$1,0)),"")</f>
        <v>63029390</v>
      </c>
      <c r="J2308" s="8">
        <f>_xlfn.IFNA(INDEX('HS Codes'!$D$2:$K4862,MATCH($B2308,'HS Codes'!$A$2:$A4862,0),MATCH(J$1,'HS Codes'!$D$1:$K$1,0)),"")</f>
        <v>0</v>
      </c>
      <c r="K2308" s="8" t="str">
        <f>_xlfn.IFNA(INDEX('HS Codes'!$D$2:$K4862,MATCH($B2308,'HS Codes'!$A$2:$A4862,0),MATCH(K$1,'HS Codes'!$D$1:$K$1,0)),"")</f>
        <v>6302.39.00</v>
      </c>
      <c r="L2308" s="8">
        <f>_xlfn.IFNA(INDEX('HS Codes'!$D$2:$K4862,MATCH($B2308,'HS Codes'!$A$2:$A4862,0),MATCH(L$1,'HS Codes'!$D$1:$K$1,0)),"")</f>
        <v>63029120</v>
      </c>
      <c r="M2308" s="8" t="str">
        <f>_xlfn.IFNA(INDEX('HS Codes'!$C$2:$C4862,MATCH($B2308,'HS Codes'!$A$2:$A4862,0)),"")</f>
        <v>Beach Towel - Toilet Linen 100% recycled 220 GSM/83% polyester/17% polyamide includes cotton on the packing pouch drawstring</v>
      </c>
      <c r="N2308" s="9"/>
      <c r="O2308" s="9"/>
      <c r="P2308" s="9"/>
      <c r="Q2308" s="9"/>
    </row>
    <row r="2309" spans="1:17" ht="15.75" customHeight="1">
      <c r="A2309" s="7" t="s">
        <v>2601</v>
      </c>
      <c r="B2309" s="7" t="s">
        <v>164</v>
      </c>
      <c r="C2309" s="7" t="s">
        <v>278</v>
      </c>
      <c r="D2309" s="7" t="s">
        <v>165</v>
      </c>
      <c r="E2309" s="7" t="s">
        <v>348</v>
      </c>
      <c r="F2309" s="8" t="str">
        <f>_xlfn.IFNA(INDEX('HS Codes'!$D$2:$K4863,MATCH($B2309,'HS Codes'!$A$2:$A4863,0),MATCH(F$1,'HS Codes'!$D$1:$K$1,0)),"")</f>
        <v>6302.93.2000</v>
      </c>
      <c r="G2309" s="8">
        <f>_xlfn.IFNA(INDEX('HS Codes'!$D$2:$K4863,MATCH($B2309,'HS Codes'!$A$2:$A4863,0),MATCH(G$1,'HS Codes'!$D$1:$K$1,0)),"")</f>
        <v>6302600090</v>
      </c>
      <c r="H2309" s="8" t="str">
        <f>_xlfn.IFNA(INDEX('HS Codes'!$D$2:$K4863,MATCH($B2309,'HS Codes'!$A$2:$A4863,0),MATCH(H$1,'HS Codes'!$D$1:$K$1,0)),"")</f>
        <v>6302.93.00.00</v>
      </c>
      <c r="I2309" s="8">
        <f>_xlfn.IFNA(INDEX('HS Codes'!$D$2:$K4863,MATCH($B2309,'HS Codes'!$A$2:$A4863,0),MATCH(I$1,'HS Codes'!$D$1:$K$1,0)),"")</f>
        <v>63029390</v>
      </c>
      <c r="J2309" s="8">
        <f>_xlfn.IFNA(INDEX('HS Codes'!$D$2:$K4863,MATCH($B2309,'HS Codes'!$A$2:$A4863,0),MATCH(J$1,'HS Codes'!$D$1:$K$1,0)),"")</f>
        <v>0</v>
      </c>
      <c r="K2309" s="8" t="str">
        <f>_xlfn.IFNA(INDEX('HS Codes'!$D$2:$K4863,MATCH($B2309,'HS Codes'!$A$2:$A4863,0),MATCH(K$1,'HS Codes'!$D$1:$K$1,0)),"")</f>
        <v>6302.39.00</v>
      </c>
      <c r="L2309" s="8">
        <f>_xlfn.IFNA(INDEX('HS Codes'!$D$2:$K4863,MATCH($B2309,'HS Codes'!$A$2:$A4863,0),MATCH(L$1,'HS Codes'!$D$1:$K$1,0)),"")</f>
        <v>63029120</v>
      </c>
      <c r="M2309" s="8" t="str">
        <f>_xlfn.IFNA(INDEX('HS Codes'!$C$2:$C4863,MATCH($B2309,'HS Codes'!$A$2:$A4863,0)),"")</f>
        <v>Beach Towel - Toilet Linen 100% recycled 220 GSM/83% polyester/17% polyamide includes cotton on the packing pouch drawstring</v>
      </c>
      <c r="N2309" s="9"/>
      <c r="O2309" s="9"/>
      <c r="P2309" s="9"/>
      <c r="Q2309" s="9"/>
    </row>
    <row r="2310" spans="1:17" ht="15.75" customHeight="1">
      <c r="A2310" s="7" t="s">
        <v>2602</v>
      </c>
      <c r="B2310" s="7" t="s">
        <v>164</v>
      </c>
      <c r="C2310" s="7" t="s">
        <v>278</v>
      </c>
      <c r="D2310" s="7" t="s">
        <v>165</v>
      </c>
      <c r="E2310" s="7" t="s">
        <v>348</v>
      </c>
      <c r="F2310" s="8" t="str">
        <f>_xlfn.IFNA(INDEX('HS Codes'!$D$2:$K4864,MATCH($B2310,'HS Codes'!$A$2:$A4864,0),MATCH(F$1,'HS Codes'!$D$1:$K$1,0)),"")</f>
        <v>6302.93.2000</v>
      </c>
      <c r="G2310" s="8">
        <f>_xlfn.IFNA(INDEX('HS Codes'!$D$2:$K4864,MATCH($B2310,'HS Codes'!$A$2:$A4864,0),MATCH(G$1,'HS Codes'!$D$1:$K$1,0)),"")</f>
        <v>6302600090</v>
      </c>
      <c r="H2310" s="8" t="str">
        <f>_xlfn.IFNA(INDEX('HS Codes'!$D$2:$K4864,MATCH($B2310,'HS Codes'!$A$2:$A4864,0),MATCH(H$1,'HS Codes'!$D$1:$K$1,0)),"")</f>
        <v>6302.93.00.00</v>
      </c>
      <c r="I2310" s="8">
        <f>_xlfn.IFNA(INDEX('HS Codes'!$D$2:$K4864,MATCH($B2310,'HS Codes'!$A$2:$A4864,0),MATCH(I$1,'HS Codes'!$D$1:$K$1,0)),"")</f>
        <v>63029390</v>
      </c>
      <c r="J2310" s="8">
        <f>_xlfn.IFNA(INDEX('HS Codes'!$D$2:$K4864,MATCH($B2310,'HS Codes'!$A$2:$A4864,0),MATCH(J$1,'HS Codes'!$D$1:$K$1,0)),"")</f>
        <v>0</v>
      </c>
      <c r="K2310" s="8" t="str">
        <f>_xlfn.IFNA(INDEX('HS Codes'!$D$2:$K4864,MATCH($B2310,'HS Codes'!$A$2:$A4864,0),MATCH(K$1,'HS Codes'!$D$1:$K$1,0)),"")</f>
        <v>6302.39.00</v>
      </c>
      <c r="L2310" s="8">
        <f>_xlfn.IFNA(INDEX('HS Codes'!$D$2:$K4864,MATCH($B2310,'HS Codes'!$A$2:$A4864,0),MATCH(L$1,'HS Codes'!$D$1:$K$1,0)),"")</f>
        <v>63029120</v>
      </c>
      <c r="M2310" s="8" t="str">
        <f>_xlfn.IFNA(INDEX('HS Codes'!$C$2:$C4864,MATCH($B2310,'HS Codes'!$A$2:$A4864,0)),"")</f>
        <v>Beach Towel - Toilet Linen 100% recycled 220 GSM/83% polyester/17% polyamide includes cotton on the packing pouch drawstring</v>
      </c>
      <c r="N2310" s="9"/>
      <c r="O2310" s="9"/>
      <c r="P2310" s="9"/>
      <c r="Q2310" s="9"/>
    </row>
    <row r="2311" spans="1:17" ht="15.75" customHeight="1">
      <c r="A2311" s="7" t="s">
        <v>2603</v>
      </c>
      <c r="B2311" s="7" t="s">
        <v>164</v>
      </c>
      <c r="C2311" s="7" t="s">
        <v>278</v>
      </c>
      <c r="D2311" s="7" t="s">
        <v>165</v>
      </c>
      <c r="E2311" s="7" t="s">
        <v>348</v>
      </c>
      <c r="F2311" s="8" t="str">
        <f>_xlfn.IFNA(INDEX('HS Codes'!$D$2:$K4865,MATCH($B2311,'HS Codes'!$A$2:$A4865,0),MATCH(F$1,'HS Codes'!$D$1:$K$1,0)),"")</f>
        <v>6302.93.2000</v>
      </c>
      <c r="G2311" s="8">
        <f>_xlfn.IFNA(INDEX('HS Codes'!$D$2:$K4865,MATCH($B2311,'HS Codes'!$A$2:$A4865,0),MATCH(G$1,'HS Codes'!$D$1:$K$1,0)),"")</f>
        <v>6302600090</v>
      </c>
      <c r="H2311" s="8" t="str">
        <f>_xlfn.IFNA(INDEX('HS Codes'!$D$2:$K4865,MATCH($B2311,'HS Codes'!$A$2:$A4865,0),MATCH(H$1,'HS Codes'!$D$1:$K$1,0)),"")</f>
        <v>6302.93.00.00</v>
      </c>
      <c r="I2311" s="8">
        <f>_xlfn.IFNA(INDEX('HS Codes'!$D$2:$K4865,MATCH($B2311,'HS Codes'!$A$2:$A4865,0),MATCH(I$1,'HS Codes'!$D$1:$K$1,0)),"")</f>
        <v>63029390</v>
      </c>
      <c r="J2311" s="8">
        <f>_xlfn.IFNA(INDEX('HS Codes'!$D$2:$K4865,MATCH($B2311,'HS Codes'!$A$2:$A4865,0),MATCH(J$1,'HS Codes'!$D$1:$K$1,0)),"")</f>
        <v>0</v>
      </c>
      <c r="K2311" s="8" t="str">
        <f>_xlfn.IFNA(INDEX('HS Codes'!$D$2:$K4865,MATCH($B2311,'HS Codes'!$A$2:$A4865,0),MATCH(K$1,'HS Codes'!$D$1:$K$1,0)),"")</f>
        <v>6302.39.00</v>
      </c>
      <c r="L2311" s="8">
        <f>_xlfn.IFNA(INDEX('HS Codes'!$D$2:$K4865,MATCH($B2311,'HS Codes'!$A$2:$A4865,0),MATCH(L$1,'HS Codes'!$D$1:$K$1,0)),"")</f>
        <v>63029120</v>
      </c>
      <c r="M2311" s="8" t="str">
        <f>_xlfn.IFNA(INDEX('HS Codes'!$C$2:$C4865,MATCH($B2311,'HS Codes'!$A$2:$A4865,0)),"")</f>
        <v>Beach Towel - Toilet Linen 100% recycled 220 GSM/83% polyester/17% polyamide includes cotton on the packing pouch drawstring</v>
      </c>
      <c r="N2311" s="9"/>
      <c r="O2311" s="9"/>
      <c r="P2311" s="9"/>
      <c r="Q2311" s="9"/>
    </row>
    <row r="2312" spans="1:17" ht="15.75" customHeight="1">
      <c r="A2312" s="7" t="s">
        <v>2604</v>
      </c>
      <c r="B2312" s="7" t="s">
        <v>164</v>
      </c>
      <c r="C2312" s="7" t="s">
        <v>278</v>
      </c>
      <c r="D2312" s="7" t="s">
        <v>165</v>
      </c>
      <c r="E2312" s="7" t="s">
        <v>348</v>
      </c>
      <c r="F2312" s="8" t="str">
        <f>_xlfn.IFNA(INDEX('HS Codes'!$D$2:$K4866,MATCH($B2312,'HS Codes'!$A$2:$A4866,0),MATCH(F$1,'HS Codes'!$D$1:$K$1,0)),"")</f>
        <v>6302.93.2000</v>
      </c>
      <c r="G2312" s="8">
        <f>_xlfn.IFNA(INDEX('HS Codes'!$D$2:$K4866,MATCH($B2312,'HS Codes'!$A$2:$A4866,0),MATCH(G$1,'HS Codes'!$D$1:$K$1,0)),"")</f>
        <v>6302600090</v>
      </c>
      <c r="H2312" s="8" t="str">
        <f>_xlfn.IFNA(INDEX('HS Codes'!$D$2:$K4866,MATCH($B2312,'HS Codes'!$A$2:$A4866,0),MATCH(H$1,'HS Codes'!$D$1:$K$1,0)),"")</f>
        <v>6302.93.00.00</v>
      </c>
      <c r="I2312" s="8">
        <f>_xlfn.IFNA(INDEX('HS Codes'!$D$2:$K4866,MATCH($B2312,'HS Codes'!$A$2:$A4866,0),MATCH(I$1,'HS Codes'!$D$1:$K$1,0)),"")</f>
        <v>63029390</v>
      </c>
      <c r="J2312" s="8">
        <f>_xlfn.IFNA(INDEX('HS Codes'!$D$2:$K4866,MATCH($B2312,'HS Codes'!$A$2:$A4866,0),MATCH(J$1,'HS Codes'!$D$1:$K$1,0)),"")</f>
        <v>0</v>
      </c>
      <c r="K2312" s="8" t="str">
        <f>_xlfn.IFNA(INDEX('HS Codes'!$D$2:$K4866,MATCH($B2312,'HS Codes'!$A$2:$A4866,0),MATCH(K$1,'HS Codes'!$D$1:$K$1,0)),"")</f>
        <v>6302.39.00</v>
      </c>
      <c r="L2312" s="8">
        <f>_xlfn.IFNA(INDEX('HS Codes'!$D$2:$K4866,MATCH($B2312,'HS Codes'!$A$2:$A4866,0),MATCH(L$1,'HS Codes'!$D$1:$K$1,0)),"")</f>
        <v>63029120</v>
      </c>
      <c r="M2312" s="8" t="str">
        <f>_xlfn.IFNA(INDEX('HS Codes'!$C$2:$C4866,MATCH($B2312,'HS Codes'!$A$2:$A4866,0)),"")</f>
        <v>Beach Towel - Toilet Linen 100% recycled 220 GSM/83% polyester/17% polyamide includes cotton on the packing pouch drawstring</v>
      </c>
      <c r="N2312" s="9"/>
      <c r="O2312" s="9"/>
      <c r="P2312" s="9"/>
      <c r="Q2312" s="9"/>
    </row>
    <row r="2313" spans="1:17" ht="15.75" customHeight="1">
      <c r="A2313" s="7" t="s">
        <v>2605</v>
      </c>
      <c r="B2313" s="7" t="s">
        <v>164</v>
      </c>
      <c r="C2313" s="7" t="s">
        <v>278</v>
      </c>
      <c r="D2313" s="7" t="s">
        <v>165</v>
      </c>
      <c r="E2313" s="7" t="s">
        <v>348</v>
      </c>
      <c r="F2313" s="8" t="str">
        <f>_xlfn.IFNA(INDEX('HS Codes'!$D$2:$K4867,MATCH($B2313,'HS Codes'!$A$2:$A4867,0),MATCH(F$1,'HS Codes'!$D$1:$K$1,0)),"")</f>
        <v>6302.93.2000</v>
      </c>
      <c r="G2313" s="8">
        <f>_xlfn.IFNA(INDEX('HS Codes'!$D$2:$K4867,MATCH($B2313,'HS Codes'!$A$2:$A4867,0),MATCH(G$1,'HS Codes'!$D$1:$K$1,0)),"")</f>
        <v>6302600090</v>
      </c>
      <c r="H2313" s="8" t="str">
        <f>_xlfn.IFNA(INDEX('HS Codes'!$D$2:$K4867,MATCH($B2313,'HS Codes'!$A$2:$A4867,0),MATCH(H$1,'HS Codes'!$D$1:$K$1,0)),"")</f>
        <v>6302.93.00.00</v>
      </c>
      <c r="I2313" s="8">
        <f>_xlfn.IFNA(INDEX('HS Codes'!$D$2:$K4867,MATCH($B2313,'HS Codes'!$A$2:$A4867,0),MATCH(I$1,'HS Codes'!$D$1:$K$1,0)),"")</f>
        <v>63029390</v>
      </c>
      <c r="J2313" s="8">
        <f>_xlfn.IFNA(INDEX('HS Codes'!$D$2:$K4867,MATCH($B2313,'HS Codes'!$A$2:$A4867,0),MATCH(J$1,'HS Codes'!$D$1:$K$1,0)),"")</f>
        <v>0</v>
      </c>
      <c r="K2313" s="8" t="str">
        <f>_xlfn.IFNA(INDEX('HS Codes'!$D$2:$K4867,MATCH($B2313,'HS Codes'!$A$2:$A4867,0),MATCH(K$1,'HS Codes'!$D$1:$K$1,0)),"")</f>
        <v>6302.39.00</v>
      </c>
      <c r="L2313" s="8">
        <f>_xlfn.IFNA(INDEX('HS Codes'!$D$2:$K4867,MATCH($B2313,'HS Codes'!$A$2:$A4867,0),MATCH(L$1,'HS Codes'!$D$1:$K$1,0)),"")</f>
        <v>63029120</v>
      </c>
      <c r="M2313" s="8" t="str">
        <f>_xlfn.IFNA(INDEX('HS Codes'!$C$2:$C4867,MATCH($B2313,'HS Codes'!$A$2:$A4867,0)),"")</f>
        <v>Beach Towel - Toilet Linen 100% recycled 220 GSM/83% polyester/17% polyamide includes cotton on the packing pouch drawstring</v>
      </c>
      <c r="N2313" s="9"/>
      <c r="O2313" s="9"/>
      <c r="P2313" s="9"/>
      <c r="Q2313" s="9"/>
    </row>
    <row r="2314" spans="1:17" ht="15.75" customHeight="1">
      <c r="A2314" s="7" t="s">
        <v>2606</v>
      </c>
      <c r="B2314" s="7" t="s">
        <v>164</v>
      </c>
      <c r="C2314" s="7" t="s">
        <v>278</v>
      </c>
      <c r="D2314" s="7" t="s">
        <v>165</v>
      </c>
      <c r="E2314" s="7" t="s">
        <v>348</v>
      </c>
      <c r="F2314" s="8" t="str">
        <f>_xlfn.IFNA(INDEX('HS Codes'!$D$2:$K4868,MATCH($B2314,'HS Codes'!$A$2:$A4868,0),MATCH(F$1,'HS Codes'!$D$1:$K$1,0)),"")</f>
        <v>6302.93.2000</v>
      </c>
      <c r="G2314" s="8">
        <f>_xlfn.IFNA(INDEX('HS Codes'!$D$2:$K4868,MATCH($B2314,'HS Codes'!$A$2:$A4868,0),MATCH(G$1,'HS Codes'!$D$1:$K$1,0)),"")</f>
        <v>6302600090</v>
      </c>
      <c r="H2314" s="8" t="str">
        <f>_xlfn.IFNA(INDEX('HS Codes'!$D$2:$K4868,MATCH($B2314,'HS Codes'!$A$2:$A4868,0),MATCH(H$1,'HS Codes'!$D$1:$K$1,0)),"")</f>
        <v>6302.93.00.00</v>
      </c>
      <c r="I2314" s="8">
        <f>_xlfn.IFNA(INDEX('HS Codes'!$D$2:$K4868,MATCH($B2314,'HS Codes'!$A$2:$A4868,0),MATCH(I$1,'HS Codes'!$D$1:$K$1,0)),"")</f>
        <v>63029390</v>
      </c>
      <c r="J2314" s="8">
        <f>_xlfn.IFNA(INDEX('HS Codes'!$D$2:$K4868,MATCH($B2314,'HS Codes'!$A$2:$A4868,0),MATCH(J$1,'HS Codes'!$D$1:$K$1,0)),"")</f>
        <v>0</v>
      </c>
      <c r="K2314" s="8" t="str">
        <f>_xlfn.IFNA(INDEX('HS Codes'!$D$2:$K4868,MATCH($B2314,'HS Codes'!$A$2:$A4868,0),MATCH(K$1,'HS Codes'!$D$1:$K$1,0)),"")</f>
        <v>6302.39.00</v>
      </c>
      <c r="L2314" s="8">
        <f>_xlfn.IFNA(INDEX('HS Codes'!$D$2:$K4868,MATCH($B2314,'HS Codes'!$A$2:$A4868,0),MATCH(L$1,'HS Codes'!$D$1:$K$1,0)),"")</f>
        <v>63029120</v>
      </c>
      <c r="M2314" s="8" t="str">
        <f>_xlfn.IFNA(INDEX('HS Codes'!$C$2:$C4868,MATCH($B2314,'HS Codes'!$A$2:$A4868,0)),"")</f>
        <v>Beach Towel - Toilet Linen 100% recycled 220 GSM/83% polyester/17% polyamide includes cotton on the packing pouch drawstring</v>
      </c>
      <c r="N2314" s="9"/>
      <c r="O2314" s="9"/>
      <c r="P2314" s="9"/>
      <c r="Q2314" s="9"/>
    </row>
    <row r="2315" spans="1:17" ht="15.75" customHeight="1">
      <c r="A2315" s="7" t="s">
        <v>2607</v>
      </c>
      <c r="B2315" s="7" t="s">
        <v>164</v>
      </c>
      <c r="C2315" s="7" t="s">
        <v>278</v>
      </c>
      <c r="D2315" s="7" t="s">
        <v>165</v>
      </c>
      <c r="E2315" s="7" t="s">
        <v>348</v>
      </c>
      <c r="F2315" s="8" t="str">
        <f>_xlfn.IFNA(INDEX('HS Codes'!$D$2:$K4869,MATCH($B2315,'HS Codes'!$A$2:$A4869,0),MATCH(F$1,'HS Codes'!$D$1:$K$1,0)),"")</f>
        <v>6302.93.2000</v>
      </c>
      <c r="G2315" s="8">
        <f>_xlfn.IFNA(INDEX('HS Codes'!$D$2:$K4869,MATCH($B2315,'HS Codes'!$A$2:$A4869,0),MATCH(G$1,'HS Codes'!$D$1:$K$1,0)),"")</f>
        <v>6302600090</v>
      </c>
      <c r="H2315" s="8" t="str">
        <f>_xlfn.IFNA(INDEX('HS Codes'!$D$2:$K4869,MATCH($B2315,'HS Codes'!$A$2:$A4869,0),MATCH(H$1,'HS Codes'!$D$1:$K$1,0)),"")</f>
        <v>6302.93.00.00</v>
      </c>
      <c r="I2315" s="8">
        <f>_xlfn.IFNA(INDEX('HS Codes'!$D$2:$K4869,MATCH($B2315,'HS Codes'!$A$2:$A4869,0),MATCH(I$1,'HS Codes'!$D$1:$K$1,0)),"")</f>
        <v>63029390</v>
      </c>
      <c r="J2315" s="8">
        <f>_xlfn.IFNA(INDEX('HS Codes'!$D$2:$K4869,MATCH($B2315,'HS Codes'!$A$2:$A4869,0),MATCH(J$1,'HS Codes'!$D$1:$K$1,0)),"")</f>
        <v>0</v>
      </c>
      <c r="K2315" s="8" t="str">
        <f>_xlfn.IFNA(INDEX('HS Codes'!$D$2:$K4869,MATCH($B2315,'HS Codes'!$A$2:$A4869,0),MATCH(K$1,'HS Codes'!$D$1:$K$1,0)),"")</f>
        <v>6302.39.00</v>
      </c>
      <c r="L2315" s="8">
        <f>_xlfn.IFNA(INDEX('HS Codes'!$D$2:$K4869,MATCH($B2315,'HS Codes'!$A$2:$A4869,0),MATCH(L$1,'HS Codes'!$D$1:$K$1,0)),"")</f>
        <v>63029120</v>
      </c>
      <c r="M2315" s="8" t="str">
        <f>_xlfn.IFNA(INDEX('HS Codes'!$C$2:$C4869,MATCH($B2315,'HS Codes'!$A$2:$A4869,0)),"")</f>
        <v>Beach Towel - Toilet Linen 100% recycled 220 GSM/83% polyester/17% polyamide includes cotton on the packing pouch drawstring</v>
      </c>
      <c r="N2315" s="9"/>
      <c r="O2315" s="9"/>
      <c r="P2315" s="9"/>
      <c r="Q2315" s="9"/>
    </row>
    <row r="2316" spans="1:17" ht="15.75" customHeight="1">
      <c r="A2316" s="7" t="s">
        <v>2608</v>
      </c>
      <c r="B2316" s="7" t="s">
        <v>164</v>
      </c>
      <c r="C2316" s="7" t="s">
        <v>278</v>
      </c>
      <c r="D2316" s="7" t="s">
        <v>165</v>
      </c>
      <c r="E2316" s="7" t="s">
        <v>348</v>
      </c>
      <c r="F2316" s="8" t="str">
        <f>_xlfn.IFNA(INDEX('HS Codes'!$D$2:$K4870,MATCH($B2316,'HS Codes'!$A$2:$A4870,0),MATCH(F$1,'HS Codes'!$D$1:$K$1,0)),"")</f>
        <v>6302.93.2000</v>
      </c>
      <c r="G2316" s="8">
        <f>_xlfn.IFNA(INDEX('HS Codes'!$D$2:$K4870,MATCH($B2316,'HS Codes'!$A$2:$A4870,0),MATCH(G$1,'HS Codes'!$D$1:$K$1,0)),"")</f>
        <v>6302600090</v>
      </c>
      <c r="H2316" s="8" t="str">
        <f>_xlfn.IFNA(INDEX('HS Codes'!$D$2:$K4870,MATCH($B2316,'HS Codes'!$A$2:$A4870,0),MATCH(H$1,'HS Codes'!$D$1:$K$1,0)),"")</f>
        <v>6302.93.00.00</v>
      </c>
      <c r="I2316" s="8">
        <f>_xlfn.IFNA(INDEX('HS Codes'!$D$2:$K4870,MATCH($B2316,'HS Codes'!$A$2:$A4870,0),MATCH(I$1,'HS Codes'!$D$1:$K$1,0)),"")</f>
        <v>63029390</v>
      </c>
      <c r="J2316" s="8">
        <f>_xlfn.IFNA(INDEX('HS Codes'!$D$2:$K4870,MATCH($B2316,'HS Codes'!$A$2:$A4870,0),MATCH(J$1,'HS Codes'!$D$1:$K$1,0)),"")</f>
        <v>0</v>
      </c>
      <c r="K2316" s="8" t="str">
        <f>_xlfn.IFNA(INDEX('HS Codes'!$D$2:$K4870,MATCH($B2316,'HS Codes'!$A$2:$A4870,0),MATCH(K$1,'HS Codes'!$D$1:$K$1,0)),"")</f>
        <v>6302.39.00</v>
      </c>
      <c r="L2316" s="8">
        <f>_xlfn.IFNA(INDEX('HS Codes'!$D$2:$K4870,MATCH($B2316,'HS Codes'!$A$2:$A4870,0),MATCH(L$1,'HS Codes'!$D$1:$K$1,0)),"")</f>
        <v>63029120</v>
      </c>
      <c r="M2316" s="8" t="str">
        <f>_xlfn.IFNA(INDEX('HS Codes'!$C$2:$C4870,MATCH($B2316,'HS Codes'!$A$2:$A4870,0)),"")</f>
        <v>Beach Towel - Toilet Linen 100% recycled 220 GSM/83% polyester/17% polyamide includes cotton on the packing pouch drawstring</v>
      </c>
      <c r="N2316" s="9"/>
      <c r="O2316" s="9"/>
      <c r="P2316" s="9"/>
      <c r="Q2316" s="9"/>
    </row>
    <row r="2317" spans="1:17" ht="15.75" customHeight="1">
      <c r="A2317" s="7" t="s">
        <v>2609</v>
      </c>
      <c r="B2317" s="7" t="s">
        <v>164</v>
      </c>
      <c r="C2317" s="7" t="s">
        <v>278</v>
      </c>
      <c r="D2317" s="7" t="s">
        <v>165</v>
      </c>
      <c r="E2317" s="7" t="s">
        <v>348</v>
      </c>
      <c r="F2317" s="8" t="str">
        <f>_xlfn.IFNA(INDEX('HS Codes'!$D$2:$K4871,MATCH($B2317,'HS Codes'!$A$2:$A4871,0),MATCH(F$1,'HS Codes'!$D$1:$K$1,0)),"")</f>
        <v>6302.93.2000</v>
      </c>
      <c r="G2317" s="8">
        <f>_xlfn.IFNA(INDEX('HS Codes'!$D$2:$K4871,MATCH($B2317,'HS Codes'!$A$2:$A4871,0),MATCH(G$1,'HS Codes'!$D$1:$K$1,0)),"")</f>
        <v>6302600090</v>
      </c>
      <c r="H2317" s="8" t="str">
        <f>_xlfn.IFNA(INDEX('HS Codes'!$D$2:$K4871,MATCH($B2317,'HS Codes'!$A$2:$A4871,0),MATCH(H$1,'HS Codes'!$D$1:$K$1,0)),"")</f>
        <v>6302.93.00.00</v>
      </c>
      <c r="I2317" s="8">
        <f>_xlfn.IFNA(INDEX('HS Codes'!$D$2:$K4871,MATCH($B2317,'HS Codes'!$A$2:$A4871,0),MATCH(I$1,'HS Codes'!$D$1:$K$1,0)),"")</f>
        <v>63029390</v>
      </c>
      <c r="J2317" s="8">
        <f>_xlfn.IFNA(INDEX('HS Codes'!$D$2:$K4871,MATCH($B2317,'HS Codes'!$A$2:$A4871,0),MATCH(J$1,'HS Codes'!$D$1:$K$1,0)),"")</f>
        <v>0</v>
      </c>
      <c r="K2317" s="8" t="str">
        <f>_xlfn.IFNA(INDEX('HS Codes'!$D$2:$K4871,MATCH($B2317,'HS Codes'!$A$2:$A4871,0),MATCH(K$1,'HS Codes'!$D$1:$K$1,0)),"")</f>
        <v>6302.39.00</v>
      </c>
      <c r="L2317" s="8">
        <f>_xlfn.IFNA(INDEX('HS Codes'!$D$2:$K4871,MATCH($B2317,'HS Codes'!$A$2:$A4871,0),MATCH(L$1,'HS Codes'!$D$1:$K$1,0)),"")</f>
        <v>63029120</v>
      </c>
      <c r="M2317" s="8" t="str">
        <f>_xlfn.IFNA(INDEX('HS Codes'!$C$2:$C4871,MATCH($B2317,'HS Codes'!$A$2:$A4871,0)),"")</f>
        <v>Beach Towel - Toilet Linen 100% recycled 220 GSM/83% polyester/17% polyamide includes cotton on the packing pouch drawstring</v>
      </c>
      <c r="N2317" s="9"/>
      <c r="O2317" s="9"/>
      <c r="P2317" s="9"/>
      <c r="Q2317" s="9"/>
    </row>
    <row r="2318" spans="1:17" ht="15.75" customHeight="1">
      <c r="A2318" s="7" t="s">
        <v>2610</v>
      </c>
      <c r="B2318" s="7" t="s">
        <v>164</v>
      </c>
      <c r="C2318" s="7" t="s">
        <v>278</v>
      </c>
      <c r="D2318" s="7" t="s">
        <v>165</v>
      </c>
      <c r="E2318" s="7" t="s">
        <v>348</v>
      </c>
      <c r="F2318" s="8" t="str">
        <f>_xlfn.IFNA(INDEX('HS Codes'!$D$2:$K4872,MATCH($B2318,'HS Codes'!$A$2:$A4872,0),MATCH(F$1,'HS Codes'!$D$1:$K$1,0)),"")</f>
        <v>6302.93.2000</v>
      </c>
      <c r="G2318" s="8">
        <f>_xlfn.IFNA(INDEX('HS Codes'!$D$2:$K4872,MATCH($B2318,'HS Codes'!$A$2:$A4872,0),MATCH(G$1,'HS Codes'!$D$1:$K$1,0)),"")</f>
        <v>6302600090</v>
      </c>
      <c r="H2318" s="8" t="str">
        <f>_xlfn.IFNA(INDEX('HS Codes'!$D$2:$K4872,MATCH($B2318,'HS Codes'!$A$2:$A4872,0),MATCH(H$1,'HS Codes'!$D$1:$K$1,0)),"")</f>
        <v>6302.93.00.00</v>
      </c>
      <c r="I2318" s="8">
        <f>_xlfn.IFNA(INDEX('HS Codes'!$D$2:$K4872,MATCH($B2318,'HS Codes'!$A$2:$A4872,0),MATCH(I$1,'HS Codes'!$D$1:$K$1,0)),"")</f>
        <v>63029390</v>
      </c>
      <c r="J2318" s="8">
        <f>_xlfn.IFNA(INDEX('HS Codes'!$D$2:$K4872,MATCH($B2318,'HS Codes'!$A$2:$A4872,0),MATCH(J$1,'HS Codes'!$D$1:$K$1,0)),"")</f>
        <v>0</v>
      </c>
      <c r="K2318" s="8" t="str">
        <f>_xlfn.IFNA(INDEX('HS Codes'!$D$2:$K4872,MATCH($B2318,'HS Codes'!$A$2:$A4872,0),MATCH(K$1,'HS Codes'!$D$1:$K$1,0)),"")</f>
        <v>6302.39.00</v>
      </c>
      <c r="L2318" s="8">
        <f>_xlfn.IFNA(INDEX('HS Codes'!$D$2:$K4872,MATCH($B2318,'HS Codes'!$A$2:$A4872,0),MATCH(L$1,'HS Codes'!$D$1:$K$1,0)),"")</f>
        <v>63029120</v>
      </c>
      <c r="M2318" s="8" t="str">
        <f>_xlfn.IFNA(INDEX('HS Codes'!$C$2:$C4872,MATCH($B2318,'HS Codes'!$A$2:$A4872,0)),"")</f>
        <v>Beach Towel - Toilet Linen 100% recycled 220 GSM/83% polyester/17% polyamide includes cotton on the packing pouch drawstring</v>
      </c>
      <c r="N2318" s="9"/>
      <c r="O2318" s="9"/>
      <c r="P2318" s="9"/>
      <c r="Q2318" s="9"/>
    </row>
    <row r="2319" spans="1:17" ht="15.75" customHeight="1">
      <c r="A2319" s="7" t="s">
        <v>2611</v>
      </c>
      <c r="B2319" s="7" t="s">
        <v>164</v>
      </c>
      <c r="C2319" s="7" t="s">
        <v>278</v>
      </c>
      <c r="D2319" s="7" t="s">
        <v>165</v>
      </c>
      <c r="E2319" s="7" t="s">
        <v>348</v>
      </c>
      <c r="F2319" s="8" t="str">
        <f>_xlfn.IFNA(INDEX('HS Codes'!$D$2:$K4873,MATCH($B2319,'HS Codes'!$A$2:$A4873,0),MATCH(F$1,'HS Codes'!$D$1:$K$1,0)),"")</f>
        <v>6302.93.2000</v>
      </c>
      <c r="G2319" s="8">
        <f>_xlfn.IFNA(INDEX('HS Codes'!$D$2:$K4873,MATCH($B2319,'HS Codes'!$A$2:$A4873,0),MATCH(G$1,'HS Codes'!$D$1:$K$1,0)),"")</f>
        <v>6302600090</v>
      </c>
      <c r="H2319" s="8" t="str">
        <f>_xlfn.IFNA(INDEX('HS Codes'!$D$2:$K4873,MATCH($B2319,'HS Codes'!$A$2:$A4873,0),MATCH(H$1,'HS Codes'!$D$1:$K$1,0)),"")</f>
        <v>6302.93.00.00</v>
      </c>
      <c r="I2319" s="8">
        <f>_xlfn.IFNA(INDEX('HS Codes'!$D$2:$K4873,MATCH($B2319,'HS Codes'!$A$2:$A4873,0),MATCH(I$1,'HS Codes'!$D$1:$K$1,0)),"")</f>
        <v>63029390</v>
      </c>
      <c r="J2319" s="8">
        <f>_xlfn.IFNA(INDEX('HS Codes'!$D$2:$K4873,MATCH($B2319,'HS Codes'!$A$2:$A4873,0),MATCH(J$1,'HS Codes'!$D$1:$K$1,0)),"")</f>
        <v>0</v>
      </c>
      <c r="K2319" s="8" t="str">
        <f>_xlfn.IFNA(INDEX('HS Codes'!$D$2:$K4873,MATCH($B2319,'HS Codes'!$A$2:$A4873,0),MATCH(K$1,'HS Codes'!$D$1:$K$1,0)),"")</f>
        <v>6302.39.00</v>
      </c>
      <c r="L2319" s="8">
        <f>_xlfn.IFNA(INDEX('HS Codes'!$D$2:$K4873,MATCH($B2319,'HS Codes'!$A$2:$A4873,0),MATCH(L$1,'HS Codes'!$D$1:$K$1,0)),"")</f>
        <v>63029120</v>
      </c>
      <c r="M2319" s="8" t="str">
        <f>_xlfn.IFNA(INDEX('HS Codes'!$C$2:$C4873,MATCH($B2319,'HS Codes'!$A$2:$A4873,0)),"")</f>
        <v>Beach Towel - Toilet Linen 100% recycled 220 GSM/83% polyester/17% polyamide includes cotton on the packing pouch drawstring</v>
      </c>
      <c r="N2319" s="9"/>
      <c r="O2319" s="9"/>
      <c r="P2319" s="9"/>
      <c r="Q2319" s="9"/>
    </row>
    <row r="2320" spans="1:17" ht="15.75" customHeight="1">
      <c r="A2320" s="7" t="s">
        <v>2612</v>
      </c>
      <c r="B2320" s="7" t="s">
        <v>164</v>
      </c>
      <c r="C2320" s="7" t="s">
        <v>278</v>
      </c>
      <c r="D2320" s="7" t="s">
        <v>165</v>
      </c>
      <c r="E2320" s="7" t="s">
        <v>348</v>
      </c>
      <c r="F2320" s="8" t="str">
        <f>_xlfn.IFNA(INDEX('HS Codes'!$D$2:$K4874,MATCH($B2320,'HS Codes'!$A$2:$A4874,0),MATCH(F$1,'HS Codes'!$D$1:$K$1,0)),"")</f>
        <v>6302.93.2000</v>
      </c>
      <c r="G2320" s="8">
        <f>_xlfn.IFNA(INDEX('HS Codes'!$D$2:$K4874,MATCH($B2320,'HS Codes'!$A$2:$A4874,0),MATCH(G$1,'HS Codes'!$D$1:$K$1,0)),"")</f>
        <v>6302600090</v>
      </c>
      <c r="H2320" s="8" t="str">
        <f>_xlfn.IFNA(INDEX('HS Codes'!$D$2:$K4874,MATCH($B2320,'HS Codes'!$A$2:$A4874,0),MATCH(H$1,'HS Codes'!$D$1:$K$1,0)),"")</f>
        <v>6302.93.00.00</v>
      </c>
      <c r="I2320" s="8">
        <f>_xlfn.IFNA(INDEX('HS Codes'!$D$2:$K4874,MATCH($B2320,'HS Codes'!$A$2:$A4874,0),MATCH(I$1,'HS Codes'!$D$1:$K$1,0)),"")</f>
        <v>63029390</v>
      </c>
      <c r="J2320" s="8">
        <f>_xlfn.IFNA(INDEX('HS Codes'!$D$2:$K4874,MATCH($B2320,'HS Codes'!$A$2:$A4874,0),MATCH(J$1,'HS Codes'!$D$1:$K$1,0)),"")</f>
        <v>0</v>
      </c>
      <c r="K2320" s="8" t="str">
        <f>_xlfn.IFNA(INDEX('HS Codes'!$D$2:$K4874,MATCH($B2320,'HS Codes'!$A$2:$A4874,0),MATCH(K$1,'HS Codes'!$D$1:$K$1,0)),"")</f>
        <v>6302.39.00</v>
      </c>
      <c r="L2320" s="8">
        <f>_xlfn.IFNA(INDEX('HS Codes'!$D$2:$K4874,MATCH($B2320,'HS Codes'!$A$2:$A4874,0),MATCH(L$1,'HS Codes'!$D$1:$K$1,0)),"")</f>
        <v>63029120</v>
      </c>
      <c r="M2320" s="8" t="str">
        <f>_xlfn.IFNA(INDEX('HS Codes'!$C$2:$C4874,MATCH($B2320,'HS Codes'!$A$2:$A4874,0)),"")</f>
        <v>Beach Towel - Toilet Linen 100% recycled 220 GSM/83% polyester/17% polyamide includes cotton on the packing pouch drawstring</v>
      </c>
      <c r="N2320" s="9"/>
      <c r="O2320" s="9"/>
      <c r="P2320" s="9"/>
      <c r="Q2320" s="9"/>
    </row>
    <row r="2321" spans="1:17" ht="15.75" customHeight="1">
      <c r="A2321" s="7" t="s">
        <v>2613</v>
      </c>
      <c r="B2321" s="7" t="s">
        <v>164</v>
      </c>
      <c r="C2321" s="7" t="s">
        <v>278</v>
      </c>
      <c r="D2321" s="7" t="s">
        <v>165</v>
      </c>
      <c r="E2321" s="7" t="s">
        <v>348</v>
      </c>
      <c r="F2321" s="8" t="str">
        <f>_xlfn.IFNA(INDEX('HS Codes'!$D$2:$K4875,MATCH($B2321,'HS Codes'!$A$2:$A4875,0),MATCH(F$1,'HS Codes'!$D$1:$K$1,0)),"")</f>
        <v>6302.93.2000</v>
      </c>
      <c r="G2321" s="8">
        <f>_xlfn.IFNA(INDEX('HS Codes'!$D$2:$K4875,MATCH($B2321,'HS Codes'!$A$2:$A4875,0),MATCH(G$1,'HS Codes'!$D$1:$K$1,0)),"")</f>
        <v>6302600090</v>
      </c>
      <c r="H2321" s="8" t="str">
        <f>_xlfn.IFNA(INDEX('HS Codes'!$D$2:$K4875,MATCH($B2321,'HS Codes'!$A$2:$A4875,0),MATCH(H$1,'HS Codes'!$D$1:$K$1,0)),"")</f>
        <v>6302.93.00.00</v>
      </c>
      <c r="I2321" s="8">
        <f>_xlfn.IFNA(INDEX('HS Codes'!$D$2:$K4875,MATCH($B2321,'HS Codes'!$A$2:$A4875,0),MATCH(I$1,'HS Codes'!$D$1:$K$1,0)),"")</f>
        <v>63029390</v>
      </c>
      <c r="J2321" s="8">
        <f>_xlfn.IFNA(INDEX('HS Codes'!$D$2:$K4875,MATCH($B2321,'HS Codes'!$A$2:$A4875,0),MATCH(J$1,'HS Codes'!$D$1:$K$1,0)),"")</f>
        <v>0</v>
      </c>
      <c r="K2321" s="8" t="str">
        <f>_xlfn.IFNA(INDEX('HS Codes'!$D$2:$K4875,MATCH($B2321,'HS Codes'!$A$2:$A4875,0),MATCH(K$1,'HS Codes'!$D$1:$K$1,0)),"")</f>
        <v>6302.39.00</v>
      </c>
      <c r="L2321" s="8">
        <f>_xlfn.IFNA(INDEX('HS Codes'!$D$2:$K4875,MATCH($B2321,'HS Codes'!$A$2:$A4875,0),MATCH(L$1,'HS Codes'!$D$1:$K$1,0)),"")</f>
        <v>63029120</v>
      </c>
      <c r="M2321" s="8" t="str">
        <f>_xlfn.IFNA(INDEX('HS Codes'!$C$2:$C4875,MATCH($B2321,'HS Codes'!$A$2:$A4875,0)),"")</f>
        <v>Beach Towel - Toilet Linen 100% recycled 220 GSM/83% polyester/17% polyamide includes cotton on the packing pouch drawstring</v>
      </c>
      <c r="N2321" s="9"/>
      <c r="O2321" s="9"/>
      <c r="P2321" s="9"/>
      <c r="Q2321" s="9"/>
    </row>
    <row r="2322" spans="1:17" ht="15.75" customHeight="1">
      <c r="A2322" s="7" t="s">
        <v>2614</v>
      </c>
      <c r="B2322" s="7" t="s">
        <v>164</v>
      </c>
      <c r="C2322" s="7" t="s">
        <v>278</v>
      </c>
      <c r="D2322" s="7" t="s">
        <v>165</v>
      </c>
      <c r="E2322" s="7" t="s">
        <v>348</v>
      </c>
      <c r="F2322" s="8" t="str">
        <f>_xlfn.IFNA(INDEX('HS Codes'!$D$2:$K4876,MATCH($B2322,'HS Codes'!$A$2:$A4876,0),MATCH(F$1,'HS Codes'!$D$1:$K$1,0)),"")</f>
        <v>6302.93.2000</v>
      </c>
      <c r="G2322" s="8">
        <f>_xlfn.IFNA(INDEX('HS Codes'!$D$2:$K4876,MATCH($B2322,'HS Codes'!$A$2:$A4876,0),MATCH(G$1,'HS Codes'!$D$1:$K$1,0)),"")</f>
        <v>6302600090</v>
      </c>
      <c r="H2322" s="8" t="str">
        <f>_xlfn.IFNA(INDEX('HS Codes'!$D$2:$K4876,MATCH($B2322,'HS Codes'!$A$2:$A4876,0),MATCH(H$1,'HS Codes'!$D$1:$K$1,0)),"")</f>
        <v>6302.93.00.00</v>
      </c>
      <c r="I2322" s="8">
        <f>_xlfn.IFNA(INDEX('HS Codes'!$D$2:$K4876,MATCH($B2322,'HS Codes'!$A$2:$A4876,0),MATCH(I$1,'HS Codes'!$D$1:$K$1,0)),"")</f>
        <v>63029390</v>
      </c>
      <c r="J2322" s="8">
        <f>_xlfn.IFNA(INDEX('HS Codes'!$D$2:$K4876,MATCH($B2322,'HS Codes'!$A$2:$A4876,0),MATCH(J$1,'HS Codes'!$D$1:$K$1,0)),"")</f>
        <v>0</v>
      </c>
      <c r="K2322" s="8" t="str">
        <f>_xlfn.IFNA(INDEX('HS Codes'!$D$2:$K4876,MATCH($B2322,'HS Codes'!$A$2:$A4876,0),MATCH(K$1,'HS Codes'!$D$1:$K$1,0)),"")</f>
        <v>6302.39.00</v>
      </c>
      <c r="L2322" s="8">
        <f>_xlfn.IFNA(INDEX('HS Codes'!$D$2:$K4876,MATCH($B2322,'HS Codes'!$A$2:$A4876,0),MATCH(L$1,'HS Codes'!$D$1:$K$1,0)),"")</f>
        <v>63029120</v>
      </c>
      <c r="M2322" s="8" t="str">
        <f>_xlfn.IFNA(INDEX('HS Codes'!$C$2:$C4876,MATCH($B2322,'HS Codes'!$A$2:$A4876,0)),"")</f>
        <v>Beach Towel - Toilet Linen 100% recycled 220 GSM/83% polyester/17% polyamide includes cotton on the packing pouch drawstring</v>
      </c>
      <c r="N2322" s="9"/>
      <c r="O2322" s="9"/>
      <c r="P2322" s="9"/>
      <c r="Q2322" s="9"/>
    </row>
    <row r="2323" spans="1:17" ht="15.75" customHeight="1">
      <c r="A2323" s="7" t="s">
        <v>2615</v>
      </c>
      <c r="B2323" s="7" t="s">
        <v>164</v>
      </c>
      <c r="C2323" s="7" t="s">
        <v>278</v>
      </c>
      <c r="D2323" s="7" t="s">
        <v>165</v>
      </c>
      <c r="E2323" s="7" t="s">
        <v>348</v>
      </c>
      <c r="F2323" s="8" t="str">
        <f>_xlfn.IFNA(INDEX('HS Codes'!$D$2:$K4877,MATCH($B2323,'HS Codes'!$A$2:$A4877,0),MATCH(F$1,'HS Codes'!$D$1:$K$1,0)),"")</f>
        <v>6302.93.2000</v>
      </c>
      <c r="G2323" s="8">
        <f>_xlfn.IFNA(INDEX('HS Codes'!$D$2:$K4877,MATCH($B2323,'HS Codes'!$A$2:$A4877,0),MATCH(G$1,'HS Codes'!$D$1:$K$1,0)),"")</f>
        <v>6302600090</v>
      </c>
      <c r="H2323" s="8" t="str">
        <f>_xlfn.IFNA(INDEX('HS Codes'!$D$2:$K4877,MATCH($B2323,'HS Codes'!$A$2:$A4877,0),MATCH(H$1,'HS Codes'!$D$1:$K$1,0)),"")</f>
        <v>6302.93.00.00</v>
      </c>
      <c r="I2323" s="8">
        <f>_xlfn.IFNA(INDEX('HS Codes'!$D$2:$K4877,MATCH($B2323,'HS Codes'!$A$2:$A4877,0),MATCH(I$1,'HS Codes'!$D$1:$K$1,0)),"")</f>
        <v>63029390</v>
      </c>
      <c r="J2323" s="8">
        <f>_xlfn.IFNA(INDEX('HS Codes'!$D$2:$K4877,MATCH($B2323,'HS Codes'!$A$2:$A4877,0),MATCH(J$1,'HS Codes'!$D$1:$K$1,0)),"")</f>
        <v>0</v>
      </c>
      <c r="K2323" s="8" t="str">
        <f>_xlfn.IFNA(INDEX('HS Codes'!$D$2:$K4877,MATCH($B2323,'HS Codes'!$A$2:$A4877,0),MATCH(K$1,'HS Codes'!$D$1:$K$1,0)),"")</f>
        <v>6302.39.00</v>
      </c>
      <c r="L2323" s="8">
        <f>_xlfn.IFNA(INDEX('HS Codes'!$D$2:$K4877,MATCH($B2323,'HS Codes'!$A$2:$A4877,0),MATCH(L$1,'HS Codes'!$D$1:$K$1,0)),"")</f>
        <v>63029120</v>
      </c>
      <c r="M2323" s="8" t="str">
        <f>_xlfn.IFNA(INDEX('HS Codes'!$C$2:$C4877,MATCH($B2323,'HS Codes'!$A$2:$A4877,0)),"")</f>
        <v>Beach Towel - Toilet Linen 100% recycled 220 GSM/83% polyester/17% polyamide includes cotton on the packing pouch drawstring</v>
      </c>
      <c r="N2323" s="9"/>
      <c r="O2323" s="9"/>
      <c r="P2323" s="9"/>
      <c r="Q2323" s="9"/>
    </row>
    <row r="2324" spans="1:17" ht="15.75" customHeight="1">
      <c r="A2324" s="7" t="s">
        <v>2616</v>
      </c>
      <c r="B2324" s="7" t="s">
        <v>164</v>
      </c>
      <c r="C2324" s="7" t="s">
        <v>278</v>
      </c>
      <c r="D2324" s="7" t="s">
        <v>165</v>
      </c>
      <c r="E2324" s="7" t="s">
        <v>348</v>
      </c>
      <c r="F2324" s="8" t="str">
        <f>_xlfn.IFNA(INDEX('HS Codes'!$D$2:$K4878,MATCH($B2324,'HS Codes'!$A$2:$A4878,0),MATCH(F$1,'HS Codes'!$D$1:$K$1,0)),"")</f>
        <v>6302.93.2000</v>
      </c>
      <c r="G2324" s="8">
        <f>_xlfn.IFNA(INDEX('HS Codes'!$D$2:$K4878,MATCH($B2324,'HS Codes'!$A$2:$A4878,0),MATCH(G$1,'HS Codes'!$D$1:$K$1,0)),"")</f>
        <v>6302600090</v>
      </c>
      <c r="H2324" s="8" t="str">
        <f>_xlfn.IFNA(INDEX('HS Codes'!$D$2:$K4878,MATCH($B2324,'HS Codes'!$A$2:$A4878,0),MATCH(H$1,'HS Codes'!$D$1:$K$1,0)),"")</f>
        <v>6302.93.00.00</v>
      </c>
      <c r="I2324" s="8">
        <f>_xlfn.IFNA(INDEX('HS Codes'!$D$2:$K4878,MATCH($B2324,'HS Codes'!$A$2:$A4878,0),MATCH(I$1,'HS Codes'!$D$1:$K$1,0)),"")</f>
        <v>63029390</v>
      </c>
      <c r="J2324" s="8">
        <f>_xlfn.IFNA(INDEX('HS Codes'!$D$2:$K4878,MATCH($B2324,'HS Codes'!$A$2:$A4878,0),MATCH(J$1,'HS Codes'!$D$1:$K$1,0)),"")</f>
        <v>0</v>
      </c>
      <c r="K2324" s="8" t="str">
        <f>_xlfn.IFNA(INDEX('HS Codes'!$D$2:$K4878,MATCH($B2324,'HS Codes'!$A$2:$A4878,0),MATCH(K$1,'HS Codes'!$D$1:$K$1,0)),"")</f>
        <v>6302.39.00</v>
      </c>
      <c r="L2324" s="8">
        <f>_xlfn.IFNA(INDEX('HS Codes'!$D$2:$K4878,MATCH($B2324,'HS Codes'!$A$2:$A4878,0),MATCH(L$1,'HS Codes'!$D$1:$K$1,0)),"")</f>
        <v>63029120</v>
      </c>
      <c r="M2324" s="8" t="str">
        <f>_xlfn.IFNA(INDEX('HS Codes'!$C$2:$C4878,MATCH($B2324,'HS Codes'!$A$2:$A4878,0)),"")</f>
        <v>Beach Towel - Toilet Linen 100% recycled 220 GSM/83% polyester/17% polyamide includes cotton on the packing pouch drawstring</v>
      </c>
      <c r="N2324" s="9"/>
      <c r="O2324" s="9"/>
      <c r="P2324" s="9"/>
      <c r="Q2324" s="9"/>
    </row>
    <row r="2325" spans="1:17" ht="15.75" customHeight="1">
      <c r="A2325" s="7" t="s">
        <v>2617</v>
      </c>
      <c r="B2325" s="7" t="s">
        <v>164</v>
      </c>
      <c r="C2325" s="7" t="s">
        <v>278</v>
      </c>
      <c r="D2325" s="7" t="s">
        <v>165</v>
      </c>
      <c r="E2325" s="7" t="s">
        <v>348</v>
      </c>
      <c r="F2325" s="8" t="str">
        <f>_xlfn.IFNA(INDEX('HS Codes'!$D$2:$K4879,MATCH($B2325,'HS Codes'!$A$2:$A4879,0),MATCH(F$1,'HS Codes'!$D$1:$K$1,0)),"")</f>
        <v>6302.93.2000</v>
      </c>
      <c r="G2325" s="8">
        <f>_xlfn.IFNA(INDEX('HS Codes'!$D$2:$K4879,MATCH($B2325,'HS Codes'!$A$2:$A4879,0),MATCH(G$1,'HS Codes'!$D$1:$K$1,0)),"")</f>
        <v>6302600090</v>
      </c>
      <c r="H2325" s="8" t="str">
        <f>_xlfn.IFNA(INDEX('HS Codes'!$D$2:$K4879,MATCH($B2325,'HS Codes'!$A$2:$A4879,0),MATCH(H$1,'HS Codes'!$D$1:$K$1,0)),"")</f>
        <v>6302.93.00.00</v>
      </c>
      <c r="I2325" s="8">
        <f>_xlfn.IFNA(INDEX('HS Codes'!$D$2:$K4879,MATCH($B2325,'HS Codes'!$A$2:$A4879,0),MATCH(I$1,'HS Codes'!$D$1:$K$1,0)),"")</f>
        <v>63029390</v>
      </c>
      <c r="J2325" s="8">
        <f>_xlfn.IFNA(INDEX('HS Codes'!$D$2:$K4879,MATCH($B2325,'HS Codes'!$A$2:$A4879,0),MATCH(J$1,'HS Codes'!$D$1:$K$1,0)),"")</f>
        <v>0</v>
      </c>
      <c r="K2325" s="8" t="str">
        <f>_xlfn.IFNA(INDEX('HS Codes'!$D$2:$K4879,MATCH($B2325,'HS Codes'!$A$2:$A4879,0),MATCH(K$1,'HS Codes'!$D$1:$K$1,0)),"")</f>
        <v>6302.39.00</v>
      </c>
      <c r="L2325" s="8">
        <f>_xlfn.IFNA(INDEX('HS Codes'!$D$2:$K4879,MATCH($B2325,'HS Codes'!$A$2:$A4879,0),MATCH(L$1,'HS Codes'!$D$1:$K$1,0)),"")</f>
        <v>63029120</v>
      </c>
      <c r="M2325" s="8" t="str">
        <f>_xlfn.IFNA(INDEX('HS Codes'!$C$2:$C4879,MATCH($B2325,'HS Codes'!$A$2:$A4879,0)),"")</f>
        <v>Beach Towel - Toilet Linen 100% recycled 220 GSM/83% polyester/17% polyamide includes cotton on the packing pouch drawstring</v>
      </c>
      <c r="N2325" s="9"/>
      <c r="O2325" s="9"/>
      <c r="P2325" s="9"/>
      <c r="Q2325" s="9"/>
    </row>
    <row r="2326" spans="1:17" ht="15.75" customHeight="1">
      <c r="A2326" s="7" t="s">
        <v>2618</v>
      </c>
      <c r="B2326" s="7" t="s">
        <v>164</v>
      </c>
      <c r="C2326" s="7" t="s">
        <v>278</v>
      </c>
      <c r="D2326" s="7" t="s">
        <v>165</v>
      </c>
      <c r="E2326" s="7" t="s">
        <v>348</v>
      </c>
      <c r="F2326" s="8" t="str">
        <f>_xlfn.IFNA(INDEX('HS Codes'!$D$2:$K4880,MATCH($B2326,'HS Codes'!$A$2:$A4880,0),MATCH(F$1,'HS Codes'!$D$1:$K$1,0)),"")</f>
        <v>6302.93.2000</v>
      </c>
      <c r="G2326" s="8">
        <f>_xlfn.IFNA(INDEX('HS Codes'!$D$2:$K4880,MATCH($B2326,'HS Codes'!$A$2:$A4880,0),MATCH(G$1,'HS Codes'!$D$1:$K$1,0)),"")</f>
        <v>6302600090</v>
      </c>
      <c r="H2326" s="8" t="str">
        <f>_xlfn.IFNA(INDEX('HS Codes'!$D$2:$K4880,MATCH($B2326,'HS Codes'!$A$2:$A4880,0),MATCH(H$1,'HS Codes'!$D$1:$K$1,0)),"")</f>
        <v>6302.93.00.00</v>
      </c>
      <c r="I2326" s="8">
        <f>_xlfn.IFNA(INDEX('HS Codes'!$D$2:$K4880,MATCH($B2326,'HS Codes'!$A$2:$A4880,0),MATCH(I$1,'HS Codes'!$D$1:$K$1,0)),"")</f>
        <v>63029390</v>
      </c>
      <c r="J2326" s="8">
        <f>_xlfn.IFNA(INDEX('HS Codes'!$D$2:$K4880,MATCH($B2326,'HS Codes'!$A$2:$A4880,0),MATCH(J$1,'HS Codes'!$D$1:$K$1,0)),"")</f>
        <v>0</v>
      </c>
      <c r="K2326" s="8" t="str">
        <f>_xlfn.IFNA(INDEX('HS Codes'!$D$2:$K4880,MATCH($B2326,'HS Codes'!$A$2:$A4880,0),MATCH(K$1,'HS Codes'!$D$1:$K$1,0)),"")</f>
        <v>6302.39.00</v>
      </c>
      <c r="L2326" s="8">
        <f>_xlfn.IFNA(INDEX('HS Codes'!$D$2:$K4880,MATCH($B2326,'HS Codes'!$A$2:$A4880,0),MATCH(L$1,'HS Codes'!$D$1:$K$1,0)),"")</f>
        <v>63029120</v>
      </c>
      <c r="M2326" s="8" t="str">
        <f>_xlfn.IFNA(INDEX('HS Codes'!$C$2:$C4880,MATCH($B2326,'HS Codes'!$A$2:$A4880,0)),"")</f>
        <v>Beach Towel - Toilet Linen 100% recycled 220 GSM/83% polyester/17% polyamide includes cotton on the packing pouch drawstring</v>
      </c>
      <c r="N2326" s="9"/>
      <c r="O2326" s="9"/>
      <c r="P2326" s="9"/>
      <c r="Q2326" s="9"/>
    </row>
    <row r="2327" spans="1:17" ht="15.75" customHeight="1">
      <c r="A2327" s="7" t="s">
        <v>2619</v>
      </c>
      <c r="B2327" s="7" t="s">
        <v>164</v>
      </c>
      <c r="C2327" s="7" t="s">
        <v>278</v>
      </c>
      <c r="D2327" s="7" t="s">
        <v>165</v>
      </c>
      <c r="E2327" s="7" t="s">
        <v>348</v>
      </c>
      <c r="F2327" s="8" t="str">
        <f>_xlfn.IFNA(INDEX('HS Codes'!$D$2:$K4881,MATCH($B2327,'HS Codes'!$A$2:$A4881,0),MATCH(F$1,'HS Codes'!$D$1:$K$1,0)),"")</f>
        <v>6302.93.2000</v>
      </c>
      <c r="G2327" s="8">
        <f>_xlfn.IFNA(INDEX('HS Codes'!$D$2:$K4881,MATCH($B2327,'HS Codes'!$A$2:$A4881,0),MATCH(G$1,'HS Codes'!$D$1:$K$1,0)),"")</f>
        <v>6302600090</v>
      </c>
      <c r="H2327" s="8" t="str">
        <f>_xlfn.IFNA(INDEX('HS Codes'!$D$2:$K4881,MATCH($B2327,'HS Codes'!$A$2:$A4881,0),MATCH(H$1,'HS Codes'!$D$1:$K$1,0)),"")</f>
        <v>6302.93.00.00</v>
      </c>
      <c r="I2327" s="8">
        <f>_xlfn.IFNA(INDEX('HS Codes'!$D$2:$K4881,MATCH($B2327,'HS Codes'!$A$2:$A4881,0),MATCH(I$1,'HS Codes'!$D$1:$K$1,0)),"")</f>
        <v>63029390</v>
      </c>
      <c r="J2327" s="8">
        <f>_xlfn.IFNA(INDEX('HS Codes'!$D$2:$K4881,MATCH($B2327,'HS Codes'!$A$2:$A4881,0),MATCH(J$1,'HS Codes'!$D$1:$K$1,0)),"")</f>
        <v>0</v>
      </c>
      <c r="K2327" s="8" t="str">
        <f>_xlfn.IFNA(INDEX('HS Codes'!$D$2:$K4881,MATCH($B2327,'HS Codes'!$A$2:$A4881,0),MATCH(K$1,'HS Codes'!$D$1:$K$1,0)),"")</f>
        <v>6302.39.00</v>
      </c>
      <c r="L2327" s="8">
        <f>_xlfn.IFNA(INDEX('HS Codes'!$D$2:$K4881,MATCH($B2327,'HS Codes'!$A$2:$A4881,0),MATCH(L$1,'HS Codes'!$D$1:$K$1,0)),"")</f>
        <v>63029120</v>
      </c>
      <c r="M2327" s="8" t="str">
        <f>_xlfn.IFNA(INDEX('HS Codes'!$C$2:$C4881,MATCH($B2327,'HS Codes'!$A$2:$A4881,0)),"")</f>
        <v>Beach Towel - Toilet Linen 100% recycled 220 GSM/83% polyester/17% polyamide includes cotton on the packing pouch drawstring</v>
      </c>
      <c r="N2327" s="9"/>
      <c r="O2327" s="9"/>
      <c r="P2327" s="9"/>
      <c r="Q2327" s="9"/>
    </row>
    <row r="2328" spans="1:17" ht="15.75" customHeight="1">
      <c r="A2328" s="7" t="s">
        <v>2620</v>
      </c>
      <c r="B2328" s="7" t="s">
        <v>164</v>
      </c>
      <c r="C2328" s="7" t="s">
        <v>278</v>
      </c>
      <c r="D2328" s="7" t="s">
        <v>165</v>
      </c>
      <c r="E2328" s="7" t="s">
        <v>348</v>
      </c>
      <c r="F2328" s="8" t="str">
        <f>_xlfn.IFNA(INDEX('HS Codes'!$D$2:$K4882,MATCH($B2328,'HS Codes'!$A$2:$A4882,0),MATCH(F$1,'HS Codes'!$D$1:$K$1,0)),"")</f>
        <v>6302.93.2000</v>
      </c>
      <c r="G2328" s="8">
        <f>_xlfn.IFNA(INDEX('HS Codes'!$D$2:$K4882,MATCH($B2328,'HS Codes'!$A$2:$A4882,0),MATCH(G$1,'HS Codes'!$D$1:$K$1,0)),"")</f>
        <v>6302600090</v>
      </c>
      <c r="H2328" s="8" t="str">
        <f>_xlfn.IFNA(INDEX('HS Codes'!$D$2:$K4882,MATCH($B2328,'HS Codes'!$A$2:$A4882,0),MATCH(H$1,'HS Codes'!$D$1:$K$1,0)),"")</f>
        <v>6302.93.00.00</v>
      </c>
      <c r="I2328" s="8">
        <f>_xlfn.IFNA(INDEX('HS Codes'!$D$2:$K4882,MATCH($B2328,'HS Codes'!$A$2:$A4882,0),MATCH(I$1,'HS Codes'!$D$1:$K$1,0)),"")</f>
        <v>63029390</v>
      </c>
      <c r="J2328" s="8">
        <f>_xlfn.IFNA(INDEX('HS Codes'!$D$2:$K4882,MATCH($B2328,'HS Codes'!$A$2:$A4882,0),MATCH(J$1,'HS Codes'!$D$1:$K$1,0)),"")</f>
        <v>0</v>
      </c>
      <c r="K2328" s="8" t="str">
        <f>_xlfn.IFNA(INDEX('HS Codes'!$D$2:$K4882,MATCH($B2328,'HS Codes'!$A$2:$A4882,0),MATCH(K$1,'HS Codes'!$D$1:$K$1,0)),"")</f>
        <v>6302.39.00</v>
      </c>
      <c r="L2328" s="8">
        <f>_xlfn.IFNA(INDEX('HS Codes'!$D$2:$K4882,MATCH($B2328,'HS Codes'!$A$2:$A4882,0),MATCH(L$1,'HS Codes'!$D$1:$K$1,0)),"")</f>
        <v>63029120</v>
      </c>
      <c r="M2328" s="8" t="str">
        <f>_xlfn.IFNA(INDEX('HS Codes'!$C$2:$C4882,MATCH($B2328,'HS Codes'!$A$2:$A4882,0)),"")</f>
        <v>Beach Towel - Toilet Linen 100% recycled 220 GSM/83% polyester/17% polyamide includes cotton on the packing pouch drawstring</v>
      </c>
      <c r="N2328" s="9"/>
      <c r="O2328" s="9"/>
      <c r="P2328" s="9"/>
      <c r="Q2328" s="9"/>
    </row>
    <row r="2329" spans="1:17" ht="15.75" customHeight="1">
      <c r="A2329" s="7" t="s">
        <v>2621</v>
      </c>
      <c r="B2329" s="7" t="s">
        <v>164</v>
      </c>
      <c r="C2329" s="7" t="s">
        <v>278</v>
      </c>
      <c r="D2329" s="7" t="s">
        <v>165</v>
      </c>
      <c r="E2329" s="7" t="s">
        <v>348</v>
      </c>
      <c r="F2329" s="8" t="str">
        <f>_xlfn.IFNA(INDEX('HS Codes'!$D$2:$K4883,MATCH($B2329,'HS Codes'!$A$2:$A4883,0),MATCH(F$1,'HS Codes'!$D$1:$K$1,0)),"")</f>
        <v>6302.93.2000</v>
      </c>
      <c r="G2329" s="8">
        <f>_xlfn.IFNA(INDEX('HS Codes'!$D$2:$K4883,MATCH($B2329,'HS Codes'!$A$2:$A4883,0),MATCH(G$1,'HS Codes'!$D$1:$K$1,0)),"")</f>
        <v>6302600090</v>
      </c>
      <c r="H2329" s="8" t="str">
        <f>_xlfn.IFNA(INDEX('HS Codes'!$D$2:$K4883,MATCH($B2329,'HS Codes'!$A$2:$A4883,0),MATCH(H$1,'HS Codes'!$D$1:$K$1,0)),"")</f>
        <v>6302.93.00.00</v>
      </c>
      <c r="I2329" s="8">
        <f>_xlfn.IFNA(INDEX('HS Codes'!$D$2:$K4883,MATCH($B2329,'HS Codes'!$A$2:$A4883,0),MATCH(I$1,'HS Codes'!$D$1:$K$1,0)),"")</f>
        <v>63029390</v>
      </c>
      <c r="J2329" s="8">
        <f>_xlfn.IFNA(INDEX('HS Codes'!$D$2:$K4883,MATCH($B2329,'HS Codes'!$A$2:$A4883,0),MATCH(J$1,'HS Codes'!$D$1:$K$1,0)),"")</f>
        <v>0</v>
      </c>
      <c r="K2329" s="8" t="str">
        <f>_xlfn.IFNA(INDEX('HS Codes'!$D$2:$K4883,MATCH($B2329,'HS Codes'!$A$2:$A4883,0),MATCH(K$1,'HS Codes'!$D$1:$K$1,0)),"")</f>
        <v>6302.39.00</v>
      </c>
      <c r="L2329" s="8">
        <f>_xlfn.IFNA(INDEX('HS Codes'!$D$2:$K4883,MATCH($B2329,'HS Codes'!$A$2:$A4883,0),MATCH(L$1,'HS Codes'!$D$1:$K$1,0)),"")</f>
        <v>63029120</v>
      </c>
      <c r="M2329" s="8" t="str">
        <f>_xlfn.IFNA(INDEX('HS Codes'!$C$2:$C4883,MATCH($B2329,'HS Codes'!$A$2:$A4883,0)),"")</f>
        <v>Beach Towel - Toilet Linen 100% recycled 220 GSM/83% polyester/17% polyamide includes cotton on the packing pouch drawstring</v>
      </c>
      <c r="N2329" s="9"/>
      <c r="O2329" s="9"/>
      <c r="P2329" s="9"/>
      <c r="Q2329" s="9"/>
    </row>
    <row r="2330" spans="1:17" ht="15.75" customHeight="1">
      <c r="A2330" s="7" t="s">
        <v>2622</v>
      </c>
      <c r="B2330" s="7" t="s">
        <v>164</v>
      </c>
      <c r="C2330" s="7" t="s">
        <v>278</v>
      </c>
      <c r="D2330" s="7" t="s">
        <v>165</v>
      </c>
      <c r="E2330" s="7" t="s">
        <v>348</v>
      </c>
      <c r="F2330" s="8" t="str">
        <f>_xlfn.IFNA(INDEX('HS Codes'!$D$2:$K4884,MATCH($B2330,'HS Codes'!$A$2:$A4884,0),MATCH(F$1,'HS Codes'!$D$1:$K$1,0)),"")</f>
        <v>6302.93.2000</v>
      </c>
      <c r="G2330" s="8">
        <f>_xlfn.IFNA(INDEX('HS Codes'!$D$2:$K4884,MATCH($B2330,'HS Codes'!$A$2:$A4884,0),MATCH(G$1,'HS Codes'!$D$1:$K$1,0)),"")</f>
        <v>6302600090</v>
      </c>
      <c r="H2330" s="8" t="str">
        <f>_xlfn.IFNA(INDEX('HS Codes'!$D$2:$K4884,MATCH($B2330,'HS Codes'!$A$2:$A4884,0),MATCH(H$1,'HS Codes'!$D$1:$K$1,0)),"")</f>
        <v>6302.93.00.00</v>
      </c>
      <c r="I2330" s="8">
        <f>_xlfn.IFNA(INDEX('HS Codes'!$D$2:$K4884,MATCH($B2330,'HS Codes'!$A$2:$A4884,0),MATCH(I$1,'HS Codes'!$D$1:$K$1,0)),"")</f>
        <v>63029390</v>
      </c>
      <c r="J2330" s="8">
        <f>_xlfn.IFNA(INDEX('HS Codes'!$D$2:$K4884,MATCH($B2330,'HS Codes'!$A$2:$A4884,0),MATCH(J$1,'HS Codes'!$D$1:$K$1,0)),"")</f>
        <v>0</v>
      </c>
      <c r="K2330" s="8" t="str">
        <f>_xlfn.IFNA(INDEX('HS Codes'!$D$2:$K4884,MATCH($B2330,'HS Codes'!$A$2:$A4884,0),MATCH(K$1,'HS Codes'!$D$1:$K$1,0)),"")</f>
        <v>6302.39.00</v>
      </c>
      <c r="L2330" s="8">
        <f>_xlfn.IFNA(INDEX('HS Codes'!$D$2:$K4884,MATCH($B2330,'HS Codes'!$A$2:$A4884,0),MATCH(L$1,'HS Codes'!$D$1:$K$1,0)),"")</f>
        <v>63029120</v>
      </c>
      <c r="M2330" s="8" t="str">
        <f>_xlfn.IFNA(INDEX('HS Codes'!$C$2:$C4884,MATCH($B2330,'HS Codes'!$A$2:$A4884,0)),"")</f>
        <v>Beach Towel - Toilet Linen 100% recycled 220 GSM/83% polyester/17% polyamide includes cotton on the packing pouch drawstring</v>
      </c>
      <c r="N2330" s="9"/>
      <c r="O2330" s="9"/>
      <c r="P2330" s="9"/>
      <c r="Q2330" s="9"/>
    </row>
    <row r="2331" spans="1:17" ht="15.75" customHeight="1">
      <c r="A2331" s="7" t="s">
        <v>2623</v>
      </c>
      <c r="B2331" s="7" t="s">
        <v>164</v>
      </c>
      <c r="C2331" s="7" t="s">
        <v>278</v>
      </c>
      <c r="D2331" s="7" t="s">
        <v>165</v>
      </c>
      <c r="E2331" s="7" t="s">
        <v>348</v>
      </c>
      <c r="F2331" s="8" t="str">
        <f>_xlfn.IFNA(INDEX('HS Codes'!$D$2:$K4885,MATCH($B2331,'HS Codes'!$A$2:$A4885,0),MATCH(F$1,'HS Codes'!$D$1:$K$1,0)),"")</f>
        <v>6302.93.2000</v>
      </c>
      <c r="G2331" s="8">
        <f>_xlfn.IFNA(INDEX('HS Codes'!$D$2:$K4885,MATCH($B2331,'HS Codes'!$A$2:$A4885,0),MATCH(G$1,'HS Codes'!$D$1:$K$1,0)),"")</f>
        <v>6302600090</v>
      </c>
      <c r="H2331" s="8" t="str">
        <f>_xlfn.IFNA(INDEX('HS Codes'!$D$2:$K4885,MATCH($B2331,'HS Codes'!$A$2:$A4885,0),MATCH(H$1,'HS Codes'!$D$1:$K$1,0)),"")</f>
        <v>6302.93.00.00</v>
      </c>
      <c r="I2331" s="8">
        <f>_xlfn.IFNA(INDEX('HS Codes'!$D$2:$K4885,MATCH($B2331,'HS Codes'!$A$2:$A4885,0),MATCH(I$1,'HS Codes'!$D$1:$K$1,0)),"")</f>
        <v>63029390</v>
      </c>
      <c r="J2331" s="8">
        <f>_xlfn.IFNA(INDEX('HS Codes'!$D$2:$K4885,MATCH($B2331,'HS Codes'!$A$2:$A4885,0),MATCH(J$1,'HS Codes'!$D$1:$K$1,0)),"")</f>
        <v>0</v>
      </c>
      <c r="K2331" s="8" t="str">
        <f>_xlfn.IFNA(INDEX('HS Codes'!$D$2:$K4885,MATCH($B2331,'HS Codes'!$A$2:$A4885,0),MATCH(K$1,'HS Codes'!$D$1:$K$1,0)),"")</f>
        <v>6302.39.00</v>
      </c>
      <c r="L2331" s="8">
        <f>_xlfn.IFNA(INDEX('HS Codes'!$D$2:$K4885,MATCH($B2331,'HS Codes'!$A$2:$A4885,0),MATCH(L$1,'HS Codes'!$D$1:$K$1,0)),"")</f>
        <v>63029120</v>
      </c>
      <c r="M2331" s="8" t="str">
        <f>_xlfn.IFNA(INDEX('HS Codes'!$C$2:$C4885,MATCH($B2331,'HS Codes'!$A$2:$A4885,0)),"")</f>
        <v>Beach Towel - Toilet Linen 100% recycled 220 GSM/83% polyester/17% polyamide includes cotton on the packing pouch drawstring</v>
      </c>
      <c r="N2331" s="9"/>
      <c r="O2331" s="9"/>
      <c r="P2331" s="9"/>
      <c r="Q2331" s="9"/>
    </row>
    <row r="2332" spans="1:17" ht="15.75" customHeight="1">
      <c r="A2332" s="7" t="s">
        <v>2624</v>
      </c>
      <c r="B2332" s="7" t="s">
        <v>164</v>
      </c>
      <c r="C2332" s="7" t="s">
        <v>278</v>
      </c>
      <c r="D2332" s="7" t="s">
        <v>165</v>
      </c>
      <c r="E2332" s="7" t="s">
        <v>348</v>
      </c>
      <c r="F2332" s="8" t="str">
        <f>_xlfn.IFNA(INDEX('HS Codes'!$D$2:$K4886,MATCH($B2332,'HS Codes'!$A$2:$A4886,0),MATCH(F$1,'HS Codes'!$D$1:$K$1,0)),"")</f>
        <v>6302.93.2000</v>
      </c>
      <c r="G2332" s="8">
        <f>_xlfn.IFNA(INDEX('HS Codes'!$D$2:$K4886,MATCH($B2332,'HS Codes'!$A$2:$A4886,0),MATCH(G$1,'HS Codes'!$D$1:$K$1,0)),"")</f>
        <v>6302600090</v>
      </c>
      <c r="H2332" s="8" t="str">
        <f>_xlfn.IFNA(INDEX('HS Codes'!$D$2:$K4886,MATCH($B2332,'HS Codes'!$A$2:$A4886,0),MATCH(H$1,'HS Codes'!$D$1:$K$1,0)),"")</f>
        <v>6302.93.00.00</v>
      </c>
      <c r="I2332" s="8">
        <f>_xlfn.IFNA(INDEX('HS Codes'!$D$2:$K4886,MATCH($B2332,'HS Codes'!$A$2:$A4886,0),MATCH(I$1,'HS Codes'!$D$1:$K$1,0)),"")</f>
        <v>63029390</v>
      </c>
      <c r="J2332" s="8">
        <f>_xlfn.IFNA(INDEX('HS Codes'!$D$2:$K4886,MATCH($B2332,'HS Codes'!$A$2:$A4886,0),MATCH(J$1,'HS Codes'!$D$1:$K$1,0)),"")</f>
        <v>0</v>
      </c>
      <c r="K2332" s="8" t="str">
        <f>_xlfn.IFNA(INDEX('HS Codes'!$D$2:$K4886,MATCH($B2332,'HS Codes'!$A$2:$A4886,0),MATCH(K$1,'HS Codes'!$D$1:$K$1,0)),"")</f>
        <v>6302.39.00</v>
      </c>
      <c r="L2332" s="8">
        <f>_xlfn.IFNA(INDEX('HS Codes'!$D$2:$K4886,MATCH($B2332,'HS Codes'!$A$2:$A4886,0),MATCH(L$1,'HS Codes'!$D$1:$K$1,0)),"")</f>
        <v>63029120</v>
      </c>
      <c r="M2332" s="8" t="str">
        <f>_xlfn.IFNA(INDEX('HS Codes'!$C$2:$C4886,MATCH($B2332,'HS Codes'!$A$2:$A4886,0)),"")</f>
        <v>Beach Towel - Toilet Linen 100% recycled 220 GSM/83% polyester/17% polyamide includes cotton on the packing pouch drawstring</v>
      </c>
      <c r="N2332" s="9"/>
      <c r="O2332" s="9"/>
      <c r="P2332" s="9"/>
      <c r="Q2332" s="9"/>
    </row>
    <row r="2333" spans="1:17" ht="15.75" customHeight="1">
      <c r="A2333" s="7" t="s">
        <v>2625</v>
      </c>
      <c r="B2333" s="7" t="s">
        <v>164</v>
      </c>
      <c r="C2333" s="7" t="s">
        <v>278</v>
      </c>
      <c r="D2333" s="7" t="s">
        <v>165</v>
      </c>
      <c r="E2333" s="7" t="s">
        <v>348</v>
      </c>
      <c r="F2333" s="8" t="str">
        <f>_xlfn.IFNA(INDEX('HS Codes'!$D$2:$K4887,MATCH($B2333,'HS Codes'!$A$2:$A4887,0),MATCH(F$1,'HS Codes'!$D$1:$K$1,0)),"")</f>
        <v>6302.93.2000</v>
      </c>
      <c r="G2333" s="8">
        <f>_xlfn.IFNA(INDEX('HS Codes'!$D$2:$K4887,MATCH($B2333,'HS Codes'!$A$2:$A4887,0),MATCH(G$1,'HS Codes'!$D$1:$K$1,0)),"")</f>
        <v>6302600090</v>
      </c>
      <c r="H2333" s="8" t="str">
        <f>_xlfn.IFNA(INDEX('HS Codes'!$D$2:$K4887,MATCH($B2333,'HS Codes'!$A$2:$A4887,0),MATCH(H$1,'HS Codes'!$D$1:$K$1,0)),"")</f>
        <v>6302.93.00.00</v>
      </c>
      <c r="I2333" s="8">
        <f>_xlfn.IFNA(INDEX('HS Codes'!$D$2:$K4887,MATCH($B2333,'HS Codes'!$A$2:$A4887,0),MATCH(I$1,'HS Codes'!$D$1:$K$1,0)),"")</f>
        <v>63029390</v>
      </c>
      <c r="J2333" s="8">
        <f>_xlfn.IFNA(INDEX('HS Codes'!$D$2:$K4887,MATCH($B2333,'HS Codes'!$A$2:$A4887,0),MATCH(J$1,'HS Codes'!$D$1:$K$1,0)),"")</f>
        <v>0</v>
      </c>
      <c r="K2333" s="8" t="str">
        <f>_xlfn.IFNA(INDEX('HS Codes'!$D$2:$K4887,MATCH($B2333,'HS Codes'!$A$2:$A4887,0),MATCH(K$1,'HS Codes'!$D$1:$K$1,0)),"")</f>
        <v>6302.39.00</v>
      </c>
      <c r="L2333" s="8">
        <f>_xlfn.IFNA(INDEX('HS Codes'!$D$2:$K4887,MATCH($B2333,'HS Codes'!$A$2:$A4887,0),MATCH(L$1,'HS Codes'!$D$1:$K$1,0)),"")</f>
        <v>63029120</v>
      </c>
      <c r="M2333" s="8" t="str">
        <f>_xlfn.IFNA(INDEX('HS Codes'!$C$2:$C4887,MATCH($B2333,'HS Codes'!$A$2:$A4887,0)),"")</f>
        <v>Beach Towel - Toilet Linen 100% recycled 220 GSM/83% polyester/17% polyamide includes cotton on the packing pouch drawstring</v>
      </c>
      <c r="N2333" s="9"/>
      <c r="O2333" s="9"/>
      <c r="P2333" s="9"/>
      <c r="Q2333" s="9"/>
    </row>
    <row r="2334" spans="1:17" ht="15.75" customHeight="1">
      <c r="A2334" s="7" t="s">
        <v>2626</v>
      </c>
      <c r="B2334" s="7" t="s">
        <v>164</v>
      </c>
      <c r="C2334" s="7" t="s">
        <v>278</v>
      </c>
      <c r="D2334" s="7" t="s">
        <v>165</v>
      </c>
      <c r="E2334" s="7" t="s">
        <v>348</v>
      </c>
      <c r="F2334" s="8" t="str">
        <f>_xlfn.IFNA(INDEX('HS Codes'!$D$2:$K4888,MATCH($B2334,'HS Codes'!$A$2:$A4888,0),MATCH(F$1,'HS Codes'!$D$1:$K$1,0)),"")</f>
        <v>6302.93.2000</v>
      </c>
      <c r="G2334" s="8">
        <f>_xlfn.IFNA(INDEX('HS Codes'!$D$2:$K4888,MATCH($B2334,'HS Codes'!$A$2:$A4888,0),MATCH(G$1,'HS Codes'!$D$1:$K$1,0)),"")</f>
        <v>6302600090</v>
      </c>
      <c r="H2334" s="8" t="str">
        <f>_xlfn.IFNA(INDEX('HS Codes'!$D$2:$K4888,MATCH($B2334,'HS Codes'!$A$2:$A4888,0),MATCH(H$1,'HS Codes'!$D$1:$K$1,0)),"")</f>
        <v>6302.93.00.00</v>
      </c>
      <c r="I2334" s="8">
        <f>_xlfn.IFNA(INDEX('HS Codes'!$D$2:$K4888,MATCH($B2334,'HS Codes'!$A$2:$A4888,0),MATCH(I$1,'HS Codes'!$D$1:$K$1,0)),"")</f>
        <v>63029390</v>
      </c>
      <c r="J2334" s="8">
        <f>_xlfn.IFNA(INDEX('HS Codes'!$D$2:$K4888,MATCH($B2334,'HS Codes'!$A$2:$A4888,0),MATCH(J$1,'HS Codes'!$D$1:$K$1,0)),"")</f>
        <v>0</v>
      </c>
      <c r="K2334" s="8" t="str">
        <f>_xlfn.IFNA(INDEX('HS Codes'!$D$2:$K4888,MATCH($B2334,'HS Codes'!$A$2:$A4888,0),MATCH(K$1,'HS Codes'!$D$1:$K$1,0)),"")</f>
        <v>6302.39.00</v>
      </c>
      <c r="L2334" s="8">
        <f>_xlfn.IFNA(INDEX('HS Codes'!$D$2:$K4888,MATCH($B2334,'HS Codes'!$A$2:$A4888,0),MATCH(L$1,'HS Codes'!$D$1:$K$1,0)),"")</f>
        <v>63029120</v>
      </c>
      <c r="M2334" s="8" t="str">
        <f>_xlfn.IFNA(INDEX('HS Codes'!$C$2:$C4888,MATCH($B2334,'HS Codes'!$A$2:$A4888,0)),"")</f>
        <v>Beach Towel - Toilet Linen 100% recycled 220 GSM/83% polyester/17% polyamide includes cotton on the packing pouch drawstring</v>
      </c>
      <c r="N2334" s="9"/>
      <c r="O2334" s="9"/>
      <c r="P2334" s="9"/>
      <c r="Q2334" s="9"/>
    </row>
    <row r="2335" spans="1:17" ht="15.75" customHeight="1">
      <c r="A2335" s="7" t="s">
        <v>2627</v>
      </c>
      <c r="B2335" s="7" t="s">
        <v>164</v>
      </c>
      <c r="C2335" s="7" t="s">
        <v>278</v>
      </c>
      <c r="D2335" s="7" t="s">
        <v>165</v>
      </c>
      <c r="E2335" s="7" t="s">
        <v>348</v>
      </c>
      <c r="F2335" s="8" t="str">
        <f>_xlfn.IFNA(INDEX('HS Codes'!$D$2:$K4889,MATCH($B2335,'HS Codes'!$A$2:$A4889,0),MATCH(F$1,'HS Codes'!$D$1:$K$1,0)),"")</f>
        <v>6302.93.2000</v>
      </c>
      <c r="G2335" s="8">
        <f>_xlfn.IFNA(INDEX('HS Codes'!$D$2:$K4889,MATCH($B2335,'HS Codes'!$A$2:$A4889,0),MATCH(G$1,'HS Codes'!$D$1:$K$1,0)),"")</f>
        <v>6302600090</v>
      </c>
      <c r="H2335" s="8" t="str">
        <f>_xlfn.IFNA(INDEX('HS Codes'!$D$2:$K4889,MATCH($B2335,'HS Codes'!$A$2:$A4889,0),MATCH(H$1,'HS Codes'!$D$1:$K$1,0)),"")</f>
        <v>6302.93.00.00</v>
      </c>
      <c r="I2335" s="8">
        <f>_xlfn.IFNA(INDEX('HS Codes'!$D$2:$K4889,MATCH($B2335,'HS Codes'!$A$2:$A4889,0),MATCH(I$1,'HS Codes'!$D$1:$K$1,0)),"")</f>
        <v>63029390</v>
      </c>
      <c r="J2335" s="8">
        <f>_xlfn.IFNA(INDEX('HS Codes'!$D$2:$K4889,MATCH($B2335,'HS Codes'!$A$2:$A4889,0),MATCH(J$1,'HS Codes'!$D$1:$K$1,0)),"")</f>
        <v>0</v>
      </c>
      <c r="K2335" s="8" t="str">
        <f>_xlfn.IFNA(INDEX('HS Codes'!$D$2:$K4889,MATCH($B2335,'HS Codes'!$A$2:$A4889,0),MATCH(K$1,'HS Codes'!$D$1:$K$1,0)),"")</f>
        <v>6302.39.00</v>
      </c>
      <c r="L2335" s="8">
        <f>_xlfn.IFNA(INDEX('HS Codes'!$D$2:$K4889,MATCH($B2335,'HS Codes'!$A$2:$A4889,0),MATCH(L$1,'HS Codes'!$D$1:$K$1,0)),"")</f>
        <v>63029120</v>
      </c>
      <c r="M2335" s="8" t="str">
        <f>_xlfn.IFNA(INDEX('HS Codes'!$C$2:$C4889,MATCH($B2335,'HS Codes'!$A$2:$A4889,0)),"")</f>
        <v>Beach Towel - Toilet Linen 100% recycled 220 GSM/83% polyester/17% polyamide includes cotton on the packing pouch drawstring</v>
      </c>
      <c r="N2335" s="9"/>
      <c r="O2335" s="9"/>
      <c r="P2335" s="9"/>
      <c r="Q2335" s="9"/>
    </row>
    <row r="2336" spans="1:17" ht="15.75" customHeight="1">
      <c r="A2336" s="7" t="s">
        <v>2628</v>
      </c>
      <c r="B2336" s="7" t="s">
        <v>164</v>
      </c>
      <c r="C2336" s="7" t="s">
        <v>278</v>
      </c>
      <c r="D2336" s="7" t="s">
        <v>165</v>
      </c>
      <c r="E2336" s="7" t="s">
        <v>348</v>
      </c>
      <c r="F2336" s="8" t="str">
        <f>_xlfn.IFNA(INDEX('HS Codes'!$D$2:$K4890,MATCH($B2336,'HS Codes'!$A$2:$A4890,0),MATCH(F$1,'HS Codes'!$D$1:$K$1,0)),"")</f>
        <v>6302.93.2000</v>
      </c>
      <c r="G2336" s="8">
        <f>_xlfn.IFNA(INDEX('HS Codes'!$D$2:$K4890,MATCH($B2336,'HS Codes'!$A$2:$A4890,0),MATCH(G$1,'HS Codes'!$D$1:$K$1,0)),"")</f>
        <v>6302600090</v>
      </c>
      <c r="H2336" s="8" t="str">
        <f>_xlfn.IFNA(INDEX('HS Codes'!$D$2:$K4890,MATCH($B2336,'HS Codes'!$A$2:$A4890,0),MATCH(H$1,'HS Codes'!$D$1:$K$1,0)),"")</f>
        <v>6302.93.00.00</v>
      </c>
      <c r="I2336" s="8">
        <f>_xlfn.IFNA(INDEX('HS Codes'!$D$2:$K4890,MATCH($B2336,'HS Codes'!$A$2:$A4890,0),MATCH(I$1,'HS Codes'!$D$1:$K$1,0)),"")</f>
        <v>63029390</v>
      </c>
      <c r="J2336" s="8">
        <f>_xlfn.IFNA(INDEX('HS Codes'!$D$2:$K4890,MATCH($B2336,'HS Codes'!$A$2:$A4890,0),MATCH(J$1,'HS Codes'!$D$1:$K$1,0)),"")</f>
        <v>0</v>
      </c>
      <c r="K2336" s="8" t="str">
        <f>_xlfn.IFNA(INDEX('HS Codes'!$D$2:$K4890,MATCH($B2336,'HS Codes'!$A$2:$A4890,0),MATCH(K$1,'HS Codes'!$D$1:$K$1,0)),"")</f>
        <v>6302.39.00</v>
      </c>
      <c r="L2336" s="8">
        <f>_xlfn.IFNA(INDEX('HS Codes'!$D$2:$K4890,MATCH($B2336,'HS Codes'!$A$2:$A4890,0),MATCH(L$1,'HS Codes'!$D$1:$K$1,0)),"")</f>
        <v>63029120</v>
      </c>
      <c r="M2336" s="8" t="str">
        <f>_xlfn.IFNA(INDEX('HS Codes'!$C$2:$C4890,MATCH($B2336,'HS Codes'!$A$2:$A4890,0)),"")</f>
        <v>Beach Towel - Toilet Linen 100% recycled 220 GSM/83% polyester/17% polyamide includes cotton on the packing pouch drawstring</v>
      </c>
      <c r="N2336" s="9"/>
      <c r="O2336" s="9"/>
      <c r="P2336" s="9"/>
      <c r="Q2336" s="9"/>
    </row>
    <row r="2337" spans="1:17" ht="15.75" customHeight="1">
      <c r="A2337" s="7" t="s">
        <v>2629</v>
      </c>
      <c r="B2337" s="7" t="s">
        <v>164</v>
      </c>
      <c r="C2337" s="7" t="s">
        <v>278</v>
      </c>
      <c r="D2337" s="7" t="s">
        <v>165</v>
      </c>
      <c r="E2337" s="7" t="s">
        <v>348</v>
      </c>
      <c r="F2337" s="8" t="str">
        <f>_xlfn.IFNA(INDEX('HS Codes'!$D$2:$K4891,MATCH($B2337,'HS Codes'!$A$2:$A4891,0),MATCH(F$1,'HS Codes'!$D$1:$K$1,0)),"")</f>
        <v>6302.93.2000</v>
      </c>
      <c r="G2337" s="8">
        <f>_xlfn.IFNA(INDEX('HS Codes'!$D$2:$K4891,MATCH($B2337,'HS Codes'!$A$2:$A4891,0),MATCH(G$1,'HS Codes'!$D$1:$K$1,0)),"")</f>
        <v>6302600090</v>
      </c>
      <c r="H2337" s="8" t="str">
        <f>_xlfn.IFNA(INDEX('HS Codes'!$D$2:$K4891,MATCH($B2337,'HS Codes'!$A$2:$A4891,0),MATCH(H$1,'HS Codes'!$D$1:$K$1,0)),"")</f>
        <v>6302.93.00.00</v>
      </c>
      <c r="I2337" s="8">
        <f>_xlfn.IFNA(INDEX('HS Codes'!$D$2:$K4891,MATCH($B2337,'HS Codes'!$A$2:$A4891,0),MATCH(I$1,'HS Codes'!$D$1:$K$1,0)),"")</f>
        <v>63029390</v>
      </c>
      <c r="J2337" s="8">
        <f>_xlfn.IFNA(INDEX('HS Codes'!$D$2:$K4891,MATCH($B2337,'HS Codes'!$A$2:$A4891,0),MATCH(J$1,'HS Codes'!$D$1:$K$1,0)),"")</f>
        <v>0</v>
      </c>
      <c r="K2337" s="8" t="str">
        <f>_xlfn.IFNA(INDEX('HS Codes'!$D$2:$K4891,MATCH($B2337,'HS Codes'!$A$2:$A4891,0),MATCH(K$1,'HS Codes'!$D$1:$K$1,0)),"")</f>
        <v>6302.39.00</v>
      </c>
      <c r="L2337" s="8">
        <f>_xlfn.IFNA(INDEX('HS Codes'!$D$2:$K4891,MATCH($B2337,'HS Codes'!$A$2:$A4891,0),MATCH(L$1,'HS Codes'!$D$1:$K$1,0)),"")</f>
        <v>63029120</v>
      </c>
      <c r="M2337" s="8" t="str">
        <f>_xlfn.IFNA(INDEX('HS Codes'!$C$2:$C4891,MATCH($B2337,'HS Codes'!$A$2:$A4891,0)),"")</f>
        <v>Beach Towel - Toilet Linen 100% recycled 220 GSM/83% polyester/17% polyamide includes cotton on the packing pouch drawstring</v>
      </c>
      <c r="N2337" s="9"/>
      <c r="O2337" s="9"/>
      <c r="P2337" s="9"/>
      <c r="Q2337" s="9"/>
    </row>
    <row r="2338" spans="1:17" ht="15.75" customHeight="1">
      <c r="A2338" s="7" t="s">
        <v>2630</v>
      </c>
      <c r="B2338" s="7" t="s">
        <v>164</v>
      </c>
      <c r="C2338" s="7" t="s">
        <v>278</v>
      </c>
      <c r="D2338" s="7" t="s">
        <v>165</v>
      </c>
      <c r="E2338" s="7" t="s">
        <v>348</v>
      </c>
      <c r="F2338" s="8" t="str">
        <f>_xlfn.IFNA(INDEX('HS Codes'!$D$2:$K4892,MATCH($B2338,'HS Codes'!$A$2:$A4892,0),MATCH(F$1,'HS Codes'!$D$1:$K$1,0)),"")</f>
        <v>6302.93.2000</v>
      </c>
      <c r="G2338" s="8">
        <f>_xlfn.IFNA(INDEX('HS Codes'!$D$2:$K4892,MATCH($B2338,'HS Codes'!$A$2:$A4892,0),MATCH(G$1,'HS Codes'!$D$1:$K$1,0)),"")</f>
        <v>6302600090</v>
      </c>
      <c r="H2338" s="8" t="str">
        <f>_xlfn.IFNA(INDEX('HS Codes'!$D$2:$K4892,MATCH($B2338,'HS Codes'!$A$2:$A4892,0),MATCH(H$1,'HS Codes'!$D$1:$K$1,0)),"")</f>
        <v>6302.93.00.00</v>
      </c>
      <c r="I2338" s="8">
        <f>_xlfn.IFNA(INDEX('HS Codes'!$D$2:$K4892,MATCH($B2338,'HS Codes'!$A$2:$A4892,0),MATCH(I$1,'HS Codes'!$D$1:$K$1,0)),"")</f>
        <v>63029390</v>
      </c>
      <c r="J2338" s="8">
        <f>_xlfn.IFNA(INDEX('HS Codes'!$D$2:$K4892,MATCH($B2338,'HS Codes'!$A$2:$A4892,0),MATCH(J$1,'HS Codes'!$D$1:$K$1,0)),"")</f>
        <v>0</v>
      </c>
      <c r="K2338" s="8" t="str">
        <f>_xlfn.IFNA(INDEX('HS Codes'!$D$2:$K4892,MATCH($B2338,'HS Codes'!$A$2:$A4892,0),MATCH(K$1,'HS Codes'!$D$1:$K$1,0)),"")</f>
        <v>6302.39.00</v>
      </c>
      <c r="L2338" s="8">
        <f>_xlfn.IFNA(INDEX('HS Codes'!$D$2:$K4892,MATCH($B2338,'HS Codes'!$A$2:$A4892,0),MATCH(L$1,'HS Codes'!$D$1:$K$1,0)),"")</f>
        <v>63029120</v>
      </c>
      <c r="M2338" s="8" t="str">
        <f>_xlfn.IFNA(INDEX('HS Codes'!$C$2:$C4892,MATCH($B2338,'HS Codes'!$A$2:$A4892,0)),"")</f>
        <v>Beach Towel - Toilet Linen 100% recycled 220 GSM/83% polyester/17% polyamide includes cotton on the packing pouch drawstring</v>
      </c>
      <c r="N2338" s="9"/>
      <c r="O2338" s="9"/>
      <c r="P2338" s="9"/>
      <c r="Q2338" s="9"/>
    </row>
    <row r="2339" spans="1:17" ht="15.75" customHeight="1">
      <c r="A2339" s="7" t="s">
        <v>2631</v>
      </c>
      <c r="B2339" s="7" t="s">
        <v>164</v>
      </c>
      <c r="C2339" s="7" t="s">
        <v>278</v>
      </c>
      <c r="D2339" s="7" t="s">
        <v>165</v>
      </c>
      <c r="E2339" s="7" t="s">
        <v>348</v>
      </c>
      <c r="F2339" s="8" t="str">
        <f>_xlfn.IFNA(INDEX('HS Codes'!$D$2:$K4893,MATCH($B2339,'HS Codes'!$A$2:$A4893,0),MATCH(F$1,'HS Codes'!$D$1:$K$1,0)),"")</f>
        <v>6302.93.2000</v>
      </c>
      <c r="G2339" s="8">
        <f>_xlfn.IFNA(INDEX('HS Codes'!$D$2:$K4893,MATCH($B2339,'HS Codes'!$A$2:$A4893,0),MATCH(G$1,'HS Codes'!$D$1:$K$1,0)),"")</f>
        <v>6302600090</v>
      </c>
      <c r="H2339" s="8" t="str">
        <f>_xlfn.IFNA(INDEX('HS Codes'!$D$2:$K4893,MATCH($B2339,'HS Codes'!$A$2:$A4893,0),MATCH(H$1,'HS Codes'!$D$1:$K$1,0)),"")</f>
        <v>6302.93.00.00</v>
      </c>
      <c r="I2339" s="8">
        <f>_xlfn.IFNA(INDEX('HS Codes'!$D$2:$K4893,MATCH($B2339,'HS Codes'!$A$2:$A4893,0),MATCH(I$1,'HS Codes'!$D$1:$K$1,0)),"")</f>
        <v>63029390</v>
      </c>
      <c r="J2339" s="8">
        <f>_xlfn.IFNA(INDEX('HS Codes'!$D$2:$K4893,MATCH($B2339,'HS Codes'!$A$2:$A4893,0),MATCH(J$1,'HS Codes'!$D$1:$K$1,0)),"")</f>
        <v>0</v>
      </c>
      <c r="K2339" s="8" t="str">
        <f>_xlfn.IFNA(INDEX('HS Codes'!$D$2:$K4893,MATCH($B2339,'HS Codes'!$A$2:$A4893,0),MATCH(K$1,'HS Codes'!$D$1:$K$1,0)),"")</f>
        <v>6302.39.00</v>
      </c>
      <c r="L2339" s="8">
        <f>_xlfn.IFNA(INDEX('HS Codes'!$D$2:$K4893,MATCH($B2339,'HS Codes'!$A$2:$A4893,0),MATCH(L$1,'HS Codes'!$D$1:$K$1,0)),"")</f>
        <v>63029120</v>
      </c>
      <c r="M2339" s="8" t="str">
        <f>_xlfn.IFNA(INDEX('HS Codes'!$C$2:$C4893,MATCH($B2339,'HS Codes'!$A$2:$A4893,0)),"")</f>
        <v>Beach Towel - Toilet Linen 100% recycled 220 GSM/83% polyester/17% polyamide includes cotton on the packing pouch drawstring</v>
      </c>
      <c r="N2339" s="9"/>
      <c r="O2339" s="9"/>
      <c r="P2339" s="9"/>
      <c r="Q2339" s="9"/>
    </row>
    <row r="2340" spans="1:17" ht="15.75" customHeight="1">
      <c r="A2340" s="7" t="s">
        <v>2632</v>
      </c>
      <c r="B2340" s="7" t="s">
        <v>164</v>
      </c>
      <c r="C2340" s="7" t="s">
        <v>278</v>
      </c>
      <c r="D2340" s="7" t="s">
        <v>165</v>
      </c>
      <c r="E2340" s="7" t="s">
        <v>348</v>
      </c>
      <c r="F2340" s="8" t="str">
        <f>_xlfn.IFNA(INDEX('HS Codes'!$D$2:$K4894,MATCH($B2340,'HS Codes'!$A$2:$A4894,0),MATCH(F$1,'HS Codes'!$D$1:$K$1,0)),"")</f>
        <v>6302.93.2000</v>
      </c>
      <c r="G2340" s="8">
        <f>_xlfn.IFNA(INDEX('HS Codes'!$D$2:$K4894,MATCH($B2340,'HS Codes'!$A$2:$A4894,0),MATCH(G$1,'HS Codes'!$D$1:$K$1,0)),"")</f>
        <v>6302600090</v>
      </c>
      <c r="H2340" s="8" t="str">
        <f>_xlfn.IFNA(INDEX('HS Codes'!$D$2:$K4894,MATCH($B2340,'HS Codes'!$A$2:$A4894,0),MATCH(H$1,'HS Codes'!$D$1:$K$1,0)),"")</f>
        <v>6302.93.00.00</v>
      </c>
      <c r="I2340" s="8">
        <f>_xlfn.IFNA(INDEX('HS Codes'!$D$2:$K4894,MATCH($B2340,'HS Codes'!$A$2:$A4894,0),MATCH(I$1,'HS Codes'!$D$1:$K$1,0)),"")</f>
        <v>63029390</v>
      </c>
      <c r="J2340" s="8">
        <f>_xlfn.IFNA(INDEX('HS Codes'!$D$2:$K4894,MATCH($B2340,'HS Codes'!$A$2:$A4894,0),MATCH(J$1,'HS Codes'!$D$1:$K$1,0)),"")</f>
        <v>0</v>
      </c>
      <c r="K2340" s="8" t="str">
        <f>_xlfn.IFNA(INDEX('HS Codes'!$D$2:$K4894,MATCH($B2340,'HS Codes'!$A$2:$A4894,0),MATCH(K$1,'HS Codes'!$D$1:$K$1,0)),"")</f>
        <v>6302.39.00</v>
      </c>
      <c r="L2340" s="8">
        <f>_xlfn.IFNA(INDEX('HS Codes'!$D$2:$K4894,MATCH($B2340,'HS Codes'!$A$2:$A4894,0),MATCH(L$1,'HS Codes'!$D$1:$K$1,0)),"")</f>
        <v>63029120</v>
      </c>
      <c r="M2340" s="8" t="str">
        <f>_xlfn.IFNA(INDEX('HS Codes'!$C$2:$C4894,MATCH($B2340,'HS Codes'!$A$2:$A4894,0)),"")</f>
        <v>Beach Towel - Toilet Linen 100% recycled 220 GSM/83% polyester/17% polyamide includes cotton on the packing pouch drawstring</v>
      </c>
      <c r="N2340" s="9"/>
      <c r="O2340" s="9"/>
      <c r="P2340" s="9"/>
      <c r="Q2340" s="9"/>
    </row>
    <row r="2341" spans="1:17" ht="15.75" customHeight="1">
      <c r="A2341" s="7" t="s">
        <v>2633</v>
      </c>
      <c r="B2341" s="7" t="s">
        <v>164</v>
      </c>
      <c r="C2341" s="7" t="s">
        <v>278</v>
      </c>
      <c r="D2341" s="7" t="s">
        <v>165</v>
      </c>
      <c r="E2341" s="7" t="s">
        <v>348</v>
      </c>
      <c r="F2341" s="8" t="str">
        <f>_xlfn.IFNA(INDEX('HS Codes'!$D$2:$K4895,MATCH($B2341,'HS Codes'!$A$2:$A4895,0),MATCH(F$1,'HS Codes'!$D$1:$K$1,0)),"")</f>
        <v>6302.93.2000</v>
      </c>
      <c r="G2341" s="8">
        <f>_xlfn.IFNA(INDEX('HS Codes'!$D$2:$K4895,MATCH($B2341,'HS Codes'!$A$2:$A4895,0),MATCH(G$1,'HS Codes'!$D$1:$K$1,0)),"")</f>
        <v>6302600090</v>
      </c>
      <c r="H2341" s="8" t="str">
        <f>_xlfn.IFNA(INDEX('HS Codes'!$D$2:$K4895,MATCH($B2341,'HS Codes'!$A$2:$A4895,0),MATCH(H$1,'HS Codes'!$D$1:$K$1,0)),"")</f>
        <v>6302.93.00.00</v>
      </c>
      <c r="I2341" s="8">
        <f>_xlfn.IFNA(INDEX('HS Codes'!$D$2:$K4895,MATCH($B2341,'HS Codes'!$A$2:$A4895,0),MATCH(I$1,'HS Codes'!$D$1:$K$1,0)),"")</f>
        <v>63029390</v>
      </c>
      <c r="J2341" s="8">
        <f>_xlfn.IFNA(INDEX('HS Codes'!$D$2:$K4895,MATCH($B2341,'HS Codes'!$A$2:$A4895,0),MATCH(J$1,'HS Codes'!$D$1:$K$1,0)),"")</f>
        <v>0</v>
      </c>
      <c r="K2341" s="8" t="str">
        <f>_xlfn.IFNA(INDEX('HS Codes'!$D$2:$K4895,MATCH($B2341,'HS Codes'!$A$2:$A4895,0),MATCH(K$1,'HS Codes'!$D$1:$K$1,0)),"")</f>
        <v>6302.39.00</v>
      </c>
      <c r="L2341" s="8">
        <f>_xlfn.IFNA(INDEX('HS Codes'!$D$2:$K4895,MATCH($B2341,'HS Codes'!$A$2:$A4895,0),MATCH(L$1,'HS Codes'!$D$1:$K$1,0)),"")</f>
        <v>63029120</v>
      </c>
      <c r="M2341" s="8" t="str">
        <f>_xlfn.IFNA(INDEX('HS Codes'!$C$2:$C4895,MATCH($B2341,'HS Codes'!$A$2:$A4895,0)),"")</f>
        <v>Beach Towel - Toilet Linen 100% recycled 220 GSM/83% polyester/17% polyamide includes cotton on the packing pouch drawstring</v>
      </c>
      <c r="N2341" s="9"/>
      <c r="O2341" s="9"/>
      <c r="P2341" s="9"/>
      <c r="Q2341" s="9"/>
    </row>
    <row r="2342" spans="1:17" ht="15.75" customHeight="1">
      <c r="A2342" s="7" t="s">
        <v>2634</v>
      </c>
      <c r="B2342" s="7" t="s">
        <v>164</v>
      </c>
      <c r="C2342" s="7" t="s">
        <v>278</v>
      </c>
      <c r="D2342" s="7" t="s">
        <v>165</v>
      </c>
      <c r="E2342" s="7" t="s">
        <v>348</v>
      </c>
      <c r="F2342" s="8" t="str">
        <f>_xlfn.IFNA(INDEX('HS Codes'!$D$2:$K4896,MATCH($B2342,'HS Codes'!$A$2:$A4896,0),MATCH(F$1,'HS Codes'!$D$1:$K$1,0)),"")</f>
        <v>6302.93.2000</v>
      </c>
      <c r="G2342" s="8">
        <f>_xlfn.IFNA(INDEX('HS Codes'!$D$2:$K4896,MATCH($B2342,'HS Codes'!$A$2:$A4896,0),MATCH(G$1,'HS Codes'!$D$1:$K$1,0)),"")</f>
        <v>6302600090</v>
      </c>
      <c r="H2342" s="8" t="str">
        <f>_xlfn.IFNA(INDEX('HS Codes'!$D$2:$K4896,MATCH($B2342,'HS Codes'!$A$2:$A4896,0),MATCH(H$1,'HS Codes'!$D$1:$K$1,0)),"")</f>
        <v>6302.93.00.00</v>
      </c>
      <c r="I2342" s="8">
        <f>_xlfn.IFNA(INDEX('HS Codes'!$D$2:$K4896,MATCH($B2342,'HS Codes'!$A$2:$A4896,0),MATCH(I$1,'HS Codes'!$D$1:$K$1,0)),"")</f>
        <v>63029390</v>
      </c>
      <c r="J2342" s="8">
        <f>_xlfn.IFNA(INDEX('HS Codes'!$D$2:$K4896,MATCH($B2342,'HS Codes'!$A$2:$A4896,0),MATCH(J$1,'HS Codes'!$D$1:$K$1,0)),"")</f>
        <v>0</v>
      </c>
      <c r="K2342" s="8" t="str">
        <f>_xlfn.IFNA(INDEX('HS Codes'!$D$2:$K4896,MATCH($B2342,'HS Codes'!$A$2:$A4896,0),MATCH(K$1,'HS Codes'!$D$1:$K$1,0)),"")</f>
        <v>6302.39.00</v>
      </c>
      <c r="L2342" s="8">
        <f>_xlfn.IFNA(INDEX('HS Codes'!$D$2:$K4896,MATCH($B2342,'HS Codes'!$A$2:$A4896,0),MATCH(L$1,'HS Codes'!$D$1:$K$1,0)),"")</f>
        <v>63029120</v>
      </c>
      <c r="M2342" s="8" t="str">
        <f>_xlfn.IFNA(INDEX('HS Codes'!$C$2:$C4896,MATCH($B2342,'HS Codes'!$A$2:$A4896,0)),"")</f>
        <v>Beach Towel - Toilet Linen 100% recycled 220 GSM/83% polyester/17% polyamide includes cotton on the packing pouch drawstring</v>
      </c>
      <c r="N2342" s="9"/>
      <c r="O2342" s="9"/>
      <c r="P2342" s="9"/>
      <c r="Q2342" s="9"/>
    </row>
    <row r="2343" spans="1:17" ht="15.75" customHeight="1">
      <c r="A2343" s="7" t="s">
        <v>2635</v>
      </c>
      <c r="B2343" s="7" t="s">
        <v>164</v>
      </c>
      <c r="C2343" s="7" t="s">
        <v>278</v>
      </c>
      <c r="D2343" s="7" t="s">
        <v>165</v>
      </c>
      <c r="E2343" s="7" t="s">
        <v>348</v>
      </c>
      <c r="F2343" s="8" t="str">
        <f>_xlfn.IFNA(INDEX('HS Codes'!$D$2:$K4897,MATCH($B2343,'HS Codes'!$A$2:$A4897,0),MATCH(F$1,'HS Codes'!$D$1:$K$1,0)),"")</f>
        <v>6302.93.2000</v>
      </c>
      <c r="G2343" s="8">
        <f>_xlfn.IFNA(INDEX('HS Codes'!$D$2:$K4897,MATCH($B2343,'HS Codes'!$A$2:$A4897,0),MATCH(G$1,'HS Codes'!$D$1:$K$1,0)),"")</f>
        <v>6302600090</v>
      </c>
      <c r="H2343" s="8" t="str">
        <f>_xlfn.IFNA(INDEX('HS Codes'!$D$2:$K4897,MATCH($B2343,'HS Codes'!$A$2:$A4897,0),MATCH(H$1,'HS Codes'!$D$1:$K$1,0)),"")</f>
        <v>6302.93.00.00</v>
      </c>
      <c r="I2343" s="8">
        <f>_xlfn.IFNA(INDEX('HS Codes'!$D$2:$K4897,MATCH($B2343,'HS Codes'!$A$2:$A4897,0),MATCH(I$1,'HS Codes'!$D$1:$K$1,0)),"")</f>
        <v>63029390</v>
      </c>
      <c r="J2343" s="8">
        <f>_xlfn.IFNA(INDEX('HS Codes'!$D$2:$K4897,MATCH($B2343,'HS Codes'!$A$2:$A4897,0),MATCH(J$1,'HS Codes'!$D$1:$K$1,0)),"")</f>
        <v>0</v>
      </c>
      <c r="K2343" s="8" t="str">
        <f>_xlfn.IFNA(INDEX('HS Codes'!$D$2:$K4897,MATCH($B2343,'HS Codes'!$A$2:$A4897,0),MATCH(K$1,'HS Codes'!$D$1:$K$1,0)),"")</f>
        <v>6302.39.00</v>
      </c>
      <c r="L2343" s="8">
        <f>_xlfn.IFNA(INDEX('HS Codes'!$D$2:$K4897,MATCH($B2343,'HS Codes'!$A$2:$A4897,0),MATCH(L$1,'HS Codes'!$D$1:$K$1,0)),"")</f>
        <v>63029120</v>
      </c>
      <c r="M2343" s="8" t="str">
        <f>_xlfn.IFNA(INDEX('HS Codes'!$C$2:$C4897,MATCH($B2343,'HS Codes'!$A$2:$A4897,0)),"")</f>
        <v>Beach Towel - Toilet Linen 100% recycled 220 GSM/83% polyester/17% polyamide includes cotton on the packing pouch drawstring</v>
      </c>
      <c r="N2343" s="9"/>
      <c r="O2343" s="9"/>
      <c r="P2343" s="9"/>
      <c r="Q2343" s="9"/>
    </row>
    <row r="2344" spans="1:17" ht="15.75" customHeight="1">
      <c r="A2344" s="7" t="s">
        <v>2636</v>
      </c>
      <c r="B2344" s="7" t="s">
        <v>164</v>
      </c>
      <c r="C2344" s="7" t="s">
        <v>278</v>
      </c>
      <c r="D2344" s="7" t="s">
        <v>165</v>
      </c>
      <c r="E2344" s="7" t="s">
        <v>348</v>
      </c>
      <c r="F2344" s="8" t="str">
        <f>_xlfn.IFNA(INDEX('HS Codes'!$D$2:$K4898,MATCH($B2344,'HS Codes'!$A$2:$A4898,0),MATCH(F$1,'HS Codes'!$D$1:$K$1,0)),"")</f>
        <v>6302.93.2000</v>
      </c>
      <c r="G2344" s="8">
        <f>_xlfn.IFNA(INDEX('HS Codes'!$D$2:$K4898,MATCH($B2344,'HS Codes'!$A$2:$A4898,0),MATCH(G$1,'HS Codes'!$D$1:$K$1,0)),"")</f>
        <v>6302600090</v>
      </c>
      <c r="H2344" s="8" t="str">
        <f>_xlfn.IFNA(INDEX('HS Codes'!$D$2:$K4898,MATCH($B2344,'HS Codes'!$A$2:$A4898,0),MATCH(H$1,'HS Codes'!$D$1:$K$1,0)),"")</f>
        <v>6302.93.00.00</v>
      </c>
      <c r="I2344" s="8">
        <f>_xlfn.IFNA(INDEX('HS Codes'!$D$2:$K4898,MATCH($B2344,'HS Codes'!$A$2:$A4898,0),MATCH(I$1,'HS Codes'!$D$1:$K$1,0)),"")</f>
        <v>63029390</v>
      </c>
      <c r="J2344" s="8">
        <f>_xlfn.IFNA(INDEX('HS Codes'!$D$2:$K4898,MATCH($B2344,'HS Codes'!$A$2:$A4898,0),MATCH(J$1,'HS Codes'!$D$1:$K$1,0)),"")</f>
        <v>0</v>
      </c>
      <c r="K2344" s="8" t="str">
        <f>_xlfn.IFNA(INDEX('HS Codes'!$D$2:$K4898,MATCH($B2344,'HS Codes'!$A$2:$A4898,0),MATCH(K$1,'HS Codes'!$D$1:$K$1,0)),"")</f>
        <v>6302.39.00</v>
      </c>
      <c r="L2344" s="8">
        <f>_xlfn.IFNA(INDEX('HS Codes'!$D$2:$K4898,MATCH($B2344,'HS Codes'!$A$2:$A4898,0),MATCH(L$1,'HS Codes'!$D$1:$K$1,0)),"")</f>
        <v>63029120</v>
      </c>
      <c r="M2344" s="8" t="str">
        <f>_xlfn.IFNA(INDEX('HS Codes'!$C$2:$C4898,MATCH($B2344,'HS Codes'!$A$2:$A4898,0)),"")</f>
        <v>Beach Towel - Toilet Linen 100% recycled 220 GSM/83% polyester/17% polyamide includes cotton on the packing pouch drawstring</v>
      </c>
      <c r="N2344" s="9"/>
      <c r="O2344" s="9"/>
      <c r="P2344" s="9"/>
      <c r="Q2344" s="9"/>
    </row>
    <row r="2345" spans="1:17" ht="15.75" customHeight="1">
      <c r="A2345" s="7" t="s">
        <v>2637</v>
      </c>
      <c r="B2345" s="7" t="s">
        <v>164</v>
      </c>
      <c r="C2345" s="7" t="s">
        <v>278</v>
      </c>
      <c r="D2345" s="7" t="s">
        <v>165</v>
      </c>
      <c r="E2345" s="7" t="s">
        <v>348</v>
      </c>
      <c r="F2345" s="8" t="str">
        <f>_xlfn.IFNA(INDEX('HS Codes'!$D$2:$K4899,MATCH($B2345,'HS Codes'!$A$2:$A4899,0),MATCH(F$1,'HS Codes'!$D$1:$K$1,0)),"")</f>
        <v>6302.93.2000</v>
      </c>
      <c r="G2345" s="8">
        <f>_xlfn.IFNA(INDEX('HS Codes'!$D$2:$K4899,MATCH($B2345,'HS Codes'!$A$2:$A4899,0),MATCH(G$1,'HS Codes'!$D$1:$K$1,0)),"")</f>
        <v>6302600090</v>
      </c>
      <c r="H2345" s="8" t="str">
        <f>_xlfn.IFNA(INDEX('HS Codes'!$D$2:$K4899,MATCH($B2345,'HS Codes'!$A$2:$A4899,0),MATCH(H$1,'HS Codes'!$D$1:$K$1,0)),"")</f>
        <v>6302.93.00.00</v>
      </c>
      <c r="I2345" s="8">
        <f>_xlfn.IFNA(INDEX('HS Codes'!$D$2:$K4899,MATCH($B2345,'HS Codes'!$A$2:$A4899,0),MATCH(I$1,'HS Codes'!$D$1:$K$1,0)),"")</f>
        <v>63029390</v>
      </c>
      <c r="J2345" s="8">
        <f>_xlfn.IFNA(INDEX('HS Codes'!$D$2:$K4899,MATCH($B2345,'HS Codes'!$A$2:$A4899,0),MATCH(J$1,'HS Codes'!$D$1:$K$1,0)),"")</f>
        <v>0</v>
      </c>
      <c r="K2345" s="8" t="str">
        <f>_xlfn.IFNA(INDEX('HS Codes'!$D$2:$K4899,MATCH($B2345,'HS Codes'!$A$2:$A4899,0),MATCH(K$1,'HS Codes'!$D$1:$K$1,0)),"")</f>
        <v>6302.39.00</v>
      </c>
      <c r="L2345" s="8">
        <f>_xlfn.IFNA(INDEX('HS Codes'!$D$2:$K4899,MATCH($B2345,'HS Codes'!$A$2:$A4899,0),MATCH(L$1,'HS Codes'!$D$1:$K$1,0)),"")</f>
        <v>63029120</v>
      </c>
      <c r="M2345" s="8" t="str">
        <f>_xlfn.IFNA(INDEX('HS Codes'!$C$2:$C4899,MATCH($B2345,'HS Codes'!$A$2:$A4899,0)),"")</f>
        <v>Beach Towel - Toilet Linen 100% recycled 220 GSM/83% polyester/17% polyamide includes cotton on the packing pouch drawstring</v>
      </c>
      <c r="N2345" s="9"/>
      <c r="O2345" s="9"/>
      <c r="P2345" s="9"/>
      <c r="Q2345" s="9"/>
    </row>
    <row r="2346" spans="1:17" ht="15.75" customHeight="1">
      <c r="A2346" s="7" t="s">
        <v>2638</v>
      </c>
      <c r="B2346" s="7" t="s">
        <v>164</v>
      </c>
      <c r="C2346" s="7" t="s">
        <v>278</v>
      </c>
      <c r="D2346" s="7" t="s">
        <v>165</v>
      </c>
      <c r="E2346" s="7" t="s">
        <v>348</v>
      </c>
      <c r="F2346" s="8" t="str">
        <f>_xlfn.IFNA(INDEX('HS Codes'!$D$2:$K4900,MATCH($B2346,'HS Codes'!$A$2:$A4900,0),MATCH(F$1,'HS Codes'!$D$1:$K$1,0)),"")</f>
        <v>6302.93.2000</v>
      </c>
      <c r="G2346" s="8">
        <f>_xlfn.IFNA(INDEX('HS Codes'!$D$2:$K4900,MATCH($B2346,'HS Codes'!$A$2:$A4900,0),MATCH(G$1,'HS Codes'!$D$1:$K$1,0)),"")</f>
        <v>6302600090</v>
      </c>
      <c r="H2346" s="8" t="str">
        <f>_xlfn.IFNA(INDEX('HS Codes'!$D$2:$K4900,MATCH($B2346,'HS Codes'!$A$2:$A4900,0),MATCH(H$1,'HS Codes'!$D$1:$K$1,0)),"")</f>
        <v>6302.93.00.00</v>
      </c>
      <c r="I2346" s="8">
        <f>_xlfn.IFNA(INDEX('HS Codes'!$D$2:$K4900,MATCH($B2346,'HS Codes'!$A$2:$A4900,0),MATCH(I$1,'HS Codes'!$D$1:$K$1,0)),"")</f>
        <v>63029390</v>
      </c>
      <c r="J2346" s="8">
        <f>_xlfn.IFNA(INDEX('HS Codes'!$D$2:$K4900,MATCH($B2346,'HS Codes'!$A$2:$A4900,0),MATCH(J$1,'HS Codes'!$D$1:$K$1,0)),"")</f>
        <v>0</v>
      </c>
      <c r="K2346" s="8" t="str">
        <f>_xlfn.IFNA(INDEX('HS Codes'!$D$2:$K4900,MATCH($B2346,'HS Codes'!$A$2:$A4900,0),MATCH(K$1,'HS Codes'!$D$1:$K$1,0)),"")</f>
        <v>6302.39.00</v>
      </c>
      <c r="L2346" s="8">
        <f>_xlfn.IFNA(INDEX('HS Codes'!$D$2:$K4900,MATCH($B2346,'HS Codes'!$A$2:$A4900,0),MATCH(L$1,'HS Codes'!$D$1:$K$1,0)),"")</f>
        <v>63029120</v>
      </c>
      <c r="M2346" s="8" t="str">
        <f>_xlfn.IFNA(INDEX('HS Codes'!$C$2:$C4900,MATCH($B2346,'HS Codes'!$A$2:$A4900,0)),"")</f>
        <v>Beach Towel - Toilet Linen 100% recycled 220 GSM/83% polyester/17% polyamide includes cotton on the packing pouch drawstring</v>
      </c>
      <c r="N2346" s="9"/>
      <c r="O2346" s="9"/>
      <c r="P2346" s="9"/>
      <c r="Q2346" s="9"/>
    </row>
    <row r="2347" spans="1:17" ht="15.75" customHeight="1">
      <c r="A2347" s="7" t="s">
        <v>2639</v>
      </c>
      <c r="B2347" s="7" t="s">
        <v>164</v>
      </c>
      <c r="C2347" s="7" t="s">
        <v>278</v>
      </c>
      <c r="D2347" s="7" t="s">
        <v>165</v>
      </c>
      <c r="E2347" s="7" t="s">
        <v>348</v>
      </c>
      <c r="F2347" s="8" t="str">
        <f>_xlfn.IFNA(INDEX('HS Codes'!$D$2:$K4901,MATCH($B2347,'HS Codes'!$A$2:$A4901,0),MATCH(F$1,'HS Codes'!$D$1:$K$1,0)),"")</f>
        <v>6302.93.2000</v>
      </c>
      <c r="G2347" s="8">
        <f>_xlfn.IFNA(INDEX('HS Codes'!$D$2:$K4901,MATCH($B2347,'HS Codes'!$A$2:$A4901,0),MATCH(G$1,'HS Codes'!$D$1:$K$1,0)),"")</f>
        <v>6302600090</v>
      </c>
      <c r="H2347" s="8" t="str">
        <f>_xlfn.IFNA(INDEX('HS Codes'!$D$2:$K4901,MATCH($B2347,'HS Codes'!$A$2:$A4901,0),MATCH(H$1,'HS Codes'!$D$1:$K$1,0)),"")</f>
        <v>6302.93.00.00</v>
      </c>
      <c r="I2347" s="8">
        <f>_xlfn.IFNA(INDEX('HS Codes'!$D$2:$K4901,MATCH($B2347,'HS Codes'!$A$2:$A4901,0),MATCH(I$1,'HS Codes'!$D$1:$K$1,0)),"")</f>
        <v>63029390</v>
      </c>
      <c r="J2347" s="8">
        <f>_xlfn.IFNA(INDEX('HS Codes'!$D$2:$K4901,MATCH($B2347,'HS Codes'!$A$2:$A4901,0),MATCH(J$1,'HS Codes'!$D$1:$K$1,0)),"")</f>
        <v>0</v>
      </c>
      <c r="K2347" s="8" t="str">
        <f>_xlfn.IFNA(INDEX('HS Codes'!$D$2:$K4901,MATCH($B2347,'HS Codes'!$A$2:$A4901,0),MATCH(K$1,'HS Codes'!$D$1:$K$1,0)),"")</f>
        <v>6302.39.00</v>
      </c>
      <c r="L2347" s="8">
        <f>_xlfn.IFNA(INDEX('HS Codes'!$D$2:$K4901,MATCH($B2347,'HS Codes'!$A$2:$A4901,0),MATCH(L$1,'HS Codes'!$D$1:$K$1,0)),"")</f>
        <v>63029120</v>
      </c>
      <c r="M2347" s="8" t="str">
        <f>_xlfn.IFNA(INDEX('HS Codes'!$C$2:$C4901,MATCH($B2347,'HS Codes'!$A$2:$A4901,0)),"")</f>
        <v>Beach Towel - Toilet Linen 100% recycled 220 GSM/83% polyester/17% polyamide includes cotton on the packing pouch drawstring</v>
      </c>
      <c r="N2347" s="9"/>
      <c r="O2347" s="9"/>
      <c r="P2347" s="9"/>
      <c r="Q2347" s="9"/>
    </row>
    <row r="2348" spans="1:17" ht="15.75" customHeight="1">
      <c r="A2348" s="7" t="s">
        <v>2640</v>
      </c>
      <c r="B2348" s="7" t="s">
        <v>164</v>
      </c>
      <c r="C2348" s="7" t="s">
        <v>278</v>
      </c>
      <c r="D2348" s="7" t="s">
        <v>165</v>
      </c>
      <c r="E2348" s="7" t="s">
        <v>348</v>
      </c>
      <c r="F2348" s="8" t="str">
        <f>_xlfn.IFNA(INDEX('HS Codes'!$D$2:$K4902,MATCH($B2348,'HS Codes'!$A$2:$A4902,0),MATCH(F$1,'HS Codes'!$D$1:$K$1,0)),"")</f>
        <v>6302.93.2000</v>
      </c>
      <c r="G2348" s="8">
        <f>_xlfn.IFNA(INDEX('HS Codes'!$D$2:$K4902,MATCH($B2348,'HS Codes'!$A$2:$A4902,0),MATCH(G$1,'HS Codes'!$D$1:$K$1,0)),"")</f>
        <v>6302600090</v>
      </c>
      <c r="H2348" s="8" t="str">
        <f>_xlfn.IFNA(INDEX('HS Codes'!$D$2:$K4902,MATCH($B2348,'HS Codes'!$A$2:$A4902,0),MATCH(H$1,'HS Codes'!$D$1:$K$1,0)),"")</f>
        <v>6302.93.00.00</v>
      </c>
      <c r="I2348" s="8">
        <f>_xlfn.IFNA(INDEX('HS Codes'!$D$2:$K4902,MATCH($B2348,'HS Codes'!$A$2:$A4902,0),MATCH(I$1,'HS Codes'!$D$1:$K$1,0)),"")</f>
        <v>63029390</v>
      </c>
      <c r="J2348" s="8">
        <f>_xlfn.IFNA(INDEX('HS Codes'!$D$2:$K4902,MATCH($B2348,'HS Codes'!$A$2:$A4902,0),MATCH(J$1,'HS Codes'!$D$1:$K$1,0)),"")</f>
        <v>0</v>
      </c>
      <c r="K2348" s="8" t="str">
        <f>_xlfn.IFNA(INDEX('HS Codes'!$D$2:$K4902,MATCH($B2348,'HS Codes'!$A$2:$A4902,0),MATCH(K$1,'HS Codes'!$D$1:$K$1,0)),"")</f>
        <v>6302.39.00</v>
      </c>
      <c r="L2348" s="8">
        <f>_xlfn.IFNA(INDEX('HS Codes'!$D$2:$K4902,MATCH($B2348,'HS Codes'!$A$2:$A4902,0),MATCH(L$1,'HS Codes'!$D$1:$K$1,0)),"")</f>
        <v>63029120</v>
      </c>
      <c r="M2348" s="8" t="str">
        <f>_xlfn.IFNA(INDEX('HS Codes'!$C$2:$C4902,MATCH($B2348,'HS Codes'!$A$2:$A4902,0)),"")</f>
        <v>Beach Towel - Toilet Linen 100% recycled 220 GSM/83% polyester/17% polyamide includes cotton on the packing pouch drawstring</v>
      </c>
      <c r="N2348" s="9"/>
      <c r="O2348" s="9"/>
      <c r="P2348" s="9"/>
      <c r="Q2348" s="9"/>
    </row>
    <row r="2349" spans="1:17" ht="15.75" customHeight="1">
      <c r="A2349" s="7" t="s">
        <v>2641</v>
      </c>
      <c r="B2349" s="7" t="s">
        <v>164</v>
      </c>
      <c r="C2349" s="7" t="s">
        <v>278</v>
      </c>
      <c r="D2349" s="7" t="s">
        <v>165</v>
      </c>
      <c r="E2349" s="7" t="s">
        <v>348</v>
      </c>
      <c r="F2349" s="8" t="str">
        <f>_xlfn.IFNA(INDEX('HS Codes'!$D$2:$K4903,MATCH($B2349,'HS Codes'!$A$2:$A4903,0),MATCH(F$1,'HS Codes'!$D$1:$K$1,0)),"")</f>
        <v>6302.93.2000</v>
      </c>
      <c r="G2349" s="8">
        <f>_xlfn.IFNA(INDEX('HS Codes'!$D$2:$K4903,MATCH($B2349,'HS Codes'!$A$2:$A4903,0),MATCH(G$1,'HS Codes'!$D$1:$K$1,0)),"")</f>
        <v>6302600090</v>
      </c>
      <c r="H2349" s="8" t="str">
        <f>_xlfn.IFNA(INDEX('HS Codes'!$D$2:$K4903,MATCH($B2349,'HS Codes'!$A$2:$A4903,0),MATCH(H$1,'HS Codes'!$D$1:$K$1,0)),"")</f>
        <v>6302.93.00.00</v>
      </c>
      <c r="I2349" s="8">
        <f>_xlfn.IFNA(INDEX('HS Codes'!$D$2:$K4903,MATCH($B2349,'HS Codes'!$A$2:$A4903,0),MATCH(I$1,'HS Codes'!$D$1:$K$1,0)),"")</f>
        <v>63029390</v>
      </c>
      <c r="J2349" s="8">
        <f>_xlfn.IFNA(INDEX('HS Codes'!$D$2:$K4903,MATCH($B2349,'HS Codes'!$A$2:$A4903,0),MATCH(J$1,'HS Codes'!$D$1:$K$1,0)),"")</f>
        <v>0</v>
      </c>
      <c r="K2349" s="8" t="str">
        <f>_xlfn.IFNA(INDEX('HS Codes'!$D$2:$K4903,MATCH($B2349,'HS Codes'!$A$2:$A4903,0),MATCH(K$1,'HS Codes'!$D$1:$K$1,0)),"")</f>
        <v>6302.39.00</v>
      </c>
      <c r="L2349" s="8">
        <f>_xlfn.IFNA(INDEX('HS Codes'!$D$2:$K4903,MATCH($B2349,'HS Codes'!$A$2:$A4903,0),MATCH(L$1,'HS Codes'!$D$1:$K$1,0)),"")</f>
        <v>63029120</v>
      </c>
      <c r="M2349" s="8" t="str">
        <f>_xlfn.IFNA(INDEX('HS Codes'!$C$2:$C4903,MATCH($B2349,'HS Codes'!$A$2:$A4903,0)),"")</f>
        <v>Beach Towel - Toilet Linen 100% recycled 220 GSM/83% polyester/17% polyamide includes cotton on the packing pouch drawstring</v>
      </c>
      <c r="N2349" s="9"/>
      <c r="O2349" s="9"/>
      <c r="P2349" s="9"/>
      <c r="Q2349" s="9"/>
    </row>
    <row r="2350" spans="1:17" ht="15.75" customHeight="1">
      <c r="A2350" s="7" t="s">
        <v>2642</v>
      </c>
      <c r="B2350" s="7" t="s">
        <v>164</v>
      </c>
      <c r="C2350" s="7" t="s">
        <v>278</v>
      </c>
      <c r="D2350" s="7" t="s">
        <v>165</v>
      </c>
      <c r="E2350" s="7" t="s">
        <v>348</v>
      </c>
      <c r="F2350" s="8" t="str">
        <f>_xlfn.IFNA(INDEX('HS Codes'!$D$2:$K4904,MATCH($B2350,'HS Codes'!$A$2:$A4904,0),MATCH(F$1,'HS Codes'!$D$1:$K$1,0)),"")</f>
        <v>6302.93.2000</v>
      </c>
      <c r="G2350" s="8">
        <f>_xlfn.IFNA(INDEX('HS Codes'!$D$2:$K4904,MATCH($B2350,'HS Codes'!$A$2:$A4904,0),MATCH(G$1,'HS Codes'!$D$1:$K$1,0)),"")</f>
        <v>6302600090</v>
      </c>
      <c r="H2350" s="8" t="str">
        <f>_xlfn.IFNA(INDEX('HS Codes'!$D$2:$K4904,MATCH($B2350,'HS Codes'!$A$2:$A4904,0),MATCH(H$1,'HS Codes'!$D$1:$K$1,0)),"")</f>
        <v>6302.93.00.00</v>
      </c>
      <c r="I2350" s="8">
        <f>_xlfn.IFNA(INDEX('HS Codes'!$D$2:$K4904,MATCH($B2350,'HS Codes'!$A$2:$A4904,0),MATCH(I$1,'HS Codes'!$D$1:$K$1,0)),"")</f>
        <v>63029390</v>
      </c>
      <c r="J2350" s="8">
        <f>_xlfn.IFNA(INDEX('HS Codes'!$D$2:$K4904,MATCH($B2350,'HS Codes'!$A$2:$A4904,0),MATCH(J$1,'HS Codes'!$D$1:$K$1,0)),"")</f>
        <v>0</v>
      </c>
      <c r="K2350" s="8" t="str">
        <f>_xlfn.IFNA(INDEX('HS Codes'!$D$2:$K4904,MATCH($B2350,'HS Codes'!$A$2:$A4904,0),MATCH(K$1,'HS Codes'!$D$1:$K$1,0)),"")</f>
        <v>6302.39.00</v>
      </c>
      <c r="L2350" s="8">
        <f>_xlfn.IFNA(INDEX('HS Codes'!$D$2:$K4904,MATCH($B2350,'HS Codes'!$A$2:$A4904,0),MATCH(L$1,'HS Codes'!$D$1:$K$1,0)),"")</f>
        <v>63029120</v>
      </c>
      <c r="M2350" s="8" t="str">
        <f>_xlfn.IFNA(INDEX('HS Codes'!$C$2:$C4904,MATCH($B2350,'HS Codes'!$A$2:$A4904,0)),"")</f>
        <v>Beach Towel - Toilet Linen 100% recycled 220 GSM/83% polyester/17% polyamide includes cotton on the packing pouch drawstring</v>
      </c>
      <c r="N2350" s="9"/>
      <c r="O2350" s="9"/>
      <c r="P2350" s="9"/>
      <c r="Q2350" s="9"/>
    </row>
    <row r="2351" spans="1:17" ht="15.75" customHeight="1">
      <c r="A2351" s="7" t="s">
        <v>2643</v>
      </c>
      <c r="B2351" s="7" t="s">
        <v>164</v>
      </c>
      <c r="C2351" s="7" t="s">
        <v>278</v>
      </c>
      <c r="D2351" s="7" t="s">
        <v>165</v>
      </c>
      <c r="E2351" s="7" t="s">
        <v>348</v>
      </c>
      <c r="F2351" s="8" t="str">
        <f>_xlfn.IFNA(INDEX('HS Codes'!$D$2:$K4905,MATCH($B2351,'HS Codes'!$A$2:$A4905,0),MATCH(F$1,'HS Codes'!$D$1:$K$1,0)),"")</f>
        <v>6302.93.2000</v>
      </c>
      <c r="G2351" s="8">
        <f>_xlfn.IFNA(INDEX('HS Codes'!$D$2:$K4905,MATCH($B2351,'HS Codes'!$A$2:$A4905,0),MATCH(G$1,'HS Codes'!$D$1:$K$1,0)),"")</f>
        <v>6302600090</v>
      </c>
      <c r="H2351" s="8" t="str">
        <f>_xlfn.IFNA(INDEX('HS Codes'!$D$2:$K4905,MATCH($B2351,'HS Codes'!$A$2:$A4905,0),MATCH(H$1,'HS Codes'!$D$1:$K$1,0)),"")</f>
        <v>6302.93.00.00</v>
      </c>
      <c r="I2351" s="8">
        <f>_xlfn.IFNA(INDEX('HS Codes'!$D$2:$K4905,MATCH($B2351,'HS Codes'!$A$2:$A4905,0),MATCH(I$1,'HS Codes'!$D$1:$K$1,0)),"")</f>
        <v>63029390</v>
      </c>
      <c r="J2351" s="8">
        <f>_xlfn.IFNA(INDEX('HS Codes'!$D$2:$K4905,MATCH($B2351,'HS Codes'!$A$2:$A4905,0),MATCH(J$1,'HS Codes'!$D$1:$K$1,0)),"")</f>
        <v>0</v>
      </c>
      <c r="K2351" s="8" t="str">
        <f>_xlfn.IFNA(INDEX('HS Codes'!$D$2:$K4905,MATCH($B2351,'HS Codes'!$A$2:$A4905,0),MATCH(K$1,'HS Codes'!$D$1:$K$1,0)),"")</f>
        <v>6302.39.00</v>
      </c>
      <c r="L2351" s="8">
        <f>_xlfn.IFNA(INDEX('HS Codes'!$D$2:$K4905,MATCH($B2351,'HS Codes'!$A$2:$A4905,0),MATCH(L$1,'HS Codes'!$D$1:$K$1,0)),"")</f>
        <v>63029120</v>
      </c>
      <c r="M2351" s="8" t="str">
        <f>_xlfn.IFNA(INDEX('HS Codes'!$C$2:$C4905,MATCH($B2351,'HS Codes'!$A$2:$A4905,0)),"")</f>
        <v>Beach Towel - Toilet Linen 100% recycled 220 GSM/83% polyester/17% polyamide includes cotton on the packing pouch drawstring</v>
      </c>
      <c r="N2351" s="9"/>
      <c r="O2351" s="9"/>
      <c r="P2351" s="9"/>
      <c r="Q2351" s="9"/>
    </row>
    <row r="2352" spans="1:17" ht="15.75" customHeight="1">
      <c r="A2352" s="7" t="s">
        <v>2644</v>
      </c>
      <c r="B2352" s="7" t="s">
        <v>164</v>
      </c>
      <c r="C2352" s="7" t="s">
        <v>278</v>
      </c>
      <c r="D2352" s="7" t="s">
        <v>165</v>
      </c>
      <c r="E2352" s="7" t="s">
        <v>348</v>
      </c>
      <c r="F2352" s="8" t="str">
        <f>_xlfn.IFNA(INDEX('HS Codes'!$D$2:$K4906,MATCH($B2352,'HS Codes'!$A$2:$A4906,0),MATCH(F$1,'HS Codes'!$D$1:$K$1,0)),"")</f>
        <v>6302.93.2000</v>
      </c>
      <c r="G2352" s="8">
        <f>_xlfn.IFNA(INDEX('HS Codes'!$D$2:$K4906,MATCH($B2352,'HS Codes'!$A$2:$A4906,0),MATCH(G$1,'HS Codes'!$D$1:$K$1,0)),"")</f>
        <v>6302600090</v>
      </c>
      <c r="H2352" s="8" t="str">
        <f>_xlfn.IFNA(INDEX('HS Codes'!$D$2:$K4906,MATCH($B2352,'HS Codes'!$A$2:$A4906,0),MATCH(H$1,'HS Codes'!$D$1:$K$1,0)),"")</f>
        <v>6302.93.00.00</v>
      </c>
      <c r="I2352" s="8">
        <f>_xlfn.IFNA(INDEX('HS Codes'!$D$2:$K4906,MATCH($B2352,'HS Codes'!$A$2:$A4906,0),MATCH(I$1,'HS Codes'!$D$1:$K$1,0)),"")</f>
        <v>63029390</v>
      </c>
      <c r="J2352" s="8">
        <f>_xlfn.IFNA(INDEX('HS Codes'!$D$2:$K4906,MATCH($B2352,'HS Codes'!$A$2:$A4906,0),MATCH(J$1,'HS Codes'!$D$1:$K$1,0)),"")</f>
        <v>0</v>
      </c>
      <c r="K2352" s="8" t="str">
        <f>_xlfn.IFNA(INDEX('HS Codes'!$D$2:$K4906,MATCH($B2352,'HS Codes'!$A$2:$A4906,0),MATCH(K$1,'HS Codes'!$D$1:$K$1,0)),"")</f>
        <v>6302.39.00</v>
      </c>
      <c r="L2352" s="8">
        <f>_xlfn.IFNA(INDEX('HS Codes'!$D$2:$K4906,MATCH($B2352,'HS Codes'!$A$2:$A4906,0),MATCH(L$1,'HS Codes'!$D$1:$K$1,0)),"")</f>
        <v>63029120</v>
      </c>
      <c r="M2352" s="8" t="str">
        <f>_xlfn.IFNA(INDEX('HS Codes'!$C$2:$C4906,MATCH($B2352,'HS Codes'!$A$2:$A4906,0)),"")</f>
        <v>Beach Towel - Toilet Linen 100% recycled 220 GSM/83% polyester/17% polyamide includes cotton on the packing pouch drawstring</v>
      </c>
      <c r="N2352" s="9"/>
      <c r="O2352" s="9"/>
      <c r="P2352" s="9"/>
      <c r="Q2352" s="9"/>
    </row>
    <row r="2353" spans="1:17" ht="15.75" customHeight="1">
      <c r="A2353" s="7" t="s">
        <v>2645</v>
      </c>
      <c r="B2353" s="7" t="s">
        <v>164</v>
      </c>
      <c r="C2353" s="7" t="s">
        <v>278</v>
      </c>
      <c r="D2353" s="7" t="s">
        <v>165</v>
      </c>
      <c r="E2353" s="7" t="s">
        <v>348</v>
      </c>
      <c r="F2353" s="8" t="str">
        <f>_xlfn.IFNA(INDEX('HS Codes'!$D$2:$K4907,MATCH($B2353,'HS Codes'!$A$2:$A4907,0),MATCH(F$1,'HS Codes'!$D$1:$K$1,0)),"")</f>
        <v>6302.93.2000</v>
      </c>
      <c r="G2353" s="8">
        <f>_xlfn.IFNA(INDEX('HS Codes'!$D$2:$K4907,MATCH($B2353,'HS Codes'!$A$2:$A4907,0),MATCH(G$1,'HS Codes'!$D$1:$K$1,0)),"")</f>
        <v>6302600090</v>
      </c>
      <c r="H2353" s="8" t="str">
        <f>_xlfn.IFNA(INDEX('HS Codes'!$D$2:$K4907,MATCH($B2353,'HS Codes'!$A$2:$A4907,0),MATCH(H$1,'HS Codes'!$D$1:$K$1,0)),"")</f>
        <v>6302.93.00.00</v>
      </c>
      <c r="I2353" s="8">
        <f>_xlfn.IFNA(INDEX('HS Codes'!$D$2:$K4907,MATCH($B2353,'HS Codes'!$A$2:$A4907,0),MATCH(I$1,'HS Codes'!$D$1:$K$1,0)),"")</f>
        <v>63029390</v>
      </c>
      <c r="J2353" s="8">
        <f>_xlfn.IFNA(INDEX('HS Codes'!$D$2:$K4907,MATCH($B2353,'HS Codes'!$A$2:$A4907,0),MATCH(J$1,'HS Codes'!$D$1:$K$1,0)),"")</f>
        <v>0</v>
      </c>
      <c r="K2353" s="8" t="str">
        <f>_xlfn.IFNA(INDEX('HS Codes'!$D$2:$K4907,MATCH($B2353,'HS Codes'!$A$2:$A4907,0),MATCH(K$1,'HS Codes'!$D$1:$K$1,0)),"")</f>
        <v>6302.39.00</v>
      </c>
      <c r="L2353" s="8">
        <f>_xlfn.IFNA(INDEX('HS Codes'!$D$2:$K4907,MATCH($B2353,'HS Codes'!$A$2:$A4907,0),MATCH(L$1,'HS Codes'!$D$1:$K$1,0)),"")</f>
        <v>63029120</v>
      </c>
      <c r="M2353" s="8" t="str">
        <f>_xlfn.IFNA(INDEX('HS Codes'!$C$2:$C4907,MATCH($B2353,'HS Codes'!$A$2:$A4907,0)),"")</f>
        <v>Beach Towel - Toilet Linen 100% recycled 220 GSM/83% polyester/17% polyamide includes cotton on the packing pouch drawstring</v>
      </c>
      <c r="N2353" s="9"/>
      <c r="O2353" s="9"/>
      <c r="P2353" s="9"/>
      <c r="Q2353" s="9"/>
    </row>
    <row r="2354" spans="1:17" ht="15.75" customHeight="1">
      <c r="A2354" s="7" t="s">
        <v>2646</v>
      </c>
      <c r="B2354" s="7" t="s">
        <v>164</v>
      </c>
      <c r="C2354" s="7" t="s">
        <v>278</v>
      </c>
      <c r="D2354" s="7" t="s">
        <v>165</v>
      </c>
      <c r="E2354" s="7" t="s">
        <v>348</v>
      </c>
      <c r="F2354" s="8" t="str">
        <f>_xlfn.IFNA(INDEX('HS Codes'!$D$2:$K4908,MATCH($B2354,'HS Codes'!$A$2:$A4908,0),MATCH(F$1,'HS Codes'!$D$1:$K$1,0)),"")</f>
        <v>6302.93.2000</v>
      </c>
      <c r="G2354" s="8">
        <f>_xlfn.IFNA(INDEX('HS Codes'!$D$2:$K4908,MATCH($B2354,'HS Codes'!$A$2:$A4908,0),MATCH(G$1,'HS Codes'!$D$1:$K$1,0)),"")</f>
        <v>6302600090</v>
      </c>
      <c r="H2354" s="8" t="str">
        <f>_xlfn.IFNA(INDEX('HS Codes'!$D$2:$K4908,MATCH($B2354,'HS Codes'!$A$2:$A4908,0),MATCH(H$1,'HS Codes'!$D$1:$K$1,0)),"")</f>
        <v>6302.93.00.00</v>
      </c>
      <c r="I2354" s="8">
        <f>_xlfn.IFNA(INDEX('HS Codes'!$D$2:$K4908,MATCH($B2354,'HS Codes'!$A$2:$A4908,0),MATCH(I$1,'HS Codes'!$D$1:$K$1,0)),"")</f>
        <v>63029390</v>
      </c>
      <c r="J2354" s="8">
        <f>_xlfn.IFNA(INDEX('HS Codes'!$D$2:$K4908,MATCH($B2354,'HS Codes'!$A$2:$A4908,0),MATCH(J$1,'HS Codes'!$D$1:$K$1,0)),"")</f>
        <v>0</v>
      </c>
      <c r="K2354" s="8" t="str">
        <f>_xlfn.IFNA(INDEX('HS Codes'!$D$2:$K4908,MATCH($B2354,'HS Codes'!$A$2:$A4908,0),MATCH(K$1,'HS Codes'!$D$1:$K$1,0)),"")</f>
        <v>6302.39.00</v>
      </c>
      <c r="L2354" s="8">
        <f>_xlfn.IFNA(INDEX('HS Codes'!$D$2:$K4908,MATCH($B2354,'HS Codes'!$A$2:$A4908,0),MATCH(L$1,'HS Codes'!$D$1:$K$1,0)),"")</f>
        <v>63029120</v>
      </c>
      <c r="M2354" s="8" t="str">
        <f>_xlfn.IFNA(INDEX('HS Codes'!$C$2:$C4908,MATCH($B2354,'HS Codes'!$A$2:$A4908,0)),"")</f>
        <v>Beach Towel - Toilet Linen 100% recycled 220 GSM/83% polyester/17% polyamide includes cotton on the packing pouch drawstring</v>
      </c>
      <c r="N2354" s="9"/>
      <c r="O2354" s="9"/>
      <c r="P2354" s="9"/>
      <c r="Q2354" s="9"/>
    </row>
    <row r="2355" spans="1:17" ht="15.75" customHeight="1">
      <c r="A2355" s="7" t="s">
        <v>2647</v>
      </c>
      <c r="B2355" s="7" t="s">
        <v>164</v>
      </c>
      <c r="C2355" s="7" t="s">
        <v>278</v>
      </c>
      <c r="D2355" s="7" t="s">
        <v>165</v>
      </c>
      <c r="E2355" s="7" t="s">
        <v>348</v>
      </c>
      <c r="F2355" s="8" t="str">
        <f>_xlfn.IFNA(INDEX('HS Codes'!$D$2:$K4909,MATCH($B2355,'HS Codes'!$A$2:$A4909,0),MATCH(F$1,'HS Codes'!$D$1:$K$1,0)),"")</f>
        <v>6302.93.2000</v>
      </c>
      <c r="G2355" s="8">
        <f>_xlfn.IFNA(INDEX('HS Codes'!$D$2:$K4909,MATCH($B2355,'HS Codes'!$A$2:$A4909,0),MATCH(G$1,'HS Codes'!$D$1:$K$1,0)),"")</f>
        <v>6302600090</v>
      </c>
      <c r="H2355" s="8" t="str">
        <f>_xlfn.IFNA(INDEX('HS Codes'!$D$2:$K4909,MATCH($B2355,'HS Codes'!$A$2:$A4909,0),MATCH(H$1,'HS Codes'!$D$1:$K$1,0)),"")</f>
        <v>6302.93.00.00</v>
      </c>
      <c r="I2355" s="8">
        <f>_xlfn.IFNA(INDEX('HS Codes'!$D$2:$K4909,MATCH($B2355,'HS Codes'!$A$2:$A4909,0),MATCH(I$1,'HS Codes'!$D$1:$K$1,0)),"")</f>
        <v>63029390</v>
      </c>
      <c r="J2355" s="8">
        <f>_xlfn.IFNA(INDEX('HS Codes'!$D$2:$K4909,MATCH($B2355,'HS Codes'!$A$2:$A4909,0),MATCH(J$1,'HS Codes'!$D$1:$K$1,0)),"")</f>
        <v>0</v>
      </c>
      <c r="K2355" s="8" t="str">
        <f>_xlfn.IFNA(INDEX('HS Codes'!$D$2:$K4909,MATCH($B2355,'HS Codes'!$A$2:$A4909,0),MATCH(K$1,'HS Codes'!$D$1:$K$1,0)),"")</f>
        <v>6302.39.00</v>
      </c>
      <c r="L2355" s="8">
        <f>_xlfn.IFNA(INDEX('HS Codes'!$D$2:$K4909,MATCH($B2355,'HS Codes'!$A$2:$A4909,0),MATCH(L$1,'HS Codes'!$D$1:$K$1,0)),"")</f>
        <v>63029120</v>
      </c>
      <c r="M2355" s="8" t="str">
        <f>_xlfn.IFNA(INDEX('HS Codes'!$C$2:$C4909,MATCH($B2355,'HS Codes'!$A$2:$A4909,0)),"")</f>
        <v>Beach Towel - Toilet Linen 100% recycled 220 GSM/83% polyester/17% polyamide includes cotton on the packing pouch drawstring</v>
      </c>
      <c r="N2355" s="9"/>
      <c r="O2355" s="9"/>
      <c r="P2355" s="9"/>
      <c r="Q2355" s="9"/>
    </row>
    <row r="2356" spans="1:17" ht="15.75" customHeight="1">
      <c r="A2356" s="7" t="s">
        <v>2648</v>
      </c>
      <c r="B2356" s="7" t="s">
        <v>164</v>
      </c>
      <c r="C2356" s="7" t="s">
        <v>278</v>
      </c>
      <c r="D2356" s="7" t="s">
        <v>165</v>
      </c>
      <c r="E2356" s="7" t="s">
        <v>348</v>
      </c>
      <c r="F2356" s="8" t="str">
        <f>_xlfn.IFNA(INDEX('HS Codes'!$D$2:$K4910,MATCH($B2356,'HS Codes'!$A$2:$A4910,0),MATCH(F$1,'HS Codes'!$D$1:$K$1,0)),"")</f>
        <v>6302.93.2000</v>
      </c>
      <c r="G2356" s="8">
        <f>_xlfn.IFNA(INDEX('HS Codes'!$D$2:$K4910,MATCH($B2356,'HS Codes'!$A$2:$A4910,0),MATCH(G$1,'HS Codes'!$D$1:$K$1,0)),"")</f>
        <v>6302600090</v>
      </c>
      <c r="H2356" s="8" t="str">
        <f>_xlfn.IFNA(INDEX('HS Codes'!$D$2:$K4910,MATCH($B2356,'HS Codes'!$A$2:$A4910,0),MATCH(H$1,'HS Codes'!$D$1:$K$1,0)),"")</f>
        <v>6302.93.00.00</v>
      </c>
      <c r="I2356" s="8">
        <f>_xlfn.IFNA(INDEX('HS Codes'!$D$2:$K4910,MATCH($B2356,'HS Codes'!$A$2:$A4910,0),MATCH(I$1,'HS Codes'!$D$1:$K$1,0)),"")</f>
        <v>63029390</v>
      </c>
      <c r="J2356" s="8">
        <f>_xlfn.IFNA(INDEX('HS Codes'!$D$2:$K4910,MATCH($B2356,'HS Codes'!$A$2:$A4910,0),MATCH(J$1,'HS Codes'!$D$1:$K$1,0)),"")</f>
        <v>0</v>
      </c>
      <c r="K2356" s="8" t="str">
        <f>_xlfn.IFNA(INDEX('HS Codes'!$D$2:$K4910,MATCH($B2356,'HS Codes'!$A$2:$A4910,0),MATCH(K$1,'HS Codes'!$D$1:$K$1,0)),"")</f>
        <v>6302.39.00</v>
      </c>
      <c r="L2356" s="8">
        <f>_xlfn.IFNA(INDEX('HS Codes'!$D$2:$K4910,MATCH($B2356,'HS Codes'!$A$2:$A4910,0),MATCH(L$1,'HS Codes'!$D$1:$K$1,0)),"")</f>
        <v>63029120</v>
      </c>
      <c r="M2356" s="8" t="str">
        <f>_xlfn.IFNA(INDEX('HS Codes'!$C$2:$C4910,MATCH($B2356,'HS Codes'!$A$2:$A4910,0)),"")</f>
        <v>Beach Towel - Toilet Linen 100% recycled 220 GSM/83% polyester/17% polyamide includes cotton on the packing pouch drawstring</v>
      </c>
      <c r="N2356" s="9"/>
      <c r="O2356" s="9"/>
      <c r="P2356" s="9"/>
      <c r="Q2356" s="9"/>
    </row>
    <row r="2357" spans="1:17" ht="15.75" customHeight="1">
      <c r="A2357" s="7" t="s">
        <v>2649</v>
      </c>
      <c r="B2357" s="7" t="s">
        <v>164</v>
      </c>
      <c r="C2357" s="7" t="s">
        <v>278</v>
      </c>
      <c r="D2357" s="7" t="s">
        <v>165</v>
      </c>
      <c r="E2357" s="7" t="s">
        <v>348</v>
      </c>
      <c r="F2357" s="8" t="str">
        <f>_xlfn.IFNA(INDEX('HS Codes'!$D$2:$K4911,MATCH($B2357,'HS Codes'!$A$2:$A4911,0),MATCH(F$1,'HS Codes'!$D$1:$K$1,0)),"")</f>
        <v>6302.93.2000</v>
      </c>
      <c r="G2357" s="8">
        <f>_xlfn.IFNA(INDEX('HS Codes'!$D$2:$K4911,MATCH($B2357,'HS Codes'!$A$2:$A4911,0),MATCH(G$1,'HS Codes'!$D$1:$K$1,0)),"")</f>
        <v>6302600090</v>
      </c>
      <c r="H2357" s="8" t="str">
        <f>_xlfn.IFNA(INDEX('HS Codes'!$D$2:$K4911,MATCH($B2357,'HS Codes'!$A$2:$A4911,0),MATCH(H$1,'HS Codes'!$D$1:$K$1,0)),"")</f>
        <v>6302.93.00.00</v>
      </c>
      <c r="I2357" s="8">
        <f>_xlfn.IFNA(INDEX('HS Codes'!$D$2:$K4911,MATCH($B2357,'HS Codes'!$A$2:$A4911,0),MATCH(I$1,'HS Codes'!$D$1:$K$1,0)),"")</f>
        <v>63029390</v>
      </c>
      <c r="J2357" s="8">
        <f>_xlfn.IFNA(INDEX('HS Codes'!$D$2:$K4911,MATCH($B2357,'HS Codes'!$A$2:$A4911,0),MATCH(J$1,'HS Codes'!$D$1:$K$1,0)),"")</f>
        <v>0</v>
      </c>
      <c r="K2357" s="8" t="str">
        <f>_xlfn.IFNA(INDEX('HS Codes'!$D$2:$K4911,MATCH($B2357,'HS Codes'!$A$2:$A4911,0),MATCH(K$1,'HS Codes'!$D$1:$K$1,0)),"")</f>
        <v>6302.39.00</v>
      </c>
      <c r="L2357" s="8">
        <f>_xlfn.IFNA(INDEX('HS Codes'!$D$2:$K4911,MATCH($B2357,'HS Codes'!$A$2:$A4911,0),MATCH(L$1,'HS Codes'!$D$1:$K$1,0)),"")</f>
        <v>63029120</v>
      </c>
      <c r="M2357" s="8" t="str">
        <f>_xlfn.IFNA(INDEX('HS Codes'!$C$2:$C4911,MATCH($B2357,'HS Codes'!$A$2:$A4911,0)),"")</f>
        <v>Beach Towel - Toilet Linen 100% recycled 220 GSM/83% polyester/17% polyamide includes cotton on the packing pouch drawstring</v>
      </c>
      <c r="N2357" s="9"/>
      <c r="O2357" s="9"/>
      <c r="P2357" s="9"/>
      <c r="Q2357" s="9"/>
    </row>
    <row r="2358" spans="1:17" ht="15.75" customHeight="1">
      <c r="A2358" s="7" t="s">
        <v>2650</v>
      </c>
      <c r="B2358" s="7" t="s">
        <v>164</v>
      </c>
      <c r="C2358" s="7" t="s">
        <v>278</v>
      </c>
      <c r="D2358" s="7" t="s">
        <v>165</v>
      </c>
      <c r="E2358" s="7" t="s">
        <v>348</v>
      </c>
      <c r="F2358" s="8" t="str">
        <f>_xlfn.IFNA(INDEX('HS Codes'!$D$2:$K4912,MATCH($B2358,'HS Codes'!$A$2:$A4912,0),MATCH(F$1,'HS Codes'!$D$1:$K$1,0)),"")</f>
        <v>6302.93.2000</v>
      </c>
      <c r="G2358" s="8">
        <f>_xlfn.IFNA(INDEX('HS Codes'!$D$2:$K4912,MATCH($B2358,'HS Codes'!$A$2:$A4912,0),MATCH(G$1,'HS Codes'!$D$1:$K$1,0)),"")</f>
        <v>6302600090</v>
      </c>
      <c r="H2358" s="8" t="str">
        <f>_xlfn.IFNA(INDEX('HS Codes'!$D$2:$K4912,MATCH($B2358,'HS Codes'!$A$2:$A4912,0),MATCH(H$1,'HS Codes'!$D$1:$K$1,0)),"")</f>
        <v>6302.93.00.00</v>
      </c>
      <c r="I2358" s="8">
        <f>_xlfn.IFNA(INDEX('HS Codes'!$D$2:$K4912,MATCH($B2358,'HS Codes'!$A$2:$A4912,0),MATCH(I$1,'HS Codes'!$D$1:$K$1,0)),"")</f>
        <v>63029390</v>
      </c>
      <c r="J2358" s="8">
        <f>_xlfn.IFNA(INDEX('HS Codes'!$D$2:$K4912,MATCH($B2358,'HS Codes'!$A$2:$A4912,0),MATCH(J$1,'HS Codes'!$D$1:$K$1,0)),"")</f>
        <v>0</v>
      </c>
      <c r="K2358" s="8" t="str">
        <f>_xlfn.IFNA(INDEX('HS Codes'!$D$2:$K4912,MATCH($B2358,'HS Codes'!$A$2:$A4912,0),MATCH(K$1,'HS Codes'!$D$1:$K$1,0)),"")</f>
        <v>6302.39.00</v>
      </c>
      <c r="L2358" s="8">
        <f>_xlfn.IFNA(INDEX('HS Codes'!$D$2:$K4912,MATCH($B2358,'HS Codes'!$A$2:$A4912,0),MATCH(L$1,'HS Codes'!$D$1:$K$1,0)),"")</f>
        <v>63029120</v>
      </c>
      <c r="M2358" s="8" t="str">
        <f>_xlfn.IFNA(INDEX('HS Codes'!$C$2:$C4912,MATCH($B2358,'HS Codes'!$A$2:$A4912,0)),"")</f>
        <v>Beach Towel - Toilet Linen 100% recycled 220 GSM/83% polyester/17% polyamide includes cotton on the packing pouch drawstring</v>
      </c>
      <c r="N2358" s="9"/>
      <c r="O2358" s="9"/>
      <c r="P2358" s="9"/>
      <c r="Q2358" s="9"/>
    </row>
    <row r="2359" spans="1:17" ht="15.75" customHeight="1">
      <c r="A2359" s="7" t="s">
        <v>2651</v>
      </c>
      <c r="B2359" s="7" t="s">
        <v>164</v>
      </c>
      <c r="C2359" s="7" t="s">
        <v>278</v>
      </c>
      <c r="D2359" s="7" t="s">
        <v>165</v>
      </c>
      <c r="E2359" s="7" t="s">
        <v>348</v>
      </c>
      <c r="F2359" s="8" t="str">
        <f>_xlfn.IFNA(INDEX('HS Codes'!$D$2:$K4913,MATCH($B2359,'HS Codes'!$A$2:$A4913,0),MATCH(F$1,'HS Codes'!$D$1:$K$1,0)),"")</f>
        <v>6302.93.2000</v>
      </c>
      <c r="G2359" s="8">
        <f>_xlfn.IFNA(INDEX('HS Codes'!$D$2:$K4913,MATCH($B2359,'HS Codes'!$A$2:$A4913,0),MATCH(G$1,'HS Codes'!$D$1:$K$1,0)),"")</f>
        <v>6302600090</v>
      </c>
      <c r="H2359" s="8" t="str">
        <f>_xlfn.IFNA(INDEX('HS Codes'!$D$2:$K4913,MATCH($B2359,'HS Codes'!$A$2:$A4913,0),MATCH(H$1,'HS Codes'!$D$1:$K$1,0)),"")</f>
        <v>6302.93.00.00</v>
      </c>
      <c r="I2359" s="8">
        <f>_xlfn.IFNA(INDEX('HS Codes'!$D$2:$K4913,MATCH($B2359,'HS Codes'!$A$2:$A4913,0),MATCH(I$1,'HS Codes'!$D$1:$K$1,0)),"")</f>
        <v>63029390</v>
      </c>
      <c r="J2359" s="8">
        <f>_xlfn.IFNA(INDEX('HS Codes'!$D$2:$K4913,MATCH($B2359,'HS Codes'!$A$2:$A4913,0),MATCH(J$1,'HS Codes'!$D$1:$K$1,0)),"")</f>
        <v>0</v>
      </c>
      <c r="K2359" s="8" t="str">
        <f>_xlfn.IFNA(INDEX('HS Codes'!$D$2:$K4913,MATCH($B2359,'HS Codes'!$A$2:$A4913,0),MATCH(K$1,'HS Codes'!$D$1:$K$1,0)),"")</f>
        <v>6302.39.00</v>
      </c>
      <c r="L2359" s="8">
        <f>_xlfn.IFNA(INDEX('HS Codes'!$D$2:$K4913,MATCH($B2359,'HS Codes'!$A$2:$A4913,0),MATCH(L$1,'HS Codes'!$D$1:$K$1,0)),"")</f>
        <v>63029120</v>
      </c>
      <c r="M2359" s="8" t="str">
        <f>_xlfn.IFNA(INDEX('HS Codes'!$C$2:$C4913,MATCH($B2359,'HS Codes'!$A$2:$A4913,0)),"")</f>
        <v>Beach Towel - Toilet Linen 100% recycled 220 GSM/83% polyester/17% polyamide includes cotton on the packing pouch drawstring</v>
      </c>
      <c r="N2359" s="9"/>
      <c r="O2359" s="9"/>
      <c r="P2359" s="9"/>
      <c r="Q2359" s="9"/>
    </row>
    <row r="2360" spans="1:17" ht="15.75" customHeight="1">
      <c r="A2360" s="7" t="s">
        <v>2652</v>
      </c>
      <c r="B2360" s="7" t="s">
        <v>164</v>
      </c>
      <c r="C2360" s="7" t="s">
        <v>278</v>
      </c>
      <c r="D2360" s="7" t="s">
        <v>165</v>
      </c>
      <c r="E2360" s="7" t="s">
        <v>348</v>
      </c>
      <c r="F2360" s="8" t="str">
        <f>_xlfn.IFNA(INDEX('HS Codes'!$D$2:$K4914,MATCH($B2360,'HS Codes'!$A$2:$A4914,0),MATCH(F$1,'HS Codes'!$D$1:$K$1,0)),"")</f>
        <v>6302.93.2000</v>
      </c>
      <c r="G2360" s="8">
        <f>_xlfn.IFNA(INDEX('HS Codes'!$D$2:$K4914,MATCH($B2360,'HS Codes'!$A$2:$A4914,0),MATCH(G$1,'HS Codes'!$D$1:$K$1,0)),"")</f>
        <v>6302600090</v>
      </c>
      <c r="H2360" s="8" t="str">
        <f>_xlfn.IFNA(INDEX('HS Codes'!$D$2:$K4914,MATCH($B2360,'HS Codes'!$A$2:$A4914,0),MATCH(H$1,'HS Codes'!$D$1:$K$1,0)),"")</f>
        <v>6302.93.00.00</v>
      </c>
      <c r="I2360" s="8">
        <f>_xlfn.IFNA(INDEX('HS Codes'!$D$2:$K4914,MATCH($B2360,'HS Codes'!$A$2:$A4914,0),MATCH(I$1,'HS Codes'!$D$1:$K$1,0)),"")</f>
        <v>63029390</v>
      </c>
      <c r="J2360" s="8">
        <f>_xlfn.IFNA(INDEX('HS Codes'!$D$2:$K4914,MATCH($B2360,'HS Codes'!$A$2:$A4914,0),MATCH(J$1,'HS Codes'!$D$1:$K$1,0)),"")</f>
        <v>0</v>
      </c>
      <c r="K2360" s="8" t="str">
        <f>_xlfn.IFNA(INDEX('HS Codes'!$D$2:$K4914,MATCH($B2360,'HS Codes'!$A$2:$A4914,0),MATCH(K$1,'HS Codes'!$D$1:$K$1,0)),"")</f>
        <v>6302.39.00</v>
      </c>
      <c r="L2360" s="8">
        <f>_xlfn.IFNA(INDEX('HS Codes'!$D$2:$K4914,MATCH($B2360,'HS Codes'!$A$2:$A4914,0),MATCH(L$1,'HS Codes'!$D$1:$K$1,0)),"")</f>
        <v>63029120</v>
      </c>
      <c r="M2360" s="8" t="str">
        <f>_xlfn.IFNA(INDEX('HS Codes'!$C$2:$C4914,MATCH($B2360,'HS Codes'!$A$2:$A4914,0)),"")</f>
        <v>Beach Towel - Toilet Linen 100% recycled 220 GSM/83% polyester/17% polyamide includes cotton on the packing pouch drawstring</v>
      </c>
      <c r="N2360" s="9"/>
      <c r="O2360" s="9"/>
      <c r="P2360" s="9"/>
      <c r="Q2360" s="9"/>
    </row>
    <row r="2361" spans="1:17" ht="15.75" customHeight="1">
      <c r="A2361" s="7" t="s">
        <v>2653</v>
      </c>
      <c r="B2361" s="7" t="s">
        <v>164</v>
      </c>
      <c r="C2361" s="7" t="s">
        <v>278</v>
      </c>
      <c r="D2361" s="7" t="s">
        <v>165</v>
      </c>
      <c r="E2361" s="7" t="s">
        <v>348</v>
      </c>
      <c r="F2361" s="8" t="str">
        <f>_xlfn.IFNA(INDEX('HS Codes'!$D$2:$K4915,MATCH($B2361,'HS Codes'!$A$2:$A4915,0),MATCH(F$1,'HS Codes'!$D$1:$K$1,0)),"")</f>
        <v>6302.93.2000</v>
      </c>
      <c r="G2361" s="8">
        <f>_xlfn.IFNA(INDEX('HS Codes'!$D$2:$K4915,MATCH($B2361,'HS Codes'!$A$2:$A4915,0),MATCH(G$1,'HS Codes'!$D$1:$K$1,0)),"")</f>
        <v>6302600090</v>
      </c>
      <c r="H2361" s="8" t="str">
        <f>_xlfn.IFNA(INDEX('HS Codes'!$D$2:$K4915,MATCH($B2361,'HS Codes'!$A$2:$A4915,0),MATCH(H$1,'HS Codes'!$D$1:$K$1,0)),"")</f>
        <v>6302.93.00.00</v>
      </c>
      <c r="I2361" s="8">
        <f>_xlfn.IFNA(INDEX('HS Codes'!$D$2:$K4915,MATCH($B2361,'HS Codes'!$A$2:$A4915,0),MATCH(I$1,'HS Codes'!$D$1:$K$1,0)),"")</f>
        <v>63029390</v>
      </c>
      <c r="J2361" s="8">
        <f>_xlfn.IFNA(INDEX('HS Codes'!$D$2:$K4915,MATCH($B2361,'HS Codes'!$A$2:$A4915,0),MATCH(J$1,'HS Codes'!$D$1:$K$1,0)),"")</f>
        <v>0</v>
      </c>
      <c r="K2361" s="8" t="str">
        <f>_xlfn.IFNA(INDEX('HS Codes'!$D$2:$K4915,MATCH($B2361,'HS Codes'!$A$2:$A4915,0),MATCH(K$1,'HS Codes'!$D$1:$K$1,0)),"")</f>
        <v>6302.39.00</v>
      </c>
      <c r="L2361" s="8">
        <f>_xlfn.IFNA(INDEX('HS Codes'!$D$2:$K4915,MATCH($B2361,'HS Codes'!$A$2:$A4915,0),MATCH(L$1,'HS Codes'!$D$1:$K$1,0)),"")</f>
        <v>63029120</v>
      </c>
      <c r="M2361" s="8" t="str">
        <f>_xlfn.IFNA(INDEX('HS Codes'!$C$2:$C4915,MATCH($B2361,'HS Codes'!$A$2:$A4915,0)),"")</f>
        <v>Beach Towel - Toilet Linen 100% recycled 220 GSM/83% polyester/17% polyamide includes cotton on the packing pouch drawstring</v>
      </c>
      <c r="N2361" s="9"/>
      <c r="O2361" s="9"/>
      <c r="P2361" s="9"/>
      <c r="Q2361" s="9"/>
    </row>
    <row r="2362" spans="1:17" ht="15.75" customHeight="1">
      <c r="A2362" s="7" t="s">
        <v>2654</v>
      </c>
      <c r="B2362" s="7" t="s">
        <v>164</v>
      </c>
      <c r="C2362" s="7" t="s">
        <v>278</v>
      </c>
      <c r="D2362" s="7" t="s">
        <v>165</v>
      </c>
      <c r="E2362" s="7" t="s">
        <v>348</v>
      </c>
      <c r="F2362" s="8" t="str">
        <f>_xlfn.IFNA(INDEX('HS Codes'!$D$2:$K4916,MATCH($B2362,'HS Codes'!$A$2:$A4916,0),MATCH(F$1,'HS Codes'!$D$1:$K$1,0)),"")</f>
        <v>6302.93.2000</v>
      </c>
      <c r="G2362" s="8">
        <f>_xlfn.IFNA(INDEX('HS Codes'!$D$2:$K4916,MATCH($B2362,'HS Codes'!$A$2:$A4916,0),MATCH(G$1,'HS Codes'!$D$1:$K$1,0)),"")</f>
        <v>6302600090</v>
      </c>
      <c r="H2362" s="8" t="str">
        <f>_xlfn.IFNA(INDEX('HS Codes'!$D$2:$K4916,MATCH($B2362,'HS Codes'!$A$2:$A4916,0),MATCH(H$1,'HS Codes'!$D$1:$K$1,0)),"")</f>
        <v>6302.93.00.00</v>
      </c>
      <c r="I2362" s="8">
        <f>_xlfn.IFNA(INDEX('HS Codes'!$D$2:$K4916,MATCH($B2362,'HS Codes'!$A$2:$A4916,0),MATCH(I$1,'HS Codes'!$D$1:$K$1,0)),"")</f>
        <v>63029390</v>
      </c>
      <c r="J2362" s="8">
        <f>_xlfn.IFNA(INDEX('HS Codes'!$D$2:$K4916,MATCH($B2362,'HS Codes'!$A$2:$A4916,0),MATCH(J$1,'HS Codes'!$D$1:$K$1,0)),"")</f>
        <v>0</v>
      </c>
      <c r="K2362" s="8" t="str">
        <f>_xlfn.IFNA(INDEX('HS Codes'!$D$2:$K4916,MATCH($B2362,'HS Codes'!$A$2:$A4916,0),MATCH(K$1,'HS Codes'!$D$1:$K$1,0)),"")</f>
        <v>6302.39.00</v>
      </c>
      <c r="L2362" s="8">
        <f>_xlfn.IFNA(INDEX('HS Codes'!$D$2:$K4916,MATCH($B2362,'HS Codes'!$A$2:$A4916,0),MATCH(L$1,'HS Codes'!$D$1:$K$1,0)),"")</f>
        <v>63029120</v>
      </c>
      <c r="M2362" s="8" t="str">
        <f>_xlfn.IFNA(INDEX('HS Codes'!$C$2:$C4916,MATCH($B2362,'HS Codes'!$A$2:$A4916,0)),"")</f>
        <v>Beach Towel - Toilet Linen 100% recycled 220 GSM/83% polyester/17% polyamide includes cotton on the packing pouch drawstring</v>
      </c>
      <c r="N2362" s="9"/>
      <c r="O2362" s="9"/>
      <c r="P2362" s="9"/>
      <c r="Q2362" s="9"/>
    </row>
    <row r="2363" spans="1:17" ht="15.75" customHeight="1">
      <c r="A2363" s="7" t="s">
        <v>2655</v>
      </c>
      <c r="B2363" s="7" t="s">
        <v>164</v>
      </c>
      <c r="C2363" s="7" t="s">
        <v>278</v>
      </c>
      <c r="D2363" s="7" t="s">
        <v>165</v>
      </c>
      <c r="E2363" s="7" t="s">
        <v>348</v>
      </c>
      <c r="F2363" s="8" t="str">
        <f>_xlfn.IFNA(INDEX('HS Codes'!$D$2:$K4917,MATCH($B2363,'HS Codes'!$A$2:$A4917,0),MATCH(F$1,'HS Codes'!$D$1:$K$1,0)),"")</f>
        <v>6302.93.2000</v>
      </c>
      <c r="G2363" s="8">
        <f>_xlfn.IFNA(INDEX('HS Codes'!$D$2:$K4917,MATCH($B2363,'HS Codes'!$A$2:$A4917,0),MATCH(G$1,'HS Codes'!$D$1:$K$1,0)),"")</f>
        <v>6302600090</v>
      </c>
      <c r="H2363" s="8" t="str">
        <f>_xlfn.IFNA(INDEX('HS Codes'!$D$2:$K4917,MATCH($B2363,'HS Codes'!$A$2:$A4917,0),MATCH(H$1,'HS Codes'!$D$1:$K$1,0)),"")</f>
        <v>6302.93.00.00</v>
      </c>
      <c r="I2363" s="8">
        <f>_xlfn.IFNA(INDEX('HS Codes'!$D$2:$K4917,MATCH($B2363,'HS Codes'!$A$2:$A4917,0),MATCH(I$1,'HS Codes'!$D$1:$K$1,0)),"")</f>
        <v>63029390</v>
      </c>
      <c r="J2363" s="8">
        <f>_xlfn.IFNA(INDEX('HS Codes'!$D$2:$K4917,MATCH($B2363,'HS Codes'!$A$2:$A4917,0),MATCH(J$1,'HS Codes'!$D$1:$K$1,0)),"")</f>
        <v>0</v>
      </c>
      <c r="K2363" s="8" t="str">
        <f>_xlfn.IFNA(INDEX('HS Codes'!$D$2:$K4917,MATCH($B2363,'HS Codes'!$A$2:$A4917,0),MATCH(K$1,'HS Codes'!$D$1:$K$1,0)),"")</f>
        <v>6302.39.00</v>
      </c>
      <c r="L2363" s="8">
        <f>_xlfn.IFNA(INDEX('HS Codes'!$D$2:$K4917,MATCH($B2363,'HS Codes'!$A$2:$A4917,0),MATCH(L$1,'HS Codes'!$D$1:$K$1,0)),"")</f>
        <v>63029120</v>
      </c>
      <c r="M2363" s="8" t="str">
        <f>_xlfn.IFNA(INDEX('HS Codes'!$C$2:$C4917,MATCH($B2363,'HS Codes'!$A$2:$A4917,0)),"")</f>
        <v>Beach Towel - Toilet Linen 100% recycled 220 GSM/83% polyester/17% polyamide includes cotton on the packing pouch drawstring</v>
      </c>
      <c r="N2363" s="9"/>
      <c r="O2363" s="9"/>
      <c r="P2363" s="9"/>
      <c r="Q2363" s="9"/>
    </row>
    <row r="2364" spans="1:17" ht="15.75" customHeight="1">
      <c r="A2364" s="7" t="s">
        <v>2656</v>
      </c>
      <c r="B2364" s="7" t="s">
        <v>164</v>
      </c>
      <c r="C2364" s="7" t="s">
        <v>278</v>
      </c>
      <c r="D2364" s="7" t="s">
        <v>165</v>
      </c>
      <c r="E2364" s="7" t="s">
        <v>348</v>
      </c>
      <c r="F2364" s="8" t="str">
        <f>_xlfn.IFNA(INDEX('HS Codes'!$D$2:$K4918,MATCH($B2364,'HS Codes'!$A$2:$A4918,0),MATCH(F$1,'HS Codes'!$D$1:$K$1,0)),"")</f>
        <v>6302.93.2000</v>
      </c>
      <c r="G2364" s="8">
        <f>_xlfn.IFNA(INDEX('HS Codes'!$D$2:$K4918,MATCH($B2364,'HS Codes'!$A$2:$A4918,0),MATCH(G$1,'HS Codes'!$D$1:$K$1,0)),"")</f>
        <v>6302600090</v>
      </c>
      <c r="H2364" s="8" t="str">
        <f>_xlfn.IFNA(INDEX('HS Codes'!$D$2:$K4918,MATCH($B2364,'HS Codes'!$A$2:$A4918,0),MATCH(H$1,'HS Codes'!$D$1:$K$1,0)),"")</f>
        <v>6302.93.00.00</v>
      </c>
      <c r="I2364" s="8">
        <f>_xlfn.IFNA(INDEX('HS Codes'!$D$2:$K4918,MATCH($B2364,'HS Codes'!$A$2:$A4918,0),MATCH(I$1,'HS Codes'!$D$1:$K$1,0)),"")</f>
        <v>63029390</v>
      </c>
      <c r="J2364" s="8">
        <f>_xlfn.IFNA(INDEX('HS Codes'!$D$2:$K4918,MATCH($B2364,'HS Codes'!$A$2:$A4918,0),MATCH(J$1,'HS Codes'!$D$1:$K$1,0)),"")</f>
        <v>0</v>
      </c>
      <c r="K2364" s="8" t="str">
        <f>_xlfn.IFNA(INDEX('HS Codes'!$D$2:$K4918,MATCH($B2364,'HS Codes'!$A$2:$A4918,0),MATCH(K$1,'HS Codes'!$D$1:$K$1,0)),"")</f>
        <v>6302.39.00</v>
      </c>
      <c r="L2364" s="8">
        <f>_xlfn.IFNA(INDEX('HS Codes'!$D$2:$K4918,MATCH($B2364,'HS Codes'!$A$2:$A4918,0),MATCH(L$1,'HS Codes'!$D$1:$K$1,0)),"")</f>
        <v>63029120</v>
      </c>
      <c r="M2364" s="8" t="str">
        <f>_xlfn.IFNA(INDEX('HS Codes'!$C$2:$C4918,MATCH($B2364,'HS Codes'!$A$2:$A4918,0)),"")</f>
        <v>Beach Towel - Toilet Linen 100% recycled 220 GSM/83% polyester/17% polyamide includes cotton on the packing pouch drawstring</v>
      </c>
      <c r="N2364" s="9"/>
      <c r="O2364" s="9"/>
      <c r="P2364" s="9"/>
      <c r="Q2364" s="9"/>
    </row>
    <row r="2365" spans="1:17" ht="15.75" customHeight="1">
      <c r="A2365" s="7" t="s">
        <v>2657</v>
      </c>
      <c r="B2365" s="7" t="s">
        <v>164</v>
      </c>
      <c r="C2365" s="7" t="s">
        <v>278</v>
      </c>
      <c r="D2365" s="7" t="s">
        <v>165</v>
      </c>
      <c r="E2365" s="7" t="s">
        <v>348</v>
      </c>
      <c r="F2365" s="8" t="str">
        <f>_xlfn.IFNA(INDEX('HS Codes'!$D$2:$K4919,MATCH($B2365,'HS Codes'!$A$2:$A4919,0),MATCH(F$1,'HS Codes'!$D$1:$K$1,0)),"")</f>
        <v>6302.93.2000</v>
      </c>
      <c r="G2365" s="8">
        <f>_xlfn.IFNA(INDEX('HS Codes'!$D$2:$K4919,MATCH($B2365,'HS Codes'!$A$2:$A4919,0),MATCH(G$1,'HS Codes'!$D$1:$K$1,0)),"")</f>
        <v>6302600090</v>
      </c>
      <c r="H2365" s="8" t="str">
        <f>_xlfn.IFNA(INDEX('HS Codes'!$D$2:$K4919,MATCH($B2365,'HS Codes'!$A$2:$A4919,0),MATCH(H$1,'HS Codes'!$D$1:$K$1,0)),"")</f>
        <v>6302.93.00.00</v>
      </c>
      <c r="I2365" s="8">
        <f>_xlfn.IFNA(INDEX('HS Codes'!$D$2:$K4919,MATCH($B2365,'HS Codes'!$A$2:$A4919,0),MATCH(I$1,'HS Codes'!$D$1:$K$1,0)),"")</f>
        <v>63029390</v>
      </c>
      <c r="J2365" s="8">
        <f>_xlfn.IFNA(INDEX('HS Codes'!$D$2:$K4919,MATCH($B2365,'HS Codes'!$A$2:$A4919,0),MATCH(J$1,'HS Codes'!$D$1:$K$1,0)),"")</f>
        <v>0</v>
      </c>
      <c r="K2365" s="8" t="str">
        <f>_xlfn.IFNA(INDEX('HS Codes'!$D$2:$K4919,MATCH($B2365,'HS Codes'!$A$2:$A4919,0),MATCH(K$1,'HS Codes'!$D$1:$K$1,0)),"")</f>
        <v>6302.39.00</v>
      </c>
      <c r="L2365" s="8">
        <f>_xlfn.IFNA(INDEX('HS Codes'!$D$2:$K4919,MATCH($B2365,'HS Codes'!$A$2:$A4919,0),MATCH(L$1,'HS Codes'!$D$1:$K$1,0)),"")</f>
        <v>63029120</v>
      </c>
      <c r="M2365" s="8" t="str">
        <f>_xlfn.IFNA(INDEX('HS Codes'!$C$2:$C4919,MATCH($B2365,'HS Codes'!$A$2:$A4919,0)),"")</f>
        <v>Beach Towel - Toilet Linen 100% recycled 220 GSM/83% polyester/17% polyamide includes cotton on the packing pouch drawstring</v>
      </c>
      <c r="N2365" s="9"/>
      <c r="O2365" s="9"/>
      <c r="P2365" s="9"/>
      <c r="Q2365" s="9"/>
    </row>
    <row r="2366" spans="1:17" ht="15.75" customHeight="1">
      <c r="A2366" s="7" t="s">
        <v>2658</v>
      </c>
      <c r="B2366" s="7" t="s">
        <v>164</v>
      </c>
      <c r="C2366" s="7" t="s">
        <v>278</v>
      </c>
      <c r="D2366" s="7" t="s">
        <v>165</v>
      </c>
      <c r="E2366" s="7" t="s">
        <v>348</v>
      </c>
      <c r="F2366" s="8" t="str">
        <f>_xlfn.IFNA(INDEX('HS Codes'!$D$2:$K4920,MATCH($B2366,'HS Codes'!$A$2:$A4920,0),MATCH(F$1,'HS Codes'!$D$1:$K$1,0)),"")</f>
        <v>6302.93.2000</v>
      </c>
      <c r="G2366" s="8">
        <f>_xlfn.IFNA(INDEX('HS Codes'!$D$2:$K4920,MATCH($B2366,'HS Codes'!$A$2:$A4920,0),MATCH(G$1,'HS Codes'!$D$1:$K$1,0)),"")</f>
        <v>6302600090</v>
      </c>
      <c r="H2366" s="8" t="str">
        <f>_xlfn.IFNA(INDEX('HS Codes'!$D$2:$K4920,MATCH($B2366,'HS Codes'!$A$2:$A4920,0),MATCH(H$1,'HS Codes'!$D$1:$K$1,0)),"")</f>
        <v>6302.93.00.00</v>
      </c>
      <c r="I2366" s="8">
        <f>_xlfn.IFNA(INDEX('HS Codes'!$D$2:$K4920,MATCH($B2366,'HS Codes'!$A$2:$A4920,0),MATCH(I$1,'HS Codes'!$D$1:$K$1,0)),"")</f>
        <v>63029390</v>
      </c>
      <c r="J2366" s="8">
        <f>_xlfn.IFNA(INDEX('HS Codes'!$D$2:$K4920,MATCH($B2366,'HS Codes'!$A$2:$A4920,0),MATCH(J$1,'HS Codes'!$D$1:$K$1,0)),"")</f>
        <v>0</v>
      </c>
      <c r="K2366" s="8" t="str">
        <f>_xlfn.IFNA(INDEX('HS Codes'!$D$2:$K4920,MATCH($B2366,'HS Codes'!$A$2:$A4920,0),MATCH(K$1,'HS Codes'!$D$1:$K$1,0)),"")</f>
        <v>6302.39.00</v>
      </c>
      <c r="L2366" s="8">
        <f>_xlfn.IFNA(INDEX('HS Codes'!$D$2:$K4920,MATCH($B2366,'HS Codes'!$A$2:$A4920,0),MATCH(L$1,'HS Codes'!$D$1:$K$1,0)),"")</f>
        <v>63029120</v>
      </c>
      <c r="M2366" s="8" t="str">
        <f>_xlfn.IFNA(INDEX('HS Codes'!$C$2:$C4920,MATCH($B2366,'HS Codes'!$A$2:$A4920,0)),"")</f>
        <v>Beach Towel - Toilet Linen 100% recycled 220 GSM/83% polyester/17% polyamide includes cotton on the packing pouch drawstring</v>
      </c>
      <c r="N2366" s="9"/>
      <c r="O2366" s="9"/>
      <c r="P2366" s="9"/>
      <c r="Q2366" s="9"/>
    </row>
    <row r="2367" spans="1:17" ht="15.75" customHeight="1">
      <c r="A2367" s="7" t="s">
        <v>2659</v>
      </c>
      <c r="B2367" s="7" t="s">
        <v>164</v>
      </c>
      <c r="C2367" s="7" t="s">
        <v>278</v>
      </c>
      <c r="D2367" s="7" t="s">
        <v>165</v>
      </c>
      <c r="E2367" s="7" t="s">
        <v>348</v>
      </c>
      <c r="F2367" s="8" t="str">
        <f>_xlfn.IFNA(INDEX('HS Codes'!$D$2:$K4921,MATCH($B2367,'HS Codes'!$A$2:$A4921,0),MATCH(F$1,'HS Codes'!$D$1:$K$1,0)),"")</f>
        <v>6302.93.2000</v>
      </c>
      <c r="G2367" s="8">
        <f>_xlfn.IFNA(INDEX('HS Codes'!$D$2:$K4921,MATCH($B2367,'HS Codes'!$A$2:$A4921,0),MATCH(G$1,'HS Codes'!$D$1:$K$1,0)),"")</f>
        <v>6302600090</v>
      </c>
      <c r="H2367" s="8" t="str">
        <f>_xlfn.IFNA(INDEX('HS Codes'!$D$2:$K4921,MATCH($B2367,'HS Codes'!$A$2:$A4921,0),MATCH(H$1,'HS Codes'!$D$1:$K$1,0)),"")</f>
        <v>6302.93.00.00</v>
      </c>
      <c r="I2367" s="8">
        <f>_xlfn.IFNA(INDEX('HS Codes'!$D$2:$K4921,MATCH($B2367,'HS Codes'!$A$2:$A4921,0),MATCH(I$1,'HS Codes'!$D$1:$K$1,0)),"")</f>
        <v>63029390</v>
      </c>
      <c r="J2367" s="8">
        <f>_xlfn.IFNA(INDEX('HS Codes'!$D$2:$K4921,MATCH($B2367,'HS Codes'!$A$2:$A4921,0),MATCH(J$1,'HS Codes'!$D$1:$K$1,0)),"")</f>
        <v>0</v>
      </c>
      <c r="K2367" s="8" t="str">
        <f>_xlfn.IFNA(INDEX('HS Codes'!$D$2:$K4921,MATCH($B2367,'HS Codes'!$A$2:$A4921,0),MATCH(K$1,'HS Codes'!$D$1:$K$1,0)),"")</f>
        <v>6302.39.00</v>
      </c>
      <c r="L2367" s="8">
        <f>_xlfn.IFNA(INDEX('HS Codes'!$D$2:$K4921,MATCH($B2367,'HS Codes'!$A$2:$A4921,0),MATCH(L$1,'HS Codes'!$D$1:$K$1,0)),"")</f>
        <v>63029120</v>
      </c>
      <c r="M2367" s="8" t="str">
        <f>_xlfn.IFNA(INDEX('HS Codes'!$C$2:$C4921,MATCH($B2367,'HS Codes'!$A$2:$A4921,0)),"")</f>
        <v>Beach Towel - Toilet Linen 100% recycled 220 GSM/83% polyester/17% polyamide includes cotton on the packing pouch drawstring</v>
      </c>
      <c r="N2367" s="9"/>
      <c r="O2367" s="9"/>
      <c r="P2367" s="9"/>
      <c r="Q2367" s="9"/>
    </row>
    <row r="2368" spans="1:17" ht="15.75" customHeight="1">
      <c r="A2368" s="7" t="s">
        <v>2660</v>
      </c>
      <c r="B2368" s="7" t="s">
        <v>164</v>
      </c>
      <c r="C2368" s="7" t="s">
        <v>278</v>
      </c>
      <c r="D2368" s="7" t="s">
        <v>165</v>
      </c>
      <c r="E2368" s="7" t="s">
        <v>348</v>
      </c>
      <c r="F2368" s="8" t="str">
        <f>_xlfn.IFNA(INDEX('HS Codes'!$D$2:$K4922,MATCH($B2368,'HS Codes'!$A$2:$A4922,0),MATCH(F$1,'HS Codes'!$D$1:$K$1,0)),"")</f>
        <v>6302.93.2000</v>
      </c>
      <c r="G2368" s="8">
        <f>_xlfn.IFNA(INDEX('HS Codes'!$D$2:$K4922,MATCH($B2368,'HS Codes'!$A$2:$A4922,0),MATCH(G$1,'HS Codes'!$D$1:$K$1,0)),"")</f>
        <v>6302600090</v>
      </c>
      <c r="H2368" s="8" t="str">
        <f>_xlfn.IFNA(INDEX('HS Codes'!$D$2:$K4922,MATCH($B2368,'HS Codes'!$A$2:$A4922,0),MATCH(H$1,'HS Codes'!$D$1:$K$1,0)),"")</f>
        <v>6302.93.00.00</v>
      </c>
      <c r="I2368" s="8">
        <f>_xlfn.IFNA(INDEX('HS Codes'!$D$2:$K4922,MATCH($B2368,'HS Codes'!$A$2:$A4922,0),MATCH(I$1,'HS Codes'!$D$1:$K$1,0)),"")</f>
        <v>63029390</v>
      </c>
      <c r="J2368" s="8">
        <f>_xlfn.IFNA(INDEX('HS Codes'!$D$2:$K4922,MATCH($B2368,'HS Codes'!$A$2:$A4922,0),MATCH(J$1,'HS Codes'!$D$1:$K$1,0)),"")</f>
        <v>0</v>
      </c>
      <c r="K2368" s="8" t="str">
        <f>_xlfn.IFNA(INDEX('HS Codes'!$D$2:$K4922,MATCH($B2368,'HS Codes'!$A$2:$A4922,0),MATCH(K$1,'HS Codes'!$D$1:$K$1,0)),"")</f>
        <v>6302.39.00</v>
      </c>
      <c r="L2368" s="8">
        <f>_xlfn.IFNA(INDEX('HS Codes'!$D$2:$K4922,MATCH($B2368,'HS Codes'!$A$2:$A4922,0),MATCH(L$1,'HS Codes'!$D$1:$K$1,0)),"")</f>
        <v>63029120</v>
      </c>
      <c r="M2368" s="8" t="str">
        <f>_xlfn.IFNA(INDEX('HS Codes'!$C$2:$C4922,MATCH($B2368,'HS Codes'!$A$2:$A4922,0)),"")</f>
        <v>Beach Towel - Toilet Linen 100% recycled 220 GSM/83% polyester/17% polyamide includes cotton on the packing pouch drawstring</v>
      </c>
      <c r="N2368" s="9"/>
      <c r="O2368" s="9"/>
      <c r="P2368" s="9"/>
      <c r="Q2368" s="9"/>
    </row>
    <row r="2369" spans="1:17" ht="15.75" customHeight="1">
      <c r="A2369" s="7" t="s">
        <v>2661</v>
      </c>
      <c r="B2369" s="7" t="s">
        <v>164</v>
      </c>
      <c r="C2369" s="7" t="s">
        <v>278</v>
      </c>
      <c r="D2369" s="7" t="s">
        <v>165</v>
      </c>
      <c r="E2369" s="7" t="s">
        <v>348</v>
      </c>
      <c r="F2369" s="8" t="str">
        <f>_xlfn.IFNA(INDEX('HS Codes'!$D$2:$K4923,MATCH($B2369,'HS Codes'!$A$2:$A4923,0),MATCH(F$1,'HS Codes'!$D$1:$K$1,0)),"")</f>
        <v>6302.93.2000</v>
      </c>
      <c r="G2369" s="8">
        <f>_xlfn.IFNA(INDEX('HS Codes'!$D$2:$K4923,MATCH($B2369,'HS Codes'!$A$2:$A4923,0),MATCH(G$1,'HS Codes'!$D$1:$K$1,0)),"")</f>
        <v>6302600090</v>
      </c>
      <c r="H2369" s="8" t="str">
        <f>_xlfn.IFNA(INDEX('HS Codes'!$D$2:$K4923,MATCH($B2369,'HS Codes'!$A$2:$A4923,0),MATCH(H$1,'HS Codes'!$D$1:$K$1,0)),"")</f>
        <v>6302.93.00.00</v>
      </c>
      <c r="I2369" s="8">
        <f>_xlfn.IFNA(INDEX('HS Codes'!$D$2:$K4923,MATCH($B2369,'HS Codes'!$A$2:$A4923,0),MATCH(I$1,'HS Codes'!$D$1:$K$1,0)),"")</f>
        <v>63029390</v>
      </c>
      <c r="J2369" s="8">
        <f>_xlfn.IFNA(INDEX('HS Codes'!$D$2:$K4923,MATCH($B2369,'HS Codes'!$A$2:$A4923,0),MATCH(J$1,'HS Codes'!$D$1:$K$1,0)),"")</f>
        <v>0</v>
      </c>
      <c r="K2369" s="8" t="str">
        <f>_xlfn.IFNA(INDEX('HS Codes'!$D$2:$K4923,MATCH($B2369,'HS Codes'!$A$2:$A4923,0),MATCH(K$1,'HS Codes'!$D$1:$K$1,0)),"")</f>
        <v>6302.39.00</v>
      </c>
      <c r="L2369" s="8">
        <f>_xlfn.IFNA(INDEX('HS Codes'!$D$2:$K4923,MATCH($B2369,'HS Codes'!$A$2:$A4923,0),MATCH(L$1,'HS Codes'!$D$1:$K$1,0)),"")</f>
        <v>63029120</v>
      </c>
      <c r="M2369" s="8" t="str">
        <f>_xlfn.IFNA(INDEX('HS Codes'!$C$2:$C4923,MATCH($B2369,'HS Codes'!$A$2:$A4923,0)),"")</f>
        <v>Beach Towel - Toilet Linen 100% recycled 220 GSM/83% polyester/17% polyamide includes cotton on the packing pouch drawstring</v>
      </c>
      <c r="N2369" s="9"/>
      <c r="O2369" s="9"/>
      <c r="P2369" s="9"/>
      <c r="Q2369" s="9"/>
    </row>
    <row r="2370" spans="1:17" ht="15.75" customHeight="1">
      <c r="A2370" s="7" t="s">
        <v>2662</v>
      </c>
      <c r="B2370" s="7" t="s">
        <v>164</v>
      </c>
      <c r="C2370" s="7" t="s">
        <v>278</v>
      </c>
      <c r="D2370" s="7" t="s">
        <v>165</v>
      </c>
      <c r="E2370" s="7" t="s">
        <v>348</v>
      </c>
      <c r="F2370" s="8" t="str">
        <f>_xlfn.IFNA(INDEX('HS Codes'!$D$2:$K4924,MATCH($B2370,'HS Codes'!$A$2:$A4924,0),MATCH(F$1,'HS Codes'!$D$1:$K$1,0)),"")</f>
        <v>6302.93.2000</v>
      </c>
      <c r="G2370" s="8">
        <f>_xlfn.IFNA(INDEX('HS Codes'!$D$2:$K4924,MATCH($B2370,'HS Codes'!$A$2:$A4924,0),MATCH(G$1,'HS Codes'!$D$1:$K$1,0)),"")</f>
        <v>6302600090</v>
      </c>
      <c r="H2370" s="8" t="str">
        <f>_xlfn.IFNA(INDEX('HS Codes'!$D$2:$K4924,MATCH($B2370,'HS Codes'!$A$2:$A4924,0),MATCH(H$1,'HS Codes'!$D$1:$K$1,0)),"")</f>
        <v>6302.93.00.00</v>
      </c>
      <c r="I2370" s="8">
        <f>_xlfn.IFNA(INDEX('HS Codes'!$D$2:$K4924,MATCH($B2370,'HS Codes'!$A$2:$A4924,0),MATCH(I$1,'HS Codes'!$D$1:$K$1,0)),"")</f>
        <v>63029390</v>
      </c>
      <c r="J2370" s="8">
        <f>_xlfn.IFNA(INDEX('HS Codes'!$D$2:$K4924,MATCH($B2370,'HS Codes'!$A$2:$A4924,0),MATCH(J$1,'HS Codes'!$D$1:$K$1,0)),"")</f>
        <v>0</v>
      </c>
      <c r="K2370" s="8" t="str">
        <f>_xlfn.IFNA(INDEX('HS Codes'!$D$2:$K4924,MATCH($B2370,'HS Codes'!$A$2:$A4924,0),MATCH(K$1,'HS Codes'!$D$1:$K$1,0)),"")</f>
        <v>6302.39.00</v>
      </c>
      <c r="L2370" s="8">
        <f>_xlfn.IFNA(INDEX('HS Codes'!$D$2:$K4924,MATCH($B2370,'HS Codes'!$A$2:$A4924,0),MATCH(L$1,'HS Codes'!$D$1:$K$1,0)),"")</f>
        <v>63029120</v>
      </c>
      <c r="M2370" s="8" t="str">
        <f>_xlfn.IFNA(INDEX('HS Codes'!$C$2:$C4924,MATCH($B2370,'HS Codes'!$A$2:$A4924,0)),"")</f>
        <v>Beach Towel - Toilet Linen 100% recycled 220 GSM/83% polyester/17% polyamide includes cotton on the packing pouch drawstring</v>
      </c>
      <c r="N2370" s="9"/>
      <c r="O2370" s="9"/>
      <c r="P2370" s="9"/>
      <c r="Q2370" s="9"/>
    </row>
    <row r="2371" spans="1:17" ht="15.75" customHeight="1">
      <c r="A2371" s="7" t="s">
        <v>2663</v>
      </c>
      <c r="B2371" s="7" t="s">
        <v>164</v>
      </c>
      <c r="C2371" s="7" t="s">
        <v>278</v>
      </c>
      <c r="D2371" s="7" t="s">
        <v>165</v>
      </c>
      <c r="E2371" s="7" t="s">
        <v>348</v>
      </c>
      <c r="F2371" s="8" t="str">
        <f>_xlfn.IFNA(INDEX('HS Codes'!$D$2:$K4925,MATCH($B2371,'HS Codes'!$A$2:$A4925,0),MATCH(F$1,'HS Codes'!$D$1:$K$1,0)),"")</f>
        <v>6302.93.2000</v>
      </c>
      <c r="G2371" s="8">
        <f>_xlfn.IFNA(INDEX('HS Codes'!$D$2:$K4925,MATCH($B2371,'HS Codes'!$A$2:$A4925,0),MATCH(G$1,'HS Codes'!$D$1:$K$1,0)),"")</f>
        <v>6302600090</v>
      </c>
      <c r="H2371" s="8" t="str">
        <f>_xlfn.IFNA(INDEX('HS Codes'!$D$2:$K4925,MATCH($B2371,'HS Codes'!$A$2:$A4925,0),MATCH(H$1,'HS Codes'!$D$1:$K$1,0)),"")</f>
        <v>6302.93.00.00</v>
      </c>
      <c r="I2371" s="8">
        <f>_xlfn.IFNA(INDEX('HS Codes'!$D$2:$K4925,MATCH($B2371,'HS Codes'!$A$2:$A4925,0),MATCH(I$1,'HS Codes'!$D$1:$K$1,0)),"")</f>
        <v>63029390</v>
      </c>
      <c r="J2371" s="8">
        <f>_xlfn.IFNA(INDEX('HS Codes'!$D$2:$K4925,MATCH($B2371,'HS Codes'!$A$2:$A4925,0),MATCH(J$1,'HS Codes'!$D$1:$K$1,0)),"")</f>
        <v>0</v>
      </c>
      <c r="K2371" s="8" t="str">
        <f>_xlfn.IFNA(INDEX('HS Codes'!$D$2:$K4925,MATCH($B2371,'HS Codes'!$A$2:$A4925,0),MATCH(K$1,'HS Codes'!$D$1:$K$1,0)),"")</f>
        <v>6302.39.00</v>
      </c>
      <c r="L2371" s="8">
        <f>_xlfn.IFNA(INDEX('HS Codes'!$D$2:$K4925,MATCH($B2371,'HS Codes'!$A$2:$A4925,0),MATCH(L$1,'HS Codes'!$D$1:$K$1,0)),"")</f>
        <v>63029120</v>
      </c>
      <c r="M2371" s="8" t="str">
        <f>_xlfn.IFNA(INDEX('HS Codes'!$C$2:$C4925,MATCH($B2371,'HS Codes'!$A$2:$A4925,0)),"")</f>
        <v>Beach Towel - Toilet Linen 100% recycled 220 GSM/83% polyester/17% polyamide includes cotton on the packing pouch drawstring</v>
      </c>
      <c r="N2371" s="9"/>
      <c r="O2371" s="9"/>
      <c r="P2371" s="9"/>
      <c r="Q2371" s="9"/>
    </row>
    <row r="2372" spans="1:17" ht="15.75" customHeight="1">
      <c r="A2372" s="7" t="s">
        <v>2664</v>
      </c>
      <c r="B2372" s="7" t="s">
        <v>169</v>
      </c>
      <c r="C2372" s="7" t="s">
        <v>278</v>
      </c>
      <c r="D2372" s="7" t="s">
        <v>170</v>
      </c>
      <c r="E2372" s="7" t="s">
        <v>348</v>
      </c>
      <c r="F2372" s="8" t="str">
        <f>_xlfn.IFNA(INDEX('HS Codes'!$D$2:$K4926,MATCH($B2372,'HS Codes'!$A$2:$A4926,0),MATCH(F$1,'HS Codes'!$D$1:$K$1,0)),"")</f>
        <v>6302.93.2000</v>
      </c>
      <c r="G2372" s="8">
        <f>_xlfn.IFNA(INDEX('HS Codes'!$D$2:$K4926,MATCH($B2372,'HS Codes'!$A$2:$A4926,0),MATCH(G$1,'HS Codes'!$D$1:$K$1,0)),"")</f>
        <v>6302600090</v>
      </c>
      <c r="H2372" s="8" t="str">
        <f>_xlfn.IFNA(INDEX('HS Codes'!$D$2:$K4926,MATCH($B2372,'HS Codes'!$A$2:$A4926,0),MATCH(H$1,'HS Codes'!$D$1:$K$1,0)),"")</f>
        <v>6302.93.00.00</v>
      </c>
      <c r="I2372" s="8">
        <f>_xlfn.IFNA(INDEX('HS Codes'!$D$2:$K4926,MATCH($B2372,'HS Codes'!$A$2:$A4926,0),MATCH(I$1,'HS Codes'!$D$1:$K$1,0)),"")</f>
        <v>6302939000</v>
      </c>
      <c r="J2372" s="8">
        <f>_xlfn.IFNA(INDEX('HS Codes'!$D$2:$K4926,MATCH($B2372,'HS Codes'!$A$2:$A4926,0),MATCH(J$1,'HS Codes'!$D$1:$K$1,0)),"")</f>
        <v>0</v>
      </c>
      <c r="K2372" s="8" t="str">
        <f>_xlfn.IFNA(INDEX('HS Codes'!$D$2:$K4926,MATCH($B2372,'HS Codes'!$A$2:$A4926,0),MATCH(K$1,'HS Codes'!$D$1:$K$1,0)),"")</f>
        <v>6302.39.00</v>
      </c>
      <c r="L2372" s="8">
        <f>_xlfn.IFNA(INDEX('HS Codes'!$D$2:$K4926,MATCH($B2372,'HS Codes'!$A$2:$A4926,0),MATCH(L$1,'HS Codes'!$D$1:$K$1,0)),"")</f>
        <v>63029120</v>
      </c>
      <c r="M2372" s="8" t="str">
        <f>_xlfn.IFNA(INDEX('HS Codes'!$C$2:$C4926,MATCH($B2372,'HS Codes'!$A$2:$A4926,0)),"")</f>
        <v>Fitness Towels - Toilet Linen 100% recycled 220 GSM/83% polyester/17% polyamide (no cotton)</v>
      </c>
      <c r="N2372" s="9"/>
      <c r="O2372" s="9"/>
      <c r="P2372" s="9"/>
      <c r="Q2372" s="9"/>
    </row>
    <row r="2373" spans="1:17" ht="15.75" customHeight="1">
      <c r="A2373" s="7" t="s">
        <v>2665</v>
      </c>
      <c r="B2373" s="7" t="s">
        <v>169</v>
      </c>
      <c r="C2373" s="7" t="s">
        <v>278</v>
      </c>
      <c r="D2373" s="7" t="s">
        <v>170</v>
      </c>
      <c r="E2373" s="7" t="s">
        <v>348</v>
      </c>
      <c r="F2373" s="8" t="str">
        <f>_xlfn.IFNA(INDEX('HS Codes'!$D$2:$K4927,MATCH($B2373,'HS Codes'!$A$2:$A4927,0),MATCH(F$1,'HS Codes'!$D$1:$K$1,0)),"")</f>
        <v>6302.93.2000</v>
      </c>
      <c r="G2373" s="8">
        <f>_xlfn.IFNA(INDEX('HS Codes'!$D$2:$K4927,MATCH($B2373,'HS Codes'!$A$2:$A4927,0),MATCH(G$1,'HS Codes'!$D$1:$K$1,0)),"")</f>
        <v>6302600090</v>
      </c>
      <c r="H2373" s="8" t="str">
        <f>_xlfn.IFNA(INDEX('HS Codes'!$D$2:$K4927,MATCH($B2373,'HS Codes'!$A$2:$A4927,0),MATCH(H$1,'HS Codes'!$D$1:$K$1,0)),"")</f>
        <v>6302.93.00.00</v>
      </c>
      <c r="I2373" s="8">
        <f>_xlfn.IFNA(INDEX('HS Codes'!$D$2:$K4927,MATCH($B2373,'HS Codes'!$A$2:$A4927,0),MATCH(I$1,'HS Codes'!$D$1:$K$1,0)),"")</f>
        <v>6302939000</v>
      </c>
      <c r="J2373" s="8">
        <f>_xlfn.IFNA(INDEX('HS Codes'!$D$2:$K4927,MATCH($B2373,'HS Codes'!$A$2:$A4927,0),MATCH(J$1,'HS Codes'!$D$1:$K$1,0)),"")</f>
        <v>0</v>
      </c>
      <c r="K2373" s="8" t="str">
        <f>_xlfn.IFNA(INDEX('HS Codes'!$D$2:$K4927,MATCH($B2373,'HS Codes'!$A$2:$A4927,0),MATCH(K$1,'HS Codes'!$D$1:$K$1,0)),"")</f>
        <v>6302.39.00</v>
      </c>
      <c r="L2373" s="8">
        <f>_xlfn.IFNA(INDEX('HS Codes'!$D$2:$K4927,MATCH($B2373,'HS Codes'!$A$2:$A4927,0),MATCH(L$1,'HS Codes'!$D$1:$K$1,0)),"")</f>
        <v>63029120</v>
      </c>
      <c r="M2373" s="8" t="str">
        <f>_xlfn.IFNA(INDEX('HS Codes'!$C$2:$C4927,MATCH($B2373,'HS Codes'!$A$2:$A4927,0)),"")</f>
        <v>Fitness Towels - Toilet Linen 100% recycled 220 GSM/83% polyester/17% polyamide (no cotton)</v>
      </c>
      <c r="N2373" s="9"/>
      <c r="O2373" s="9"/>
      <c r="P2373" s="9"/>
      <c r="Q2373" s="9"/>
    </row>
    <row r="2374" spans="1:17" ht="15.75" customHeight="1">
      <c r="A2374" s="7" t="s">
        <v>2666</v>
      </c>
      <c r="B2374" s="7" t="s">
        <v>169</v>
      </c>
      <c r="C2374" s="7" t="s">
        <v>278</v>
      </c>
      <c r="D2374" s="7" t="s">
        <v>170</v>
      </c>
      <c r="E2374" s="7" t="s">
        <v>348</v>
      </c>
      <c r="F2374" s="8" t="str">
        <f>_xlfn.IFNA(INDEX('HS Codes'!$D$2:$K4928,MATCH($B2374,'HS Codes'!$A$2:$A4928,0),MATCH(F$1,'HS Codes'!$D$1:$K$1,0)),"")</f>
        <v>6302.93.2000</v>
      </c>
      <c r="G2374" s="8">
        <f>_xlfn.IFNA(INDEX('HS Codes'!$D$2:$K4928,MATCH($B2374,'HS Codes'!$A$2:$A4928,0),MATCH(G$1,'HS Codes'!$D$1:$K$1,0)),"")</f>
        <v>6302600090</v>
      </c>
      <c r="H2374" s="8" t="str">
        <f>_xlfn.IFNA(INDEX('HS Codes'!$D$2:$K4928,MATCH($B2374,'HS Codes'!$A$2:$A4928,0),MATCH(H$1,'HS Codes'!$D$1:$K$1,0)),"")</f>
        <v>6302.93.00.00</v>
      </c>
      <c r="I2374" s="8">
        <f>_xlfn.IFNA(INDEX('HS Codes'!$D$2:$K4928,MATCH($B2374,'HS Codes'!$A$2:$A4928,0),MATCH(I$1,'HS Codes'!$D$1:$K$1,0)),"")</f>
        <v>6302939000</v>
      </c>
      <c r="J2374" s="8">
        <f>_xlfn.IFNA(INDEX('HS Codes'!$D$2:$K4928,MATCH($B2374,'HS Codes'!$A$2:$A4928,0),MATCH(J$1,'HS Codes'!$D$1:$K$1,0)),"")</f>
        <v>0</v>
      </c>
      <c r="K2374" s="8" t="str">
        <f>_xlfn.IFNA(INDEX('HS Codes'!$D$2:$K4928,MATCH($B2374,'HS Codes'!$A$2:$A4928,0),MATCH(K$1,'HS Codes'!$D$1:$K$1,0)),"")</f>
        <v>6302.39.00</v>
      </c>
      <c r="L2374" s="8">
        <f>_xlfn.IFNA(INDEX('HS Codes'!$D$2:$K4928,MATCH($B2374,'HS Codes'!$A$2:$A4928,0),MATCH(L$1,'HS Codes'!$D$1:$K$1,0)),"")</f>
        <v>63029120</v>
      </c>
      <c r="M2374" s="8" t="str">
        <f>_xlfn.IFNA(INDEX('HS Codes'!$C$2:$C4928,MATCH($B2374,'HS Codes'!$A$2:$A4928,0)),"")</f>
        <v>Fitness Towels - Toilet Linen 100% recycled 220 GSM/83% polyester/17% polyamide (no cotton)</v>
      </c>
      <c r="N2374" s="9"/>
      <c r="O2374" s="9"/>
      <c r="P2374" s="9"/>
      <c r="Q2374" s="9"/>
    </row>
    <row r="2375" spans="1:17" ht="15.75" customHeight="1">
      <c r="A2375" s="7" t="s">
        <v>2667</v>
      </c>
      <c r="B2375" s="7" t="s">
        <v>169</v>
      </c>
      <c r="C2375" s="7" t="s">
        <v>278</v>
      </c>
      <c r="D2375" s="7" t="s">
        <v>170</v>
      </c>
      <c r="E2375" s="7" t="s">
        <v>348</v>
      </c>
      <c r="F2375" s="8" t="str">
        <f>_xlfn.IFNA(INDEX('HS Codes'!$D$2:$K4929,MATCH($B2375,'HS Codes'!$A$2:$A4929,0),MATCH(F$1,'HS Codes'!$D$1:$K$1,0)),"")</f>
        <v>6302.93.2000</v>
      </c>
      <c r="G2375" s="8">
        <f>_xlfn.IFNA(INDEX('HS Codes'!$D$2:$K4929,MATCH($B2375,'HS Codes'!$A$2:$A4929,0),MATCH(G$1,'HS Codes'!$D$1:$K$1,0)),"")</f>
        <v>6302600090</v>
      </c>
      <c r="H2375" s="8" t="str">
        <f>_xlfn.IFNA(INDEX('HS Codes'!$D$2:$K4929,MATCH($B2375,'HS Codes'!$A$2:$A4929,0),MATCH(H$1,'HS Codes'!$D$1:$K$1,0)),"")</f>
        <v>6302.93.00.00</v>
      </c>
      <c r="I2375" s="8">
        <f>_xlfn.IFNA(INDEX('HS Codes'!$D$2:$K4929,MATCH($B2375,'HS Codes'!$A$2:$A4929,0),MATCH(I$1,'HS Codes'!$D$1:$K$1,0)),"")</f>
        <v>6302939000</v>
      </c>
      <c r="J2375" s="8">
        <f>_xlfn.IFNA(INDEX('HS Codes'!$D$2:$K4929,MATCH($B2375,'HS Codes'!$A$2:$A4929,0),MATCH(J$1,'HS Codes'!$D$1:$K$1,0)),"")</f>
        <v>0</v>
      </c>
      <c r="K2375" s="8" t="str">
        <f>_xlfn.IFNA(INDEX('HS Codes'!$D$2:$K4929,MATCH($B2375,'HS Codes'!$A$2:$A4929,0),MATCH(K$1,'HS Codes'!$D$1:$K$1,0)),"")</f>
        <v>6302.39.00</v>
      </c>
      <c r="L2375" s="8">
        <f>_xlfn.IFNA(INDEX('HS Codes'!$D$2:$K4929,MATCH($B2375,'HS Codes'!$A$2:$A4929,0),MATCH(L$1,'HS Codes'!$D$1:$K$1,0)),"")</f>
        <v>63029120</v>
      </c>
      <c r="M2375" s="8" t="str">
        <f>_xlfn.IFNA(INDEX('HS Codes'!$C$2:$C4929,MATCH($B2375,'HS Codes'!$A$2:$A4929,0)),"")</f>
        <v>Fitness Towels - Toilet Linen 100% recycled 220 GSM/83% polyester/17% polyamide (no cotton)</v>
      </c>
      <c r="N2375" s="9"/>
      <c r="O2375" s="9"/>
      <c r="P2375" s="9"/>
      <c r="Q2375" s="9"/>
    </row>
    <row r="2376" spans="1:17" ht="15.75" customHeight="1">
      <c r="A2376" s="7" t="s">
        <v>2668</v>
      </c>
      <c r="B2376" s="7" t="s">
        <v>169</v>
      </c>
      <c r="C2376" s="7" t="s">
        <v>278</v>
      </c>
      <c r="D2376" s="7" t="s">
        <v>170</v>
      </c>
      <c r="E2376" s="7" t="s">
        <v>348</v>
      </c>
      <c r="F2376" s="8" t="str">
        <f>_xlfn.IFNA(INDEX('HS Codes'!$D$2:$K4930,MATCH($B2376,'HS Codes'!$A$2:$A4930,0),MATCH(F$1,'HS Codes'!$D$1:$K$1,0)),"")</f>
        <v>6302.93.2000</v>
      </c>
      <c r="G2376" s="8">
        <f>_xlfn.IFNA(INDEX('HS Codes'!$D$2:$K4930,MATCH($B2376,'HS Codes'!$A$2:$A4930,0),MATCH(G$1,'HS Codes'!$D$1:$K$1,0)),"")</f>
        <v>6302600090</v>
      </c>
      <c r="H2376" s="8" t="str">
        <f>_xlfn.IFNA(INDEX('HS Codes'!$D$2:$K4930,MATCH($B2376,'HS Codes'!$A$2:$A4930,0),MATCH(H$1,'HS Codes'!$D$1:$K$1,0)),"")</f>
        <v>6302.93.00.00</v>
      </c>
      <c r="I2376" s="8">
        <f>_xlfn.IFNA(INDEX('HS Codes'!$D$2:$K4930,MATCH($B2376,'HS Codes'!$A$2:$A4930,0),MATCH(I$1,'HS Codes'!$D$1:$K$1,0)),"")</f>
        <v>6302939000</v>
      </c>
      <c r="J2376" s="8">
        <f>_xlfn.IFNA(INDEX('HS Codes'!$D$2:$K4930,MATCH($B2376,'HS Codes'!$A$2:$A4930,0),MATCH(J$1,'HS Codes'!$D$1:$K$1,0)),"")</f>
        <v>0</v>
      </c>
      <c r="K2376" s="8" t="str">
        <f>_xlfn.IFNA(INDEX('HS Codes'!$D$2:$K4930,MATCH($B2376,'HS Codes'!$A$2:$A4930,0),MATCH(K$1,'HS Codes'!$D$1:$K$1,0)),"")</f>
        <v>6302.39.00</v>
      </c>
      <c r="L2376" s="8">
        <f>_xlfn.IFNA(INDEX('HS Codes'!$D$2:$K4930,MATCH($B2376,'HS Codes'!$A$2:$A4930,0),MATCH(L$1,'HS Codes'!$D$1:$K$1,0)),"")</f>
        <v>63029120</v>
      </c>
      <c r="M2376" s="8" t="str">
        <f>_xlfn.IFNA(INDEX('HS Codes'!$C$2:$C4930,MATCH($B2376,'HS Codes'!$A$2:$A4930,0)),"")</f>
        <v>Fitness Towels - Toilet Linen 100% recycled 220 GSM/83% polyester/17% polyamide (no cotton)</v>
      </c>
      <c r="N2376" s="9"/>
      <c r="O2376" s="9"/>
      <c r="P2376" s="9"/>
      <c r="Q2376" s="9"/>
    </row>
    <row r="2377" spans="1:17" ht="15.75" customHeight="1">
      <c r="A2377" s="7" t="s">
        <v>2669</v>
      </c>
      <c r="B2377" s="7" t="s">
        <v>169</v>
      </c>
      <c r="C2377" s="7" t="s">
        <v>278</v>
      </c>
      <c r="D2377" s="7" t="s">
        <v>170</v>
      </c>
      <c r="E2377" s="7" t="s">
        <v>348</v>
      </c>
      <c r="F2377" s="8" t="str">
        <f>_xlfn.IFNA(INDEX('HS Codes'!$D$2:$K4931,MATCH($B2377,'HS Codes'!$A$2:$A4931,0),MATCH(F$1,'HS Codes'!$D$1:$K$1,0)),"")</f>
        <v>6302.93.2000</v>
      </c>
      <c r="G2377" s="8">
        <f>_xlfn.IFNA(INDEX('HS Codes'!$D$2:$K4931,MATCH($B2377,'HS Codes'!$A$2:$A4931,0),MATCH(G$1,'HS Codes'!$D$1:$K$1,0)),"")</f>
        <v>6302600090</v>
      </c>
      <c r="H2377" s="8" t="str">
        <f>_xlfn.IFNA(INDEX('HS Codes'!$D$2:$K4931,MATCH($B2377,'HS Codes'!$A$2:$A4931,0),MATCH(H$1,'HS Codes'!$D$1:$K$1,0)),"")</f>
        <v>6302.93.00.00</v>
      </c>
      <c r="I2377" s="8">
        <f>_xlfn.IFNA(INDEX('HS Codes'!$D$2:$K4931,MATCH($B2377,'HS Codes'!$A$2:$A4931,0),MATCH(I$1,'HS Codes'!$D$1:$K$1,0)),"")</f>
        <v>6302939000</v>
      </c>
      <c r="J2377" s="8">
        <f>_xlfn.IFNA(INDEX('HS Codes'!$D$2:$K4931,MATCH($B2377,'HS Codes'!$A$2:$A4931,0),MATCH(J$1,'HS Codes'!$D$1:$K$1,0)),"")</f>
        <v>0</v>
      </c>
      <c r="K2377" s="8" t="str">
        <f>_xlfn.IFNA(INDEX('HS Codes'!$D$2:$K4931,MATCH($B2377,'HS Codes'!$A$2:$A4931,0),MATCH(K$1,'HS Codes'!$D$1:$K$1,0)),"")</f>
        <v>6302.39.00</v>
      </c>
      <c r="L2377" s="8">
        <f>_xlfn.IFNA(INDEX('HS Codes'!$D$2:$K4931,MATCH($B2377,'HS Codes'!$A$2:$A4931,0),MATCH(L$1,'HS Codes'!$D$1:$K$1,0)),"")</f>
        <v>63029120</v>
      </c>
      <c r="M2377" s="8" t="str">
        <f>_xlfn.IFNA(INDEX('HS Codes'!$C$2:$C4931,MATCH($B2377,'HS Codes'!$A$2:$A4931,0)),"")</f>
        <v>Fitness Towels - Toilet Linen 100% recycled 220 GSM/83% polyester/17% polyamide (no cotton)</v>
      </c>
      <c r="N2377" s="9"/>
      <c r="O2377" s="9"/>
      <c r="P2377" s="9"/>
      <c r="Q2377" s="9"/>
    </row>
    <row r="2378" spans="1:17" ht="15.75" customHeight="1">
      <c r="A2378" s="7" t="s">
        <v>2670</v>
      </c>
      <c r="B2378" s="7" t="s">
        <v>169</v>
      </c>
      <c r="C2378" s="7" t="s">
        <v>278</v>
      </c>
      <c r="D2378" s="7" t="s">
        <v>170</v>
      </c>
      <c r="E2378" s="7" t="s">
        <v>348</v>
      </c>
      <c r="F2378" s="8" t="str">
        <f>_xlfn.IFNA(INDEX('HS Codes'!$D$2:$K4932,MATCH($B2378,'HS Codes'!$A$2:$A4932,0),MATCH(F$1,'HS Codes'!$D$1:$K$1,0)),"")</f>
        <v>6302.93.2000</v>
      </c>
      <c r="G2378" s="8">
        <f>_xlfn.IFNA(INDEX('HS Codes'!$D$2:$K4932,MATCH($B2378,'HS Codes'!$A$2:$A4932,0),MATCH(G$1,'HS Codes'!$D$1:$K$1,0)),"")</f>
        <v>6302600090</v>
      </c>
      <c r="H2378" s="8" t="str">
        <f>_xlfn.IFNA(INDEX('HS Codes'!$D$2:$K4932,MATCH($B2378,'HS Codes'!$A$2:$A4932,0),MATCH(H$1,'HS Codes'!$D$1:$K$1,0)),"")</f>
        <v>6302.93.00.00</v>
      </c>
      <c r="I2378" s="8">
        <f>_xlfn.IFNA(INDEX('HS Codes'!$D$2:$K4932,MATCH($B2378,'HS Codes'!$A$2:$A4932,0),MATCH(I$1,'HS Codes'!$D$1:$K$1,0)),"")</f>
        <v>6302939000</v>
      </c>
      <c r="J2378" s="8">
        <f>_xlfn.IFNA(INDEX('HS Codes'!$D$2:$K4932,MATCH($B2378,'HS Codes'!$A$2:$A4932,0),MATCH(J$1,'HS Codes'!$D$1:$K$1,0)),"")</f>
        <v>0</v>
      </c>
      <c r="K2378" s="8" t="str">
        <f>_xlfn.IFNA(INDEX('HS Codes'!$D$2:$K4932,MATCH($B2378,'HS Codes'!$A$2:$A4932,0),MATCH(K$1,'HS Codes'!$D$1:$K$1,0)),"")</f>
        <v>6302.39.00</v>
      </c>
      <c r="L2378" s="8">
        <f>_xlfn.IFNA(INDEX('HS Codes'!$D$2:$K4932,MATCH($B2378,'HS Codes'!$A$2:$A4932,0),MATCH(L$1,'HS Codes'!$D$1:$K$1,0)),"")</f>
        <v>63029120</v>
      </c>
      <c r="M2378" s="8" t="str">
        <f>_xlfn.IFNA(INDEX('HS Codes'!$C$2:$C4932,MATCH($B2378,'HS Codes'!$A$2:$A4932,0)),"")</f>
        <v>Fitness Towels - Toilet Linen 100% recycled 220 GSM/83% polyester/17% polyamide (no cotton)</v>
      </c>
      <c r="N2378" s="9"/>
      <c r="O2378" s="9"/>
      <c r="P2378" s="9"/>
      <c r="Q2378" s="9"/>
    </row>
    <row r="2379" spans="1:17" ht="15.75" customHeight="1">
      <c r="A2379" s="7" t="s">
        <v>2671</v>
      </c>
      <c r="B2379" s="7" t="s">
        <v>169</v>
      </c>
      <c r="C2379" s="7" t="s">
        <v>278</v>
      </c>
      <c r="D2379" s="7" t="s">
        <v>170</v>
      </c>
      <c r="E2379" s="7" t="s">
        <v>348</v>
      </c>
      <c r="F2379" s="8" t="str">
        <f>_xlfn.IFNA(INDEX('HS Codes'!$D$2:$K4933,MATCH($B2379,'HS Codes'!$A$2:$A4933,0),MATCH(F$1,'HS Codes'!$D$1:$K$1,0)),"")</f>
        <v>6302.93.2000</v>
      </c>
      <c r="G2379" s="8">
        <f>_xlfn.IFNA(INDEX('HS Codes'!$D$2:$K4933,MATCH($B2379,'HS Codes'!$A$2:$A4933,0),MATCH(G$1,'HS Codes'!$D$1:$K$1,0)),"")</f>
        <v>6302600090</v>
      </c>
      <c r="H2379" s="8" t="str">
        <f>_xlfn.IFNA(INDEX('HS Codes'!$D$2:$K4933,MATCH($B2379,'HS Codes'!$A$2:$A4933,0),MATCH(H$1,'HS Codes'!$D$1:$K$1,0)),"")</f>
        <v>6302.93.00.00</v>
      </c>
      <c r="I2379" s="8">
        <f>_xlfn.IFNA(INDEX('HS Codes'!$D$2:$K4933,MATCH($B2379,'HS Codes'!$A$2:$A4933,0),MATCH(I$1,'HS Codes'!$D$1:$K$1,0)),"")</f>
        <v>6302939000</v>
      </c>
      <c r="J2379" s="8">
        <f>_xlfn.IFNA(INDEX('HS Codes'!$D$2:$K4933,MATCH($B2379,'HS Codes'!$A$2:$A4933,0),MATCH(J$1,'HS Codes'!$D$1:$K$1,0)),"")</f>
        <v>0</v>
      </c>
      <c r="K2379" s="8" t="str">
        <f>_xlfn.IFNA(INDEX('HS Codes'!$D$2:$K4933,MATCH($B2379,'HS Codes'!$A$2:$A4933,0),MATCH(K$1,'HS Codes'!$D$1:$K$1,0)),"")</f>
        <v>6302.39.00</v>
      </c>
      <c r="L2379" s="8">
        <f>_xlfn.IFNA(INDEX('HS Codes'!$D$2:$K4933,MATCH($B2379,'HS Codes'!$A$2:$A4933,0),MATCH(L$1,'HS Codes'!$D$1:$K$1,0)),"")</f>
        <v>63029120</v>
      </c>
      <c r="M2379" s="8" t="str">
        <f>_xlfn.IFNA(INDEX('HS Codes'!$C$2:$C4933,MATCH($B2379,'HS Codes'!$A$2:$A4933,0)),"")</f>
        <v>Fitness Towels - Toilet Linen 100% recycled 220 GSM/83% polyester/17% polyamide (no cotton)</v>
      </c>
      <c r="N2379" s="9"/>
      <c r="O2379" s="9"/>
      <c r="P2379" s="9"/>
      <c r="Q2379" s="9"/>
    </row>
    <row r="2380" spans="1:17" ht="15.75" customHeight="1">
      <c r="A2380" s="7" t="s">
        <v>2672</v>
      </c>
      <c r="B2380" s="7" t="s">
        <v>169</v>
      </c>
      <c r="C2380" s="7" t="s">
        <v>278</v>
      </c>
      <c r="D2380" s="7" t="s">
        <v>170</v>
      </c>
      <c r="E2380" s="7" t="s">
        <v>348</v>
      </c>
      <c r="F2380" s="8" t="str">
        <f>_xlfn.IFNA(INDEX('HS Codes'!$D$2:$K4934,MATCH($B2380,'HS Codes'!$A$2:$A4934,0),MATCH(F$1,'HS Codes'!$D$1:$K$1,0)),"")</f>
        <v>6302.93.2000</v>
      </c>
      <c r="G2380" s="8">
        <f>_xlfn.IFNA(INDEX('HS Codes'!$D$2:$K4934,MATCH($B2380,'HS Codes'!$A$2:$A4934,0),MATCH(G$1,'HS Codes'!$D$1:$K$1,0)),"")</f>
        <v>6302600090</v>
      </c>
      <c r="H2380" s="8" t="str">
        <f>_xlfn.IFNA(INDEX('HS Codes'!$D$2:$K4934,MATCH($B2380,'HS Codes'!$A$2:$A4934,0),MATCH(H$1,'HS Codes'!$D$1:$K$1,0)),"")</f>
        <v>6302.93.00.00</v>
      </c>
      <c r="I2380" s="8">
        <f>_xlfn.IFNA(INDEX('HS Codes'!$D$2:$K4934,MATCH($B2380,'HS Codes'!$A$2:$A4934,0),MATCH(I$1,'HS Codes'!$D$1:$K$1,0)),"")</f>
        <v>6302939000</v>
      </c>
      <c r="J2380" s="8">
        <f>_xlfn.IFNA(INDEX('HS Codes'!$D$2:$K4934,MATCH($B2380,'HS Codes'!$A$2:$A4934,0),MATCH(J$1,'HS Codes'!$D$1:$K$1,0)),"")</f>
        <v>0</v>
      </c>
      <c r="K2380" s="8" t="str">
        <f>_xlfn.IFNA(INDEX('HS Codes'!$D$2:$K4934,MATCH($B2380,'HS Codes'!$A$2:$A4934,0),MATCH(K$1,'HS Codes'!$D$1:$K$1,0)),"")</f>
        <v>6302.39.00</v>
      </c>
      <c r="L2380" s="8">
        <f>_xlfn.IFNA(INDEX('HS Codes'!$D$2:$K4934,MATCH($B2380,'HS Codes'!$A$2:$A4934,0),MATCH(L$1,'HS Codes'!$D$1:$K$1,0)),"")</f>
        <v>63029120</v>
      </c>
      <c r="M2380" s="8" t="str">
        <f>_xlfn.IFNA(INDEX('HS Codes'!$C$2:$C4934,MATCH($B2380,'HS Codes'!$A$2:$A4934,0)),"")</f>
        <v>Fitness Towels - Toilet Linen 100% recycled 220 GSM/83% polyester/17% polyamide (no cotton)</v>
      </c>
      <c r="N2380" s="9"/>
      <c r="O2380" s="9"/>
      <c r="P2380" s="9"/>
      <c r="Q2380" s="9"/>
    </row>
    <row r="2381" spans="1:17" ht="15.75" customHeight="1">
      <c r="A2381" s="7" t="s">
        <v>2673</v>
      </c>
      <c r="B2381" s="7" t="s">
        <v>169</v>
      </c>
      <c r="C2381" s="7" t="s">
        <v>278</v>
      </c>
      <c r="D2381" s="7" t="s">
        <v>170</v>
      </c>
      <c r="E2381" s="7" t="s">
        <v>348</v>
      </c>
      <c r="F2381" s="8" t="str">
        <f>_xlfn.IFNA(INDEX('HS Codes'!$D$2:$K4935,MATCH($B2381,'HS Codes'!$A$2:$A4935,0),MATCH(F$1,'HS Codes'!$D$1:$K$1,0)),"")</f>
        <v>6302.93.2000</v>
      </c>
      <c r="G2381" s="8">
        <f>_xlfn.IFNA(INDEX('HS Codes'!$D$2:$K4935,MATCH($B2381,'HS Codes'!$A$2:$A4935,0),MATCH(G$1,'HS Codes'!$D$1:$K$1,0)),"")</f>
        <v>6302600090</v>
      </c>
      <c r="H2381" s="8" t="str">
        <f>_xlfn.IFNA(INDEX('HS Codes'!$D$2:$K4935,MATCH($B2381,'HS Codes'!$A$2:$A4935,0),MATCH(H$1,'HS Codes'!$D$1:$K$1,0)),"")</f>
        <v>6302.93.00.00</v>
      </c>
      <c r="I2381" s="8">
        <f>_xlfn.IFNA(INDEX('HS Codes'!$D$2:$K4935,MATCH($B2381,'HS Codes'!$A$2:$A4935,0),MATCH(I$1,'HS Codes'!$D$1:$K$1,0)),"")</f>
        <v>6302939000</v>
      </c>
      <c r="J2381" s="8">
        <f>_xlfn.IFNA(INDEX('HS Codes'!$D$2:$K4935,MATCH($B2381,'HS Codes'!$A$2:$A4935,0),MATCH(J$1,'HS Codes'!$D$1:$K$1,0)),"")</f>
        <v>0</v>
      </c>
      <c r="K2381" s="8" t="str">
        <f>_xlfn.IFNA(INDEX('HS Codes'!$D$2:$K4935,MATCH($B2381,'HS Codes'!$A$2:$A4935,0),MATCH(K$1,'HS Codes'!$D$1:$K$1,0)),"")</f>
        <v>6302.39.00</v>
      </c>
      <c r="L2381" s="8">
        <f>_xlfn.IFNA(INDEX('HS Codes'!$D$2:$K4935,MATCH($B2381,'HS Codes'!$A$2:$A4935,0),MATCH(L$1,'HS Codes'!$D$1:$K$1,0)),"")</f>
        <v>63029120</v>
      </c>
      <c r="M2381" s="8" t="str">
        <f>_xlfn.IFNA(INDEX('HS Codes'!$C$2:$C4935,MATCH($B2381,'HS Codes'!$A$2:$A4935,0)),"")</f>
        <v>Fitness Towels - Toilet Linen 100% recycled 220 GSM/83% polyester/17% polyamide (no cotton)</v>
      </c>
      <c r="N2381" s="9"/>
      <c r="O2381" s="9"/>
      <c r="P2381" s="9"/>
      <c r="Q2381" s="9"/>
    </row>
    <row r="2382" spans="1:17" ht="15.75" customHeight="1">
      <c r="A2382" s="7" t="s">
        <v>2674</v>
      </c>
      <c r="B2382" s="7" t="s">
        <v>169</v>
      </c>
      <c r="C2382" s="7" t="s">
        <v>278</v>
      </c>
      <c r="D2382" s="7" t="s">
        <v>170</v>
      </c>
      <c r="E2382" s="7" t="s">
        <v>348</v>
      </c>
      <c r="F2382" s="8" t="str">
        <f>_xlfn.IFNA(INDEX('HS Codes'!$D$2:$K4936,MATCH($B2382,'HS Codes'!$A$2:$A4936,0),MATCH(F$1,'HS Codes'!$D$1:$K$1,0)),"")</f>
        <v>6302.93.2000</v>
      </c>
      <c r="G2382" s="8">
        <f>_xlfn.IFNA(INDEX('HS Codes'!$D$2:$K4936,MATCH($B2382,'HS Codes'!$A$2:$A4936,0),MATCH(G$1,'HS Codes'!$D$1:$K$1,0)),"")</f>
        <v>6302600090</v>
      </c>
      <c r="H2382" s="8" t="str">
        <f>_xlfn.IFNA(INDEX('HS Codes'!$D$2:$K4936,MATCH($B2382,'HS Codes'!$A$2:$A4936,0),MATCH(H$1,'HS Codes'!$D$1:$K$1,0)),"")</f>
        <v>6302.93.00.00</v>
      </c>
      <c r="I2382" s="8">
        <f>_xlfn.IFNA(INDEX('HS Codes'!$D$2:$K4936,MATCH($B2382,'HS Codes'!$A$2:$A4936,0),MATCH(I$1,'HS Codes'!$D$1:$K$1,0)),"")</f>
        <v>6302939000</v>
      </c>
      <c r="J2382" s="8">
        <f>_xlfn.IFNA(INDEX('HS Codes'!$D$2:$K4936,MATCH($B2382,'HS Codes'!$A$2:$A4936,0),MATCH(J$1,'HS Codes'!$D$1:$K$1,0)),"")</f>
        <v>0</v>
      </c>
      <c r="K2382" s="8" t="str">
        <f>_xlfn.IFNA(INDEX('HS Codes'!$D$2:$K4936,MATCH($B2382,'HS Codes'!$A$2:$A4936,0),MATCH(K$1,'HS Codes'!$D$1:$K$1,0)),"")</f>
        <v>6302.39.00</v>
      </c>
      <c r="L2382" s="8">
        <f>_xlfn.IFNA(INDEX('HS Codes'!$D$2:$K4936,MATCH($B2382,'HS Codes'!$A$2:$A4936,0),MATCH(L$1,'HS Codes'!$D$1:$K$1,0)),"")</f>
        <v>63029120</v>
      </c>
      <c r="M2382" s="8" t="str">
        <f>_xlfn.IFNA(INDEX('HS Codes'!$C$2:$C4936,MATCH($B2382,'HS Codes'!$A$2:$A4936,0)),"")</f>
        <v>Fitness Towels - Toilet Linen 100% recycled 220 GSM/83% polyester/17% polyamide (no cotton)</v>
      </c>
      <c r="N2382" s="9"/>
      <c r="O2382" s="9"/>
      <c r="P2382" s="9"/>
      <c r="Q2382" s="9"/>
    </row>
    <row r="2383" spans="1:17" ht="15.75" customHeight="1">
      <c r="A2383" s="7" t="s">
        <v>2675</v>
      </c>
      <c r="B2383" s="7" t="s">
        <v>169</v>
      </c>
      <c r="C2383" s="7" t="s">
        <v>278</v>
      </c>
      <c r="D2383" s="7" t="s">
        <v>170</v>
      </c>
      <c r="E2383" s="7" t="s">
        <v>348</v>
      </c>
      <c r="F2383" s="8" t="str">
        <f>_xlfn.IFNA(INDEX('HS Codes'!$D$2:$K4937,MATCH($B2383,'HS Codes'!$A$2:$A4937,0),MATCH(F$1,'HS Codes'!$D$1:$K$1,0)),"")</f>
        <v>6302.93.2000</v>
      </c>
      <c r="G2383" s="8">
        <f>_xlfn.IFNA(INDEX('HS Codes'!$D$2:$K4937,MATCH($B2383,'HS Codes'!$A$2:$A4937,0),MATCH(G$1,'HS Codes'!$D$1:$K$1,0)),"")</f>
        <v>6302600090</v>
      </c>
      <c r="H2383" s="8" t="str">
        <f>_xlfn.IFNA(INDEX('HS Codes'!$D$2:$K4937,MATCH($B2383,'HS Codes'!$A$2:$A4937,0),MATCH(H$1,'HS Codes'!$D$1:$K$1,0)),"")</f>
        <v>6302.93.00.00</v>
      </c>
      <c r="I2383" s="8">
        <f>_xlfn.IFNA(INDEX('HS Codes'!$D$2:$K4937,MATCH($B2383,'HS Codes'!$A$2:$A4937,0),MATCH(I$1,'HS Codes'!$D$1:$K$1,0)),"")</f>
        <v>6302939000</v>
      </c>
      <c r="J2383" s="8">
        <f>_xlfn.IFNA(INDEX('HS Codes'!$D$2:$K4937,MATCH($B2383,'HS Codes'!$A$2:$A4937,0),MATCH(J$1,'HS Codes'!$D$1:$K$1,0)),"")</f>
        <v>0</v>
      </c>
      <c r="K2383" s="8" t="str">
        <f>_xlfn.IFNA(INDEX('HS Codes'!$D$2:$K4937,MATCH($B2383,'HS Codes'!$A$2:$A4937,0),MATCH(K$1,'HS Codes'!$D$1:$K$1,0)),"")</f>
        <v>6302.39.00</v>
      </c>
      <c r="L2383" s="8">
        <f>_xlfn.IFNA(INDEX('HS Codes'!$D$2:$K4937,MATCH($B2383,'HS Codes'!$A$2:$A4937,0),MATCH(L$1,'HS Codes'!$D$1:$K$1,0)),"")</f>
        <v>63029120</v>
      </c>
      <c r="M2383" s="8" t="str">
        <f>_xlfn.IFNA(INDEX('HS Codes'!$C$2:$C4937,MATCH($B2383,'HS Codes'!$A$2:$A4937,0)),"")</f>
        <v>Fitness Towels - Toilet Linen 100% recycled 220 GSM/83% polyester/17% polyamide (no cotton)</v>
      </c>
      <c r="N2383" s="9"/>
      <c r="O2383" s="9"/>
      <c r="P2383" s="9"/>
      <c r="Q2383" s="9"/>
    </row>
    <row r="2384" spans="1:17" ht="15.75" customHeight="1">
      <c r="A2384" s="7" t="s">
        <v>2676</v>
      </c>
      <c r="B2384" s="7" t="s">
        <v>169</v>
      </c>
      <c r="C2384" s="7" t="s">
        <v>278</v>
      </c>
      <c r="D2384" s="7" t="s">
        <v>170</v>
      </c>
      <c r="E2384" s="7" t="s">
        <v>348</v>
      </c>
      <c r="F2384" s="8" t="str">
        <f>_xlfn.IFNA(INDEX('HS Codes'!$D$2:$K4938,MATCH($B2384,'HS Codes'!$A$2:$A4938,0),MATCH(F$1,'HS Codes'!$D$1:$K$1,0)),"")</f>
        <v>6302.93.2000</v>
      </c>
      <c r="G2384" s="8">
        <f>_xlfn.IFNA(INDEX('HS Codes'!$D$2:$K4938,MATCH($B2384,'HS Codes'!$A$2:$A4938,0),MATCH(G$1,'HS Codes'!$D$1:$K$1,0)),"")</f>
        <v>6302600090</v>
      </c>
      <c r="H2384" s="8" t="str">
        <f>_xlfn.IFNA(INDEX('HS Codes'!$D$2:$K4938,MATCH($B2384,'HS Codes'!$A$2:$A4938,0),MATCH(H$1,'HS Codes'!$D$1:$K$1,0)),"")</f>
        <v>6302.93.00.00</v>
      </c>
      <c r="I2384" s="8">
        <f>_xlfn.IFNA(INDEX('HS Codes'!$D$2:$K4938,MATCH($B2384,'HS Codes'!$A$2:$A4938,0),MATCH(I$1,'HS Codes'!$D$1:$K$1,0)),"")</f>
        <v>6302939000</v>
      </c>
      <c r="J2384" s="8">
        <f>_xlfn.IFNA(INDEX('HS Codes'!$D$2:$K4938,MATCH($B2384,'HS Codes'!$A$2:$A4938,0),MATCH(J$1,'HS Codes'!$D$1:$K$1,0)),"")</f>
        <v>0</v>
      </c>
      <c r="K2384" s="8" t="str">
        <f>_xlfn.IFNA(INDEX('HS Codes'!$D$2:$K4938,MATCH($B2384,'HS Codes'!$A$2:$A4938,0),MATCH(K$1,'HS Codes'!$D$1:$K$1,0)),"")</f>
        <v>6302.39.00</v>
      </c>
      <c r="L2384" s="8">
        <f>_xlfn.IFNA(INDEX('HS Codes'!$D$2:$K4938,MATCH($B2384,'HS Codes'!$A$2:$A4938,0),MATCH(L$1,'HS Codes'!$D$1:$K$1,0)),"")</f>
        <v>63029120</v>
      </c>
      <c r="M2384" s="8" t="str">
        <f>_xlfn.IFNA(INDEX('HS Codes'!$C$2:$C4938,MATCH($B2384,'HS Codes'!$A$2:$A4938,0)),"")</f>
        <v>Fitness Towels - Toilet Linen 100% recycled 220 GSM/83% polyester/17% polyamide (no cotton)</v>
      </c>
      <c r="N2384" s="9"/>
      <c r="O2384" s="9"/>
      <c r="P2384" s="9"/>
      <c r="Q2384" s="9"/>
    </row>
    <row r="2385" spans="1:17" ht="15.75" customHeight="1">
      <c r="A2385" s="7" t="s">
        <v>2677</v>
      </c>
      <c r="B2385" s="7" t="s">
        <v>169</v>
      </c>
      <c r="C2385" s="7" t="s">
        <v>278</v>
      </c>
      <c r="D2385" s="7" t="s">
        <v>170</v>
      </c>
      <c r="E2385" s="7" t="s">
        <v>348</v>
      </c>
      <c r="F2385" s="8" t="str">
        <f>_xlfn.IFNA(INDEX('HS Codes'!$D$2:$K4939,MATCH($B2385,'HS Codes'!$A$2:$A4939,0),MATCH(F$1,'HS Codes'!$D$1:$K$1,0)),"")</f>
        <v>6302.93.2000</v>
      </c>
      <c r="G2385" s="8">
        <f>_xlfn.IFNA(INDEX('HS Codes'!$D$2:$K4939,MATCH($B2385,'HS Codes'!$A$2:$A4939,0),MATCH(G$1,'HS Codes'!$D$1:$K$1,0)),"")</f>
        <v>6302600090</v>
      </c>
      <c r="H2385" s="8" t="str">
        <f>_xlfn.IFNA(INDEX('HS Codes'!$D$2:$K4939,MATCH($B2385,'HS Codes'!$A$2:$A4939,0),MATCH(H$1,'HS Codes'!$D$1:$K$1,0)),"")</f>
        <v>6302.93.00.00</v>
      </c>
      <c r="I2385" s="8">
        <f>_xlfn.IFNA(INDEX('HS Codes'!$D$2:$K4939,MATCH($B2385,'HS Codes'!$A$2:$A4939,0),MATCH(I$1,'HS Codes'!$D$1:$K$1,0)),"")</f>
        <v>6302939000</v>
      </c>
      <c r="J2385" s="8">
        <f>_xlfn.IFNA(INDEX('HS Codes'!$D$2:$K4939,MATCH($B2385,'HS Codes'!$A$2:$A4939,0),MATCH(J$1,'HS Codes'!$D$1:$K$1,0)),"")</f>
        <v>0</v>
      </c>
      <c r="K2385" s="8" t="str">
        <f>_xlfn.IFNA(INDEX('HS Codes'!$D$2:$K4939,MATCH($B2385,'HS Codes'!$A$2:$A4939,0),MATCH(K$1,'HS Codes'!$D$1:$K$1,0)),"")</f>
        <v>6302.39.00</v>
      </c>
      <c r="L2385" s="8">
        <f>_xlfn.IFNA(INDEX('HS Codes'!$D$2:$K4939,MATCH($B2385,'HS Codes'!$A$2:$A4939,0),MATCH(L$1,'HS Codes'!$D$1:$K$1,0)),"")</f>
        <v>63029120</v>
      </c>
      <c r="M2385" s="8" t="str">
        <f>_xlfn.IFNA(INDEX('HS Codes'!$C$2:$C4939,MATCH($B2385,'HS Codes'!$A$2:$A4939,0)),"")</f>
        <v>Fitness Towels - Toilet Linen 100% recycled 220 GSM/83% polyester/17% polyamide (no cotton)</v>
      </c>
      <c r="N2385" s="9"/>
      <c r="O2385" s="9"/>
      <c r="P2385" s="9"/>
      <c r="Q2385" s="9"/>
    </row>
    <row r="2386" spans="1:17" ht="15.75" customHeight="1">
      <c r="A2386" s="7" t="s">
        <v>2678</v>
      </c>
      <c r="B2386" s="7" t="s">
        <v>169</v>
      </c>
      <c r="C2386" s="7" t="s">
        <v>278</v>
      </c>
      <c r="D2386" s="7" t="s">
        <v>170</v>
      </c>
      <c r="E2386" s="7" t="s">
        <v>348</v>
      </c>
      <c r="F2386" s="8" t="str">
        <f>_xlfn.IFNA(INDEX('HS Codes'!$D$2:$K4940,MATCH($B2386,'HS Codes'!$A$2:$A4940,0),MATCH(F$1,'HS Codes'!$D$1:$K$1,0)),"")</f>
        <v>6302.93.2000</v>
      </c>
      <c r="G2386" s="8">
        <f>_xlfn.IFNA(INDEX('HS Codes'!$D$2:$K4940,MATCH($B2386,'HS Codes'!$A$2:$A4940,0),MATCH(G$1,'HS Codes'!$D$1:$K$1,0)),"")</f>
        <v>6302600090</v>
      </c>
      <c r="H2386" s="8" t="str">
        <f>_xlfn.IFNA(INDEX('HS Codes'!$D$2:$K4940,MATCH($B2386,'HS Codes'!$A$2:$A4940,0),MATCH(H$1,'HS Codes'!$D$1:$K$1,0)),"")</f>
        <v>6302.93.00.00</v>
      </c>
      <c r="I2386" s="8">
        <f>_xlfn.IFNA(INDEX('HS Codes'!$D$2:$K4940,MATCH($B2386,'HS Codes'!$A$2:$A4940,0),MATCH(I$1,'HS Codes'!$D$1:$K$1,0)),"")</f>
        <v>6302939000</v>
      </c>
      <c r="J2386" s="8">
        <f>_xlfn.IFNA(INDEX('HS Codes'!$D$2:$K4940,MATCH($B2386,'HS Codes'!$A$2:$A4940,0),MATCH(J$1,'HS Codes'!$D$1:$K$1,0)),"")</f>
        <v>0</v>
      </c>
      <c r="K2386" s="8" t="str">
        <f>_xlfn.IFNA(INDEX('HS Codes'!$D$2:$K4940,MATCH($B2386,'HS Codes'!$A$2:$A4940,0),MATCH(K$1,'HS Codes'!$D$1:$K$1,0)),"")</f>
        <v>6302.39.00</v>
      </c>
      <c r="L2386" s="8">
        <f>_xlfn.IFNA(INDEX('HS Codes'!$D$2:$K4940,MATCH($B2386,'HS Codes'!$A$2:$A4940,0),MATCH(L$1,'HS Codes'!$D$1:$K$1,0)),"")</f>
        <v>63029120</v>
      </c>
      <c r="M2386" s="8" t="str">
        <f>_xlfn.IFNA(INDEX('HS Codes'!$C$2:$C4940,MATCH($B2386,'HS Codes'!$A$2:$A4940,0)),"")</f>
        <v>Fitness Towels - Toilet Linen 100% recycled 220 GSM/83% polyester/17% polyamide (no cotton)</v>
      </c>
      <c r="N2386" s="9"/>
      <c r="O2386" s="9"/>
      <c r="P2386" s="9"/>
      <c r="Q2386" s="9"/>
    </row>
    <row r="2387" spans="1:17" ht="15.75" customHeight="1">
      <c r="A2387" s="7" t="s">
        <v>2679</v>
      </c>
      <c r="B2387" s="7" t="s">
        <v>169</v>
      </c>
      <c r="C2387" s="7" t="s">
        <v>278</v>
      </c>
      <c r="D2387" s="7" t="s">
        <v>170</v>
      </c>
      <c r="E2387" s="7" t="s">
        <v>348</v>
      </c>
      <c r="F2387" s="8" t="str">
        <f>_xlfn.IFNA(INDEX('HS Codes'!$D$2:$K4941,MATCH($B2387,'HS Codes'!$A$2:$A4941,0),MATCH(F$1,'HS Codes'!$D$1:$K$1,0)),"")</f>
        <v>6302.93.2000</v>
      </c>
      <c r="G2387" s="8">
        <f>_xlfn.IFNA(INDEX('HS Codes'!$D$2:$K4941,MATCH($B2387,'HS Codes'!$A$2:$A4941,0),MATCH(G$1,'HS Codes'!$D$1:$K$1,0)),"")</f>
        <v>6302600090</v>
      </c>
      <c r="H2387" s="8" t="str">
        <f>_xlfn.IFNA(INDEX('HS Codes'!$D$2:$K4941,MATCH($B2387,'HS Codes'!$A$2:$A4941,0),MATCH(H$1,'HS Codes'!$D$1:$K$1,0)),"")</f>
        <v>6302.93.00.00</v>
      </c>
      <c r="I2387" s="8">
        <f>_xlfn.IFNA(INDEX('HS Codes'!$D$2:$K4941,MATCH($B2387,'HS Codes'!$A$2:$A4941,0),MATCH(I$1,'HS Codes'!$D$1:$K$1,0)),"")</f>
        <v>6302939000</v>
      </c>
      <c r="J2387" s="8">
        <f>_xlfn.IFNA(INDEX('HS Codes'!$D$2:$K4941,MATCH($B2387,'HS Codes'!$A$2:$A4941,0),MATCH(J$1,'HS Codes'!$D$1:$K$1,0)),"")</f>
        <v>0</v>
      </c>
      <c r="K2387" s="8" t="str">
        <f>_xlfn.IFNA(INDEX('HS Codes'!$D$2:$K4941,MATCH($B2387,'HS Codes'!$A$2:$A4941,0),MATCH(K$1,'HS Codes'!$D$1:$K$1,0)),"")</f>
        <v>6302.39.00</v>
      </c>
      <c r="L2387" s="8">
        <f>_xlfn.IFNA(INDEX('HS Codes'!$D$2:$K4941,MATCH($B2387,'HS Codes'!$A$2:$A4941,0),MATCH(L$1,'HS Codes'!$D$1:$K$1,0)),"")</f>
        <v>63029120</v>
      </c>
      <c r="M2387" s="8" t="str">
        <f>_xlfn.IFNA(INDEX('HS Codes'!$C$2:$C4941,MATCH($B2387,'HS Codes'!$A$2:$A4941,0)),"")</f>
        <v>Fitness Towels - Toilet Linen 100% recycled 220 GSM/83% polyester/17% polyamide (no cotton)</v>
      </c>
      <c r="N2387" s="9"/>
      <c r="O2387" s="9"/>
      <c r="P2387" s="9"/>
      <c r="Q2387" s="9"/>
    </row>
    <row r="2388" spans="1:17" ht="15.75" customHeight="1">
      <c r="A2388" s="7" t="s">
        <v>2680</v>
      </c>
      <c r="B2388" s="7" t="s">
        <v>169</v>
      </c>
      <c r="C2388" s="7" t="s">
        <v>278</v>
      </c>
      <c r="D2388" s="7" t="s">
        <v>170</v>
      </c>
      <c r="E2388" s="7" t="s">
        <v>348</v>
      </c>
      <c r="F2388" s="8" t="str">
        <f>_xlfn.IFNA(INDEX('HS Codes'!$D$2:$K4942,MATCH($B2388,'HS Codes'!$A$2:$A4942,0),MATCH(F$1,'HS Codes'!$D$1:$K$1,0)),"")</f>
        <v>6302.93.2000</v>
      </c>
      <c r="G2388" s="8">
        <f>_xlfn.IFNA(INDEX('HS Codes'!$D$2:$K4942,MATCH($B2388,'HS Codes'!$A$2:$A4942,0),MATCH(G$1,'HS Codes'!$D$1:$K$1,0)),"")</f>
        <v>6302600090</v>
      </c>
      <c r="H2388" s="8" t="str">
        <f>_xlfn.IFNA(INDEX('HS Codes'!$D$2:$K4942,MATCH($B2388,'HS Codes'!$A$2:$A4942,0),MATCH(H$1,'HS Codes'!$D$1:$K$1,0)),"")</f>
        <v>6302.93.00.00</v>
      </c>
      <c r="I2388" s="8">
        <f>_xlfn.IFNA(INDEX('HS Codes'!$D$2:$K4942,MATCH($B2388,'HS Codes'!$A$2:$A4942,0),MATCH(I$1,'HS Codes'!$D$1:$K$1,0)),"")</f>
        <v>6302939000</v>
      </c>
      <c r="J2388" s="8">
        <f>_xlfn.IFNA(INDEX('HS Codes'!$D$2:$K4942,MATCH($B2388,'HS Codes'!$A$2:$A4942,0),MATCH(J$1,'HS Codes'!$D$1:$K$1,0)),"")</f>
        <v>0</v>
      </c>
      <c r="K2388" s="8" t="str">
        <f>_xlfn.IFNA(INDEX('HS Codes'!$D$2:$K4942,MATCH($B2388,'HS Codes'!$A$2:$A4942,0),MATCH(K$1,'HS Codes'!$D$1:$K$1,0)),"")</f>
        <v>6302.39.00</v>
      </c>
      <c r="L2388" s="8">
        <f>_xlfn.IFNA(INDEX('HS Codes'!$D$2:$K4942,MATCH($B2388,'HS Codes'!$A$2:$A4942,0),MATCH(L$1,'HS Codes'!$D$1:$K$1,0)),"")</f>
        <v>63029120</v>
      </c>
      <c r="M2388" s="8" t="str">
        <f>_xlfn.IFNA(INDEX('HS Codes'!$C$2:$C4942,MATCH($B2388,'HS Codes'!$A$2:$A4942,0)),"")</f>
        <v>Fitness Towels - Toilet Linen 100% recycled 220 GSM/83% polyester/17% polyamide (no cotton)</v>
      </c>
      <c r="N2388" s="9"/>
      <c r="O2388" s="9"/>
      <c r="P2388" s="9"/>
      <c r="Q2388" s="9"/>
    </row>
    <row r="2389" spans="1:17" ht="15.75" customHeight="1">
      <c r="A2389" s="7" t="s">
        <v>2681</v>
      </c>
      <c r="B2389" s="7" t="s">
        <v>169</v>
      </c>
      <c r="C2389" s="7" t="s">
        <v>278</v>
      </c>
      <c r="D2389" s="7" t="s">
        <v>170</v>
      </c>
      <c r="E2389" s="7" t="s">
        <v>348</v>
      </c>
      <c r="F2389" s="8" t="str">
        <f>_xlfn.IFNA(INDEX('HS Codes'!$D$2:$K4943,MATCH($B2389,'HS Codes'!$A$2:$A4943,0),MATCH(F$1,'HS Codes'!$D$1:$K$1,0)),"")</f>
        <v>6302.93.2000</v>
      </c>
      <c r="G2389" s="8">
        <f>_xlfn.IFNA(INDEX('HS Codes'!$D$2:$K4943,MATCH($B2389,'HS Codes'!$A$2:$A4943,0),MATCH(G$1,'HS Codes'!$D$1:$K$1,0)),"")</f>
        <v>6302600090</v>
      </c>
      <c r="H2389" s="8" t="str">
        <f>_xlfn.IFNA(INDEX('HS Codes'!$D$2:$K4943,MATCH($B2389,'HS Codes'!$A$2:$A4943,0),MATCH(H$1,'HS Codes'!$D$1:$K$1,0)),"")</f>
        <v>6302.93.00.00</v>
      </c>
      <c r="I2389" s="8">
        <f>_xlfn.IFNA(INDEX('HS Codes'!$D$2:$K4943,MATCH($B2389,'HS Codes'!$A$2:$A4943,0),MATCH(I$1,'HS Codes'!$D$1:$K$1,0)),"")</f>
        <v>6302939000</v>
      </c>
      <c r="J2389" s="8">
        <f>_xlfn.IFNA(INDEX('HS Codes'!$D$2:$K4943,MATCH($B2389,'HS Codes'!$A$2:$A4943,0),MATCH(J$1,'HS Codes'!$D$1:$K$1,0)),"")</f>
        <v>0</v>
      </c>
      <c r="K2389" s="8" t="str">
        <f>_xlfn.IFNA(INDEX('HS Codes'!$D$2:$K4943,MATCH($B2389,'HS Codes'!$A$2:$A4943,0),MATCH(K$1,'HS Codes'!$D$1:$K$1,0)),"")</f>
        <v>6302.39.00</v>
      </c>
      <c r="L2389" s="8">
        <f>_xlfn.IFNA(INDEX('HS Codes'!$D$2:$K4943,MATCH($B2389,'HS Codes'!$A$2:$A4943,0),MATCH(L$1,'HS Codes'!$D$1:$K$1,0)),"")</f>
        <v>63029120</v>
      </c>
      <c r="M2389" s="8" t="str">
        <f>_xlfn.IFNA(INDEX('HS Codes'!$C$2:$C4943,MATCH($B2389,'HS Codes'!$A$2:$A4943,0)),"")</f>
        <v>Fitness Towels - Toilet Linen 100% recycled 220 GSM/83% polyester/17% polyamide (no cotton)</v>
      </c>
      <c r="N2389" s="9"/>
      <c r="O2389" s="9"/>
      <c r="P2389" s="9"/>
      <c r="Q2389" s="9"/>
    </row>
    <row r="2390" spans="1:17" ht="15.75" customHeight="1">
      <c r="A2390" s="7" t="s">
        <v>2682</v>
      </c>
      <c r="B2390" s="7" t="s">
        <v>169</v>
      </c>
      <c r="C2390" s="7" t="s">
        <v>278</v>
      </c>
      <c r="D2390" s="7" t="s">
        <v>170</v>
      </c>
      <c r="E2390" s="7" t="s">
        <v>348</v>
      </c>
      <c r="F2390" s="8" t="str">
        <f>_xlfn.IFNA(INDEX('HS Codes'!$D$2:$K4944,MATCH($B2390,'HS Codes'!$A$2:$A4944,0),MATCH(F$1,'HS Codes'!$D$1:$K$1,0)),"")</f>
        <v>6302.93.2000</v>
      </c>
      <c r="G2390" s="8">
        <f>_xlfn.IFNA(INDEX('HS Codes'!$D$2:$K4944,MATCH($B2390,'HS Codes'!$A$2:$A4944,0),MATCH(G$1,'HS Codes'!$D$1:$K$1,0)),"")</f>
        <v>6302600090</v>
      </c>
      <c r="H2390" s="8" t="str">
        <f>_xlfn.IFNA(INDEX('HS Codes'!$D$2:$K4944,MATCH($B2390,'HS Codes'!$A$2:$A4944,0),MATCH(H$1,'HS Codes'!$D$1:$K$1,0)),"")</f>
        <v>6302.93.00.00</v>
      </c>
      <c r="I2390" s="8">
        <f>_xlfn.IFNA(INDEX('HS Codes'!$D$2:$K4944,MATCH($B2390,'HS Codes'!$A$2:$A4944,0),MATCH(I$1,'HS Codes'!$D$1:$K$1,0)),"")</f>
        <v>6302939000</v>
      </c>
      <c r="J2390" s="8">
        <f>_xlfn.IFNA(INDEX('HS Codes'!$D$2:$K4944,MATCH($B2390,'HS Codes'!$A$2:$A4944,0),MATCH(J$1,'HS Codes'!$D$1:$K$1,0)),"")</f>
        <v>0</v>
      </c>
      <c r="K2390" s="8" t="str">
        <f>_xlfn.IFNA(INDEX('HS Codes'!$D$2:$K4944,MATCH($B2390,'HS Codes'!$A$2:$A4944,0),MATCH(K$1,'HS Codes'!$D$1:$K$1,0)),"")</f>
        <v>6302.39.00</v>
      </c>
      <c r="L2390" s="8">
        <f>_xlfn.IFNA(INDEX('HS Codes'!$D$2:$K4944,MATCH($B2390,'HS Codes'!$A$2:$A4944,0),MATCH(L$1,'HS Codes'!$D$1:$K$1,0)),"")</f>
        <v>63029120</v>
      </c>
      <c r="M2390" s="8" t="str">
        <f>_xlfn.IFNA(INDEX('HS Codes'!$C$2:$C4944,MATCH($B2390,'HS Codes'!$A$2:$A4944,0)),"")</f>
        <v>Fitness Towels - Toilet Linen 100% recycled 220 GSM/83% polyester/17% polyamide (no cotton)</v>
      </c>
      <c r="N2390" s="9"/>
      <c r="O2390" s="9"/>
      <c r="P2390" s="9"/>
      <c r="Q2390" s="9"/>
    </row>
    <row r="2391" spans="1:17" ht="15.75" customHeight="1">
      <c r="A2391" s="7" t="s">
        <v>2683</v>
      </c>
      <c r="B2391" s="7" t="s">
        <v>169</v>
      </c>
      <c r="C2391" s="7" t="s">
        <v>278</v>
      </c>
      <c r="D2391" s="7" t="s">
        <v>170</v>
      </c>
      <c r="E2391" s="7" t="s">
        <v>348</v>
      </c>
      <c r="F2391" s="8" t="str">
        <f>_xlfn.IFNA(INDEX('HS Codes'!$D$2:$K4945,MATCH($B2391,'HS Codes'!$A$2:$A4945,0),MATCH(F$1,'HS Codes'!$D$1:$K$1,0)),"")</f>
        <v>6302.93.2000</v>
      </c>
      <c r="G2391" s="8">
        <f>_xlfn.IFNA(INDEX('HS Codes'!$D$2:$K4945,MATCH($B2391,'HS Codes'!$A$2:$A4945,0),MATCH(G$1,'HS Codes'!$D$1:$K$1,0)),"")</f>
        <v>6302600090</v>
      </c>
      <c r="H2391" s="8" t="str">
        <f>_xlfn.IFNA(INDEX('HS Codes'!$D$2:$K4945,MATCH($B2391,'HS Codes'!$A$2:$A4945,0),MATCH(H$1,'HS Codes'!$D$1:$K$1,0)),"")</f>
        <v>6302.93.00.00</v>
      </c>
      <c r="I2391" s="8">
        <f>_xlfn.IFNA(INDEX('HS Codes'!$D$2:$K4945,MATCH($B2391,'HS Codes'!$A$2:$A4945,0),MATCH(I$1,'HS Codes'!$D$1:$K$1,0)),"")</f>
        <v>6302939000</v>
      </c>
      <c r="J2391" s="8">
        <f>_xlfn.IFNA(INDEX('HS Codes'!$D$2:$K4945,MATCH($B2391,'HS Codes'!$A$2:$A4945,0),MATCH(J$1,'HS Codes'!$D$1:$K$1,0)),"")</f>
        <v>0</v>
      </c>
      <c r="K2391" s="8" t="str">
        <f>_xlfn.IFNA(INDEX('HS Codes'!$D$2:$K4945,MATCH($B2391,'HS Codes'!$A$2:$A4945,0),MATCH(K$1,'HS Codes'!$D$1:$K$1,0)),"")</f>
        <v>6302.39.00</v>
      </c>
      <c r="L2391" s="8">
        <f>_xlfn.IFNA(INDEX('HS Codes'!$D$2:$K4945,MATCH($B2391,'HS Codes'!$A$2:$A4945,0),MATCH(L$1,'HS Codes'!$D$1:$K$1,0)),"")</f>
        <v>63029120</v>
      </c>
      <c r="M2391" s="8" t="str">
        <f>_xlfn.IFNA(INDEX('HS Codes'!$C$2:$C4945,MATCH($B2391,'HS Codes'!$A$2:$A4945,0)),"")</f>
        <v>Fitness Towels - Toilet Linen 100% recycled 220 GSM/83% polyester/17% polyamide (no cotton)</v>
      </c>
      <c r="N2391" s="9"/>
      <c r="O2391" s="9"/>
      <c r="P2391" s="9"/>
      <c r="Q2391" s="9"/>
    </row>
    <row r="2392" spans="1:17" ht="15.75" customHeight="1">
      <c r="A2392" s="7" t="s">
        <v>2684</v>
      </c>
      <c r="B2392" s="7" t="s">
        <v>169</v>
      </c>
      <c r="C2392" s="7" t="s">
        <v>278</v>
      </c>
      <c r="D2392" s="7" t="s">
        <v>170</v>
      </c>
      <c r="E2392" s="7" t="s">
        <v>348</v>
      </c>
      <c r="F2392" s="8" t="str">
        <f>_xlfn.IFNA(INDEX('HS Codes'!$D$2:$K4946,MATCH($B2392,'HS Codes'!$A$2:$A4946,0),MATCH(F$1,'HS Codes'!$D$1:$K$1,0)),"")</f>
        <v>6302.93.2000</v>
      </c>
      <c r="G2392" s="8">
        <f>_xlfn.IFNA(INDEX('HS Codes'!$D$2:$K4946,MATCH($B2392,'HS Codes'!$A$2:$A4946,0),MATCH(G$1,'HS Codes'!$D$1:$K$1,0)),"")</f>
        <v>6302600090</v>
      </c>
      <c r="H2392" s="8" t="str">
        <f>_xlfn.IFNA(INDEX('HS Codes'!$D$2:$K4946,MATCH($B2392,'HS Codes'!$A$2:$A4946,0),MATCH(H$1,'HS Codes'!$D$1:$K$1,0)),"")</f>
        <v>6302.93.00.00</v>
      </c>
      <c r="I2392" s="8">
        <f>_xlfn.IFNA(INDEX('HS Codes'!$D$2:$K4946,MATCH($B2392,'HS Codes'!$A$2:$A4946,0),MATCH(I$1,'HS Codes'!$D$1:$K$1,0)),"")</f>
        <v>6302939000</v>
      </c>
      <c r="J2392" s="8">
        <f>_xlfn.IFNA(INDEX('HS Codes'!$D$2:$K4946,MATCH($B2392,'HS Codes'!$A$2:$A4946,0),MATCH(J$1,'HS Codes'!$D$1:$K$1,0)),"")</f>
        <v>0</v>
      </c>
      <c r="K2392" s="8" t="str">
        <f>_xlfn.IFNA(INDEX('HS Codes'!$D$2:$K4946,MATCH($B2392,'HS Codes'!$A$2:$A4946,0),MATCH(K$1,'HS Codes'!$D$1:$K$1,0)),"")</f>
        <v>6302.39.00</v>
      </c>
      <c r="L2392" s="8">
        <f>_xlfn.IFNA(INDEX('HS Codes'!$D$2:$K4946,MATCH($B2392,'HS Codes'!$A$2:$A4946,0),MATCH(L$1,'HS Codes'!$D$1:$K$1,0)),"")</f>
        <v>63029120</v>
      </c>
      <c r="M2392" s="8" t="str">
        <f>_xlfn.IFNA(INDEX('HS Codes'!$C$2:$C4946,MATCH($B2392,'HS Codes'!$A$2:$A4946,0)),"")</f>
        <v>Fitness Towels - Toilet Linen 100% recycled 220 GSM/83% polyester/17% polyamide (no cotton)</v>
      </c>
      <c r="N2392" s="9"/>
      <c r="O2392" s="9"/>
      <c r="P2392" s="9"/>
      <c r="Q2392" s="9"/>
    </row>
    <row r="2393" spans="1:17" ht="15.75" customHeight="1">
      <c r="A2393" s="7" t="s">
        <v>2685</v>
      </c>
      <c r="B2393" s="7" t="s">
        <v>169</v>
      </c>
      <c r="C2393" s="7" t="s">
        <v>278</v>
      </c>
      <c r="D2393" s="7" t="s">
        <v>170</v>
      </c>
      <c r="E2393" s="7" t="s">
        <v>348</v>
      </c>
      <c r="F2393" s="8" t="str">
        <f>_xlfn.IFNA(INDEX('HS Codes'!$D$2:$K4947,MATCH($B2393,'HS Codes'!$A$2:$A4947,0),MATCH(F$1,'HS Codes'!$D$1:$K$1,0)),"")</f>
        <v>6302.93.2000</v>
      </c>
      <c r="G2393" s="8">
        <f>_xlfn.IFNA(INDEX('HS Codes'!$D$2:$K4947,MATCH($B2393,'HS Codes'!$A$2:$A4947,0),MATCH(G$1,'HS Codes'!$D$1:$K$1,0)),"")</f>
        <v>6302600090</v>
      </c>
      <c r="H2393" s="8" t="str">
        <f>_xlfn.IFNA(INDEX('HS Codes'!$D$2:$K4947,MATCH($B2393,'HS Codes'!$A$2:$A4947,0),MATCH(H$1,'HS Codes'!$D$1:$K$1,0)),"")</f>
        <v>6302.93.00.00</v>
      </c>
      <c r="I2393" s="8">
        <f>_xlfn.IFNA(INDEX('HS Codes'!$D$2:$K4947,MATCH($B2393,'HS Codes'!$A$2:$A4947,0),MATCH(I$1,'HS Codes'!$D$1:$K$1,0)),"")</f>
        <v>6302939000</v>
      </c>
      <c r="J2393" s="8">
        <f>_xlfn.IFNA(INDEX('HS Codes'!$D$2:$K4947,MATCH($B2393,'HS Codes'!$A$2:$A4947,0),MATCH(J$1,'HS Codes'!$D$1:$K$1,0)),"")</f>
        <v>0</v>
      </c>
      <c r="K2393" s="8" t="str">
        <f>_xlfn.IFNA(INDEX('HS Codes'!$D$2:$K4947,MATCH($B2393,'HS Codes'!$A$2:$A4947,0),MATCH(K$1,'HS Codes'!$D$1:$K$1,0)),"")</f>
        <v>6302.39.00</v>
      </c>
      <c r="L2393" s="8">
        <f>_xlfn.IFNA(INDEX('HS Codes'!$D$2:$K4947,MATCH($B2393,'HS Codes'!$A$2:$A4947,0),MATCH(L$1,'HS Codes'!$D$1:$K$1,0)),"")</f>
        <v>63029120</v>
      </c>
      <c r="M2393" s="8" t="str">
        <f>_xlfn.IFNA(INDEX('HS Codes'!$C$2:$C4947,MATCH($B2393,'HS Codes'!$A$2:$A4947,0)),"")</f>
        <v>Fitness Towels - Toilet Linen 100% recycled 220 GSM/83% polyester/17% polyamide (no cotton)</v>
      </c>
      <c r="N2393" s="9"/>
      <c r="O2393" s="9"/>
      <c r="P2393" s="9"/>
      <c r="Q2393" s="9"/>
    </row>
    <row r="2394" spans="1:17" ht="15.75" customHeight="1">
      <c r="A2394" s="7" t="s">
        <v>2686</v>
      </c>
      <c r="B2394" s="7" t="s">
        <v>169</v>
      </c>
      <c r="C2394" s="7" t="s">
        <v>278</v>
      </c>
      <c r="D2394" s="7" t="s">
        <v>170</v>
      </c>
      <c r="E2394" s="7" t="s">
        <v>348</v>
      </c>
      <c r="F2394" s="8" t="str">
        <f>_xlfn.IFNA(INDEX('HS Codes'!$D$2:$K4948,MATCH($B2394,'HS Codes'!$A$2:$A4948,0),MATCH(F$1,'HS Codes'!$D$1:$K$1,0)),"")</f>
        <v>6302.93.2000</v>
      </c>
      <c r="G2394" s="8">
        <f>_xlfn.IFNA(INDEX('HS Codes'!$D$2:$K4948,MATCH($B2394,'HS Codes'!$A$2:$A4948,0),MATCH(G$1,'HS Codes'!$D$1:$K$1,0)),"")</f>
        <v>6302600090</v>
      </c>
      <c r="H2394" s="8" t="str">
        <f>_xlfn.IFNA(INDEX('HS Codes'!$D$2:$K4948,MATCH($B2394,'HS Codes'!$A$2:$A4948,0),MATCH(H$1,'HS Codes'!$D$1:$K$1,0)),"")</f>
        <v>6302.93.00.00</v>
      </c>
      <c r="I2394" s="8">
        <f>_xlfn.IFNA(INDEX('HS Codes'!$D$2:$K4948,MATCH($B2394,'HS Codes'!$A$2:$A4948,0),MATCH(I$1,'HS Codes'!$D$1:$K$1,0)),"")</f>
        <v>6302939000</v>
      </c>
      <c r="J2394" s="8">
        <f>_xlfn.IFNA(INDEX('HS Codes'!$D$2:$K4948,MATCH($B2394,'HS Codes'!$A$2:$A4948,0),MATCH(J$1,'HS Codes'!$D$1:$K$1,0)),"")</f>
        <v>0</v>
      </c>
      <c r="K2394" s="8" t="str">
        <f>_xlfn.IFNA(INDEX('HS Codes'!$D$2:$K4948,MATCH($B2394,'HS Codes'!$A$2:$A4948,0),MATCH(K$1,'HS Codes'!$D$1:$K$1,0)),"")</f>
        <v>6302.39.00</v>
      </c>
      <c r="L2394" s="8">
        <f>_xlfn.IFNA(INDEX('HS Codes'!$D$2:$K4948,MATCH($B2394,'HS Codes'!$A$2:$A4948,0),MATCH(L$1,'HS Codes'!$D$1:$K$1,0)),"")</f>
        <v>63029120</v>
      </c>
      <c r="M2394" s="8" t="str">
        <f>_xlfn.IFNA(INDEX('HS Codes'!$C$2:$C4948,MATCH($B2394,'HS Codes'!$A$2:$A4948,0)),"")</f>
        <v>Fitness Towels - Toilet Linen 100% recycled 220 GSM/83% polyester/17% polyamide (no cotton)</v>
      </c>
      <c r="N2394" s="9"/>
      <c r="O2394" s="9"/>
      <c r="P2394" s="9"/>
      <c r="Q2394" s="9"/>
    </row>
    <row r="2395" spans="1:17" ht="15.75" customHeight="1">
      <c r="A2395" s="7" t="s">
        <v>2687</v>
      </c>
      <c r="B2395" s="7" t="s">
        <v>169</v>
      </c>
      <c r="C2395" s="7" t="s">
        <v>278</v>
      </c>
      <c r="D2395" s="7" t="s">
        <v>170</v>
      </c>
      <c r="E2395" s="7" t="s">
        <v>348</v>
      </c>
      <c r="F2395" s="8" t="str">
        <f>_xlfn.IFNA(INDEX('HS Codes'!$D$2:$K4949,MATCH($B2395,'HS Codes'!$A$2:$A4949,0),MATCH(F$1,'HS Codes'!$D$1:$K$1,0)),"")</f>
        <v>6302.93.2000</v>
      </c>
      <c r="G2395" s="8">
        <f>_xlfn.IFNA(INDEX('HS Codes'!$D$2:$K4949,MATCH($B2395,'HS Codes'!$A$2:$A4949,0),MATCH(G$1,'HS Codes'!$D$1:$K$1,0)),"")</f>
        <v>6302600090</v>
      </c>
      <c r="H2395" s="8" t="str">
        <f>_xlfn.IFNA(INDEX('HS Codes'!$D$2:$K4949,MATCH($B2395,'HS Codes'!$A$2:$A4949,0),MATCH(H$1,'HS Codes'!$D$1:$K$1,0)),"")</f>
        <v>6302.93.00.00</v>
      </c>
      <c r="I2395" s="8">
        <f>_xlfn.IFNA(INDEX('HS Codes'!$D$2:$K4949,MATCH($B2395,'HS Codes'!$A$2:$A4949,0),MATCH(I$1,'HS Codes'!$D$1:$K$1,0)),"")</f>
        <v>6302939000</v>
      </c>
      <c r="J2395" s="8">
        <f>_xlfn.IFNA(INDEX('HS Codes'!$D$2:$K4949,MATCH($B2395,'HS Codes'!$A$2:$A4949,0),MATCH(J$1,'HS Codes'!$D$1:$K$1,0)),"")</f>
        <v>0</v>
      </c>
      <c r="K2395" s="8" t="str">
        <f>_xlfn.IFNA(INDEX('HS Codes'!$D$2:$K4949,MATCH($B2395,'HS Codes'!$A$2:$A4949,0),MATCH(K$1,'HS Codes'!$D$1:$K$1,0)),"")</f>
        <v>6302.39.00</v>
      </c>
      <c r="L2395" s="8">
        <f>_xlfn.IFNA(INDEX('HS Codes'!$D$2:$K4949,MATCH($B2395,'HS Codes'!$A$2:$A4949,0),MATCH(L$1,'HS Codes'!$D$1:$K$1,0)),"")</f>
        <v>63029120</v>
      </c>
      <c r="M2395" s="8" t="str">
        <f>_xlfn.IFNA(INDEX('HS Codes'!$C$2:$C4949,MATCH($B2395,'HS Codes'!$A$2:$A4949,0)),"")</f>
        <v>Fitness Towels - Toilet Linen 100% recycled 220 GSM/83% polyester/17% polyamide (no cotton)</v>
      </c>
      <c r="N2395" s="9"/>
      <c r="O2395" s="9"/>
      <c r="P2395" s="9"/>
      <c r="Q2395" s="9"/>
    </row>
    <row r="2396" spans="1:17" ht="15.75" customHeight="1">
      <c r="A2396" s="7" t="s">
        <v>2688</v>
      </c>
      <c r="B2396" s="7" t="s">
        <v>169</v>
      </c>
      <c r="C2396" s="7" t="s">
        <v>278</v>
      </c>
      <c r="D2396" s="7" t="s">
        <v>170</v>
      </c>
      <c r="E2396" s="7" t="s">
        <v>348</v>
      </c>
      <c r="F2396" s="8" t="str">
        <f>_xlfn.IFNA(INDEX('HS Codes'!$D$2:$K4950,MATCH($B2396,'HS Codes'!$A$2:$A4950,0),MATCH(F$1,'HS Codes'!$D$1:$K$1,0)),"")</f>
        <v>6302.93.2000</v>
      </c>
      <c r="G2396" s="8">
        <f>_xlfn.IFNA(INDEX('HS Codes'!$D$2:$K4950,MATCH($B2396,'HS Codes'!$A$2:$A4950,0),MATCH(G$1,'HS Codes'!$D$1:$K$1,0)),"")</f>
        <v>6302600090</v>
      </c>
      <c r="H2396" s="8" t="str">
        <f>_xlfn.IFNA(INDEX('HS Codes'!$D$2:$K4950,MATCH($B2396,'HS Codes'!$A$2:$A4950,0),MATCH(H$1,'HS Codes'!$D$1:$K$1,0)),"")</f>
        <v>6302.93.00.00</v>
      </c>
      <c r="I2396" s="8">
        <f>_xlfn.IFNA(INDEX('HS Codes'!$D$2:$K4950,MATCH($B2396,'HS Codes'!$A$2:$A4950,0),MATCH(I$1,'HS Codes'!$D$1:$K$1,0)),"")</f>
        <v>6302939000</v>
      </c>
      <c r="J2396" s="8">
        <f>_xlfn.IFNA(INDEX('HS Codes'!$D$2:$K4950,MATCH($B2396,'HS Codes'!$A$2:$A4950,0),MATCH(J$1,'HS Codes'!$D$1:$K$1,0)),"")</f>
        <v>0</v>
      </c>
      <c r="K2396" s="8" t="str">
        <f>_xlfn.IFNA(INDEX('HS Codes'!$D$2:$K4950,MATCH($B2396,'HS Codes'!$A$2:$A4950,0),MATCH(K$1,'HS Codes'!$D$1:$K$1,0)),"")</f>
        <v>6302.39.00</v>
      </c>
      <c r="L2396" s="8">
        <f>_xlfn.IFNA(INDEX('HS Codes'!$D$2:$K4950,MATCH($B2396,'HS Codes'!$A$2:$A4950,0),MATCH(L$1,'HS Codes'!$D$1:$K$1,0)),"")</f>
        <v>63029120</v>
      </c>
      <c r="M2396" s="8" t="str">
        <f>_xlfn.IFNA(INDEX('HS Codes'!$C$2:$C4950,MATCH($B2396,'HS Codes'!$A$2:$A4950,0)),"")</f>
        <v>Fitness Towels - Toilet Linen 100% recycled 220 GSM/83% polyester/17% polyamide (no cotton)</v>
      </c>
      <c r="N2396" s="9"/>
      <c r="O2396" s="9"/>
      <c r="P2396" s="9"/>
      <c r="Q2396" s="9"/>
    </row>
    <row r="2397" spans="1:17" ht="15.75" customHeight="1">
      <c r="A2397" s="7" t="s">
        <v>2689</v>
      </c>
      <c r="B2397" s="7" t="s">
        <v>172</v>
      </c>
      <c r="C2397" s="7" t="s">
        <v>278</v>
      </c>
      <c r="D2397" s="7" t="s">
        <v>173</v>
      </c>
      <c r="E2397" s="7" t="s">
        <v>377</v>
      </c>
      <c r="F2397" s="8" t="str">
        <f>_xlfn.IFNA(INDEX('HS Codes'!$D$2:$K4951,MATCH($B2397,'HS Codes'!$A$2:$A4951,0),MATCH(F$1,'HS Codes'!$D$1:$K$1,0)),"")</f>
        <v>6302.93.2000</v>
      </c>
      <c r="G2397" s="8">
        <f>_xlfn.IFNA(INDEX('HS Codes'!$D$2:$K4951,MATCH($B2397,'HS Codes'!$A$2:$A4951,0),MATCH(G$1,'HS Codes'!$D$1:$K$1,0)),"")</f>
        <v>6302600090</v>
      </c>
      <c r="H2397" s="8" t="str">
        <f>_xlfn.IFNA(INDEX('HS Codes'!$D$2:$K4951,MATCH($B2397,'HS Codes'!$A$2:$A4951,0),MATCH(H$1,'HS Codes'!$D$1:$K$1,0)),"")</f>
        <v>6302.93.00.00</v>
      </c>
      <c r="I2397" s="8">
        <f>_xlfn.IFNA(INDEX('HS Codes'!$D$2:$K4951,MATCH($B2397,'HS Codes'!$A$2:$A4951,0),MATCH(I$1,'HS Codes'!$D$1:$K$1,0)),"")</f>
        <v>6302939000</v>
      </c>
      <c r="J2397" s="8">
        <f>_xlfn.IFNA(INDEX('HS Codes'!$D$2:$K4951,MATCH($B2397,'HS Codes'!$A$2:$A4951,0),MATCH(J$1,'HS Codes'!$D$1:$K$1,0)),"")</f>
        <v>0</v>
      </c>
      <c r="K2397" s="8" t="str">
        <f>_xlfn.IFNA(INDEX('HS Codes'!$D$2:$K4951,MATCH($B2397,'HS Codes'!$A$2:$A4951,0),MATCH(K$1,'HS Codes'!$D$1:$K$1,0)),"")</f>
        <v>6302.39.00</v>
      </c>
      <c r="L2397" s="8">
        <f>_xlfn.IFNA(INDEX('HS Codes'!$D$2:$K4951,MATCH($B2397,'HS Codes'!$A$2:$A4951,0),MATCH(L$1,'HS Codes'!$D$1:$K$1,0)),"")</f>
        <v>63029120</v>
      </c>
      <c r="M2397" s="8" t="str">
        <f>_xlfn.IFNA(INDEX('HS Codes'!$C$2:$C4951,MATCH($B2397,'HS Codes'!$A$2:$A4951,0)),"")</f>
        <v>Bath Towel - Toilet Linen 100% recycled 340 GSM/83% polyester/17% polyamide (no cotton)</v>
      </c>
      <c r="N2397" s="9"/>
      <c r="O2397" s="9"/>
      <c r="P2397" s="9"/>
      <c r="Q2397" s="9"/>
    </row>
    <row r="2398" spans="1:17" ht="15.75" customHeight="1">
      <c r="A2398" s="7" t="s">
        <v>2690</v>
      </c>
      <c r="B2398" s="7" t="s">
        <v>172</v>
      </c>
      <c r="C2398" s="7" t="s">
        <v>278</v>
      </c>
      <c r="D2398" s="7" t="s">
        <v>173</v>
      </c>
      <c r="E2398" s="7" t="s">
        <v>377</v>
      </c>
      <c r="F2398" s="8" t="str">
        <f>_xlfn.IFNA(INDEX('HS Codes'!$D$2:$K4952,MATCH($B2398,'HS Codes'!$A$2:$A4952,0),MATCH(F$1,'HS Codes'!$D$1:$K$1,0)),"")</f>
        <v>6302.93.2000</v>
      </c>
      <c r="G2398" s="8">
        <f>_xlfn.IFNA(INDEX('HS Codes'!$D$2:$K4952,MATCH($B2398,'HS Codes'!$A$2:$A4952,0),MATCH(G$1,'HS Codes'!$D$1:$K$1,0)),"")</f>
        <v>6302600090</v>
      </c>
      <c r="H2398" s="8" t="str">
        <f>_xlfn.IFNA(INDEX('HS Codes'!$D$2:$K4952,MATCH($B2398,'HS Codes'!$A$2:$A4952,0),MATCH(H$1,'HS Codes'!$D$1:$K$1,0)),"")</f>
        <v>6302.93.00.00</v>
      </c>
      <c r="I2398" s="8">
        <f>_xlfn.IFNA(INDEX('HS Codes'!$D$2:$K4952,MATCH($B2398,'HS Codes'!$A$2:$A4952,0),MATCH(I$1,'HS Codes'!$D$1:$K$1,0)),"")</f>
        <v>6302939000</v>
      </c>
      <c r="J2398" s="8">
        <f>_xlfn.IFNA(INDEX('HS Codes'!$D$2:$K4952,MATCH($B2398,'HS Codes'!$A$2:$A4952,0),MATCH(J$1,'HS Codes'!$D$1:$K$1,0)),"")</f>
        <v>0</v>
      </c>
      <c r="K2398" s="8" t="str">
        <f>_xlfn.IFNA(INDEX('HS Codes'!$D$2:$K4952,MATCH($B2398,'HS Codes'!$A$2:$A4952,0),MATCH(K$1,'HS Codes'!$D$1:$K$1,0)),"")</f>
        <v>6302.39.00</v>
      </c>
      <c r="L2398" s="8">
        <f>_xlfn.IFNA(INDEX('HS Codes'!$D$2:$K4952,MATCH($B2398,'HS Codes'!$A$2:$A4952,0),MATCH(L$1,'HS Codes'!$D$1:$K$1,0)),"")</f>
        <v>63029120</v>
      </c>
      <c r="M2398" s="8" t="str">
        <f>_xlfn.IFNA(INDEX('HS Codes'!$C$2:$C4952,MATCH($B2398,'HS Codes'!$A$2:$A4952,0)),"")</f>
        <v>Bath Towel - Toilet Linen 100% recycled 340 GSM/83% polyester/17% polyamide (no cotton)</v>
      </c>
      <c r="N2398" s="9"/>
      <c r="O2398" s="9"/>
      <c r="P2398" s="9"/>
      <c r="Q2398" s="9"/>
    </row>
    <row r="2399" spans="1:17" ht="15.75" customHeight="1">
      <c r="A2399" s="7" t="s">
        <v>2691</v>
      </c>
      <c r="B2399" s="7" t="s">
        <v>172</v>
      </c>
      <c r="C2399" s="7" t="s">
        <v>278</v>
      </c>
      <c r="D2399" s="7" t="s">
        <v>173</v>
      </c>
      <c r="E2399" s="7" t="s">
        <v>377</v>
      </c>
      <c r="F2399" s="8" t="str">
        <f>_xlfn.IFNA(INDEX('HS Codes'!$D$2:$K4953,MATCH($B2399,'HS Codes'!$A$2:$A4953,0),MATCH(F$1,'HS Codes'!$D$1:$K$1,0)),"")</f>
        <v>6302.93.2000</v>
      </c>
      <c r="G2399" s="8">
        <f>_xlfn.IFNA(INDEX('HS Codes'!$D$2:$K4953,MATCH($B2399,'HS Codes'!$A$2:$A4953,0),MATCH(G$1,'HS Codes'!$D$1:$K$1,0)),"")</f>
        <v>6302600090</v>
      </c>
      <c r="H2399" s="8" t="str">
        <f>_xlfn.IFNA(INDEX('HS Codes'!$D$2:$K4953,MATCH($B2399,'HS Codes'!$A$2:$A4953,0),MATCH(H$1,'HS Codes'!$D$1:$K$1,0)),"")</f>
        <v>6302.93.00.00</v>
      </c>
      <c r="I2399" s="8">
        <f>_xlfn.IFNA(INDEX('HS Codes'!$D$2:$K4953,MATCH($B2399,'HS Codes'!$A$2:$A4953,0),MATCH(I$1,'HS Codes'!$D$1:$K$1,0)),"")</f>
        <v>6302939000</v>
      </c>
      <c r="J2399" s="8">
        <f>_xlfn.IFNA(INDEX('HS Codes'!$D$2:$K4953,MATCH($B2399,'HS Codes'!$A$2:$A4953,0),MATCH(J$1,'HS Codes'!$D$1:$K$1,0)),"")</f>
        <v>0</v>
      </c>
      <c r="K2399" s="8" t="str">
        <f>_xlfn.IFNA(INDEX('HS Codes'!$D$2:$K4953,MATCH($B2399,'HS Codes'!$A$2:$A4953,0),MATCH(K$1,'HS Codes'!$D$1:$K$1,0)),"")</f>
        <v>6302.39.00</v>
      </c>
      <c r="L2399" s="8">
        <f>_xlfn.IFNA(INDEX('HS Codes'!$D$2:$K4953,MATCH($B2399,'HS Codes'!$A$2:$A4953,0),MATCH(L$1,'HS Codes'!$D$1:$K$1,0)),"")</f>
        <v>63029120</v>
      </c>
      <c r="M2399" s="8" t="str">
        <f>_xlfn.IFNA(INDEX('HS Codes'!$C$2:$C4953,MATCH($B2399,'HS Codes'!$A$2:$A4953,0)),"")</f>
        <v>Bath Towel - Toilet Linen 100% recycled 340 GSM/83% polyester/17% polyamide (no cotton)</v>
      </c>
      <c r="N2399" s="9"/>
      <c r="O2399" s="9"/>
      <c r="P2399" s="9"/>
      <c r="Q2399" s="9"/>
    </row>
    <row r="2400" spans="1:17" ht="15.75" customHeight="1">
      <c r="A2400" s="7" t="s">
        <v>2692</v>
      </c>
      <c r="B2400" s="7" t="s">
        <v>172</v>
      </c>
      <c r="C2400" s="7" t="s">
        <v>278</v>
      </c>
      <c r="D2400" s="7" t="s">
        <v>173</v>
      </c>
      <c r="E2400" s="7" t="s">
        <v>377</v>
      </c>
      <c r="F2400" s="8" t="str">
        <f>_xlfn.IFNA(INDEX('HS Codes'!$D$2:$K4954,MATCH($B2400,'HS Codes'!$A$2:$A4954,0),MATCH(F$1,'HS Codes'!$D$1:$K$1,0)),"")</f>
        <v>6302.93.2000</v>
      </c>
      <c r="G2400" s="8">
        <f>_xlfn.IFNA(INDEX('HS Codes'!$D$2:$K4954,MATCH($B2400,'HS Codes'!$A$2:$A4954,0),MATCH(G$1,'HS Codes'!$D$1:$K$1,0)),"")</f>
        <v>6302600090</v>
      </c>
      <c r="H2400" s="8" t="str">
        <f>_xlfn.IFNA(INDEX('HS Codes'!$D$2:$K4954,MATCH($B2400,'HS Codes'!$A$2:$A4954,0),MATCH(H$1,'HS Codes'!$D$1:$K$1,0)),"")</f>
        <v>6302.93.00.00</v>
      </c>
      <c r="I2400" s="8">
        <f>_xlfn.IFNA(INDEX('HS Codes'!$D$2:$K4954,MATCH($B2400,'HS Codes'!$A$2:$A4954,0),MATCH(I$1,'HS Codes'!$D$1:$K$1,0)),"")</f>
        <v>6302939000</v>
      </c>
      <c r="J2400" s="8">
        <f>_xlfn.IFNA(INDEX('HS Codes'!$D$2:$K4954,MATCH($B2400,'HS Codes'!$A$2:$A4954,0),MATCH(J$1,'HS Codes'!$D$1:$K$1,0)),"")</f>
        <v>0</v>
      </c>
      <c r="K2400" s="8" t="str">
        <f>_xlfn.IFNA(INDEX('HS Codes'!$D$2:$K4954,MATCH($B2400,'HS Codes'!$A$2:$A4954,0),MATCH(K$1,'HS Codes'!$D$1:$K$1,0)),"")</f>
        <v>6302.39.00</v>
      </c>
      <c r="L2400" s="8">
        <f>_xlfn.IFNA(INDEX('HS Codes'!$D$2:$K4954,MATCH($B2400,'HS Codes'!$A$2:$A4954,0),MATCH(L$1,'HS Codes'!$D$1:$K$1,0)),"")</f>
        <v>63029120</v>
      </c>
      <c r="M2400" s="8" t="str">
        <f>_xlfn.IFNA(INDEX('HS Codes'!$C$2:$C4954,MATCH($B2400,'HS Codes'!$A$2:$A4954,0)),"")</f>
        <v>Bath Towel - Toilet Linen 100% recycled 340 GSM/83% polyester/17% polyamide (no cotton)</v>
      </c>
      <c r="N2400" s="9"/>
      <c r="O2400" s="9"/>
      <c r="P2400" s="9"/>
      <c r="Q2400" s="9"/>
    </row>
    <row r="2401" spans="1:17" ht="15.75" customHeight="1">
      <c r="A2401" s="7" t="s">
        <v>2693</v>
      </c>
      <c r="B2401" s="7" t="s">
        <v>172</v>
      </c>
      <c r="C2401" s="7" t="s">
        <v>278</v>
      </c>
      <c r="D2401" s="7" t="s">
        <v>173</v>
      </c>
      <c r="E2401" s="7" t="s">
        <v>377</v>
      </c>
      <c r="F2401" s="8" t="str">
        <f>_xlfn.IFNA(INDEX('HS Codes'!$D$2:$K4955,MATCH($B2401,'HS Codes'!$A$2:$A4955,0),MATCH(F$1,'HS Codes'!$D$1:$K$1,0)),"")</f>
        <v>6302.93.2000</v>
      </c>
      <c r="G2401" s="8">
        <f>_xlfn.IFNA(INDEX('HS Codes'!$D$2:$K4955,MATCH($B2401,'HS Codes'!$A$2:$A4955,0),MATCH(G$1,'HS Codes'!$D$1:$K$1,0)),"")</f>
        <v>6302600090</v>
      </c>
      <c r="H2401" s="8" t="str">
        <f>_xlfn.IFNA(INDEX('HS Codes'!$D$2:$K4955,MATCH($B2401,'HS Codes'!$A$2:$A4955,0),MATCH(H$1,'HS Codes'!$D$1:$K$1,0)),"")</f>
        <v>6302.93.00.00</v>
      </c>
      <c r="I2401" s="8">
        <f>_xlfn.IFNA(INDEX('HS Codes'!$D$2:$K4955,MATCH($B2401,'HS Codes'!$A$2:$A4955,0),MATCH(I$1,'HS Codes'!$D$1:$K$1,0)),"")</f>
        <v>6302939000</v>
      </c>
      <c r="J2401" s="8">
        <f>_xlfn.IFNA(INDEX('HS Codes'!$D$2:$K4955,MATCH($B2401,'HS Codes'!$A$2:$A4955,0),MATCH(J$1,'HS Codes'!$D$1:$K$1,0)),"")</f>
        <v>0</v>
      </c>
      <c r="K2401" s="8" t="str">
        <f>_xlfn.IFNA(INDEX('HS Codes'!$D$2:$K4955,MATCH($B2401,'HS Codes'!$A$2:$A4955,0),MATCH(K$1,'HS Codes'!$D$1:$K$1,0)),"")</f>
        <v>6302.39.00</v>
      </c>
      <c r="L2401" s="8">
        <f>_xlfn.IFNA(INDEX('HS Codes'!$D$2:$K4955,MATCH($B2401,'HS Codes'!$A$2:$A4955,0),MATCH(L$1,'HS Codes'!$D$1:$K$1,0)),"")</f>
        <v>63029120</v>
      </c>
      <c r="M2401" s="8" t="str">
        <f>_xlfn.IFNA(INDEX('HS Codes'!$C$2:$C4955,MATCH($B2401,'HS Codes'!$A$2:$A4955,0)),"")</f>
        <v>Bath Towel - Toilet Linen 100% recycled 340 GSM/83% polyester/17% polyamide (no cotton)</v>
      </c>
      <c r="N2401" s="9"/>
      <c r="O2401" s="9"/>
      <c r="P2401" s="9"/>
      <c r="Q2401" s="9"/>
    </row>
    <row r="2402" spans="1:17" ht="15.75" customHeight="1">
      <c r="A2402" s="7" t="s">
        <v>2694</v>
      </c>
      <c r="B2402" s="7" t="s">
        <v>172</v>
      </c>
      <c r="C2402" s="7" t="s">
        <v>278</v>
      </c>
      <c r="D2402" s="7" t="s">
        <v>173</v>
      </c>
      <c r="E2402" s="7" t="s">
        <v>377</v>
      </c>
      <c r="F2402" s="8" t="str">
        <f>_xlfn.IFNA(INDEX('HS Codes'!$D$2:$K4956,MATCH($B2402,'HS Codes'!$A$2:$A4956,0),MATCH(F$1,'HS Codes'!$D$1:$K$1,0)),"")</f>
        <v>6302.93.2000</v>
      </c>
      <c r="G2402" s="8">
        <f>_xlfn.IFNA(INDEX('HS Codes'!$D$2:$K4956,MATCH($B2402,'HS Codes'!$A$2:$A4956,0),MATCH(G$1,'HS Codes'!$D$1:$K$1,0)),"")</f>
        <v>6302600090</v>
      </c>
      <c r="H2402" s="8" t="str">
        <f>_xlfn.IFNA(INDEX('HS Codes'!$D$2:$K4956,MATCH($B2402,'HS Codes'!$A$2:$A4956,0),MATCH(H$1,'HS Codes'!$D$1:$K$1,0)),"")</f>
        <v>6302.93.00.00</v>
      </c>
      <c r="I2402" s="8">
        <f>_xlfn.IFNA(INDEX('HS Codes'!$D$2:$K4956,MATCH($B2402,'HS Codes'!$A$2:$A4956,0),MATCH(I$1,'HS Codes'!$D$1:$K$1,0)),"")</f>
        <v>6302939000</v>
      </c>
      <c r="J2402" s="8">
        <f>_xlfn.IFNA(INDEX('HS Codes'!$D$2:$K4956,MATCH($B2402,'HS Codes'!$A$2:$A4956,0),MATCH(J$1,'HS Codes'!$D$1:$K$1,0)),"")</f>
        <v>0</v>
      </c>
      <c r="K2402" s="8" t="str">
        <f>_xlfn.IFNA(INDEX('HS Codes'!$D$2:$K4956,MATCH($B2402,'HS Codes'!$A$2:$A4956,0),MATCH(K$1,'HS Codes'!$D$1:$K$1,0)),"")</f>
        <v>6302.39.00</v>
      </c>
      <c r="L2402" s="8">
        <f>_xlfn.IFNA(INDEX('HS Codes'!$D$2:$K4956,MATCH($B2402,'HS Codes'!$A$2:$A4956,0),MATCH(L$1,'HS Codes'!$D$1:$K$1,0)),"")</f>
        <v>63029120</v>
      </c>
      <c r="M2402" s="8" t="str">
        <f>_xlfn.IFNA(INDEX('HS Codes'!$C$2:$C4956,MATCH($B2402,'HS Codes'!$A$2:$A4956,0)),"")</f>
        <v>Bath Towel - Toilet Linen 100% recycled 340 GSM/83% polyester/17% polyamide (no cotton)</v>
      </c>
      <c r="N2402" s="9"/>
      <c r="O2402" s="9"/>
      <c r="P2402" s="9"/>
      <c r="Q2402" s="9"/>
    </row>
    <row r="2403" spans="1:17" ht="15.75" customHeight="1">
      <c r="A2403" s="7" t="s">
        <v>2695</v>
      </c>
      <c r="B2403" s="7" t="s">
        <v>172</v>
      </c>
      <c r="C2403" s="7" t="s">
        <v>278</v>
      </c>
      <c r="D2403" s="7" t="s">
        <v>173</v>
      </c>
      <c r="E2403" s="7" t="s">
        <v>377</v>
      </c>
      <c r="F2403" s="8" t="str">
        <f>_xlfn.IFNA(INDEX('HS Codes'!$D$2:$K4957,MATCH($B2403,'HS Codes'!$A$2:$A4957,0),MATCH(F$1,'HS Codes'!$D$1:$K$1,0)),"")</f>
        <v>6302.93.2000</v>
      </c>
      <c r="G2403" s="8">
        <f>_xlfn.IFNA(INDEX('HS Codes'!$D$2:$K4957,MATCH($B2403,'HS Codes'!$A$2:$A4957,0),MATCH(G$1,'HS Codes'!$D$1:$K$1,0)),"")</f>
        <v>6302600090</v>
      </c>
      <c r="H2403" s="8" t="str">
        <f>_xlfn.IFNA(INDEX('HS Codes'!$D$2:$K4957,MATCH($B2403,'HS Codes'!$A$2:$A4957,0),MATCH(H$1,'HS Codes'!$D$1:$K$1,0)),"")</f>
        <v>6302.93.00.00</v>
      </c>
      <c r="I2403" s="8">
        <f>_xlfn.IFNA(INDEX('HS Codes'!$D$2:$K4957,MATCH($B2403,'HS Codes'!$A$2:$A4957,0),MATCH(I$1,'HS Codes'!$D$1:$K$1,0)),"")</f>
        <v>6302939000</v>
      </c>
      <c r="J2403" s="8">
        <f>_xlfn.IFNA(INDEX('HS Codes'!$D$2:$K4957,MATCH($B2403,'HS Codes'!$A$2:$A4957,0),MATCH(J$1,'HS Codes'!$D$1:$K$1,0)),"")</f>
        <v>0</v>
      </c>
      <c r="K2403" s="8" t="str">
        <f>_xlfn.IFNA(INDEX('HS Codes'!$D$2:$K4957,MATCH($B2403,'HS Codes'!$A$2:$A4957,0),MATCH(K$1,'HS Codes'!$D$1:$K$1,0)),"")</f>
        <v>6302.39.00</v>
      </c>
      <c r="L2403" s="8">
        <f>_xlfn.IFNA(INDEX('HS Codes'!$D$2:$K4957,MATCH($B2403,'HS Codes'!$A$2:$A4957,0),MATCH(L$1,'HS Codes'!$D$1:$K$1,0)),"")</f>
        <v>63029120</v>
      </c>
      <c r="M2403" s="8" t="str">
        <f>_xlfn.IFNA(INDEX('HS Codes'!$C$2:$C4957,MATCH($B2403,'HS Codes'!$A$2:$A4957,0)),"")</f>
        <v>Bath Towel - Toilet Linen 100% recycled 340 GSM/83% polyester/17% polyamide (no cotton)</v>
      </c>
      <c r="N2403" s="9"/>
      <c r="O2403" s="9"/>
      <c r="P2403" s="9"/>
      <c r="Q2403" s="9"/>
    </row>
    <row r="2404" spans="1:17" ht="15.75" customHeight="1">
      <c r="A2404" s="7" t="s">
        <v>2696</v>
      </c>
      <c r="B2404" s="7" t="s">
        <v>172</v>
      </c>
      <c r="C2404" s="7" t="s">
        <v>278</v>
      </c>
      <c r="D2404" s="7" t="s">
        <v>173</v>
      </c>
      <c r="E2404" s="7" t="s">
        <v>377</v>
      </c>
      <c r="F2404" s="8" t="str">
        <f>_xlfn.IFNA(INDEX('HS Codes'!$D$2:$K4958,MATCH($B2404,'HS Codes'!$A$2:$A4958,0),MATCH(F$1,'HS Codes'!$D$1:$K$1,0)),"")</f>
        <v>6302.93.2000</v>
      </c>
      <c r="G2404" s="8">
        <f>_xlfn.IFNA(INDEX('HS Codes'!$D$2:$K4958,MATCH($B2404,'HS Codes'!$A$2:$A4958,0),MATCH(G$1,'HS Codes'!$D$1:$K$1,0)),"")</f>
        <v>6302600090</v>
      </c>
      <c r="H2404" s="8" t="str">
        <f>_xlfn.IFNA(INDEX('HS Codes'!$D$2:$K4958,MATCH($B2404,'HS Codes'!$A$2:$A4958,0),MATCH(H$1,'HS Codes'!$D$1:$K$1,0)),"")</f>
        <v>6302.93.00.00</v>
      </c>
      <c r="I2404" s="8">
        <f>_xlfn.IFNA(INDEX('HS Codes'!$D$2:$K4958,MATCH($B2404,'HS Codes'!$A$2:$A4958,0),MATCH(I$1,'HS Codes'!$D$1:$K$1,0)),"")</f>
        <v>6302939000</v>
      </c>
      <c r="J2404" s="8">
        <f>_xlfn.IFNA(INDEX('HS Codes'!$D$2:$K4958,MATCH($B2404,'HS Codes'!$A$2:$A4958,0),MATCH(J$1,'HS Codes'!$D$1:$K$1,0)),"")</f>
        <v>0</v>
      </c>
      <c r="K2404" s="8" t="str">
        <f>_xlfn.IFNA(INDEX('HS Codes'!$D$2:$K4958,MATCH($B2404,'HS Codes'!$A$2:$A4958,0),MATCH(K$1,'HS Codes'!$D$1:$K$1,0)),"")</f>
        <v>6302.39.00</v>
      </c>
      <c r="L2404" s="8">
        <f>_xlfn.IFNA(INDEX('HS Codes'!$D$2:$K4958,MATCH($B2404,'HS Codes'!$A$2:$A4958,0),MATCH(L$1,'HS Codes'!$D$1:$K$1,0)),"")</f>
        <v>63029120</v>
      </c>
      <c r="M2404" s="8" t="str">
        <f>_xlfn.IFNA(INDEX('HS Codes'!$C$2:$C4958,MATCH($B2404,'HS Codes'!$A$2:$A4958,0)),"")</f>
        <v>Bath Towel - Toilet Linen 100% recycled 340 GSM/83% polyester/17% polyamide (no cotton)</v>
      </c>
      <c r="N2404" s="9"/>
      <c r="O2404" s="9"/>
      <c r="P2404" s="9"/>
      <c r="Q2404" s="9"/>
    </row>
    <row r="2405" spans="1:17" ht="15.75" customHeight="1">
      <c r="A2405" s="7" t="s">
        <v>2697</v>
      </c>
      <c r="B2405" s="7" t="s">
        <v>172</v>
      </c>
      <c r="C2405" s="7" t="s">
        <v>278</v>
      </c>
      <c r="D2405" s="7" t="s">
        <v>173</v>
      </c>
      <c r="E2405" s="7" t="s">
        <v>377</v>
      </c>
      <c r="F2405" s="8" t="str">
        <f>_xlfn.IFNA(INDEX('HS Codes'!$D$2:$K4959,MATCH($B2405,'HS Codes'!$A$2:$A4959,0),MATCH(F$1,'HS Codes'!$D$1:$K$1,0)),"")</f>
        <v>6302.93.2000</v>
      </c>
      <c r="G2405" s="8">
        <f>_xlfn.IFNA(INDEX('HS Codes'!$D$2:$K4959,MATCH($B2405,'HS Codes'!$A$2:$A4959,0),MATCH(G$1,'HS Codes'!$D$1:$K$1,0)),"")</f>
        <v>6302600090</v>
      </c>
      <c r="H2405" s="8" t="str">
        <f>_xlfn.IFNA(INDEX('HS Codes'!$D$2:$K4959,MATCH($B2405,'HS Codes'!$A$2:$A4959,0),MATCH(H$1,'HS Codes'!$D$1:$K$1,0)),"")</f>
        <v>6302.93.00.00</v>
      </c>
      <c r="I2405" s="8">
        <f>_xlfn.IFNA(INDEX('HS Codes'!$D$2:$K4959,MATCH($B2405,'HS Codes'!$A$2:$A4959,0),MATCH(I$1,'HS Codes'!$D$1:$K$1,0)),"")</f>
        <v>6302939000</v>
      </c>
      <c r="J2405" s="8">
        <f>_xlfn.IFNA(INDEX('HS Codes'!$D$2:$K4959,MATCH($B2405,'HS Codes'!$A$2:$A4959,0),MATCH(J$1,'HS Codes'!$D$1:$K$1,0)),"")</f>
        <v>0</v>
      </c>
      <c r="K2405" s="8" t="str">
        <f>_xlfn.IFNA(INDEX('HS Codes'!$D$2:$K4959,MATCH($B2405,'HS Codes'!$A$2:$A4959,0),MATCH(K$1,'HS Codes'!$D$1:$K$1,0)),"")</f>
        <v>6302.39.00</v>
      </c>
      <c r="L2405" s="8">
        <f>_xlfn.IFNA(INDEX('HS Codes'!$D$2:$K4959,MATCH($B2405,'HS Codes'!$A$2:$A4959,0),MATCH(L$1,'HS Codes'!$D$1:$K$1,0)),"")</f>
        <v>63029120</v>
      </c>
      <c r="M2405" s="8" t="str">
        <f>_xlfn.IFNA(INDEX('HS Codes'!$C$2:$C4959,MATCH($B2405,'HS Codes'!$A$2:$A4959,0)),"")</f>
        <v>Bath Towel - Toilet Linen 100% recycled 340 GSM/83% polyester/17% polyamide (no cotton)</v>
      </c>
      <c r="N2405" s="9"/>
      <c r="O2405" s="9"/>
      <c r="P2405" s="9"/>
      <c r="Q2405" s="9"/>
    </row>
    <row r="2406" spans="1:17" ht="15.75" customHeight="1">
      <c r="A2406" s="7" t="s">
        <v>2698</v>
      </c>
      <c r="B2406" s="7" t="s">
        <v>172</v>
      </c>
      <c r="C2406" s="7" t="s">
        <v>278</v>
      </c>
      <c r="D2406" s="7" t="s">
        <v>173</v>
      </c>
      <c r="E2406" s="7" t="s">
        <v>377</v>
      </c>
      <c r="F2406" s="8" t="str">
        <f>_xlfn.IFNA(INDEX('HS Codes'!$D$2:$K4960,MATCH($B2406,'HS Codes'!$A$2:$A4960,0),MATCH(F$1,'HS Codes'!$D$1:$K$1,0)),"")</f>
        <v>6302.93.2000</v>
      </c>
      <c r="G2406" s="8">
        <f>_xlfn.IFNA(INDEX('HS Codes'!$D$2:$K4960,MATCH($B2406,'HS Codes'!$A$2:$A4960,0),MATCH(G$1,'HS Codes'!$D$1:$K$1,0)),"")</f>
        <v>6302600090</v>
      </c>
      <c r="H2406" s="8" t="str">
        <f>_xlfn.IFNA(INDEX('HS Codes'!$D$2:$K4960,MATCH($B2406,'HS Codes'!$A$2:$A4960,0),MATCH(H$1,'HS Codes'!$D$1:$K$1,0)),"")</f>
        <v>6302.93.00.00</v>
      </c>
      <c r="I2406" s="8">
        <f>_xlfn.IFNA(INDEX('HS Codes'!$D$2:$K4960,MATCH($B2406,'HS Codes'!$A$2:$A4960,0),MATCH(I$1,'HS Codes'!$D$1:$K$1,0)),"")</f>
        <v>6302939000</v>
      </c>
      <c r="J2406" s="8">
        <f>_xlfn.IFNA(INDEX('HS Codes'!$D$2:$K4960,MATCH($B2406,'HS Codes'!$A$2:$A4960,0),MATCH(J$1,'HS Codes'!$D$1:$K$1,0)),"")</f>
        <v>0</v>
      </c>
      <c r="K2406" s="8" t="str">
        <f>_xlfn.IFNA(INDEX('HS Codes'!$D$2:$K4960,MATCH($B2406,'HS Codes'!$A$2:$A4960,0),MATCH(K$1,'HS Codes'!$D$1:$K$1,0)),"")</f>
        <v>6302.39.00</v>
      </c>
      <c r="L2406" s="8">
        <f>_xlfn.IFNA(INDEX('HS Codes'!$D$2:$K4960,MATCH($B2406,'HS Codes'!$A$2:$A4960,0),MATCH(L$1,'HS Codes'!$D$1:$K$1,0)),"")</f>
        <v>63029120</v>
      </c>
      <c r="M2406" s="8" t="str">
        <f>_xlfn.IFNA(INDEX('HS Codes'!$C$2:$C4960,MATCH($B2406,'HS Codes'!$A$2:$A4960,0)),"")</f>
        <v>Bath Towel - Toilet Linen 100% recycled 340 GSM/83% polyester/17% polyamide (no cotton)</v>
      </c>
      <c r="N2406" s="9"/>
      <c r="O2406" s="9"/>
      <c r="P2406" s="9"/>
      <c r="Q2406" s="9"/>
    </row>
    <row r="2407" spans="1:17" ht="15.75" customHeight="1">
      <c r="A2407" s="7" t="s">
        <v>2699</v>
      </c>
      <c r="B2407" s="7" t="s">
        <v>172</v>
      </c>
      <c r="C2407" s="7" t="s">
        <v>278</v>
      </c>
      <c r="D2407" s="7" t="s">
        <v>173</v>
      </c>
      <c r="E2407" s="7" t="s">
        <v>377</v>
      </c>
      <c r="F2407" s="8" t="str">
        <f>_xlfn.IFNA(INDEX('HS Codes'!$D$2:$K4961,MATCH($B2407,'HS Codes'!$A$2:$A4961,0),MATCH(F$1,'HS Codes'!$D$1:$K$1,0)),"")</f>
        <v>6302.93.2000</v>
      </c>
      <c r="G2407" s="8">
        <f>_xlfn.IFNA(INDEX('HS Codes'!$D$2:$K4961,MATCH($B2407,'HS Codes'!$A$2:$A4961,0),MATCH(G$1,'HS Codes'!$D$1:$K$1,0)),"")</f>
        <v>6302600090</v>
      </c>
      <c r="H2407" s="8" t="str">
        <f>_xlfn.IFNA(INDEX('HS Codes'!$D$2:$K4961,MATCH($B2407,'HS Codes'!$A$2:$A4961,0),MATCH(H$1,'HS Codes'!$D$1:$K$1,0)),"")</f>
        <v>6302.93.00.00</v>
      </c>
      <c r="I2407" s="8">
        <f>_xlfn.IFNA(INDEX('HS Codes'!$D$2:$K4961,MATCH($B2407,'HS Codes'!$A$2:$A4961,0),MATCH(I$1,'HS Codes'!$D$1:$K$1,0)),"")</f>
        <v>6302939000</v>
      </c>
      <c r="J2407" s="8">
        <f>_xlfn.IFNA(INDEX('HS Codes'!$D$2:$K4961,MATCH($B2407,'HS Codes'!$A$2:$A4961,0),MATCH(J$1,'HS Codes'!$D$1:$K$1,0)),"")</f>
        <v>0</v>
      </c>
      <c r="K2407" s="8" t="str">
        <f>_xlfn.IFNA(INDEX('HS Codes'!$D$2:$K4961,MATCH($B2407,'HS Codes'!$A$2:$A4961,0),MATCH(K$1,'HS Codes'!$D$1:$K$1,0)),"")</f>
        <v>6302.39.00</v>
      </c>
      <c r="L2407" s="8">
        <f>_xlfn.IFNA(INDEX('HS Codes'!$D$2:$K4961,MATCH($B2407,'HS Codes'!$A$2:$A4961,0),MATCH(L$1,'HS Codes'!$D$1:$K$1,0)),"")</f>
        <v>63029120</v>
      </c>
      <c r="M2407" s="8" t="str">
        <f>_xlfn.IFNA(INDEX('HS Codes'!$C$2:$C4961,MATCH($B2407,'HS Codes'!$A$2:$A4961,0)),"")</f>
        <v>Bath Towel - Toilet Linen 100% recycled 340 GSM/83% polyester/17% polyamide (no cotton)</v>
      </c>
      <c r="N2407" s="9"/>
      <c r="O2407" s="9"/>
      <c r="P2407" s="9"/>
      <c r="Q2407" s="9"/>
    </row>
    <row r="2408" spans="1:17" ht="15.75" customHeight="1">
      <c r="A2408" s="7" t="s">
        <v>2700</v>
      </c>
      <c r="B2408" s="7" t="s">
        <v>172</v>
      </c>
      <c r="C2408" s="7" t="s">
        <v>278</v>
      </c>
      <c r="D2408" s="7" t="s">
        <v>173</v>
      </c>
      <c r="E2408" s="7" t="s">
        <v>377</v>
      </c>
      <c r="F2408" s="8" t="str">
        <f>_xlfn.IFNA(INDEX('HS Codes'!$D$2:$K4962,MATCH($B2408,'HS Codes'!$A$2:$A4962,0),MATCH(F$1,'HS Codes'!$D$1:$K$1,0)),"")</f>
        <v>6302.93.2000</v>
      </c>
      <c r="G2408" s="8">
        <f>_xlfn.IFNA(INDEX('HS Codes'!$D$2:$K4962,MATCH($B2408,'HS Codes'!$A$2:$A4962,0),MATCH(G$1,'HS Codes'!$D$1:$K$1,0)),"")</f>
        <v>6302600090</v>
      </c>
      <c r="H2408" s="8" t="str">
        <f>_xlfn.IFNA(INDEX('HS Codes'!$D$2:$K4962,MATCH($B2408,'HS Codes'!$A$2:$A4962,0),MATCH(H$1,'HS Codes'!$D$1:$K$1,0)),"")</f>
        <v>6302.93.00.00</v>
      </c>
      <c r="I2408" s="8">
        <f>_xlfn.IFNA(INDEX('HS Codes'!$D$2:$K4962,MATCH($B2408,'HS Codes'!$A$2:$A4962,0),MATCH(I$1,'HS Codes'!$D$1:$K$1,0)),"")</f>
        <v>6302939000</v>
      </c>
      <c r="J2408" s="8">
        <f>_xlfn.IFNA(INDEX('HS Codes'!$D$2:$K4962,MATCH($B2408,'HS Codes'!$A$2:$A4962,0),MATCH(J$1,'HS Codes'!$D$1:$K$1,0)),"")</f>
        <v>0</v>
      </c>
      <c r="K2408" s="8" t="str">
        <f>_xlfn.IFNA(INDEX('HS Codes'!$D$2:$K4962,MATCH($B2408,'HS Codes'!$A$2:$A4962,0),MATCH(K$1,'HS Codes'!$D$1:$K$1,0)),"")</f>
        <v>6302.39.00</v>
      </c>
      <c r="L2408" s="8">
        <f>_xlfn.IFNA(INDEX('HS Codes'!$D$2:$K4962,MATCH($B2408,'HS Codes'!$A$2:$A4962,0),MATCH(L$1,'HS Codes'!$D$1:$K$1,0)),"")</f>
        <v>63029120</v>
      </c>
      <c r="M2408" s="8" t="str">
        <f>_xlfn.IFNA(INDEX('HS Codes'!$C$2:$C4962,MATCH($B2408,'HS Codes'!$A$2:$A4962,0)),"")</f>
        <v>Bath Towel - Toilet Linen 100% recycled 340 GSM/83% polyester/17% polyamide (no cotton)</v>
      </c>
      <c r="N2408" s="9"/>
      <c r="O2408" s="9"/>
      <c r="P2408" s="9"/>
      <c r="Q2408" s="9"/>
    </row>
    <row r="2409" spans="1:17" ht="15.75" customHeight="1">
      <c r="A2409" s="7" t="s">
        <v>2701</v>
      </c>
      <c r="B2409" s="7" t="s">
        <v>172</v>
      </c>
      <c r="C2409" s="7" t="s">
        <v>278</v>
      </c>
      <c r="D2409" s="7" t="s">
        <v>173</v>
      </c>
      <c r="E2409" s="7" t="s">
        <v>377</v>
      </c>
      <c r="F2409" s="8" t="str">
        <f>_xlfn.IFNA(INDEX('HS Codes'!$D$2:$K4963,MATCH($B2409,'HS Codes'!$A$2:$A4963,0),MATCH(F$1,'HS Codes'!$D$1:$K$1,0)),"")</f>
        <v>6302.93.2000</v>
      </c>
      <c r="G2409" s="8">
        <f>_xlfn.IFNA(INDEX('HS Codes'!$D$2:$K4963,MATCH($B2409,'HS Codes'!$A$2:$A4963,0),MATCH(G$1,'HS Codes'!$D$1:$K$1,0)),"")</f>
        <v>6302600090</v>
      </c>
      <c r="H2409" s="8" t="str">
        <f>_xlfn.IFNA(INDEX('HS Codes'!$D$2:$K4963,MATCH($B2409,'HS Codes'!$A$2:$A4963,0),MATCH(H$1,'HS Codes'!$D$1:$K$1,0)),"")</f>
        <v>6302.93.00.00</v>
      </c>
      <c r="I2409" s="8">
        <f>_xlfn.IFNA(INDEX('HS Codes'!$D$2:$K4963,MATCH($B2409,'HS Codes'!$A$2:$A4963,0),MATCH(I$1,'HS Codes'!$D$1:$K$1,0)),"")</f>
        <v>6302939000</v>
      </c>
      <c r="J2409" s="8">
        <f>_xlfn.IFNA(INDEX('HS Codes'!$D$2:$K4963,MATCH($B2409,'HS Codes'!$A$2:$A4963,0),MATCH(J$1,'HS Codes'!$D$1:$K$1,0)),"")</f>
        <v>0</v>
      </c>
      <c r="K2409" s="8" t="str">
        <f>_xlfn.IFNA(INDEX('HS Codes'!$D$2:$K4963,MATCH($B2409,'HS Codes'!$A$2:$A4963,0),MATCH(K$1,'HS Codes'!$D$1:$K$1,0)),"")</f>
        <v>6302.39.00</v>
      </c>
      <c r="L2409" s="8">
        <f>_xlfn.IFNA(INDEX('HS Codes'!$D$2:$K4963,MATCH($B2409,'HS Codes'!$A$2:$A4963,0),MATCH(L$1,'HS Codes'!$D$1:$K$1,0)),"")</f>
        <v>63029120</v>
      </c>
      <c r="M2409" s="8" t="str">
        <f>_xlfn.IFNA(INDEX('HS Codes'!$C$2:$C4963,MATCH($B2409,'HS Codes'!$A$2:$A4963,0)),"")</f>
        <v>Bath Towel - Toilet Linen 100% recycled 340 GSM/83% polyester/17% polyamide (no cotton)</v>
      </c>
      <c r="N2409" s="9"/>
      <c r="O2409" s="9"/>
      <c r="P2409" s="9"/>
      <c r="Q2409" s="9"/>
    </row>
    <row r="2410" spans="1:17" ht="15.75" customHeight="1">
      <c r="A2410" s="7" t="s">
        <v>2702</v>
      </c>
      <c r="B2410" s="7" t="s">
        <v>172</v>
      </c>
      <c r="C2410" s="7" t="s">
        <v>278</v>
      </c>
      <c r="D2410" s="7" t="s">
        <v>173</v>
      </c>
      <c r="E2410" s="7" t="s">
        <v>377</v>
      </c>
      <c r="F2410" s="8" t="str">
        <f>_xlfn.IFNA(INDEX('HS Codes'!$D$2:$K4964,MATCH($B2410,'HS Codes'!$A$2:$A4964,0),MATCH(F$1,'HS Codes'!$D$1:$K$1,0)),"")</f>
        <v>6302.93.2000</v>
      </c>
      <c r="G2410" s="8">
        <f>_xlfn.IFNA(INDEX('HS Codes'!$D$2:$K4964,MATCH($B2410,'HS Codes'!$A$2:$A4964,0),MATCH(G$1,'HS Codes'!$D$1:$K$1,0)),"")</f>
        <v>6302600090</v>
      </c>
      <c r="H2410" s="8" t="str">
        <f>_xlfn.IFNA(INDEX('HS Codes'!$D$2:$K4964,MATCH($B2410,'HS Codes'!$A$2:$A4964,0),MATCH(H$1,'HS Codes'!$D$1:$K$1,0)),"")</f>
        <v>6302.93.00.00</v>
      </c>
      <c r="I2410" s="8">
        <f>_xlfn.IFNA(INDEX('HS Codes'!$D$2:$K4964,MATCH($B2410,'HS Codes'!$A$2:$A4964,0),MATCH(I$1,'HS Codes'!$D$1:$K$1,0)),"")</f>
        <v>6302939000</v>
      </c>
      <c r="J2410" s="8">
        <f>_xlfn.IFNA(INDEX('HS Codes'!$D$2:$K4964,MATCH($B2410,'HS Codes'!$A$2:$A4964,0),MATCH(J$1,'HS Codes'!$D$1:$K$1,0)),"")</f>
        <v>0</v>
      </c>
      <c r="K2410" s="8" t="str">
        <f>_xlfn.IFNA(INDEX('HS Codes'!$D$2:$K4964,MATCH($B2410,'HS Codes'!$A$2:$A4964,0),MATCH(K$1,'HS Codes'!$D$1:$K$1,0)),"")</f>
        <v>6302.39.00</v>
      </c>
      <c r="L2410" s="8">
        <f>_xlfn.IFNA(INDEX('HS Codes'!$D$2:$K4964,MATCH($B2410,'HS Codes'!$A$2:$A4964,0),MATCH(L$1,'HS Codes'!$D$1:$K$1,0)),"")</f>
        <v>63029120</v>
      </c>
      <c r="M2410" s="8" t="str">
        <f>_xlfn.IFNA(INDEX('HS Codes'!$C$2:$C4964,MATCH($B2410,'HS Codes'!$A$2:$A4964,0)),"")</f>
        <v>Bath Towel - Toilet Linen 100% recycled 340 GSM/83% polyester/17% polyamide (no cotton)</v>
      </c>
      <c r="N2410" s="9"/>
      <c r="O2410" s="9"/>
      <c r="P2410" s="9"/>
      <c r="Q2410" s="9"/>
    </row>
    <row r="2411" spans="1:17" ht="15.75" customHeight="1">
      <c r="A2411" s="7" t="s">
        <v>2703</v>
      </c>
      <c r="B2411" s="7" t="s">
        <v>172</v>
      </c>
      <c r="C2411" s="7" t="s">
        <v>278</v>
      </c>
      <c r="D2411" s="7" t="s">
        <v>173</v>
      </c>
      <c r="E2411" s="7" t="s">
        <v>377</v>
      </c>
      <c r="F2411" s="8" t="str">
        <f>_xlfn.IFNA(INDEX('HS Codes'!$D$2:$K4965,MATCH($B2411,'HS Codes'!$A$2:$A4965,0),MATCH(F$1,'HS Codes'!$D$1:$K$1,0)),"")</f>
        <v>6302.93.2000</v>
      </c>
      <c r="G2411" s="8">
        <f>_xlfn.IFNA(INDEX('HS Codes'!$D$2:$K4965,MATCH($B2411,'HS Codes'!$A$2:$A4965,0),MATCH(G$1,'HS Codes'!$D$1:$K$1,0)),"")</f>
        <v>6302600090</v>
      </c>
      <c r="H2411" s="8" t="str">
        <f>_xlfn.IFNA(INDEX('HS Codes'!$D$2:$K4965,MATCH($B2411,'HS Codes'!$A$2:$A4965,0),MATCH(H$1,'HS Codes'!$D$1:$K$1,0)),"")</f>
        <v>6302.93.00.00</v>
      </c>
      <c r="I2411" s="8">
        <f>_xlfn.IFNA(INDEX('HS Codes'!$D$2:$K4965,MATCH($B2411,'HS Codes'!$A$2:$A4965,0),MATCH(I$1,'HS Codes'!$D$1:$K$1,0)),"")</f>
        <v>6302939000</v>
      </c>
      <c r="J2411" s="8">
        <f>_xlfn.IFNA(INDEX('HS Codes'!$D$2:$K4965,MATCH($B2411,'HS Codes'!$A$2:$A4965,0),MATCH(J$1,'HS Codes'!$D$1:$K$1,0)),"")</f>
        <v>0</v>
      </c>
      <c r="K2411" s="8" t="str">
        <f>_xlfn.IFNA(INDEX('HS Codes'!$D$2:$K4965,MATCH($B2411,'HS Codes'!$A$2:$A4965,0),MATCH(K$1,'HS Codes'!$D$1:$K$1,0)),"")</f>
        <v>6302.39.00</v>
      </c>
      <c r="L2411" s="8">
        <f>_xlfn.IFNA(INDEX('HS Codes'!$D$2:$K4965,MATCH($B2411,'HS Codes'!$A$2:$A4965,0),MATCH(L$1,'HS Codes'!$D$1:$K$1,0)),"")</f>
        <v>63029120</v>
      </c>
      <c r="M2411" s="8" t="str">
        <f>_xlfn.IFNA(INDEX('HS Codes'!$C$2:$C4965,MATCH($B2411,'HS Codes'!$A$2:$A4965,0)),"")</f>
        <v>Bath Towel - Toilet Linen 100% recycled 340 GSM/83% polyester/17% polyamide (no cotton)</v>
      </c>
      <c r="N2411" s="9"/>
      <c r="O2411" s="9"/>
      <c r="P2411" s="9"/>
      <c r="Q2411" s="9"/>
    </row>
    <row r="2412" spans="1:17" ht="15.75" customHeight="1">
      <c r="A2412" s="7" t="s">
        <v>2704</v>
      </c>
      <c r="B2412" s="7" t="s">
        <v>172</v>
      </c>
      <c r="C2412" s="7" t="s">
        <v>278</v>
      </c>
      <c r="D2412" s="7" t="s">
        <v>173</v>
      </c>
      <c r="E2412" s="7" t="s">
        <v>377</v>
      </c>
      <c r="F2412" s="8" t="str">
        <f>_xlfn.IFNA(INDEX('HS Codes'!$D$2:$K4966,MATCH($B2412,'HS Codes'!$A$2:$A4966,0),MATCH(F$1,'HS Codes'!$D$1:$K$1,0)),"")</f>
        <v>6302.93.2000</v>
      </c>
      <c r="G2412" s="8">
        <f>_xlfn.IFNA(INDEX('HS Codes'!$D$2:$K4966,MATCH($B2412,'HS Codes'!$A$2:$A4966,0),MATCH(G$1,'HS Codes'!$D$1:$K$1,0)),"")</f>
        <v>6302600090</v>
      </c>
      <c r="H2412" s="8" t="str">
        <f>_xlfn.IFNA(INDEX('HS Codes'!$D$2:$K4966,MATCH($B2412,'HS Codes'!$A$2:$A4966,0),MATCH(H$1,'HS Codes'!$D$1:$K$1,0)),"")</f>
        <v>6302.93.00.00</v>
      </c>
      <c r="I2412" s="8">
        <f>_xlfn.IFNA(INDEX('HS Codes'!$D$2:$K4966,MATCH($B2412,'HS Codes'!$A$2:$A4966,0),MATCH(I$1,'HS Codes'!$D$1:$K$1,0)),"")</f>
        <v>6302939000</v>
      </c>
      <c r="J2412" s="8">
        <f>_xlfn.IFNA(INDEX('HS Codes'!$D$2:$K4966,MATCH($B2412,'HS Codes'!$A$2:$A4966,0),MATCH(J$1,'HS Codes'!$D$1:$K$1,0)),"")</f>
        <v>0</v>
      </c>
      <c r="K2412" s="8" t="str">
        <f>_xlfn.IFNA(INDEX('HS Codes'!$D$2:$K4966,MATCH($B2412,'HS Codes'!$A$2:$A4966,0),MATCH(K$1,'HS Codes'!$D$1:$K$1,0)),"")</f>
        <v>6302.39.00</v>
      </c>
      <c r="L2412" s="8">
        <f>_xlfn.IFNA(INDEX('HS Codes'!$D$2:$K4966,MATCH($B2412,'HS Codes'!$A$2:$A4966,0),MATCH(L$1,'HS Codes'!$D$1:$K$1,0)),"")</f>
        <v>63029120</v>
      </c>
      <c r="M2412" s="8" t="str">
        <f>_xlfn.IFNA(INDEX('HS Codes'!$C$2:$C4966,MATCH($B2412,'HS Codes'!$A$2:$A4966,0)),"")</f>
        <v>Bath Towel - Toilet Linen 100% recycled 340 GSM/83% polyester/17% polyamide (no cotton)</v>
      </c>
      <c r="N2412" s="9"/>
      <c r="O2412" s="9"/>
      <c r="P2412" s="9"/>
      <c r="Q2412" s="9"/>
    </row>
    <row r="2413" spans="1:17" ht="15.75" customHeight="1">
      <c r="A2413" s="7" t="s">
        <v>2705</v>
      </c>
      <c r="B2413" s="7" t="s">
        <v>172</v>
      </c>
      <c r="C2413" s="7" t="s">
        <v>278</v>
      </c>
      <c r="D2413" s="7" t="s">
        <v>173</v>
      </c>
      <c r="E2413" s="7" t="s">
        <v>377</v>
      </c>
      <c r="F2413" s="8" t="str">
        <f>_xlfn.IFNA(INDEX('HS Codes'!$D$2:$K4967,MATCH($B2413,'HS Codes'!$A$2:$A4967,0),MATCH(F$1,'HS Codes'!$D$1:$K$1,0)),"")</f>
        <v>6302.93.2000</v>
      </c>
      <c r="G2413" s="8">
        <f>_xlfn.IFNA(INDEX('HS Codes'!$D$2:$K4967,MATCH($B2413,'HS Codes'!$A$2:$A4967,0),MATCH(G$1,'HS Codes'!$D$1:$K$1,0)),"")</f>
        <v>6302600090</v>
      </c>
      <c r="H2413" s="8" t="str">
        <f>_xlfn.IFNA(INDEX('HS Codes'!$D$2:$K4967,MATCH($B2413,'HS Codes'!$A$2:$A4967,0),MATCH(H$1,'HS Codes'!$D$1:$K$1,0)),"")</f>
        <v>6302.93.00.00</v>
      </c>
      <c r="I2413" s="8">
        <f>_xlfn.IFNA(INDEX('HS Codes'!$D$2:$K4967,MATCH($B2413,'HS Codes'!$A$2:$A4967,0),MATCH(I$1,'HS Codes'!$D$1:$K$1,0)),"")</f>
        <v>6302939000</v>
      </c>
      <c r="J2413" s="8">
        <f>_xlfn.IFNA(INDEX('HS Codes'!$D$2:$K4967,MATCH($B2413,'HS Codes'!$A$2:$A4967,0),MATCH(J$1,'HS Codes'!$D$1:$K$1,0)),"")</f>
        <v>0</v>
      </c>
      <c r="K2413" s="8" t="str">
        <f>_xlfn.IFNA(INDEX('HS Codes'!$D$2:$K4967,MATCH($B2413,'HS Codes'!$A$2:$A4967,0),MATCH(K$1,'HS Codes'!$D$1:$K$1,0)),"")</f>
        <v>6302.39.00</v>
      </c>
      <c r="L2413" s="8">
        <f>_xlfn.IFNA(INDEX('HS Codes'!$D$2:$K4967,MATCH($B2413,'HS Codes'!$A$2:$A4967,0),MATCH(L$1,'HS Codes'!$D$1:$K$1,0)),"")</f>
        <v>63029120</v>
      </c>
      <c r="M2413" s="8" t="str">
        <f>_xlfn.IFNA(INDEX('HS Codes'!$C$2:$C4967,MATCH($B2413,'HS Codes'!$A$2:$A4967,0)),"")</f>
        <v>Bath Towel - Toilet Linen 100% recycled 340 GSM/83% polyester/17% polyamide (no cotton)</v>
      </c>
      <c r="N2413" s="9"/>
      <c r="O2413" s="9"/>
      <c r="P2413" s="9"/>
      <c r="Q2413" s="9"/>
    </row>
    <row r="2414" spans="1:17" ht="15.75" customHeight="1">
      <c r="A2414" s="7" t="s">
        <v>2706</v>
      </c>
      <c r="B2414" s="7" t="s">
        <v>172</v>
      </c>
      <c r="C2414" s="7" t="s">
        <v>278</v>
      </c>
      <c r="D2414" s="7" t="s">
        <v>173</v>
      </c>
      <c r="E2414" s="7" t="s">
        <v>377</v>
      </c>
      <c r="F2414" s="8" t="str">
        <f>_xlfn.IFNA(INDEX('HS Codes'!$D$2:$K4968,MATCH($B2414,'HS Codes'!$A$2:$A4968,0),MATCH(F$1,'HS Codes'!$D$1:$K$1,0)),"")</f>
        <v>6302.93.2000</v>
      </c>
      <c r="G2414" s="8">
        <f>_xlfn.IFNA(INDEX('HS Codes'!$D$2:$K4968,MATCH($B2414,'HS Codes'!$A$2:$A4968,0),MATCH(G$1,'HS Codes'!$D$1:$K$1,0)),"")</f>
        <v>6302600090</v>
      </c>
      <c r="H2414" s="8" t="str">
        <f>_xlfn.IFNA(INDEX('HS Codes'!$D$2:$K4968,MATCH($B2414,'HS Codes'!$A$2:$A4968,0),MATCH(H$1,'HS Codes'!$D$1:$K$1,0)),"")</f>
        <v>6302.93.00.00</v>
      </c>
      <c r="I2414" s="8">
        <f>_xlfn.IFNA(INDEX('HS Codes'!$D$2:$K4968,MATCH($B2414,'HS Codes'!$A$2:$A4968,0),MATCH(I$1,'HS Codes'!$D$1:$K$1,0)),"")</f>
        <v>6302939000</v>
      </c>
      <c r="J2414" s="8">
        <f>_xlfn.IFNA(INDEX('HS Codes'!$D$2:$K4968,MATCH($B2414,'HS Codes'!$A$2:$A4968,0),MATCH(J$1,'HS Codes'!$D$1:$K$1,0)),"")</f>
        <v>0</v>
      </c>
      <c r="K2414" s="8" t="str">
        <f>_xlfn.IFNA(INDEX('HS Codes'!$D$2:$K4968,MATCH($B2414,'HS Codes'!$A$2:$A4968,0),MATCH(K$1,'HS Codes'!$D$1:$K$1,0)),"")</f>
        <v>6302.39.00</v>
      </c>
      <c r="L2414" s="8">
        <f>_xlfn.IFNA(INDEX('HS Codes'!$D$2:$K4968,MATCH($B2414,'HS Codes'!$A$2:$A4968,0),MATCH(L$1,'HS Codes'!$D$1:$K$1,0)),"")</f>
        <v>63029120</v>
      </c>
      <c r="M2414" s="8" t="str">
        <f>_xlfn.IFNA(INDEX('HS Codes'!$C$2:$C4968,MATCH($B2414,'HS Codes'!$A$2:$A4968,0)),"")</f>
        <v>Bath Towel - Toilet Linen 100% recycled 340 GSM/83% polyester/17% polyamide (no cotton)</v>
      </c>
      <c r="N2414" s="9"/>
      <c r="O2414" s="9"/>
      <c r="P2414" s="9"/>
      <c r="Q2414" s="9"/>
    </row>
    <row r="2415" spans="1:17" ht="15.75" customHeight="1">
      <c r="A2415" s="7" t="s">
        <v>2707</v>
      </c>
      <c r="B2415" s="7" t="s">
        <v>172</v>
      </c>
      <c r="C2415" s="7" t="s">
        <v>278</v>
      </c>
      <c r="D2415" s="7" t="s">
        <v>173</v>
      </c>
      <c r="E2415" s="7" t="s">
        <v>377</v>
      </c>
      <c r="F2415" s="8" t="str">
        <f>_xlfn.IFNA(INDEX('HS Codes'!$D$2:$K4969,MATCH($B2415,'HS Codes'!$A$2:$A4969,0),MATCH(F$1,'HS Codes'!$D$1:$K$1,0)),"")</f>
        <v>6302.93.2000</v>
      </c>
      <c r="G2415" s="8">
        <f>_xlfn.IFNA(INDEX('HS Codes'!$D$2:$K4969,MATCH($B2415,'HS Codes'!$A$2:$A4969,0),MATCH(G$1,'HS Codes'!$D$1:$K$1,0)),"")</f>
        <v>6302600090</v>
      </c>
      <c r="H2415" s="8" t="str">
        <f>_xlfn.IFNA(INDEX('HS Codes'!$D$2:$K4969,MATCH($B2415,'HS Codes'!$A$2:$A4969,0),MATCH(H$1,'HS Codes'!$D$1:$K$1,0)),"")</f>
        <v>6302.93.00.00</v>
      </c>
      <c r="I2415" s="8">
        <f>_xlfn.IFNA(INDEX('HS Codes'!$D$2:$K4969,MATCH($B2415,'HS Codes'!$A$2:$A4969,0),MATCH(I$1,'HS Codes'!$D$1:$K$1,0)),"")</f>
        <v>6302939000</v>
      </c>
      <c r="J2415" s="8">
        <f>_xlfn.IFNA(INDEX('HS Codes'!$D$2:$K4969,MATCH($B2415,'HS Codes'!$A$2:$A4969,0),MATCH(J$1,'HS Codes'!$D$1:$K$1,0)),"")</f>
        <v>0</v>
      </c>
      <c r="K2415" s="8" t="str">
        <f>_xlfn.IFNA(INDEX('HS Codes'!$D$2:$K4969,MATCH($B2415,'HS Codes'!$A$2:$A4969,0),MATCH(K$1,'HS Codes'!$D$1:$K$1,0)),"")</f>
        <v>6302.39.00</v>
      </c>
      <c r="L2415" s="8">
        <f>_xlfn.IFNA(INDEX('HS Codes'!$D$2:$K4969,MATCH($B2415,'HS Codes'!$A$2:$A4969,0),MATCH(L$1,'HS Codes'!$D$1:$K$1,0)),"")</f>
        <v>63029120</v>
      </c>
      <c r="M2415" s="8" t="str">
        <f>_xlfn.IFNA(INDEX('HS Codes'!$C$2:$C4969,MATCH($B2415,'HS Codes'!$A$2:$A4969,0)),"")</f>
        <v>Bath Towel - Toilet Linen 100% recycled 340 GSM/83% polyester/17% polyamide (no cotton)</v>
      </c>
      <c r="N2415" s="9"/>
      <c r="O2415" s="9"/>
      <c r="P2415" s="9"/>
      <c r="Q2415" s="9"/>
    </row>
    <row r="2416" spans="1:17" ht="15.75" customHeight="1">
      <c r="A2416" s="7" t="s">
        <v>2708</v>
      </c>
      <c r="B2416" s="7" t="s">
        <v>172</v>
      </c>
      <c r="C2416" s="7" t="s">
        <v>278</v>
      </c>
      <c r="D2416" s="7" t="s">
        <v>173</v>
      </c>
      <c r="E2416" s="7" t="s">
        <v>377</v>
      </c>
      <c r="F2416" s="8" t="str">
        <f>_xlfn.IFNA(INDEX('HS Codes'!$D$2:$K4970,MATCH($B2416,'HS Codes'!$A$2:$A4970,0),MATCH(F$1,'HS Codes'!$D$1:$K$1,0)),"")</f>
        <v>6302.93.2000</v>
      </c>
      <c r="G2416" s="8">
        <f>_xlfn.IFNA(INDEX('HS Codes'!$D$2:$K4970,MATCH($B2416,'HS Codes'!$A$2:$A4970,0),MATCH(G$1,'HS Codes'!$D$1:$K$1,0)),"")</f>
        <v>6302600090</v>
      </c>
      <c r="H2416" s="8" t="str">
        <f>_xlfn.IFNA(INDEX('HS Codes'!$D$2:$K4970,MATCH($B2416,'HS Codes'!$A$2:$A4970,0),MATCH(H$1,'HS Codes'!$D$1:$K$1,0)),"")</f>
        <v>6302.93.00.00</v>
      </c>
      <c r="I2416" s="8">
        <f>_xlfn.IFNA(INDEX('HS Codes'!$D$2:$K4970,MATCH($B2416,'HS Codes'!$A$2:$A4970,0),MATCH(I$1,'HS Codes'!$D$1:$K$1,0)),"")</f>
        <v>6302939000</v>
      </c>
      <c r="J2416" s="8">
        <f>_xlfn.IFNA(INDEX('HS Codes'!$D$2:$K4970,MATCH($B2416,'HS Codes'!$A$2:$A4970,0),MATCH(J$1,'HS Codes'!$D$1:$K$1,0)),"")</f>
        <v>0</v>
      </c>
      <c r="K2416" s="8" t="str">
        <f>_xlfn.IFNA(INDEX('HS Codes'!$D$2:$K4970,MATCH($B2416,'HS Codes'!$A$2:$A4970,0),MATCH(K$1,'HS Codes'!$D$1:$K$1,0)),"")</f>
        <v>6302.39.00</v>
      </c>
      <c r="L2416" s="8">
        <f>_xlfn.IFNA(INDEX('HS Codes'!$D$2:$K4970,MATCH($B2416,'HS Codes'!$A$2:$A4970,0),MATCH(L$1,'HS Codes'!$D$1:$K$1,0)),"")</f>
        <v>63029120</v>
      </c>
      <c r="M2416" s="8" t="str">
        <f>_xlfn.IFNA(INDEX('HS Codes'!$C$2:$C4970,MATCH($B2416,'HS Codes'!$A$2:$A4970,0)),"")</f>
        <v>Bath Towel - Toilet Linen 100% recycled 340 GSM/83% polyester/17% polyamide (no cotton)</v>
      </c>
      <c r="N2416" s="9"/>
      <c r="O2416" s="9"/>
      <c r="P2416" s="9"/>
      <c r="Q2416" s="9"/>
    </row>
    <row r="2417" spans="1:17" ht="15.75" customHeight="1">
      <c r="A2417" s="7" t="s">
        <v>2709</v>
      </c>
      <c r="B2417" s="7" t="s">
        <v>172</v>
      </c>
      <c r="C2417" s="7" t="s">
        <v>278</v>
      </c>
      <c r="D2417" s="7" t="s">
        <v>173</v>
      </c>
      <c r="E2417" s="7" t="s">
        <v>377</v>
      </c>
      <c r="F2417" s="8" t="str">
        <f>_xlfn.IFNA(INDEX('HS Codes'!$D$2:$K4971,MATCH($B2417,'HS Codes'!$A$2:$A4971,0),MATCH(F$1,'HS Codes'!$D$1:$K$1,0)),"")</f>
        <v>6302.93.2000</v>
      </c>
      <c r="G2417" s="8">
        <f>_xlfn.IFNA(INDEX('HS Codes'!$D$2:$K4971,MATCH($B2417,'HS Codes'!$A$2:$A4971,0),MATCH(G$1,'HS Codes'!$D$1:$K$1,0)),"")</f>
        <v>6302600090</v>
      </c>
      <c r="H2417" s="8" t="str">
        <f>_xlfn.IFNA(INDEX('HS Codes'!$D$2:$K4971,MATCH($B2417,'HS Codes'!$A$2:$A4971,0),MATCH(H$1,'HS Codes'!$D$1:$K$1,0)),"")</f>
        <v>6302.93.00.00</v>
      </c>
      <c r="I2417" s="8">
        <f>_xlfn.IFNA(INDEX('HS Codes'!$D$2:$K4971,MATCH($B2417,'HS Codes'!$A$2:$A4971,0),MATCH(I$1,'HS Codes'!$D$1:$K$1,0)),"")</f>
        <v>6302939000</v>
      </c>
      <c r="J2417" s="8">
        <f>_xlfn.IFNA(INDEX('HS Codes'!$D$2:$K4971,MATCH($B2417,'HS Codes'!$A$2:$A4971,0),MATCH(J$1,'HS Codes'!$D$1:$K$1,0)),"")</f>
        <v>0</v>
      </c>
      <c r="K2417" s="8" t="str">
        <f>_xlfn.IFNA(INDEX('HS Codes'!$D$2:$K4971,MATCH($B2417,'HS Codes'!$A$2:$A4971,0),MATCH(K$1,'HS Codes'!$D$1:$K$1,0)),"")</f>
        <v>6302.39.00</v>
      </c>
      <c r="L2417" s="8">
        <f>_xlfn.IFNA(INDEX('HS Codes'!$D$2:$K4971,MATCH($B2417,'HS Codes'!$A$2:$A4971,0),MATCH(L$1,'HS Codes'!$D$1:$K$1,0)),"")</f>
        <v>63029120</v>
      </c>
      <c r="M2417" s="8" t="str">
        <f>_xlfn.IFNA(INDEX('HS Codes'!$C$2:$C4971,MATCH($B2417,'HS Codes'!$A$2:$A4971,0)),"")</f>
        <v>Bath Towel - Toilet Linen 100% recycled 340 GSM/83% polyester/17% polyamide (no cotton)</v>
      </c>
      <c r="N2417" s="9"/>
      <c r="O2417" s="9"/>
      <c r="P2417" s="9"/>
      <c r="Q2417" s="9"/>
    </row>
    <row r="2418" spans="1:17" ht="15.75" customHeight="1">
      <c r="A2418" s="7" t="s">
        <v>2710</v>
      </c>
      <c r="B2418" s="7" t="s">
        <v>172</v>
      </c>
      <c r="C2418" s="7" t="s">
        <v>278</v>
      </c>
      <c r="D2418" s="7" t="s">
        <v>173</v>
      </c>
      <c r="E2418" s="7" t="s">
        <v>377</v>
      </c>
      <c r="F2418" s="8" t="str">
        <f>_xlfn.IFNA(INDEX('HS Codes'!$D$2:$K4972,MATCH($B2418,'HS Codes'!$A$2:$A4972,0),MATCH(F$1,'HS Codes'!$D$1:$K$1,0)),"")</f>
        <v>6302.93.2000</v>
      </c>
      <c r="G2418" s="8">
        <f>_xlfn.IFNA(INDEX('HS Codes'!$D$2:$K4972,MATCH($B2418,'HS Codes'!$A$2:$A4972,0),MATCH(G$1,'HS Codes'!$D$1:$K$1,0)),"")</f>
        <v>6302600090</v>
      </c>
      <c r="H2418" s="8" t="str">
        <f>_xlfn.IFNA(INDEX('HS Codes'!$D$2:$K4972,MATCH($B2418,'HS Codes'!$A$2:$A4972,0),MATCH(H$1,'HS Codes'!$D$1:$K$1,0)),"")</f>
        <v>6302.93.00.00</v>
      </c>
      <c r="I2418" s="8">
        <f>_xlfn.IFNA(INDEX('HS Codes'!$D$2:$K4972,MATCH($B2418,'HS Codes'!$A$2:$A4972,0),MATCH(I$1,'HS Codes'!$D$1:$K$1,0)),"")</f>
        <v>6302939000</v>
      </c>
      <c r="J2418" s="8">
        <f>_xlfn.IFNA(INDEX('HS Codes'!$D$2:$K4972,MATCH($B2418,'HS Codes'!$A$2:$A4972,0),MATCH(J$1,'HS Codes'!$D$1:$K$1,0)),"")</f>
        <v>0</v>
      </c>
      <c r="K2418" s="8" t="str">
        <f>_xlfn.IFNA(INDEX('HS Codes'!$D$2:$K4972,MATCH($B2418,'HS Codes'!$A$2:$A4972,0),MATCH(K$1,'HS Codes'!$D$1:$K$1,0)),"")</f>
        <v>6302.39.00</v>
      </c>
      <c r="L2418" s="8">
        <f>_xlfn.IFNA(INDEX('HS Codes'!$D$2:$K4972,MATCH($B2418,'HS Codes'!$A$2:$A4972,0),MATCH(L$1,'HS Codes'!$D$1:$K$1,0)),"")</f>
        <v>63029120</v>
      </c>
      <c r="M2418" s="8" t="str">
        <f>_xlfn.IFNA(INDEX('HS Codes'!$C$2:$C4972,MATCH($B2418,'HS Codes'!$A$2:$A4972,0)),"")</f>
        <v>Bath Towel - Toilet Linen 100% recycled 340 GSM/83% polyester/17% polyamide (no cotton)</v>
      </c>
      <c r="N2418" s="9"/>
      <c r="O2418" s="9"/>
      <c r="P2418" s="9"/>
      <c r="Q2418" s="9"/>
    </row>
    <row r="2419" spans="1:17" ht="15.75" customHeight="1">
      <c r="A2419" s="7" t="s">
        <v>2711</v>
      </c>
      <c r="B2419" s="7" t="s">
        <v>172</v>
      </c>
      <c r="C2419" s="7" t="s">
        <v>278</v>
      </c>
      <c r="D2419" s="7" t="s">
        <v>173</v>
      </c>
      <c r="E2419" s="7" t="s">
        <v>377</v>
      </c>
      <c r="F2419" s="8" t="str">
        <f>_xlfn.IFNA(INDEX('HS Codes'!$D$2:$K4973,MATCH($B2419,'HS Codes'!$A$2:$A4973,0),MATCH(F$1,'HS Codes'!$D$1:$K$1,0)),"")</f>
        <v>6302.93.2000</v>
      </c>
      <c r="G2419" s="8">
        <f>_xlfn.IFNA(INDEX('HS Codes'!$D$2:$K4973,MATCH($B2419,'HS Codes'!$A$2:$A4973,0),MATCH(G$1,'HS Codes'!$D$1:$K$1,0)),"")</f>
        <v>6302600090</v>
      </c>
      <c r="H2419" s="8" t="str">
        <f>_xlfn.IFNA(INDEX('HS Codes'!$D$2:$K4973,MATCH($B2419,'HS Codes'!$A$2:$A4973,0),MATCH(H$1,'HS Codes'!$D$1:$K$1,0)),"")</f>
        <v>6302.93.00.00</v>
      </c>
      <c r="I2419" s="8">
        <f>_xlfn.IFNA(INDEX('HS Codes'!$D$2:$K4973,MATCH($B2419,'HS Codes'!$A$2:$A4973,0),MATCH(I$1,'HS Codes'!$D$1:$K$1,0)),"")</f>
        <v>6302939000</v>
      </c>
      <c r="J2419" s="8">
        <f>_xlfn.IFNA(INDEX('HS Codes'!$D$2:$K4973,MATCH($B2419,'HS Codes'!$A$2:$A4973,0),MATCH(J$1,'HS Codes'!$D$1:$K$1,0)),"")</f>
        <v>0</v>
      </c>
      <c r="K2419" s="8" t="str">
        <f>_xlfn.IFNA(INDEX('HS Codes'!$D$2:$K4973,MATCH($B2419,'HS Codes'!$A$2:$A4973,0),MATCH(K$1,'HS Codes'!$D$1:$K$1,0)),"")</f>
        <v>6302.39.00</v>
      </c>
      <c r="L2419" s="8">
        <f>_xlfn.IFNA(INDEX('HS Codes'!$D$2:$K4973,MATCH($B2419,'HS Codes'!$A$2:$A4973,0),MATCH(L$1,'HS Codes'!$D$1:$K$1,0)),"")</f>
        <v>63029120</v>
      </c>
      <c r="M2419" s="8" t="str">
        <f>_xlfn.IFNA(INDEX('HS Codes'!$C$2:$C4973,MATCH($B2419,'HS Codes'!$A$2:$A4973,0)),"")</f>
        <v>Bath Towel - Toilet Linen 100% recycled 340 GSM/83% polyester/17% polyamide (no cotton)</v>
      </c>
      <c r="N2419" s="9"/>
      <c r="O2419" s="9"/>
      <c r="P2419" s="9"/>
      <c r="Q2419" s="9"/>
    </row>
    <row r="2420" spans="1:17" ht="15.75" customHeight="1">
      <c r="A2420" s="7" t="s">
        <v>2712</v>
      </c>
      <c r="B2420" s="7" t="s">
        <v>172</v>
      </c>
      <c r="C2420" s="7" t="s">
        <v>278</v>
      </c>
      <c r="D2420" s="7" t="s">
        <v>173</v>
      </c>
      <c r="E2420" s="7" t="s">
        <v>377</v>
      </c>
      <c r="F2420" s="8" t="str">
        <f>_xlfn.IFNA(INDEX('HS Codes'!$D$2:$K4974,MATCH($B2420,'HS Codes'!$A$2:$A4974,0),MATCH(F$1,'HS Codes'!$D$1:$K$1,0)),"")</f>
        <v>6302.93.2000</v>
      </c>
      <c r="G2420" s="8">
        <f>_xlfn.IFNA(INDEX('HS Codes'!$D$2:$K4974,MATCH($B2420,'HS Codes'!$A$2:$A4974,0),MATCH(G$1,'HS Codes'!$D$1:$K$1,0)),"")</f>
        <v>6302600090</v>
      </c>
      <c r="H2420" s="8" t="str">
        <f>_xlfn.IFNA(INDEX('HS Codes'!$D$2:$K4974,MATCH($B2420,'HS Codes'!$A$2:$A4974,0),MATCH(H$1,'HS Codes'!$D$1:$K$1,0)),"")</f>
        <v>6302.93.00.00</v>
      </c>
      <c r="I2420" s="8">
        <f>_xlfn.IFNA(INDEX('HS Codes'!$D$2:$K4974,MATCH($B2420,'HS Codes'!$A$2:$A4974,0),MATCH(I$1,'HS Codes'!$D$1:$K$1,0)),"")</f>
        <v>6302939000</v>
      </c>
      <c r="J2420" s="8">
        <f>_xlfn.IFNA(INDEX('HS Codes'!$D$2:$K4974,MATCH($B2420,'HS Codes'!$A$2:$A4974,0),MATCH(J$1,'HS Codes'!$D$1:$K$1,0)),"")</f>
        <v>0</v>
      </c>
      <c r="K2420" s="8" t="str">
        <f>_xlfn.IFNA(INDEX('HS Codes'!$D$2:$K4974,MATCH($B2420,'HS Codes'!$A$2:$A4974,0),MATCH(K$1,'HS Codes'!$D$1:$K$1,0)),"")</f>
        <v>6302.39.00</v>
      </c>
      <c r="L2420" s="8">
        <f>_xlfn.IFNA(INDEX('HS Codes'!$D$2:$K4974,MATCH($B2420,'HS Codes'!$A$2:$A4974,0),MATCH(L$1,'HS Codes'!$D$1:$K$1,0)),"")</f>
        <v>63029120</v>
      </c>
      <c r="M2420" s="8" t="str">
        <f>_xlfn.IFNA(INDEX('HS Codes'!$C$2:$C4974,MATCH($B2420,'HS Codes'!$A$2:$A4974,0)),"")</f>
        <v>Bath Towel - Toilet Linen 100% recycled 340 GSM/83% polyester/17% polyamide (no cotton)</v>
      </c>
      <c r="N2420" s="9"/>
      <c r="O2420" s="9"/>
      <c r="P2420" s="9"/>
      <c r="Q2420" s="9"/>
    </row>
    <row r="2421" spans="1:17" ht="15.75" customHeight="1">
      <c r="A2421" s="7" t="s">
        <v>2713</v>
      </c>
      <c r="B2421" s="7" t="s">
        <v>172</v>
      </c>
      <c r="C2421" s="7" t="s">
        <v>278</v>
      </c>
      <c r="D2421" s="7" t="s">
        <v>173</v>
      </c>
      <c r="E2421" s="7" t="s">
        <v>377</v>
      </c>
      <c r="F2421" s="8" t="str">
        <f>_xlfn.IFNA(INDEX('HS Codes'!$D$2:$K4975,MATCH($B2421,'HS Codes'!$A$2:$A4975,0),MATCH(F$1,'HS Codes'!$D$1:$K$1,0)),"")</f>
        <v>6302.93.2000</v>
      </c>
      <c r="G2421" s="8">
        <f>_xlfn.IFNA(INDEX('HS Codes'!$D$2:$K4975,MATCH($B2421,'HS Codes'!$A$2:$A4975,0),MATCH(G$1,'HS Codes'!$D$1:$K$1,0)),"")</f>
        <v>6302600090</v>
      </c>
      <c r="H2421" s="8" t="str">
        <f>_xlfn.IFNA(INDEX('HS Codes'!$D$2:$K4975,MATCH($B2421,'HS Codes'!$A$2:$A4975,0),MATCH(H$1,'HS Codes'!$D$1:$K$1,0)),"")</f>
        <v>6302.93.00.00</v>
      </c>
      <c r="I2421" s="8">
        <f>_xlfn.IFNA(INDEX('HS Codes'!$D$2:$K4975,MATCH($B2421,'HS Codes'!$A$2:$A4975,0),MATCH(I$1,'HS Codes'!$D$1:$K$1,0)),"")</f>
        <v>6302939000</v>
      </c>
      <c r="J2421" s="8">
        <f>_xlfn.IFNA(INDEX('HS Codes'!$D$2:$K4975,MATCH($B2421,'HS Codes'!$A$2:$A4975,0),MATCH(J$1,'HS Codes'!$D$1:$K$1,0)),"")</f>
        <v>0</v>
      </c>
      <c r="K2421" s="8" t="str">
        <f>_xlfn.IFNA(INDEX('HS Codes'!$D$2:$K4975,MATCH($B2421,'HS Codes'!$A$2:$A4975,0),MATCH(K$1,'HS Codes'!$D$1:$K$1,0)),"")</f>
        <v>6302.39.00</v>
      </c>
      <c r="L2421" s="8">
        <f>_xlfn.IFNA(INDEX('HS Codes'!$D$2:$K4975,MATCH($B2421,'HS Codes'!$A$2:$A4975,0),MATCH(L$1,'HS Codes'!$D$1:$K$1,0)),"")</f>
        <v>63029120</v>
      </c>
      <c r="M2421" s="8" t="str">
        <f>_xlfn.IFNA(INDEX('HS Codes'!$C$2:$C4975,MATCH($B2421,'HS Codes'!$A$2:$A4975,0)),"")</f>
        <v>Bath Towel - Toilet Linen 100% recycled 340 GSM/83% polyester/17% polyamide (no cotton)</v>
      </c>
      <c r="N2421" s="9"/>
      <c r="O2421" s="9"/>
      <c r="P2421" s="9"/>
      <c r="Q2421" s="9"/>
    </row>
    <row r="2422" spans="1:17" ht="15.75" customHeight="1">
      <c r="A2422" s="7" t="s">
        <v>2714</v>
      </c>
      <c r="B2422" s="7" t="s">
        <v>172</v>
      </c>
      <c r="C2422" s="7" t="s">
        <v>278</v>
      </c>
      <c r="D2422" s="7" t="s">
        <v>173</v>
      </c>
      <c r="E2422" s="7" t="s">
        <v>377</v>
      </c>
      <c r="F2422" s="8" t="str">
        <f>_xlfn.IFNA(INDEX('HS Codes'!$D$2:$K4976,MATCH($B2422,'HS Codes'!$A$2:$A4976,0),MATCH(F$1,'HS Codes'!$D$1:$K$1,0)),"")</f>
        <v>6302.93.2000</v>
      </c>
      <c r="G2422" s="8">
        <f>_xlfn.IFNA(INDEX('HS Codes'!$D$2:$K4976,MATCH($B2422,'HS Codes'!$A$2:$A4976,0),MATCH(G$1,'HS Codes'!$D$1:$K$1,0)),"")</f>
        <v>6302600090</v>
      </c>
      <c r="H2422" s="8" t="str">
        <f>_xlfn.IFNA(INDEX('HS Codes'!$D$2:$K4976,MATCH($B2422,'HS Codes'!$A$2:$A4976,0),MATCH(H$1,'HS Codes'!$D$1:$K$1,0)),"")</f>
        <v>6302.93.00.00</v>
      </c>
      <c r="I2422" s="8">
        <f>_xlfn.IFNA(INDEX('HS Codes'!$D$2:$K4976,MATCH($B2422,'HS Codes'!$A$2:$A4976,0),MATCH(I$1,'HS Codes'!$D$1:$K$1,0)),"")</f>
        <v>6302939000</v>
      </c>
      <c r="J2422" s="8">
        <f>_xlfn.IFNA(INDEX('HS Codes'!$D$2:$K4976,MATCH($B2422,'HS Codes'!$A$2:$A4976,0),MATCH(J$1,'HS Codes'!$D$1:$K$1,0)),"")</f>
        <v>0</v>
      </c>
      <c r="K2422" s="8" t="str">
        <f>_xlfn.IFNA(INDEX('HS Codes'!$D$2:$K4976,MATCH($B2422,'HS Codes'!$A$2:$A4976,0),MATCH(K$1,'HS Codes'!$D$1:$K$1,0)),"")</f>
        <v>6302.39.00</v>
      </c>
      <c r="L2422" s="8">
        <f>_xlfn.IFNA(INDEX('HS Codes'!$D$2:$K4976,MATCH($B2422,'HS Codes'!$A$2:$A4976,0),MATCH(L$1,'HS Codes'!$D$1:$K$1,0)),"")</f>
        <v>63029120</v>
      </c>
      <c r="M2422" s="8" t="str">
        <f>_xlfn.IFNA(INDEX('HS Codes'!$C$2:$C4976,MATCH($B2422,'HS Codes'!$A$2:$A4976,0)),"")</f>
        <v>Bath Towel - Toilet Linen 100% recycled 340 GSM/83% polyester/17% polyamide (no cotton)</v>
      </c>
      <c r="N2422" s="9"/>
      <c r="O2422" s="9"/>
      <c r="P2422" s="9"/>
      <c r="Q2422" s="9"/>
    </row>
    <row r="2423" spans="1:17" ht="15.75" customHeight="1">
      <c r="A2423" s="7" t="s">
        <v>2715</v>
      </c>
      <c r="B2423" s="7" t="s">
        <v>172</v>
      </c>
      <c r="C2423" s="7" t="s">
        <v>278</v>
      </c>
      <c r="D2423" s="7" t="s">
        <v>173</v>
      </c>
      <c r="E2423" s="7" t="s">
        <v>377</v>
      </c>
      <c r="F2423" s="8" t="str">
        <f>_xlfn.IFNA(INDEX('HS Codes'!$D$2:$K4977,MATCH($B2423,'HS Codes'!$A$2:$A4977,0),MATCH(F$1,'HS Codes'!$D$1:$K$1,0)),"")</f>
        <v>6302.93.2000</v>
      </c>
      <c r="G2423" s="8">
        <f>_xlfn.IFNA(INDEX('HS Codes'!$D$2:$K4977,MATCH($B2423,'HS Codes'!$A$2:$A4977,0),MATCH(G$1,'HS Codes'!$D$1:$K$1,0)),"")</f>
        <v>6302600090</v>
      </c>
      <c r="H2423" s="8" t="str">
        <f>_xlfn.IFNA(INDEX('HS Codes'!$D$2:$K4977,MATCH($B2423,'HS Codes'!$A$2:$A4977,0),MATCH(H$1,'HS Codes'!$D$1:$K$1,0)),"")</f>
        <v>6302.93.00.00</v>
      </c>
      <c r="I2423" s="8">
        <f>_xlfn.IFNA(INDEX('HS Codes'!$D$2:$K4977,MATCH($B2423,'HS Codes'!$A$2:$A4977,0),MATCH(I$1,'HS Codes'!$D$1:$K$1,0)),"")</f>
        <v>6302939000</v>
      </c>
      <c r="J2423" s="8">
        <f>_xlfn.IFNA(INDEX('HS Codes'!$D$2:$K4977,MATCH($B2423,'HS Codes'!$A$2:$A4977,0),MATCH(J$1,'HS Codes'!$D$1:$K$1,0)),"")</f>
        <v>0</v>
      </c>
      <c r="K2423" s="8" t="str">
        <f>_xlfn.IFNA(INDEX('HS Codes'!$D$2:$K4977,MATCH($B2423,'HS Codes'!$A$2:$A4977,0),MATCH(K$1,'HS Codes'!$D$1:$K$1,0)),"")</f>
        <v>6302.39.00</v>
      </c>
      <c r="L2423" s="8">
        <f>_xlfn.IFNA(INDEX('HS Codes'!$D$2:$K4977,MATCH($B2423,'HS Codes'!$A$2:$A4977,0),MATCH(L$1,'HS Codes'!$D$1:$K$1,0)),"")</f>
        <v>63029120</v>
      </c>
      <c r="M2423" s="8" t="str">
        <f>_xlfn.IFNA(INDEX('HS Codes'!$C$2:$C4977,MATCH($B2423,'HS Codes'!$A$2:$A4977,0)),"")</f>
        <v>Bath Towel - Toilet Linen 100% recycled 340 GSM/83% polyester/17% polyamide (no cotton)</v>
      </c>
      <c r="N2423" s="9"/>
      <c r="O2423" s="9"/>
      <c r="P2423" s="9"/>
      <c r="Q2423" s="9"/>
    </row>
    <row r="2424" spans="1:17" ht="15.75" customHeight="1">
      <c r="A2424" s="7" t="s">
        <v>2716</v>
      </c>
      <c r="B2424" s="7" t="s">
        <v>172</v>
      </c>
      <c r="C2424" s="7" t="s">
        <v>278</v>
      </c>
      <c r="D2424" s="7" t="s">
        <v>173</v>
      </c>
      <c r="E2424" s="7" t="s">
        <v>377</v>
      </c>
      <c r="F2424" s="8" t="str">
        <f>_xlfn.IFNA(INDEX('HS Codes'!$D$2:$K4978,MATCH($B2424,'HS Codes'!$A$2:$A4978,0),MATCH(F$1,'HS Codes'!$D$1:$K$1,0)),"")</f>
        <v>6302.93.2000</v>
      </c>
      <c r="G2424" s="8">
        <f>_xlfn.IFNA(INDEX('HS Codes'!$D$2:$K4978,MATCH($B2424,'HS Codes'!$A$2:$A4978,0),MATCH(G$1,'HS Codes'!$D$1:$K$1,0)),"")</f>
        <v>6302600090</v>
      </c>
      <c r="H2424" s="8" t="str">
        <f>_xlfn.IFNA(INDEX('HS Codes'!$D$2:$K4978,MATCH($B2424,'HS Codes'!$A$2:$A4978,0),MATCH(H$1,'HS Codes'!$D$1:$K$1,0)),"")</f>
        <v>6302.93.00.00</v>
      </c>
      <c r="I2424" s="8">
        <f>_xlfn.IFNA(INDEX('HS Codes'!$D$2:$K4978,MATCH($B2424,'HS Codes'!$A$2:$A4978,0),MATCH(I$1,'HS Codes'!$D$1:$K$1,0)),"")</f>
        <v>6302939000</v>
      </c>
      <c r="J2424" s="8">
        <f>_xlfn.IFNA(INDEX('HS Codes'!$D$2:$K4978,MATCH($B2424,'HS Codes'!$A$2:$A4978,0),MATCH(J$1,'HS Codes'!$D$1:$K$1,0)),"")</f>
        <v>0</v>
      </c>
      <c r="K2424" s="8" t="str">
        <f>_xlfn.IFNA(INDEX('HS Codes'!$D$2:$K4978,MATCH($B2424,'HS Codes'!$A$2:$A4978,0),MATCH(K$1,'HS Codes'!$D$1:$K$1,0)),"")</f>
        <v>6302.39.00</v>
      </c>
      <c r="L2424" s="8">
        <f>_xlfn.IFNA(INDEX('HS Codes'!$D$2:$K4978,MATCH($B2424,'HS Codes'!$A$2:$A4978,0),MATCH(L$1,'HS Codes'!$D$1:$K$1,0)),"")</f>
        <v>63029120</v>
      </c>
      <c r="M2424" s="8" t="str">
        <f>_xlfn.IFNA(INDEX('HS Codes'!$C$2:$C4978,MATCH($B2424,'HS Codes'!$A$2:$A4978,0)),"")</f>
        <v>Bath Towel - Toilet Linen 100% recycled 340 GSM/83% polyester/17% polyamide (no cotton)</v>
      </c>
      <c r="N2424" s="9"/>
      <c r="O2424" s="9"/>
      <c r="P2424" s="9"/>
      <c r="Q2424" s="9"/>
    </row>
    <row r="2425" spans="1:17" ht="15.75" customHeight="1">
      <c r="A2425" s="7" t="s">
        <v>2717</v>
      </c>
      <c r="B2425" s="7" t="s">
        <v>172</v>
      </c>
      <c r="C2425" s="7" t="s">
        <v>278</v>
      </c>
      <c r="D2425" s="7" t="s">
        <v>173</v>
      </c>
      <c r="E2425" s="7" t="s">
        <v>377</v>
      </c>
      <c r="F2425" s="8" t="str">
        <f>_xlfn.IFNA(INDEX('HS Codes'!$D$2:$K4979,MATCH($B2425,'HS Codes'!$A$2:$A4979,0),MATCH(F$1,'HS Codes'!$D$1:$K$1,0)),"")</f>
        <v>6302.93.2000</v>
      </c>
      <c r="G2425" s="8">
        <f>_xlfn.IFNA(INDEX('HS Codes'!$D$2:$K4979,MATCH($B2425,'HS Codes'!$A$2:$A4979,0),MATCH(G$1,'HS Codes'!$D$1:$K$1,0)),"")</f>
        <v>6302600090</v>
      </c>
      <c r="H2425" s="8" t="str">
        <f>_xlfn.IFNA(INDEX('HS Codes'!$D$2:$K4979,MATCH($B2425,'HS Codes'!$A$2:$A4979,0),MATCH(H$1,'HS Codes'!$D$1:$K$1,0)),"")</f>
        <v>6302.93.00.00</v>
      </c>
      <c r="I2425" s="8">
        <f>_xlfn.IFNA(INDEX('HS Codes'!$D$2:$K4979,MATCH($B2425,'HS Codes'!$A$2:$A4979,0),MATCH(I$1,'HS Codes'!$D$1:$K$1,0)),"")</f>
        <v>6302939000</v>
      </c>
      <c r="J2425" s="8">
        <f>_xlfn.IFNA(INDEX('HS Codes'!$D$2:$K4979,MATCH($B2425,'HS Codes'!$A$2:$A4979,0),MATCH(J$1,'HS Codes'!$D$1:$K$1,0)),"")</f>
        <v>0</v>
      </c>
      <c r="K2425" s="8" t="str">
        <f>_xlfn.IFNA(INDEX('HS Codes'!$D$2:$K4979,MATCH($B2425,'HS Codes'!$A$2:$A4979,0),MATCH(K$1,'HS Codes'!$D$1:$K$1,0)),"")</f>
        <v>6302.39.00</v>
      </c>
      <c r="L2425" s="8">
        <f>_xlfn.IFNA(INDEX('HS Codes'!$D$2:$K4979,MATCH($B2425,'HS Codes'!$A$2:$A4979,0),MATCH(L$1,'HS Codes'!$D$1:$K$1,0)),"")</f>
        <v>63029120</v>
      </c>
      <c r="M2425" s="8" t="str">
        <f>_xlfn.IFNA(INDEX('HS Codes'!$C$2:$C4979,MATCH($B2425,'HS Codes'!$A$2:$A4979,0)),"")</f>
        <v>Bath Towel - Toilet Linen 100% recycled 340 GSM/83% polyester/17% polyamide (no cotton)</v>
      </c>
      <c r="N2425" s="9"/>
      <c r="O2425" s="9"/>
      <c r="P2425" s="9"/>
      <c r="Q2425" s="9"/>
    </row>
    <row r="2426" spans="1:17" ht="15.75" customHeight="1">
      <c r="A2426" s="7" t="s">
        <v>2718</v>
      </c>
      <c r="B2426" s="7" t="s">
        <v>172</v>
      </c>
      <c r="C2426" s="7" t="s">
        <v>278</v>
      </c>
      <c r="D2426" s="7" t="s">
        <v>173</v>
      </c>
      <c r="E2426" s="7" t="s">
        <v>377</v>
      </c>
      <c r="F2426" s="8" t="str">
        <f>_xlfn.IFNA(INDEX('HS Codes'!$D$2:$K4980,MATCH($B2426,'HS Codes'!$A$2:$A4980,0),MATCH(F$1,'HS Codes'!$D$1:$K$1,0)),"")</f>
        <v>6302.93.2000</v>
      </c>
      <c r="G2426" s="8">
        <f>_xlfn.IFNA(INDEX('HS Codes'!$D$2:$K4980,MATCH($B2426,'HS Codes'!$A$2:$A4980,0),MATCH(G$1,'HS Codes'!$D$1:$K$1,0)),"")</f>
        <v>6302600090</v>
      </c>
      <c r="H2426" s="8" t="str">
        <f>_xlfn.IFNA(INDEX('HS Codes'!$D$2:$K4980,MATCH($B2426,'HS Codes'!$A$2:$A4980,0),MATCH(H$1,'HS Codes'!$D$1:$K$1,0)),"")</f>
        <v>6302.93.00.00</v>
      </c>
      <c r="I2426" s="8">
        <f>_xlfn.IFNA(INDEX('HS Codes'!$D$2:$K4980,MATCH($B2426,'HS Codes'!$A$2:$A4980,0),MATCH(I$1,'HS Codes'!$D$1:$K$1,0)),"")</f>
        <v>6302939000</v>
      </c>
      <c r="J2426" s="8">
        <f>_xlfn.IFNA(INDEX('HS Codes'!$D$2:$K4980,MATCH($B2426,'HS Codes'!$A$2:$A4980,0),MATCH(J$1,'HS Codes'!$D$1:$K$1,0)),"")</f>
        <v>0</v>
      </c>
      <c r="K2426" s="8" t="str">
        <f>_xlfn.IFNA(INDEX('HS Codes'!$D$2:$K4980,MATCH($B2426,'HS Codes'!$A$2:$A4980,0),MATCH(K$1,'HS Codes'!$D$1:$K$1,0)),"")</f>
        <v>6302.39.00</v>
      </c>
      <c r="L2426" s="8">
        <f>_xlfn.IFNA(INDEX('HS Codes'!$D$2:$K4980,MATCH($B2426,'HS Codes'!$A$2:$A4980,0),MATCH(L$1,'HS Codes'!$D$1:$K$1,0)),"")</f>
        <v>63029120</v>
      </c>
      <c r="M2426" s="8" t="str">
        <f>_xlfn.IFNA(INDEX('HS Codes'!$C$2:$C4980,MATCH($B2426,'HS Codes'!$A$2:$A4980,0)),"")</f>
        <v>Bath Towel - Toilet Linen 100% recycled 340 GSM/83% polyester/17% polyamide (no cotton)</v>
      </c>
      <c r="N2426" s="9"/>
      <c r="O2426" s="9"/>
      <c r="P2426" s="9"/>
      <c r="Q2426" s="9"/>
    </row>
    <row r="2427" spans="1:17" ht="15.75" customHeight="1">
      <c r="A2427" s="7" t="s">
        <v>2719</v>
      </c>
      <c r="B2427" s="7" t="s">
        <v>172</v>
      </c>
      <c r="C2427" s="7" t="s">
        <v>278</v>
      </c>
      <c r="D2427" s="7" t="s">
        <v>173</v>
      </c>
      <c r="E2427" s="7" t="s">
        <v>377</v>
      </c>
      <c r="F2427" s="8" t="str">
        <f>_xlfn.IFNA(INDEX('HS Codes'!$D$2:$K4981,MATCH($B2427,'HS Codes'!$A$2:$A4981,0),MATCH(F$1,'HS Codes'!$D$1:$K$1,0)),"")</f>
        <v>6302.93.2000</v>
      </c>
      <c r="G2427" s="8">
        <f>_xlfn.IFNA(INDEX('HS Codes'!$D$2:$K4981,MATCH($B2427,'HS Codes'!$A$2:$A4981,0),MATCH(G$1,'HS Codes'!$D$1:$K$1,0)),"")</f>
        <v>6302600090</v>
      </c>
      <c r="H2427" s="8" t="str">
        <f>_xlfn.IFNA(INDEX('HS Codes'!$D$2:$K4981,MATCH($B2427,'HS Codes'!$A$2:$A4981,0),MATCH(H$1,'HS Codes'!$D$1:$K$1,0)),"")</f>
        <v>6302.93.00.00</v>
      </c>
      <c r="I2427" s="8">
        <f>_xlfn.IFNA(INDEX('HS Codes'!$D$2:$K4981,MATCH($B2427,'HS Codes'!$A$2:$A4981,0),MATCH(I$1,'HS Codes'!$D$1:$K$1,0)),"")</f>
        <v>6302939000</v>
      </c>
      <c r="J2427" s="8">
        <f>_xlfn.IFNA(INDEX('HS Codes'!$D$2:$K4981,MATCH($B2427,'HS Codes'!$A$2:$A4981,0),MATCH(J$1,'HS Codes'!$D$1:$K$1,0)),"")</f>
        <v>0</v>
      </c>
      <c r="K2427" s="8" t="str">
        <f>_xlfn.IFNA(INDEX('HS Codes'!$D$2:$K4981,MATCH($B2427,'HS Codes'!$A$2:$A4981,0),MATCH(K$1,'HS Codes'!$D$1:$K$1,0)),"")</f>
        <v>6302.39.00</v>
      </c>
      <c r="L2427" s="8">
        <f>_xlfn.IFNA(INDEX('HS Codes'!$D$2:$K4981,MATCH($B2427,'HS Codes'!$A$2:$A4981,0),MATCH(L$1,'HS Codes'!$D$1:$K$1,0)),"")</f>
        <v>63029120</v>
      </c>
      <c r="M2427" s="8" t="str">
        <f>_xlfn.IFNA(INDEX('HS Codes'!$C$2:$C4981,MATCH($B2427,'HS Codes'!$A$2:$A4981,0)),"")</f>
        <v>Bath Towel - Toilet Linen 100% recycled 340 GSM/83% polyester/17% polyamide (no cotton)</v>
      </c>
      <c r="N2427" s="9"/>
      <c r="O2427" s="9"/>
      <c r="P2427" s="9"/>
      <c r="Q2427" s="9"/>
    </row>
    <row r="2428" spans="1:17" ht="15.75" customHeight="1">
      <c r="A2428" s="7" t="s">
        <v>2720</v>
      </c>
      <c r="B2428" s="7" t="s">
        <v>172</v>
      </c>
      <c r="C2428" s="7" t="s">
        <v>278</v>
      </c>
      <c r="D2428" s="7" t="s">
        <v>173</v>
      </c>
      <c r="E2428" s="7" t="s">
        <v>377</v>
      </c>
      <c r="F2428" s="8" t="str">
        <f>_xlfn.IFNA(INDEX('HS Codes'!$D$2:$K4982,MATCH($B2428,'HS Codes'!$A$2:$A4982,0),MATCH(F$1,'HS Codes'!$D$1:$K$1,0)),"")</f>
        <v>6302.93.2000</v>
      </c>
      <c r="G2428" s="8">
        <f>_xlfn.IFNA(INDEX('HS Codes'!$D$2:$K4982,MATCH($B2428,'HS Codes'!$A$2:$A4982,0),MATCH(G$1,'HS Codes'!$D$1:$K$1,0)),"")</f>
        <v>6302600090</v>
      </c>
      <c r="H2428" s="8" t="str">
        <f>_xlfn.IFNA(INDEX('HS Codes'!$D$2:$K4982,MATCH($B2428,'HS Codes'!$A$2:$A4982,0),MATCH(H$1,'HS Codes'!$D$1:$K$1,0)),"")</f>
        <v>6302.93.00.00</v>
      </c>
      <c r="I2428" s="8">
        <f>_xlfn.IFNA(INDEX('HS Codes'!$D$2:$K4982,MATCH($B2428,'HS Codes'!$A$2:$A4982,0),MATCH(I$1,'HS Codes'!$D$1:$K$1,0)),"")</f>
        <v>6302939000</v>
      </c>
      <c r="J2428" s="8">
        <f>_xlfn.IFNA(INDEX('HS Codes'!$D$2:$K4982,MATCH($B2428,'HS Codes'!$A$2:$A4982,0),MATCH(J$1,'HS Codes'!$D$1:$K$1,0)),"")</f>
        <v>0</v>
      </c>
      <c r="K2428" s="8" t="str">
        <f>_xlfn.IFNA(INDEX('HS Codes'!$D$2:$K4982,MATCH($B2428,'HS Codes'!$A$2:$A4982,0),MATCH(K$1,'HS Codes'!$D$1:$K$1,0)),"")</f>
        <v>6302.39.00</v>
      </c>
      <c r="L2428" s="8">
        <f>_xlfn.IFNA(INDEX('HS Codes'!$D$2:$K4982,MATCH($B2428,'HS Codes'!$A$2:$A4982,0),MATCH(L$1,'HS Codes'!$D$1:$K$1,0)),"")</f>
        <v>63029120</v>
      </c>
      <c r="M2428" s="8" t="str">
        <f>_xlfn.IFNA(INDEX('HS Codes'!$C$2:$C4982,MATCH($B2428,'HS Codes'!$A$2:$A4982,0)),"")</f>
        <v>Bath Towel - Toilet Linen 100% recycled 340 GSM/83% polyester/17% polyamide (no cotton)</v>
      </c>
      <c r="N2428" s="9"/>
      <c r="O2428" s="9"/>
      <c r="P2428" s="9"/>
      <c r="Q2428" s="9"/>
    </row>
    <row r="2429" spans="1:17" ht="15.75" customHeight="1">
      <c r="A2429" s="7" t="s">
        <v>2721</v>
      </c>
      <c r="B2429" s="7" t="s">
        <v>172</v>
      </c>
      <c r="C2429" s="7" t="s">
        <v>278</v>
      </c>
      <c r="D2429" s="7" t="s">
        <v>173</v>
      </c>
      <c r="E2429" s="7" t="s">
        <v>377</v>
      </c>
      <c r="F2429" s="8" t="str">
        <f>_xlfn.IFNA(INDEX('HS Codes'!$D$2:$K4983,MATCH($B2429,'HS Codes'!$A$2:$A4983,0),MATCH(F$1,'HS Codes'!$D$1:$K$1,0)),"")</f>
        <v>6302.93.2000</v>
      </c>
      <c r="G2429" s="8">
        <f>_xlfn.IFNA(INDEX('HS Codes'!$D$2:$K4983,MATCH($B2429,'HS Codes'!$A$2:$A4983,0),MATCH(G$1,'HS Codes'!$D$1:$K$1,0)),"")</f>
        <v>6302600090</v>
      </c>
      <c r="H2429" s="8" t="str">
        <f>_xlfn.IFNA(INDEX('HS Codes'!$D$2:$K4983,MATCH($B2429,'HS Codes'!$A$2:$A4983,0),MATCH(H$1,'HS Codes'!$D$1:$K$1,0)),"")</f>
        <v>6302.93.00.00</v>
      </c>
      <c r="I2429" s="8">
        <f>_xlfn.IFNA(INDEX('HS Codes'!$D$2:$K4983,MATCH($B2429,'HS Codes'!$A$2:$A4983,0),MATCH(I$1,'HS Codes'!$D$1:$K$1,0)),"")</f>
        <v>6302939000</v>
      </c>
      <c r="J2429" s="8">
        <f>_xlfn.IFNA(INDEX('HS Codes'!$D$2:$K4983,MATCH($B2429,'HS Codes'!$A$2:$A4983,0),MATCH(J$1,'HS Codes'!$D$1:$K$1,0)),"")</f>
        <v>0</v>
      </c>
      <c r="K2429" s="8" t="str">
        <f>_xlfn.IFNA(INDEX('HS Codes'!$D$2:$K4983,MATCH($B2429,'HS Codes'!$A$2:$A4983,0),MATCH(K$1,'HS Codes'!$D$1:$K$1,0)),"")</f>
        <v>6302.39.00</v>
      </c>
      <c r="L2429" s="8">
        <f>_xlfn.IFNA(INDEX('HS Codes'!$D$2:$K4983,MATCH($B2429,'HS Codes'!$A$2:$A4983,0),MATCH(L$1,'HS Codes'!$D$1:$K$1,0)),"")</f>
        <v>63029120</v>
      </c>
      <c r="M2429" s="8" t="str">
        <f>_xlfn.IFNA(INDEX('HS Codes'!$C$2:$C4983,MATCH($B2429,'HS Codes'!$A$2:$A4983,0)),"")</f>
        <v>Bath Towel - Toilet Linen 100% recycled 340 GSM/83% polyester/17% polyamide (no cotton)</v>
      </c>
      <c r="N2429" s="9"/>
      <c r="O2429" s="9"/>
      <c r="P2429" s="9"/>
      <c r="Q2429" s="9"/>
    </row>
    <row r="2430" spans="1:17" ht="15.75" customHeight="1">
      <c r="A2430" s="7" t="s">
        <v>2722</v>
      </c>
      <c r="B2430" s="7" t="s">
        <v>172</v>
      </c>
      <c r="C2430" s="7" t="s">
        <v>278</v>
      </c>
      <c r="D2430" s="7" t="s">
        <v>173</v>
      </c>
      <c r="E2430" s="7" t="s">
        <v>377</v>
      </c>
      <c r="F2430" s="8" t="str">
        <f>_xlfn.IFNA(INDEX('HS Codes'!$D$2:$K4984,MATCH($B2430,'HS Codes'!$A$2:$A4984,0),MATCH(F$1,'HS Codes'!$D$1:$K$1,0)),"")</f>
        <v>6302.93.2000</v>
      </c>
      <c r="G2430" s="8">
        <f>_xlfn.IFNA(INDEX('HS Codes'!$D$2:$K4984,MATCH($B2430,'HS Codes'!$A$2:$A4984,0),MATCH(G$1,'HS Codes'!$D$1:$K$1,0)),"")</f>
        <v>6302600090</v>
      </c>
      <c r="H2430" s="8" t="str">
        <f>_xlfn.IFNA(INDEX('HS Codes'!$D$2:$K4984,MATCH($B2430,'HS Codes'!$A$2:$A4984,0),MATCH(H$1,'HS Codes'!$D$1:$K$1,0)),"")</f>
        <v>6302.93.00.00</v>
      </c>
      <c r="I2430" s="8">
        <f>_xlfn.IFNA(INDEX('HS Codes'!$D$2:$K4984,MATCH($B2430,'HS Codes'!$A$2:$A4984,0),MATCH(I$1,'HS Codes'!$D$1:$K$1,0)),"")</f>
        <v>6302939000</v>
      </c>
      <c r="J2430" s="8">
        <f>_xlfn.IFNA(INDEX('HS Codes'!$D$2:$K4984,MATCH($B2430,'HS Codes'!$A$2:$A4984,0),MATCH(J$1,'HS Codes'!$D$1:$K$1,0)),"")</f>
        <v>0</v>
      </c>
      <c r="K2430" s="8" t="str">
        <f>_xlfn.IFNA(INDEX('HS Codes'!$D$2:$K4984,MATCH($B2430,'HS Codes'!$A$2:$A4984,0),MATCH(K$1,'HS Codes'!$D$1:$K$1,0)),"")</f>
        <v>6302.39.00</v>
      </c>
      <c r="L2430" s="8">
        <f>_xlfn.IFNA(INDEX('HS Codes'!$D$2:$K4984,MATCH($B2430,'HS Codes'!$A$2:$A4984,0),MATCH(L$1,'HS Codes'!$D$1:$K$1,0)),"")</f>
        <v>63029120</v>
      </c>
      <c r="M2430" s="8" t="str">
        <f>_xlfn.IFNA(INDEX('HS Codes'!$C$2:$C4984,MATCH($B2430,'HS Codes'!$A$2:$A4984,0)),"")</f>
        <v>Bath Towel - Toilet Linen 100% recycled 340 GSM/83% polyester/17% polyamide (no cotton)</v>
      </c>
      <c r="N2430" s="9"/>
      <c r="O2430" s="9"/>
      <c r="P2430" s="9"/>
      <c r="Q2430" s="9"/>
    </row>
    <row r="2431" spans="1:17" ht="15.75" customHeight="1">
      <c r="A2431" s="7" t="s">
        <v>2723</v>
      </c>
      <c r="B2431" s="7" t="s">
        <v>172</v>
      </c>
      <c r="C2431" s="7" t="s">
        <v>278</v>
      </c>
      <c r="D2431" s="7" t="s">
        <v>173</v>
      </c>
      <c r="E2431" s="7" t="s">
        <v>377</v>
      </c>
      <c r="F2431" s="8" t="str">
        <f>_xlfn.IFNA(INDEX('HS Codes'!$D$2:$K4985,MATCH($B2431,'HS Codes'!$A$2:$A4985,0),MATCH(F$1,'HS Codes'!$D$1:$K$1,0)),"")</f>
        <v>6302.93.2000</v>
      </c>
      <c r="G2431" s="8">
        <f>_xlfn.IFNA(INDEX('HS Codes'!$D$2:$K4985,MATCH($B2431,'HS Codes'!$A$2:$A4985,0),MATCH(G$1,'HS Codes'!$D$1:$K$1,0)),"")</f>
        <v>6302600090</v>
      </c>
      <c r="H2431" s="8" t="str">
        <f>_xlfn.IFNA(INDEX('HS Codes'!$D$2:$K4985,MATCH($B2431,'HS Codes'!$A$2:$A4985,0),MATCH(H$1,'HS Codes'!$D$1:$K$1,0)),"")</f>
        <v>6302.93.00.00</v>
      </c>
      <c r="I2431" s="8">
        <f>_xlfn.IFNA(INDEX('HS Codes'!$D$2:$K4985,MATCH($B2431,'HS Codes'!$A$2:$A4985,0),MATCH(I$1,'HS Codes'!$D$1:$K$1,0)),"")</f>
        <v>6302939000</v>
      </c>
      <c r="J2431" s="8">
        <f>_xlfn.IFNA(INDEX('HS Codes'!$D$2:$K4985,MATCH($B2431,'HS Codes'!$A$2:$A4985,0),MATCH(J$1,'HS Codes'!$D$1:$K$1,0)),"")</f>
        <v>0</v>
      </c>
      <c r="K2431" s="8" t="str">
        <f>_xlfn.IFNA(INDEX('HS Codes'!$D$2:$K4985,MATCH($B2431,'HS Codes'!$A$2:$A4985,0),MATCH(K$1,'HS Codes'!$D$1:$K$1,0)),"")</f>
        <v>6302.39.00</v>
      </c>
      <c r="L2431" s="8">
        <f>_xlfn.IFNA(INDEX('HS Codes'!$D$2:$K4985,MATCH($B2431,'HS Codes'!$A$2:$A4985,0),MATCH(L$1,'HS Codes'!$D$1:$K$1,0)),"")</f>
        <v>63029120</v>
      </c>
      <c r="M2431" s="8" t="str">
        <f>_xlfn.IFNA(INDEX('HS Codes'!$C$2:$C4985,MATCH($B2431,'HS Codes'!$A$2:$A4985,0)),"")</f>
        <v>Bath Towel - Toilet Linen 100% recycled 340 GSM/83% polyester/17% polyamide (no cotton)</v>
      </c>
      <c r="N2431" s="9"/>
      <c r="O2431" s="9"/>
      <c r="P2431" s="9"/>
      <c r="Q2431" s="9"/>
    </row>
    <row r="2432" spans="1:17" ht="15.75" customHeight="1">
      <c r="A2432" s="7" t="s">
        <v>2724</v>
      </c>
      <c r="B2432" s="7" t="s">
        <v>172</v>
      </c>
      <c r="C2432" s="7" t="s">
        <v>278</v>
      </c>
      <c r="D2432" s="7" t="s">
        <v>173</v>
      </c>
      <c r="E2432" s="7" t="s">
        <v>377</v>
      </c>
      <c r="F2432" s="8" t="str">
        <f>_xlfn.IFNA(INDEX('HS Codes'!$D$2:$K4986,MATCH($B2432,'HS Codes'!$A$2:$A4986,0),MATCH(F$1,'HS Codes'!$D$1:$K$1,0)),"")</f>
        <v>6302.93.2000</v>
      </c>
      <c r="G2432" s="8">
        <f>_xlfn.IFNA(INDEX('HS Codes'!$D$2:$K4986,MATCH($B2432,'HS Codes'!$A$2:$A4986,0),MATCH(G$1,'HS Codes'!$D$1:$K$1,0)),"")</f>
        <v>6302600090</v>
      </c>
      <c r="H2432" s="8" t="str">
        <f>_xlfn.IFNA(INDEX('HS Codes'!$D$2:$K4986,MATCH($B2432,'HS Codes'!$A$2:$A4986,0),MATCH(H$1,'HS Codes'!$D$1:$K$1,0)),"")</f>
        <v>6302.93.00.00</v>
      </c>
      <c r="I2432" s="8">
        <f>_xlfn.IFNA(INDEX('HS Codes'!$D$2:$K4986,MATCH($B2432,'HS Codes'!$A$2:$A4986,0),MATCH(I$1,'HS Codes'!$D$1:$K$1,0)),"")</f>
        <v>6302939000</v>
      </c>
      <c r="J2432" s="8">
        <f>_xlfn.IFNA(INDEX('HS Codes'!$D$2:$K4986,MATCH($B2432,'HS Codes'!$A$2:$A4986,0),MATCH(J$1,'HS Codes'!$D$1:$K$1,0)),"")</f>
        <v>0</v>
      </c>
      <c r="K2432" s="8" t="str">
        <f>_xlfn.IFNA(INDEX('HS Codes'!$D$2:$K4986,MATCH($B2432,'HS Codes'!$A$2:$A4986,0),MATCH(K$1,'HS Codes'!$D$1:$K$1,0)),"")</f>
        <v>6302.39.00</v>
      </c>
      <c r="L2432" s="8">
        <f>_xlfn.IFNA(INDEX('HS Codes'!$D$2:$K4986,MATCH($B2432,'HS Codes'!$A$2:$A4986,0),MATCH(L$1,'HS Codes'!$D$1:$K$1,0)),"")</f>
        <v>63029120</v>
      </c>
      <c r="M2432" s="8" t="str">
        <f>_xlfn.IFNA(INDEX('HS Codes'!$C$2:$C4986,MATCH($B2432,'HS Codes'!$A$2:$A4986,0)),"")</f>
        <v>Bath Towel - Toilet Linen 100% recycled 340 GSM/83% polyester/17% polyamide (no cotton)</v>
      </c>
      <c r="N2432" s="9"/>
      <c r="O2432" s="9"/>
      <c r="P2432" s="9"/>
      <c r="Q2432" s="9"/>
    </row>
    <row r="2433" spans="1:17" ht="15.75" customHeight="1">
      <c r="A2433" s="7" t="s">
        <v>2725</v>
      </c>
      <c r="B2433" s="7" t="s">
        <v>172</v>
      </c>
      <c r="C2433" s="7" t="s">
        <v>278</v>
      </c>
      <c r="D2433" s="7" t="s">
        <v>173</v>
      </c>
      <c r="E2433" s="7" t="s">
        <v>377</v>
      </c>
      <c r="F2433" s="8" t="str">
        <f>_xlfn.IFNA(INDEX('HS Codes'!$D$2:$K4987,MATCH($B2433,'HS Codes'!$A$2:$A4987,0),MATCH(F$1,'HS Codes'!$D$1:$K$1,0)),"")</f>
        <v>6302.93.2000</v>
      </c>
      <c r="G2433" s="8">
        <f>_xlfn.IFNA(INDEX('HS Codes'!$D$2:$K4987,MATCH($B2433,'HS Codes'!$A$2:$A4987,0),MATCH(G$1,'HS Codes'!$D$1:$K$1,0)),"")</f>
        <v>6302600090</v>
      </c>
      <c r="H2433" s="8" t="str">
        <f>_xlfn.IFNA(INDEX('HS Codes'!$D$2:$K4987,MATCH($B2433,'HS Codes'!$A$2:$A4987,0),MATCH(H$1,'HS Codes'!$D$1:$K$1,0)),"")</f>
        <v>6302.93.00.00</v>
      </c>
      <c r="I2433" s="8">
        <f>_xlfn.IFNA(INDEX('HS Codes'!$D$2:$K4987,MATCH($B2433,'HS Codes'!$A$2:$A4987,0),MATCH(I$1,'HS Codes'!$D$1:$K$1,0)),"")</f>
        <v>6302939000</v>
      </c>
      <c r="J2433" s="8">
        <f>_xlfn.IFNA(INDEX('HS Codes'!$D$2:$K4987,MATCH($B2433,'HS Codes'!$A$2:$A4987,0),MATCH(J$1,'HS Codes'!$D$1:$K$1,0)),"")</f>
        <v>0</v>
      </c>
      <c r="K2433" s="8" t="str">
        <f>_xlfn.IFNA(INDEX('HS Codes'!$D$2:$K4987,MATCH($B2433,'HS Codes'!$A$2:$A4987,0),MATCH(K$1,'HS Codes'!$D$1:$K$1,0)),"")</f>
        <v>6302.39.00</v>
      </c>
      <c r="L2433" s="8">
        <f>_xlfn.IFNA(INDEX('HS Codes'!$D$2:$K4987,MATCH($B2433,'HS Codes'!$A$2:$A4987,0),MATCH(L$1,'HS Codes'!$D$1:$K$1,0)),"")</f>
        <v>63029120</v>
      </c>
      <c r="M2433" s="8" t="str">
        <f>_xlfn.IFNA(INDEX('HS Codes'!$C$2:$C4987,MATCH($B2433,'HS Codes'!$A$2:$A4987,0)),"")</f>
        <v>Bath Towel - Toilet Linen 100% recycled 340 GSM/83% polyester/17% polyamide (no cotton)</v>
      </c>
      <c r="N2433" s="9"/>
      <c r="O2433" s="9"/>
      <c r="P2433" s="9"/>
      <c r="Q2433" s="9"/>
    </row>
    <row r="2434" spans="1:17" ht="15.75" customHeight="1">
      <c r="A2434" s="7" t="s">
        <v>2726</v>
      </c>
      <c r="B2434" s="7" t="s">
        <v>172</v>
      </c>
      <c r="C2434" s="7" t="s">
        <v>278</v>
      </c>
      <c r="D2434" s="7" t="s">
        <v>173</v>
      </c>
      <c r="E2434" s="7" t="s">
        <v>377</v>
      </c>
      <c r="F2434" s="8" t="str">
        <f>_xlfn.IFNA(INDEX('HS Codes'!$D$2:$K4988,MATCH($B2434,'HS Codes'!$A$2:$A4988,0),MATCH(F$1,'HS Codes'!$D$1:$K$1,0)),"")</f>
        <v>6302.93.2000</v>
      </c>
      <c r="G2434" s="8">
        <f>_xlfn.IFNA(INDEX('HS Codes'!$D$2:$K4988,MATCH($B2434,'HS Codes'!$A$2:$A4988,0),MATCH(G$1,'HS Codes'!$D$1:$K$1,0)),"")</f>
        <v>6302600090</v>
      </c>
      <c r="H2434" s="8" t="str">
        <f>_xlfn.IFNA(INDEX('HS Codes'!$D$2:$K4988,MATCH($B2434,'HS Codes'!$A$2:$A4988,0),MATCH(H$1,'HS Codes'!$D$1:$K$1,0)),"")</f>
        <v>6302.93.00.00</v>
      </c>
      <c r="I2434" s="8">
        <f>_xlfn.IFNA(INDEX('HS Codes'!$D$2:$K4988,MATCH($B2434,'HS Codes'!$A$2:$A4988,0),MATCH(I$1,'HS Codes'!$D$1:$K$1,0)),"")</f>
        <v>6302939000</v>
      </c>
      <c r="J2434" s="8">
        <f>_xlfn.IFNA(INDEX('HS Codes'!$D$2:$K4988,MATCH($B2434,'HS Codes'!$A$2:$A4988,0),MATCH(J$1,'HS Codes'!$D$1:$K$1,0)),"")</f>
        <v>0</v>
      </c>
      <c r="K2434" s="8" t="str">
        <f>_xlfn.IFNA(INDEX('HS Codes'!$D$2:$K4988,MATCH($B2434,'HS Codes'!$A$2:$A4988,0),MATCH(K$1,'HS Codes'!$D$1:$K$1,0)),"")</f>
        <v>6302.39.00</v>
      </c>
      <c r="L2434" s="8">
        <f>_xlfn.IFNA(INDEX('HS Codes'!$D$2:$K4988,MATCH($B2434,'HS Codes'!$A$2:$A4988,0),MATCH(L$1,'HS Codes'!$D$1:$K$1,0)),"")</f>
        <v>63029120</v>
      </c>
      <c r="M2434" s="8" t="str">
        <f>_xlfn.IFNA(INDEX('HS Codes'!$C$2:$C4988,MATCH($B2434,'HS Codes'!$A$2:$A4988,0)),"")</f>
        <v>Bath Towel - Toilet Linen 100% recycled 340 GSM/83% polyester/17% polyamide (no cotton)</v>
      </c>
      <c r="N2434" s="9"/>
      <c r="O2434" s="9"/>
      <c r="P2434" s="9"/>
      <c r="Q2434" s="9"/>
    </row>
    <row r="2435" spans="1:17" ht="15.75" customHeight="1">
      <c r="A2435" s="7" t="s">
        <v>2727</v>
      </c>
      <c r="B2435" s="7" t="s">
        <v>172</v>
      </c>
      <c r="C2435" s="7" t="s">
        <v>278</v>
      </c>
      <c r="D2435" s="7" t="s">
        <v>173</v>
      </c>
      <c r="E2435" s="7" t="s">
        <v>377</v>
      </c>
      <c r="F2435" s="8" t="str">
        <f>_xlfn.IFNA(INDEX('HS Codes'!$D$2:$K4989,MATCH($B2435,'HS Codes'!$A$2:$A4989,0),MATCH(F$1,'HS Codes'!$D$1:$K$1,0)),"")</f>
        <v>6302.93.2000</v>
      </c>
      <c r="G2435" s="8">
        <f>_xlfn.IFNA(INDEX('HS Codes'!$D$2:$K4989,MATCH($B2435,'HS Codes'!$A$2:$A4989,0),MATCH(G$1,'HS Codes'!$D$1:$K$1,0)),"")</f>
        <v>6302600090</v>
      </c>
      <c r="H2435" s="8" t="str">
        <f>_xlfn.IFNA(INDEX('HS Codes'!$D$2:$K4989,MATCH($B2435,'HS Codes'!$A$2:$A4989,0),MATCH(H$1,'HS Codes'!$D$1:$K$1,0)),"")</f>
        <v>6302.93.00.00</v>
      </c>
      <c r="I2435" s="8">
        <f>_xlfn.IFNA(INDEX('HS Codes'!$D$2:$K4989,MATCH($B2435,'HS Codes'!$A$2:$A4989,0),MATCH(I$1,'HS Codes'!$D$1:$K$1,0)),"")</f>
        <v>6302939000</v>
      </c>
      <c r="J2435" s="8">
        <f>_xlfn.IFNA(INDEX('HS Codes'!$D$2:$K4989,MATCH($B2435,'HS Codes'!$A$2:$A4989,0),MATCH(J$1,'HS Codes'!$D$1:$K$1,0)),"")</f>
        <v>0</v>
      </c>
      <c r="K2435" s="8" t="str">
        <f>_xlfn.IFNA(INDEX('HS Codes'!$D$2:$K4989,MATCH($B2435,'HS Codes'!$A$2:$A4989,0),MATCH(K$1,'HS Codes'!$D$1:$K$1,0)),"")</f>
        <v>6302.39.00</v>
      </c>
      <c r="L2435" s="8">
        <f>_xlfn.IFNA(INDEX('HS Codes'!$D$2:$K4989,MATCH($B2435,'HS Codes'!$A$2:$A4989,0),MATCH(L$1,'HS Codes'!$D$1:$K$1,0)),"")</f>
        <v>63029120</v>
      </c>
      <c r="M2435" s="8" t="str">
        <f>_xlfn.IFNA(INDEX('HS Codes'!$C$2:$C4989,MATCH($B2435,'HS Codes'!$A$2:$A4989,0)),"")</f>
        <v>Bath Towel - Toilet Linen 100% recycled 340 GSM/83% polyester/17% polyamide (no cotton)</v>
      </c>
      <c r="N2435" s="9"/>
      <c r="O2435" s="9"/>
      <c r="P2435" s="9"/>
      <c r="Q2435" s="9"/>
    </row>
    <row r="2436" spans="1:17" ht="15.75" customHeight="1">
      <c r="A2436" s="7" t="s">
        <v>2728</v>
      </c>
      <c r="B2436" s="7" t="s">
        <v>172</v>
      </c>
      <c r="C2436" s="7" t="s">
        <v>278</v>
      </c>
      <c r="D2436" s="7" t="s">
        <v>173</v>
      </c>
      <c r="E2436" s="7" t="s">
        <v>377</v>
      </c>
      <c r="F2436" s="8" t="str">
        <f>_xlfn.IFNA(INDEX('HS Codes'!$D$2:$K4990,MATCH($B2436,'HS Codes'!$A$2:$A4990,0),MATCH(F$1,'HS Codes'!$D$1:$K$1,0)),"")</f>
        <v>6302.93.2000</v>
      </c>
      <c r="G2436" s="8">
        <f>_xlfn.IFNA(INDEX('HS Codes'!$D$2:$K4990,MATCH($B2436,'HS Codes'!$A$2:$A4990,0),MATCH(G$1,'HS Codes'!$D$1:$K$1,0)),"")</f>
        <v>6302600090</v>
      </c>
      <c r="H2436" s="8" t="str">
        <f>_xlfn.IFNA(INDEX('HS Codes'!$D$2:$K4990,MATCH($B2436,'HS Codes'!$A$2:$A4990,0),MATCH(H$1,'HS Codes'!$D$1:$K$1,0)),"")</f>
        <v>6302.93.00.00</v>
      </c>
      <c r="I2436" s="8">
        <f>_xlfn.IFNA(INDEX('HS Codes'!$D$2:$K4990,MATCH($B2436,'HS Codes'!$A$2:$A4990,0),MATCH(I$1,'HS Codes'!$D$1:$K$1,0)),"")</f>
        <v>6302939000</v>
      </c>
      <c r="J2436" s="8">
        <f>_xlfn.IFNA(INDEX('HS Codes'!$D$2:$K4990,MATCH($B2436,'HS Codes'!$A$2:$A4990,0),MATCH(J$1,'HS Codes'!$D$1:$K$1,0)),"")</f>
        <v>0</v>
      </c>
      <c r="K2436" s="8" t="str">
        <f>_xlfn.IFNA(INDEX('HS Codes'!$D$2:$K4990,MATCH($B2436,'HS Codes'!$A$2:$A4990,0),MATCH(K$1,'HS Codes'!$D$1:$K$1,0)),"")</f>
        <v>6302.39.00</v>
      </c>
      <c r="L2436" s="8">
        <f>_xlfn.IFNA(INDEX('HS Codes'!$D$2:$K4990,MATCH($B2436,'HS Codes'!$A$2:$A4990,0),MATCH(L$1,'HS Codes'!$D$1:$K$1,0)),"")</f>
        <v>63029120</v>
      </c>
      <c r="M2436" s="8" t="str">
        <f>_xlfn.IFNA(INDEX('HS Codes'!$C$2:$C4990,MATCH($B2436,'HS Codes'!$A$2:$A4990,0)),"")</f>
        <v>Bath Towel - Toilet Linen 100% recycled 340 GSM/83% polyester/17% polyamide (no cotton)</v>
      </c>
      <c r="N2436" s="9"/>
      <c r="O2436" s="9"/>
      <c r="P2436" s="9"/>
      <c r="Q2436" s="9"/>
    </row>
    <row r="2437" spans="1:17" ht="15.75" customHeight="1">
      <c r="A2437" s="7" t="s">
        <v>2729</v>
      </c>
      <c r="B2437" s="7" t="s">
        <v>172</v>
      </c>
      <c r="C2437" s="7" t="s">
        <v>278</v>
      </c>
      <c r="D2437" s="7" t="s">
        <v>173</v>
      </c>
      <c r="E2437" s="7" t="s">
        <v>377</v>
      </c>
      <c r="F2437" s="8" t="str">
        <f>_xlfn.IFNA(INDEX('HS Codes'!$D$2:$K4991,MATCH($B2437,'HS Codes'!$A$2:$A4991,0),MATCH(F$1,'HS Codes'!$D$1:$K$1,0)),"")</f>
        <v>6302.93.2000</v>
      </c>
      <c r="G2437" s="8">
        <f>_xlfn.IFNA(INDEX('HS Codes'!$D$2:$K4991,MATCH($B2437,'HS Codes'!$A$2:$A4991,0),MATCH(G$1,'HS Codes'!$D$1:$K$1,0)),"")</f>
        <v>6302600090</v>
      </c>
      <c r="H2437" s="8" t="str">
        <f>_xlfn.IFNA(INDEX('HS Codes'!$D$2:$K4991,MATCH($B2437,'HS Codes'!$A$2:$A4991,0),MATCH(H$1,'HS Codes'!$D$1:$K$1,0)),"")</f>
        <v>6302.93.00.00</v>
      </c>
      <c r="I2437" s="8">
        <f>_xlfn.IFNA(INDEX('HS Codes'!$D$2:$K4991,MATCH($B2437,'HS Codes'!$A$2:$A4991,0),MATCH(I$1,'HS Codes'!$D$1:$K$1,0)),"")</f>
        <v>6302939000</v>
      </c>
      <c r="J2437" s="8">
        <f>_xlfn.IFNA(INDEX('HS Codes'!$D$2:$K4991,MATCH($B2437,'HS Codes'!$A$2:$A4991,0),MATCH(J$1,'HS Codes'!$D$1:$K$1,0)),"")</f>
        <v>0</v>
      </c>
      <c r="K2437" s="8" t="str">
        <f>_xlfn.IFNA(INDEX('HS Codes'!$D$2:$K4991,MATCH($B2437,'HS Codes'!$A$2:$A4991,0),MATCH(K$1,'HS Codes'!$D$1:$K$1,0)),"")</f>
        <v>6302.39.00</v>
      </c>
      <c r="L2437" s="8">
        <f>_xlfn.IFNA(INDEX('HS Codes'!$D$2:$K4991,MATCH($B2437,'HS Codes'!$A$2:$A4991,0),MATCH(L$1,'HS Codes'!$D$1:$K$1,0)),"")</f>
        <v>63029120</v>
      </c>
      <c r="M2437" s="8" t="str">
        <f>_xlfn.IFNA(INDEX('HS Codes'!$C$2:$C4991,MATCH($B2437,'HS Codes'!$A$2:$A4991,0)),"")</f>
        <v>Bath Towel - Toilet Linen 100% recycled 340 GSM/83% polyester/17% polyamide (no cotton)</v>
      </c>
      <c r="N2437" s="9"/>
      <c r="O2437" s="9"/>
      <c r="P2437" s="9"/>
      <c r="Q2437" s="9"/>
    </row>
    <row r="2438" spans="1:17" ht="15.75" customHeight="1">
      <c r="A2438" s="7" t="s">
        <v>2730</v>
      </c>
      <c r="B2438" s="7" t="s">
        <v>172</v>
      </c>
      <c r="C2438" s="7" t="s">
        <v>278</v>
      </c>
      <c r="D2438" s="7" t="s">
        <v>173</v>
      </c>
      <c r="E2438" s="7" t="s">
        <v>377</v>
      </c>
      <c r="F2438" s="8" t="str">
        <f>_xlfn.IFNA(INDEX('HS Codes'!$D$2:$K4992,MATCH($B2438,'HS Codes'!$A$2:$A4992,0),MATCH(F$1,'HS Codes'!$D$1:$K$1,0)),"")</f>
        <v>6302.93.2000</v>
      </c>
      <c r="G2438" s="8">
        <f>_xlfn.IFNA(INDEX('HS Codes'!$D$2:$K4992,MATCH($B2438,'HS Codes'!$A$2:$A4992,0),MATCH(G$1,'HS Codes'!$D$1:$K$1,0)),"")</f>
        <v>6302600090</v>
      </c>
      <c r="H2438" s="8" t="str">
        <f>_xlfn.IFNA(INDEX('HS Codes'!$D$2:$K4992,MATCH($B2438,'HS Codes'!$A$2:$A4992,0),MATCH(H$1,'HS Codes'!$D$1:$K$1,0)),"")</f>
        <v>6302.93.00.00</v>
      </c>
      <c r="I2438" s="8">
        <f>_xlfn.IFNA(INDEX('HS Codes'!$D$2:$K4992,MATCH($B2438,'HS Codes'!$A$2:$A4992,0),MATCH(I$1,'HS Codes'!$D$1:$K$1,0)),"")</f>
        <v>6302939000</v>
      </c>
      <c r="J2438" s="8">
        <f>_xlfn.IFNA(INDEX('HS Codes'!$D$2:$K4992,MATCH($B2438,'HS Codes'!$A$2:$A4992,0),MATCH(J$1,'HS Codes'!$D$1:$K$1,0)),"")</f>
        <v>0</v>
      </c>
      <c r="K2438" s="8" t="str">
        <f>_xlfn.IFNA(INDEX('HS Codes'!$D$2:$K4992,MATCH($B2438,'HS Codes'!$A$2:$A4992,0),MATCH(K$1,'HS Codes'!$D$1:$K$1,0)),"")</f>
        <v>6302.39.00</v>
      </c>
      <c r="L2438" s="8">
        <f>_xlfn.IFNA(INDEX('HS Codes'!$D$2:$K4992,MATCH($B2438,'HS Codes'!$A$2:$A4992,0),MATCH(L$1,'HS Codes'!$D$1:$K$1,0)),"")</f>
        <v>63029120</v>
      </c>
      <c r="M2438" s="8" t="str">
        <f>_xlfn.IFNA(INDEX('HS Codes'!$C$2:$C4992,MATCH($B2438,'HS Codes'!$A$2:$A4992,0)),"")</f>
        <v>Bath Towel - Toilet Linen 100% recycled 340 GSM/83% polyester/17% polyamide (no cotton)</v>
      </c>
      <c r="N2438" s="9"/>
      <c r="O2438" s="9"/>
      <c r="P2438" s="9"/>
      <c r="Q2438" s="9"/>
    </row>
    <row r="2439" spans="1:17" ht="15.75" customHeight="1">
      <c r="A2439" s="7" t="s">
        <v>2731</v>
      </c>
      <c r="B2439" s="7" t="s">
        <v>172</v>
      </c>
      <c r="C2439" s="7" t="s">
        <v>278</v>
      </c>
      <c r="D2439" s="7" t="s">
        <v>173</v>
      </c>
      <c r="E2439" s="7" t="s">
        <v>377</v>
      </c>
      <c r="F2439" s="8" t="str">
        <f>_xlfn.IFNA(INDEX('HS Codes'!$D$2:$K4993,MATCH($B2439,'HS Codes'!$A$2:$A4993,0),MATCH(F$1,'HS Codes'!$D$1:$K$1,0)),"")</f>
        <v>6302.93.2000</v>
      </c>
      <c r="G2439" s="8">
        <f>_xlfn.IFNA(INDEX('HS Codes'!$D$2:$K4993,MATCH($B2439,'HS Codes'!$A$2:$A4993,0),MATCH(G$1,'HS Codes'!$D$1:$K$1,0)),"")</f>
        <v>6302600090</v>
      </c>
      <c r="H2439" s="8" t="str">
        <f>_xlfn.IFNA(INDEX('HS Codes'!$D$2:$K4993,MATCH($B2439,'HS Codes'!$A$2:$A4993,0),MATCH(H$1,'HS Codes'!$D$1:$K$1,0)),"")</f>
        <v>6302.93.00.00</v>
      </c>
      <c r="I2439" s="8">
        <f>_xlfn.IFNA(INDEX('HS Codes'!$D$2:$K4993,MATCH($B2439,'HS Codes'!$A$2:$A4993,0),MATCH(I$1,'HS Codes'!$D$1:$K$1,0)),"")</f>
        <v>6302939000</v>
      </c>
      <c r="J2439" s="8">
        <f>_xlfn.IFNA(INDEX('HS Codes'!$D$2:$K4993,MATCH($B2439,'HS Codes'!$A$2:$A4993,0),MATCH(J$1,'HS Codes'!$D$1:$K$1,0)),"")</f>
        <v>0</v>
      </c>
      <c r="K2439" s="8" t="str">
        <f>_xlfn.IFNA(INDEX('HS Codes'!$D$2:$K4993,MATCH($B2439,'HS Codes'!$A$2:$A4993,0),MATCH(K$1,'HS Codes'!$D$1:$K$1,0)),"")</f>
        <v>6302.39.00</v>
      </c>
      <c r="L2439" s="8">
        <f>_xlfn.IFNA(INDEX('HS Codes'!$D$2:$K4993,MATCH($B2439,'HS Codes'!$A$2:$A4993,0),MATCH(L$1,'HS Codes'!$D$1:$K$1,0)),"")</f>
        <v>63029120</v>
      </c>
      <c r="M2439" s="8" t="str">
        <f>_xlfn.IFNA(INDEX('HS Codes'!$C$2:$C4993,MATCH($B2439,'HS Codes'!$A$2:$A4993,0)),"")</f>
        <v>Bath Towel - Toilet Linen 100% recycled 340 GSM/83% polyester/17% polyamide (no cotton)</v>
      </c>
      <c r="N2439" s="9"/>
      <c r="O2439" s="9"/>
      <c r="P2439" s="9"/>
      <c r="Q2439" s="9"/>
    </row>
    <row r="2440" spans="1:17" ht="15.75" customHeight="1">
      <c r="A2440" s="7" t="s">
        <v>2732</v>
      </c>
      <c r="B2440" s="7" t="s">
        <v>172</v>
      </c>
      <c r="C2440" s="7" t="s">
        <v>278</v>
      </c>
      <c r="D2440" s="7" t="s">
        <v>173</v>
      </c>
      <c r="E2440" s="7" t="s">
        <v>377</v>
      </c>
      <c r="F2440" s="8" t="str">
        <f>_xlfn.IFNA(INDEX('HS Codes'!$D$2:$K4994,MATCH($B2440,'HS Codes'!$A$2:$A4994,0),MATCH(F$1,'HS Codes'!$D$1:$K$1,0)),"")</f>
        <v>6302.93.2000</v>
      </c>
      <c r="G2440" s="8">
        <f>_xlfn.IFNA(INDEX('HS Codes'!$D$2:$K4994,MATCH($B2440,'HS Codes'!$A$2:$A4994,0),MATCH(G$1,'HS Codes'!$D$1:$K$1,0)),"")</f>
        <v>6302600090</v>
      </c>
      <c r="H2440" s="8" t="str">
        <f>_xlfn.IFNA(INDEX('HS Codes'!$D$2:$K4994,MATCH($B2440,'HS Codes'!$A$2:$A4994,0),MATCH(H$1,'HS Codes'!$D$1:$K$1,0)),"")</f>
        <v>6302.93.00.00</v>
      </c>
      <c r="I2440" s="8">
        <f>_xlfn.IFNA(INDEX('HS Codes'!$D$2:$K4994,MATCH($B2440,'HS Codes'!$A$2:$A4994,0),MATCH(I$1,'HS Codes'!$D$1:$K$1,0)),"")</f>
        <v>6302939000</v>
      </c>
      <c r="J2440" s="8">
        <f>_xlfn.IFNA(INDEX('HS Codes'!$D$2:$K4994,MATCH($B2440,'HS Codes'!$A$2:$A4994,0),MATCH(J$1,'HS Codes'!$D$1:$K$1,0)),"")</f>
        <v>0</v>
      </c>
      <c r="K2440" s="8" t="str">
        <f>_xlfn.IFNA(INDEX('HS Codes'!$D$2:$K4994,MATCH($B2440,'HS Codes'!$A$2:$A4994,0),MATCH(K$1,'HS Codes'!$D$1:$K$1,0)),"")</f>
        <v>6302.39.00</v>
      </c>
      <c r="L2440" s="8">
        <f>_xlfn.IFNA(INDEX('HS Codes'!$D$2:$K4994,MATCH($B2440,'HS Codes'!$A$2:$A4994,0),MATCH(L$1,'HS Codes'!$D$1:$K$1,0)),"")</f>
        <v>63029120</v>
      </c>
      <c r="M2440" s="8" t="str">
        <f>_xlfn.IFNA(INDEX('HS Codes'!$C$2:$C4994,MATCH($B2440,'HS Codes'!$A$2:$A4994,0)),"")</f>
        <v>Bath Towel - Toilet Linen 100% recycled 340 GSM/83% polyester/17% polyamide (no cotton)</v>
      </c>
      <c r="N2440" s="9"/>
      <c r="O2440" s="9"/>
      <c r="P2440" s="9"/>
      <c r="Q2440" s="9"/>
    </row>
    <row r="2441" spans="1:17" ht="15.75" customHeight="1">
      <c r="A2441" s="7" t="s">
        <v>2733</v>
      </c>
      <c r="B2441" s="7" t="s">
        <v>172</v>
      </c>
      <c r="C2441" s="7" t="s">
        <v>278</v>
      </c>
      <c r="D2441" s="7" t="s">
        <v>173</v>
      </c>
      <c r="E2441" s="7" t="s">
        <v>377</v>
      </c>
      <c r="F2441" s="8" t="str">
        <f>_xlfn.IFNA(INDEX('HS Codes'!$D$2:$K4995,MATCH($B2441,'HS Codes'!$A$2:$A4995,0),MATCH(F$1,'HS Codes'!$D$1:$K$1,0)),"")</f>
        <v>6302.93.2000</v>
      </c>
      <c r="G2441" s="8">
        <f>_xlfn.IFNA(INDEX('HS Codes'!$D$2:$K4995,MATCH($B2441,'HS Codes'!$A$2:$A4995,0),MATCH(G$1,'HS Codes'!$D$1:$K$1,0)),"")</f>
        <v>6302600090</v>
      </c>
      <c r="H2441" s="8" t="str">
        <f>_xlfn.IFNA(INDEX('HS Codes'!$D$2:$K4995,MATCH($B2441,'HS Codes'!$A$2:$A4995,0),MATCH(H$1,'HS Codes'!$D$1:$K$1,0)),"")</f>
        <v>6302.93.00.00</v>
      </c>
      <c r="I2441" s="8">
        <f>_xlfn.IFNA(INDEX('HS Codes'!$D$2:$K4995,MATCH($B2441,'HS Codes'!$A$2:$A4995,0),MATCH(I$1,'HS Codes'!$D$1:$K$1,0)),"")</f>
        <v>6302939000</v>
      </c>
      <c r="J2441" s="8">
        <f>_xlfn.IFNA(INDEX('HS Codes'!$D$2:$K4995,MATCH($B2441,'HS Codes'!$A$2:$A4995,0),MATCH(J$1,'HS Codes'!$D$1:$K$1,0)),"")</f>
        <v>0</v>
      </c>
      <c r="K2441" s="8" t="str">
        <f>_xlfn.IFNA(INDEX('HS Codes'!$D$2:$K4995,MATCH($B2441,'HS Codes'!$A$2:$A4995,0),MATCH(K$1,'HS Codes'!$D$1:$K$1,0)),"")</f>
        <v>6302.39.00</v>
      </c>
      <c r="L2441" s="8">
        <f>_xlfn.IFNA(INDEX('HS Codes'!$D$2:$K4995,MATCH($B2441,'HS Codes'!$A$2:$A4995,0),MATCH(L$1,'HS Codes'!$D$1:$K$1,0)),"")</f>
        <v>63029120</v>
      </c>
      <c r="M2441" s="8" t="str">
        <f>_xlfn.IFNA(INDEX('HS Codes'!$C$2:$C4995,MATCH($B2441,'HS Codes'!$A$2:$A4995,0)),"")</f>
        <v>Bath Towel - Toilet Linen 100% recycled 340 GSM/83% polyester/17% polyamide (no cotton)</v>
      </c>
      <c r="N2441" s="9"/>
      <c r="O2441" s="9"/>
      <c r="P2441" s="9"/>
      <c r="Q2441" s="9"/>
    </row>
    <row r="2442" spans="1:17" ht="15.75" customHeight="1">
      <c r="A2442" s="7" t="s">
        <v>2734</v>
      </c>
      <c r="B2442" s="7" t="s">
        <v>172</v>
      </c>
      <c r="C2442" s="7" t="s">
        <v>278</v>
      </c>
      <c r="D2442" s="7" t="s">
        <v>173</v>
      </c>
      <c r="E2442" s="7" t="s">
        <v>377</v>
      </c>
      <c r="F2442" s="8" t="str">
        <f>_xlfn.IFNA(INDEX('HS Codes'!$D$2:$K4996,MATCH($B2442,'HS Codes'!$A$2:$A4996,0),MATCH(F$1,'HS Codes'!$D$1:$K$1,0)),"")</f>
        <v>6302.93.2000</v>
      </c>
      <c r="G2442" s="8">
        <f>_xlfn.IFNA(INDEX('HS Codes'!$D$2:$K4996,MATCH($B2442,'HS Codes'!$A$2:$A4996,0),MATCH(G$1,'HS Codes'!$D$1:$K$1,0)),"")</f>
        <v>6302600090</v>
      </c>
      <c r="H2442" s="8" t="str">
        <f>_xlfn.IFNA(INDEX('HS Codes'!$D$2:$K4996,MATCH($B2442,'HS Codes'!$A$2:$A4996,0),MATCH(H$1,'HS Codes'!$D$1:$K$1,0)),"")</f>
        <v>6302.93.00.00</v>
      </c>
      <c r="I2442" s="8">
        <f>_xlfn.IFNA(INDEX('HS Codes'!$D$2:$K4996,MATCH($B2442,'HS Codes'!$A$2:$A4996,0),MATCH(I$1,'HS Codes'!$D$1:$K$1,0)),"")</f>
        <v>6302939000</v>
      </c>
      <c r="J2442" s="8">
        <f>_xlfn.IFNA(INDEX('HS Codes'!$D$2:$K4996,MATCH($B2442,'HS Codes'!$A$2:$A4996,0),MATCH(J$1,'HS Codes'!$D$1:$K$1,0)),"")</f>
        <v>0</v>
      </c>
      <c r="K2442" s="8" t="str">
        <f>_xlfn.IFNA(INDEX('HS Codes'!$D$2:$K4996,MATCH($B2442,'HS Codes'!$A$2:$A4996,0),MATCH(K$1,'HS Codes'!$D$1:$K$1,0)),"")</f>
        <v>6302.39.00</v>
      </c>
      <c r="L2442" s="8">
        <f>_xlfn.IFNA(INDEX('HS Codes'!$D$2:$K4996,MATCH($B2442,'HS Codes'!$A$2:$A4996,0),MATCH(L$1,'HS Codes'!$D$1:$K$1,0)),"")</f>
        <v>63029120</v>
      </c>
      <c r="M2442" s="8" t="str">
        <f>_xlfn.IFNA(INDEX('HS Codes'!$C$2:$C4996,MATCH($B2442,'HS Codes'!$A$2:$A4996,0)),"")</f>
        <v>Bath Towel - Toilet Linen 100% recycled 340 GSM/83% polyester/17% polyamide (no cotton)</v>
      </c>
      <c r="N2442" s="9"/>
      <c r="O2442" s="9"/>
      <c r="P2442" s="9"/>
      <c r="Q2442" s="9"/>
    </row>
    <row r="2443" spans="1:17" ht="15.75" customHeight="1">
      <c r="A2443" s="7" t="s">
        <v>2735</v>
      </c>
      <c r="B2443" s="7" t="s">
        <v>172</v>
      </c>
      <c r="C2443" s="7" t="s">
        <v>278</v>
      </c>
      <c r="D2443" s="7" t="s">
        <v>173</v>
      </c>
      <c r="E2443" s="7" t="s">
        <v>377</v>
      </c>
      <c r="F2443" s="8" t="str">
        <f>_xlfn.IFNA(INDEX('HS Codes'!$D$2:$K4997,MATCH($B2443,'HS Codes'!$A$2:$A4997,0),MATCH(F$1,'HS Codes'!$D$1:$K$1,0)),"")</f>
        <v>6302.93.2000</v>
      </c>
      <c r="G2443" s="8">
        <f>_xlfn.IFNA(INDEX('HS Codes'!$D$2:$K4997,MATCH($B2443,'HS Codes'!$A$2:$A4997,0),MATCH(G$1,'HS Codes'!$D$1:$K$1,0)),"")</f>
        <v>6302600090</v>
      </c>
      <c r="H2443" s="8" t="str">
        <f>_xlfn.IFNA(INDEX('HS Codes'!$D$2:$K4997,MATCH($B2443,'HS Codes'!$A$2:$A4997,0),MATCH(H$1,'HS Codes'!$D$1:$K$1,0)),"")</f>
        <v>6302.93.00.00</v>
      </c>
      <c r="I2443" s="8">
        <f>_xlfn.IFNA(INDEX('HS Codes'!$D$2:$K4997,MATCH($B2443,'HS Codes'!$A$2:$A4997,0),MATCH(I$1,'HS Codes'!$D$1:$K$1,0)),"")</f>
        <v>6302939000</v>
      </c>
      <c r="J2443" s="8">
        <f>_xlfn.IFNA(INDEX('HS Codes'!$D$2:$K4997,MATCH($B2443,'HS Codes'!$A$2:$A4997,0),MATCH(J$1,'HS Codes'!$D$1:$K$1,0)),"")</f>
        <v>0</v>
      </c>
      <c r="K2443" s="8" t="str">
        <f>_xlfn.IFNA(INDEX('HS Codes'!$D$2:$K4997,MATCH($B2443,'HS Codes'!$A$2:$A4997,0),MATCH(K$1,'HS Codes'!$D$1:$K$1,0)),"")</f>
        <v>6302.39.00</v>
      </c>
      <c r="L2443" s="8">
        <f>_xlfn.IFNA(INDEX('HS Codes'!$D$2:$K4997,MATCH($B2443,'HS Codes'!$A$2:$A4997,0),MATCH(L$1,'HS Codes'!$D$1:$K$1,0)),"")</f>
        <v>63029120</v>
      </c>
      <c r="M2443" s="8" t="str">
        <f>_xlfn.IFNA(INDEX('HS Codes'!$C$2:$C4997,MATCH($B2443,'HS Codes'!$A$2:$A4997,0)),"")</f>
        <v>Bath Towel - Toilet Linen 100% recycled 340 GSM/83% polyester/17% polyamide (no cotton)</v>
      </c>
      <c r="N2443" s="9"/>
      <c r="O2443" s="9"/>
      <c r="P2443" s="9"/>
      <c r="Q2443" s="9"/>
    </row>
    <row r="2444" spans="1:17" ht="15.75" customHeight="1">
      <c r="A2444" s="7" t="s">
        <v>2736</v>
      </c>
      <c r="B2444" s="7" t="s">
        <v>172</v>
      </c>
      <c r="C2444" s="7" t="s">
        <v>278</v>
      </c>
      <c r="D2444" s="7" t="s">
        <v>173</v>
      </c>
      <c r="E2444" s="7" t="s">
        <v>377</v>
      </c>
      <c r="F2444" s="8" t="str">
        <f>_xlfn.IFNA(INDEX('HS Codes'!$D$2:$K4998,MATCH($B2444,'HS Codes'!$A$2:$A4998,0),MATCH(F$1,'HS Codes'!$D$1:$K$1,0)),"")</f>
        <v>6302.93.2000</v>
      </c>
      <c r="G2444" s="8">
        <f>_xlfn.IFNA(INDEX('HS Codes'!$D$2:$K4998,MATCH($B2444,'HS Codes'!$A$2:$A4998,0),MATCH(G$1,'HS Codes'!$D$1:$K$1,0)),"")</f>
        <v>6302600090</v>
      </c>
      <c r="H2444" s="8" t="str">
        <f>_xlfn.IFNA(INDEX('HS Codes'!$D$2:$K4998,MATCH($B2444,'HS Codes'!$A$2:$A4998,0),MATCH(H$1,'HS Codes'!$D$1:$K$1,0)),"")</f>
        <v>6302.93.00.00</v>
      </c>
      <c r="I2444" s="8">
        <f>_xlfn.IFNA(INDEX('HS Codes'!$D$2:$K4998,MATCH($B2444,'HS Codes'!$A$2:$A4998,0),MATCH(I$1,'HS Codes'!$D$1:$K$1,0)),"")</f>
        <v>6302939000</v>
      </c>
      <c r="J2444" s="8">
        <f>_xlfn.IFNA(INDEX('HS Codes'!$D$2:$K4998,MATCH($B2444,'HS Codes'!$A$2:$A4998,0),MATCH(J$1,'HS Codes'!$D$1:$K$1,0)),"")</f>
        <v>0</v>
      </c>
      <c r="K2444" s="8" t="str">
        <f>_xlfn.IFNA(INDEX('HS Codes'!$D$2:$K4998,MATCH($B2444,'HS Codes'!$A$2:$A4998,0),MATCH(K$1,'HS Codes'!$D$1:$K$1,0)),"")</f>
        <v>6302.39.00</v>
      </c>
      <c r="L2444" s="8">
        <f>_xlfn.IFNA(INDEX('HS Codes'!$D$2:$K4998,MATCH($B2444,'HS Codes'!$A$2:$A4998,0),MATCH(L$1,'HS Codes'!$D$1:$K$1,0)),"")</f>
        <v>63029120</v>
      </c>
      <c r="M2444" s="8" t="str">
        <f>_xlfn.IFNA(INDEX('HS Codes'!$C$2:$C4998,MATCH($B2444,'HS Codes'!$A$2:$A4998,0)),"")</f>
        <v>Bath Towel - Toilet Linen 100% recycled 340 GSM/83% polyester/17% polyamide (no cotton)</v>
      </c>
      <c r="N2444" s="9"/>
      <c r="O2444" s="9"/>
      <c r="P2444" s="9"/>
      <c r="Q2444" s="9"/>
    </row>
    <row r="2445" spans="1:17" ht="15.75" customHeight="1">
      <c r="A2445" s="7" t="s">
        <v>2737</v>
      </c>
      <c r="B2445" s="7" t="s">
        <v>172</v>
      </c>
      <c r="C2445" s="7" t="s">
        <v>278</v>
      </c>
      <c r="D2445" s="7" t="s">
        <v>173</v>
      </c>
      <c r="E2445" s="7" t="s">
        <v>377</v>
      </c>
      <c r="F2445" s="8" t="str">
        <f>_xlfn.IFNA(INDEX('HS Codes'!$D$2:$K4999,MATCH($B2445,'HS Codes'!$A$2:$A4999,0),MATCH(F$1,'HS Codes'!$D$1:$K$1,0)),"")</f>
        <v>6302.93.2000</v>
      </c>
      <c r="G2445" s="8">
        <f>_xlfn.IFNA(INDEX('HS Codes'!$D$2:$K4999,MATCH($B2445,'HS Codes'!$A$2:$A4999,0),MATCH(G$1,'HS Codes'!$D$1:$K$1,0)),"")</f>
        <v>6302600090</v>
      </c>
      <c r="H2445" s="8" t="str">
        <f>_xlfn.IFNA(INDEX('HS Codes'!$D$2:$K4999,MATCH($B2445,'HS Codes'!$A$2:$A4999,0),MATCH(H$1,'HS Codes'!$D$1:$K$1,0)),"")</f>
        <v>6302.93.00.00</v>
      </c>
      <c r="I2445" s="8">
        <f>_xlfn.IFNA(INDEX('HS Codes'!$D$2:$K4999,MATCH($B2445,'HS Codes'!$A$2:$A4999,0),MATCH(I$1,'HS Codes'!$D$1:$K$1,0)),"")</f>
        <v>6302939000</v>
      </c>
      <c r="J2445" s="8">
        <f>_xlfn.IFNA(INDEX('HS Codes'!$D$2:$K4999,MATCH($B2445,'HS Codes'!$A$2:$A4999,0),MATCH(J$1,'HS Codes'!$D$1:$K$1,0)),"")</f>
        <v>0</v>
      </c>
      <c r="K2445" s="8" t="str">
        <f>_xlfn.IFNA(INDEX('HS Codes'!$D$2:$K4999,MATCH($B2445,'HS Codes'!$A$2:$A4999,0),MATCH(K$1,'HS Codes'!$D$1:$K$1,0)),"")</f>
        <v>6302.39.00</v>
      </c>
      <c r="L2445" s="8">
        <f>_xlfn.IFNA(INDEX('HS Codes'!$D$2:$K4999,MATCH($B2445,'HS Codes'!$A$2:$A4999,0),MATCH(L$1,'HS Codes'!$D$1:$K$1,0)),"")</f>
        <v>63029120</v>
      </c>
      <c r="M2445" s="8" t="str">
        <f>_xlfn.IFNA(INDEX('HS Codes'!$C$2:$C4999,MATCH($B2445,'HS Codes'!$A$2:$A4999,0)),"")</f>
        <v>Bath Towel - Toilet Linen 100% recycled 340 GSM/83% polyester/17% polyamide (no cotton)</v>
      </c>
      <c r="N2445" s="9"/>
      <c r="O2445" s="9"/>
      <c r="P2445" s="9"/>
      <c r="Q2445" s="9"/>
    </row>
    <row r="2446" spans="1:17" ht="15.75" customHeight="1">
      <c r="A2446" s="7" t="s">
        <v>2738</v>
      </c>
      <c r="B2446" s="7" t="s">
        <v>172</v>
      </c>
      <c r="C2446" s="7" t="s">
        <v>278</v>
      </c>
      <c r="D2446" s="7" t="s">
        <v>173</v>
      </c>
      <c r="E2446" s="7" t="s">
        <v>377</v>
      </c>
      <c r="F2446" s="8" t="str">
        <f>_xlfn.IFNA(INDEX('HS Codes'!$D$2:$K5000,MATCH($B2446,'HS Codes'!$A$2:$A5000,0),MATCH(F$1,'HS Codes'!$D$1:$K$1,0)),"")</f>
        <v>6302.93.2000</v>
      </c>
      <c r="G2446" s="8">
        <f>_xlfn.IFNA(INDEX('HS Codes'!$D$2:$K5000,MATCH($B2446,'HS Codes'!$A$2:$A5000,0),MATCH(G$1,'HS Codes'!$D$1:$K$1,0)),"")</f>
        <v>6302600090</v>
      </c>
      <c r="H2446" s="8" t="str">
        <f>_xlfn.IFNA(INDEX('HS Codes'!$D$2:$K5000,MATCH($B2446,'HS Codes'!$A$2:$A5000,0),MATCH(H$1,'HS Codes'!$D$1:$K$1,0)),"")</f>
        <v>6302.93.00.00</v>
      </c>
      <c r="I2446" s="8">
        <f>_xlfn.IFNA(INDEX('HS Codes'!$D$2:$K5000,MATCH($B2446,'HS Codes'!$A$2:$A5000,0),MATCH(I$1,'HS Codes'!$D$1:$K$1,0)),"")</f>
        <v>6302939000</v>
      </c>
      <c r="J2446" s="8">
        <f>_xlfn.IFNA(INDEX('HS Codes'!$D$2:$K5000,MATCH($B2446,'HS Codes'!$A$2:$A5000,0),MATCH(J$1,'HS Codes'!$D$1:$K$1,0)),"")</f>
        <v>0</v>
      </c>
      <c r="K2446" s="8" t="str">
        <f>_xlfn.IFNA(INDEX('HS Codes'!$D$2:$K5000,MATCH($B2446,'HS Codes'!$A$2:$A5000,0),MATCH(K$1,'HS Codes'!$D$1:$K$1,0)),"")</f>
        <v>6302.39.00</v>
      </c>
      <c r="L2446" s="8">
        <f>_xlfn.IFNA(INDEX('HS Codes'!$D$2:$K5000,MATCH($B2446,'HS Codes'!$A$2:$A5000,0),MATCH(L$1,'HS Codes'!$D$1:$K$1,0)),"")</f>
        <v>63029120</v>
      </c>
      <c r="M2446" s="8" t="str">
        <f>_xlfn.IFNA(INDEX('HS Codes'!$C$2:$C5000,MATCH($B2446,'HS Codes'!$A$2:$A5000,0)),"")</f>
        <v>Bath Towel - Toilet Linen 100% recycled 340 GSM/83% polyester/17% polyamide (no cotton)</v>
      </c>
      <c r="N2446" s="9"/>
      <c r="O2446" s="9"/>
      <c r="P2446" s="9"/>
      <c r="Q2446" s="9"/>
    </row>
    <row r="2447" spans="1:17" ht="15.75" customHeight="1">
      <c r="A2447" s="7" t="s">
        <v>2739</v>
      </c>
      <c r="B2447" s="7" t="s">
        <v>172</v>
      </c>
      <c r="C2447" s="7" t="s">
        <v>278</v>
      </c>
      <c r="D2447" s="7" t="s">
        <v>173</v>
      </c>
      <c r="E2447" s="7" t="s">
        <v>377</v>
      </c>
      <c r="F2447" s="8" t="str">
        <f>_xlfn.IFNA(INDEX('HS Codes'!$D$2:$K5001,MATCH($B2447,'HS Codes'!$A$2:$A5001,0),MATCH(F$1,'HS Codes'!$D$1:$K$1,0)),"")</f>
        <v>6302.93.2000</v>
      </c>
      <c r="G2447" s="8">
        <f>_xlfn.IFNA(INDEX('HS Codes'!$D$2:$K5001,MATCH($B2447,'HS Codes'!$A$2:$A5001,0),MATCH(G$1,'HS Codes'!$D$1:$K$1,0)),"")</f>
        <v>6302600090</v>
      </c>
      <c r="H2447" s="8" t="str">
        <f>_xlfn.IFNA(INDEX('HS Codes'!$D$2:$K5001,MATCH($B2447,'HS Codes'!$A$2:$A5001,0),MATCH(H$1,'HS Codes'!$D$1:$K$1,0)),"")</f>
        <v>6302.93.00.00</v>
      </c>
      <c r="I2447" s="8">
        <f>_xlfn.IFNA(INDEX('HS Codes'!$D$2:$K5001,MATCH($B2447,'HS Codes'!$A$2:$A5001,0),MATCH(I$1,'HS Codes'!$D$1:$K$1,0)),"")</f>
        <v>6302939000</v>
      </c>
      <c r="J2447" s="8">
        <f>_xlfn.IFNA(INDEX('HS Codes'!$D$2:$K5001,MATCH($B2447,'HS Codes'!$A$2:$A5001,0),MATCH(J$1,'HS Codes'!$D$1:$K$1,0)),"")</f>
        <v>0</v>
      </c>
      <c r="K2447" s="8" t="str">
        <f>_xlfn.IFNA(INDEX('HS Codes'!$D$2:$K5001,MATCH($B2447,'HS Codes'!$A$2:$A5001,0),MATCH(K$1,'HS Codes'!$D$1:$K$1,0)),"")</f>
        <v>6302.39.00</v>
      </c>
      <c r="L2447" s="8">
        <f>_xlfn.IFNA(INDEX('HS Codes'!$D$2:$K5001,MATCH($B2447,'HS Codes'!$A$2:$A5001,0),MATCH(L$1,'HS Codes'!$D$1:$K$1,0)),"")</f>
        <v>63029120</v>
      </c>
      <c r="M2447" s="8" t="str">
        <f>_xlfn.IFNA(INDEX('HS Codes'!$C$2:$C5001,MATCH($B2447,'HS Codes'!$A$2:$A5001,0)),"")</f>
        <v>Bath Towel - Toilet Linen 100% recycled 340 GSM/83% polyester/17% polyamide (no cotton)</v>
      </c>
      <c r="N2447" s="9"/>
      <c r="O2447" s="9"/>
      <c r="P2447" s="9"/>
      <c r="Q2447" s="9"/>
    </row>
    <row r="2448" spans="1:17" ht="15.75" customHeight="1">
      <c r="A2448" s="7" t="s">
        <v>2740</v>
      </c>
      <c r="B2448" s="7" t="s">
        <v>172</v>
      </c>
      <c r="C2448" s="7" t="s">
        <v>278</v>
      </c>
      <c r="D2448" s="7" t="s">
        <v>173</v>
      </c>
      <c r="E2448" s="7" t="s">
        <v>377</v>
      </c>
      <c r="F2448" s="8" t="str">
        <f>_xlfn.IFNA(INDEX('HS Codes'!$D$2:$K5002,MATCH($B2448,'HS Codes'!$A$2:$A5002,0),MATCH(F$1,'HS Codes'!$D$1:$K$1,0)),"")</f>
        <v>6302.93.2000</v>
      </c>
      <c r="G2448" s="8">
        <f>_xlfn.IFNA(INDEX('HS Codes'!$D$2:$K5002,MATCH($B2448,'HS Codes'!$A$2:$A5002,0),MATCH(G$1,'HS Codes'!$D$1:$K$1,0)),"")</f>
        <v>6302600090</v>
      </c>
      <c r="H2448" s="8" t="str">
        <f>_xlfn.IFNA(INDEX('HS Codes'!$D$2:$K5002,MATCH($B2448,'HS Codes'!$A$2:$A5002,0),MATCH(H$1,'HS Codes'!$D$1:$K$1,0)),"")</f>
        <v>6302.93.00.00</v>
      </c>
      <c r="I2448" s="8">
        <f>_xlfn.IFNA(INDEX('HS Codes'!$D$2:$K5002,MATCH($B2448,'HS Codes'!$A$2:$A5002,0),MATCH(I$1,'HS Codes'!$D$1:$K$1,0)),"")</f>
        <v>6302939000</v>
      </c>
      <c r="J2448" s="8">
        <f>_xlfn.IFNA(INDEX('HS Codes'!$D$2:$K5002,MATCH($B2448,'HS Codes'!$A$2:$A5002,0),MATCH(J$1,'HS Codes'!$D$1:$K$1,0)),"")</f>
        <v>0</v>
      </c>
      <c r="K2448" s="8" t="str">
        <f>_xlfn.IFNA(INDEX('HS Codes'!$D$2:$K5002,MATCH($B2448,'HS Codes'!$A$2:$A5002,0),MATCH(K$1,'HS Codes'!$D$1:$K$1,0)),"")</f>
        <v>6302.39.00</v>
      </c>
      <c r="L2448" s="8">
        <f>_xlfn.IFNA(INDEX('HS Codes'!$D$2:$K5002,MATCH($B2448,'HS Codes'!$A$2:$A5002,0),MATCH(L$1,'HS Codes'!$D$1:$K$1,0)),"")</f>
        <v>63029120</v>
      </c>
      <c r="M2448" s="8" t="str">
        <f>_xlfn.IFNA(INDEX('HS Codes'!$C$2:$C5002,MATCH($B2448,'HS Codes'!$A$2:$A5002,0)),"")</f>
        <v>Bath Towel - Toilet Linen 100% recycled 340 GSM/83% polyester/17% polyamide (no cotton)</v>
      </c>
      <c r="N2448" s="9"/>
      <c r="O2448" s="9"/>
      <c r="P2448" s="9"/>
      <c r="Q2448" s="9"/>
    </row>
    <row r="2449" spans="1:17" ht="15.75" customHeight="1">
      <c r="A2449" s="7" t="s">
        <v>2741</v>
      </c>
      <c r="B2449" s="7" t="s">
        <v>172</v>
      </c>
      <c r="C2449" s="7" t="s">
        <v>278</v>
      </c>
      <c r="D2449" s="7" t="s">
        <v>173</v>
      </c>
      <c r="E2449" s="7" t="s">
        <v>377</v>
      </c>
      <c r="F2449" s="8" t="str">
        <f>_xlfn.IFNA(INDEX('HS Codes'!$D$2:$K5003,MATCH($B2449,'HS Codes'!$A$2:$A5003,0),MATCH(F$1,'HS Codes'!$D$1:$K$1,0)),"")</f>
        <v>6302.93.2000</v>
      </c>
      <c r="G2449" s="8">
        <f>_xlfn.IFNA(INDEX('HS Codes'!$D$2:$K5003,MATCH($B2449,'HS Codes'!$A$2:$A5003,0),MATCH(G$1,'HS Codes'!$D$1:$K$1,0)),"")</f>
        <v>6302600090</v>
      </c>
      <c r="H2449" s="8" t="str">
        <f>_xlfn.IFNA(INDEX('HS Codes'!$D$2:$K5003,MATCH($B2449,'HS Codes'!$A$2:$A5003,0),MATCH(H$1,'HS Codes'!$D$1:$K$1,0)),"")</f>
        <v>6302.93.00.00</v>
      </c>
      <c r="I2449" s="8">
        <f>_xlfn.IFNA(INDEX('HS Codes'!$D$2:$K5003,MATCH($B2449,'HS Codes'!$A$2:$A5003,0),MATCH(I$1,'HS Codes'!$D$1:$K$1,0)),"")</f>
        <v>6302939000</v>
      </c>
      <c r="J2449" s="8">
        <f>_xlfn.IFNA(INDEX('HS Codes'!$D$2:$K5003,MATCH($B2449,'HS Codes'!$A$2:$A5003,0),MATCH(J$1,'HS Codes'!$D$1:$K$1,0)),"")</f>
        <v>0</v>
      </c>
      <c r="K2449" s="8" t="str">
        <f>_xlfn.IFNA(INDEX('HS Codes'!$D$2:$K5003,MATCH($B2449,'HS Codes'!$A$2:$A5003,0),MATCH(K$1,'HS Codes'!$D$1:$K$1,0)),"")</f>
        <v>6302.39.00</v>
      </c>
      <c r="L2449" s="8">
        <f>_xlfn.IFNA(INDEX('HS Codes'!$D$2:$K5003,MATCH($B2449,'HS Codes'!$A$2:$A5003,0),MATCH(L$1,'HS Codes'!$D$1:$K$1,0)),"")</f>
        <v>63029120</v>
      </c>
      <c r="M2449" s="8" t="str">
        <f>_xlfn.IFNA(INDEX('HS Codes'!$C$2:$C5003,MATCH($B2449,'HS Codes'!$A$2:$A5003,0)),"")</f>
        <v>Bath Towel - Toilet Linen 100% recycled 340 GSM/83% polyester/17% polyamide (no cotton)</v>
      </c>
      <c r="N2449" s="9"/>
      <c r="O2449" s="9"/>
      <c r="P2449" s="9"/>
      <c r="Q2449" s="9"/>
    </row>
    <row r="2450" spans="1:17" ht="15.75" customHeight="1">
      <c r="A2450" s="7" t="s">
        <v>2742</v>
      </c>
      <c r="B2450" s="7" t="s">
        <v>172</v>
      </c>
      <c r="C2450" s="7" t="s">
        <v>278</v>
      </c>
      <c r="D2450" s="7" t="s">
        <v>173</v>
      </c>
      <c r="E2450" s="7" t="s">
        <v>377</v>
      </c>
      <c r="F2450" s="8" t="str">
        <f>_xlfn.IFNA(INDEX('HS Codes'!$D$2:$K5004,MATCH($B2450,'HS Codes'!$A$2:$A5004,0),MATCH(F$1,'HS Codes'!$D$1:$K$1,0)),"")</f>
        <v>6302.93.2000</v>
      </c>
      <c r="G2450" s="8">
        <f>_xlfn.IFNA(INDEX('HS Codes'!$D$2:$K5004,MATCH($B2450,'HS Codes'!$A$2:$A5004,0),MATCH(G$1,'HS Codes'!$D$1:$K$1,0)),"")</f>
        <v>6302600090</v>
      </c>
      <c r="H2450" s="8" t="str">
        <f>_xlfn.IFNA(INDEX('HS Codes'!$D$2:$K5004,MATCH($B2450,'HS Codes'!$A$2:$A5004,0),MATCH(H$1,'HS Codes'!$D$1:$K$1,0)),"")</f>
        <v>6302.93.00.00</v>
      </c>
      <c r="I2450" s="8">
        <f>_xlfn.IFNA(INDEX('HS Codes'!$D$2:$K5004,MATCH($B2450,'HS Codes'!$A$2:$A5004,0),MATCH(I$1,'HS Codes'!$D$1:$K$1,0)),"")</f>
        <v>6302939000</v>
      </c>
      <c r="J2450" s="8">
        <f>_xlfn.IFNA(INDEX('HS Codes'!$D$2:$K5004,MATCH($B2450,'HS Codes'!$A$2:$A5004,0),MATCH(J$1,'HS Codes'!$D$1:$K$1,0)),"")</f>
        <v>0</v>
      </c>
      <c r="K2450" s="8" t="str">
        <f>_xlfn.IFNA(INDEX('HS Codes'!$D$2:$K5004,MATCH($B2450,'HS Codes'!$A$2:$A5004,0),MATCH(K$1,'HS Codes'!$D$1:$K$1,0)),"")</f>
        <v>6302.39.00</v>
      </c>
      <c r="L2450" s="8">
        <f>_xlfn.IFNA(INDEX('HS Codes'!$D$2:$K5004,MATCH($B2450,'HS Codes'!$A$2:$A5004,0),MATCH(L$1,'HS Codes'!$D$1:$K$1,0)),"")</f>
        <v>63029120</v>
      </c>
      <c r="M2450" s="8" t="str">
        <f>_xlfn.IFNA(INDEX('HS Codes'!$C$2:$C5004,MATCH($B2450,'HS Codes'!$A$2:$A5004,0)),"")</f>
        <v>Bath Towel - Toilet Linen 100% recycled 340 GSM/83% polyester/17% polyamide (no cotton)</v>
      </c>
      <c r="N2450" s="9"/>
      <c r="O2450" s="9"/>
      <c r="P2450" s="9"/>
      <c r="Q2450" s="9"/>
    </row>
    <row r="2451" spans="1:17" ht="15.75" customHeight="1">
      <c r="A2451" s="7" t="s">
        <v>2743</v>
      </c>
      <c r="B2451" s="7" t="s">
        <v>172</v>
      </c>
      <c r="C2451" s="7" t="s">
        <v>278</v>
      </c>
      <c r="D2451" s="7" t="s">
        <v>173</v>
      </c>
      <c r="E2451" s="7" t="s">
        <v>377</v>
      </c>
      <c r="F2451" s="8" t="str">
        <f>_xlfn.IFNA(INDEX('HS Codes'!$D$2:$K5005,MATCH($B2451,'HS Codes'!$A$2:$A5005,0),MATCH(F$1,'HS Codes'!$D$1:$K$1,0)),"")</f>
        <v>6302.93.2000</v>
      </c>
      <c r="G2451" s="8">
        <f>_xlfn.IFNA(INDEX('HS Codes'!$D$2:$K5005,MATCH($B2451,'HS Codes'!$A$2:$A5005,0),MATCH(G$1,'HS Codes'!$D$1:$K$1,0)),"")</f>
        <v>6302600090</v>
      </c>
      <c r="H2451" s="8" t="str">
        <f>_xlfn.IFNA(INDEX('HS Codes'!$D$2:$K5005,MATCH($B2451,'HS Codes'!$A$2:$A5005,0),MATCH(H$1,'HS Codes'!$D$1:$K$1,0)),"")</f>
        <v>6302.93.00.00</v>
      </c>
      <c r="I2451" s="8">
        <f>_xlfn.IFNA(INDEX('HS Codes'!$D$2:$K5005,MATCH($B2451,'HS Codes'!$A$2:$A5005,0),MATCH(I$1,'HS Codes'!$D$1:$K$1,0)),"")</f>
        <v>6302939000</v>
      </c>
      <c r="J2451" s="8">
        <f>_xlfn.IFNA(INDEX('HS Codes'!$D$2:$K5005,MATCH($B2451,'HS Codes'!$A$2:$A5005,0),MATCH(J$1,'HS Codes'!$D$1:$K$1,0)),"")</f>
        <v>0</v>
      </c>
      <c r="K2451" s="8" t="str">
        <f>_xlfn.IFNA(INDEX('HS Codes'!$D$2:$K5005,MATCH($B2451,'HS Codes'!$A$2:$A5005,0),MATCH(K$1,'HS Codes'!$D$1:$K$1,0)),"")</f>
        <v>6302.39.00</v>
      </c>
      <c r="L2451" s="8">
        <f>_xlfn.IFNA(INDEX('HS Codes'!$D$2:$K5005,MATCH($B2451,'HS Codes'!$A$2:$A5005,0),MATCH(L$1,'HS Codes'!$D$1:$K$1,0)),"")</f>
        <v>63029120</v>
      </c>
      <c r="M2451" s="8" t="str">
        <f>_xlfn.IFNA(INDEX('HS Codes'!$C$2:$C5005,MATCH($B2451,'HS Codes'!$A$2:$A5005,0)),"")</f>
        <v>Bath Towel - Toilet Linen 100% recycled 340 GSM/83% polyester/17% polyamide (no cotton)</v>
      </c>
      <c r="N2451" s="9"/>
      <c r="O2451" s="9"/>
      <c r="P2451" s="9"/>
      <c r="Q2451" s="9"/>
    </row>
    <row r="2452" spans="1:17" ht="15.75" customHeight="1">
      <c r="A2452" s="7" t="s">
        <v>2744</v>
      </c>
      <c r="B2452" s="7" t="s">
        <v>172</v>
      </c>
      <c r="C2452" s="7" t="s">
        <v>278</v>
      </c>
      <c r="D2452" s="7" t="s">
        <v>173</v>
      </c>
      <c r="E2452" s="7" t="s">
        <v>377</v>
      </c>
      <c r="F2452" s="8" t="str">
        <f>_xlfn.IFNA(INDEX('HS Codes'!$D$2:$K5006,MATCH($B2452,'HS Codes'!$A$2:$A5006,0),MATCH(F$1,'HS Codes'!$D$1:$K$1,0)),"")</f>
        <v>6302.93.2000</v>
      </c>
      <c r="G2452" s="8">
        <f>_xlfn.IFNA(INDEX('HS Codes'!$D$2:$K5006,MATCH($B2452,'HS Codes'!$A$2:$A5006,0),MATCH(G$1,'HS Codes'!$D$1:$K$1,0)),"")</f>
        <v>6302600090</v>
      </c>
      <c r="H2452" s="8" t="str">
        <f>_xlfn.IFNA(INDEX('HS Codes'!$D$2:$K5006,MATCH($B2452,'HS Codes'!$A$2:$A5006,0),MATCH(H$1,'HS Codes'!$D$1:$K$1,0)),"")</f>
        <v>6302.93.00.00</v>
      </c>
      <c r="I2452" s="8">
        <f>_xlfn.IFNA(INDEX('HS Codes'!$D$2:$K5006,MATCH($B2452,'HS Codes'!$A$2:$A5006,0),MATCH(I$1,'HS Codes'!$D$1:$K$1,0)),"")</f>
        <v>6302939000</v>
      </c>
      <c r="J2452" s="8">
        <f>_xlfn.IFNA(INDEX('HS Codes'!$D$2:$K5006,MATCH($B2452,'HS Codes'!$A$2:$A5006,0),MATCH(J$1,'HS Codes'!$D$1:$K$1,0)),"")</f>
        <v>0</v>
      </c>
      <c r="K2452" s="8" t="str">
        <f>_xlfn.IFNA(INDEX('HS Codes'!$D$2:$K5006,MATCH($B2452,'HS Codes'!$A$2:$A5006,0),MATCH(K$1,'HS Codes'!$D$1:$K$1,0)),"")</f>
        <v>6302.39.00</v>
      </c>
      <c r="L2452" s="8">
        <f>_xlfn.IFNA(INDEX('HS Codes'!$D$2:$K5006,MATCH($B2452,'HS Codes'!$A$2:$A5006,0),MATCH(L$1,'HS Codes'!$D$1:$K$1,0)),"")</f>
        <v>63029120</v>
      </c>
      <c r="M2452" s="8" t="str">
        <f>_xlfn.IFNA(INDEX('HS Codes'!$C$2:$C5006,MATCH($B2452,'HS Codes'!$A$2:$A5006,0)),"")</f>
        <v>Bath Towel - Toilet Linen 100% recycled 340 GSM/83% polyester/17% polyamide (no cotton)</v>
      </c>
      <c r="N2452" s="9"/>
      <c r="O2452" s="9"/>
      <c r="P2452" s="9"/>
      <c r="Q2452" s="9"/>
    </row>
    <row r="2453" spans="1:17" ht="15.75" customHeight="1">
      <c r="A2453" s="7" t="s">
        <v>2745</v>
      </c>
      <c r="B2453" s="7" t="s">
        <v>172</v>
      </c>
      <c r="C2453" s="7" t="s">
        <v>278</v>
      </c>
      <c r="D2453" s="7" t="s">
        <v>173</v>
      </c>
      <c r="E2453" s="7" t="s">
        <v>377</v>
      </c>
      <c r="F2453" s="8" t="str">
        <f>_xlfn.IFNA(INDEX('HS Codes'!$D$2:$K5007,MATCH($B2453,'HS Codes'!$A$2:$A5007,0),MATCH(F$1,'HS Codes'!$D$1:$K$1,0)),"")</f>
        <v>6302.93.2000</v>
      </c>
      <c r="G2453" s="8">
        <f>_xlfn.IFNA(INDEX('HS Codes'!$D$2:$K5007,MATCH($B2453,'HS Codes'!$A$2:$A5007,0),MATCH(G$1,'HS Codes'!$D$1:$K$1,0)),"")</f>
        <v>6302600090</v>
      </c>
      <c r="H2453" s="8" t="str">
        <f>_xlfn.IFNA(INDEX('HS Codes'!$D$2:$K5007,MATCH($B2453,'HS Codes'!$A$2:$A5007,0),MATCH(H$1,'HS Codes'!$D$1:$K$1,0)),"")</f>
        <v>6302.93.00.00</v>
      </c>
      <c r="I2453" s="8">
        <f>_xlfn.IFNA(INDEX('HS Codes'!$D$2:$K5007,MATCH($B2453,'HS Codes'!$A$2:$A5007,0),MATCH(I$1,'HS Codes'!$D$1:$K$1,0)),"")</f>
        <v>6302939000</v>
      </c>
      <c r="J2453" s="8">
        <f>_xlfn.IFNA(INDEX('HS Codes'!$D$2:$K5007,MATCH($B2453,'HS Codes'!$A$2:$A5007,0),MATCH(J$1,'HS Codes'!$D$1:$K$1,0)),"")</f>
        <v>0</v>
      </c>
      <c r="K2453" s="8" t="str">
        <f>_xlfn.IFNA(INDEX('HS Codes'!$D$2:$K5007,MATCH($B2453,'HS Codes'!$A$2:$A5007,0),MATCH(K$1,'HS Codes'!$D$1:$K$1,0)),"")</f>
        <v>6302.39.00</v>
      </c>
      <c r="L2453" s="8">
        <f>_xlfn.IFNA(INDEX('HS Codes'!$D$2:$K5007,MATCH($B2453,'HS Codes'!$A$2:$A5007,0),MATCH(L$1,'HS Codes'!$D$1:$K$1,0)),"")</f>
        <v>63029120</v>
      </c>
      <c r="M2453" s="8" t="str">
        <f>_xlfn.IFNA(INDEX('HS Codes'!$C$2:$C5007,MATCH($B2453,'HS Codes'!$A$2:$A5007,0)),"")</f>
        <v>Bath Towel - Toilet Linen 100% recycled 340 GSM/83% polyester/17% polyamide (no cotton)</v>
      </c>
      <c r="N2453" s="9"/>
      <c r="O2453" s="9"/>
      <c r="P2453" s="9"/>
      <c r="Q2453" s="9"/>
    </row>
    <row r="2454" spans="1:17" ht="15.75" customHeight="1">
      <c r="A2454" s="7" t="s">
        <v>2746</v>
      </c>
      <c r="B2454" s="7" t="s">
        <v>172</v>
      </c>
      <c r="C2454" s="7" t="s">
        <v>278</v>
      </c>
      <c r="D2454" s="7" t="s">
        <v>173</v>
      </c>
      <c r="E2454" s="7" t="s">
        <v>377</v>
      </c>
      <c r="F2454" s="8" t="str">
        <f>_xlfn.IFNA(INDEX('HS Codes'!$D$2:$K5008,MATCH($B2454,'HS Codes'!$A$2:$A5008,0),MATCH(F$1,'HS Codes'!$D$1:$K$1,0)),"")</f>
        <v>6302.93.2000</v>
      </c>
      <c r="G2454" s="8">
        <f>_xlfn.IFNA(INDEX('HS Codes'!$D$2:$K5008,MATCH($B2454,'HS Codes'!$A$2:$A5008,0),MATCH(G$1,'HS Codes'!$D$1:$K$1,0)),"")</f>
        <v>6302600090</v>
      </c>
      <c r="H2454" s="8" t="str">
        <f>_xlfn.IFNA(INDEX('HS Codes'!$D$2:$K5008,MATCH($B2454,'HS Codes'!$A$2:$A5008,0),MATCH(H$1,'HS Codes'!$D$1:$K$1,0)),"")</f>
        <v>6302.93.00.00</v>
      </c>
      <c r="I2454" s="8">
        <f>_xlfn.IFNA(INDEX('HS Codes'!$D$2:$K5008,MATCH($B2454,'HS Codes'!$A$2:$A5008,0),MATCH(I$1,'HS Codes'!$D$1:$K$1,0)),"")</f>
        <v>6302939000</v>
      </c>
      <c r="J2454" s="8">
        <f>_xlfn.IFNA(INDEX('HS Codes'!$D$2:$K5008,MATCH($B2454,'HS Codes'!$A$2:$A5008,0),MATCH(J$1,'HS Codes'!$D$1:$K$1,0)),"")</f>
        <v>0</v>
      </c>
      <c r="K2454" s="8" t="str">
        <f>_xlfn.IFNA(INDEX('HS Codes'!$D$2:$K5008,MATCH($B2454,'HS Codes'!$A$2:$A5008,0),MATCH(K$1,'HS Codes'!$D$1:$K$1,0)),"")</f>
        <v>6302.39.00</v>
      </c>
      <c r="L2454" s="8">
        <f>_xlfn.IFNA(INDEX('HS Codes'!$D$2:$K5008,MATCH($B2454,'HS Codes'!$A$2:$A5008,0),MATCH(L$1,'HS Codes'!$D$1:$K$1,0)),"")</f>
        <v>63029120</v>
      </c>
      <c r="M2454" s="8" t="str">
        <f>_xlfn.IFNA(INDEX('HS Codes'!$C$2:$C5008,MATCH($B2454,'HS Codes'!$A$2:$A5008,0)),"")</f>
        <v>Bath Towel - Toilet Linen 100% recycled 340 GSM/83% polyester/17% polyamide (no cotton)</v>
      </c>
      <c r="N2454" s="9"/>
      <c r="O2454" s="9"/>
      <c r="P2454" s="9"/>
      <c r="Q2454" s="9"/>
    </row>
    <row r="2455" spans="1:17" ht="15.75" customHeight="1">
      <c r="A2455" s="7" t="s">
        <v>2747</v>
      </c>
      <c r="B2455" s="7" t="s">
        <v>172</v>
      </c>
      <c r="C2455" s="7" t="s">
        <v>278</v>
      </c>
      <c r="D2455" s="7" t="s">
        <v>173</v>
      </c>
      <c r="E2455" s="7" t="s">
        <v>377</v>
      </c>
      <c r="F2455" s="8" t="str">
        <f>_xlfn.IFNA(INDEX('HS Codes'!$D$2:$K5009,MATCH($B2455,'HS Codes'!$A$2:$A5009,0),MATCH(F$1,'HS Codes'!$D$1:$K$1,0)),"")</f>
        <v>6302.93.2000</v>
      </c>
      <c r="G2455" s="8">
        <f>_xlfn.IFNA(INDEX('HS Codes'!$D$2:$K5009,MATCH($B2455,'HS Codes'!$A$2:$A5009,0),MATCH(G$1,'HS Codes'!$D$1:$K$1,0)),"")</f>
        <v>6302600090</v>
      </c>
      <c r="H2455" s="8" t="str">
        <f>_xlfn.IFNA(INDEX('HS Codes'!$D$2:$K5009,MATCH($B2455,'HS Codes'!$A$2:$A5009,0),MATCH(H$1,'HS Codes'!$D$1:$K$1,0)),"")</f>
        <v>6302.93.00.00</v>
      </c>
      <c r="I2455" s="8">
        <f>_xlfn.IFNA(INDEX('HS Codes'!$D$2:$K5009,MATCH($B2455,'HS Codes'!$A$2:$A5009,0),MATCH(I$1,'HS Codes'!$D$1:$K$1,0)),"")</f>
        <v>6302939000</v>
      </c>
      <c r="J2455" s="8">
        <f>_xlfn.IFNA(INDEX('HS Codes'!$D$2:$K5009,MATCH($B2455,'HS Codes'!$A$2:$A5009,0),MATCH(J$1,'HS Codes'!$D$1:$K$1,0)),"")</f>
        <v>0</v>
      </c>
      <c r="K2455" s="8" t="str">
        <f>_xlfn.IFNA(INDEX('HS Codes'!$D$2:$K5009,MATCH($B2455,'HS Codes'!$A$2:$A5009,0),MATCH(K$1,'HS Codes'!$D$1:$K$1,0)),"")</f>
        <v>6302.39.00</v>
      </c>
      <c r="L2455" s="8">
        <f>_xlfn.IFNA(INDEX('HS Codes'!$D$2:$K5009,MATCH($B2455,'HS Codes'!$A$2:$A5009,0),MATCH(L$1,'HS Codes'!$D$1:$K$1,0)),"")</f>
        <v>63029120</v>
      </c>
      <c r="M2455" s="8" t="str">
        <f>_xlfn.IFNA(INDEX('HS Codes'!$C$2:$C5009,MATCH($B2455,'HS Codes'!$A$2:$A5009,0)),"")</f>
        <v>Bath Towel - Toilet Linen 100% recycled 340 GSM/83% polyester/17% polyamide (no cotton)</v>
      </c>
      <c r="N2455" s="9"/>
      <c r="O2455" s="9"/>
      <c r="P2455" s="9"/>
      <c r="Q2455" s="9"/>
    </row>
    <row r="2456" spans="1:17" ht="15.75" customHeight="1">
      <c r="A2456" s="7" t="s">
        <v>2748</v>
      </c>
      <c r="B2456" s="7" t="s">
        <v>172</v>
      </c>
      <c r="C2456" s="7" t="s">
        <v>278</v>
      </c>
      <c r="D2456" s="7" t="s">
        <v>173</v>
      </c>
      <c r="E2456" s="7" t="s">
        <v>377</v>
      </c>
      <c r="F2456" s="8" t="str">
        <f>_xlfn.IFNA(INDEX('HS Codes'!$D$2:$K5010,MATCH($B2456,'HS Codes'!$A$2:$A5010,0),MATCH(F$1,'HS Codes'!$D$1:$K$1,0)),"")</f>
        <v>6302.93.2000</v>
      </c>
      <c r="G2456" s="8">
        <f>_xlfn.IFNA(INDEX('HS Codes'!$D$2:$K5010,MATCH($B2456,'HS Codes'!$A$2:$A5010,0),MATCH(G$1,'HS Codes'!$D$1:$K$1,0)),"")</f>
        <v>6302600090</v>
      </c>
      <c r="H2456" s="8" t="str">
        <f>_xlfn.IFNA(INDEX('HS Codes'!$D$2:$K5010,MATCH($B2456,'HS Codes'!$A$2:$A5010,0),MATCH(H$1,'HS Codes'!$D$1:$K$1,0)),"")</f>
        <v>6302.93.00.00</v>
      </c>
      <c r="I2456" s="8">
        <f>_xlfn.IFNA(INDEX('HS Codes'!$D$2:$K5010,MATCH($B2456,'HS Codes'!$A$2:$A5010,0),MATCH(I$1,'HS Codes'!$D$1:$K$1,0)),"")</f>
        <v>6302939000</v>
      </c>
      <c r="J2456" s="8">
        <f>_xlfn.IFNA(INDEX('HS Codes'!$D$2:$K5010,MATCH($B2456,'HS Codes'!$A$2:$A5010,0),MATCH(J$1,'HS Codes'!$D$1:$K$1,0)),"")</f>
        <v>0</v>
      </c>
      <c r="K2456" s="8" t="str">
        <f>_xlfn.IFNA(INDEX('HS Codes'!$D$2:$K5010,MATCH($B2456,'HS Codes'!$A$2:$A5010,0),MATCH(K$1,'HS Codes'!$D$1:$K$1,0)),"")</f>
        <v>6302.39.00</v>
      </c>
      <c r="L2456" s="8">
        <f>_xlfn.IFNA(INDEX('HS Codes'!$D$2:$K5010,MATCH($B2456,'HS Codes'!$A$2:$A5010,0),MATCH(L$1,'HS Codes'!$D$1:$K$1,0)),"")</f>
        <v>63029120</v>
      </c>
      <c r="M2456" s="8" t="str">
        <f>_xlfn.IFNA(INDEX('HS Codes'!$C$2:$C5010,MATCH($B2456,'HS Codes'!$A$2:$A5010,0)),"")</f>
        <v>Bath Towel - Toilet Linen 100% recycled 340 GSM/83% polyester/17% polyamide (no cotton)</v>
      </c>
      <c r="N2456" s="9"/>
      <c r="O2456" s="9"/>
      <c r="P2456" s="9"/>
      <c r="Q2456" s="9"/>
    </row>
    <row r="2457" spans="1:17" ht="15.75" customHeight="1">
      <c r="A2457" s="7" t="s">
        <v>2749</v>
      </c>
      <c r="B2457" s="7" t="s">
        <v>172</v>
      </c>
      <c r="C2457" s="7" t="s">
        <v>278</v>
      </c>
      <c r="D2457" s="7" t="s">
        <v>173</v>
      </c>
      <c r="E2457" s="7" t="s">
        <v>377</v>
      </c>
      <c r="F2457" s="8" t="str">
        <f>_xlfn.IFNA(INDEX('HS Codes'!$D$2:$K5011,MATCH($B2457,'HS Codes'!$A$2:$A5011,0),MATCH(F$1,'HS Codes'!$D$1:$K$1,0)),"")</f>
        <v>6302.93.2000</v>
      </c>
      <c r="G2457" s="8">
        <f>_xlfn.IFNA(INDEX('HS Codes'!$D$2:$K5011,MATCH($B2457,'HS Codes'!$A$2:$A5011,0),MATCH(G$1,'HS Codes'!$D$1:$K$1,0)),"")</f>
        <v>6302600090</v>
      </c>
      <c r="H2457" s="8" t="str">
        <f>_xlfn.IFNA(INDEX('HS Codes'!$D$2:$K5011,MATCH($B2457,'HS Codes'!$A$2:$A5011,0),MATCH(H$1,'HS Codes'!$D$1:$K$1,0)),"")</f>
        <v>6302.93.00.00</v>
      </c>
      <c r="I2457" s="8">
        <f>_xlfn.IFNA(INDEX('HS Codes'!$D$2:$K5011,MATCH($B2457,'HS Codes'!$A$2:$A5011,0),MATCH(I$1,'HS Codes'!$D$1:$K$1,0)),"")</f>
        <v>6302939000</v>
      </c>
      <c r="J2457" s="8">
        <f>_xlfn.IFNA(INDEX('HS Codes'!$D$2:$K5011,MATCH($B2457,'HS Codes'!$A$2:$A5011,0),MATCH(J$1,'HS Codes'!$D$1:$K$1,0)),"")</f>
        <v>0</v>
      </c>
      <c r="K2457" s="8" t="str">
        <f>_xlfn.IFNA(INDEX('HS Codes'!$D$2:$K5011,MATCH($B2457,'HS Codes'!$A$2:$A5011,0),MATCH(K$1,'HS Codes'!$D$1:$K$1,0)),"")</f>
        <v>6302.39.00</v>
      </c>
      <c r="L2457" s="8">
        <f>_xlfn.IFNA(INDEX('HS Codes'!$D$2:$K5011,MATCH($B2457,'HS Codes'!$A$2:$A5011,0),MATCH(L$1,'HS Codes'!$D$1:$K$1,0)),"")</f>
        <v>63029120</v>
      </c>
      <c r="M2457" s="8" t="str">
        <f>_xlfn.IFNA(INDEX('HS Codes'!$C$2:$C5011,MATCH($B2457,'HS Codes'!$A$2:$A5011,0)),"")</f>
        <v>Bath Towel - Toilet Linen 100% recycled 340 GSM/83% polyester/17% polyamide (no cotton)</v>
      </c>
      <c r="N2457" s="9"/>
      <c r="O2457" s="9"/>
      <c r="P2457" s="9"/>
      <c r="Q2457" s="9"/>
    </row>
    <row r="2458" spans="1:17" ht="15.75" customHeight="1">
      <c r="A2458" s="7" t="s">
        <v>2750</v>
      </c>
      <c r="B2458" s="7" t="s">
        <v>172</v>
      </c>
      <c r="C2458" s="7" t="s">
        <v>278</v>
      </c>
      <c r="D2458" s="7" t="s">
        <v>173</v>
      </c>
      <c r="E2458" s="7" t="s">
        <v>377</v>
      </c>
      <c r="F2458" s="8" t="str">
        <f>_xlfn.IFNA(INDEX('HS Codes'!$D$2:$K5012,MATCH($B2458,'HS Codes'!$A$2:$A5012,0),MATCH(F$1,'HS Codes'!$D$1:$K$1,0)),"")</f>
        <v>6302.93.2000</v>
      </c>
      <c r="G2458" s="8">
        <f>_xlfn.IFNA(INDEX('HS Codes'!$D$2:$K5012,MATCH($B2458,'HS Codes'!$A$2:$A5012,0),MATCH(G$1,'HS Codes'!$D$1:$K$1,0)),"")</f>
        <v>6302600090</v>
      </c>
      <c r="H2458" s="8" t="str">
        <f>_xlfn.IFNA(INDEX('HS Codes'!$D$2:$K5012,MATCH($B2458,'HS Codes'!$A$2:$A5012,0),MATCH(H$1,'HS Codes'!$D$1:$K$1,0)),"")</f>
        <v>6302.93.00.00</v>
      </c>
      <c r="I2458" s="8">
        <f>_xlfn.IFNA(INDEX('HS Codes'!$D$2:$K5012,MATCH($B2458,'HS Codes'!$A$2:$A5012,0),MATCH(I$1,'HS Codes'!$D$1:$K$1,0)),"")</f>
        <v>6302939000</v>
      </c>
      <c r="J2458" s="8">
        <f>_xlfn.IFNA(INDEX('HS Codes'!$D$2:$K5012,MATCH($B2458,'HS Codes'!$A$2:$A5012,0),MATCH(J$1,'HS Codes'!$D$1:$K$1,0)),"")</f>
        <v>0</v>
      </c>
      <c r="K2458" s="8" t="str">
        <f>_xlfn.IFNA(INDEX('HS Codes'!$D$2:$K5012,MATCH($B2458,'HS Codes'!$A$2:$A5012,0),MATCH(K$1,'HS Codes'!$D$1:$K$1,0)),"")</f>
        <v>6302.39.00</v>
      </c>
      <c r="L2458" s="8">
        <f>_xlfn.IFNA(INDEX('HS Codes'!$D$2:$K5012,MATCH($B2458,'HS Codes'!$A$2:$A5012,0),MATCH(L$1,'HS Codes'!$D$1:$K$1,0)),"")</f>
        <v>63029120</v>
      </c>
      <c r="M2458" s="8" t="str">
        <f>_xlfn.IFNA(INDEX('HS Codes'!$C$2:$C5012,MATCH($B2458,'HS Codes'!$A$2:$A5012,0)),"")</f>
        <v>Bath Towel - Toilet Linen 100% recycled 340 GSM/83% polyester/17% polyamide (no cotton)</v>
      </c>
      <c r="N2458" s="9"/>
      <c r="O2458" s="9"/>
      <c r="P2458" s="9"/>
      <c r="Q2458" s="9"/>
    </row>
    <row r="2459" spans="1:17" ht="15.75" customHeight="1">
      <c r="A2459" s="7" t="s">
        <v>2751</v>
      </c>
      <c r="B2459" s="7" t="s">
        <v>172</v>
      </c>
      <c r="C2459" s="7" t="s">
        <v>278</v>
      </c>
      <c r="D2459" s="7" t="s">
        <v>173</v>
      </c>
      <c r="E2459" s="7" t="s">
        <v>377</v>
      </c>
      <c r="F2459" s="8" t="str">
        <f>_xlfn.IFNA(INDEX('HS Codes'!$D$2:$K5013,MATCH($B2459,'HS Codes'!$A$2:$A5013,0),MATCH(F$1,'HS Codes'!$D$1:$K$1,0)),"")</f>
        <v>6302.93.2000</v>
      </c>
      <c r="G2459" s="8">
        <f>_xlfn.IFNA(INDEX('HS Codes'!$D$2:$K5013,MATCH($B2459,'HS Codes'!$A$2:$A5013,0),MATCH(G$1,'HS Codes'!$D$1:$K$1,0)),"")</f>
        <v>6302600090</v>
      </c>
      <c r="H2459" s="8" t="str">
        <f>_xlfn.IFNA(INDEX('HS Codes'!$D$2:$K5013,MATCH($B2459,'HS Codes'!$A$2:$A5013,0),MATCH(H$1,'HS Codes'!$D$1:$K$1,0)),"")</f>
        <v>6302.93.00.00</v>
      </c>
      <c r="I2459" s="8">
        <f>_xlfn.IFNA(INDEX('HS Codes'!$D$2:$K5013,MATCH($B2459,'HS Codes'!$A$2:$A5013,0),MATCH(I$1,'HS Codes'!$D$1:$K$1,0)),"")</f>
        <v>6302939000</v>
      </c>
      <c r="J2459" s="8">
        <f>_xlfn.IFNA(INDEX('HS Codes'!$D$2:$K5013,MATCH($B2459,'HS Codes'!$A$2:$A5013,0),MATCH(J$1,'HS Codes'!$D$1:$K$1,0)),"")</f>
        <v>0</v>
      </c>
      <c r="K2459" s="8" t="str">
        <f>_xlfn.IFNA(INDEX('HS Codes'!$D$2:$K5013,MATCH($B2459,'HS Codes'!$A$2:$A5013,0),MATCH(K$1,'HS Codes'!$D$1:$K$1,0)),"")</f>
        <v>6302.39.00</v>
      </c>
      <c r="L2459" s="8">
        <f>_xlfn.IFNA(INDEX('HS Codes'!$D$2:$K5013,MATCH($B2459,'HS Codes'!$A$2:$A5013,0),MATCH(L$1,'HS Codes'!$D$1:$K$1,0)),"")</f>
        <v>63029120</v>
      </c>
      <c r="M2459" s="8" t="str">
        <f>_xlfn.IFNA(INDEX('HS Codes'!$C$2:$C5013,MATCH($B2459,'HS Codes'!$A$2:$A5013,0)),"")</f>
        <v>Bath Towel - Toilet Linen 100% recycled 340 GSM/83% polyester/17% polyamide (no cotton)</v>
      </c>
      <c r="N2459" s="9"/>
      <c r="O2459" s="9"/>
      <c r="P2459" s="9"/>
      <c r="Q2459" s="9"/>
    </row>
    <row r="2460" spans="1:17" ht="15.75" customHeight="1">
      <c r="A2460" s="7" t="s">
        <v>2752</v>
      </c>
      <c r="B2460" s="7" t="s">
        <v>172</v>
      </c>
      <c r="C2460" s="7" t="s">
        <v>278</v>
      </c>
      <c r="D2460" s="7" t="s">
        <v>173</v>
      </c>
      <c r="E2460" s="7" t="s">
        <v>377</v>
      </c>
      <c r="F2460" s="8" t="str">
        <f>_xlfn.IFNA(INDEX('HS Codes'!$D$2:$K5014,MATCH($B2460,'HS Codes'!$A$2:$A5014,0),MATCH(F$1,'HS Codes'!$D$1:$K$1,0)),"")</f>
        <v>6302.93.2000</v>
      </c>
      <c r="G2460" s="8">
        <f>_xlfn.IFNA(INDEX('HS Codes'!$D$2:$K5014,MATCH($B2460,'HS Codes'!$A$2:$A5014,0),MATCH(G$1,'HS Codes'!$D$1:$K$1,0)),"")</f>
        <v>6302600090</v>
      </c>
      <c r="H2460" s="8" t="str">
        <f>_xlfn.IFNA(INDEX('HS Codes'!$D$2:$K5014,MATCH($B2460,'HS Codes'!$A$2:$A5014,0),MATCH(H$1,'HS Codes'!$D$1:$K$1,0)),"")</f>
        <v>6302.93.00.00</v>
      </c>
      <c r="I2460" s="8">
        <f>_xlfn.IFNA(INDEX('HS Codes'!$D$2:$K5014,MATCH($B2460,'HS Codes'!$A$2:$A5014,0),MATCH(I$1,'HS Codes'!$D$1:$K$1,0)),"")</f>
        <v>6302939000</v>
      </c>
      <c r="J2460" s="8">
        <f>_xlfn.IFNA(INDEX('HS Codes'!$D$2:$K5014,MATCH($B2460,'HS Codes'!$A$2:$A5014,0),MATCH(J$1,'HS Codes'!$D$1:$K$1,0)),"")</f>
        <v>0</v>
      </c>
      <c r="K2460" s="8" t="str">
        <f>_xlfn.IFNA(INDEX('HS Codes'!$D$2:$K5014,MATCH($B2460,'HS Codes'!$A$2:$A5014,0),MATCH(K$1,'HS Codes'!$D$1:$K$1,0)),"")</f>
        <v>6302.39.00</v>
      </c>
      <c r="L2460" s="8">
        <f>_xlfn.IFNA(INDEX('HS Codes'!$D$2:$K5014,MATCH($B2460,'HS Codes'!$A$2:$A5014,0),MATCH(L$1,'HS Codes'!$D$1:$K$1,0)),"")</f>
        <v>63029120</v>
      </c>
      <c r="M2460" s="8" t="str">
        <f>_xlfn.IFNA(INDEX('HS Codes'!$C$2:$C5014,MATCH($B2460,'HS Codes'!$A$2:$A5014,0)),"")</f>
        <v>Bath Towel - Toilet Linen 100% recycled 340 GSM/83% polyester/17% polyamide (no cotton)</v>
      </c>
      <c r="N2460" s="9"/>
      <c r="O2460" s="9"/>
      <c r="P2460" s="9"/>
      <c r="Q2460" s="9"/>
    </row>
    <row r="2461" spans="1:17" ht="15.75" customHeight="1">
      <c r="A2461" s="7" t="s">
        <v>2753</v>
      </c>
      <c r="B2461" s="7" t="s">
        <v>172</v>
      </c>
      <c r="C2461" s="7" t="s">
        <v>278</v>
      </c>
      <c r="D2461" s="7" t="s">
        <v>173</v>
      </c>
      <c r="E2461" s="7" t="s">
        <v>377</v>
      </c>
      <c r="F2461" s="8" t="str">
        <f>_xlfn.IFNA(INDEX('HS Codes'!$D$2:$K5015,MATCH($B2461,'HS Codes'!$A$2:$A5015,0),MATCH(F$1,'HS Codes'!$D$1:$K$1,0)),"")</f>
        <v>6302.93.2000</v>
      </c>
      <c r="G2461" s="8">
        <f>_xlfn.IFNA(INDEX('HS Codes'!$D$2:$K5015,MATCH($B2461,'HS Codes'!$A$2:$A5015,0),MATCH(G$1,'HS Codes'!$D$1:$K$1,0)),"")</f>
        <v>6302600090</v>
      </c>
      <c r="H2461" s="8" t="str">
        <f>_xlfn.IFNA(INDEX('HS Codes'!$D$2:$K5015,MATCH($B2461,'HS Codes'!$A$2:$A5015,0),MATCH(H$1,'HS Codes'!$D$1:$K$1,0)),"")</f>
        <v>6302.93.00.00</v>
      </c>
      <c r="I2461" s="8">
        <f>_xlfn.IFNA(INDEX('HS Codes'!$D$2:$K5015,MATCH($B2461,'HS Codes'!$A$2:$A5015,0),MATCH(I$1,'HS Codes'!$D$1:$K$1,0)),"")</f>
        <v>6302939000</v>
      </c>
      <c r="J2461" s="8">
        <f>_xlfn.IFNA(INDEX('HS Codes'!$D$2:$K5015,MATCH($B2461,'HS Codes'!$A$2:$A5015,0),MATCH(J$1,'HS Codes'!$D$1:$K$1,0)),"")</f>
        <v>0</v>
      </c>
      <c r="K2461" s="8" t="str">
        <f>_xlfn.IFNA(INDEX('HS Codes'!$D$2:$K5015,MATCH($B2461,'HS Codes'!$A$2:$A5015,0),MATCH(K$1,'HS Codes'!$D$1:$K$1,0)),"")</f>
        <v>6302.39.00</v>
      </c>
      <c r="L2461" s="8">
        <f>_xlfn.IFNA(INDEX('HS Codes'!$D$2:$K5015,MATCH($B2461,'HS Codes'!$A$2:$A5015,0),MATCH(L$1,'HS Codes'!$D$1:$K$1,0)),"")</f>
        <v>63029120</v>
      </c>
      <c r="M2461" s="8" t="str">
        <f>_xlfn.IFNA(INDEX('HS Codes'!$C$2:$C5015,MATCH($B2461,'HS Codes'!$A$2:$A5015,0)),"")</f>
        <v>Bath Towel - Toilet Linen 100% recycled 340 GSM/83% polyester/17% polyamide (no cotton)</v>
      </c>
      <c r="N2461" s="9"/>
      <c r="O2461" s="9"/>
      <c r="P2461" s="9"/>
      <c r="Q2461" s="9"/>
    </row>
    <row r="2462" spans="1:17" ht="15.75" customHeight="1">
      <c r="A2462" s="7" t="s">
        <v>2754</v>
      </c>
      <c r="B2462" s="7" t="s">
        <v>172</v>
      </c>
      <c r="C2462" s="7" t="s">
        <v>278</v>
      </c>
      <c r="D2462" s="7" t="s">
        <v>173</v>
      </c>
      <c r="E2462" s="7" t="s">
        <v>377</v>
      </c>
      <c r="F2462" s="8" t="str">
        <f>_xlfn.IFNA(INDEX('HS Codes'!$D$2:$K5016,MATCH($B2462,'HS Codes'!$A$2:$A5016,0),MATCH(F$1,'HS Codes'!$D$1:$K$1,0)),"")</f>
        <v>6302.93.2000</v>
      </c>
      <c r="G2462" s="8">
        <f>_xlfn.IFNA(INDEX('HS Codes'!$D$2:$K5016,MATCH($B2462,'HS Codes'!$A$2:$A5016,0),MATCH(G$1,'HS Codes'!$D$1:$K$1,0)),"")</f>
        <v>6302600090</v>
      </c>
      <c r="H2462" s="8" t="str">
        <f>_xlfn.IFNA(INDEX('HS Codes'!$D$2:$K5016,MATCH($B2462,'HS Codes'!$A$2:$A5016,0),MATCH(H$1,'HS Codes'!$D$1:$K$1,0)),"")</f>
        <v>6302.93.00.00</v>
      </c>
      <c r="I2462" s="8">
        <f>_xlfn.IFNA(INDEX('HS Codes'!$D$2:$K5016,MATCH($B2462,'HS Codes'!$A$2:$A5016,0),MATCH(I$1,'HS Codes'!$D$1:$K$1,0)),"")</f>
        <v>6302939000</v>
      </c>
      <c r="J2462" s="8">
        <f>_xlfn.IFNA(INDEX('HS Codes'!$D$2:$K5016,MATCH($B2462,'HS Codes'!$A$2:$A5016,0),MATCH(J$1,'HS Codes'!$D$1:$K$1,0)),"")</f>
        <v>0</v>
      </c>
      <c r="K2462" s="8" t="str">
        <f>_xlfn.IFNA(INDEX('HS Codes'!$D$2:$K5016,MATCH($B2462,'HS Codes'!$A$2:$A5016,0),MATCH(K$1,'HS Codes'!$D$1:$K$1,0)),"")</f>
        <v>6302.39.00</v>
      </c>
      <c r="L2462" s="8">
        <f>_xlfn.IFNA(INDEX('HS Codes'!$D$2:$K5016,MATCH($B2462,'HS Codes'!$A$2:$A5016,0),MATCH(L$1,'HS Codes'!$D$1:$K$1,0)),"")</f>
        <v>63029120</v>
      </c>
      <c r="M2462" s="8" t="str">
        <f>_xlfn.IFNA(INDEX('HS Codes'!$C$2:$C5016,MATCH($B2462,'HS Codes'!$A$2:$A5016,0)),"")</f>
        <v>Bath Towel - Toilet Linen 100% recycled 340 GSM/83% polyester/17% polyamide (no cotton)</v>
      </c>
      <c r="N2462" s="9"/>
      <c r="O2462" s="9"/>
      <c r="P2462" s="9"/>
      <c r="Q2462" s="9"/>
    </row>
    <row r="2463" spans="1:17" ht="15.75" customHeight="1">
      <c r="A2463" s="7" t="s">
        <v>2755</v>
      </c>
      <c r="B2463" s="7" t="s">
        <v>172</v>
      </c>
      <c r="C2463" s="7" t="s">
        <v>278</v>
      </c>
      <c r="D2463" s="7" t="s">
        <v>173</v>
      </c>
      <c r="E2463" s="7" t="s">
        <v>377</v>
      </c>
      <c r="F2463" s="8" t="str">
        <f>_xlfn.IFNA(INDEX('HS Codes'!$D$2:$K5017,MATCH($B2463,'HS Codes'!$A$2:$A5017,0),MATCH(F$1,'HS Codes'!$D$1:$K$1,0)),"")</f>
        <v>6302.93.2000</v>
      </c>
      <c r="G2463" s="8">
        <f>_xlfn.IFNA(INDEX('HS Codes'!$D$2:$K5017,MATCH($B2463,'HS Codes'!$A$2:$A5017,0),MATCH(G$1,'HS Codes'!$D$1:$K$1,0)),"")</f>
        <v>6302600090</v>
      </c>
      <c r="H2463" s="8" t="str">
        <f>_xlfn.IFNA(INDEX('HS Codes'!$D$2:$K5017,MATCH($B2463,'HS Codes'!$A$2:$A5017,0),MATCH(H$1,'HS Codes'!$D$1:$K$1,0)),"")</f>
        <v>6302.93.00.00</v>
      </c>
      <c r="I2463" s="8">
        <f>_xlfn.IFNA(INDEX('HS Codes'!$D$2:$K5017,MATCH($B2463,'HS Codes'!$A$2:$A5017,0),MATCH(I$1,'HS Codes'!$D$1:$K$1,0)),"")</f>
        <v>6302939000</v>
      </c>
      <c r="J2463" s="8">
        <f>_xlfn.IFNA(INDEX('HS Codes'!$D$2:$K5017,MATCH($B2463,'HS Codes'!$A$2:$A5017,0),MATCH(J$1,'HS Codes'!$D$1:$K$1,0)),"")</f>
        <v>0</v>
      </c>
      <c r="K2463" s="8" t="str">
        <f>_xlfn.IFNA(INDEX('HS Codes'!$D$2:$K5017,MATCH($B2463,'HS Codes'!$A$2:$A5017,0),MATCH(K$1,'HS Codes'!$D$1:$K$1,0)),"")</f>
        <v>6302.39.00</v>
      </c>
      <c r="L2463" s="8">
        <f>_xlfn.IFNA(INDEX('HS Codes'!$D$2:$K5017,MATCH($B2463,'HS Codes'!$A$2:$A5017,0),MATCH(L$1,'HS Codes'!$D$1:$K$1,0)),"")</f>
        <v>63029120</v>
      </c>
      <c r="M2463" s="8" t="str">
        <f>_xlfn.IFNA(INDEX('HS Codes'!$C$2:$C5017,MATCH($B2463,'HS Codes'!$A$2:$A5017,0)),"")</f>
        <v>Bath Towel - Toilet Linen 100% recycled 340 GSM/83% polyester/17% polyamide (no cotton)</v>
      </c>
      <c r="N2463" s="9"/>
      <c r="O2463" s="9"/>
      <c r="P2463" s="9"/>
      <c r="Q2463" s="9"/>
    </row>
    <row r="2464" spans="1:17" ht="15.75" customHeight="1">
      <c r="A2464" s="7" t="s">
        <v>2756</v>
      </c>
      <c r="B2464" s="7" t="s">
        <v>172</v>
      </c>
      <c r="C2464" s="7" t="s">
        <v>278</v>
      </c>
      <c r="D2464" s="7" t="s">
        <v>173</v>
      </c>
      <c r="E2464" s="7" t="s">
        <v>377</v>
      </c>
      <c r="F2464" s="8" t="str">
        <f>_xlfn.IFNA(INDEX('HS Codes'!$D$2:$K5018,MATCH($B2464,'HS Codes'!$A$2:$A5018,0),MATCH(F$1,'HS Codes'!$D$1:$K$1,0)),"")</f>
        <v>6302.93.2000</v>
      </c>
      <c r="G2464" s="8">
        <f>_xlfn.IFNA(INDEX('HS Codes'!$D$2:$K5018,MATCH($B2464,'HS Codes'!$A$2:$A5018,0),MATCH(G$1,'HS Codes'!$D$1:$K$1,0)),"")</f>
        <v>6302600090</v>
      </c>
      <c r="H2464" s="8" t="str">
        <f>_xlfn.IFNA(INDEX('HS Codes'!$D$2:$K5018,MATCH($B2464,'HS Codes'!$A$2:$A5018,0),MATCH(H$1,'HS Codes'!$D$1:$K$1,0)),"")</f>
        <v>6302.93.00.00</v>
      </c>
      <c r="I2464" s="8">
        <f>_xlfn.IFNA(INDEX('HS Codes'!$D$2:$K5018,MATCH($B2464,'HS Codes'!$A$2:$A5018,0),MATCH(I$1,'HS Codes'!$D$1:$K$1,0)),"")</f>
        <v>6302939000</v>
      </c>
      <c r="J2464" s="8">
        <f>_xlfn.IFNA(INDEX('HS Codes'!$D$2:$K5018,MATCH($B2464,'HS Codes'!$A$2:$A5018,0),MATCH(J$1,'HS Codes'!$D$1:$K$1,0)),"")</f>
        <v>0</v>
      </c>
      <c r="K2464" s="8" t="str">
        <f>_xlfn.IFNA(INDEX('HS Codes'!$D$2:$K5018,MATCH($B2464,'HS Codes'!$A$2:$A5018,0),MATCH(K$1,'HS Codes'!$D$1:$K$1,0)),"")</f>
        <v>6302.39.00</v>
      </c>
      <c r="L2464" s="8">
        <f>_xlfn.IFNA(INDEX('HS Codes'!$D$2:$K5018,MATCH($B2464,'HS Codes'!$A$2:$A5018,0),MATCH(L$1,'HS Codes'!$D$1:$K$1,0)),"")</f>
        <v>63029120</v>
      </c>
      <c r="M2464" s="8" t="str">
        <f>_xlfn.IFNA(INDEX('HS Codes'!$C$2:$C5018,MATCH($B2464,'HS Codes'!$A$2:$A5018,0)),"")</f>
        <v>Bath Towel - Toilet Linen 100% recycled 340 GSM/83% polyester/17% polyamide (no cotton)</v>
      </c>
      <c r="N2464" s="9"/>
      <c r="O2464" s="9"/>
      <c r="P2464" s="9"/>
      <c r="Q2464" s="9"/>
    </row>
    <row r="2465" spans="1:17" ht="15.75" customHeight="1">
      <c r="A2465" s="7" t="s">
        <v>2757</v>
      </c>
      <c r="B2465" s="7" t="s">
        <v>172</v>
      </c>
      <c r="C2465" s="7" t="s">
        <v>278</v>
      </c>
      <c r="D2465" s="7" t="s">
        <v>173</v>
      </c>
      <c r="E2465" s="7" t="s">
        <v>377</v>
      </c>
      <c r="F2465" s="8" t="str">
        <f>_xlfn.IFNA(INDEX('HS Codes'!$D$2:$K5019,MATCH($B2465,'HS Codes'!$A$2:$A5019,0),MATCH(F$1,'HS Codes'!$D$1:$K$1,0)),"")</f>
        <v>6302.93.2000</v>
      </c>
      <c r="G2465" s="8">
        <f>_xlfn.IFNA(INDEX('HS Codes'!$D$2:$K5019,MATCH($B2465,'HS Codes'!$A$2:$A5019,0),MATCH(G$1,'HS Codes'!$D$1:$K$1,0)),"")</f>
        <v>6302600090</v>
      </c>
      <c r="H2465" s="8" t="str">
        <f>_xlfn.IFNA(INDEX('HS Codes'!$D$2:$K5019,MATCH($B2465,'HS Codes'!$A$2:$A5019,0),MATCH(H$1,'HS Codes'!$D$1:$K$1,0)),"")</f>
        <v>6302.93.00.00</v>
      </c>
      <c r="I2465" s="8">
        <f>_xlfn.IFNA(INDEX('HS Codes'!$D$2:$K5019,MATCH($B2465,'HS Codes'!$A$2:$A5019,0),MATCH(I$1,'HS Codes'!$D$1:$K$1,0)),"")</f>
        <v>6302939000</v>
      </c>
      <c r="J2465" s="8">
        <f>_xlfn.IFNA(INDEX('HS Codes'!$D$2:$K5019,MATCH($B2465,'HS Codes'!$A$2:$A5019,0),MATCH(J$1,'HS Codes'!$D$1:$K$1,0)),"")</f>
        <v>0</v>
      </c>
      <c r="K2465" s="8" t="str">
        <f>_xlfn.IFNA(INDEX('HS Codes'!$D$2:$K5019,MATCH($B2465,'HS Codes'!$A$2:$A5019,0),MATCH(K$1,'HS Codes'!$D$1:$K$1,0)),"")</f>
        <v>6302.39.00</v>
      </c>
      <c r="L2465" s="8">
        <f>_xlfn.IFNA(INDEX('HS Codes'!$D$2:$K5019,MATCH($B2465,'HS Codes'!$A$2:$A5019,0),MATCH(L$1,'HS Codes'!$D$1:$K$1,0)),"")</f>
        <v>63029120</v>
      </c>
      <c r="M2465" s="8" t="str">
        <f>_xlfn.IFNA(INDEX('HS Codes'!$C$2:$C5019,MATCH($B2465,'HS Codes'!$A$2:$A5019,0)),"")</f>
        <v>Bath Towel - Toilet Linen 100% recycled 340 GSM/83% polyester/17% polyamide (no cotton)</v>
      </c>
      <c r="N2465" s="9"/>
      <c r="O2465" s="9"/>
      <c r="P2465" s="9"/>
      <c r="Q2465" s="9"/>
    </row>
    <row r="2466" spans="1:17" ht="15.75" customHeight="1">
      <c r="A2466" s="7" t="s">
        <v>2758</v>
      </c>
      <c r="B2466" s="7" t="s">
        <v>172</v>
      </c>
      <c r="C2466" s="7" t="s">
        <v>278</v>
      </c>
      <c r="D2466" s="7" t="s">
        <v>173</v>
      </c>
      <c r="E2466" s="7" t="s">
        <v>377</v>
      </c>
      <c r="F2466" s="8" t="str">
        <f>_xlfn.IFNA(INDEX('HS Codes'!$D$2:$K5020,MATCH($B2466,'HS Codes'!$A$2:$A5020,0),MATCH(F$1,'HS Codes'!$D$1:$K$1,0)),"")</f>
        <v>6302.93.2000</v>
      </c>
      <c r="G2466" s="8">
        <f>_xlfn.IFNA(INDEX('HS Codes'!$D$2:$K5020,MATCH($B2466,'HS Codes'!$A$2:$A5020,0),MATCH(G$1,'HS Codes'!$D$1:$K$1,0)),"")</f>
        <v>6302600090</v>
      </c>
      <c r="H2466" s="8" t="str">
        <f>_xlfn.IFNA(INDEX('HS Codes'!$D$2:$K5020,MATCH($B2466,'HS Codes'!$A$2:$A5020,0),MATCH(H$1,'HS Codes'!$D$1:$K$1,0)),"")</f>
        <v>6302.93.00.00</v>
      </c>
      <c r="I2466" s="8">
        <f>_xlfn.IFNA(INDEX('HS Codes'!$D$2:$K5020,MATCH($B2466,'HS Codes'!$A$2:$A5020,0),MATCH(I$1,'HS Codes'!$D$1:$K$1,0)),"")</f>
        <v>6302939000</v>
      </c>
      <c r="J2466" s="8">
        <f>_xlfn.IFNA(INDEX('HS Codes'!$D$2:$K5020,MATCH($B2466,'HS Codes'!$A$2:$A5020,0),MATCH(J$1,'HS Codes'!$D$1:$K$1,0)),"")</f>
        <v>0</v>
      </c>
      <c r="K2466" s="8" t="str">
        <f>_xlfn.IFNA(INDEX('HS Codes'!$D$2:$K5020,MATCH($B2466,'HS Codes'!$A$2:$A5020,0),MATCH(K$1,'HS Codes'!$D$1:$K$1,0)),"")</f>
        <v>6302.39.00</v>
      </c>
      <c r="L2466" s="8">
        <f>_xlfn.IFNA(INDEX('HS Codes'!$D$2:$K5020,MATCH($B2466,'HS Codes'!$A$2:$A5020,0),MATCH(L$1,'HS Codes'!$D$1:$K$1,0)),"")</f>
        <v>63029120</v>
      </c>
      <c r="M2466" s="8" t="str">
        <f>_xlfn.IFNA(INDEX('HS Codes'!$C$2:$C5020,MATCH($B2466,'HS Codes'!$A$2:$A5020,0)),"")</f>
        <v>Bath Towel - Toilet Linen 100% recycled 340 GSM/83% polyester/17% polyamide (no cotton)</v>
      </c>
      <c r="N2466" s="9"/>
      <c r="O2466" s="9"/>
      <c r="P2466" s="9"/>
      <c r="Q2466" s="9"/>
    </row>
    <row r="2467" spans="1:17" ht="15.75" customHeight="1">
      <c r="A2467" s="7" t="s">
        <v>2759</v>
      </c>
      <c r="B2467" s="7" t="s">
        <v>172</v>
      </c>
      <c r="C2467" s="7" t="s">
        <v>278</v>
      </c>
      <c r="D2467" s="7" t="s">
        <v>173</v>
      </c>
      <c r="E2467" s="7" t="s">
        <v>377</v>
      </c>
      <c r="F2467" s="8" t="str">
        <f>_xlfn.IFNA(INDEX('HS Codes'!$D$2:$K5021,MATCH($B2467,'HS Codes'!$A$2:$A5021,0),MATCH(F$1,'HS Codes'!$D$1:$K$1,0)),"")</f>
        <v>6302.93.2000</v>
      </c>
      <c r="G2467" s="8">
        <f>_xlfn.IFNA(INDEX('HS Codes'!$D$2:$K5021,MATCH($B2467,'HS Codes'!$A$2:$A5021,0),MATCH(G$1,'HS Codes'!$D$1:$K$1,0)),"")</f>
        <v>6302600090</v>
      </c>
      <c r="H2467" s="8" t="str">
        <f>_xlfn.IFNA(INDEX('HS Codes'!$D$2:$K5021,MATCH($B2467,'HS Codes'!$A$2:$A5021,0),MATCH(H$1,'HS Codes'!$D$1:$K$1,0)),"")</f>
        <v>6302.93.00.00</v>
      </c>
      <c r="I2467" s="8">
        <f>_xlfn.IFNA(INDEX('HS Codes'!$D$2:$K5021,MATCH($B2467,'HS Codes'!$A$2:$A5021,0),MATCH(I$1,'HS Codes'!$D$1:$K$1,0)),"")</f>
        <v>6302939000</v>
      </c>
      <c r="J2467" s="8">
        <f>_xlfn.IFNA(INDEX('HS Codes'!$D$2:$K5021,MATCH($B2467,'HS Codes'!$A$2:$A5021,0),MATCH(J$1,'HS Codes'!$D$1:$K$1,0)),"")</f>
        <v>0</v>
      </c>
      <c r="K2467" s="8" t="str">
        <f>_xlfn.IFNA(INDEX('HS Codes'!$D$2:$K5021,MATCH($B2467,'HS Codes'!$A$2:$A5021,0),MATCH(K$1,'HS Codes'!$D$1:$K$1,0)),"")</f>
        <v>6302.39.00</v>
      </c>
      <c r="L2467" s="8">
        <f>_xlfn.IFNA(INDEX('HS Codes'!$D$2:$K5021,MATCH($B2467,'HS Codes'!$A$2:$A5021,0),MATCH(L$1,'HS Codes'!$D$1:$K$1,0)),"")</f>
        <v>63029120</v>
      </c>
      <c r="M2467" s="8" t="str">
        <f>_xlfn.IFNA(INDEX('HS Codes'!$C$2:$C5021,MATCH($B2467,'HS Codes'!$A$2:$A5021,0)),"")</f>
        <v>Bath Towel - Toilet Linen 100% recycled 340 GSM/83% polyester/17% polyamide (no cotton)</v>
      </c>
      <c r="N2467" s="9"/>
      <c r="O2467" s="9"/>
      <c r="P2467" s="9"/>
      <c r="Q2467" s="9"/>
    </row>
    <row r="2468" spans="1:17" ht="15.75" customHeight="1">
      <c r="A2468" s="7" t="s">
        <v>2760</v>
      </c>
      <c r="B2468" s="7" t="s">
        <v>172</v>
      </c>
      <c r="C2468" s="7" t="s">
        <v>278</v>
      </c>
      <c r="D2468" s="7" t="s">
        <v>173</v>
      </c>
      <c r="E2468" s="7" t="s">
        <v>377</v>
      </c>
      <c r="F2468" s="8" t="str">
        <f>_xlfn.IFNA(INDEX('HS Codes'!$D$2:$K5022,MATCH($B2468,'HS Codes'!$A$2:$A5022,0),MATCH(F$1,'HS Codes'!$D$1:$K$1,0)),"")</f>
        <v>6302.93.2000</v>
      </c>
      <c r="G2468" s="8">
        <f>_xlfn.IFNA(INDEX('HS Codes'!$D$2:$K5022,MATCH($B2468,'HS Codes'!$A$2:$A5022,0),MATCH(G$1,'HS Codes'!$D$1:$K$1,0)),"")</f>
        <v>6302600090</v>
      </c>
      <c r="H2468" s="8" t="str">
        <f>_xlfn.IFNA(INDEX('HS Codes'!$D$2:$K5022,MATCH($B2468,'HS Codes'!$A$2:$A5022,0),MATCH(H$1,'HS Codes'!$D$1:$K$1,0)),"")</f>
        <v>6302.93.00.00</v>
      </c>
      <c r="I2468" s="8">
        <f>_xlfn.IFNA(INDEX('HS Codes'!$D$2:$K5022,MATCH($B2468,'HS Codes'!$A$2:$A5022,0),MATCH(I$1,'HS Codes'!$D$1:$K$1,0)),"")</f>
        <v>6302939000</v>
      </c>
      <c r="J2468" s="8">
        <f>_xlfn.IFNA(INDEX('HS Codes'!$D$2:$K5022,MATCH($B2468,'HS Codes'!$A$2:$A5022,0),MATCH(J$1,'HS Codes'!$D$1:$K$1,0)),"")</f>
        <v>0</v>
      </c>
      <c r="K2468" s="8" t="str">
        <f>_xlfn.IFNA(INDEX('HS Codes'!$D$2:$K5022,MATCH($B2468,'HS Codes'!$A$2:$A5022,0),MATCH(K$1,'HS Codes'!$D$1:$K$1,0)),"")</f>
        <v>6302.39.00</v>
      </c>
      <c r="L2468" s="8">
        <f>_xlfn.IFNA(INDEX('HS Codes'!$D$2:$K5022,MATCH($B2468,'HS Codes'!$A$2:$A5022,0),MATCH(L$1,'HS Codes'!$D$1:$K$1,0)),"")</f>
        <v>63029120</v>
      </c>
      <c r="M2468" s="8" t="str">
        <f>_xlfn.IFNA(INDEX('HS Codes'!$C$2:$C5022,MATCH($B2468,'HS Codes'!$A$2:$A5022,0)),"")</f>
        <v>Bath Towel - Toilet Linen 100% recycled 340 GSM/83% polyester/17% polyamide (no cotton)</v>
      </c>
      <c r="N2468" s="9"/>
      <c r="O2468" s="9"/>
      <c r="P2468" s="9"/>
      <c r="Q2468" s="9"/>
    </row>
    <row r="2469" spans="1:17" ht="15.75" customHeight="1">
      <c r="A2469" s="7" t="s">
        <v>2761</v>
      </c>
      <c r="B2469" s="7"/>
      <c r="C2469" s="7"/>
      <c r="D2469" s="7"/>
      <c r="E2469" s="7"/>
      <c r="F2469" s="8" t="str">
        <f>_xlfn.IFNA(INDEX('HS Codes'!$D$2:$K5023,MATCH($B2469,'HS Codes'!$A$2:$A5023,0),MATCH(F$1,'HS Codes'!$D$1:$K$1,0)),"")</f>
        <v/>
      </c>
      <c r="G2469" s="8" t="str">
        <f>_xlfn.IFNA(INDEX('HS Codes'!$D$2:$K5023,MATCH($B2469,'HS Codes'!$A$2:$A5023,0),MATCH(G$1,'HS Codes'!$D$1:$K$1,0)),"")</f>
        <v/>
      </c>
      <c r="H2469" s="8" t="str">
        <f>_xlfn.IFNA(INDEX('HS Codes'!$D$2:$K5023,MATCH($B2469,'HS Codes'!$A$2:$A5023,0),MATCH(H$1,'HS Codes'!$D$1:$K$1,0)),"")</f>
        <v/>
      </c>
      <c r="I2469" s="8" t="str">
        <f>_xlfn.IFNA(INDEX('HS Codes'!$D$2:$K5023,MATCH($B2469,'HS Codes'!$A$2:$A5023,0),MATCH(I$1,'HS Codes'!$D$1:$K$1,0)),"")</f>
        <v/>
      </c>
      <c r="J2469" s="8" t="str">
        <f>_xlfn.IFNA(INDEX('HS Codes'!$D$2:$K5023,MATCH($B2469,'HS Codes'!$A$2:$A5023,0),MATCH(J$1,'HS Codes'!$D$1:$K$1,0)),"")</f>
        <v/>
      </c>
      <c r="K2469" s="8" t="str">
        <f>_xlfn.IFNA(INDEX('HS Codes'!$D$2:$K5023,MATCH($B2469,'HS Codes'!$A$2:$A5023,0),MATCH(K$1,'HS Codes'!$D$1:$K$1,0)),"")</f>
        <v/>
      </c>
      <c r="L2469" s="8" t="str">
        <f>_xlfn.IFNA(INDEX('HS Codes'!$D$2:$K5023,MATCH($B2469,'HS Codes'!$A$2:$A5023,0),MATCH(L$1,'HS Codes'!$D$1:$K$1,0)),"")</f>
        <v/>
      </c>
      <c r="M2469" s="8" t="str">
        <f>_xlfn.IFNA(INDEX('HS Codes'!$C$2:$C5023,MATCH($B2469,'HS Codes'!$A$2:$A5023,0)),"")</f>
        <v/>
      </c>
      <c r="N2469" s="9"/>
      <c r="O2469" s="9"/>
      <c r="P2469" s="9"/>
      <c r="Q2469" s="9"/>
    </row>
    <row r="2470" spans="1:17" ht="15.75" customHeight="1">
      <c r="A2470" s="7" t="s">
        <v>2762</v>
      </c>
      <c r="B2470" s="7"/>
      <c r="C2470" s="7"/>
      <c r="D2470" s="7"/>
      <c r="E2470" s="7"/>
      <c r="F2470" s="8" t="str">
        <f>_xlfn.IFNA(INDEX('HS Codes'!$D$2:$K5024,MATCH($B2470,'HS Codes'!$A$2:$A5024,0),MATCH(F$1,'HS Codes'!$D$1:$K$1,0)),"")</f>
        <v/>
      </c>
      <c r="G2470" s="8" t="str">
        <f>_xlfn.IFNA(INDEX('HS Codes'!$D$2:$K5024,MATCH($B2470,'HS Codes'!$A$2:$A5024,0),MATCH(G$1,'HS Codes'!$D$1:$K$1,0)),"")</f>
        <v/>
      </c>
      <c r="H2470" s="8" t="str">
        <f>_xlfn.IFNA(INDEX('HS Codes'!$D$2:$K5024,MATCH($B2470,'HS Codes'!$A$2:$A5024,0),MATCH(H$1,'HS Codes'!$D$1:$K$1,0)),"")</f>
        <v/>
      </c>
      <c r="I2470" s="8" t="str">
        <f>_xlfn.IFNA(INDEX('HS Codes'!$D$2:$K5024,MATCH($B2470,'HS Codes'!$A$2:$A5024,0),MATCH(I$1,'HS Codes'!$D$1:$K$1,0)),"")</f>
        <v/>
      </c>
      <c r="J2470" s="8" t="str">
        <f>_xlfn.IFNA(INDEX('HS Codes'!$D$2:$K5024,MATCH($B2470,'HS Codes'!$A$2:$A5024,0),MATCH(J$1,'HS Codes'!$D$1:$K$1,0)),"")</f>
        <v/>
      </c>
      <c r="K2470" s="8" t="str">
        <f>_xlfn.IFNA(INDEX('HS Codes'!$D$2:$K5024,MATCH($B2470,'HS Codes'!$A$2:$A5024,0),MATCH(K$1,'HS Codes'!$D$1:$K$1,0)),"")</f>
        <v/>
      </c>
      <c r="L2470" s="8" t="str">
        <f>_xlfn.IFNA(INDEX('HS Codes'!$D$2:$K5024,MATCH($B2470,'HS Codes'!$A$2:$A5024,0),MATCH(L$1,'HS Codes'!$D$1:$K$1,0)),"")</f>
        <v/>
      </c>
      <c r="M2470" s="8" t="str">
        <f>_xlfn.IFNA(INDEX('HS Codes'!$C$2:$C5024,MATCH($B2470,'HS Codes'!$A$2:$A5024,0)),"")</f>
        <v/>
      </c>
      <c r="N2470" s="9"/>
      <c r="O2470" s="9"/>
      <c r="P2470" s="9"/>
      <c r="Q2470" s="9"/>
    </row>
    <row r="2471" spans="1:17" ht="15.75" customHeight="1">
      <c r="A2471" s="7" t="s">
        <v>2763</v>
      </c>
      <c r="B2471" s="7"/>
      <c r="C2471" s="7"/>
      <c r="D2471" s="7"/>
      <c r="E2471" s="7"/>
      <c r="F2471" s="8" t="str">
        <f>_xlfn.IFNA(INDEX('HS Codes'!$D$2:$K5025,MATCH($B2471,'HS Codes'!$A$2:$A5025,0),MATCH(F$1,'HS Codes'!$D$1:$K$1,0)),"")</f>
        <v/>
      </c>
      <c r="G2471" s="8" t="str">
        <f>_xlfn.IFNA(INDEX('HS Codes'!$D$2:$K5025,MATCH($B2471,'HS Codes'!$A$2:$A5025,0),MATCH(G$1,'HS Codes'!$D$1:$K$1,0)),"")</f>
        <v/>
      </c>
      <c r="H2471" s="8" t="str">
        <f>_xlfn.IFNA(INDEX('HS Codes'!$D$2:$K5025,MATCH($B2471,'HS Codes'!$A$2:$A5025,0),MATCH(H$1,'HS Codes'!$D$1:$K$1,0)),"")</f>
        <v/>
      </c>
      <c r="I2471" s="8" t="str">
        <f>_xlfn.IFNA(INDEX('HS Codes'!$D$2:$K5025,MATCH($B2471,'HS Codes'!$A$2:$A5025,0),MATCH(I$1,'HS Codes'!$D$1:$K$1,0)),"")</f>
        <v/>
      </c>
      <c r="J2471" s="8" t="str">
        <f>_xlfn.IFNA(INDEX('HS Codes'!$D$2:$K5025,MATCH($B2471,'HS Codes'!$A$2:$A5025,0),MATCH(J$1,'HS Codes'!$D$1:$K$1,0)),"")</f>
        <v/>
      </c>
      <c r="K2471" s="8" t="str">
        <f>_xlfn.IFNA(INDEX('HS Codes'!$D$2:$K5025,MATCH($B2471,'HS Codes'!$A$2:$A5025,0),MATCH(K$1,'HS Codes'!$D$1:$K$1,0)),"")</f>
        <v/>
      </c>
      <c r="L2471" s="8" t="str">
        <f>_xlfn.IFNA(INDEX('HS Codes'!$D$2:$K5025,MATCH($B2471,'HS Codes'!$A$2:$A5025,0),MATCH(L$1,'HS Codes'!$D$1:$K$1,0)),"")</f>
        <v/>
      </c>
      <c r="M2471" s="8" t="str">
        <f>_xlfn.IFNA(INDEX('HS Codes'!$C$2:$C5025,MATCH($B2471,'HS Codes'!$A$2:$A5025,0)),"")</f>
        <v/>
      </c>
      <c r="N2471" s="9"/>
      <c r="O2471" s="9"/>
      <c r="P2471" s="9"/>
      <c r="Q2471" s="9"/>
    </row>
    <row r="2472" spans="1:17" ht="15.75" customHeight="1">
      <c r="A2472" s="7" t="s">
        <v>2764</v>
      </c>
      <c r="B2472" s="7"/>
      <c r="C2472" s="7"/>
      <c r="D2472" s="7"/>
      <c r="E2472" s="7"/>
      <c r="F2472" s="8" t="str">
        <f>_xlfn.IFNA(INDEX('HS Codes'!$D$2:$K5026,MATCH($B2472,'HS Codes'!$A$2:$A5026,0),MATCH(F$1,'HS Codes'!$D$1:$K$1,0)),"")</f>
        <v/>
      </c>
      <c r="G2472" s="8" t="str">
        <f>_xlfn.IFNA(INDEX('HS Codes'!$D$2:$K5026,MATCH($B2472,'HS Codes'!$A$2:$A5026,0),MATCH(G$1,'HS Codes'!$D$1:$K$1,0)),"")</f>
        <v/>
      </c>
      <c r="H2472" s="8" t="str">
        <f>_xlfn.IFNA(INDEX('HS Codes'!$D$2:$K5026,MATCH($B2472,'HS Codes'!$A$2:$A5026,0),MATCH(H$1,'HS Codes'!$D$1:$K$1,0)),"")</f>
        <v/>
      </c>
      <c r="I2472" s="8" t="str">
        <f>_xlfn.IFNA(INDEX('HS Codes'!$D$2:$K5026,MATCH($B2472,'HS Codes'!$A$2:$A5026,0),MATCH(I$1,'HS Codes'!$D$1:$K$1,0)),"")</f>
        <v/>
      </c>
      <c r="J2472" s="8" t="str">
        <f>_xlfn.IFNA(INDEX('HS Codes'!$D$2:$K5026,MATCH($B2472,'HS Codes'!$A$2:$A5026,0),MATCH(J$1,'HS Codes'!$D$1:$K$1,0)),"")</f>
        <v/>
      </c>
      <c r="K2472" s="8" t="str">
        <f>_xlfn.IFNA(INDEX('HS Codes'!$D$2:$K5026,MATCH($B2472,'HS Codes'!$A$2:$A5026,0),MATCH(K$1,'HS Codes'!$D$1:$K$1,0)),"")</f>
        <v/>
      </c>
      <c r="L2472" s="8" t="str">
        <f>_xlfn.IFNA(INDEX('HS Codes'!$D$2:$K5026,MATCH($B2472,'HS Codes'!$A$2:$A5026,0),MATCH(L$1,'HS Codes'!$D$1:$K$1,0)),"")</f>
        <v/>
      </c>
      <c r="M2472" s="8" t="str">
        <f>_xlfn.IFNA(INDEX('HS Codes'!$C$2:$C5026,MATCH($B2472,'HS Codes'!$A$2:$A5026,0)),"")</f>
        <v/>
      </c>
      <c r="N2472" s="9"/>
      <c r="O2472" s="9"/>
      <c r="P2472" s="9"/>
      <c r="Q2472" s="9"/>
    </row>
    <row r="2473" spans="1:17" ht="15.75" customHeight="1">
      <c r="A2473" s="7" t="s">
        <v>2765</v>
      </c>
      <c r="B2473" s="7"/>
      <c r="C2473" s="7"/>
      <c r="D2473" s="7"/>
      <c r="E2473" s="7"/>
      <c r="F2473" s="8" t="str">
        <f>_xlfn.IFNA(INDEX('HS Codes'!$D$2:$K5027,MATCH($B2473,'HS Codes'!$A$2:$A5027,0),MATCH(F$1,'HS Codes'!$D$1:$K$1,0)),"")</f>
        <v/>
      </c>
      <c r="G2473" s="8" t="str">
        <f>_xlfn.IFNA(INDEX('HS Codes'!$D$2:$K5027,MATCH($B2473,'HS Codes'!$A$2:$A5027,0),MATCH(G$1,'HS Codes'!$D$1:$K$1,0)),"")</f>
        <v/>
      </c>
      <c r="H2473" s="8" t="str">
        <f>_xlfn.IFNA(INDEX('HS Codes'!$D$2:$K5027,MATCH($B2473,'HS Codes'!$A$2:$A5027,0),MATCH(H$1,'HS Codes'!$D$1:$K$1,0)),"")</f>
        <v/>
      </c>
      <c r="I2473" s="8" t="str">
        <f>_xlfn.IFNA(INDEX('HS Codes'!$D$2:$K5027,MATCH($B2473,'HS Codes'!$A$2:$A5027,0),MATCH(I$1,'HS Codes'!$D$1:$K$1,0)),"")</f>
        <v/>
      </c>
      <c r="J2473" s="8" t="str">
        <f>_xlfn.IFNA(INDEX('HS Codes'!$D$2:$K5027,MATCH($B2473,'HS Codes'!$A$2:$A5027,0),MATCH(J$1,'HS Codes'!$D$1:$K$1,0)),"")</f>
        <v/>
      </c>
      <c r="K2473" s="8" t="str">
        <f>_xlfn.IFNA(INDEX('HS Codes'!$D$2:$K5027,MATCH($B2473,'HS Codes'!$A$2:$A5027,0),MATCH(K$1,'HS Codes'!$D$1:$K$1,0)),"")</f>
        <v/>
      </c>
      <c r="L2473" s="8" t="str">
        <f>_xlfn.IFNA(INDEX('HS Codes'!$D$2:$K5027,MATCH($B2473,'HS Codes'!$A$2:$A5027,0),MATCH(L$1,'HS Codes'!$D$1:$K$1,0)),"")</f>
        <v/>
      </c>
      <c r="M2473" s="8" t="str">
        <f>_xlfn.IFNA(INDEX('HS Codes'!$C$2:$C5027,MATCH($B2473,'HS Codes'!$A$2:$A5027,0)),"")</f>
        <v/>
      </c>
      <c r="N2473" s="9"/>
      <c r="O2473" s="9"/>
      <c r="P2473" s="9"/>
      <c r="Q2473" s="9"/>
    </row>
    <row r="2474" spans="1:17" ht="15.75" customHeight="1">
      <c r="A2474" s="7" t="s">
        <v>2766</v>
      </c>
      <c r="B2474" s="7" t="s">
        <v>172</v>
      </c>
      <c r="C2474" s="7" t="s">
        <v>278</v>
      </c>
      <c r="D2474" s="7" t="s">
        <v>173</v>
      </c>
      <c r="E2474" s="7" t="s">
        <v>377</v>
      </c>
      <c r="F2474" s="8" t="str">
        <f>_xlfn.IFNA(INDEX('HS Codes'!$D$2:$K5028,MATCH($B2474,'HS Codes'!$A$2:$A5028,0),MATCH(F$1,'HS Codes'!$D$1:$K$1,0)),"")</f>
        <v>6302.93.2000</v>
      </c>
      <c r="G2474" s="8">
        <f>_xlfn.IFNA(INDEX('HS Codes'!$D$2:$K5028,MATCH($B2474,'HS Codes'!$A$2:$A5028,0),MATCH(G$1,'HS Codes'!$D$1:$K$1,0)),"")</f>
        <v>6302600090</v>
      </c>
      <c r="H2474" s="8" t="str">
        <f>_xlfn.IFNA(INDEX('HS Codes'!$D$2:$K5028,MATCH($B2474,'HS Codes'!$A$2:$A5028,0),MATCH(H$1,'HS Codes'!$D$1:$K$1,0)),"")</f>
        <v>6302.93.00.00</v>
      </c>
      <c r="I2474" s="8">
        <f>_xlfn.IFNA(INDEX('HS Codes'!$D$2:$K5028,MATCH($B2474,'HS Codes'!$A$2:$A5028,0),MATCH(I$1,'HS Codes'!$D$1:$K$1,0)),"")</f>
        <v>6302939000</v>
      </c>
      <c r="J2474" s="8">
        <f>_xlfn.IFNA(INDEX('HS Codes'!$D$2:$K5028,MATCH($B2474,'HS Codes'!$A$2:$A5028,0),MATCH(J$1,'HS Codes'!$D$1:$K$1,0)),"")</f>
        <v>0</v>
      </c>
      <c r="K2474" s="8" t="str">
        <f>_xlfn.IFNA(INDEX('HS Codes'!$D$2:$K5028,MATCH($B2474,'HS Codes'!$A$2:$A5028,0),MATCH(K$1,'HS Codes'!$D$1:$K$1,0)),"")</f>
        <v>6302.39.00</v>
      </c>
      <c r="L2474" s="8">
        <f>_xlfn.IFNA(INDEX('HS Codes'!$D$2:$K5028,MATCH($B2474,'HS Codes'!$A$2:$A5028,0),MATCH(L$1,'HS Codes'!$D$1:$K$1,0)),"")</f>
        <v>63029120</v>
      </c>
      <c r="M2474" s="8" t="str">
        <f>_xlfn.IFNA(INDEX('HS Codes'!$C$2:$C5028,MATCH($B2474,'HS Codes'!$A$2:$A5028,0)),"")</f>
        <v>Bath Towel - Toilet Linen 100% recycled 340 GSM/83% polyester/17% polyamide (no cotton)</v>
      </c>
      <c r="N2474" s="9"/>
      <c r="O2474" s="9"/>
      <c r="P2474" s="9"/>
      <c r="Q2474" s="9"/>
    </row>
    <row r="2475" spans="1:17" ht="15.75" customHeight="1">
      <c r="A2475" s="7" t="s">
        <v>2767</v>
      </c>
      <c r="B2475" s="7" t="s">
        <v>172</v>
      </c>
      <c r="C2475" s="7" t="s">
        <v>278</v>
      </c>
      <c r="D2475" s="7" t="s">
        <v>173</v>
      </c>
      <c r="E2475" s="7" t="s">
        <v>377</v>
      </c>
      <c r="F2475" s="8" t="str">
        <f>_xlfn.IFNA(INDEX('HS Codes'!$D$2:$K5029,MATCH($B2475,'HS Codes'!$A$2:$A5029,0),MATCH(F$1,'HS Codes'!$D$1:$K$1,0)),"")</f>
        <v>6302.93.2000</v>
      </c>
      <c r="G2475" s="8">
        <f>_xlfn.IFNA(INDEX('HS Codes'!$D$2:$K5029,MATCH($B2475,'HS Codes'!$A$2:$A5029,0),MATCH(G$1,'HS Codes'!$D$1:$K$1,0)),"")</f>
        <v>6302600090</v>
      </c>
      <c r="H2475" s="8" t="str">
        <f>_xlfn.IFNA(INDEX('HS Codes'!$D$2:$K5029,MATCH($B2475,'HS Codes'!$A$2:$A5029,0),MATCH(H$1,'HS Codes'!$D$1:$K$1,0)),"")</f>
        <v>6302.93.00.00</v>
      </c>
      <c r="I2475" s="8">
        <f>_xlfn.IFNA(INDEX('HS Codes'!$D$2:$K5029,MATCH($B2475,'HS Codes'!$A$2:$A5029,0),MATCH(I$1,'HS Codes'!$D$1:$K$1,0)),"")</f>
        <v>6302939000</v>
      </c>
      <c r="J2475" s="8">
        <f>_xlfn.IFNA(INDEX('HS Codes'!$D$2:$K5029,MATCH($B2475,'HS Codes'!$A$2:$A5029,0),MATCH(J$1,'HS Codes'!$D$1:$K$1,0)),"")</f>
        <v>0</v>
      </c>
      <c r="K2475" s="8" t="str">
        <f>_xlfn.IFNA(INDEX('HS Codes'!$D$2:$K5029,MATCH($B2475,'HS Codes'!$A$2:$A5029,0),MATCH(K$1,'HS Codes'!$D$1:$K$1,0)),"")</f>
        <v>6302.39.00</v>
      </c>
      <c r="L2475" s="8">
        <f>_xlfn.IFNA(INDEX('HS Codes'!$D$2:$K5029,MATCH($B2475,'HS Codes'!$A$2:$A5029,0),MATCH(L$1,'HS Codes'!$D$1:$K$1,0)),"")</f>
        <v>63029120</v>
      </c>
      <c r="M2475" s="8" t="str">
        <f>_xlfn.IFNA(INDEX('HS Codes'!$C$2:$C5029,MATCH($B2475,'HS Codes'!$A$2:$A5029,0)),"")</f>
        <v>Bath Towel - Toilet Linen 100% recycled 340 GSM/83% polyester/17% polyamide (no cotton)</v>
      </c>
      <c r="N2475" s="9"/>
      <c r="O2475" s="9"/>
      <c r="P2475" s="9"/>
      <c r="Q2475" s="9"/>
    </row>
    <row r="2476" spans="1:17" ht="15.75" customHeight="1">
      <c r="A2476" s="7" t="s">
        <v>2768</v>
      </c>
      <c r="B2476" s="7" t="s">
        <v>172</v>
      </c>
      <c r="C2476" s="7" t="s">
        <v>278</v>
      </c>
      <c r="D2476" s="7" t="s">
        <v>173</v>
      </c>
      <c r="E2476" s="7" t="s">
        <v>377</v>
      </c>
      <c r="F2476" s="8" t="str">
        <f>_xlfn.IFNA(INDEX('HS Codes'!$D$2:$K5030,MATCH($B2476,'HS Codes'!$A$2:$A5030,0),MATCH(F$1,'HS Codes'!$D$1:$K$1,0)),"")</f>
        <v>6302.93.2000</v>
      </c>
      <c r="G2476" s="8">
        <f>_xlfn.IFNA(INDEX('HS Codes'!$D$2:$K5030,MATCH($B2476,'HS Codes'!$A$2:$A5030,0),MATCH(G$1,'HS Codes'!$D$1:$K$1,0)),"")</f>
        <v>6302600090</v>
      </c>
      <c r="H2476" s="8" t="str">
        <f>_xlfn.IFNA(INDEX('HS Codes'!$D$2:$K5030,MATCH($B2476,'HS Codes'!$A$2:$A5030,0),MATCH(H$1,'HS Codes'!$D$1:$K$1,0)),"")</f>
        <v>6302.93.00.00</v>
      </c>
      <c r="I2476" s="8">
        <f>_xlfn.IFNA(INDEX('HS Codes'!$D$2:$K5030,MATCH($B2476,'HS Codes'!$A$2:$A5030,0),MATCH(I$1,'HS Codes'!$D$1:$K$1,0)),"")</f>
        <v>6302939000</v>
      </c>
      <c r="J2476" s="8">
        <f>_xlfn.IFNA(INDEX('HS Codes'!$D$2:$K5030,MATCH($B2476,'HS Codes'!$A$2:$A5030,0),MATCH(J$1,'HS Codes'!$D$1:$K$1,0)),"")</f>
        <v>0</v>
      </c>
      <c r="K2476" s="8" t="str">
        <f>_xlfn.IFNA(INDEX('HS Codes'!$D$2:$K5030,MATCH($B2476,'HS Codes'!$A$2:$A5030,0),MATCH(K$1,'HS Codes'!$D$1:$K$1,0)),"")</f>
        <v>6302.39.00</v>
      </c>
      <c r="L2476" s="8">
        <f>_xlfn.IFNA(INDEX('HS Codes'!$D$2:$K5030,MATCH($B2476,'HS Codes'!$A$2:$A5030,0),MATCH(L$1,'HS Codes'!$D$1:$K$1,0)),"")</f>
        <v>63029120</v>
      </c>
      <c r="M2476" s="8" t="str">
        <f>_xlfn.IFNA(INDEX('HS Codes'!$C$2:$C5030,MATCH($B2476,'HS Codes'!$A$2:$A5030,0)),"")</f>
        <v>Bath Towel - Toilet Linen 100% recycled 340 GSM/83% polyester/17% polyamide (no cotton)</v>
      </c>
      <c r="N2476" s="9"/>
      <c r="O2476" s="9"/>
      <c r="P2476" s="9"/>
      <c r="Q2476" s="9"/>
    </row>
    <row r="2477" spans="1:17" ht="15.75" customHeight="1">
      <c r="A2477" s="7" t="s">
        <v>2769</v>
      </c>
      <c r="B2477" s="7" t="s">
        <v>172</v>
      </c>
      <c r="C2477" s="7" t="s">
        <v>278</v>
      </c>
      <c r="D2477" s="7" t="s">
        <v>173</v>
      </c>
      <c r="E2477" s="7" t="s">
        <v>377</v>
      </c>
      <c r="F2477" s="8" t="str">
        <f>_xlfn.IFNA(INDEX('HS Codes'!$D$2:$K5031,MATCH($B2477,'HS Codes'!$A$2:$A5031,0),MATCH(F$1,'HS Codes'!$D$1:$K$1,0)),"")</f>
        <v>6302.93.2000</v>
      </c>
      <c r="G2477" s="8">
        <f>_xlfn.IFNA(INDEX('HS Codes'!$D$2:$K5031,MATCH($B2477,'HS Codes'!$A$2:$A5031,0),MATCH(G$1,'HS Codes'!$D$1:$K$1,0)),"")</f>
        <v>6302600090</v>
      </c>
      <c r="H2477" s="8" t="str">
        <f>_xlfn.IFNA(INDEX('HS Codes'!$D$2:$K5031,MATCH($B2477,'HS Codes'!$A$2:$A5031,0),MATCH(H$1,'HS Codes'!$D$1:$K$1,0)),"")</f>
        <v>6302.93.00.00</v>
      </c>
      <c r="I2477" s="8">
        <f>_xlfn.IFNA(INDEX('HS Codes'!$D$2:$K5031,MATCH($B2477,'HS Codes'!$A$2:$A5031,0),MATCH(I$1,'HS Codes'!$D$1:$K$1,0)),"")</f>
        <v>6302939000</v>
      </c>
      <c r="J2477" s="8">
        <f>_xlfn.IFNA(INDEX('HS Codes'!$D$2:$K5031,MATCH($B2477,'HS Codes'!$A$2:$A5031,0),MATCH(J$1,'HS Codes'!$D$1:$K$1,0)),"")</f>
        <v>0</v>
      </c>
      <c r="K2477" s="8" t="str">
        <f>_xlfn.IFNA(INDEX('HS Codes'!$D$2:$K5031,MATCH($B2477,'HS Codes'!$A$2:$A5031,0),MATCH(K$1,'HS Codes'!$D$1:$K$1,0)),"")</f>
        <v>6302.39.00</v>
      </c>
      <c r="L2477" s="8">
        <f>_xlfn.IFNA(INDEX('HS Codes'!$D$2:$K5031,MATCH($B2477,'HS Codes'!$A$2:$A5031,0),MATCH(L$1,'HS Codes'!$D$1:$K$1,0)),"")</f>
        <v>63029120</v>
      </c>
      <c r="M2477" s="8" t="str">
        <f>_xlfn.IFNA(INDEX('HS Codes'!$C$2:$C5031,MATCH($B2477,'HS Codes'!$A$2:$A5031,0)),"")</f>
        <v>Bath Towel - Toilet Linen 100% recycled 340 GSM/83% polyester/17% polyamide (no cotton)</v>
      </c>
      <c r="N2477" s="9"/>
      <c r="O2477" s="9"/>
      <c r="P2477" s="9"/>
      <c r="Q2477" s="9"/>
    </row>
    <row r="2478" spans="1:17" ht="15.75" customHeight="1">
      <c r="A2478" s="7" t="s">
        <v>2770</v>
      </c>
      <c r="B2478" s="7" t="s">
        <v>172</v>
      </c>
      <c r="C2478" s="7" t="s">
        <v>278</v>
      </c>
      <c r="D2478" s="7" t="s">
        <v>173</v>
      </c>
      <c r="E2478" s="7" t="s">
        <v>377</v>
      </c>
      <c r="F2478" s="8" t="str">
        <f>_xlfn.IFNA(INDEX('HS Codes'!$D$2:$K5032,MATCH($B2478,'HS Codes'!$A$2:$A5032,0),MATCH(F$1,'HS Codes'!$D$1:$K$1,0)),"")</f>
        <v>6302.93.2000</v>
      </c>
      <c r="G2478" s="8">
        <f>_xlfn.IFNA(INDEX('HS Codes'!$D$2:$K5032,MATCH($B2478,'HS Codes'!$A$2:$A5032,0),MATCH(G$1,'HS Codes'!$D$1:$K$1,0)),"")</f>
        <v>6302600090</v>
      </c>
      <c r="H2478" s="8" t="str">
        <f>_xlfn.IFNA(INDEX('HS Codes'!$D$2:$K5032,MATCH($B2478,'HS Codes'!$A$2:$A5032,0),MATCH(H$1,'HS Codes'!$D$1:$K$1,0)),"")</f>
        <v>6302.93.00.00</v>
      </c>
      <c r="I2478" s="8">
        <f>_xlfn.IFNA(INDEX('HS Codes'!$D$2:$K5032,MATCH($B2478,'HS Codes'!$A$2:$A5032,0),MATCH(I$1,'HS Codes'!$D$1:$K$1,0)),"")</f>
        <v>6302939000</v>
      </c>
      <c r="J2478" s="8">
        <f>_xlfn.IFNA(INDEX('HS Codes'!$D$2:$K5032,MATCH($B2478,'HS Codes'!$A$2:$A5032,0),MATCH(J$1,'HS Codes'!$D$1:$K$1,0)),"")</f>
        <v>0</v>
      </c>
      <c r="K2478" s="8" t="str">
        <f>_xlfn.IFNA(INDEX('HS Codes'!$D$2:$K5032,MATCH($B2478,'HS Codes'!$A$2:$A5032,0),MATCH(K$1,'HS Codes'!$D$1:$K$1,0)),"")</f>
        <v>6302.39.00</v>
      </c>
      <c r="L2478" s="8">
        <f>_xlfn.IFNA(INDEX('HS Codes'!$D$2:$K5032,MATCH($B2478,'HS Codes'!$A$2:$A5032,0),MATCH(L$1,'HS Codes'!$D$1:$K$1,0)),"")</f>
        <v>63029120</v>
      </c>
      <c r="M2478" s="8" t="str">
        <f>_xlfn.IFNA(INDEX('HS Codes'!$C$2:$C5032,MATCH($B2478,'HS Codes'!$A$2:$A5032,0)),"")</f>
        <v>Bath Towel - Toilet Linen 100% recycled 340 GSM/83% polyester/17% polyamide (no cotton)</v>
      </c>
      <c r="N2478" s="9"/>
      <c r="O2478" s="9"/>
      <c r="P2478" s="9"/>
      <c r="Q2478" s="9"/>
    </row>
    <row r="2479" spans="1:17" ht="15.75" customHeight="1">
      <c r="A2479" s="7" t="s">
        <v>2771</v>
      </c>
      <c r="B2479" s="7" t="s">
        <v>172</v>
      </c>
      <c r="C2479" s="7" t="s">
        <v>278</v>
      </c>
      <c r="D2479" s="7" t="s">
        <v>173</v>
      </c>
      <c r="E2479" s="7" t="s">
        <v>377</v>
      </c>
      <c r="F2479" s="8" t="str">
        <f>_xlfn.IFNA(INDEX('HS Codes'!$D$2:$K5033,MATCH($B2479,'HS Codes'!$A$2:$A5033,0),MATCH(F$1,'HS Codes'!$D$1:$K$1,0)),"")</f>
        <v>6302.93.2000</v>
      </c>
      <c r="G2479" s="8">
        <f>_xlfn.IFNA(INDEX('HS Codes'!$D$2:$K5033,MATCH($B2479,'HS Codes'!$A$2:$A5033,0),MATCH(G$1,'HS Codes'!$D$1:$K$1,0)),"")</f>
        <v>6302600090</v>
      </c>
      <c r="H2479" s="8" t="str">
        <f>_xlfn.IFNA(INDEX('HS Codes'!$D$2:$K5033,MATCH($B2479,'HS Codes'!$A$2:$A5033,0),MATCH(H$1,'HS Codes'!$D$1:$K$1,0)),"")</f>
        <v>6302.93.00.00</v>
      </c>
      <c r="I2479" s="8">
        <f>_xlfn.IFNA(INDEX('HS Codes'!$D$2:$K5033,MATCH($B2479,'HS Codes'!$A$2:$A5033,0),MATCH(I$1,'HS Codes'!$D$1:$K$1,0)),"")</f>
        <v>6302939000</v>
      </c>
      <c r="J2479" s="8">
        <f>_xlfn.IFNA(INDEX('HS Codes'!$D$2:$K5033,MATCH($B2479,'HS Codes'!$A$2:$A5033,0),MATCH(J$1,'HS Codes'!$D$1:$K$1,0)),"")</f>
        <v>0</v>
      </c>
      <c r="K2479" s="8" t="str">
        <f>_xlfn.IFNA(INDEX('HS Codes'!$D$2:$K5033,MATCH($B2479,'HS Codes'!$A$2:$A5033,0),MATCH(K$1,'HS Codes'!$D$1:$K$1,0)),"")</f>
        <v>6302.39.00</v>
      </c>
      <c r="L2479" s="8">
        <f>_xlfn.IFNA(INDEX('HS Codes'!$D$2:$K5033,MATCH($B2479,'HS Codes'!$A$2:$A5033,0),MATCH(L$1,'HS Codes'!$D$1:$K$1,0)),"")</f>
        <v>63029120</v>
      </c>
      <c r="M2479" s="8" t="str">
        <f>_xlfn.IFNA(INDEX('HS Codes'!$C$2:$C5033,MATCH($B2479,'HS Codes'!$A$2:$A5033,0)),"")</f>
        <v>Bath Towel - Toilet Linen 100% recycled 340 GSM/83% polyester/17% polyamide (no cotton)</v>
      </c>
      <c r="N2479" s="9"/>
      <c r="O2479" s="9"/>
      <c r="P2479" s="9"/>
      <c r="Q2479" s="9"/>
    </row>
    <row r="2480" spans="1:17" ht="15.75" customHeight="1">
      <c r="A2480" s="7" t="s">
        <v>2772</v>
      </c>
      <c r="B2480" s="7" t="s">
        <v>172</v>
      </c>
      <c r="C2480" s="7" t="s">
        <v>278</v>
      </c>
      <c r="D2480" s="7" t="s">
        <v>173</v>
      </c>
      <c r="E2480" s="7" t="s">
        <v>377</v>
      </c>
      <c r="F2480" s="8" t="str">
        <f>_xlfn.IFNA(INDEX('HS Codes'!$D$2:$K5034,MATCH($B2480,'HS Codes'!$A$2:$A5034,0),MATCH(F$1,'HS Codes'!$D$1:$K$1,0)),"")</f>
        <v>6302.93.2000</v>
      </c>
      <c r="G2480" s="8">
        <f>_xlfn.IFNA(INDEX('HS Codes'!$D$2:$K5034,MATCH($B2480,'HS Codes'!$A$2:$A5034,0),MATCH(G$1,'HS Codes'!$D$1:$K$1,0)),"")</f>
        <v>6302600090</v>
      </c>
      <c r="H2480" s="8" t="str">
        <f>_xlfn.IFNA(INDEX('HS Codes'!$D$2:$K5034,MATCH($B2480,'HS Codes'!$A$2:$A5034,0),MATCH(H$1,'HS Codes'!$D$1:$K$1,0)),"")</f>
        <v>6302.93.00.00</v>
      </c>
      <c r="I2480" s="8">
        <f>_xlfn.IFNA(INDEX('HS Codes'!$D$2:$K5034,MATCH($B2480,'HS Codes'!$A$2:$A5034,0),MATCH(I$1,'HS Codes'!$D$1:$K$1,0)),"")</f>
        <v>6302939000</v>
      </c>
      <c r="J2480" s="8">
        <f>_xlfn.IFNA(INDEX('HS Codes'!$D$2:$K5034,MATCH($B2480,'HS Codes'!$A$2:$A5034,0),MATCH(J$1,'HS Codes'!$D$1:$K$1,0)),"")</f>
        <v>0</v>
      </c>
      <c r="K2480" s="8" t="str">
        <f>_xlfn.IFNA(INDEX('HS Codes'!$D$2:$K5034,MATCH($B2480,'HS Codes'!$A$2:$A5034,0),MATCH(K$1,'HS Codes'!$D$1:$K$1,0)),"")</f>
        <v>6302.39.00</v>
      </c>
      <c r="L2480" s="8">
        <f>_xlfn.IFNA(INDEX('HS Codes'!$D$2:$K5034,MATCH($B2480,'HS Codes'!$A$2:$A5034,0),MATCH(L$1,'HS Codes'!$D$1:$K$1,0)),"")</f>
        <v>63029120</v>
      </c>
      <c r="M2480" s="8" t="str">
        <f>_xlfn.IFNA(INDEX('HS Codes'!$C$2:$C5034,MATCH($B2480,'HS Codes'!$A$2:$A5034,0)),"")</f>
        <v>Bath Towel - Toilet Linen 100% recycled 340 GSM/83% polyester/17% polyamide (no cotton)</v>
      </c>
      <c r="N2480" s="9"/>
      <c r="O2480" s="9"/>
      <c r="P2480" s="9"/>
      <c r="Q2480" s="9"/>
    </row>
    <row r="2481" spans="1:17" ht="15.75" customHeight="1">
      <c r="A2481" s="7" t="s">
        <v>2773</v>
      </c>
      <c r="B2481" s="7" t="s">
        <v>172</v>
      </c>
      <c r="C2481" s="7" t="s">
        <v>278</v>
      </c>
      <c r="D2481" s="7" t="s">
        <v>173</v>
      </c>
      <c r="E2481" s="7" t="s">
        <v>377</v>
      </c>
      <c r="F2481" s="8" t="str">
        <f>_xlfn.IFNA(INDEX('HS Codes'!$D$2:$K5035,MATCH($B2481,'HS Codes'!$A$2:$A5035,0),MATCH(F$1,'HS Codes'!$D$1:$K$1,0)),"")</f>
        <v>6302.93.2000</v>
      </c>
      <c r="G2481" s="8">
        <f>_xlfn.IFNA(INDEX('HS Codes'!$D$2:$K5035,MATCH($B2481,'HS Codes'!$A$2:$A5035,0),MATCH(G$1,'HS Codes'!$D$1:$K$1,0)),"")</f>
        <v>6302600090</v>
      </c>
      <c r="H2481" s="8" t="str">
        <f>_xlfn.IFNA(INDEX('HS Codes'!$D$2:$K5035,MATCH($B2481,'HS Codes'!$A$2:$A5035,0),MATCH(H$1,'HS Codes'!$D$1:$K$1,0)),"")</f>
        <v>6302.93.00.00</v>
      </c>
      <c r="I2481" s="8">
        <f>_xlfn.IFNA(INDEX('HS Codes'!$D$2:$K5035,MATCH($B2481,'HS Codes'!$A$2:$A5035,0),MATCH(I$1,'HS Codes'!$D$1:$K$1,0)),"")</f>
        <v>6302939000</v>
      </c>
      <c r="J2481" s="8">
        <f>_xlfn.IFNA(INDEX('HS Codes'!$D$2:$K5035,MATCH($B2481,'HS Codes'!$A$2:$A5035,0),MATCH(J$1,'HS Codes'!$D$1:$K$1,0)),"")</f>
        <v>0</v>
      </c>
      <c r="K2481" s="8" t="str">
        <f>_xlfn.IFNA(INDEX('HS Codes'!$D$2:$K5035,MATCH($B2481,'HS Codes'!$A$2:$A5035,0),MATCH(K$1,'HS Codes'!$D$1:$K$1,0)),"")</f>
        <v>6302.39.00</v>
      </c>
      <c r="L2481" s="8">
        <f>_xlfn.IFNA(INDEX('HS Codes'!$D$2:$K5035,MATCH($B2481,'HS Codes'!$A$2:$A5035,0),MATCH(L$1,'HS Codes'!$D$1:$K$1,0)),"")</f>
        <v>63029120</v>
      </c>
      <c r="M2481" s="8" t="str">
        <f>_xlfn.IFNA(INDEX('HS Codes'!$C$2:$C5035,MATCH($B2481,'HS Codes'!$A$2:$A5035,0)),"")</f>
        <v>Bath Towel - Toilet Linen 100% recycled 340 GSM/83% polyester/17% polyamide (no cotton)</v>
      </c>
      <c r="N2481" s="9"/>
      <c r="O2481" s="9"/>
      <c r="P2481" s="9"/>
      <c r="Q2481" s="9"/>
    </row>
    <row r="2482" spans="1:17" ht="15.75" customHeight="1">
      <c r="A2482" s="7" t="s">
        <v>2774</v>
      </c>
      <c r="B2482" s="7" t="s">
        <v>172</v>
      </c>
      <c r="C2482" s="7" t="s">
        <v>278</v>
      </c>
      <c r="D2482" s="7" t="s">
        <v>173</v>
      </c>
      <c r="E2482" s="7" t="s">
        <v>377</v>
      </c>
      <c r="F2482" s="8" t="str">
        <f>_xlfn.IFNA(INDEX('HS Codes'!$D$2:$K5036,MATCH($B2482,'HS Codes'!$A$2:$A5036,0),MATCH(F$1,'HS Codes'!$D$1:$K$1,0)),"")</f>
        <v>6302.93.2000</v>
      </c>
      <c r="G2482" s="8">
        <f>_xlfn.IFNA(INDEX('HS Codes'!$D$2:$K5036,MATCH($B2482,'HS Codes'!$A$2:$A5036,0),MATCH(G$1,'HS Codes'!$D$1:$K$1,0)),"")</f>
        <v>6302600090</v>
      </c>
      <c r="H2482" s="8" t="str">
        <f>_xlfn.IFNA(INDEX('HS Codes'!$D$2:$K5036,MATCH($B2482,'HS Codes'!$A$2:$A5036,0),MATCH(H$1,'HS Codes'!$D$1:$K$1,0)),"")</f>
        <v>6302.93.00.00</v>
      </c>
      <c r="I2482" s="8">
        <f>_xlfn.IFNA(INDEX('HS Codes'!$D$2:$K5036,MATCH($B2482,'HS Codes'!$A$2:$A5036,0),MATCH(I$1,'HS Codes'!$D$1:$K$1,0)),"")</f>
        <v>6302939000</v>
      </c>
      <c r="J2482" s="8">
        <f>_xlfn.IFNA(INDEX('HS Codes'!$D$2:$K5036,MATCH($B2482,'HS Codes'!$A$2:$A5036,0),MATCH(J$1,'HS Codes'!$D$1:$K$1,0)),"")</f>
        <v>0</v>
      </c>
      <c r="K2482" s="8" t="str">
        <f>_xlfn.IFNA(INDEX('HS Codes'!$D$2:$K5036,MATCH($B2482,'HS Codes'!$A$2:$A5036,0),MATCH(K$1,'HS Codes'!$D$1:$K$1,0)),"")</f>
        <v>6302.39.00</v>
      </c>
      <c r="L2482" s="8">
        <f>_xlfn.IFNA(INDEX('HS Codes'!$D$2:$K5036,MATCH($B2482,'HS Codes'!$A$2:$A5036,0),MATCH(L$1,'HS Codes'!$D$1:$K$1,0)),"")</f>
        <v>63029120</v>
      </c>
      <c r="M2482" s="8" t="str">
        <f>_xlfn.IFNA(INDEX('HS Codes'!$C$2:$C5036,MATCH($B2482,'HS Codes'!$A$2:$A5036,0)),"")</f>
        <v>Bath Towel - Toilet Linen 100% recycled 340 GSM/83% polyester/17% polyamide (no cotton)</v>
      </c>
      <c r="N2482" s="9"/>
      <c r="O2482" s="9"/>
      <c r="P2482" s="9"/>
      <c r="Q2482" s="9"/>
    </row>
    <row r="2483" spans="1:17" ht="15.75" customHeight="1">
      <c r="A2483" s="7" t="s">
        <v>2775</v>
      </c>
      <c r="B2483" s="7" t="s">
        <v>172</v>
      </c>
      <c r="C2483" s="7" t="s">
        <v>278</v>
      </c>
      <c r="D2483" s="7" t="s">
        <v>173</v>
      </c>
      <c r="E2483" s="7" t="s">
        <v>377</v>
      </c>
      <c r="F2483" s="8" t="str">
        <f>_xlfn.IFNA(INDEX('HS Codes'!$D$2:$K5037,MATCH($B2483,'HS Codes'!$A$2:$A5037,0),MATCH(F$1,'HS Codes'!$D$1:$K$1,0)),"")</f>
        <v>6302.93.2000</v>
      </c>
      <c r="G2483" s="8">
        <f>_xlfn.IFNA(INDEX('HS Codes'!$D$2:$K5037,MATCH($B2483,'HS Codes'!$A$2:$A5037,0),MATCH(G$1,'HS Codes'!$D$1:$K$1,0)),"")</f>
        <v>6302600090</v>
      </c>
      <c r="H2483" s="8" t="str">
        <f>_xlfn.IFNA(INDEX('HS Codes'!$D$2:$K5037,MATCH($B2483,'HS Codes'!$A$2:$A5037,0),MATCH(H$1,'HS Codes'!$D$1:$K$1,0)),"")</f>
        <v>6302.93.00.00</v>
      </c>
      <c r="I2483" s="8">
        <f>_xlfn.IFNA(INDEX('HS Codes'!$D$2:$K5037,MATCH($B2483,'HS Codes'!$A$2:$A5037,0),MATCH(I$1,'HS Codes'!$D$1:$K$1,0)),"")</f>
        <v>6302939000</v>
      </c>
      <c r="J2483" s="8">
        <f>_xlfn.IFNA(INDEX('HS Codes'!$D$2:$K5037,MATCH($B2483,'HS Codes'!$A$2:$A5037,0),MATCH(J$1,'HS Codes'!$D$1:$K$1,0)),"")</f>
        <v>0</v>
      </c>
      <c r="K2483" s="8" t="str">
        <f>_xlfn.IFNA(INDEX('HS Codes'!$D$2:$K5037,MATCH($B2483,'HS Codes'!$A$2:$A5037,0),MATCH(K$1,'HS Codes'!$D$1:$K$1,0)),"")</f>
        <v>6302.39.00</v>
      </c>
      <c r="L2483" s="8">
        <f>_xlfn.IFNA(INDEX('HS Codes'!$D$2:$K5037,MATCH($B2483,'HS Codes'!$A$2:$A5037,0),MATCH(L$1,'HS Codes'!$D$1:$K$1,0)),"")</f>
        <v>63029120</v>
      </c>
      <c r="M2483" s="8" t="str">
        <f>_xlfn.IFNA(INDEX('HS Codes'!$C$2:$C5037,MATCH($B2483,'HS Codes'!$A$2:$A5037,0)),"")</f>
        <v>Bath Towel - Toilet Linen 100% recycled 340 GSM/83% polyester/17% polyamide (no cotton)</v>
      </c>
      <c r="N2483" s="9"/>
      <c r="O2483" s="9"/>
      <c r="P2483" s="9"/>
      <c r="Q2483" s="9"/>
    </row>
    <row r="2484" spans="1:17" ht="15.75" customHeight="1">
      <c r="A2484" s="7" t="s">
        <v>2776</v>
      </c>
      <c r="B2484" s="7" t="s">
        <v>172</v>
      </c>
      <c r="C2484" s="7" t="s">
        <v>278</v>
      </c>
      <c r="D2484" s="7" t="s">
        <v>173</v>
      </c>
      <c r="E2484" s="7" t="s">
        <v>377</v>
      </c>
      <c r="F2484" s="8" t="str">
        <f>_xlfn.IFNA(INDEX('HS Codes'!$D$2:$K5038,MATCH($B2484,'HS Codes'!$A$2:$A5038,0),MATCH(F$1,'HS Codes'!$D$1:$K$1,0)),"")</f>
        <v>6302.93.2000</v>
      </c>
      <c r="G2484" s="8">
        <f>_xlfn.IFNA(INDEX('HS Codes'!$D$2:$K5038,MATCH($B2484,'HS Codes'!$A$2:$A5038,0),MATCH(G$1,'HS Codes'!$D$1:$K$1,0)),"")</f>
        <v>6302600090</v>
      </c>
      <c r="H2484" s="8" t="str">
        <f>_xlfn.IFNA(INDEX('HS Codes'!$D$2:$K5038,MATCH($B2484,'HS Codes'!$A$2:$A5038,0),MATCH(H$1,'HS Codes'!$D$1:$K$1,0)),"")</f>
        <v>6302.93.00.00</v>
      </c>
      <c r="I2484" s="8">
        <f>_xlfn.IFNA(INDEX('HS Codes'!$D$2:$K5038,MATCH($B2484,'HS Codes'!$A$2:$A5038,0),MATCH(I$1,'HS Codes'!$D$1:$K$1,0)),"")</f>
        <v>6302939000</v>
      </c>
      <c r="J2484" s="8">
        <f>_xlfn.IFNA(INDEX('HS Codes'!$D$2:$K5038,MATCH($B2484,'HS Codes'!$A$2:$A5038,0),MATCH(J$1,'HS Codes'!$D$1:$K$1,0)),"")</f>
        <v>0</v>
      </c>
      <c r="K2484" s="8" t="str">
        <f>_xlfn.IFNA(INDEX('HS Codes'!$D$2:$K5038,MATCH($B2484,'HS Codes'!$A$2:$A5038,0),MATCH(K$1,'HS Codes'!$D$1:$K$1,0)),"")</f>
        <v>6302.39.00</v>
      </c>
      <c r="L2484" s="8">
        <f>_xlfn.IFNA(INDEX('HS Codes'!$D$2:$K5038,MATCH($B2484,'HS Codes'!$A$2:$A5038,0),MATCH(L$1,'HS Codes'!$D$1:$K$1,0)),"")</f>
        <v>63029120</v>
      </c>
      <c r="M2484" s="8" t="str">
        <f>_xlfn.IFNA(INDEX('HS Codes'!$C$2:$C5038,MATCH($B2484,'HS Codes'!$A$2:$A5038,0)),"")</f>
        <v>Bath Towel - Toilet Linen 100% recycled 340 GSM/83% polyester/17% polyamide (no cotton)</v>
      </c>
      <c r="N2484" s="9"/>
      <c r="O2484" s="9"/>
      <c r="P2484" s="9"/>
      <c r="Q2484" s="9"/>
    </row>
    <row r="2485" spans="1:17" ht="15.75" customHeight="1">
      <c r="A2485" s="7" t="s">
        <v>2777</v>
      </c>
      <c r="B2485" s="7" t="s">
        <v>172</v>
      </c>
      <c r="C2485" s="7" t="s">
        <v>278</v>
      </c>
      <c r="D2485" s="7" t="s">
        <v>173</v>
      </c>
      <c r="E2485" s="7" t="s">
        <v>377</v>
      </c>
      <c r="F2485" s="8" t="str">
        <f>_xlfn.IFNA(INDEX('HS Codes'!$D$2:$K5039,MATCH($B2485,'HS Codes'!$A$2:$A5039,0),MATCH(F$1,'HS Codes'!$D$1:$K$1,0)),"")</f>
        <v>6302.93.2000</v>
      </c>
      <c r="G2485" s="8">
        <f>_xlfn.IFNA(INDEX('HS Codes'!$D$2:$K5039,MATCH($B2485,'HS Codes'!$A$2:$A5039,0),MATCH(G$1,'HS Codes'!$D$1:$K$1,0)),"")</f>
        <v>6302600090</v>
      </c>
      <c r="H2485" s="8" t="str">
        <f>_xlfn.IFNA(INDEX('HS Codes'!$D$2:$K5039,MATCH($B2485,'HS Codes'!$A$2:$A5039,0),MATCH(H$1,'HS Codes'!$D$1:$K$1,0)),"")</f>
        <v>6302.93.00.00</v>
      </c>
      <c r="I2485" s="8">
        <f>_xlfn.IFNA(INDEX('HS Codes'!$D$2:$K5039,MATCH($B2485,'HS Codes'!$A$2:$A5039,0),MATCH(I$1,'HS Codes'!$D$1:$K$1,0)),"")</f>
        <v>6302939000</v>
      </c>
      <c r="J2485" s="8">
        <f>_xlfn.IFNA(INDEX('HS Codes'!$D$2:$K5039,MATCH($B2485,'HS Codes'!$A$2:$A5039,0),MATCH(J$1,'HS Codes'!$D$1:$K$1,0)),"")</f>
        <v>0</v>
      </c>
      <c r="K2485" s="8" t="str">
        <f>_xlfn.IFNA(INDEX('HS Codes'!$D$2:$K5039,MATCH($B2485,'HS Codes'!$A$2:$A5039,0),MATCH(K$1,'HS Codes'!$D$1:$K$1,0)),"")</f>
        <v>6302.39.00</v>
      </c>
      <c r="L2485" s="8">
        <f>_xlfn.IFNA(INDEX('HS Codes'!$D$2:$K5039,MATCH($B2485,'HS Codes'!$A$2:$A5039,0),MATCH(L$1,'HS Codes'!$D$1:$K$1,0)),"")</f>
        <v>63029120</v>
      </c>
      <c r="M2485" s="8" t="str">
        <f>_xlfn.IFNA(INDEX('HS Codes'!$C$2:$C5039,MATCH($B2485,'HS Codes'!$A$2:$A5039,0)),"")</f>
        <v>Bath Towel - Toilet Linen 100% recycled 340 GSM/83% polyester/17% polyamide (no cotton)</v>
      </c>
      <c r="N2485" s="9"/>
      <c r="O2485" s="9"/>
      <c r="P2485" s="9"/>
      <c r="Q2485" s="9"/>
    </row>
    <row r="2486" spans="1:17" ht="15.75" customHeight="1">
      <c r="A2486" s="7" t="s">
        <v>2778</v>
      </c>
      <c r="B2486" s="7" t="s">
        <v>172</v>
      </c>
      <c r="C2486" s="7" t="s">
        <v>278</v>
      </c>
      <c r="D2486" s="7" t="s">
        <v>173</v>
      </c>
      <c r="E2486" s="7" t="s">
        <v>377</v>
      </c>
      <c r="F2486" s="8" t="str">
        <f>_xlfn.IFNA(INDEX('HS Codes'!$D$2:$K5040,MATCH($B2486,'HS Codes'!$A$2:$A5040,0),MATCH(F$1,'HS Codes'!$D$1:$K$1,0)),"")</f>
        <v>6302.93.2000</v>
      </c>
      <c r="G2486" s="8">
        <f>_xlfn.IFNA(INDEX('HS Codes'!$D$2:$K5040,MATCH($B2486,'HS Codes'!$A$2:$A5040,0),MATCH(G$1,'HS Codes'!$D$1:$K$1,0)),"")</f>
        <v>6302600090</v>
      </c>
      <c r="H2486" s="8" t="str">
        <f>_xlfn.IFNA(INDEX('HS Codes'!$D$2:$K5040,MATCH($B2486,'HS Codes'!$A$2:$A5040,0),MATCH(H$1,'HS Codes'!$D$1:$K$1,0)),"")</f>
        <v>6302.93.00.00</v>
      </c>
      <c r="I2486" s="8">
        <f>_xlfn.IFNA(INDEX('HS Codes'!$D$2:$K5040,MATCH($B2486,'HS Codes'!$A$2:$A5040,0),MATCH(I$1,'HS Codes'!$D$1:$K$1,0)),"")</f>
        <v>6302939000</v>
      </c>
      <c r="J2486" s="8">
        <f>_xlfn.IFNA(INDEX('HS Codes'!$D$2:$K5040,MATCH($B2486,'HS Codes'!$A$2:$A5040,0),MATCH(J$1,'HS Codes'!$D$1:$K$1,0)),"")</f>
        <v>0</v>
      </c>
      <c r="K2486" s="8" t="str">
        <f>_xlfn.IFNA(INDEX('HS Codes'!$D$2:$K5040,MATCH($B2486,'HS Codes'!$A$2:$A5040,0),MATCH(K$1,'HS Codes'!$D$1:$K$1,0)),"")</f>
        <v>6302.39.00</v>
      </c>
      <c r="L2486" s="8">
        <f>_xlfn.IFNA(INDEX('HS Codes'!$D$2:$K5040,MATCH($B2486,'HS Codes'!$A$2:$A5040,0),MATCH(L$1,'HS Codes'!$D$1:$K$1,0)),"")</f>
        <v>63029120</v>
      </c>
      <c r="M2486" s="8" t="str">
        <f>_xlfn.IFNA(INDEX('HS Codes'!$C$2:$C5040,MATCH($B2486,'HS Codes'!$A$2:$A5040,0)),"")</f>
        <v>Bath Towel - Toilet Linen 100% recycled 340 GSM/83% polyester/17% polyamide (no cotton)</v>
      </c>
      <c r="N2486" s="9"/>
      <c r="O2486" s="9"/>
      <c r="P2486" s="9"/>
      <c r="Q2486" s="9"/>
    </row>
    <row r="2487" spans="1:17" ht="15.75" customHeight="1">
      <c r="A2487" s="7" t="s">
        <v>2779</v>
      </c>
      <c r="B2487" s="7" t="s">
        <v>172</v>
      </c>
      <c r="C2487" s="7" t="s">
        <v>278</v>
      </c>
      <c r="D2487" s="7" t="s">
        <v>173</v>
      </c>
      <c r="E2487" s="7" t="s">
        <v>377</v>
      </c>
      <c r="F2487" s="8" t="str">
        <f>_xlfn.IFNA(INDEX('HS Codes'!$D$2:$K5041,MATCH($B2487,'HS Codes'!$A$2:$A5041,0),MATCH(F$1,'HS Codes'!$D$1:$K$1,0)),"")</f>
        <v>6302.93.2000</v>
      </c>
      <c r="G2487" s="8">
        <f>_xlfn.IFNA(INDEX('HS Codes'!$D$2:$K5041,MATCH($B2487,'HS Codes'!$A$2:$A5041,0),MATCH(G$1,'HS Codes'!$D$1:$K$1,0)),"")</f>
        <v>6302600090</v>
      </c>
      <c r="H2487" s="8" t="str">
        <f>_xlfn.IFNA(INDEX('HS Codes'!$D$2:$K5041,MATCH($B2487,'HS Codes'!$A$2:$A5041,0),MATCH(H$1,'HS Codes'!$D$1:$K$1,0)),"")</f>
        <v>6302.93.00.00</v>
      </c>
      <c r="I2487" s="8">
        <f>_xlfn.IFNA(INDEX('HS Codes'!$D$2:$K5041,MATCH($B2487,'HS Codes'!$A$2:$A5041,0),MATCH(I$1,'HS Codes'!$D$1:$K$1,0)),"")</f>
        <v>6302939000</v>
      </c>
      <c r="J2487" s="8">
        <f>_xlfn.IFNA(INDEX('HS Codes'!$D$2:$K5041,MATCH($B2487,'HS Codes'!$A$2:$A5041,0),MATCH(J$1,'HS Codes'!$D$1:$K$1,0)),"")</f>
        <v>0</v>
      </c>
      <c r="K2487" s="8" t="str">
        <f>_xlfn.IFNA(INDEX('HS Codes'!$D$2:$K5041,MATCH($B2487,'HS Codes'!$A$2:$A5041,0),MATCH(K$1,'HS Codes'!$D$1:$K$1,0)),"")</f>
        <v>6302.39.00</v>
      </c>
      <c r="L2487" s="8">
        <f>_xlfn.IFNA(INDEX('HS Codes'!$D$2:$K5041,MATCH($B2487,'HS Codes'!$A$2:$A5041,0),MATCH(L$1,'HS Codes'!$D$1:$K$1,0)),"")</f>
        <v>63029120</v>
      </c>
      <c r="M2487" s="8" t="str">
        <f>_xlfn.IFNA(INDEX('HS Codes'!$C$2:$C5041,MATCH($B2487,'HS Codes'!$A$2:$A5041,0)),"")</f>
        <v>Bath Towel - Toilet Linen 100% recycled 340 GSM/83% polyester/17% polyamide (no cotton)</v>
      </c>
      <c r="N2487" s="9"/>
      <c r="O2487" s="9"/>
      <c r="P2487" s="9"/>
      <c r="Q2487" s="9"/>
    </row>
    <row r="2488" spans="1:17" ht="15.75" customHeight="1">
      <c r="A2488" s="7" t="s">
        <v>2780</v>
      </c>
      <c r="B2488" s="7"/>
      <c r="C2488" s="7"/>
      <c r="D2488" s="7"/>
      <c r="E2488" s="7"/>
      <c r="F2488" s="8" t="str">
        <f>_xlfn.IFNA(INDEX('HS Codes'!$D$2:$K5042,MATCH($B2488,'HS Codes'!$A$2:$A5042,0),MATCH(F$1,'HS Codes'!$D$1:$K$1,0)),"")</f>
        <v/>
      </c>
      <c r="G2488" s="8" t="str">
        <f>_xlfn.IFNA(INDEX('HS Codes'!$D$2:$K5042,MATCH($B2488,'HS Codes'!$A$2:$A5042,0),MATCH(G$1,'HS Codes'!$D$1:$K$1,0)),"")</f>
        <v/>
      </c>
      <c r="H2488" s="8" t="str">
        <f>_xlfn.IFNA(INDEX('HS Codes'!$D$2:$K5042,MATCH($B2488,'HS Codes'!$A$2:$A5042,0),MATCH(H$1,'HS Codes'!$D$1:$K$1,0)),"")</f>
        <v/>
      </c>
      <c r="I2488" s="8" t="str">
        <f>_xlfn.IFNA(INDEX('HS Codes'!$D$2:$K5042,MATCH($B2488,'HS Codes'!$A$2:$A5042,0),MATCH(I$1,'HS Codes'!$D$1:$K$1,0)),"")</f>
        <v/>
      </c>
      <c r="J2488" s="8" t="str">
        <f>_xlfn.IFNA(INDEX('HS Codes'!$D$2:$K5042,MATCH($B2488,'HS Codes'!$A$2:$A5042,0),MATCH(J$1,'HS Codes'!$D$1:$K$1,0)),"")</f>
        <v/>
      </c>
      <c r="K2488" s="8" t="str">
        <f>_xlfn.IFNA(INDEX('HS Codes'!$D$2:$K5042,MATCH($B2488,'HS Codes'!$A$2:$A5042,0),MATCH(K$1,'HS Codes'!$D$1:$K$1,0)),"")</f>
        <v/>
      </c>
      <c r="L2488" s="8" t="str">
        <f>_xlfn.IFNA(INDEX('HS Codes'!$D$2:$K5042,MATCH($B2488,'HS Codes'!$A$2:$A5042,0),MATCH(L$1,'HS Codes'!$D$1:$K$1,0)),"")</f>
        <v/>
      </c>
      <c r="M2488" s="8" t="str">
        <f>_xlfn.IFNA(INDEX('HS Codes'!$C$2:$C5042,MATCH($B2488,'HS Codes'!$A$2:$A5042,0)),"")</f>
        <v/>
      </c>
      <c r="N2488" s="9"/>
      <c r="O2488" s="9"/>
      <c r="P2488" s="9"/>
      <c r="Q2488" s="9"/>
    </row>
    <row r="2489" spans="1:17" ht="15.75" customHeight="1">
      <c r="A2489" s="7" t="s">
        <v>2781</v>
      </c>
      <c r="B2489" s="7" t="s">
        <v>260</v>
      </c>
      <c r="C2489" s="7"/>
      <c r="D2489" s="7" t="s">
        <v>261</v>
      </c>
      <c r="E2489" s="7" t="s">
        <v>523</v>
      </c>
      <c r="F2489" s="8" t="str">
        <f>_xlfn.IFNA(INDEX('HS Codes'!$D$2:$K5043,MATCH($B2489,'HS Codes'!$A$2:$A5043,0),MATCH(F$1,'HS Codes'!$D$1:$K$1,0)),"")</f>
        <v>4819.10.0040</v>
      </c>
      <c r="G2489" s="8">
        <f>_xlfn.IFNA(INDEX('HS Codes'!$D$2:$K5043,MATCH($B2489,'HS Codes'!$A$2:$A5043,0),MATCH(G$1,'HS Codes'!$D$1:$K$1,0)),"")</f>
        <v>4819100000</v>
      </c>
      <c r="H2489" s="8">
        <f>_xlfn.IFNA(INDEX('HS Codes'!$D$2:$K5043,MATCH($B2489,'HS Codes'!$A$2:$A5043,0),MATCH(H$1,'HS Codes'!$D$1:$K$1,0)),"")</f>
        <v>4819100000</v>
      </c>
      <c r="I2489" s="8">
        <f>_xlfn.IFNA(INDEX('HS Codes'!$D$2:$K5043,MATCH($B2489,'HS Codes'!$A$2:$A5043,0),MATCH(I$1,'HS Codes'!$D$1:$K$1,0)),"")</f>
        <v>48191000</v>
      </c>
      <c r="J2489" s="8">
        <f>_xlfn.IFNA(INDEX('HS Codes'!$D$2:$K5043,MATCH($B2489,'HS Codes'!$A$2:$A5043,0),MATCH(J$1,'HS Codes'!$D$1:$K$1,0)),"")</f>
        <v>0</v>
      </c>
      <c r="K2489" s="8" t="str">
        <f>_xlfn.IFNA(INDEX('HS Codes'!$D$2:$K5043,MATCH($B2489,'HS Codes'!$A$2:$A5043,0),MATCH(K$1,'HS Codes'!$D$1:$K$1,0)),"")</f>
        <v>4819.10.00</v>
      </c>
      <c r="L2489" s="8">
        <f>_xlfn.IFNA(INDEX('HS Codes'!$D$2:$K5043,MATCH($B2489,'HS Codes'!$A$2:$A5043,0),MATCH(L$1,'HS Codes'!$D$1:$K$1,0)),"")</f>
        <v>0</v>
      </c>
      <c r="M2489" s="8">
        <f>_xlfn.IFNA(INDEX('HS Codes'!$C$2:$C5043,MATCH($B2489,'HS Codes'!$A$2:$A5043,0)),"")</f>
        <v>0</v>
      </c>
      <c r="N2489" s="9"/>
      <c r="O2489" s="9"/>
      <c r="P2489" s="9"/>
      <c r="Q2489" s="9"/>
    </row>
    <row r="2490" spans="1:17" ht="15.75" customHeight="1">
      <c r="A2490" s="7" t="s">
        <v>2782</v>
      </c>
      <c r="B2490" s="7" t="s">
        <v>260</v>
      </c>
      <c r="C2490" s="7"/>
      <c r="D2490" s="7" t="s">
        <v>261</v>
      </c>
      <c r="E2490" s="7" t="s">
        <v>523</v>
      </c>
      <c r="F2490" s="8" t="str">
        <f>_xlfn.IFNA(INDEX('HS Codes'!$D$2:$K5044,MATCH($B2490,'HS Codes'!$A$2:$A5044,0),MATCH(F$1,'HS Codes'!$D$1:$K$1,0)),"")</f>
        <v>4819.10.0040</v>
      </c>
      <c r="G2490" s="8">
        <f>_xlfn.IFNA(INDEX('HS Codes'!$D$2:$K5044,MATCH($B2490,'HS Codes'!$A$2:$A5044,0),MATCH(G$1,'HS Codes'!$D$1:$K$1,0)),"")</f>
        <v>4819100000</v>
      </c>
      <c r="H2490" s="8">
        <f>_xlfn.IFNA(INDEX('HS Codes'!$D$2:$K5044,MATCH($B2490,'HS Codes'!$A$2:$A5044,0),MATCH(H$1,'HS Codes'!$D$1:$K$1,0)),"")</f>
        <v>4819100000</v>
      </c>
      <c r="I2490" s="8">
        <f>_xlfn.IFNA(INDEX('HS Codes'!$D$2:$K5044,MATCH($B2490,'HS Codes'!$A$2:$A5044,0),MATCH(I$1,'HS Codes'!$D$1:$K$1,0)),"")</f>
        <v>48191000</v>
      </c>
      <c r="J2490" s="8">
        <f>_xlfn.IFNA(INDEX('HS Codes'!$D$2:$K5044,MATCH($B2490,'HS Codes'!$A$2:$A5044,0),MATCH(J$1,'HS Codes'!$D$1:$K$1,0)),"")</f>
        <v>0</v>
      </c>
      <c r="K2490" s="8" t="str">
        <f>_xlfn.IFNA(INDEX('HS Codes'!$D$2:$K5044,MATCH($B2490,'HS Codes'!$A$2:$A5044,0),MATCH(K$1,'HS Codes'!$D$1:$K$1,0)),"")</f>
        <v>4819.10.00</v>
      </c>
      <c r="L2490" s="8">
        <f>_xlfn.IFNA(INDEX('HS Codes'!$D$2:$K5044,MATCH($B2490,'HS Codes'!$A$2:$A5044,0),MATCH(L$1,'HS Codes'!$D$1:$K$1,0)),"")</f>
        <v>0</v>
      </c>
      <c r="M2490" s="8">
        <f>_xlfn.IFNA(INDEX('HS Codes'!$C$2:$C5044,MATCH($B2490,'HS Codes'!$A$2:$A5044,0)),"")</f>
        <v>0</v>
      </c>
      <c r="N2490" s="9"/>
      <c r="O2490" s="9"/>
      <c r="P2490" s="9"/>
      <c r="Q2490" s="9"/>
    </row>
    <row r="2491" spans="1:17" ht="15.75" customHeight="1">
      <c r="A2491" s="7" t="s">
        <v>2783</v>
      </c>
      <c r="B2491" s="7" t="s">
        <v>260</v>
      </c>
      <c r="C2491" s="7"/>
      <c r="D2491" s="7" t="s">
        <v>261</v>
      </c>
      <c r="E2491" s="7" t="s">
        <v>523</v>
      </c>
      <c r="F2491" s="8" t="str">
        <f>_xlfn.IFNA(INDEX('HS Codes'!$D$2:$K5045,MATCH($B2491,'HS Codes'!$A$2:$A5045,0),MATCH(F$1,'HS Codes'!$D$1:$K$1,0)),"")</f>
        <v>4819.10.0040</v>
      </c>
      <c r="G2491" s="8">
        <f>_xlfn.IFNA(INDEX('HS Codes'!$D$2:$K5045,MATCH($B2491,'HS Codes'!$A$2:$A5045,0),MATCH(G$1,'HS Codes'!$D$1:$K$1,0)),"")</f>
        <v>4819100000</v>
      </c>
      <c r="H2491" s="8">
        <f>_xlfn.IFNA(INDEX('HS Codes'!$D$2:$K5045,MATCH($B2491,'HS Codes'!$A$2:$A5045,0),MATCH(H$1,'HS Codes'!$D$1:$K$1,0)),"")</f>
        <v>4819100000</v>
      </c>
      <c r="I2491" s="8">
        <f>_xlfn.IFNA(INDEX('HS Codes'!$D$2:$K5045,MATCH($B2491,'HS Codes'!$A$2:$A5045,0),MATCH(I$1,'HS Codes'!$D$1:$K$1,0)),"")</f>
        <v>48191000</v>
      </c>
      <c r="J2491" s="8">
        <f>_xlfn.IFNA(INDEX('HS Codes'!$D$2:$K5045,MATCH($B2491,'HS Codes'!$A$2:$A5045,0),MATCH(J$1,'HS Codes'!$D$1:$K$1,0)),"")</f>
        <v>0</v>
      </c>
      <c r="K2491" s="8" t="str">
        <f>_xlfn.IFNA(INDEX('HS Codes'!$D$2:$K5045,MATCH($B2491,'HS Codes'!$A$2:$A5045,0),MATCH(K$1,'HS Codes'!$D$1:$K$1,0)),"")</f>
        <v>4819.10.00</v>
      </c>
      <c r="L2491" s="8">
        <f>_xlfn.IFNA(INDEX('HS Codes'!$D$2:$K5045,MATCH($B2491,'HS Codes'!$A$2:$A5045,0),MATCH(L$1,'HS Codes'!$D$1:$K$1,0)),"")</f>
        <v>0</v>
      </c>
      <c r="M2491" s="8">
        <f>_xlfn.IFNA(INDEX('HS Codes'!$C$2:$C5045,MATCH($B2491,'HS Codes'!$A$2:$A5045,0)),"")</f>
        <v>0</v>
      </c>
      <c r="N2491" s="9"/>
      <c r="O2491" s="9"/>
      <c r="P2491" s="9"/>
      <c r="Q2491" s="9"/>
    </row>
    <row r="2492" spans="1:17" ht="15.75" customHeight="1">
      <c r="A2492" s="7" t="s">
        <v>2784</v>
      </c>
      <c r="B2492" s="7" t="s">
        <v>260</v>
      </c>
      <c r="C2492" s="7"/>
      <c r="D2492" s="7" t="s">
        <v>261</v>
      </c>
      <c r="E2492" s="7" t="s">
        <v>523</v>
      </c>
      <c r="F2492" s="8" t="str">
        <f>_xlfn.IFNA(INDEX('HS Codes'!$D$2:$K5046,MATCH($B2492,'HS Codes'!$A$2:$A5046,0),MATCH(F$1,'HS Codes'!$D$1:$K$1,0)),"")</f>
        <v>4819.10.0040</v>
      </c>
      <c r="G2492" s="8">
        <f>_xlfn.IFNA(INDEX('HS Codes'!$D$2:$K5046,MATCH($B2492,'HS Codes'!$A$2:$A5046,0),MATCH(G$1,'HS Codes'!$D$1:$K$1,0)),"")</f>
        <v>4819100000</v>
      </c>
      <c r="H2492" s="8">
        <f>_xlfn.IFNA(INDEX('HS Codes'!$D$2:$K5046,MATCH($B2492,'HS Codes'!$A$2:$A5046,0),MATCH(H$1,'HS Codes'!$D$1:$K$1,0)),"")</f>
        <v>4819100000</v>
      </c>
      <c r="I2492" s="8">
        <f>_xlfn.IFNA(INDEX('HS Codes'!$D$2:$K5046,MATCH($B2492,'HS Codes'!$A$2:$A5046,0),MATCH(I$1,'HS Codes'!$D$1:$K$1,0)),"")</f>
        <v>48191000</v>
      </c>
      <c r="J2492" s="8">
        <f>_xlfn.IFNA(INDEX('HS Codes'!$D$2:$K5046,MATCH($B2492,'HS Codes'!$A$2:$A5046,0),MATCH(J$1,'HS Codes'!$D$1:$K$1,0)),"")</f>
        <v>0</v>
      </c>
      <c r="K2492" s="8" t="str">
        <f>_xlfn.IFNA(INDEX('HS Codes'!$D$2:$K5046,MATCH($B2492,'HS Codes'!$A$2:$A5046,0),MATCH(K$1,'HS Codes'!$D$1:$K$1,0)),"")</f>
        <v>4819.10.00</v>
      </c>
      <c r="L2492" s="8">
        <f>_xlfn.IFNA(INDEX('HS Codes'!$D$2:$K5046,MATCH($B2492,'HS Codes'!$A$2:$A5046,0),MATCH(L$1,'HS Codes'!$D$1:$K$1,0)),"")</f>
        <v>0</v>
      </c>
      <c r="M2492" s="8">
        <f>_xlfn.IFNA(INDEX('HS Codes'!$C$2:$C5046,MATCH($B2492,'HS Codes'!$A$2:$A5046,0)),"")</f>
        <v>0</v>
      </c>
      <c r="N2492" s="9"/>
      <c r="O2492" s="9"/>
      <c r="P2492" s="9"/>
      <c r="Q2492" s="9"/>
    </row>
    <row r="2493" spans="1:17" ht="15.75" customHeight="1">
      <c r="A2493" s="7" t="s">
        <v>2785</v>
      </c>
      <c r="B2493" s="7"/>
      <c r="C2493" s="7"/>
      <c r="D2493" s="7"/>
      <c r="E2493" s="7"/>
      <c r="F2493" s="8" t="str">
        <f>_xlfn.IFNA(INDEX('HS Codes'!$D$2:$K5047,MATCH($B2493,'HS Codes'!$A$2:$A5047,0),MATCH(F$1,'HS Codes'!$D$1:$K$1,0)),"")</f>
        <v/>
      </c>
      <c r="G2493" s="8" t="str">
        <f>_xlfn.IFNA(INDEX('HS Codes'!$D$2:$K5047,MATCH($B2493,'HS Codes'!$A$2:$A5047,0),MATCH(G$1,'HS Codes'!$D$1:$K$1,0)),"")</f>
        <v/>
      </c>
      <c r="H2493" s="8" t="str">
        <f>_xlfn.IFNA(INDEX('HS Codes'!$D$2:$K5047,MATCH($B2493,'HS Codes'!$A$2:$A5047,0),MATCH(H$1,'HS Codes'!$D$1:$K$1,0)),"")</f>
        <v/>
      </c>
      <c r="I2493" s="8" t="str">
        <f>_xlfn.IFNA(INDEX('HS Codes'!$D$2:$K5047,MATCH($B2493,'HS Codes'!$A$2:$A5047,0),MATCH(I$1,'HS Codes'!$D$1:$K$1,0)),"")</f>
        <v/>
      </c>
      <c r="J2493" s="8" t="str">
        <f>_xlfn.IFNA(INDEX('HS Codes'!$D$2:$K5047,MATCH($B2493,'HS Codes'!$A$2:$A5047,0),MATCH(J$1,'HS Codes'!$D$1:$K$1,0)),"")</f>
        <v/>
      </c>
      <c r="K2493" s="8" t="str">
        <f>_xlfn.IFNA(INDEX('HS Codes'!$D$2:$K5047,MATCH($B2493,'HS Codes'!$A$2:$A5047,0),MATCH(K$1,'HS Codes'!$D$1:$K$1,0)),"")</f>
        <v/>
      </c>
      <c r="L2493" s="8" t="str">
        <f>_xlfn.IFNA(INDEX('HS Codes'!$D$2:$K5047,MATCH($B2493,'HS Codes'!$A$2:$A5047,0),MATCH(L$1,'HS Codes'!$D$1:$K$1,0)),"")</f>
        <v/>
      </c>
      <c r="M2493" s="8" t="str">
        <f>_xlfn.IFNA(INDEX('HS Codes'!$C$2:$C5047,MATCH($B2493,'HS Codes'!$A$2:$A5047,0)),"")</f>
        <v/>
      </c>
      <c r="N2493" s="9"/>
      <c r="O2493" s="9"/>
      <c r="P2493" s="9"/>
      <c r="Q2493" s="9"/>
    </row>
    <row r="2494" spans="1:17" ht="15.75" customHeight="1">
      <c r="A2494" s="7" t="s">
        <v>2786</v>
      </c>
      <c r="B2494" s="7"/>
      <c r="C2494" s="7"/>
      <c r="D2494" s="7"/>
      <c r="E2494" s="7"/>
      <c r="F2494" s="8" t="str">
        <f>_xlfn.IFNA(INDEX('HS Codes'!$D$2:$K5048,MATCH($B2494,'HS Codes'!$A$2:$A5048,0),MATCH(F$1,'HS Codes'!$D$1:$K$1,0)),"")</f>
        <v/>
      </c>
      <c r="G2494" s="8" t="str">
        <f>_xlfn.IFNA(INDEX('HS Codes'!$D$2:$K5048,MATCH($B2494,'HS Codes'!$A$2:$A5048,0),MATCH(G$1,'HS Codes'!$D$1:$K$1,0)),"")</f>
        <v/>
      </c>
      <c r="H2494" s="8" t="str">
        <f>_xlfn.IFNA(INDEX('HS Codes'!$D$2:$K5048,MATCH($B2494,'HS Codes'!$A$2:$A5048,0),MATCH(H$1,'HS Codes'!$D$1:$K$1,0)),"")</f>
        <v/>
      </c>
      <c r="I2494" s="8" t="str">
        <f>_xlfn.IFNA(INDEX('HS Codes'!$D$2:$K5048,MATCH($B2494,'HS Codes'!$A$2:$A5048,0),MATCH(I$1,'HS Codes'!$D$1:$K$1,0)),"")</f>
        <v/>
      </c>
      <c r="J2494" s="8" t="str">
        <f>_xlfn.IFNA(INDEX('HS Codes'!$D$2:$K5048,MATCH($B2494,'HS Codes'!$A$2:$A5048,0),MATCH(J$1,'HS Codes'!$D$1:$K$1,0)),"")</f>
        <v/>
      </c>
      <c r="K2494" s="8" t="str">
        <f>_xlfn.IFNA(INDEX('HS Codes'!$D$2:$K5048,MATCH($B2494,'HS Codes'!$A$2:$A5048,0),MATCH(K$1,'HS Codes'!$D$1:$K$1,0)),"")</f>
        <v/>
      </c>
      <c r="L2494" s="8" t="str">
        <f>_xlfn.IFNA(INDEX('HS Codes'!$D$2:$K5048,MATCH($B2494,'HS Codes'!$A$2:$A5048,0),MATCH(L$1,'HS Codes'!$D$1:$K$1,0)),"")</f>
        <v/>
      </c>
      <c r="M2494" s="8" t="str">
        <f>_xlfn.IFNA(INDEX('HS Codes'!$C$2:$C5048,MATCH($B2494,'HS Codes'!$A$2:$A5048,0)),"")</f>
        <v/>
      </c>
      <c r="N2494" s="9"/>
      <c r="O2494" s="9"/>
      <c r="P2494" s="9"/>
      <c r="Q2494" s="9"/>
    </row>
    <row r="2495" spans="1:17" ht="15.75" customHeight="1">
      <c r="A2495" s="7" t="s">
        <v>2787</v>
      </c>
      <c r="B2495" s="7"/>
      <c r="C2495" s="7"/>
      <c r="D2495" s="7"/>
      <c r="E2495" s="7"/>
      <c r="F2495" s="8" t="str">
        <f>_xlfn.IFNA(INDEX('HS Codes'!$D$2:$K5049,MATCH($B2495,'HS Codes'!$A$2:$A5049,0),MATCH(F$1,'HS Codes'!$D$1:$K$1,0)),"")</f>
        <v/>
      </c>
      <c r="G2495" s="8" t="str">
        <f>_xlfn.IFNA(INDEX('HS Codes'!$D$2:$K5049,MATCH($B2495,'HS Codes'!$A$2:$A5049,0),MATCH(G$1,'HS Codes'!$D$1:$K$1,0)),"")</f>
        <v/>
      </c>
      <c r="H2495" s="8" t="str">
        <f>_xlfn.IFNA(INDEX('HS Codes'!$D$2:$K5049,MATCH($B2495,'HS Codes'!$A$2:$A5049,0),MATCH(H$1,'HS Codes'!$D$1:$K$1,0)),"")</f>
        <v/>
      </c>
      <c r="I2495" s="8" t="str">
        <f>_xlfn.IFNA(INDEX('HS Codes'!$D$2:$K5049,MATCH($B2495,'HS Codes'!$A$2:$A5049,0),MATCH(I$1,'HS Codes'!$D$1:$K$1,0)),"")</f>
        <v/>
      </c>
      <c r="J2495" s="8" t="str">
        <f>_xlfn.IFNA(INDEX('HS Codes'!$D$2:$K5049,MATCH($B2495,'HS Codes'!$A$2:$A5049,0),MATCH(J$1,'HS Codes'!$D$1:$K$1,0)),"")</f>
        <v/>
      </c>
      <c r="K2495" s="8" t="str">
        <f>_xlfn.IFNA(INDEX('HS Codes'!$D$2:$K5049,MATCH($B2495,'HS Codes'!$A$2:$A5049,0),MATCH(K$1,'HS Codes'!$D$1:$K$1,0)),"")</f>
        <v/>
      </c>
      <c r="L2495" s="8" t="str">
        <f>_xlfn.IFNA(INDEX('HS Codes'!$D$2:$K5049,MATCH($B2495,'HS Codes'!$A$2:$A5049,0),MATCH(L$1,'HS Codes'!$D$1:$K$1,0)),"")</f>
        <v/>
      </c>
      <c r="M2495" s="8" t="str">
        <f>_xlfn.IFNA(INDEX('HS Codes'!$C$2:$C5049,MATCH($B2495,'HS Codes'!$A$2:$A5049,0)),"")</f>
        <v/>
      </c>
      <c r="N2495" s="9"/>
      <c r="O2495" s="9"/>
      <c r="P2495" s="9"/>
      <c r="Q2495" s="9"/>
    </row>
    <row r="2496" spans="1:17" ht="15.75" customHeight="1">
      <c r="A2496" s="7" t="s">
        <v>2788</v>
      </c>
      <c r="B2496" s="7"/>
      <c r="C2496" s="7"/>
      <c r="D2496" s="7"/>
      <c r="E2496" s="7"/>
      <c r="F2496" s="8" t="str">
        <f>_xlfn.IFNA(INDEX('HS Codes'!$D$2:$K5050,MATCH($B2496,'HS Codes'!$A$2:$A5050,0),MATCH(F$1,'HS Codes'!$D$1:$K$1,0)),"")</f>
        <v/>
      </c>
      <c r="G2496" s="8" t="str">
        <f>_xlfn.IFNA(INDEX('HS Codes'!$D$2:$K5050,MATCH($B2496,'HS Codes'!$A$2:$A5050,0),MATCH(G$1,'HS Codes'!$D$1:$K$1,0)),"")</f>
        <v/>
      </c>
      <c r="H2496" s="8" t="str">
        <f>_xlfn.IFNA(INDEX('HS Codes'!$D$2:$K5050,MATCH($B2496,'HS Codes'!$A$2:$A5050,0),MATCH(H$1,'HS Codes'!$D$1:$K$1,0)),"")</f>
        <v/>
      </c>
      <c r="I2496" s="8" t="str">
        <f>_xlfn.IFNA(INDEX('HS Codes'!$D$2:$K5050,MATCH($B2496,'HS Codes'!$A$2:$A5050,0),MATCH(I$1,'HS Codes'!$D$1:$K$1,0)),"")</f>
        <v/>
      </c>
      <c r="J2496" s="8" t="str">
        <f>_xlfn.IFNA(INDEX('HS Codes'!$D$2:$K5050,MATCH($B2496,'HS Codes'!$A$2:$A5050,0),MATCH(J$1,'HS Codes'!$D$1:$K$1,0)),"")</f>
        <v/>
      </c>
      <c r="K2496" s="8" t="str">
        <f>_xlfn.IFNA(INDEX('HS Codes'!$D$2:$K5050,MATCH($B2496,'HS Codes'!$A$2:$A5050,0),MATCH(K$1,'HS Codes'!$D$1:$K$1,0)),"")</f>
        <v/>
      </c>
      <c r="L2496" s="8" t="str">
        <f>_xlfn.IFNA(INDEX('HS Codes'!$D$2:$K5050,MATCH($B2496,'HS Codes'!$A$2:$A5050,0),MATCH(L$1,'HS Codes'!$D$1:$K$1,0)),"")</f>
        <v/>
      </c>
      <c r="M2496" s="8" t="str">
        <f>_xlfn.IFNA(INDEX('HS Codes'!$C$2:$C5050,MATCH($B2496,'HS Codes'!$A$2:$A5050,0)),"")</f>
        <v/>
      </c>
      <c r="N2496" s="9"/>
      <c r="O2496" s="9"/>
      <c r="P2496" s="9"/>
      <c r="Q2496" s="9"/>
    </row>
    <row r="2497" spans="1:17" ht="15.75" customHeight="1">
      <c r="A2497" s="7" t="s">
        <v>2789</v>
      </c>
      <c r="B2497" s="7" t="s">
        <v>260</v>
      </c>
      <c r="C2497" s="7"/>
      <c r="D2497" s="7" t="s">
        <v>261</v>
      </c>
      <c r="E2497" s="7" t="s">
        <v>523</v>
      </c>
      <c r="F2497" s="8" t="str">
        <f>_xlfn.IFNA(INDEX('HS Codes'!$D$2:$K5051,MATCH($B2497,'HS Codes'!$A$2:$A5051,0),MATCH(F$1,'HS Codes'!$D$1:$K$1,0)),"")</f>
        <v>4819.10.0040</v>
      </c>
      <c r="G2497" s="8">
        <f>_xlfn.IFNA(INDEX('HS Codes'!$D$2:$K5051,MATCH($B2497,'HS Codes'!$A$2:$A5051,0),MATCH(G$1,'HS Codes'!$D$1:$K$1,0)),"")</f>
        <v>4819100000</v>
      </c>
      <c r="H2497" s="8">
        <f>_xlfn.IFNA(INDEX('HS Codes'!$D$2:$K5051,MATCH($B2497,'HS Codes'!$A$2:$A5051,0),MATCH(H$1,'HS Codes'!$D$1:$K$1,0)),"")</f>
        <v>4819100000</v>
      </c>
      <c r="I2497" s="8">
        <f>_xlfn.IFNA(INDEX('HS Codes'!$D$2:$K5051,MATCH($B2497,'HS Codes'!$A$2:$A5051,0),MATCH(I$1,'HS Codes'!$D$1:$K$1,0)),"")</f>
        <v>48191000</v>
      </c>
      <c r="J2497" s="8">
        <f>_xlfn.IFNA(INDEX('HS Codes'!$D$2:$K5051,MATCH($B2497,'HS Codes'!$A$2:$A5051,0),MATCH(J$1,'HS Codes'!$D$1:$K$1,0)),"")</f>
        <v>0</v>
      </c>
      <c r="K2497" s="8" t="str">
        <f>_xlfn.IFNA(INDEX('HS Codes'!$D$2:$K5051,MATCH($B2497,'HS Codes'!$A$2:$A5051,0),MATCH(K$1,'HS Codes'!$D$1:$K$1,0)),"")</f>
        <v>4819.10.00</v>
      </c>
      <c r="L2497" s="8">
        <f>_xlfn.IFNA(INDEX('HS Codes'!$D$2:$K5051,MATCH($B2497,'HS Codes'!$A$2:$A5051,0),MATCH(L$1,'HS Codes'!$D$1:$K$1,0)),"")</f>
        <v>0</v>
      </c>
      <c r="M2497" s="8">
        <f>_xlfn.IFNA(INDEX('HS Codes'!$C$2:$C5051,MATCH($B2497,'HS Codes'!$A$2:$A5051,0)),"")</f>
        <v>0</v>
      </c>
      <c r="N2497" s="9"/>
      <c r="O2497" s="9"/>
      <c r="P2497" s="9"/>
      <c r="Q2497" s="9"/>
    </row>
    <row r="2498" spans="1:17" ht="15.75" customHeight="1">
      <c r="A2498" s="7" t="s">
        <v>2790</v>
      </c>
      <c r="B2498" s="7" t="s">
        <v>260</v>
      </c>
      <c r="C2498" s="7"/>
      <c r="D2498" s="7" t="s">
        <v>261</v>
      </c>
      <c r="E2498" s="7" t="s">
        <v>523</v>
      </c>
      <c r="F2498" s="8" t="str">
        <f>_xlfn.IFNA(INDEX('HS Codes'!$D$2:$K5052,MATCH($B2498,'HS Codes'!$A$2:$A5052,0),MATCH(F$1,'HS Codes'!$D$1:$K$1,0)),"")</f>
        <v>4819.10.0040</v>
      </c>
      <c r="G2498" s="8">
        <f>_xlfn.IFNA(INDEX('HS Codes'!$D$2:$K5052,MATCH($B2498,'HS Codes'!$A$2:$A5052,0),MATCH(G$1,'HS Codes'!$D$1:$K$1,0)),"")</f>
        <v>4819100000</v>
      </c>
      <c r="H2498" s="8">
        <f>_xlfn.IFNA(INDEX('HS Codes'!$D$2:$K5052,MATCH($B2498,'HS Codes'!$A$2:$A5052,0),MATCH(H$1,'HS Codes'!$D$1:$K$1,0)),"")</f>
        <v>4819100000</v>
      </c>
      <c r="I2498" s="8">
        <f>_xlfn.IFNA(INDEX('HS Codes'!$D$2:$K5052,MATCH($B2498,'HS Codes'!$A$2:$A5052,0),MATCH(I$1,'HS Codes'!$D$1:$K$1,0)),"")</f>
        <v>48191000</v>
      </c>
      <c r="J2498" s="8">
        <f>_xlfn.IFNA(INDEX('HS Codes'!$D$2:$K5052,MATCH($B2498,'HS Codes'!$A$2:$A5052,0),MATCH(J$1,'HS Codes'!$D$1:$K$1,0)),"")</f>
        <v>0</v>
      </c>
      <c r="K2498" s="8" t="str">
        <f>_xlfn.IFNA(INDEX('HS Codes'!$D$2:$K5052,MATCH($B2498,'HS Codes'!$A$2:$A5052,0),MATCH(K$1,'HS Codes'!$D$1:$K$1,0)),"")</f>
        <v>4819.10.00</v>
      </c>
      <c r="L2498" s="8">
        <f>_xlfn.IFNA(INDEX('HS Codes'!$D$2:$K5052,MATCH($B2498,'HS Codes'!$A$2:$A5052,0),MATCH(L$1,'HS Codes'!$D$1:$K$1,0)),"")</f>
        <v>0</v>
      </c>
      <c r="M2498" s="8">
        <f>_xlfn.IFNA(INDEX('HS Codes'!$C$2:$C5052,MATCH($B2498,'HS Codes'!$A$2:$A5052,0)),"")</f>
        <v>0</v>
      </c>
      <c r="N2498" s="9"/>
      <c r="O2498" s="9"/>
      <c r="P2498" s="9"/>
      <c r="Q2498" s="9"/>
    </row>
    <row r="2499" spans="1:17" ht="15.75" customHeight="1">
      <c r="A2499" s="7" t="s">
        <v>2791</v>
      </c>
      <c r="B2499" s="7" t="s">
        <v>260</v>
      </c>
      <c r="C2499" s="7"/>
      <c r="D2499" s="7" t="s">
        <v>261</v>
      </c>
      <c r="E2499" s="7" t="s">
        <v>523</v>
      </c>
      <c r="F2499" s="8" t="str">
        <f>_xlfn.IFNA(INDEX('HS Codes'!$D$2:$K5053,MATCH($B2499,'HS Codes'!$A$2:$A5053,0),MATCH(F$1,'HS Codes'!$D$1:$K$1,0)),"")</f>
        <v>4819.10.0040</v>
      </c>
      <c r="G2499" s="8">
        <f>_xlfn.IFNA(INDEX('HS Codes'!$D$2:$K5053,MATCH($B2499,'HS Codes'!$A$2:$A5053,0),MATCH(G$1,'HS Codes'!$D$1:$K$1,0)),"")</f>
        <v>4819100000</v>
      </c>
      <c r="H2499" s="8">
        <f>_xlfn.IFNA(INDEX('HS Codes'!$D$2:$K5053,MATCH($B2499,'HS Codes'!$A$2:$A5053,0),MATCH(H$1,'HS Codes'!$D$1:$K$1,0)),"")</f>
        <v>4819100000</v>
      </c>
      <c r="I2499" s="8">
        <f>_xlfn.IFNA(INDEX('HS Codes'!$D$2:$K5053,MATCH($B2499,'HS Codes'!$A$2:$A5053,0),MATCH(I$1,'HS Codes'!$D$1:$K$1,0)),"")</f>
        <v>48191000</v>
      </c>
      <c r="J2499" s="8">
        <f>_xlfn.IFNA(INDEX('HS Codes'!$D$2:$K5053,MATCH($B2499,'HS Codes'!$A$2:$A5053,0),MATCH(J$1,'HS Codes'!$D$1:$K$1,0)),"")</f>
        <v>0</v>
      </c>
      <c r="K2499" s="8" t="str">
        <f>_xlfn.IFNA(INDEX('HS Codes'!$D$2:$K5053,MATCH($B2499,'HS Codes'!$A$2:$A5053,0),MATCH(K$1,'HS Codes'!$D$1:$K$1,0)),"")</f>
        <v>4819.10.00</v>
      </c>
      <c r="L2499" s="8">
        <f>_xlfn.IFNA(INDEX('HS Codes'!$D$2:$K5053,MATCH($B2499,'HS Codes'!$A$2:$A5053,0),MATCH(L$1,'HS Codes'!$D$1:$K$1,0)),"")</f>
        <v>0</v>
      </c>
      <c r="M2499" s="8">
        <f>_xlfn.IFNA(INDEX('HS Codes'!$C$2:$C5053,MATCH($B2499,'HS Codes'!$A$2:$A5053,0)),"")</f>
        <v>0</v>
      </c>
      <c r="N2499" s="9"/>
      <c r="O2499" s="9"/>
      <c r="P2499" s="9"/>
      <c r="Q2499" s="9"/>
    </row>
    <row r="2500" spans="1:17" ht="15.75" customHeight="1">
      <c r="A2500" s="7" t="s">
        <v>2792</v>
      </c>
      <c r="B2500" s="7" t="s">
        <v>260</v>
      </c>
      <c r="C2500" s="7"/>
      <c r="D2500" s="7" t="s">
        <v>261</v>
      </c>
      <c r="E2500" s="7" t="s">
        <v>523</v>
      </c>
      <c r="F2500" s="8" t="str">
        <f>_xlfn.IFNA(INDEX('HS Codes'!$D$2:$K5054,MATCH($B2500,'HS Codes'!$A$2:$A5054,0),MATCH(F$1,'HS Codes'!$D$1:$K$1,0)),"")</f>
        <v>4819.10.0040</v>
      </c>
      <c r="G2500" s="8">
        <f>_xlfn.IFNA(INDEX('HS Codes'!$D$2:$K5054,MATCH($B2500,'HS Codes'!$A$2:$A5054,0),MATCH(G$1,'HS Codes'!$D$1:$K$1,0)),"")</f>
        <v>4819100000</v>
      </c>
      <c r="H2500" s="8">
        <f>_xlfn.IFNA(INDEX('HS Codes'!$D$2:$K5054,MATCH($B2500,'HS Codes'!$A$2:$A5054,0),MATCH(H$1,'HS Codes'!$D$1:$K$1,0)),"")</f>
        <v>4819100000</v>
      </c>
      <c r="I2500" s="8">
        <f>_xlfn.IFNA(INDEX('HS Codes'!$D$2:$K5054,MATCH($B2500,'HS Codes'!$A$2:$A5054,0),MATCH(I$1,'HS Codes'!$D$1:$K$1,0)),"")</f>
        <v>48191000</v>
      </c>
      <c r="J2500" s="8">
        <f>_xlfn.IFNA(INDEX('HS Codes'!$D$2:$K5054,MATCH($B2500,'HS Codes'!$A$2:$A5054,0),MATCH(J$1,'HS Codes'!$D$1:$K$1,0)),"")</f>
        <v>0</v>
      </c>
      <c r="K2500" s="8" t="str">
        <f>_xlfn.IFNA(INDEX('HS Codes'!$D$2:$K5054,MATCH($B2500,'HS Codes'!$A$2:$A5054,0),MATCH(K$1,'HS Codes'!$D$1:$K$1,0)),"")</f>
        <v>4819.10.00</v>
      </c>
      <c r="L2500" s="8">
        <f>_xlfn.IFNA(INDEX('HS Codes'!$D$2:$K5054,MATCH($B2500,'HS Codes'!$A$2:$A5054,0),MATCH(L$1,'HS Codes'!$D$1:$K$1,0)),"")</f>
        <v>0</v>
      </c>
      <c r="M2500" s="8">
        <f>_xlfn.IFNA(INDEX('HS Codes'!$C$2:$C5054,MATCH($B2500,'HS Codes'!$A$2:$A5054,0)),"")</f>
        <v>0</v>
      </c>
      <c r="N2500" s="9"/>
      <c r="O2500" s="9"/>
      <c r="P2500" s="9"/>
      <c r="Q2500" s="9"/>
    </row>
    <row r="2501" spans="1:17" ht="15.75" customHeight="1">
      <c r="A2501" s="7" t="s">
        <v>2793</v>
      </c>
      <c r="B2501" s="7" t="s">
        <v>260</v>
      </c>
      <c r="C2501" s="7"/>
      <c r="D2501" s="7" t="s">
        <v>261</v>
      </c>
      <c r="E2501" s="7" t="s">
        <v>523</v>
      </c>
      <c r="F2501" s="8" t="str">
        <f>_xlfn.IFNA(INDEX('HS Codes'!$D$2:$K5055,MATCH($B2501,'HS Codes'!$A$2:$A5055,0),MATCH(F$1,'HS Codes'!$D$1:$K$1,0)),"")</f>
        <v>4819.10.0040</v>
      </c>
      <c r="G2501" s="8">
        <f>_xlfn.IFNA(INDEX('HS Codes'!$D$2:$K5055,MATCH($B2501,'HS Codes'!$A$2:$A5055,0),MATCH(G$1,'HS Codes'!$D$1:$K$1,0)),"")</f>
        <v>4819100000</v>
      </c>
      <c r="H2501" s="8">
        <f>_xlfn.IFNA(INDEX('HS Codes'!$D$2:$K5055,MATCH($B2501,'HS Codes'!$A$2:$A5055,0),MATCH(H$1,'HS Codes'!$D$1:$K$1,0)),"")</f>
        <v>4819100000</v>
      </c>
      <c r="I2501" s="8">
        <f>_xlfn.IFNA(INDEX('HS Codes'!$D$2:$K5055,MATCH($B2501,'HS Codes'!$A$2:$A5055,0),MATCH(I$1,'HS Codes'!$D$1:$K$1,0)),"")</f>
        <v>48191000</v>
      </c>
      <c r="J2501" s="8">
        <f>_xlfn.IFNA(INDEX('HS Codes'!$D$2:$K5055,MATCH($B2501,'HS Codes'!$A$2:$A5055,0),MATCH(J$1,'HS Codes'!$D$1:$K$1,0)),"")</f>
        <v>0</v>
      </c>
      <c r="K2501" s="8" t="str">
        <f>_xlfn.IFNA(INDEX('HS Codes'!$D$2:$K5055,MATCH($B2501,'HS Codes'!$A$2:$A5055,0),MATCH(K$1,'HS Codes'!$D$1:$K$1,0)),"")</f>
        <v>4819.10.00</v>
      </c>
      <c r="L2501" s="8">
        <f>_xlfn.IFNA(INDEX('HS Codes'!$D$2:$K5055,MATCH($B2501,'HS Codes'!$A$2:$A5055,0),MATCH(L$1,'HS Codes'!$D$1:$K$1,0)),"")</f>
        <v>0</v>
      </c>
      <c r="M2501" s="8">
        <f>_xlfn.IFNA(INDEX('HS Codes'!$C$2:$C5055,MATCH($B2501,'HS Codes'!$A$2:$A5055,0)),"")</f>
        <v>0</v>
      </c>
      <c r="N2501" s="9"/>
      <c r="O2501" s="9"/>
      <c r="P2501" s="9"/>
      <c r="Q2501" s="9"/>
    </row>
    <row r="2502" spans="1:17" ht="15.75" customHeight="1">
      <c r="A2502" s="7" t="s">
        <v>2794</v>
      </c>
      <c r="B2502" s="7" t="s">
        <v>260</v>
      </c>
      <c r="C2502" s="7"/>
      <c r="D2502" s="7" t="s">
        <v>261</v>
      </c>
      <c r="E2502" s="7" t="s">
        <v>523</v>
      </c>
      <c r="F2502" s="8" t="str">
        <f>_xlfn.IFNA(INDEX('HS Codes'!$D$2:$K5056,MATCH($B2502,'HS Codes'!$A$2:$A5056,0),MATCH(F$1,'HS Codes'!$D$1:$K$1,0)),"")</f>
        <v>4819.10.0040</v>
      </c>
      <c r="G2502" s="8">
        <f>_xlfn.IFNA(INDEX('HS Codes'!$D$2:$K5056,MATCH($B2502,'HS Codes'!$A$2:$A5056,0),MATCH(G$1,'HS Codes'!$D$1:$K$1,0)),"")</f>
        <v>4819100000</v>
      </c>
      <c r="H2502" s="8">
        <f>_xlfn.IFNA(INDEX('HS Codes'!$D$2:$K5056,MATCH($B2502,'HS Codes'!$A$2:$A5056,0),MATCH(H$1,'HS Codes'!$D$1:$K$1,0)),"")</f>
        <v>4819100000</v>
      </c>
      <c r="I2502" s="8">
        <f>_xlfn.IFNA(INDEX('HS Codes'!$D$2:$K5056,MATCH($B2502,'HS Codes'!$A$2:$A5056,0),MATCH(I$1,'HS Codes'!$D$1:$K$1,0)),"")</f>
        <v>48191000</v>
      </c>
      <c r="J2502" s="8">
        <f>_xlfn.IFNA(INDEX('HS Codes'!$D$2:$K5056,MATCH($B2502,'HS Codes'!$A$2:$A5056,0),MATCH(J$1,'HS Codes'!$D$1:$K$1,0)),"")</f>
        <v>0</v>
      </c>
      <c r="K2502" s="8" t="str">
        <f>_xlfn.IFNA(INDEX('HS Codes'!$D$2:$K5056,MATCH($B2502,'HS Codes'!$A$2:$A5056,0),MATCH(K$1,'HS Codes'!$D$1:$K$1,0)),"")</f>
        <v>4819.10.00</v>
      </c>
      <c r="L2502" s="8">
        <f>_xlfn.IFNA(INDEX('HS Codes'!$D$2:$K5056,MATCH($B2502,'HS Codes'!$A$2:$A5056,0),MATCH(L$1,'HS Codes'!$D$1:$K$1,0)),"")</f>
        <v>0</v>
      </c>
      <c r="M2502" s="8">
        <f>_xlfn.IFNA(INDEX('HS Codes'!$C$2:$C5056,MATCH($B2502,'HS Codes'!$A$2:$A5056,0)),"")</f>
        <v>0</v>
      </c>
      <c r="N2502" s="9"/>
      <c r="O2502" s="9"/>
      <c r="P2502" s="9"/>
      <c r="Q2502" s="9"/>
    </row>
    <row r="2503" spans="1:17" ht="15.75" customHeight="1">
      <c r="A2503" s="7" t="s">
        <v>2795</v>
      </c>
      <c r="B2503" s="7" t="s">
        <v>260</v>
      </c>
      <c r="C2503" s="7"/>
      <c r="D2503" s="7" t="s">
        <v>261</v>
      </c>
      <c r="E2503" s="7" t="s">
        <v>523</v>
      </c>
      <c r="F2503" s="8" t="str">
        <f>_xlfn.IFNA(INDEX('HS Codes'!$D$2:$K5057,MATCH($B2503,'HS Codes'!$A$2:$A5057,0),MATCH(F$1,'HS Codes'!$D$1:$K$1,0)),"")</f>
        <v>4819.10.0040</v>
      </c>
      <c r="G2503" s="8">
        <f>_xlfn.IFNA(INDEX('HS Codes'!$D$2:$K5057,MATCH($B2503,'HS Codes'!$A$2:$A5057,0),MATCH(G$1,'HS Codes'!$D$1:$K$1,0)),"")</f>
        <v>4819100000</v>
      </c>
      <c r="H2503" s="8">
        <f>_xlfn.IFNA(INDEX('HS Codes'!$D$2:$K5057,MATCH($B2503,'HS Codes'!$A$2:$A5057,0),MATCH(H$1,'HS Codes'!$D$1:$K$1,0)),"")</f>
        <v>4819100000</v>
      </c>
      <c r="I2503" s="8">
        <f>_xlfn.IFNA(INDEX('HS Codes'!$D$2:$K5057,MATCH($B2503,'HS Codes'!$A$2:$A5057,0),MATCH(I$1,'HS Codes'!$D$1:$K$1,0)),"")</f>
        <v>48191000</v>
      </c>
      <c r="J2503" s="8">
        <f>_xlfn.IFNA(INDEX('HS Codes'!$D$2:$K5057,MATCH($B2503,'HS Codes'!$A$2:$A5057,0),MATCH(J$1,'HS Codes'!$D$1:$K$1,0)),"")</f>
        <v>0</v>
      </c>
      <c r="K2503" s="8" t="str">
        <f>_xlfn.IFNA(INDEX('HS Codes'!$D$2:$K5057,MATCH($B2503,'HS Codes'!$A$2:$A5057,0),MATCH(K$1,'HS Codes'!$D$1:$K$1,0)),"")</f>
        <v>4819.10.00</v>
      </c>
      <c r="L2503" s="8">
        <f>_xlfn.IFNA(INDEX('HS Codes'!$D$2:$K5057,MATCH($B2503,'HS Codes'!$A$2:$A5057,0),MATCH(L$1,'HS Codes'!$D$1:$K$1,0)),"")</f>
        <v>0</v>
      </c>
      <c r="M2503" s="8">
        <f>_xlfn.IFNA(INDEX('HS Codes'!$C$2:$C5057,MATCH($B2503,'HS Codes'!$A$2:$A5057,0)),"")</f>
        <v>0</v>
      </c>
      <c r="N2503" s="9"/>
      <c r="O2503" s="9"/>
      <c r="P2503" s="9"/>
      <c r="Q2503" s="9"/>
    </row>
    <row r="2504" spans="1:17" ht="15.75" customHeight="1">
      <c r="A2504" s="7" t="s">
        <v>2796</v>
      </c>
      <c r="B2504" s="7" t="s">
        <v>260</v>
      </c>
      <c r="C2504" s="7"/>
      <c r="D2504" s="7" t="s">
        <v>261</v>
      </c>
      <c r="E2504" s="7" t="s">
        <v>523</v>
      </c>
      <c r="F2504" s="8" t="str">
        <f>_xlfn.IFNA(INDEX('HS Codes'!$D$2:$K5058,MATCH($B2504,'HS Codes'!$A$2:$A5058,0),MATCH(F$1,'HS Codes'!$D$1:$K$1,0)),"")</f>
        <v>4819.10.0040</v>
      </c>
      <c r="G2504" s="8">
        <f>_xlfn.IFNA(INDEX('HS Codes'!$D$2:$K5058,MATCH($B2504,'HS Codes'!$A$2:$A5058,0),MATCH(G$1,'HS Codes'!$D$1:$K$1,0)),"")</f>
        <v>4819100000</v>
      </c>
      <c r="H2504" s="8">
        <f>_xlfn.IFNA(INDEX('HS Codes'!$D$2:$K5058,MATCH($B2504,'HS Codes'!$A$2:$A5058,0),MATCH(H$1,'HS Codes'!$D$1:$K$1,0)),"")</f>
        <v>4819100000</v>
      </c>
      <c r="I2504" s="8">
        <f>_xlfn.IFNA(INDEX('HS Codes'!$D$2:$K5058,MATCH($B2504,'HS Codes'!$A$2:$A5058,0),MATCH(I$1,'HS Codes'!$D$1:$K$1,0)),"")</f>
        <v>48191000</v>
      </c>
      <c r="J2504" s="8">
        <f>_xlfn.IFNA(INDEX('HS Codes'!$D$2:$K5058,MATCH($B2504,'HS Codes'!$A$2:$A5058,0),MATCH(J$1,'HS Codes'!$D$1:$K$1,0)),"")</f>
        <v>0</v>
      </c>
      <c r="K2504" s="8" t="str">
        <f>_xlfn.IFNA(INDEX('HS Codes'!$D$2:$K5058,MATCH($B2504,'HS Codes'!$A$2:$A5058,0),MATCH(K$1,'HS Codes'!$D$1:$K$1,0)),"")</f>
        <v>4819.10.00</v>
      </c>
      <c r="L2504" s="8">
        <f>_xlfn.IFNA(INDEX('HS Codes'!$D$2:$K5058,MATCH($B2504,'HS Codes'!$A$2:$A5058,0),MATCH(L$1,'HS Codes'!$D$1:$K$1,0)),"")</f>
        <v>0</v>
      </c>
      <c r="M2504" s="8">
        <f>_xlfn.IFNA(INDEX('HS Codes'!$C$2:$C5058,MATCH($B2504,'HS Codes'!$A$2:$A5058,0)),"")</f>
        <v>0</v>
      </c>
      <c r="N2504" s="9"/>
      <c r="O2504" s="9"/>
      <c r="P2504" s="9"/>
      <c r="Q2504" s="9"/>
    </row>
    <row r="2505" spans="1:17" ht="15.75" customHeight="1">
      <c r="A2505" s="7" t="s">
        <v>2797</v>
      </c>
      <c r="B2505" s="7"/>
      <c r="C2505" s="7"/>
      <c r="D2505" s="7"/>
      <c r="E2505" s="7"/>
      <c r="F2505" s="8" t="str">
        <f>_xlfn.IFNA(INDEX('HS Codes'!$D$2:$K5059,MATCH($B2505,'HS Codes'!$A$2:$A5059,0),MATCH(F$1,'HS Codes'!$D$1:$K$1,0)),"")</f>
        <v/>
      </c>
      <c r="G2505" s="8" t="str">
        <f>_xlfn.IFNA(INDEX('HS Codes'!$D$2:$K5059,MATCH($B2505,'HS Codes'!$A$2:$A5059,0),MATCH(G$1,'HS Codes'!$D$1:$K$1,0)),"")</f>
        <v/>
      </c>
      <c r="H2505" s="8" t="str">
        <f>_xlfn.IFNA(INDEX('HS Codes'!$D$2:$K5059,MATCH($B2505,'HS Codes'!$A$2:$A5059,0),MATCH(H$1,'HS Codes'!$D$1:$K$1,0)),"")</f>
        <v/>
      </c>
      <c r="I2505" s="8" t="str">
        <f>_xlfn.IFNA(INDEX('HS Codes'!$D$2:$K5059,MATCH($B2505,'HS Codes'!$A$2:$A5059,0),MATCH(I$1,'HS Codes'!$D$1:$K$1,0)),"")</f>
        <v/>
      </c>
      <c r="J2505" s="8" t="str">
        <f>_xlfn.IFNA(INDEX('HS Codes'!$D$2:$K5059,MATCH($B2505,'HS Codes'!$A$2:$A5059,0),MATCH(J$1,'HS Codes'!$D$1:$K$1,0)),"")</f>
        <v/>
      </c>
      <c r="K2505" s="8" t="str">
        <f>_xlfn.IFNA(INDEX('HS Codes'!$D$2:$K5059,MATCH($B2505,'HS Codes'!$A$2:$A5059,0),MATCH(K$1,'HS Codes'!$D$1:$K$1,0)),"")</f>
        <v/>
      </c>
      <c r="L2505" s="8" t="str">
        <f>_xlfn.IFNA(INDEX('HS Codes'!$D$2:$K5059,MATCH($B2505,'HS Codes'!$A$2:$A5059,0),MATCH(L$1,'HS Codes'!$D$1:$K$1,0)),"")</f>
        <v/>
      </c>
      <c r="M2505" s="8" t="str">
        <f>_xlfn.IFNA(INDEX('HS Codes'!$C$2:$C5059,MATCH($B2505,'HS Codes'!$A$2:$A5059,0)),"")</f>
        <v/>
      </c>
      <c r="N2505" s="9"/>
      <c r="O2505" s="9"/>
      <c r="P2505" s="9"/>
      <c r="Q2505" s="9"/>
    </row>
    <row r="2506" spans="1:17" ht="15.75" customHeight="1">
      <c r="A2506" s="7" t="s">
        <v>2798</v>
      </c>
      <c r="B2506" s="7" t="s">
        <v>164</v>
      </c>
      <c r="C2506" s="7" t="s">
        <v>278</v>
      </c>
      <c r="D2506" s="7" t="s">
        <v>165</v>
      </c>
      <c r="E2506" s="7" t="s">
        <v>348</v>
      </c>
      <c r="F2506" s="8" t="str">
        <f>_xlfn.IFNA(INDEX('HS Codes'!$D$2:$K5060,MATCH($B2506,'HS Codes'!$A$2:$A5060,0),MATCH(F$1,'HS Codes'!$D$1:$K$1,0)),"")</f>
        <v>6302.93.2000</v>
      </c>
      <c r="G2506" s="8">
        <f>_xlfn.IFNA(INDEX('HS Codes'!$D$2:$K5060,MATCH($B2506,'HS Codes'!$A$2:$A5060,0),MATCH(G$1,'HS Codes'!$D$1:$K$1,0)),"")</f>
        <v>6302600090</v>
      </c>
      <c r="H2506" s="8" t="str">
        <f>_xlfn.IFNA(INDEX('HS Codes'!$D$2:$K5060,MATCH($B2506,'HS Codes'!$A$2:$A5060,0),MATCH(H$1,'HS Codes'!$D$1:$K$1,0)),"")</f>
        <v>6302.93.00.00</v>
      </c>
      <c r="I2506" s="8">
        <f>_xlfn.IFNA(INDEX('HS Codes'!$D$2:$K5060,MATCH($B2506,'HS Codes'!$A$2:$A5060,0),MATCH(I$1,'HS Codes'!$D$1:$K$1,0)),"")</f>
        <v>63029390</v>
      </c>
      <c r="J2506" s="8">
        <f>_xlfn.IFNA(INDEX('HS Codes'!$D$2:$K5060,MATCH($B2506,'HS Codes'!$A$2:$A5060,0),MATCH(J$1,'HS Codes'!$D$1:$K$1,0)),"")</f>
        <v>0</v>
      </c>
      <c r="K2506" s="8" t="str">
        <f>_xlfn.IFNA(INDEX('HS Codes'!$D$2:$K5060,MATCH($B2506,'HS Codes'!$A$2:$A5060,0),MATCH(K$1,'HS Codes'!$D$1:$K$1,0)),"")</f>
        <v>6302.39.00</v>
      </c>
      <c r="L2506" s="8">
        <f>_xlfn.IFNA(INDEX('HS Codes'!$D$2:$K5060,MATCH($B2506,'HS Codes'!$A$2:$A5060,0),MATCH(L$1,'HS Codes'!$D$1:$K$1,0)),"")</f>
        <v>63029120</v>
      </c>
      <c r="M2506" s="8" t="str">
        <f>_xlfn.IFNA(INDEX('HS Codes'!$C$2:$C5060,MATCH($B2506,'HS Codes'!$A$2:$A5060,0)),"")</f>
        <v>Beach Towel - Toilet Linen 100% recycled 220 GSM/83% polyester/17% polyamide includes cotton on the packing pouch drawstring</v>
      </c>
      <c r="N2506" s="9"/>
      <c r="O2506" s="9"/>
      <c r="P2506" s="9"/>
      <c r="Q2506" s="9"/>
    </row>
    <row r="2507" spans="1:17" ht="15.75" customHeight="1">
      <c r="A2507" s="7" t="s">
        <v>2799</v>
      </c>
      <c r="B2507" s="7" t="s">
        <v>164</v>
      </c>
      <c r="C2507" s="7" t="s">
        <v>278</v>
      </c>
      <c r="D2507" s="7" t="s">
        <v>165</v>
      </c>
      <c r="E2507" s="7" t="s">
        <v>348</v>
      </c>
      <c r="F2507" s="8" t="str">
        <f>_xlfn.IFNA(INDEX('HS Codes'!$D$2:$K5061,MATCH($B2507,'HS Codes'!$A$2:$A5061,0),MATCH(F$1,'HS Codes'!$D$1:$K$1,0)),"")</f>
        <v>6302.93.2000</v>
      </c>
      <c r="G2507" s="8">
        <f>_xlfn.IFNA(INDEX('HS Codes'!$D$2:$K5061,MATCH($B2507,'HS Codes'!$A$2:$A5061,0),MATCH(G$1,'HS Codes'!$D$1:$K$1,0)),"")</f>
        <v>6302600090</v>
      </c>
      <c r="H2507" s="8" t="str">
        <f>_xlfn.IFNA(INDEX('HS Codes'!$D$2:$K5061,MATCH($B2507,'HS Codes'!$A$2:$A5061,0),MATCH(H$1,'HS Codes'!$D$1:$K$1,0)),"")</f>
        <v>6302.93.00.00</v>
      </c>
      <c r="I2507" s="8">
        <f>_xlfn.IFNA(INDEX('HS Codes'!$D$2:$K5061,MATCH($B2507,'HS Codes'!$A$2:$A5061,0),MATCH(I$1,'HS Codes'!$D$1:$K$1,0)),"")</f>
        <v>63029390</v>
      </c>
      <c r="J2507" s="8">
        <f>_xlfn.IFNA(INDEX('HS Codes'!$D$2:$K5061,MATCH($B2507,'HS Codes'!$A$2:$A5061,0),MATCH(J$1,'HS Codes'!$D$1:$K$1,0)),"")</f>
        <v>0</v>
      </c>
      <c r="K2507" s="8" t="str">
        <f>_xlfn.IFNA(INDEX('HS Codes'!$D$2:$K5061,MATCH($B2507,'HS Codes'!$A$2:$A5061,0),MATCH(K$1,'HS Codes'!$D$1:$K$1,0)),"")</f>
        <v>6302.39.00</v>
      </c>
      <c r="L2507" s="8">
        <f>_xlfn.IFNA(INDEX('HS Codes'!$D$2:$K5061,MATCH($B2507,'HS Codes'!$A$2:$A5061,0),MATCH(L$1,'HS Codes'!$D$1:$K$1,0)),"")</f>
        <v>63029120</v>
      </c>
      <c r="M2507" s="8" t="str">
        <f>_xlfn.IFNA(INDEX('HS Codes'!$C$2:$C5061,MATCH($B2507,'HS Codes'!$A$2:$A5061,0)),"")</f>
        <v>Beach Towel - Toilet Linen 100% recycled 220 GSM/83% polyester/17% polyamide includes cotton on the packing pouch drawstring</v>
      </c>
      <c r="N2507" s="9"/>
      <c r="O2507" s="9"/>
      <c r="P2507" s="9"/>
      <c r="Q2507" s="9"/>
    </row>
    <row r="2508" spans="1:17" ht="15.75" customHeight="1">
      <c r="A2508" s="7" t="s">
        <v>2800</v>
      </c>
      <c r="B2508" s="7" t="s">
        <v>164</v>
      </c>
      <c r="C2508" s="7" t="s">
        <v>278</v>
      </c>
      <c r="D2508" s="7" t="s">
        <v>165</v>
      </c>
      <c r="E2508" s="7" t="s">
        <v>348</v>
      </c>
      <c r="F2508" s="8" t="str">
        <f>_xlfn.IFNA(INDEX('HS Codes'!$D$2:$K5062,MATCH($B2508,'HS Codes'!$A$2:$A5062,0),MATCH(F$1,'HS Codes'!$D$1:$K$1,0)),"")</f>
        <v>6302.93.2000</v>
      </c>
      <c r="G2508" s="8">
        <f>_xlfn.IFNA(INDEX('HS Codes'!$D$2:$K5062,MATCH($B2508,'HS Codes'!$A$2:$A5062,0),MATCH(G$1,'HS Codes'!$D$1:$K$1,0)),"")</f>
        <v>6302600090</v>
      </c>
      <c r="H2508" s="8" t="str">
        <f>_xlfn.IFNA(INDEX('HS Codes'!$D$2:$K5062,MATCH($B2508,'HS Codes'!$A$2:$A5062,0),MATCH(H$1,'HS Codes'!$D$1:$K$1,0)),"")</f>
        <v>6302.93.00.00</v>
      </c>
      <c r="I2508" s="8">
        <f>_xlfn.IFNA(INDEX('HS Codes'!$D$2:$K5062,MATCH($B2508,'HS Codes'!$A$2:$A5062,0),MATCH(I$1,'HS Codes'!$D$1:$K$1,0)),"")</f>
        <v>63029390</v>
      </c>
      <c r="J2508" s="8">
        <f>_xlfn.IFNA(INDEX('HS Codes'!$D$2:$K5062,MATCH($B2508,'HS Codes'!$A$2:$A5062,0),MATCH(J$1,'HS Codes'!$D$1:$K$1,0)),"")</f>
        <v>0</v>
      </c>
      <c r="K2508" s="8" t="str">
        <f>_xlfn.IFNA(INDEX('HS Codes'!$D$2:$K5062,MATCH($B2508,'HS Codes'!$A$2:$A5062,0),MATCH(K$1,'HS Codes'!$D$1:$K$1,0)),"")</f>
        <v>6302.39.00</v>
      </c>
      <c r="L2508" s="8">
        <f>_xlfn.IFNA(INDEX('HS Codes'!$D$2:$K5062,MATCH($B2508,'HS Codes'!$A$2:$A5062,0),MATCH(L$1,'HS Codes'!$D$1:$K$1,0)),"")</f>
        <v>63029120</v>
      </c>
      <c r="M2508" s="8" t="str">
        <f>_xlfn.IFNA(INDEX('HS Codes'!$C$2:$C5062,MATCH($B2508,'HS Codes'!$A$2:$A5062,0)),"")</f>
        <v>Beach Towel - Toilet Linen 100% recycled 220 GSM/83% polyester/17% polyamide includes cotton on the packing pouch drawstring</v>
      </c>
      <c r="N2508" s="9"/>
      <c r="O2508" s="9"/>
      <c r="P2508" s="9"/>
      <c r="Q2508" s="9"/>
    </row>
    <row r="2509" spans="1:17" ht="15.75" customHeight="1">
      <c r="A2509" s="7" t="s">
        <v>2801</v>
      </c>
      <c r="B2509" s="7" t="s">
        <v>164</v>
      </c>
      <c r="C2509" s="7" t="s">
        <v>278</v>
      </c>
      <c r="D2509" s="7" t="s">
        <v>165</v>
      </c>
      <c r="E2509" s="7" t="s">
        <v>348</v>
      </c>
      <c r="F2509" s="8" t="str">
        <f>_xlfn.IFNA(INDEX('HS Codes'!$D$2:$K5063,MATCH($B2509,'HS Codes'!$A$2:$A5063,0),MATCH(F$1,'HS Codes'!$D$1:$K$1,0)),"")</f>
        <v>6302.93.2000</v>
      </c>
      <c r="G2509" s="8">
        <f>_xlfn.IFNA(INDEX('HS Codes'!$D$2:$K5063,MATCH($B2509,'HS Codes'!$A$2:$A5063,0),MATCH(G$1,'HS Codes'!$D$1:$K$1,0)),"")</f>
        <v>6302600090</v>
      </c>
      <c r="H2509" s="8" t="str">
        <f>_xlfn.IFNA(INDEX('HS Codes'!$D$2:$K5063,MATCH($B2509,'HS Codes'!$A$2:$A5063,0),MATCH(H$1,'HS Codes'!$D$1:$K$1,0)),"")</f>
        <v>6302.93.00.00</v>
      </c>
      <c r="I2509" s="8">
        <f>_xlfn.IFNA(INDEX('HS Codes'!$D$2:$K5063,MATCH($B2509,'HS Codes'!$A$2:$A5063,0),MATCH(I$1,'HS Codes'!$D$1:$K$1,0)),"")</f>
        <v>63029390</v>
      </c>
      <c r="J2509" s="8">
        <f>_xlfn.IFNA(INDEX('HS Codes'!$D$2:$K5063,MATCH($B2509,'HS Codes'!$A$2:$A5063,0),MATCH(J$1,'HS Codes'!$D$1:$K$1,0)),"")</f>
        <v>0</v>
      </c>
      <c r="K2509" s="8" t="str">
        <f>_xlfn.IFNA(INDEX('HS Codes'!$D$2:$K5063,MATCH($B2509,'HS Codes'!$A$2:$A5063,0),MATCH(K$1,'HS Codes'!$D$1:$K$1,0)),"")</f>
        <v>6302.39.00</v>
      </c>
      <c r="L2509" s="8">
        <f>_xlfn.IFNA(INDEX('HS Codes'!$D$2:$K5063,MATCH($B2509,'HS Codes'!$A$2:$A5063,0),MATCH(L$1,'HS Codes'!$D$1:$K$1,0)),"")</f>
        <v>63029120</v>
      </c>
      <c r="M2509" s="8" t="str">
        <f>_xlfn.IFNA(INDEX('HS Codes'!$C$2:$C5063,MATCH($B2509,'HS Codes'!$A$2:$A5063,0)),"")</f>
        <v>Beach Towel - Toilet Linen 100% recycled 220 GSM/83% polyester/17% polyamide includes cotton on the packing pouch drawstring</v>
      </c>
      <c r="N2509" s="9"/>
      <c r="O2509" s="9"/>
      <c r="P2509" s="9"/>
      <c r="Q2509" s="9"/>
    </row>
    <row r="2510" spans="1:17" ht="15.75" customHeight="1">
      <c r="A2510" s="7" t="s">
        <v>2802</v>
      </c>
      <c r="B2510" s="7" t="s">
        <v>164</v>
      </c>
      <c r="C2510" s="7" t="s">
        <v>278</v>
      </c>
      <c r="D2510" s="7" t="s">
        <v>165</v>
      </c>
      <c r="E2510" s="7" t="s">
        <v>348</v>
      </c>
      <c r="F2510" s="8" t="str">
        <f>_xlfn.IFNA(INDEX('HS Codes'!$D$2:$K5064,MATCH($B2510,'HS Codes'!$A$2:$A5064,0),MATCH(F$1,'HS Codes'!$D$1:$K$1,0)),"")</f>
        <v>6302.93.2000</v>
      </c>
      <c r="G2510" s="8">
        <f>_xlfn.IFNA(INDEX('HS Codes'!$D$2:$K5064,MATCH($B2510,'HS Codes'!$A$2:$A5064,0),MATCH(G$1,'HS Codes'!$D$1:$K$1,0)),"")</f>
        <v>6302600090</v>
      </c>
      <c r="H2510" s="8" t="str">
        <f>_xlfn.IFNA(INDEX('HS Codes'!$D$2:$K5064,MATCH($B2510,'HS Codes'!$A$2:$A5064,0),MATCH(H$1,'HS Codes'!$D$1:$K$1,0)),"")</f>
        <v>6302.93.00.00</v>
      </c>
      <c r="I2510" s="8">
        <f>_xlfn.IFNA(INDEX('HS Codes'!$D$2:$K5064,MATCH($B2510,'HS Codes'!$A$2:$A5064,0),MATCH(I$1,'HS Codes'!$D$1:$K$1,0)),"")</f>
        <v>63029390</v>
      </c>
      <c r="J2510" s="8">
        <f>_xlfn.IFNA(INDEX('HS Codes'!$D$2:$K5064,MATCH($B2510,'HS Codes'!$A$2:$A5064,0),MATCH(J$1,'HS Codes'!$D$1:$K$1,0)),"")</f>
        <v>0</v>
      </c>
      <c r="K2510" s="8" t="str">
        <f>_xlfn.IFNA(INDEX('HS Codes'!$D$2:$K5064,MATCH($B2510,'HS Codes'!$A$2:$A5064,0),MATCH(K$1,'HS Codes'!$D$1:$K$1,0)),"")</f>
        <v>6302.39.00</v>
      </c>
      <c r="L2510" s="8">
        <f>_xlfn.IFNA(INDEX('HS Codes'!$D$2:$K5064,MATCH($B2510,'HS Codes'!$A$2:$A5064,0),MATCH(L$1,'HS Codes'!$D$1:$K$1,0)),"")</f>
        <v>63029120</v>
      </c>
      <c r="M2510" s="8" t="str">
        <f>_xlfn.IFNA(INDEX('HS Codes'!$C$2:$C5064,MATCH($B2510,'HS Codes'!$A$2:$A5064,0)),"")</f>
        <v>Beach Towel - Toilet Linen 100% recycled 220 GSM/83% polyester/17% polyamide includes cotton on the packing pouch drawstring</v>
      </c>
      <c r="N2510" s="9"/>
      <c r="O2510" s="9"/>
      <c r="P2510" s="9"/>
      <c r="Q2510" s="9"/>
    </row>
    <row r="2511" spans="1:17" ht="15.75" customHeight="1">
      <c r="A2511" s="7" t="s">
        <v>2803</v>
      </c>
      <c r="B2511" s="7" t="s">
        <v>164</v>
      </c>
      <c r="C2511" s="7" t="s">
        <v>278</v>
      </c>
      <c r="D2511" s="7" t="s">
        <v>165</v>
      </c>
      <c r="E2511" s="7" t="s">
        <v>348</v>
      </c>
      <c r="F2511" s="8" t="str">
        <f>_xlfn.IFNA(INDEX('HS Codes'!$D$2:$K5065,MATCH($B2511,'HS Codes'!$A$2:$A5065,0),MATCH(F$1,'HS Codes'!$D$1:$K$1,0)),"")</f>
        <v>6302.93.2000</v>
      </c>
      <c r="G2511" s="8">
        <f>_xlfn.IFNA(INDEX('HS Codes'!$D$2:$K5065,MATCH($B2511,'HS Codes'!$A$2:$A5065,0),MATCH(G$1,'HS Codes'!$D$1:$K$1,0)),"")</f>
        <v>6302600090</v>
      </c>
      <c r="H2511" s="8" t="str">
        <f>_xlfn.IFNA(INDEX('HS Codes'!$D$2:$K5065,MATCH($B2511,'HS Codes'!$A$2:$A5065,0),MATCH(H$1,'HS Codes'!$D$1:$K$1,0)),"")</f>
        <v>6302.93.00.00</v>
      </c>
      <c r="I2511" s="8">
        <f>_xlfn.IFNA(INDEX('HS Codes'!$D$2:$K5065,MATCH($B2511,'HS Codes'!$A$2:$A5065,0),MATCH(I$1,'HS Codes'!$D$1:$K$1,0)),"")</f>
        <v>63029390</v>
      </c>
      <c r="J2511" s="8">
        <f>_xlfn.IFNA(INDEX('HS Codes'!$D$2:$K5065,MATCH($B2511,'HS Codes'!$A$2:$A5065,0),MATCH(J$1,'HS Codes'!$D$1:$K$1,0)),"")</f>
        <v>0</v>
      </c>
      <c r="K2511" s="8" t="str">
        <f>_xlfn.IFNA(INDEX('HS Codes'!$D$2:$K5065,MATCH($B2511,'HS Codes'!$A$2:$A5065,0),MATCH(K$1,'HS Codes'!$D$1:$K$1,0)),"")</f>
        <v>6302.39.00</v>
      </c>
      <c r="L2511" s="8">
        <f>_xlfn.IFNA(INDEX('HS Codes'!$D$2:$K5065,MATCH($B2511,'HS Codes'!$A$2:$A5065,0),MATCH(L$1,'HS Codes'!$D$1:$K$1,0)),"")</f>
        <v>63029120</v>
      </c>
      <c r="M2511" s="8" t="str">
        <f>_xlfn.IFNA(INDEX('HS Codes'!$C$2:$C5065,MATCH($B2511,'HS Codes'!$A$2:$A5065,0)),"")</f>
        <v>Beach Towel - Toilet Linen 100% recycled 220 GSM/83% polyester/17% polyamide includes cotton on the packing pouch drawstring</v>
      </c>
      <c r="N2511" s="9"/>
      <c r="O2511" s="9"/>
      <c r="P2511" s="9"/>
      <c r="Q2511" s="9"/>
    </row>
    <row r="2512" spans="1:17" ht="15.75" customHeight="1">
      <c r="A2512" s="7" t="s">
        <v>2804</v>
      </c>
      <c r="B2512" s="7" t="s">
        <v>164</v>
      </c>
      <c r="C2512" s="7" t="s">
        <v>278</v>
      </c>
      <c r="D2512" s="7" t="s">
        <v>165</v>
      </c>
      <c r="E2512" s="7" t="s">
        <v>348</v>
      </c>
      <c r="F2512" s="8" t="str">
        <f>_xlfn.IFNA(INDEX('HS Codes'!$D$2:$K5066,MATCH($B2512,'HS Codes'!$A$2:$A5066,0),MATCH(F$1,'HS Codes'!$D$1:$K$1,0)),"")</f>
        <v>6302.93.2000</v>
      </c>
      <c r="G2512" s="8">
        <f>_xlfn.IFNA(INDEX('HS Codes'!$D$2:$K5066,MATCH($B2512,'HS Codes'!$A$2:$A5066,0),MATCH(G$1,'HS Codes'!$D$1:$K$1,0)),"")</f>
        <v>6302600090</v>
      </c>
      <c r="H2512" s="8" t="str">
        <f>_xlfn.IFNA(INDEX('HS Codes'!$D$2:$K5066,MATCH($B2512,'HS Codes'!$A$2:$A5066,0),MATCH(H$1,'HS Codes'!$D$1:$K$1,0)),"")</f>
        <v>6302.93.00.00</v>
      </c>
      <c r="I2512" s="8">
        <f>_xlfn.IFNA(INDEX('HS Codes'!$D$2:$K5066,MATCH($B2512,'HS Codes'!$A$2:$A5066,0),MATCH(I$1,'HS Codes'!$D$1:$K$1,0)),"")</f>
        <v>63029390</v>
      </c>
      <c r="J2512" s="8">
        <f>_xlfn.IFNA(INDEX('HS Codes'!$D$2:$K5066,MATCH($B2512,'HS Codes'!$A$2:$A5066,0),MATCH(J$1,'HS Codes'!$D$1:$K$1,0)),"")</f>
        <v>0</v>
      </c>
      <c r="K2512" s="8" t="str">
        <f>_xlfn.IFNA(INDEX('HS Codes'!$D$2:$K5066,MATCH($B2512,'HS Codes'!$A$2:$A5066,0),MATCH(K$1,'HS Codes'!$D$1:$K$1,0)),"")</f>
        <v>6302.39.00</v>
      </c>
      <c r="L2512" s="8">
        <f>_xlfn.IFNA(INDEX('HS Codes'!$D$2:$K5066,MATCH($B2512,'HS Codes'!$A$2:$A5066,0),MATCH(L$1,'HS Codes'!$D$1:$K$1,0)),"")</f>
        <v>63029120</v>
      </c>
      <c r="M2512" s="8" t="str">
        <f>_xlfn.IFNA(INDEX('HS Codes'!$C$2:$C5066,MATCH($B2512,'HS Codes'!$A$2:$A5066,0)),"")</f>
        <v>Beach Towel - Toilet Linen 100% recycled 220 GSM/83% polyester/17% polyamide includes cotton on the packing pouch drawstring</v>
      </c>
      <c r="N2512" s="9"/>
      <c r="O2512" s="9"/>
      <c r="P2512" s="9"/>
      <c r="Q2512" s="9"/>
    </row>
    <row r="2513" spans="1:17" ht="15.75" customHeight="1">
      <c r="A2513" s="7" t="s">
        <v>2805</v>
      </c>
      <c r="B2513" s="7" t="s">
        <v>164</v>
      </c>
      <c r="C2513" s="7" t="s">
        <v>278</v>
      </c>
      <c r="D2513" s="7" t="s">
        <v>165</v>
      </c>
      <c r="E2513" s="7" t="s">
        <v>348</v>
      </c>
      <c r="F2513" s="8" t="str">
        <f>_xlfn.IFNA(INDEX('HS Codes'!$D$2:$K5067,MATCH($B2513,'HS Codes'!$A$2:$A5067,0),MATCH(F$1,'HS Codes'!$D$1:$K$1,0)),"")</f>
        <v>6302.93.2000</v>
      </c>
      <c r="G2513" s="8">
        <f>_xlfn.IFNA(INDEX('HS Codes'!$D$2:$K5067,MATCH($B2513,'HS Codes'!$A$2:$A5067,0),MATCH(G$1,'HS Codes'!$D$1:$K$1,0)),"")</f>
        <v>6302600090</v>
      </c>
      <c r="H2513" s="8" t="str">
        <f>_xlfn.IFNA(INDEX('HS Codes'!$D$2:$K5067,MATCH($B2513,'HS Codes'!$A$2:$A5067,0),MATCH(H$1,'HS Codes'!$D$1:$K$1,0)),"")</f>
        <v>6302.93.00.00</v>
      </c>
      <c r="I2513" s="8">
        <f>_xlfn.IFNA(INDEX('HS Codes'!$D$2:$K5067,MATCH($B2513,'HS Codes'!$A$2:$A5067,0),MATCH(I$1,'HS Codes'!$D$1:$K$1,0)),"")</f>
        <v>63029390</v>
      </c>
      <c r="J2513" s="8">
        <f>_xlfn.IFNA(INDEX('HS Codes'!$D$2:$K5067,MATCH($B2513,'HS Codes'!$A$2:$A5067,0),MATCH(J$1,'HS Codes'!$D$1:$K$1,0)),"")</f>
        <v>0</v>
      </c>
      <c r="K2513" s="8" t="str">
        <f>_xlfn.IFNA(INDEX('HS Codes'!$D$2:$K5067,MATCH($B2513,'HS Codes'!$A$2:$A5067,0),MATCH(K$1,'HS Codes'!$D$1:$K$1,0)),"")</f>
        <v>6302.39.00</v>
      </c>
      <c r="L2513" s="8">
        <f>_xlfn.IFNA(INDEX('HS Codes'!$D$2:$K5067,MATCH($B2513,'HS Codes'!$A$2:$A5067,0),MATCH(L$1,'HS Codes'!$D$1:$K$1,0)),"")</f>
        <v>63029120</v>
      </c>
      <c r="M2513" s="8" t="str">
        <f>_xlfn.IFNA(INDEX('HS Codes'!$C$2:$C5067,MATCH($B2513,'HS Codes'!$A$2:$A5067,0)),"")</f>
        <v>Beach Towel - Toilet Linen 100% recycled 220 GSM/83% polyester/17% polyamide includes cotton on the packing pouch drawstring</v>
      </c>
      <c r="N2513" s="9"/>
      <c r="O2513" s="9"/>
      <c r="P2513" s="9"/>
      <c r="Q2513" s="9"/>
    </row>
    <row r="2514" spans="1:17" ht="15.75" customHeight="1">
      <c r="A2514" s="7" t="s">
        <v>2806</v>
      </c>
      <c r="B2514" s="7" t="s">
        <v>164</v>
      </c>
      <c r="C2514" s="7" t="s">
        <v>278</v>
      </c>
      <c r="D2514" s="7" t="s">
        <v>165</v>
      </c>
      <c r="E2514" s="7" t="s">
        <v>348</v>
      </c>
      <c r="F2514" s="8" t="str">
        <f>_xlfn.IFNA(INDEX('HS Codes'!$D$2:$K5068,MATCH($B2514,'HS Codes'!$A$2:$A5068,0),MATCH(F$1,'HS Codes'!$D$1:$K$1,0)),"")</f>
        <v>6302.93.2000</v>
      </c>
      <c r="G2514" s="8">
        <f>_xlfn.IFNA(INDEX('HS Codes'!$D$2:$K5068,MATCH($B2514,'HS Codes'!$A$2:$A5068,0),MATCH(G$1,'HS Codes'!$D$1:$K$1,0)),"")</f>
        <v>6302600090</v>
      </c>
      <c r="H2514" s="8" t="str">
        <f>_xlfn.IFNA(INDEX('HS Codes'!$D$2:$K5068,MATCH($B2514,'HS Codes'!$A$2:$A5068,0),MATCH(H$1,'HS Codes'!$D$1:$K$1,0)),"")</f>
        <v>6302.93.00.00</v>
      </c>
      <c r="I2514" s="8">
        <f>_xlfn.IFNA(INDEX('HS Codes'!$D$2:$K5068,MATCH($B2514,'HS Codes'!$A$2:$A5068,0),MATCH(I$1,'HS Codes'!$D$1:$K$1,0)),"")</f>
        <v>63029390</v>
      </c>
      <c r="J2514" s="8">
        <f>_xlfn.IFNA(INDEX('HS Codes'!$D$2:$K5068,MATCH($B2514,'HS Codes'!$A$2:$A5068,0),MATCH(J$1,'HS Codes'!$D$1:$K$1,0)),"")</f>
        <v>0</v>
      </c>
      <c r="K2514" s="8" t="str">
        <f>_xlfn.IFNA(INDEX('HS Codes'!$D$2:$K5068,MATCH($B2514,'HS Codes'!$A$2:$A5068,0),MATCH(K$1,'HS Codes'!$D$1:$K$1,0)),"")</f>
        <v>6302.39.00</v>
      </c>
      <c r="L2514" s="8">
        <f>_xlfn.IFNA(INDEX('HS Codes'!$D$2:$K5068,MATCH($B2514,'HS Codes'!$A$2:$A5068,0),MATCH(L$1,'HS Codes'!$D$1:$K$1,0)),"")</f>
        <v>63029120</v>
      </c>
      <c r="M2514" s="8" t="str">
        <f>_xlfn.IFNA(INDEX('HS Codes'!$C$2:$C5068,MATCH($B2514,'HS Codes'!$A$2:$A5068,0)),"")</f>
        <v>Beach Towel - Toilet Linen 100% recycled 220 GSM/83% polyester/17% polyamide includes cotton on the packing pouch drawstring</v>
      </c>
      <c r="N2514" s="9"/>
      <c r="O2514" s="9"/>
      <c r="P2514" s="9"/>
      <c r="Q2514" s="9"/>
    </row>
    <row r="2515" spans="1:17" ht="15.75" customHeight="1">
      <c r="A2515" s="7" t="s">
        <v>2807</v>
      </c>
      <c r="B2515" s="7" t="s">
        <v>164</v>
      </c>
      <c r="C2515" s="7" t="s">
        <v>278</v>
      </c>
      <c r="D2515" s="7" t="s">
        <v>165</v>
      </c>
      <c r="E2515" s="7" t="s">
        <v>348</v>
      </c>
      <c r="F2515" s="8" t="str">
        <f>_xlfn.IFNA(INDEX('HS Codes'!$D$2:$K5069,MATCH($B2515,'HS Codes'!$A$2:$A5069,0),MATCH(F$1,'HS Codes'!$D$1:$K$1,0)),"")</f>
        <v>6302.93.2000</v>
      </c>
      <c r="G2515" s="8">
        <f>_xlfn.IFNA(INDEX('HS Codes'!$D$2:$K5069,MATCH($B2515,'HS Codes'!$A$2:$A5069,0),MATCH(G$1,'HS Codes'!$D$1:$K$1,0)),"")</f>
        <v>6302600090</v>
      </c>
      <c r="H2515" s="8" t="str">
        <f>_xlfn.IFNA(INDEX('HS Codes'!$D$2:$K5069,MATCH($B2515,'HS Codes'!$A$2:$A5069,0),MATCH(H$1,'HS Codes'!$D$1:$K$1,0)),"")</f>
        <v>6302.93.00.00</v>
      </c>
      <c r="I2515" s="8">
        <f>_xlfn.IFNA(INDEX('HS Codes'!$D$2:$K5069,MATCH($B2515,'HS Codes'!$A$2:$A5069,0),MATCH(I$1,'HS Codes'!$D$1:$K$1,0)),"")</f>
        <v>63029390</v>
      </c>
      <c r="J2515" s="8">
        <f>_xlfn.IFNA(INDEX('HS Codes'!$D$2:$K5069,MATCH($B2515,'HS Codes'!$A$2:$A5069,0),MATCH(J$1,'HS Codes'!$D$1:$K$1,0)),"")</f>
        <v>0</v>
      </c>
      <c r="K2515" s="8" t="str">
        <f>_xlfn.IFNA(INDEX('HS Codes'!$D$2:$K5069,MATCH($B2515,'HS Codes'!$A$2:$A5069,0),MATCH(K$1,'HS Codes'!$D$1:$K$1,0)),"")</f>
        <v>6302.39.00</v>
      </c>
      <c r="L2515" s="8">
        <f>_xlfn.IFNA(INDEX('HS Codes'!$D$2:$K5069,MATCH($B2515,'HS Codes'!$A$2:$A5069,0),MATCH(L$1,'HS Codes'!$D$1:$K$1,0)),"")</f>
        <v>63029120</v>
      </c>
      <c r="M2515" s="8" t="str">
        <f>_xlfn.IFNA(INDEX('HS Codes'!$C$2:$C5069,MATCH($B2515,'HS Codes'!$A$2:$A5069,0)),"")</f>
        <v>Beach Towel - Toilet Linen 100% recycled 220 GSM/83% polyester/17% polyamide includes cotton on the packing pouch drawstring</v>
      </c>
      <c r="N2515" s="9"/>
      <c r="O2515" s="9"/>
      <c r="P2515" s="9"/>
      <c r="Q2515" s="9"/>
    </row>
    <row r="2516" spans="1:17" ht="15.75" customHeight="1">
      <c r="A2516" s="7" t="s">
        <v>2808</v>
      </c>
      <c r="B2516" s="7" t="s">
        <v>164</v>
      </c>
      <c r="C2516" s="7" t="s">
        <v>278</v>
      </c>
      <c r="D2516" s="7" t="s">
        <v>165</v>
      </c>
      <c r="E2516" s="7" t="s">
        <v>348</v>
      </c>
      <c r="F2516" s="8" t="str">
        <f>_xlfn.IFNA(INDEX('HS Codes'!$D$2:$K5070,MATCH($B2516,'HS Codes'!$A$2:$A5070,0),MATCH(F$1,'HS Codes'!$D$1:$K$1,0)),"")</f>
        <v>6302.93.2000</v>
      </c>
      <c r="G2516" s="8">
        <f>_xlfn.IFNA(INDEX('HS Codes'!$D$2:$K5070,MATCH($B2516,'HS Codes'!$A$2:$A5070,0),MATCH(G$1,'HS Codes'!$D$1:$K$1,0)),"")</f>
        <v>6302600090</v>
      </c>
      <c r="H2516" s="8" t="str">
        <f>_xlfn.IFNA(INDEX('HS Codes'!$D$2:$K5070,MATCH($B2516,'HS Codes'!$A$2:$A5070,0),MATCH(H$1,'HS Codes'!$D$1:$K$1,0)),"")</f>
        <v>6302.93.00.00</v>
      </c>
      <c r="I2516" s="8">
        <f>_xlfn.IFNA(INDEX('HS Codes'!$D$2:$K5070,MATCH($B2516,'HS Codes'!$A$2:$A5070,0),MATCH(I$1,'HS Codes'!$D$1:$K$1,0)),"")</f>
        <v>63029390</v>
      </c>
      <c r="J2516" s="8">
        <f>_xlfn.IFNA(INDEX('HS Codes'!$D$2:$K5070,MATCH($B2516,'HS Codes'!$A$2:$A5070,0),MATCH(J$1,'HS Codes'!$D$1:$K$1,0)),"")</f>
        <v>0</v>
      </c>
      <c r="K2516" s="8" t="str">
        <f>_xlfn.IFNA(INDEX('HS Codes'!$D$2:$K5070,MATCH($B2516,'HS Codes'!$A$2:$A5070,0),MATCH(K$1,'HS Codes'!$D$1:$K$1,0)),"")</f>
        <v>6302.39.00</v>
      </c>
      <c r="L2516" s="8">
        <f>_xlfn.IFNA(INDEX('HS Codes'!$D$2:$K5070,MATCH($B2516,'HS Codes'!$A$2:$A5070,0),MATCH(L$1,'HS Codes'!$D$1:$K$1,0)),"")</f>
        <v>63029120</v>
      </c>
      <c r="M2516" s="8" t="str">
        <f>_xlfn.IFNA(INDEX('HS Codes'!$C$2:$C5070,MATCH($B2516,'HS Codes'!$A$2:$A5070,0)),"")</f>
        <v>Beach Towel - Toilet Linen 100% recycled 220 GSM/83% polyester/17% polyamide includes cotton on the packing pouch drawstring</v>
      </c>
      <c r="N2516" s="9"/>
      <c r="O2516" s="9"/>
      <c r="P2516" s="9"/>
      <c r="Q2516" s="9"/>
    </row>
    <row r="2517" spans="1:17" ht="15.75" customHeight="1">
      <c r="A2517" s="7" t="s">
        <v>2809</v>
      </c>
      <c r="B2517" s="7" t="s">
        <v>164</v>
      </c>
      <c r="C2517" s="7" t="s">
        <v>278</v>
      </c>
      <c r="D2517" s="7" t="s">
        <v>165</v>
      </c>
      <c r="E2517" s="7" t="s">
        <v>348</v>
      </c>
      <c r="F2517" s="8" t="str">
        <f>_xlfn.IFNA(INDEX('HS Codes'!$D$2:$K5071,MATCH($B2517,'HS Codes'!$A$2:$A5071,0),MATCH(F$1,'HS Codes'!$D$1:$K$1,0)),"")</f>
        <v>6302.93.2000</v>
      </c>
      <c r="G2517" s="8">
        <f>_xlfn.IFNA(INDEX('HS Codes'!$D$2:$K5071,MATCH($B2517,'HS Codes'!$A$2:$A5071,0),MATCH(G$1,'HS Codes'!$D$1:$K$1,0)),"")</f>
        <v>6302600090</v>
      </c>
      <c r="H2517" s="8" t="str">
        <f>_xlfn.IFNA(INDEX('HS Codes'!$D$2:$K5071,MATCH($B2517,'HS Codes'!$A$2:$A5071,0),MATCH(H$1,'HS Codes'!$D$1:$K$1,0)),"")</f>
        <v>6302.93.00.00</v>
      </c>
      <c r="I2517" s="8">
        <f>_xlfn.IFNA(INDEX('HS Codes'!$D$2:$K5071,MATCH($B2517,'HS Codes'!$A$2:$A5071,0),MATCH(I$1,'HS Codes'!$D$1:$K$1,0)),"")</f>
        <v>63029390</v>
      </c>
      <c r="J2517" s="8">
        <f>_xlfn.IFNA(INDEX('HS Codes'!$D$2:$K5071,MATCH($B2517,'HS Codes'!$A$2:$A5071,0),MATCH(J$1,'HS Codes'!$D$1:$K$1,0)),"")</f>
        <v>0</v>
      </c>
      <c r="K2517" s="8" t="str">
        <f>_xlfn.IFNA(INDEX('HS Codes'!$D$2:$K5071,MATCH($B2517,'HS Codes'!$A$2:$A5071,0),MATCH(K$1,'HS Codes'!$D$1:$K$1,0)),"")</f>
        <v>6302.39.00</v>
      </c>
      <c r="L2517" s="8">
        <f>_xlfn.IFNA(INDEX('HS Codes'!$D$2:$K5071,MATCH($B2517,'HS Codes'!$A$2:$A5071,0),MATCH(L$1,'HS Codes'!$D$1:$K$1,0)),"")</f>
        <v>63029120</v>
      </c>
      <c r="M2517" s="8" t="str">
        <f>_xlfn.IFNA(INDEX('HS Codes'!$C$2:$C5071,MATCH($B2517,'HS Codes'!$A$2:$A5071,0)),"")</f>
        <v>Beach Towel - Toilet Linen 100% recycled 220 GSM/83% polyester/17% polyamide includes cotton on the packing pouch drawstring</v>
      </c>
      <c r="N2517" s="9"/>
      <c r="O2517" s="9"/>
      <c r="P2517" s="9"/>
      <c r="Q2517" s="9"/>
    </row>
    <row r="2518" spans="1:17" ht="15.75" customHeight="1">
      <c r="A2518" s="7" t="s">
        <v>2810</v>
      </c>
      <c r="B2518" s="7" t="s">
        <v>164</v>
      </c>
      <c r="C2518" s="7" t="s">
        <v>278</v>
      </c>
      <c r="D2518" s="7" t="s">
        <v>165</v>
      </c>
      <c r="E2518" s="7" t="s">
        <v>348</v>
      </c>
      <c r="F2518" s="8" t="str">
        <f>_xlfn.IFNA(INDEX('HS Codes'!$D$2:$K5072,MATCH($B2518,'HS Codes'!$A$2:$A5072,0),MATCH(F$1,'HS Codes'!$D$1:$K$1,0)),"")</f>
        <v>6302.93.2000</v>
      </c>
      <c r="G2518" s="8">
        <f>_xlfn.IFNA(INDEX('HS Codes'!$D$2:$K5072,MATCH($B2518,'HS Codes'!$A$2:$A5072,0),MATCH(G$1,'HS Codes'!$D$1:$K$1,0)),"")</f>
        <v>6302600090</v>
      </c>
      <c r="H2518" s="8" t="str">
        <f>_xlfn.IFNA(INDEX('HS Codes'!$D$2:$K5072,MATCH($B2518,'HS Codes'!$A$2:$A5072,0),MATCH(H$1,'HS Codes'!$D$1:$K$1,0)),"")</f>
        <v>6302.93.00.00</v>
      </c>
      <c r="I2518" s="8">
        <f>_xlfn.IFNA(INDEX('HS Codes'!$D$2:$K5072,MATCH($B2518,'HS Codes'!$A$2:$A5072,0),MATCH(I$1,'HS Codes'!$D$1:$K$1,0)),"")</f>
        <v>63029390</v>
      </c>
      <c r="J2518" s="8">
        <f>_xlfn.IFNA(INDEX('HS Codes'!$D$2:$K5072,MATCH($B2518,'HS Codes'!$A$2:$A5072,0),MATCH(J$1,'HS Codes'!$D$1:$K$1,0)),"")</f>
        <v>0</v>
      </c>
      <c r="K2518" s="8" t="str">
        <f>_xlfn.IFNA(INDEX('HS Codes'!$D$2:$K5072,MATCH($B2518,'HS Codes'!$A$2:$A5072,0),MATCH(K$1,'HS Codes'!$D$1:$K$1,0)),"")</f>
        <v>6302.39.00</v>
      </c>
      <c r="L2518" s="8">
        <f>_xlfn.IFNA(INDEX('HS Codes'!$D$2:$K5072,MATCH($B2518,'HS Codes'!$A$2:$A5072,0),MATCH(L$1,'HS Codes'!$D$1:$K$1,0)),"")</f>
        <v>63029120</v>
      </c>
      <c r="M2518" s="8" t="str">
        <f>_xlfn.IFNA(INDEX('HS Codes'!$C$2:$C5072,MATCH($B2518,'HS Codes'!$A$2:$A5072,0)),"")</f>
        <v>Beach Towel - Toilet Linen 100% recycled 220 GSM/83% polyester/17% polyamide includes cotton on the packing pouch drawstring</v>
      </c>
      <c r="N2518" s="9"/>
      <c r="O2518" s="9"/>
      <c r="P2518" s="9"/>
      <c r="Q2518" s="9"/>
    </row>
    <row r="2519" spans="1:17" ht="15.75" customHeight="1">
      <c r="A2519" s="7" t="s">
        <v>2811</v>
      </c>
      <c r="B2519" s="7" t="s">
        <v>164</v>
      </c>
      <c r="C2519" s="7" t="s">
        <v>278</v>
      </c>
      <c r="D2519" s="7" t="s">
        <v>165</v>
      </c>
      <c r="E2519" s="7" t="s">
        <v>348</v>
      </c>
      <c r="F2519" s="8" t="str">
        <f>_xlfn.IFNA(INDEX('HS Codes'!$D$2:$K5073,MATCH($B2519,'HS Codes'!$A$2:$A5073,0),MATCH(F$1,'HS Codes'!$D$1:$K$1,0)),"")</f>
        <v>6302.93.2000</v>
      </c>
      <c r="G2519" s="8">
        <f>_xlfn.IFNA(INDEX('HS Codes'!$D$2:$K5073,MATCH($B2519,'HS Codes'!$A$2:$A5073,0),MATCH(G$1,'HS Codes'!$D$1:$K$1,0)),"")</f>
        <v>6302600090</v>
      </c>
      <c r="H2519" s="8" t="str">
        <f>_xlfn.IFNA(INDEX('HS Codes'!$D$2:$K5073,MATCH($B2519,'HS Codes'!$A$2:$A5073,0),MATCH(H$1,'HS Codes'!$D$1:$K$1,0)),"")</f>
        <v>6302.93.00.00</v>
      </c>
      <c r="I2519" s="8">
        <f>_xlfn.IFNA(INDEX('HS Codes'!$D$2:$K5073,MATCH($B2519,'HS Codes'!$A$2:$A5073,0),MATCH(I$1,'HS Codes'!$D$1:$K$1,0)),"")</f>
        <v>63029390</v>
      </c>
      <c r="J2519" s="8">
        <f>_xlfn.IFNA(INDEX('HS Codes'!$D$2:$K5073,MATCH($B2519,'HS Codes'!$A$2:$A5073,0),MATCH(J$1,'HS Codes'!$D$1:$K$1,0)),"")</f>
        <v>0</v>
      </c>
      <c r="K2519" s="8" t="str">
        <f>_xlfn.IFNA(INDEX('HS Codes'!$D$2:$K5073,MATCH($B2519,'HS Codes'!$A$2:$A5073,0),MATCH(K$1,'HS Codes'!$D$1:$K$1,0)),"")</f>
        <v>6302.39.00</v>
      </c>
      <c r="L2519" s="8">
        <f>_xlfn.IFNA(INDEX('HS Codes'!$D$2:$K5073,MATCH($B2519,'HS Codes'!$A$2:$A5073,0),MATCH(L$1,'HS Codes'!$D$1:$K$1,0)),"")</f>
        <v>63029120</v>
      </c>
      <c r="M2519" s="8" t="str">
        <f>_xlfn.IFNA(INDEX('HS Codes'!$C$2:$C5073,MATCH($B2519,'HS Codes'!$A$2:$A5073,0)),"")</f>
        <v>Beach Towel - Toilet Linen 100% recycled 220 GSM/83% polyester/17% polyamide includes cotton on the packing pouch drawstring</v>
      </c>
      <c r="N2519" s="9"/>
      <c r="O2519" s="9"/>
      <c r="P2519" s="9"/>
      <c r="Q2519" s="9"/>
    </row>
    <row r="2520" spans="1:17" ht="15.75" customHeight="1">
      <c r="A2520" s="7" t="s">
        <v>2812</v>
      </c>
      <c r="B2520" s="7" t="s">
        <v>164</v>
      </c>
      <c r="C2520" s="7" t="s">
        <v>278</v>
      </c>
      <c r="D2520" s="7" t="s">
        <v>165</v>
      </c>
      <c r="E2520" s="7" t="s">
        <v>348</v>
      </c>
      <c r="F2520" s="8" t="str">
        <f>_xlfn.IFNA(INDEX('HS Codes'!$D$2:$K5074,MATCH($B2520,'HS Codes'!$A$2:$A5074,0),MATCH(F$1,'HS Codes'!$D$1:$K$1,0)),"")</f>
        <v>6302.93.2000</v>
      </c>
      <c r="G2520" s="8">
        <f>_xlfn.IFNA(INDEX('HS Codes'!$D$2:$K5074,MATCH($B2520,'HS Codes'!$A$2:$A5074,0),MATCH(G$1,'HS Codes'!$D$1:$K$1,0)),"")</f>
        <v>6302600090</v>
      </c>
      <c r="H2520" s="8" t="str">
        <f>_xlfn.IFNA(INDEX('HS Codes'!$D$2:$K5074,MATCH($B2520,'HS Codes'!$A$2:$A5074,0),MATCH(H$1,'HS Codes'!$D$1:$K$1,0)),"")</f>
        <v>6302.93.00.00</v>
      </c>
      <c r="I2520" s="8">
        <f>_xlfn.IFNA(INDEX('HS Codes'!$D$2:$K5074,MATCH($B2520,'HS Codes'!$A$2:$A5074,0),MATCH(I$1,'HS Codes'!$D$1:$K$1,0)),"")</f>
        <v>63029390</v>
      </c>
      <c r="J2520" s="8">
        <f>_xlfn.IFNA(INDEX('HS Codes'!$D$2:$K5074,MATCH($B2520,'HS Codes'!$A$2:$A5074,0),MATCH(J$1,'HS Codes'!$D$1:$K$1,0)),"")</f>
        <v>0</v>
      </c>
      <c r="K2520" s="8" t="str">
        <f>_xlfn.IFNA(INDEX('HS Codes'!$D$2:$K5074,MATCH($B2520,'HS Codes'!$A$2:$A5074,0),MATCH(K$1,'HS Codes'!$D$1:$K$1,0)),"")</f>
        <v>6302.39.00</v>
      </c>
      <c r="L2520" s="8">
        <f>_xlfn.IFNA(INDEX('HS Codes'!$D$2:$K5074,MATCH($B2520,'HS Codes'!$A$2:$A5074,0),MATCH(L$1,'HS Codes'!$D$1:$K$1,0)),"")</f>
        <v>63029120</v>
      </c>
      <c r="M2520" s="8" t="str">
        <f>_xlfn.IFNA(INDEX('HS Codes'!$C$2:$C5074,MATCH($B2520,'HS Codes'!$A$2:$A5074,0)),"")</f>
        <v>Beach Towel - Toilet Linen 100% recycled 220 GSM/83% polyester/17% polyamide includes cotton on the packing pouch drawstring</v>
      </c>
      <c r="N2520" s="9"/>
      <c r="O2520" s="9"/>
      <c r="P2520" s="9"/>
      <c r="Q2520" s="9"/>
    </row>
    <row r="2521" spans="1:17" ht="15.75" customHeight="1">
      <c r="A2521" s="7" t="s">
        <v>2813</v>
      </c>
      <c r="B2521" s="7" t="s">
        <v>164</v>
      </c>
      <c r="C2521" s="7" t="s">
        <v>278</v>
      </c>
      <c r="D2521" s="7" t="s">
        <v>165</v>
      </c>
      <c r="E2521" s="7" t="s">
        <v>348</v>
      </c>
      <c r="F2521" s="8" t="str">
        <f>_xlfn.IFNA(INDEX('HS Codes'!$D$2:$K5075,MATCH($B2521,'HS Codes'!$A$2:$A5075,0),MATCH(F$1,'HS Codes'!$D$1:$K$1,0)),"")</f>
        <v>6302.93.2000</v>
      </c>
      <c r="G2521" s="8">
        <f>_xlfn.IFNA(INDEX('HS Codes'!$D$2:$K5075,MATCH($B2521,'HS Codes'!$A$2:$A5075,0),MATCH(G$1,'HS Codes'!$D$1:$K$1,0)),"")</f>
        <v>6302600090</v>
      </c>
      <c r="H2521" s="8" t="str">
        <f>_xlfn.IFNA(INDEX('HS Codes'!$D$2:$K5075,MATCH($B2521,'HS Codes'!$A$2:$A5075,0),MATCH(H$1,'HS Codes'!$D$1:$K$1,0)),"")</f>
        <v>6302.93.00.00</v>
      </c>
      <c r="I2521" s="8">
        <f>_xlfn.IFNA(INDEX('HS Codes'!$D$2:$K5075,MATCH($B2521,'HS Codes'!$A$2:$A5075,0),MATCH(I$1,'HS Codes'!$D$1:$K$1,0)),"")</f>
        <v>63029390</v>
      </c>
      <c r="J2521" s="8">
        <f>_xlfn.IFNA(INDEX('HS Codes'!$D$2:$K5075,MATCH($B2521,'HS Codes'!$A$2:$A5075,0),MATCH(J$1,'HS Codes'!$D$1:$K$1,0)),"")</f>
        <v>0</v>
      </c>
      <c r="K2521" s="8" t="str">
        <f>_xlfn.IFNA(INDEX('HS Codes'!$D$2:$K5075,MATCH($B2521,'HS Codes'!$A$2:$A5075,0),MATCH(K$1,'HS Codes'!$D$1:$K$1,0)),"")</f>
        <v>6302.39.00</v>
      </c>
      <c r="L2521" s="8">
        <f>_xlfn.IFNA(INDEX('HS Codes'!$D$2:$K5075,MATCH($B2521,'HS Codes'!$A$2:$A5075,0),MATCH(L$1,'HS Codes'!$D$1:$K$1,0)),"")</f>
        <v>63029120</v>
      </c>
      <c r="M2521" s="8" t="str">
        <f>_xlfn.IFNA(INDEX('HS Codes'!$C$2:$C5075,MATCH($B2521,'HS Codes'!$A$2:$A5075,0)),"")</f>
        <v>Beach Towel - Toilet Linen 100% recycled 220 GSM/83% polyester/17% polyamide includes cotton on the packing pouch drawstring</v>
      </c>
      <c r="N2521" s="9"/>
      <c r="O2521" s="9"/>
      <c r="P2521" s="9"/>
      <c r="Q2521" s="9"/>
    </row>
    <row r="2522" spans="1:17" ht="15.75" customHeight="1">
      <c r="A2522" s="7" t="s">
        <v>2814</v>
      </c>
      <c r="B2522" s="7" t="s">
        <v>164</v>
      </c>
      <c r="C2522" s="7" t="s">
        <v>278</v>
      </c>
      <c r="D2522" s="7" t="s">
        <v>165</v>
      </c>
      <c r="E2522" s="7" t="s">
        <v>348</v>
      </c>
      <c r="F2522" s="8" t="str">
        <f>_xlfn.IFNA(INDEX('HS Codes'!$D$2:$K5076,MATCH($B2522,'HS Codes'!$A$2:$A5076,0),MATCH(F$1,'HS Codes'!$D$1:$K$1,0)),"")</f>
        <v>6302.93.2000</v>
      </c>
      <c r="G2522" s="8">
        <f>_xlfn.IFNA(INDEX('HS Codes'!$D$2:$K5076,MATCH($B2522,'HS Codes'!$A$2:$A5076,0),MATCH(G$1,'HS Codes'!$D$1:$K$1,0)),"")</f>
        <v>6302600090</v>
      </c>
      <c r="H2522" s="8" t="str">
        <f>_xlfn.IFNA(INDEX('HS Codes'!$D$2:$K5076,MATCH($B2522,'HS Codes'!$A$2:$A5076,0),MATCH(H$1,'HS Codes'!$D$1:$K$1,0)),"")</f>
        <v>6302.93.00.00</v>
      </c>
      <c r="I2522" s="8">
        <f>_xlfn.IFNA(INDEX('HS Codes'!$D$2:$K5076,MATCH($B2522,'HS Codes'!$A$2:$A5076,0),MATCH(I$1,'HS Codes'!$D$1:$K$1,0)),"")</f>
        <v>63029390</v>
      </c>
      <c r="J2522" s="8">
        <f>_xlfn.IFNA(INDEX('HS Codes'!$D$2:$K5076,MATCH($B2522,'HS Codes'!$A$2:$A5076,0),MATCH(J$1,'HS Codes'!$D$1:$K$1,0)),"")</f>
        <v>0</v>
      </c>
      <c r="K2522" s="8" t="str">
        <f>_xlfn.IFNA(INDEX('HS Codes'!$D$2:$K5076,MATCH($B2522,'HS Codes'!$A$2:$A5076,0),MATCH(K$1,'HS Codes'!$D$1:$K$1,0)),"")</f>
        <v>6302.39.00</v>
      </c>
      <c r="L2522" s="8">
        <f>_xlfn.IFNA(INDEX('HS Codes'!$D$2:$K5076,MATCH($B2522,'HS Codes'!$A$2:$A5076,0),MATCH(L$1,'HS Codes'!$D$1:$K$1,0)),"")</f>
        <v>63029120</v>
      </c>
      <c r="M2522" s="8" t="str">
        <f>_xlfn.IFNA(INDEX('HS Codes'!$C$2:$C5076,MATCH($B2522,'HS Codes'!$A$2:$A5076,0)),"")</f>
        <v>Beach Towel - Toilet Linen 100% recycled 220 GSM/83% polyester/17% polyamide includes cotton on the packing pouch drawstring</v>
      </c>
      <c r="N2522" s="9"/>
      <c r="O2522" s="9"/>
      <c r="P2522" s="9"/>
      <c r="Q2522" s="9"/>
    </row>
    <row r="2523" spans="1:17" ht="15.75" customHeight="1">
      <c r="A2523" s="7" t="s">
        <v>2815</v>
      </c>
      <c r="B2523" s="7" t="s">
        <v>164</v>
      </c>
      <c r="C2523" s="7" t="s">
        <v>278</v>
      </c>
      <c r="D2523" s="7" t="s">
        <v>165</v>
      </c>
      <c r="E2523" s="7" t="s">
        <v>348</v>
      </c>
      <c r="F2523" s="8" t="str">
        <f>_xlfn.IFNA(INDEX('HS Codes'!$D$2:$K5077,MATCH($B2523,'HS Codes'!$A$2:$A5077,0),MATCH(F$1,'HS Codes'!$D$1:$K$1,0)),"")</f>
        <v>6302.93.2000</v>
      </c>
      <c r="G2523" s="8">
        <f>_xlfn.IFNA(INDEX('HS Codes'!$D$2:$K5077,MATCH($B2523,'HS Codes'!$A$2:$A5077,0),MATCH(G$1,'HS Codes'!$D$1:$K$1,0)),"")</f>
        <v>6302600090</v>
      </c>
      <c r="H2523" s="8" t="str">
        <f>_xlfn.IFNA(INDEX('HS Codes'!$D$2:$K5077,MATCH($B2523,'HS Codes'!$A$2:$A5077,0),MATCH(H$1,'HS Codes'!$D$1:$K$1,0)),"")</f>
        <v>6302.93.00.00</v>
      </c>
      <c r="I2523" s="8">
        <f>_xlfn.IFNA(INDEX('HS Codes'!$D$2:$K5077,MATCH($B2523,'HS Codes'!$A$2:$A5077,0),MATCH(I$1,'HS Codes'!$D$1:$K$1,0)),"")</f>
        <v>63029390</v>
      </c>
      <c r="J2523" s="8">
        <f>_xlfn.IFNA(INDEX('HS Codes'!$D$2:$K5077,MATCH($B2523,'HS Codes'!$A$2:$A5077,0),MATCH(J$1,'HS Codes'!$D$1:$K$1,0)),"")</f>
        <v>0</v>
      </c>
      <c r="K2523" s="8" t="str">
        <f>_xlfn.IFNA(INDEX('HS Codes'!$D$2:$K5077,MATCH($B2523,'HS Codes'!$A$2:$A5077,0),MATCH(K$1,'HS Codes'!$D$1:$K$1,0)),"")</f>
        <v>6302.39.00</v>
      </c>
      <c r="L2523" s="8">
        <f>_xlfn.IFNA(INDEX('HS Codes'!$D$2:$K5077,MATCH($B2523,'HS Codes'!$A$2:$A5077,0),MATCH(L$1,'HS Codes'!$D$1:$K$1,0)),"")</f>
        <v>63029120</v>
      </c>
      <c r="M2523" s="8" t="str">
        <f>_xlfn.IFNA(INDEX('HS Codes'!$C$2:$C5077,MATCH($B2523,'HS Codes'!$A$2:$A5077,0)),"")</f>
        <v>Beach Towel - Toilet Linen 100% recycled 220 GSM/83% polyester/17% polyamide includes cotton on the packing pouch drawstring</v>
      </c>
      <c r="N2523" s="9"/>
      <c r="O2523" s="9"/>
      <c r="P2523" s="9"/>
      <c r="Q2523" s="9"/>
    </row>
    <row r="2524" spans="1:17" ht="15.75" customHeight="1">
      <c r="A2524" s="7" t="s">
        <v>2816</v>
      </c>
      <c r="B2524" s="7" t="s">
        <v>164</v>
      </c>
      <c r="C2524" s="7" t="s">
        <v>278</v>
      </c>
      <c r="D2524" s="7" t="s">
        <v>165</v>
      </c>
      <c r="E2524" s="7" t="s">
        <v>348</v>
      </c>
      <c r="F2524" s="8" t="str">
        <f>_xlfn.IFNA(INDEX('HS Codes'!$D$2:$K5078,MATCH($B2524,'HS Codes'!$A$2:$A5078,0),MATCH(F$1,'HS Codes'!$D$1:$K$1,0)),"")</f>
        <v>6302.93.2000</v>
      </c>
      <c r="G2524" s="8">
        <f>_xlfn.IFNA(INDEX('HS Codes'!$D$2:$K5078,MATCH($B2524,'HS Codes'!$A$2:$A5078,0),MATCH(G$1,'HS Codes'!$D$1:$K$1,0)),"")</f>
        <v>6302600090</v>
      </c>
      <c r="H2524" s="8" t="str">
        <f>_xlfn.IFNA(INDEX('HS Codes'!$D$2:$K5078,MATCH($B2524,'HS Codes'!$A$2:$A5078,0),MATCH(H$1,'HS Codes'!$D$1:$K$1,0)),"")</f>
        <v>6302.93.00.00</v>
      </c>
      <c r="I2524" s="8">
        <f>_xlfn.IFNA(INDEX('HS Codes'!$D$2:$K5078,MATCH($B2524,'HS Codes'!$A$2:$A5078,0),MATCH(I$1,'HS Codes'!$D$1:$K$1,0)),"")</f>
        <v>63029390</v>
      </c>
      <c r="J2524" s="8">
        <f>_xlfn.IFNA(INDEX('HS Codes'!$D$2:$K5078,MATCH($B2524,'HS Codes'!$A$2:$A5078,0),MATCH(J$1,'HS Codes'!$D$1:$K$1,0)),"")</f>
        <v>0</v>
      </c>
      <c r="K2524" s="8" t="str">
        <f>_xlfn.IFNA(INDEX('HS Codes'!$D$2:$K5078,MATCH($B2524,'HS Codes'!$A$2:$A5078,0),MATCH(K$1,'HS Codes'!$D$1:$K$1,0)),"")</f>
        <v>6302.39.00</v>
      </c>
      <c r="L2524" s="8">
        <f>_xlfn.IFNA(INDEX('HS Codes'!$D$2:$K5078,MATCH($B2524,'HS Codes'!$A$2:$A5078,0),MATCH(L$1,'HS Codes'!$D$1:$K$1,0)),"")</f>
        <v>63029120</v>
      </c>
      <c r="M2524" s="8" t="str">
        <f>_xlfn.IFNA(INDEX('HS Codes'!$C$2:$C5078,MATCH($B2524,'HS Codes'!$A$2:$A5078,0)),"")</f>
        <v>Beach Towel - Toilet Linen 100% recycled 220 GSM/83% polyester/17% polyamide includes cotton on the packing pouch drawstring</v>
      </c>
      <c r="N2524" s="9"/>
      <c r="O2524" s="9"/>
      <c r="P2524" s="9"/>
      <c r="Q2524" s="9"/>
    </row>
    <row r="2525" spans="1:17" ht="15.75" customHeight="1">
      <c r="A2525" s="7" t="s">
        <v>2817</v>
      </c>
      <c r="B2525" s="7" t="s">
        <v>164</v>
      </c>
      <c r="C2525" s="7" t="s">
        <v>278</v>
      </c>
      <c r="D2525" s="7" t="s">
        <v>165</v>
      </c>
      <c r="E2525" s="7" t="s">
        <v>348</v>
      </c>
      <c r="F2525" s="8" t="str">
        <f>_xlfn.IFNA(INDEX('HS Codes'!$D$2:$K5079,MATCH($B2525,'HS Codes'!$A$2:$A5079,0),MATCH(F$1,'HS Codes'!$D$1:$K$1,0)),"")</f>
        <v>6302.93.2000</v>
      </c>
      <c r="G2525" s="8">
        <f>_xlfn.IFNA(INDEX('HS Codes'!$D$2:$K5079,MATCH($B2525,'HS Codes'!$A$2:$A5079,0),MATCH(G$1,'HS Codes'!$D$1:$K$1,0)),"")</f>
        <v>6302600090</v>
      </c>
      <c r="H2525" s="8" t="str">
        <f>_xlfn.IFNA(INDEX('HS Codes'!$D$2:$K5079,MATCH($B2525,'HS Codes'!$A$2:$A5079,0),MATCH(H$1,'HS Codes'!$D$1:$K$1,0)),"")</f>
        <v>6302.93.00.00</v>
      </c>
      <c r="I2525" s="8">
        <f>_xlfn.IFNA(INDEX('HS Codes'!$D$2:$K5079,MATCH($B2525,'HS Codes'!$A$2:$A5079,0),MATCH(I$1,'HS Codes'!$D$1:$K$1,0)),"")</f>
        <v>63029390</v>
      </c>
      <c r="J2525" s="8">
        <f>_xlfn.IFNA(INDEX('HS Codes'!$D$2:$K5079,MATCH($B2525,'HS Codes'!$A$2:$A5079,0),MATCH(J$1,'HS Codes'!$D$1:$K$1,0)),"")</f>
        <v>0</v>
      </c>
      <c r="K2525" s="8" t="str">
        <f>_xlfn.IFNA(INDEX('HS Codes'!$D$2:$K5079,MATCH($B2525,'HS Codes'!$A$2:$A5079,0),MATCH(K$1,'HS Codes'!$D$1:$K$1,0)),"")</f>
        <v>6302.39.00</v>
      </c>
      <c r="L2525" s="8">
        <f>_xlfn.IFNA(INDEX('HS Codes'!$D$2:$K5079,MATCH($B2525,'HS Codes'!$A$2:$A5079,0),MATCH(L$1,'HS Codes'!$D$1:$K$1,0)),"")</f>
        <v>63029120</v>
      </c>
      <c r="M2525" s="8" t="str">
        <f>_xlfn.IFNA(INDEX('HS Codes'!$C$2:$C5079,MATCH($B2525,'HS Codes'!$A$2:$A5079,0)),"")</f>
        <v>Beach Towel - Toilet Linen 100% recycled 220 GSM/83% polyester/17% polyamide includes cotton on the packing pouch drawstring</v>
      </c>
      <c r="N2525" s="9"/>
      <c r="O2525" s="9"/>
      <c r="P2525" s="9"/>
      <c r="Q2525" s="9"/>
    </row>
    <row r="2526" spans="1:17" ht="15.75" customHeight="1">
      <c r="A2526" s="7" t="s">
        <v>2818</v>
      </c>
      <c r="B2526" s="7"/>
      <c r="C2526" s="7"/>
      <c r="D2526" s="7"/>
      <c r="E2526" s="7"/>
      <c r="F2526" s="8" t="str">
        <f>_xlfn.IFNA(INDEX('HS Codes'!$D$2:$K5080,MATCH($B2526,'HS Codes'!$A$2:$A5080,0),MATCH(F$1,'HS Codes'!$D$1:$K$1,0)),"")</f>
        <v/>
      </c>
      <c r="G2526" s="8" t="str">
        <f>_xlfn.IFNA(INDEX('HS Codes'!$D$2:$K5080,MATCH($B2526,'HS Codes'!$A$2:$A5080,0),MATCH(G$1,'HS Codes'!$D$1:$K$1,0)),"")</f>
        <v/>
      </c>
      <c r="H2526" s="8" t="str">
        <f>_xlfn.IFNA(INDEX('HS Codes'!$D$2:$K5080,MATCH($B2526,'HS Codes'!$A$2:$A5080,0),MATCH(H$1,'HS Codes'!$D$1:$K$1,0)),"")</f>
        <v/>
      </c>
      <c r="I2526" s="8" t="str">
        <f>_xlfn.IFNA(INDEX('HS Codes'!$D$2:$K5080,MATCH($B2526,'HS Codes'!$A$2:$A5080,0),MATCH(I$1,'HS Codes'!$D$1:$K$1,0)),"")</f>
        <v/>
      </c>
      <c r="J2526" s="8" t="str">
        <f>_xlfn.IFNA(INDEX('HS Codes'!$D$2:$K5080,MATCH($B2526,'HS Codes'!$A$2:$A5080,0),MATCH(J$1,'HS Codes'!$D$1:$K$1,0)),"")</f>
        <v/>
      </c>
      <c r="K2526" s="8" t="str">
        <f>_xlfn.IFNA(INDEX('HS Codes'!$D$2:$K5080,MATCH($B2526,'HS Codes'!$A$2:$A5080,0),MATCH(K$1,'HS Codes'!$D$1:$K$1,0)),"")</f>
        <v/>
      </c>
      <c r="L2526" s="8" t="str">
        <f>_xlfn.IFNA(INDEX('HS Codes'!$D$2:$K5080,MATCH($B2526,'HS Codes'!$A$2:$A5080,0),MATCH(L$1,'HS Codes'!$D$1:$K$1,0)),"")</f>
        <v/>
      </c>
      <c r="M2526" s="8" t="str">
        <f>_xlfn.IFNA(INDEX('HS Codes'!$C$2:$C5080,MATCH($B2526,'HS Codes'!$A$2:$A5080,0)),"")</f>
        <v/>
      </c>
      <c r="N2526" s="9"/>
      <c r="O2526" s="9"/>
      <c r="P2526" s="9"/>
      <c r="Q2526" s="9"/>
    </row>
    <row r="2527" spans="1:17" ht="15.75" customHeight="1">
      <c r="A2527" s="7" t="s">
        <v>2819</v>
      </c>
      <c r="B2527" s="7"/>
      <c r="C2527" s="7"/>
      <c r="D2527" s="7"/>
      <c r="E2527" s="7"/>
      <c r="F2527" s="8" t="str">
        <f>_xlfn.IFNA(INDEX('HS Codes'!$D$2:$K5081,MATCH($B2527,'HS Codes'!$A$2:$A5081,0),MATCH(F$1,'HS Codes'!$D$1:$K$1,0)),"")</f>
        <v/>
      </c>
      <c r="G2527" s="8" t="str">
        <f>_xlfn.IFNA(INDEX('HS Codes'!$D$2:$K5081,MATCH($B2527,'HS Codes'!$A$2:$A5081,0),MATCH(G$1,'HS Codes'!$D$1:$K$1,0)),"")</f>
        <v/>
      </c>
      <c r="H2527" s="8" t="str">
        <f>_xlfn.IFNA(INDEX('HS Codes'!$D$2:$K5081,MATCH($B2527,'HS Codes'!$A$2:$A5081,0),MATCH(H$1,'HS Codes'!$D$1:$K$1,0)),"")</f>
        <v/>
      </c>
      <c r="I2527" s="8" t="str">
        <f>_xlfn.IFNA(INDEX('HS Codes'!$D$2:$K5081,MATCH($B2527,'HS Codes'!$A$2:$A5081,0),MATCH(I$1,'HS Codes'!$D$1:$K$1,0)),"")</f>
        <v/>
      </c>
      <c r="J2527" s="8" t="str">
        <f>_xlfn.IFNA(INDEX('HS Codes'!$D$2:$K5081,MATCH($B2527,'HS Codes'!$A$2:$A5081,0),MATCH(J$1,'HS Codes'!$D$1:$K$1,0)),"")</f>
        <v/>
      </c>
      <c r="K2527" s="8" t="str">
        <f>_xlfn.IFNA(INDEX('HS Codes'!$D$2:$K5081,MATCH($B2527,'HS Codes'!$A$2:$A5081,0),MATCH(K$1,'HS Codes'!$D$1:$K$1,0)),"")</f>
        <v/>
      </c>
      <c r="L2527" s="8" t="str">
        <f>_xlfn.IFNA(INDEX('HS Codes'!$D$2:$K5081,MATCH($B2527,'HS Codes'!$A$2:$A5081,0),MATCH(L$1,'HS Codes'!$D$1:$K$1,0)),"")</f>
        <v/>
      </c>
      <c r="M2527" s="8" t="str">
        <f>_xlfn.IFNA(INDEX('HS Codes'!$C$2:$C5081,MATCH($B2527,'HS Codes'!$A$2:$A5081,0)),"")</f>
        <v/>
      </c>
      <c r="N2527" s="9"/>
      <c r="O2527" s="9"/>
      <c r="P2527" s="9"/>
      <c r="Q2527" s="9"/>
    </row>
    <row r="2528" spans="1:17" ht="15.75" customHeight="1">
      <c r="A2528" s="7" t="s">
        <v>2820</v>
      </c>
      <c r="B2528" s="7" t="s">
        <v>232</v>
      </c>
      <c r="C2528" s="7"/>
      <c r="D2528" s="7"/>
      <c r="E2528" s="7" t="s">
        <v>2821</v>
      </c>
      <c r="F2528" s="8">
        <f>_xlfn.IFNA(INDEX('HS Codes'!$D$2:$K5082,MATCH($B2528,'HS Codes'!$A$2:$A5082,0),MATCH(F$1,'HS Codes'!$D$1:$K$1,0)),"")</f>
        <v>0</v>
      </c>
      <c r="G2528" s="8">
        <f>_xlfn.IFNA(INDEX('HS Codes'!$D$2:$K5082,MATCH($B2528,'HS Codes'!$A$2:$A5082,0),MATCH(G$1,'HS Codes'!$D$1:$K$1,0)),"")</f>
        <v>0</v>
      </c>
      <c r="H2528" s="8">
        <f>_xlfn.IFNA(INDEX('HS Codes'!$D$2:$K5082,MATCH($B2528,'HS Codes'!$A$2:$A5082,0),MATCH(H$1,'HS Codes'!$D$1:$K$1,0)),"")</f>
        <v>0</v>
      </c>
      <c r="I2528" s="8">
        <f>_xlfn.IFNA(INDEX('HS Codes'!$D$2:$K5082,MATCH($B2528,'HS Codes'!$A$2:$A5082,0),MATCH(I$1,'HS Codes'!$D$1:$K$1,0)),"")</f>
        <v>0</v>
      </c>
      <c r="J2528" s="8">
        <f>_xlfn.IFNA(INDEX('HS Codes'!$D$2:$K5082,MATCH($B2528,'HS Codes'!$A$2:$A5082,0),MATCH(J$1,'HS Codes'!$D$1:$K$1,0)),"")</f>
        <v>0</v>
      </c>
      <c r="K2528" s="8">
        <f>_xlfn.IFNA(INDEX('HS Codes'!$D$2:$K5082,MATCH($B2528,'HS Codes'!$A$2:$A5082,0),MATCH(K$1,'HS Codes'!$D$1:$K$1,0)),"")</f>
        <v>0</v>
      </c>
      <c r="L2528" s="8">
        <f>_xlfn.IFNA(INDEX('HS Codes'!$D$2:$K5082,MATCH($B2528,'HS Codes'!$A$2:$A5082,0),MATCH(L$1,'HS Codes'!$D$1:$K$1,0)),"")</f>
        <v>0</v>
      </c>
      <c r="M2528" s="8">
        <f>_xlfn.IFNA(INDEX('HS Codes'!$C$2:$C5082,MATCH($B2528,'HS Codes'!$A$2:$A5082,0)),"")</f>
        <v>0</v>
      </c>
      <c r="N2528" s="9"/>
      <c r="O2528" s="9"/>
      <c r="P2528" s="9"/>
      <c r="Q2528" s="9"/>
    </row>
    <row r="2529" spans="1:17" ht="15.75" customHeight="1">
      <c r="A2529" s="7" t="s">
        <v>2822</v>
      </c>
      <c r="B2529" s="7" t="s">
        <v>232</v>
      </c>
      <c r="C2529" s="7"/>
      <c r="D2529" s="7"/>
      <c r="E2529" s="7" t="s">
        <v>2821</v>
      </c>
      <c r="F2529" s="8">
        <f>_xlfn.IFNA(INDEX('HS Codes'!$D$2:$K5083,MATCH($B2529,'HS Codes'!$A$2:$A5083,0),MATCH(F$1,'HS Codes'!$D$1:$K$1,0)),"")</f>
        <v>0</v>
      </c>
      <c r="G2529" s="8">
        <f>_xlfn.IFNA(INDEX('HS Codes'!$D$2:$K5083,MATCH($B2529,'HS Codes'!$A$2:$A5083,0),MATCH(G$1,'HS Codes'!$D$1:$K$1,0)),"")</f>
        <v>0</v>
      </c>
      <c r="H2529" s="8">
        <f>_xlfn.IFNA(INDEX('HS Codes'!$D$2:$K5083,MATCH($B2529,'HS Codes'!$A$2:$A5083,0),MATCH(H$1,'HS Codes'!$D$1:$K$1,0)),"")</f>
        <v>0</v>
      </c>
      <c r="I2529" s="8">
        <f>_xlfn.IFNA(INDEX('HS Codes'!$D$2:$K5083,MATCH($B2529,'HS Codes'!$A$2:$A5083,0),MATCH(I$1,'HS Codes'!$D$1:$K$1,0)),"")</f>
        <v>0</v>
      </c>
      <c r="J2529" s="8">
        <f>_xlfn.IFNA(INDEX('HS Codes'!$D$2:$K5083,MATCH($B2529,'HS Codes'!$A$2:$A5083,0),MATCH(J$1,'HS Codes'!$D$1:$K$1,0)),"")</f>
        <v>0</v>
      </c>
      <c r="K2529" s="8">
        <f>_xlfn.IFNA(INDEX('HS Codes'!$D$2:$K5083,MATCH($B2529,'HS Codes'!$A$2:$A5083,0),MATCH(K$1,'HS Codes'!$D$1:$K$1,0)),"")</f>
        <v>0</v>
      </c>
      <c r="L2529" s="8">
        <f>_xlfn.IFNA(INDEX('HS Codes'!$D$2:$K5083,MATCH($B2529,'HS Codes'!$A$2:$A5083,0),MATCH(L$1,'HS Codes'!$D$1:$K$1,0)),"")</f>
        <v>0</v>
      </c>
      <c r="M2529" s="8">
        <f>_xlfn.IFNA(INDEX('HS Codes'!$C$2:$C5083,MATCH($B2529,'HS Codes'!$A$2:$A5083,0)),"")</f>
        <v>0</v>
      </c>
      <c r="N2529" s="9"/>
      <c r="O2529" s="9"/>
      <c r="P2529" s="9"/>
      <c r="Q2529" s="9"/>
    </row>
    <row r="2530" spans="1:17" ht="15.75" customHeight="1">
      <c r="A2530" s="7" t="s">
        <v>2823</v>
      </c>
      <c r="B2530" s="7" t="s">
        <v>232</v>
      </c>
      <c r="C2530" s="7"/>
      <c r="D2530" s="7"/>
      <c r="E2530" s="7" t="s">
        <v>2821</v>
      </c>
      <c r="F2530" s="8">
        <f>_xlfn.IFNA(INDEX('HS Codes'!$D$2:$K5084,MATCH($B2530,'HS Codes'!$A$2:$A5084,0),MATCH(F$1,'HS Codes'!$D$1:$K$1,0)),"")</f>
        <v>0</v>
      </c>
      <c r="G2530" s="8">
        <f>_xlfn.IFNA(INDEX('HS Codes'!$D$2:$K5084,MATCH($B2530,'HS Codes'!$A$2:$A5084,0),MATCH(G$1,'HS Codes'!$D$1:$K$1,0)),"")</f>
        <v>0</v>
      </c>
      <c r="H2530" s="8">
        <f>_xlfn.IFNA(INDEX('HS Codes'!$D$2:$K5084,MATCH($B2530,'HS Codes'!$A$2:$A5084,0),MATCH(H$1,'HS Codes'!$D$1:$K$1,0)),"")</f>
        <v>0</v>
      </c>
      <c r="I2530" s="8">
        <f>_xlfn.IFNA(INDEX('HS Codes'!$D$2:$K5084,MATCH($B2530,'HS Codes'!$A$2:$A5084,0),MATCH(I$1,'HS Codes'!$D$1:$K$1,0)),"")</f>
        <v>0</v>
      </c>
      <c r="J2530" s="8">
        <f>_xlfn.IFNA(INDEX('HS Codes'!$D$2:$K5084,MATCH($B2530,'HS Codes'!$A$2:$A5084,0),MATCH(J$1,'HS Codes'!$D$1:$K$1,0)),"")</f>
        <v>0</v>
      </c>
      <c r="K2530" s="8">
        <f>_xlfn.IFNA(INDEX('HS Codes'!$D$2:$K5084,MATCH($B2530,'HS Codes'!$A$2:$A5084,0),MATCH(K$1,'HS Codes'!$D$1:$K$1,0)),"")</f>
        <v>0</v>
      </c>
      <c r="L2530" s="8">
        <f>_xlfn.IFNA(INDEX('HS Codes'!$D$2:$K5084,MATCH($B2530,'HS Codes'!$A$2:$A5084,0),MATCH(L$1,'HS Codes'!$D$1:$K$1,0)),"")</f>
        <v>0</v>
      </c>
      <c r="M2530" s="8">
        <f>_xlfn.IFNA(INDEX('HS Codes'!$C$2:$C5084,MATCH($B2530,'HS Codes'!$A$2:$A5084,0)),"")</f>
        <v>0</v>
      </c>
      <c r="N2530" s="9"/>
      <c r="O2530" s="9"/>
      <c r="P2530" s="9"/>
      <c r="Q2530" s="9"/>
    </row>
    <row r="2531" spans="1:17" ht="15.75" customHeight="1">
      <c r="A2531" s="7" t="s">
        <v>2824</v>
      </c>
      <c r="B2531" s="7" t="s">
        <v>232</v>
      </c>
      <c r="C2531" s="7"/>
      <c r="D2531" s="7"/>
      <c r="E2531" s="7" t="s">
        <v>2821</v>
      </c>
      <c r="F2531" s="8">
        <f>_xlfn.IFNA(INDEX('HS Codes'!$D$2:$K5085,MATCH($B2531,'HS Codes'!$A$2:$A5085,0),MATCH(F$1,'HS Codes'!$D$1:$K$1,0)),"")</f>
        <v>0</v>
      </c>
      <c r="G2531" s="8">
        <f>_xlfn.IFNA(INDEX('HS Codes'!$D$2:$K5085,MATCH($B2531,'HS Codes'!$A$2:$A5085,0),MATCH(G$1,'HS Codes'!$D$1:$K$1,0)),"")</f>
        <v>0</v>
      </c>
      <c r="H2531" s="8">
        <f>_xlfn.IFNA(INDEX('HS Codes'!$D$2:$K5085,MATCH($B2531,'HS Codes'!$A$2:$A5085,0),MATCH(H$1,'HS Codes'!$D$1:$K$1,0)),"")</f>
        <v>0</v>
      </c>
      <c r="I2531" s="8">
        <f>_xlfn.IFNA(INDEX('HS Codes'!$D$2:$K5085,MATCH($B2531,'HS Codes'!$A$2:$A5085,0),MATCH(I$1,'HS Codes'!$D$1:$K$1,0)),"")</f>
        <v>0</v>
      </c>
      <c r="J2531" s="8">
        <f>_xlfn.IFNA(INDEX('HS Codes'!$D$2:$K5085,MATCH($B2531,'HS Codes'!$A$2:$A5085,0),MATCH(J$1,'HS Codes'!$D$1:$K$1,0)),"")</f>
        <v>0</v>
      </c>
      <c r="K2531" s="8">
        <f>_xlfn.IFNA(INDEX('HS Codes'!$D$2:$K5085,MATCH($B2531,'HS Codes'!$A$2:$A5085,0),MATCH(K$1,'HS Codes'!$D$1:$K$1,0)),"")</f>
        <v>0</v>
      </c>
      <c r="L2531" s="8">
        <f>_xlfn.IFNA(INDEX('HS Codes'!$D$2:$K5085,MATCH($B2531,'HS Codes'!$A$2:$A5085,0),MATCH(L$1,'HS Codes'!$D$1:$K$1,0)),"")</f>
        <v>0</v>
      </c>
      <c r="M2531" s="8">
        <f>_xlfn.IFNA(INDEX('HS Codes'!$C$2:$C5085,MATCH($B2531,'HS Codes'!$A$2:$A5085,0)),"")</f>
        <v>0</v>
      </c>
      <c r="N2531" s="9"/>
      <c r="O2531" s="9"/>
      <c r="P2531" s="9"/>
      <c r="Q2531" s="9"/>
    </row>
    <row r="2532" spans="1:17" ht="15.75" customHeight="1">
      <c r="A2532" s="7" t="s">
        <v>2825</v>
      </c>
      <c r="B2532" s="7" t="s">
        <v>232</v>
      </c>
      <c r="C2532" s="7"/>
      <c r="D2532" s="7"/>
      <c r="E2532" s="7" t="s">
        <v>2821</v>
      </c>
      <c r="F2532" s="8">
        <f>_xlfn.IFNA(INDEX('HS Codes'!$D$2:$K5086,MATCH($B2532,'HS Codes'!$A$2:$A5086,0),MATCH(F$1,'HS Codes'!$D$1:$K$1,0)),"")</f>
        <v>0</v>
      </c>
      <c r="G2532" s="8">
        <f>_xlfn.IFNA(INDEX('HS Codes'!$D$2:$K5086,MATCH($B2532,'HS Codes'!$A$2:$A5086,0),MATCH(G$1,'HS Codes'!$D$1:$K$1,0)),"")</f>
        <v>0</v>
      </c>
      <c r="H2532" s="8">
        <f>_xlfn.IFNA(INDEX('HS Codes'!$D$2:$K5086,MATCH($B2532,'HS Codes'!$A$2:$A5086,0),MATCH(H$1,'HS Codes'!$D$1:$K$1,0)),"")</f>
        <v>0</v>
      </c>
      <c r="I2532" s="8">
        <f>_xlfn.IFNA(INDEX('HS Codes'!$D$2:$K5086,MATCH($B2532,'HS Codes'!$A$2:$A5086,0),MATCH(I$1,'HS Codes'!$D$1:$K$1,0)),"")</f>
        <v>0</v>
      </c>
      <c r="J2532" s="8">
        <f>_xlfn.IFNA(INDEX('HS Codes'!$D$2:$K5086,MATCH($B2532,'HS Codes'!$A$2:$A5086,0),MATCH(J$1,'HS Codes'!$D$1:$K$1,0)),"")</f>
        <v>0</v>
      </c>
      <c r="K2532" s="8">
        <f>_xlfn.IFNA(INDEX('HS Codes'!$D$2:$K5086,MATCH($B2532,'HS Codes'!$A$2:$A5086,0),MATCH(K$1,'HS Codes'!$D$1:$K$1,0)),"")</f>
        <v>0</v>
      </c>
      <c r="L2532" s="8">
        <f>_xlfn.IFNA(INDEX('HS Codes'!$D$2:$K5086,MATCH($B2532,'HS Codes'!$A$2:$A5086,0),MATCH(L$1,'HS Codes'!$D$1:$K$1,0)),"")</f>
        <v>0</v>
      </c>
      <c r="M2532" s="8">
        <f>_xlfn.IFNA(INDEX('HS Codes'!$C$2:$C5086,MATCH($B2532,'HS Codes'!$A$2:$A5086,0)),"")</f>
        <v>0</v>
      </c>
      <c r="N2532" s="9"/>
      <c r="O2532" s="9"/>
      <c r="P2532" s="9"/>
      <c r="Q2532" s="9"/>
    </row>
    <row r="2533" spans="1:17" ht="15.75" customHeight="1">
      <c r="A2533" s="7" t="s">
        <v>2826</v>
      </c>
      <c r="B2533" s="7" t="s">
        <v>232</v>
      </c>
      <c r="C2533" s="7"/>
      <c r="D2533" s="7"/>
      <c r="E2533" s="7" t="s">
        <v>2821</v>
      </c>
      <c r="F2533" s="8">
        <f>_xlfn.IFNA(INDEX('HS Codes'!$D$2:$K5087,MATCH($B2533,'HS Codes'!$A$2:$A5087,0),MATCH(F$1,'HS Codes'!$D$1:$K$1,0)),"")</f>
        <v>0</v>
      </c>
      <c r="G2533" s="8">
        <f>_xlfn.IFNA(INDEX('HS Codes'!$D$2:$K5087,MATCH($B2533,'HS Codes'!$A$2:$A5087,0),MATCH(G$1,'HS Codes'!$D$1:$K$1,0)),"")</f>
        <v>0</v>
      </c>
      <c r="H2533" s="8">
        <f>_xlfn.IFNA(INDEX('HS Codes'!$D$2:$K5087,MATCH($B2533,'HS Codes'!$A$2:$A5087,0),MATCH(H$1,'HS Codes'!$D$1:$K$1,0)),"")</f>
        <v>0</v>
      </c>
      <c r="I2533" s="8">
        <f>_xlfn.IFNA(INDEX('HS Codes'!$D$2:$K5087,MATCH($B2533,'HS Codes'!$A$2:$A5087,0),MATCH(I$1,'HS Codes'!$D$1:$K$1,0)),"")</f>
        <v>0</v>
      </c>
      <c r="J2533" s="8">
        <f>_xlfn.IFNA(INDEX('HS Codes'!$D$2:$K5087,MATCH($B2533,'HS Codes'!$A$2:$A5087,0),MATCH(J$1,'HS Codes'!$D$1:$K$1,0)),"")</f>
        <v>0</v>
      </c>
      <c r="K2533" s="8">
        <f>_xlfn.IFNA(INDEX('HS Codes'!$D$2:$K5087,MATCH($B2533,'HS Codes'!$A$2:$A5087,0),MATCH(K$1,'HS Codes'!$D$1:$K$1,0)),"")</f>
        <v>0</v>
      </c>
      <c r="L2533" s="8">
        <f>_xlfn.IFNA(INDEX('HS Codes'!$D$2:$K5087,MATCH($B2533,'HS Codes'!$A$2:$A5087,0),MATCH(L$1,'HS Codes'!$D$1:$K$1,0)),"")</f>
        <v>0</v>
      </c>
      <c r="M2533" s="8">
        <f>_xlfn.IFNA(INDEX('HS Codes'!$C$2:$C5087,MATCH($B2533,'HS Codes'!$A$2:$A5087,0)),"")</f>
        <v>0</v>
      </c>
      <c r="N2533" s="9"/>
      <c r="O2533" s="9"/>
      <c r="P2533" s="9"/>
      <c r="Q2533" s="9"/>
    </row>
    <row r="2534" spans="1:17" ht="15.75" customHeight="1">
      <c r="A2534" s="7" t="s">
        <v>2827</v>
      </c>
      <c r="B2534" s="7" t="s">
        <v>232</v>
      </c>
      <c r="C2534" s="7"/>
      <c r="D2534" s="7"/>
      <c r="E2534" s="7" t="s">
        <v>2821</v>
      </c>
      <c r="F2534" s="8">
        <f>_xlfn.IFNA(INDEX('HS Codes'!$D$2:$K5088,MATCH($B2534,'HS Codes'!$A$2:$A5088,0),MATCH(F$1,'HS Codes'!$D$1:$K$1,0)),"")</f>
        <v>0</v>
      </c>
      <c r="G2534" s="8">
        <f>_xlfn.IFNA(INDEX('HS Codes'!$D$2:$K5088,MATCH($B2534,'HS Codes'!$A$2:$A5088,0),MATCH(G$1,'HS Codes'!$D$1:$K$1,0)),"")</f>
        <v>0</v>
      </c>
      <c r="H2534" s="8">
        <f>_xlfn.IFNA(INDEX('HS Codes'!$D$2:$K5088,MATCH($B2534,'HS Codes'!$A$2:$A5088,0),MATCH(H$1,'HS Codes'!$D$1:$K$1,0)),"")</f>
        <v>0</v>
      </c>
      <c r="I2534" s="8">
        <f>_xlfn.IFNA(INDEX('HS Codes'!$D$2:$K5088,MATCH($B2534,'HS Codes'!$A$2:$A5088,0),MATCH(I$1,'HS Codes'!$D$1:$K$1,0)),"")</f>
        <v>0</v>
      </c>
      <c r="J2534" s="8">
        <f>_xlfn.IFNA(INDEX('HS Codes'!$D$2:$K5088,MATCH($B2534,'HS Codes'!$A$2:$A5088,0),MATCH(J$1,'HS Codes'!$D$1:$K$1,0)),"")</f>
        <v>0</v>
      </c>
      <c r="K2534" s="8">
        <f>_xlfn.IFNA(INDEX('HS Codes'!$D$2:$K5088,MATCH($B2534,'HS Codes'!$A$2:$A5088,0),MATCH(K$1,'HS Codes'!$D$1:$K$1,0)),"")</f>
        <v>0</v>
      </c>
      <c r="L2534" s="8">
        <f>_xlfn.IFNA(INDEX('HS Codes'!$D$2:$K5088,MATCH($B2534,'HS Codes'!$A$2:$A5088,0),MATCH(L$1,'HS Codes'!$D$1:$K$1,0)),"")</f>
        <v>0</v>
      </c>
      <c r="M2534" s="8">
        <f>_xlfn.IFNA(INDEX('HS Codes'!$C$2:$C5088,MATCH($B2534,'HS Codes'!$A$2:$A5088,0)),"")</f>
        <v>0</v>
      </c>
      <c r="N2534" s="9"/>
      <c r="O2534" s="9"/>
      <c r="P2534" s="9"/>
      <c r="Q2534" s="9"/>
    </row>
    <row r="2535" spans="1:17" ht="15.75" customHeight="1">
      <c r="A2535" s="7" t="s">
        <v>2828</v>
      </c>
      <c r="B2535" s="7" t="s">
        <v>232</v>
      </c>
      <c r="C2535" s="7"/>
      <c r="D2535" s="7"/>
      <c r="E2535" s="7" t="s">
        <v>2821</v>
      </c>
      <c r="F2535" s="8">
        <f>_xlfn.IFNA(INDEX('HS Codes'!$D$2:$K5089,MATCH($B2535,'HS Codes'!$A$2:$A5089,0),MATCH(F$1,'HS Codes'!$D$1:$K$1,0)),"")</f>
        <v>0</v>
      </c>
      <c r="G2535" s="8">
        <f>_xlfn.IFNA(INDEX('HS Codes'!$D$2:$K5089,MATCH($B2535,'HS Codes'!$A$2:$A5089,0),MATCH(G$1,'HS Codes'!$D$1:$K$1,0)),"")</f>
        <v>0</v>
      </c>
      <c r="H2535" s="8">
        <f>_xlfn.IFNA(INDEX('HS Codes'!$D$2:$K5089,MATCH($B2535,'HS Codes'!$A$2:$A5089,0),MATCH(H$1,'HS Codes'!$D$1:$K$1,0)),"")</f>
        <v>0</v>
      </c>
      <c r="I2535" s="8">
        <f>_xlfn.IFNA(INDEX('HS Codes'!$D$2:$K5089,MATCH($B2535,'HS Codes'!$A$2:$A5089,0),MATCH(I$1,'HS Codes'!$D$1:$K$1,0)),"")</f>
        <v>0</v>
      </c>
      <c r="J2535" s="8">
        <f>_xlfn.IFNA(INDEX('HS Codes'!$D$2:$K5089,MATCH($B2535,'HS Codes'!$A$2:$A5089,0),MATCH(J$1,'HS Codes'!$D$1:$K$1,0)),"")</f>
        <v>0</v>
      </c>
      <c r="K2535" s="8">
        <f>_xlfn.IFNA(INDEX('HS Codes'!$D$2:$K5089,MATCH($B2535,'HS Codes'!$A$2:$A5089,0),MATCH(K$1,'HS Codes'!$D$1:$K$1,0)),"")</f>
        <v>0</v>
      </c>
      <c r="L2535" s="8">
        <f>_xlfn.IFNA(INDEX('HS Codes'!$D$2:$K5089,MATCH($B2535,'HS Codes'!$A$2:$A5089,0),MATCH(L$1,'HS Codes'!$D$1:$K$1,0)),"")</f>
        <v>0</v>
      </c>
      <c r="M2535" s="8">
        <f>_xlfn.IFNA(INDEX('HS Codes'!$C$2:$C5089,MATCH($B2535,'HS Codes'!$A$2:$A5089,0)),"")</f>
        <v>0</v>
      </c>
      <c r="N2535" s="9"/>
      <c r="O2535" s="9"/>
      <c r="P2535" s="9"/>
      <c r="Q2535" s="9"/>
    </row>
    <row r="2536" spans="1:17" ht="15.75" customHeight="1">
      <c r="A2536" s="7" t="s">
        <v>2829</v>
      </c>
      <c r="B2536" s="7" t="s">
        <v>232</v>
      </c>
      <c r="C2536" s="7"/>
      <c r="D2536" s="7"/>
      <c r="E2536" s="7" t="s">
        <v>2821</v>
      </c>
      <c r="F2536" s="8">
        <f>_xlfn.IFNA(INDEX('HS Codes'!$D$2:$K5090,MATCH($B2536,'HS Codes'!$A$2:$A5090,0),MATCH(F$1,'HS Codes'!$D$1:$K$1,0)),"")</f>
        <v>0</v>
      </c>
      <c r="G2536" s="8">
        <f>_xlfn.IFNA(INDEX('HS Codes'!$D$2:$K5090,MATCH($B2536,'HS Codes'!$A$2:$A5090,0),MATCH(G$1,'HS Codes'!$D$1:$K$1,0)),"")</f>
        <v>0</v>
      </c>
      <c r="H2536" s="8">
        <f>_xlfn.IFNA(INDEX('HS Codes'!$D$2:$K5090,MATCH($B2536,'HS Codes'!$A$2:$A5090,0),MATCH(H$1,'HS Codes'!$D$1:$K$1,0)),"")</f>
        <v>0</v>
      </c>
      <c r="I2536" s="8">
        <f>_xlfn.IFNA(INDEX('HS Codes'!$D$2:$K5090,MATCH($B2536,'HS Codes'!$A$2:$A5090,0),MATCH(I$1,'HS Codes'!$D$1:$K$1,0)),"")</f>
        <v>0</v>
      </c>
      <c r="J2536" s="8">
        <f>_xlfn.IFNA(INDEX('HS Codes'!$D$2:$K5090,MATCH($B2536,'HS Codes'!$A$2:$A5090,0),MATCH(J$1,'HS Codes'!$D$1:$K$1,0)),"")</f>
        <v>0</v>
      </c>
      <c r="K2536" s="8">
        <f>_xlfn.IFNA(INDEX('HS Codes'!$D$2:$K5090,MATCH($B2536,'HS Codes'!$A$2:$A5090,0),MATCH(K$1,'HS Codes'!$D$1:$K$1,0)),"")</f>
        <v>0</v>
      </c>
      <c r="L2536" s="8">
        <f>_xlfn.IFNA(INDEX('HS Codes'!$D$2:$K5090,MATCH($B2536,'HS Codes'!$A$2:$A5090,0),MATCH(L$1,'HS Codes'!$D$1:$K$1,0)),"")</f>
        <v>0</v>
      </c>
      <c r="M2536" s="8">
        <f>_xlfn.IFNA(INDEX('HS Codes'!$C$2:$C5090,MATCH($B2536,'HS Codes'!$A$2:$A5090,0)),"")</f>
        <v>0</v>
      </c>
      <c r="N2536" s="9"/>
      <c r="O2536" s="9"/>
      <c r="P2536" s="9"/>
      <c r="Q2536" s="9"/>
    </row>
    <row r="2537" spans="1:17" ht="15.75" customHeight="1">
      <c r="A2537" s="7" t="s">
        <v>2830</v>
      </c>
      <c r="B2537" s="7" t="s">
        <v>232</v>
      </c>
      <c r="C2537" s="7"/>
      <c r="D2537" s="7"/>
      <c r="E2537" s="7" t="s">
        <v>2821</v>
      </c>
      <c r="F2537" s="8">
        <f>_xlfn.IFNA(INDEX('HS Codes'!$D$2:$K5091,MATCH($B2537,'HS Codes'!$A$2:$A5091,0),MATCH(F$1,'HS Codes'!$D$1:$K$1,0)),"")</f>
        <v>0</v>
      </c>
      <c r="G2537" s="8">
        <f>_xlfn.IFNA(INDEX('HS Codes'!$D$2:$K5091,MATCH($B2537,'HS Codes'!$A$2:$A5091,0),MATCH(G$1,'HS Codes'!$D$1:$K$1,0)),"")</f>
        <v>0</v>
      </c>
      <c r="H2537" s="8">
        <f>_xlfn.IFNA(INDEX('HS Codes'!$D$2:$K5091,MATCH($B2537,'HS Codes'!$A$2:$A5091,0),MATCH(H$1,'HS Codes'!$D$1:$K$1,0)),"")</f>
        <v>0</v>
      </c>
      <c r="I2537" s="8">
        <f>_xlfn.IFNA(INDEX('HS Codes'!$D$2:$K5091,MATCH($B2537,'HS Codes'!$A$2:$A5091,0),MATCH(I$1,'HS Codes'!$D$1:$K$1,0)),"")</f>
        <v>0</v>
      </c>
      <c r="J2537" s="8">
        <f>_xlfn.IFNA(INDEX('HS Codes'!$D$2:$K5091,MATCH($B2537,'HS Codes'!$A$2:$A5091,0),MATCH(J$1,'HS Codes'!$D$1:$K$1,0)),"")</f>
        <v>0</v>
      </c>
      <c r="K2537" s="8">
        <f>_xlfn.IFNA(INDEX('HS Codes'!$D$2:$K5091,MATCH($B2537,'HS Codes'!$A$2:$A5091,0),MATCH(K$1,'HS Codes'!$D$1:$K$1,0)),"")</f>
        <v>0</v>
      </c>
      <c r="L2537" s="8">
        <f>_xlfn.IFNA(INDEX('HS Codes'!$D$2:$K5091,MATCH($B2537,'HS Codes'!$A$2:$A5091,0),MATCH(L$1,'HS Codes'!$D$1:$K$1,0)),"")</f>
        <v>0</v>
      </c>
      <c r="M2537" s="8">
        <f>_xlfn.IFNA(INDEX('HS Codes'!$C$2:$C5091,MATCH($B2537,'HS Codes'!$A$2:$A5091,0)),"")</f>
        <v>0</v>
      </c>
      <c r="N2537" s="9"/>
      <c r="O2537" s="9"/>
      <c r="P2537" s="9"/>
      <c r="Q2537" s="9"/>
    </row>
    <row r="2538" spans="1:17" ht="15.75" customHeight="1">
      <c r="A2538" s="7" t="s">
        <v>2831</v>
      </c>
      <c r="B2538" s="7" t="s">
        <v>232</v>
      </c>
      <c r="C2538" s="7"/>
      <c r="D2538" s="7"/>
      <c r="E2538" s="7" t="s">
        <v>2821</v>
      </c>
      <c r="F2538" s="8">
        <f>_xlfn.IFNA(INDEX('HS Codes'!$D$2:$K5092,MATCH($B2538,'HS Codes'!$A$2:$A5092,0),MATCH(F$1,'HS Codes'!$D$1:$K$1,0)),"")</f>
        <v>0</v>
      </c>
      <c r="G2538" s="8">
        <f>_xlfn.IFNA(INDEX('HS Codes'!$D$2:$K5092,MATCH($B2538,'HS Codes'!$A$2:$A5092,0),MATCH(G$1,'HS Codes'!$D$1:$K$1,0)),"")</f>
        <v>0</v>
      </c>
      <c r="H2538" s="8">
        <f>_xlfn.IFNA(INDEX('HS Codes'!$D$2:$K5092,MATCH($B2538,'HS Codes'!$A$2:$A5092,0),MATCH(H$1,'HS Codes'!$D$1:$K$1,0)),"")</f>
        <v>0</v>
      </c>
      <c r="I2538" s="8">
        <f>_xlfn.IFNA(INDEX('HS Codes'!$D$2:$K5092,MATCH($B2538,'HS Codes'!$A$2:$A5092,0),MATCH(I$1,'HS Codes'!$D$1:$K$1,0)),"")</f>
        <v>0</v>
      </c>
      <c r="J2538" s="8">
        <f>_xlfn.IFNA(INDEX('HS Codes'!$D$2:$K5092,MATCH($B2538,'HS Codes'!$A$2:$A5092,0),MATCH(J$1,'HS Codes'!$D$1:$K$1,0)),"")</f>
        <v>0</v>
      </c>
      <c r="K2538" s="8">
        <f>_xlfn.IFNA(INDEX('HS Codes'!$D$2:$K5092,MATCH($B2538,'HS Codes'!$A$2:$A5092,0),MATCH(K$1,'HS Codes'!$D$1:$K$1,0)),"")</f>
        <v>0</v>
      </c>
      <c r="L2538" s="8">
        <f>_xlfn.IFNA(INDEX('HS Codes'!$D$2:$K5092,MATCH($B2538,'HS Codes'!$A$2:$A5092,0),MATCH(L$1,'HS Codes'!$D$1:$K$1,0)),"")</f>
        <v>0</v>
      </c>
      <c r="M2538" s="8">
        <f>_xlfn.IFNA(INDEX('HS Codes'!$C$2:$C5092,MATCH($B2538,'HS Codes'!$A$2:$A5092,0)),"")</f>
        <v>0</v>
      </c>
      <c r="N2538" s="9"/>
      <c r="O2538" s="9"/>
      <c r="P2538" s="9"/>
      <c r="Q2538" s="9"/>
    </row>
    <row r="2539" spans="1:17" ht="15.75" customHeight="1">
      <c r="A2539" s="7" t="s">
        <v>2832</v>
      </c>
      <c r="B2539" s="7" t="s">
        <v>232</v>
      </c>
      <c r="C2539" s="7"/>
      <c r="D2539" s="7"/>
      <c r="E2539" s="7" t="s">
        <v>2821</v>
      </c>
      <c r="F2539" s="8">
        <f>_xlfn.IFNA(INDEX('HS Codes'!$D$2:$K5093,MATCH($B2539,'HS Codes'!$A$2:$A5093,0),MATCH(F$1,'HS Codes'!$D$1:$K$1,0)),"")</f>
        <v>0</v>
      </c>
      <c r="G2539" s="8">
        <f>_xlfn.IFNA(INDEX('HS Codes'!$D$2:$K5093,MATCH($B2539,'HS Codes'!$A$2:$A5093,0),MATCH(G$1,'HS Codes'!$D$1:$K$1,0)),"")</f>
        <v>0</v>
      </c>
      <c r="H2539" s="8">
        <f>_xlfn.IFNA(INDEX('HS Codes'!$D$2:$K5093,MATCH($B2539,'HS Codes'!$A$2:$A5093,0),MATCH(H$1,'HS Codes'!$D$1:$K$1,0)),"")</f>
        <v>0</v>
      </c>
      <c r="I2539" s="8">
        <f>_xlfn.IFNA(INDEX('HS Codes'!$D$2:$K5093,MATCH($B2539,'HS Codes'!$A$2:$A5093,0),MATCH(I$1,'HS Codes'!$D$1:$K$1,0)),"")</f>
        <v>0</v>
      </c>
      <c r="J2539" s="8">
        <f>_xlfn.IFNA(INDEX('HS Codes'!$D$2:$K5093,MATCH($B2539,'HS Codes'!$A$2:$A5093,0),MATCH(J$1,'HS Codes'!$D$1:$K$1,0)),"")</f>
        <v>0</v>
      </c>
      <c r="K2539" s="8">
        <f>_xlfn.IFNA(INDEX('HS Codes'!$D$2:$K5093,MATCH($B2539,'HS Codes'!$A$2:$A5093,0),MATCH(K$1,'HS Codes'!$D$1:$K$1,0)),"")</f>
        <v>0</v>
      </c>
      <c r="L2539" s="8">
        <f>_xlfn.IFNA(INDEX('HS Codes'!$D$2:$K5093,MATCH($B2539,'HS Codes'!$A$2:$A5093,0),MATCH(L$1,'HS Codes'!$D$1:$K$1,0)),"")</f>
        <v>0</v>
      </c>
      <c r="M2539" s="8">
        <f>_xlfn.IFNA(INDEX('HS Codes'!$C$2:$C5093,MATCH($B2539,'HS Codes'!$A$2:$A5093,0)),"")</f>
        <v>0</v>
      </c>
      <c r="N2539" s="9"/>
      <c r="O2539" s="9"/>
      <c r="P2539" s="9"/>
      <c r="Q2539" s="9"/>
    </row>
    <row r="2540" spans="1:17" ht="15.75" customHeight="1">
      <c r="A2540" s="7" t="s">
        <v>2833</v>
      </c>
      <c r="B2540" s="7" t="s">
        <v>232</v>
      </c>
      <c r="C2540" s="7"/>
      <c r="D2540" s="7"/>
      <c r="E2540" s="7" t="s">
        <v>2821</v>
      </c>
      <c r="F2540" s="8">
        <f>_xlfn.IFNA(INDEX('HS Codes'!$D$2:$K5094,MATCH($B2540,'HS Codes'!$A$2:$A5094,0),MATCH(F$1,'HS Codes'!$D$1:$K$1,0)),"")</f>
        <v>0</v>
      </c>
      <c r="G2540" s="8">
        <f>_xlfn.IFNA(INDEX('HS Codes'!$D$2:$K5094,MATCH($B2540,'HS Codes'!$A$2:$A5094,0),MATCH(G$1,'HS Codes'!$D$1:$K$1,0)),"")</f>
        <v>0</v>
      </c>
      <c r="H2540" s="8">
        <f>_xlfn.IFNA(INDEX('HS Codes'!$D$2:$K5094,MATCH($B2540,'HS Codes'!$A$2:$A5094,0),MATCH(H$1,'HS Codes'!$D$1:$K$1,0)),"")</f>
        <v>0</v>
      </c>
      <c r="I2540" s="8">
        <f>_xlfn.IFNA(INDEX('HS Codes'!$D$2:$K5094,MATCH($B2540,'HS Codes'!$A$2:$A5094,0),MATCH(I$1,'HS Codes'!$D$1:$K$1,0)),"")</f>
        <v>0</v>
      </c>
      <c r="J2540" s="8">
        <f>_xlfn.IFNA(INDEX('HS Codes'!$D$2:$K5094,MATCH($B2540,'HS Codes'!$A$2:$A5094,0),MATCH(J$1,'HS Codes'!$D$1:$K$1,0)),"")</f>
        <v>0</v>
      </c>
      <c r="K2540" s="8">
        <f>_xlfn.IFNA(INDEX('HS Codes'!$D$2:$K5094,MATCH($B2540,'HS Codes'!$A$2:$A5094,0),MATCH(K$1,'HS Codes'!$D$1:$K$1,0)),"")</f>
        <v>0</v>
      </c>
      <c r="L2540" s="8">
        <f>_xlfn.IFNA(INDEX('HS Codes'!$D$2:$K5094,MATCH($B2540,'HS Codes'!$A$2:$A5094,0),MATCH(L$1,'HS Codes'!$D$1:$K$1,0)),"")</f>
        <v>0</v>
      </c>
      <c r="M2540" s="8">
        <f>_xlfn.IFNA(INDEX('HS Codes'!$C$2:$C5094,MATCH($B2540,'HS Codes'!$A$2:$A5094,0)),"")</f>
        <v>0</v>
      </c>
      <c r="N2540" s="9"/>
      <c r="O2540" s="9"/>
      <c r="P2540" s="9"/>
      <c r="Q2540" s="9"/>
    </row>
    <row r="2541" spans="1:17" ht="15.75" customHeight="1">
      <c r="A2541" s="7" t="s">
        <v>2834</v>
      </c>
      <c r="B2541" s="7" t="s">
        <v>232</v>
      </c>
      <c r="C2541" s="7"/>
      <c r="D2541" s="7"/>
      <c r="E2541" s="7" t="s">
        <v>2821</v>
      </c>
      <c r="F2541" s="8">
        <f>_xlfn.IFNA(INDEX('HS Codes'!$D$2:$K5095,MATCH($B2541,'HS Codes'!$A$2:$A5095,0),MATCH(F$1,'HS Codes'!$D$1:$K$1,0)),"")</f>
        <v>0</v>
      </c>
      <c r="G2541" s="8">
        <f>_xlfn.IFNA(INDEX('HS Codes'!$D$2:$K5095,MATCH($B2541,'HS Codes'!$A$2:$A5095,0),MATCH(G$1,'HS Codes'!$D$1:$K$1,0)),"")</f>
        <v>0</v>
      </c>
      <c r="H2541" s="8">
        <f>_xlfn.IFNA(INDEX('HS Codes'!$D$2:$K5095,MATCH($B2541,'HS Codes'!$A$2:$A5095,0),MATCH(H$1,'HS Codes'!$D$1:$K$1,0)),"")</f>
        <v>0</v>
      </c>
      <c r="I2541" s="8">
        <f>_xlfn.IFNA(INDEX('HS Codes'!$D$2:$K5095,MATCH($B2541,'HS Codes'!$A$2:$A5095,0),MATCH(I$1,'HS Codes'!$D$1:$K$1,0)),"")</f>
        <v>0</v>
      </c>
      <c r="J2541" s="8">
        <f>_xlfn.IFNA(INDEX('HS Codes'!$D$2:$K5095,MATCH($B2541,'HS Codes'!$A$2:$A5095,0),MATCH(J$1,'HS Codes'!$D$1:$K$1,0)),"")</f>
        <v>0</v>
      </c>
      <c r="K2541" s="8">
        <f>_xlfn.IFNA(INDEX('HS Codes'!$D$2:$K5095,MATCH($B2541,'HS Codes'!$A$2:$A5095,0),MATCH(K$1,'HS Codes'!$D$1:$K$1,0)),"")</f>
        <v>0</v>
      </c>
      <c r="L2541" s="8">
        <f>_xlfn.IFNA(INDEX('HS Codes'!$D$2:$K5095,MATCH($B2541,'HS Codes'!$A$2:$A5095,0),MATCH(L$1,'HS Codes'!$D$1:$K$1,0)),"")</f>
        <v>0</v>
      </c>
      <c r="M2541" s="8">
        <f>_xlfn.IFNA(INDEX('HS Codes'!$C$2:$C5095,MATCH($B2541,'HS Codes'!$A$2:$A5095,0)),"")</f>
        <v>0</v>
      </c>
      <c r="N2541" s="9"/>
      <c r="O2541" s="9"/>
      <c r="P2541" s="9"/>
      <c r="Q2541" s="9"/>
    </row>
    <row r="2542" spans="1:17" ht="15.75" customHeight="1">
      <c r="A2542" s="7" t="s">
        <v>2835</v>
      </c>
      <c r="B2542" s="7" t="s">
        <v>232</v>
      </c>
      <c r="C2542" s="7"/>
      <c r="D2542" s="7"/>
      <c r="E2542" s="7" t="s">
        <v>2821</v>
      </c>
      <c r="F2542" s="8">
        <f>_xlfn.IFNA(INDEX('HS Codes'!$D$2:$K5096,MATCH($B2542,'HS Codes'!$A$2:$A5096,0),MATCH(F$1,'HS Codes'!$D$1:$K$1,0)),"")</f>
        <v>0</v>
      </c>
      <c r="G2542" s="8">
        <f>_xlfn.IFNA(INDEX('HS Codes'!$D$2:$K5096,MATCH($B2542,'HS Codes'!$A$2:$A5096,0),MATCH(G$1,'HS Codes'!$D$1:$K$1,0)),"")</f>
        <v>0</v>
      </c>
      <c r="H2542" s="8">
        <f>_xlfn.IFNA(INDEX('HS Codes'!$D$2:$K5096,MATCH($B2542,'HS Codes'!$A$2:$A5096,0),MATCH(H$1,'HS Codes'!$D$1:$K$1,0)),"")</f>
        <v>0</v>
      </c>
      <c r="I2542" s="8">
        <f>_xlfn.IFNA(INDEX('HS Codes'!$D$2:$K5096,MATCH($B2542,'HS Codes'!$A$2:$A5096,0),MATCH(I$1,'HS Codes'!$D$1:$K$1,0)),"")</f>
        <v>0</v>
      </c>
      <c r="J2542" s="8">
        <f>_xlfn.IFNA(INDEX('HS Codes'!$D$2:$K5096,MATCH($B2542,'HS Codes'!$A$2:$A5096,0),MATCH(J$1,'HS Codes'!$D$1:$K$1,0)),"")</f>
        <v>0</v>
      </c>
      <c r="K2542" s="8">
        <f>_xlfn.IFNA(INDEX('HS Codes'!$D$2:$K5096,MATCH($B2542,'HS Codes'!$A$2:$A5096,0),MATCH(K$1,'HS Codes'!$D$1:$K$1,0)),"")</f>
        <v>0</v>
      </c>
      <c r="L2542" s="8">
        <f>_xlfn.IFNA(INDEX('HS Codes'!$D$2:$K5096,MATCH($B2542,'HS Codes'!$A$2:$A5096,0),MATCH(L$1,'HS Codes'!$D$1:$K$1,0)),"")</f>
        <v>0</v>
      </c>
      <c r="M2542" s="8">
        <f>_xlfn.IFNA(INDEX('HS Codes'!$C$2:$C5096,MATCH($B2542,'HS Codes'!$A$2:$A5096,0)),"")</f>
        <v>0</v>
      </c>
      <c r="N2542" s="9"/>
      <c r="O2542" s="9"/>
      <c r="P2542" s="9"/>
      <c r="Q2542" s="9"/>
    </row>
    <row r="2543" spans="1:17" ht="15.75" customHeight="1">
      <c r="A2543" s="7" t="s">
        <v>2836</v>
      </c>
      <c r="B2543" s="7" t="s">
        <v>232</v>
      </c>
      <c r="C2543" s="7"/>
      <c r="D2543" s="7"/>
      <c r="E2543" s="7" t="s">
        <v>2821</v>
      </c>
      <c r="F2543" s="8">
        <f>_xlfn.IFNA(INDEX('HS Codes'!$D$2:$K5097,MATCH($B2543,'HS Codes'!$A$2:$A5097,0),MATCH(F$1,'HS Codes'!$D$1:$K$1,0)),"")</f>
        <v>0</v>
      </c>
      <c r="G2543" s="8">
        <f>_xlfn.IFNA(INDEX('HS Codes'!$D$2:$K5097,MATCH($B2543,'HS Codes'!$A$2:$A5097,0),MATCH(G$1,'HS Codes'!$D$1:$K$1,0)),"")</f>
        <v>0</v>
      </c>
      <c r="H2543" s="8">
        <f>_xlfn.IFNA(INDEX('HS Codes'!$D$2:$K5097,MATCH($B2543,'HS Codes'!$A$2:$A5097,0),MATCH(H$1,'HS Codes'!$D$1:$K$1,0)),"")</f>
        <v>0</v>
      </c>
      <c r="I2543" s="8">
        <f>_xlfn.IFNA(INDEX('HS Codes'!$D$2:$K5097,MATCH($B2543,'HS Codes'!$A$2:$A5097,0),MATCH(I$1,'HS Codes'!$D$1:$K$1,0)),"")</f>
        <v>0</v>
      </c>
      <c r="J2543" s="8">
        <f>_xlfn.IFNA(INDEX('HS Codes'!$D$2:$K5097,MATCH($B2543,'HS Codes'!$A$2:$A5097,0),MATCH(J$1,'HS Codes'!$D$1:$K$1,0)),"")</f>
        <v>0</v>
      </c>
      <c r="K2543" s="8">
        <f>_xlfn.IFNA(INDEX('HS Codes'!$D$2:$K5097,MATCH($B2543,'HS Codes'!$A$2:$A5097,0),MATCH(K$1,'HS Codes'!$D$1:$K$1,0)),"")</f>
        <v>0</v>
      </c>
      <c r="L2543" s="8">
        <f>_xlfn.IFNA(INDEX('HS Codes'!$D$2:$K5097,MATCH($B2543,'HS Codes'!$A$2:$A5097,0),MATCH(L$1,'HS Codes'!$D$1:$K$1,0)),"")</f>
        <v>0</v>
      </c>
      <c r="M2543" s="8">
        <f>_xlfn.IFNA(INDEX('HS Codes'!$C$2:$C5097,MATCH($B2543,'HS Codes'!$A$2:$A5097,0)),"")</f>
        <v>0</v>
      </c>
      <c r="N2543" s="9"/>
      <c r="O2543" s="9"/>
      <c r="P2543" s="9"/>
      <c r="Q2543" s="9"/>
    </row>
    <row r="2544" spans="1:17" ht="15.75" customHeight="1">
      <c r="A2544" s="7" t="s">
        <v>2837</v>
      </c>
      <c r="B2544" s="7"/>
      <c r="C2544" s="7"/>
      <c r="D2544" s="7"/>
      <c r="E2544" s="7"/>
      <c r="F2544" s="8" t="str">
        <f>_xlfn.IFNA(INDEX('HS Codes'!$D$2:$K5098,MATCH($B2544,'HS Codes'!$A$2:$A5098,0),MATCH(F$1,'HS Codes'!$D$1:$K$1,0)),"")</f>
        <v/>
      </c>
      <c r="G2544" s="8" t="str">
        <f>_xlfn.IFNA(INDEX('HS Codes'!$D$2:$K5098,MATCH($B2544,'HS Codes'!$A$2:$A5098,0),MATCH(G$1,'HS Codes'!$D$1:$K$1,0)),"")</f>
        <v/>
      </c>
      <c r="H2544" s="8" t="str">
        <f>_xlfn.IFNA(INDEX('HS Codes'!$D$2:$K5098,MATCH($B2544,'HS Codes'!$A$2:$A5098,0),MATCH(H$1,'HS Codes'!$D$1:$K$1,0)),"")</f>
        <v/>
      </c>
      <c r="I2544" s="8" t="str">
        <f>_xlfn.IFNA(INDEX('HS Codes'!$D$2:$K5098,MATCH($B2544,'HS Codes'!$A$2:$A5098,0),MATCH(I$1,'HS Codes'!$D$1:$K$1,0)),"")</f>
        <v/>
      </c>
      <c r="J2544" s="8" t="str">
        <f>_xlfn.IFNA(INDEX('HS Codes'!$D$2:$K5098,MATCH($B2544,'HS Codes'!$A$2:$A5098,0),MATCH(J$1,'HS Codes'!$D$1:$K$1,0)),"")</f>
        <v/>
      </c>
      <c r="K2544" s="8" t="str">
        <f>_xlfn.IFNA(INDEX('HS Codes'!$D$2:$K5098,MATCH($B2544,'HS Codes'!$A$2:$A5098,0),MATCH(K$1,'HS Codes'!$D$1:$K$1,0)),"")</f>
        <v/>
      </c>
      <c r="L2544" s="8" t="str">
        <f>_xlfn.IFNA(INDEX('HS Codes'!$D$2:$K5098,MATCH($B2544,'HS Codes'!$A$2:$A5098,0),MATCH(L$1,'HS Codes'!$D$1:$K$1,0)),"")</f>
        <v/>
      </c>
      <c r="M2544" s="8" t="str">
        <f>_xlfn.IFNA(INDEX('HS Codes'!$C$2:$C5098,MATCH($B2544,'HS Codes'!$A$2:$A5098,0)),"")</f>
        <v/>
      </c>
      <c r="N2544" s="9"/>
      <c r="O2544" s="9"/>
      <c r="P2544" s="9"/>
      <c r="Q2544" s="9"/>
    </row>
    <row r="2545" spans="1:17" ht="15.75" customHeight="1">
      <c r="A2545" s="7" t="s">
        <v>2838</v>
      </c>
      <c r="B2545" s="7"/>
      <c r="C2545" s="7"/>
      <c r="D2545" s="7"/>
      <c r="E2545" s="7"/>
      <c r="F2545" s="8" t="str">
        <f>_xlfn.IFNA(INDEX('HS Codes'!$D$2:$K5099,MATCH($B2545,'HS Codes'!$A$2:$A5099,0),MATCH(F$1,'HS Codes'!$D$1:$K$1,0)),"")</f>
        <v/>
      </c>
      <c r="G2545" s="8" t="str">
        <f>_xlfn.IFNA(INDEX('HS Codes'!$D$2:$K5099,MATCH($B2545,'HS Codes'!$A$2:$A5099,0),MATCH(G$1,'HS Codes'!$D$1:$K$1,0)),"")</f>
        <v/>
      </c>
      <c r="H2545" s="8" t="str">
        <f>_xlfn.IFNA(INDEX('HS Codes'!$D$2:$K5099,MATCH($B2545,'HS Codes'!$A$2:$A5099,0),MATCH(H$1,'HS Codes'!$D$1:$K$1,0)),"")</f>
        <v/>
      </c>
      <c r="I2545" s="8" t="str">
        <f>_xlfn.IFNA(INDEX('HS Codes'!$D$2:$K5099,MATCH($B2545,'HS Codes'!$A$2:$A5099,0),MATCH(I$1,'HS Codes'!$D$1:$K$1,0)),"")</f>
        <v/>
      </c>
      <c r="J2545" s="8" t="str">
        <f>_xlfn.IFNA(INDEX('HS Codes'!$D$2:$K5099,MATCH($B2545,'HS Codes'!$A$2:$A5099,0),MATCH(J$1,'HS Codes'!$D$1:$K$1,0)),"")</f>
        <v/>
      </c>
      <c r="K2545" s="8" t="str">
        <f>_xlfn.IFNA(INDEX('HS Codes'!$D$2:$K5099,MATCH($B2545,'HS Codes'!$A$2:$A5099,0),MATCH(K$1,'HS Codes'!$D$1:$K$1,0)),"")</f>
        <v/>
      </c>
      <c r="L2545" s="8" t="str">
        <f>_xlfn.IFNA(INDEX('HS Codes'!$D$2:$K5099,MATCH($B2545,'HS Codes'!$A$2:$A5099,0),MATCH(L$1,'HS Codes'!$D$1:$K$1,0)),"")</f>
        <v/>
      </c>
      <c r="M2545" s="8" t="str">
        <f>_xlfn.IFNA(INDEX('HS Codes'!$C$2:$C5099,MATCH($B2545,'HS Codes'!$A$2:$A5099,0)),"")</f>
        <v/>
      </c>
      <c r="N2545" s="9"/>
      <c r="O2545" s="9"/>
      <c r="P2545" s="9"/>
      <c r="Q2545" s="9"/>
    </row>
    <row r="2546" spans="1:17" ht="15.75" customHeight="1">
      <c r="A2546" s="7" t="s">
        <v>2839</v>
      </c>
      <c r="B2546" s="7"/>
      <c r="C2546" s="7"/>
      <c r="D2546" s="7"/>
      <c r="E2546" s="7"/>
      <c r="F2546" s="8" t="str">
        <f>_xlfn.IFNA(INDEX('HS Codes'!$D$2:$K5100,MATCH($B2546,'HS Codes'!$A$2:$A5100,0),MATCH(F$1,'HS Codes'!$D$1:$K$1,0)),"")</f>
        <v/>
      </c>
      <c r="G2546" s="8" t="str">
        <f>_xlfn.IFNA(INDEX('HS Codes'!$D$2:$K5100,MATCH($B2546,'HS Codes'!$A$2:$A5100,0),MATCH(G$1,'HS Codes'!$D$1:$K$1,0)),"")</f>
        <v/>
      </c>
      <c r="H2546" s="8" t="str">
        <f>_xlfn.IFNA(INDEX('HS Codes'!$D$2:$K5100,MATCH($B2546,'HS Codes'!$A$2:$A5100,0),MATCH(H$1,'HS Codes'!$D$1:$K$1,0)),"")</f>
        <v/>
      </c>
      <c r="I2546" s="8" t="str">
        <f>_xlfn.IFNA(INDEX('HS Codes'!$D$2:$K5100,MATCH($B2546,'HS Codes'!$A$2:$A5100,0),MATCH(I$1,'HS Codes'!$D$1:$K$1,0)),"")</f>
        <v/>
      </c>
      <c r="J2546" s="8" t="str">
        <f>_xlfn.IFNA(INDEX('HS Codes'!$D$2:$K5100,MATCH($B2546,'HS Codes'!$A$2:$A5100,0),MATCH(J$1,'HS Codes'!$D$1:$K$1,0)),"")</f>
        <v/>
      </c>
      <c r="K2546" s="8" t="str">
        <f>_xlfn.IFNA(INDEX('HS Codes'!$D$2:$K5100,MATCH($B2546,'HS Codes'!$A$2:$A5100,0),MATCH(K$1,'HS Codes'!$D$1:$K$1,0)),"")</f>
        <v/>
      </c>
      <c r="L2546" s="8" t="str">
        <f>_xlfn.IFNA(INDEX('HS Codes'!$D$2:$K5100,MATCH($B2546,'HS Codes'!$A$2:$A5100,0),MATCH(L$1,'HS Codes'!$D$1:$K$1,0)),"")</f>
        <v/>
      </c>
      <c r="M2546" s="8" t="str">
        <f>_xlfn.IFNA(INDEX('HS Codes'!$C$2:$C5100,MATCH($B2546,'HS Codes'!$A$2:$A5100,0)),"")</f>
        <v/>
      </c>
      <c r="N2546" s="9"/>
      <c r="O2546" s="9"/>
      <c r="P2546" s="9"/>
      <c r="Q2546" s="9"/>
    </row>
    <row r="2547" spans="1:17" ht="15.75" customHeight="1">
      <c r="A2547" s="7" t="s">
        <v>2840</v>
      </c>
      <c r="B2547" s="7" t="s">
        <v>240</v>
      </c>
      <c r="C2547" s="7"/>
      <c r="D2547" s="7" t="s">
        <v>241</v>
      </c>
      <c r="E2547" s="7" t="s">
        <v>523</v>
      </c>
      <c r="F2547" s="8" t="str">
        <f>_xlfn.IFNA(INDEX('HS Codes'!$D$2:$K5101,MATCH($B2547,'HS Codes'!$A$2:$A5101,0),MATCH(F$1,'HS Codes'!$D$1:$K$1,0)),"")</f>
        <v>4819.10.0040</v>
      </c>
      <c r="G2547" s="8">
        <f>_xlfn.IFNA(INDEX('HS Codes'!$D$2:$K5101,MATCH($B2547,'HS Codes'!$A$2:$A5101,0),MATCH(G$1,'HS Codes'!$D$1:$K$1,0)),"")</f>
        <v>4819100000</v>
      </c>
      <c r="H2547" s="8">
        <f>_xlfn.IFNA(INDEX('HS Codes'!$D$2:$K5101,MATCH($B2547,'HS Codes'!$A$2:$A5101,0),MATCH(H$1,'HS Codes'!$D$1:$K$1,0)),"")</f>
        <v>4819100000</v>
      </c>
      <c r="I2547" s="8">
        <f>_xlfn.IFNA(INDEX('HS Codes'!$D$2:$K5101,MATCH($B2547,'HS Codes'!$A$2:$A5101,0),MATCH(I$1,'HS Codes'!$D$1:$K$1,0)),"")</f>
        <v>48191000</v>
      </c>
      <c r="J2547" s="8">
        <f>_xlfn.IFNA(INDEX('HS Codes'!$D$2:$K5101,MATCH($B2547,'HS Codes'!$A$2:$A5101,0),MATCH(J$1,'HS Codes'!$D$1:$K$1,0)),"")</f>
        <v>0</v>
      </c>
      <c r="K2547" s="8" t="str">
        <f>_xlfn.IFNA(INDEX('HS Codes'!$D$2:$K5101,MATCH($B2547,'HS Codes'!$A$2:$A5101,0),MATCH(K$1,'HS Codes'!$D$1:$K$1,0)),"")</f>
        <v>4819.10.00</v>
      </c>
      <c r="L2547" s="8">
        <f>_xlfn.IFNA(INDEX('HS Codes'!$D$2:$K5101,MATCH($B2547,'HS Codes'!$A$2:$A5101,0),MATCH(L$1,'HS Codes'!$D$1:$K$1,0)),"")</f>
        <v>0</v>
      </c>
      <c r="M2547" s="8" t="str">
        <f>_xlfn.IFNA(INDEX('HS Codes'!$C$2:$C5101,MATCH($B2547,'HS Codes'!$A$2:$A5101,0)),"")</f>
        <v>Paperboard 100% recycled cardboard</v>
      </c>
      <c r="N2547" s="9"/>
      <c r="O2547" s="9"/>
      <c r="P2547" s="9"/>
      <c r="Q2547" s="9"/>
    </row>
    <row r="2548" spans="1:17" ht="15.75" customHeight="1">
      <c r="A2548" s="7" t="s">
        <v>2841</v>
      </c>
      <c r="B2548" s="7"/>
      <c r="C2548" s="7"/>
      <c r="D2548" s="7"/>
      <c r="E2548" s="7"/>
      <c r="F2548" s="8" t="str">
        <f>_xlfn.IFNA(INDEX('HS Codes'!$D$2:$K5102,MATCH($B2548,'HS Codes'!$A$2:$A5102,0),MATCH(F$1,'HS Codes'!$D$1:$K$1,0)),"")</f>
        <v/>
      </c>
      <c r="G2548" s="8" t="str">
        <f>_xlfn.IFNA(INDEX('HS Codes'!$D$2:$K5102,MATCH($B2548,'HS Codes'!$A$2:$A5102,0),MATCH(G$1,'HS Codes'!$D$1:$K$1,0)),"")</f>
        <v/>
      </c>
      <c r="H2548" s="8" t="str">
        <f>_xlfn.IFNA(INDEX('HS Codes'!$D$2:$K5102,MATCH($B2548,'HS Codes'!$A$2:$A5102,0),MATCH(H$1,'HS Codes'!$D$1:$K$1,0)),"")</f>
        <v/>
      </c>
      <c r="I2548" s="8" t="str">
        <f>_xlfn.IFNA(INDEX('HS Codes'!$D$2:$K5102,MATCH($B2548,'HS Codes'!$A$2:$A5102,0),MATCH(I$1,'HS Codes'!$D$1:$K$1,0)),"")</f>
        <v/>
      </c>
      <c r="J2548" s="8" t="str">
        <f>_xlfn.IFNA(INDEX('HS Codes'!$D$2:$K5102,MATCH($B2548,'HS Codes'!$A$2:$A5102,0),MATCH(J$1,'HS Codes'!$D$1:$K$1,0)),"")</f>
        <v/>
      </c>
      <c r="K2548" s="8" t="str">
        <f>_xlfn.IFNA(INDEX('HS Codes'!$D$2:$K5102,MATCH($B2548,'HS Codes'!$A$2:$A5102,0),MATCH(K$1,'HS Codes'!$D$1:$K$1,0)),"")</f>
        <v/>
      </c>
      <c r="L2548" s="8" t="str">
        <f>_xlfn.IFNA(INDEX('HS Codes'!$D$2:$K5102,MATCH($B2548,'HS Codes'!$A$2:$A5102,0),MATCH(L$1,'HS Codes'!$D$1:$K$1,0)),"")</f>
        <v/>
      </c>
      <c r="M2548" s="8" t="str">
        <f>_xlfn.IFNA(INDEX('HS Codes'!$C$2:$C5102,MATCH($B2548,'HS Codes'!$A$2:$A5102,0)),"")</f>
        <v/>
      </c>
      <c r="N2548" s="9"/>
      <c r="O2548" s="9"/>
      <c r="P2548" s="9"/>
      <c r="Q2548" s="9"/>
    </row>
    <row r="2549" spans="1:17" ht="15.75" customHeight="1">
      <c r="A2549" s="7" t="s">
        <v>2842</v>
      </c>
      <c r="B2549" s="7"/>
      <c r="C2549" s="7"/>
      <c r="D2549" s="7"/>
      <c r="E2549" s="7"/>
      <c r="F2549" s="8" t="str">
        <f>_xlfn.IFNA(INDEX('HS Codes'!$D$2:$K5103,MATCH($B2549,'HS Codes'!$A$2:$A5103,0),MATCH(F$1,'HS Codes'!$D$1:$K$1,0)),"")</f>
        <v/>
      </c>
      <c r="G2549" s="8" t="str">
        <f>_xlfn.IFNA(INDEX('HS Codes'!$D$2:$K5103,MATCH($B2549,'HS Codes'!$A$2:$A5103,0),MATCH(G$1,'HS Codes'!$D$1:$K$1,0)),"")</f>
        <v/>
      </c>
      <c r="H2549" s="8" t="str">
        <f>_xlfn.IFNA(INDEX('HS Codes'!$D$2:$K5103,MATCH($B2549,'HS Codes'!$A$2:$A5103,0),MATCH(H$1,'HS Codes'!$D$1:$K$1,0)),"")</f>
        <v/>
      </c>
      <c r="I2549" s="8" t="str">
        <f>_xlfn.IFNA(INDEX('HS Codes'!$D$2:$K5103,MATCH($B2549,'HS Codes'!$A$2:$A5103,0),MATCH(I$1,'HS Codes'!$D$1:$K$1,0)),"")</f>
        <v/>
      </c>
      <c r="J2549" s="8" t="str">
        <f>_xlfn.IFNA(INDEX('HS Codes'!$D$2:$K5103,MATCH($B2549,'HS Codes'!$A$2:$A5103,0),MATCH(J$1,'HS Codes'!$D$1:$K$1,0)),"")</f>
        <v/>
      </c>
      <c r="K2549" s="8" t="str">
        <f>_xlfn.IFNA(INDEX('HS Codes'!$D$2:$K5103,MATCH($B2549,'HS Codes'!$A$2:$A5103,0),MATCH(K$1,'HS Codes'!$D$1:$K$1,0)),"")</f>
        <v/>
      </c>
      <c r="L2549" s="8" t="str">
        <f>_xlfn.IFNA(INDEX('HS Codes'!$D$2:$K5103,MATCH($B2549,'HS Codes'!$A$2:$A5103,0),MATCH(L$1,'HS Codes'!$D$1:$K$1,0)),"")</f>
        <v/>
      </c>
      <c r="M2549" s="8" t="str">
        <f>_xlfn.IFNA(INDEX('HS Codes'!$C$2:$C5103,MATCH($B2549,'HS Codes'!$A$2:$A5103,0)),"")</f>
        <v/>
      </c>
      <c r="N2549" s="9"/>
      <c r="O2549" s="9"/>
      <c r="P2549" s="9"/>
      <c r="Q2549" s="9"/>
    </row>
    <row r="2550" spans="1:17" ht="15.75" customHeight="1">
      <c r="A2550" s="7" t="s">
        <v>2843</v>
      </c>
      <c r="B2550" s="7"/>
      <c r="C2550" s="7"/>
      <c r="D2550" s="7"/>
      <c r="E2550" s="7"/>
      <c r="F2550" s="8" t="str">
        <f>_xlfn.IFNA(INDEX('HS Codes'!$D$2:$K5104,MATCH($B2550,'HS Codes'!$A$2:$A5104,0),MATCH(F$1,'HS Codes'!$D$1:$K$1,0)),"")</f>
        <v/>
      </c>
      <c r="G2550" s="8" t="str">
        <f>_xlfn.IFNA(INDEX('HS Codes'!$D$2:$K5104,MATCH($B2550,'HS Codes'!$A$2:$A5104,0),MATCH(G$1,'HS Codes'!$D$1:$K$1,0)),"")</f>
        <v/>
      </c>
      <c r="H2550" s="8" t="str">
        <f>_xlfn.IFNA(INDEX('HS Codes'!$D$2:$K5104,MATCH($B2550,'HS Codes'!$A$2:$A5104,0),MATCH(H$1,'HS Codes'!$D$1:$K$1,0)),"")</f>
        <v/>
      </c>
      <c r="I2550" s="8" t="str">
        <f>_xlfn.IFNA(INDEX('HS Codes'!$D$2:$K5104,MATCH($B2550,'HS Codes'!$A$2:$A5104,0),MATCH(I$1,'HS Codes'!$D$1:$K$1,0)),"")</f>
        <v/>
      </c>
      <c r="J2550" s="8" t="str">
        <f>_xlfn.IFNA(INDEX('HS Codes'!$D$2:$K5104,MATCH($B2550,'HS Codes'!$A$2:$A5104,0),MATCH(J$1,'HS Codes'!$D$1:$K$1,0)),"")</f>
        <v/>
      </c>
      <c r="K2550" s="8" t="str">
        <f>_xlfn.IFNA(INDEX('HS Codes'!$D$2:$K5104,MATCH($B2550,'HS Codes'!$A$2:$A5104,0),MATCH(K$1,'HS Codes'!$D$1:$K$1,0)),"")</f>
        <v/>
      </c>
      <c r="L2550" s="8" t="str">
        <f>_xlfn.IFNA(INDEX('HS Codes'!$D$2:$K5104,MATCH($B2550,'HS Codes'!$A$2:$A5104,0),MATCH(L$1,'HS Codes'!$D$1:$K$1,0)),"")</f>
        <v/>
      </c>
      <c r="M2550" s="8" t="str">
        <f>_xlfn.IFNA(INDEX('HS Codes'!$C$2:$C5104,MATCH($B2550,'HS Codes'!$A$2:$A5104,0)),"")</f>
        <v/>
      </c>
      <c r="N2550" s="9"/>
      <c r="O2550" s="9"/>
      <c r="P2550" s="9"/>
      <c r="Q2550" s="9"/>
    </row>
    <row r="2551" spans="1:17" ht="15.75" customHeight="1">
      <c r="A2551" s="7" t="s">
        <v>2844</v>
      </c>
      <c r="B2551" s="7"/>
      <c r="C2551" s="7"/>
      <c r="D2551" s="7"/>
      <c r="E2551" s="7"/>
      <c r="F2551" s="8" t="str">
        <f>_xlfn.IFNA(INDEX('HS Codes'!$D$2:$K5105,MATCH($B2551,'HS Codes'!$A$2:$A5105,0),MATCH(F$1,'HS Codes'!$D$1:$K$1,0)),"")</f>
        <v/>
      </c>
      <c r="G2551" s="8" t="str">
        <f>_xlfn.IFNA(INDEX('HS Codes'!$D$2:$K5105,MATCH($B2551,'HS Codes'!$A$2:$A5105,0),MATCH(G$1,'HS Codes'!$D$1:$K$1,0)),"")</f>
        <v/>
      </c>
      <c r="H2551" s="8" t="str">
        <f>_xlfn.IFNA(INDEX('HS Codes'!$D$2:$K5105,MATCH($B2551,'HS Codes'!$A$2:$A5105,0),MATCH(H$1,'HS Codes'!$D$1:$K$1,0)),"")</f>
        <v/>
      </c>
      <c r="I2551" s="8" t="str">
        <f>_xlfn.IFNA(INDEX('HS Codes'!$D$2:$K5105,MATCH($B2551,'HS Codes'!$A$2:$A5105,0),MATCH(I$1,'HS Codes'!$D$1:$K$1,0)),"")</f>
        <v/>
      </c>
      <c r="J2551" s="8" t="str">
        <f>_xlfn.IFNA(INDEX('HS Codes'!$D$2:$K5105,MATCH($B2551,'HS Codes'!$A$2:$A5105,0),MATCH(J$1,'HS Codes'!$D$1:$K$1,0)),"")</f>
        <v/>
      </c>
      <c r="K2551" s="8" t="str">
        <f>_xlfn.IFNA(INDEX('HS Codes'!$D$2:$K5105,MATCH($B2551,'HS Codes'!$A$2:$A5105,0),MATCH(K$1,'HS Codes'!$D$1:$K$1,0)),"")</f>
        <v/>
      </c>
      <c r="L2551" s="8" t="str">
        <f>_xlfn.IFNA(INDEX('HS Codes'!$D$2:$K5105,MATCH($B2551,'HS Codes'!$A$2:$A5105,0),MATCH(L$1,'HS Codes'!$D$1:$K$1,0)),"")</f>
        <v/>
      </c>
      <c r="M2551" s="8" t="str">
        <f>_xlfn.IFNA(INDEX('HS Codes'!$C$2:$C5105,MATCH($B2551,'HS Codes'!$A$2:$A5105,0)),"")</f>
        <v/>
      </c>
      <c r="N2551" s="9"/>
      <c r="O2551" s="9"/>
      <c r="P2551" s="9"/>
      <c r="Q2551" s="9"/>
    </row>
    <row r="2552" spans="1:17" ht="15.75" customHeight="1">
      <c r="A2552" s="7" t="s">
        <v>2845</v>
      </c>
      <c r="B2552" s="7"/>
      <c r="C2552" s="7"/>
      <c r="D2552" s="7"/>
      <c r="E2552" s="7"/>
      <c r="F2552" s="8" t="str">
        <f>_xlfn.IFNA(INDEX('HS Codes'!$D$2:$K5106,MATCH($B2552,'HS Codes'!$A$2:$A5106,0),MATCH(F$1,'HS Codes'!$D$1:$K$1,0)),"")</f>
        <v/>
      </c>
      <c r="G2552" s="8" t="str">
        <f>_xlfn.IFNA(INDEX('HS Codes'!$D$2:$K5106,MATCH($B2552,'HS Codes'!$A$2:$A5106,0),MATCH(G$1,'HS Codes'!$D$1:$K$1,0)),"")</f>
        <v/>
      </c>
      <c r="H2552" s="8" t="str">
        <f>_xlfn.IFNA(INDEX('HS Codes'!$D$2:$K5106,MATCH($B2552,'HS Codes'!$A$2:$A5106,0),MATCH(H$1,'HS Codes'!$D$1:$K$1,0)),"")</f>
        <v/>
      </c>
      <c r="I2552" s="8" t="str">
        <f>_xlfn.IFNA(INDEX('HS Codes'!$D$2:$K5106,MATCH($B2552,'HS Codes'!$A$2:$A5106,0),MATCH(I$1,'HS Codes'!$D$1:$K$1,0)),"")</f>
        <v/>
      </c>
      <c r="J2552" s="8" t="str">
        <f>_xlfn.IFNA(INDEX('HS Codes'!$D$2:$K5106,MATCH($B2552,'HS Codes'!$A$2:$A5106,0),MATCH(J$1,'HS Codes'!$D$1:$K$1,0)),"")</f>
        <v/>
      </c>
      <c r="K2552" s="8" t="str">
        <f>_xlfn.IFNA(INDEX('HS Codes'!$D$2:$K5106,MATCH($B2552,'HS Codes'!$A$2:$A5106,0),MATCH(K$1,'HS Codes'!$D$1:$K$1,0)),"")</f>
        <v/>
      </c>
      <c r="L2552" s="8" t="str">
        <f>_xlfn.IFNA(INDEX('HS Codes'!$D$2:$K5106,MATCH($B2552,'HS Codes'!$A$2:$A5106,0),MATCH(L$1,'HS Codes'!$D$1:$K$1,0)),"")</f>
        <v/>
      </c>
      <c r="M2552" s="8" t="str">
        <f>_xlfn.IFNA(INDEX('HS Codes'!$C$2:$C5106,MATCH($B2552,'HS Codes'!$A$2:$A5106,0)),"")</f>
        <v/>
      </c>
      <c r="N2552" s="9"/>
      <c r="O2552" s="9"/>
      <c r="P2552" s="9"/>
      <c r="Q2552" s="9"/>
    </row>
    <row r="2553" spans="1:17" ht="15.75" customHeight="1">
      <c r="A2553" s="7" t="s">
        <v>2846</v>
      </c>
      <c r="B2553" s="7" t="s">
        <v>164</v>
      </c>
      <c r="C2553" s="7" t="s">
        <v>278</v>
      </c>
      <c r="D2553" s="7" t="s">
        <v>165</v>
      </c>
      <c r="E2553" s="7" t="s">
        <v>348</v>
      </c>
      <c r="F2553" s="8" t="str">
        <f>_xlfn.IFNA(INDEX('HS Codes'!$D$2:$K5107,MATCH($B2553,'HS Codes'!$A$2:$A5107,0),MATCH(F$1,'HS Codes'!$D$1:$K$1,0)),"")</f>
        <v>6302.93.2000</v>
      </c>
      <c r="G2553" s="8">
        <f>_xlfn.IFNA(INDEX('HS Codes'!$D$2:$K5107,MATCH($B2553,'HS Codes'!$A$2:$A5107,0),MATCH(G$1,'HS Codes'!$D$1:$K$1,0)),"")</f>
        <v>6302600090</v>
      </c>
      <c r="H2553" s="8" t="str">
        <f>_xlfn.IFNA(INDEX('HS Codes'!$D$2:$K5107,MATCH($B2553,'HS Codes'!$A$2:$A5107,0),MATCH(H$1,'HS Codes'!$D$1:$K$1,0)),"")</f>
        <v>6302.93.00.00</v>
      </c>
      <c r="I2553" s="8">
        <f>_xlfn.IFNA(INDEX('HS Codes'!$D$2:$K5107,MATCH($B2553,'HS Codes'!$A$2:$A5107,0),MATCH(I$1,'HS Codes'!$D$1:$K$1,0)),"")</f>
        <v>63029390</v>
      </c>
      <c r="J2553" s="8">
        <f>_xlfn.IFNA(INDEX('HS Codes'!$D$2:$K5107,MATCH($B2553,'HS Codes'!$A$2:$A5107,0),MATCH(J$1,'HS Codes'!$D$1:$K$1,0)),"")</f>
        <v>0</v>
      </c>
      <c r="K2553" s="8" t="str">
        <f>_xlfn.IFNA(INDEX('HS Codes'!$D$2:$K5107,MATCH($B2553,'HS Codes'!$A$2:$A5107,0),MATCH(K$1,'HS Codes'!$D$1:$K$1,0)),"")</f>
        <v>6302.39.00</v>
      </c>
      <c r="L2553" s="8">
        <f>_xlfn.IFNA(INDEX('HS Codes'!$D$2:$K5107,MATCH($B2553,'HS Codes'!$A$2:$A5107,0),MATCH(L$1,'HS Codes'!$D$1:$K$1,0)),"")</f>
        <v>63029120</v>
      </c>
      <c r="M2553" s="8" t="str">
        <f>_xlfn.IFNA(INDEX('HS Codes'!$C$2:$C5107,MATCH($B2553,'HS Codes'!$A$2:$A5107,0)),"")</f>
        <v>Beach Towel - Toilet Linen 100% recycled 220 GSM/83% polyester/17% polyamide includes cotton on the packing pouch drawstring</v>
      </c>
      <c r="N2553" s="9"/>
      <c r="O2553" s="9"/>
      <c r="P2553" s="9"/>
      <c r="Q2553" s="9"/>
    </row>
    <row r="2554" spans="1:17" ht="15.75" customHeight="1">
      <c r="A2554" s="7" t="s">
        <v>2847</v>
      </c>
      <c r="B2554" s="7" t="s">
        <v>164</v>
      </c>
      <c r="C2554" s="7" t="s">
        <v>278</v>
      </c>
      <c r="D2554" s="7" t="s">
        <v>165</v>
      </c>
      <c r="E2554" s="7" t="s">
        <v>348</v>
      </c>
      <c r="F2554" s="8" t="str">
        <f>_xlfn.IFNA(INDEX('HS Codes'!$D$2:$K5108,MATCH($B2554,'HS Codes'!$A$2:$A5108,0),MATCH(F$1,'HS Codes'!$D$1:$K$1,0)),"")</f>
        <v>6302.93.2000</v>
      </c>
      <c r="G2554" s="8">
        <f>_xlfn.IFNA(INDEX('HS Codes'!$D$2:$K5108,MATCH($B2554,'HS Codes'!$A$2:$A5108,0),MATCH(G$1,'HS Codes'!$D$1:$K$1,0)),"")</f>
        <v>6302600090</v>
      </c>
      <c r="H2554" s="8" t="str">
        <f>_xlfn.IFNA(INDEX('HS Codes'!$D$2:$K5108,MATCH($B2554,'HS Codes'!$A$2:$A5108,0),MATCH(H$1,'HS Codes'!$D$1:$K$1,0)),"")</f>
        <v>6302.93.00.00</v>
      </c>
      <c r="I2554" s="8">
        <f>_xlfn.IFNA(INDEX('HS Codes'!$D$2:$K5108,MATCH($B2554,'HS Codes'!$A$2:$A5108,0),MATCH(I$1,'HS Codes'!$D$1:$K$1,0)),"")</f>
        <v>63029390</v>
      </c>
      <c r="J2554" s="8">
        <f>_xlfn.IFNA(INDEX('HS Codes'!$D$2:$K5108,MATCH($B2554,'HS Codes'!$A$2:$A5108,0),MATCH(J$1,'HS Codes'!$D$1:$K$1,0)),"")</f>
        <v>0</v>
      </c>
      <c r="K2554" s="8" t="str">
        <f>_xlfn.IFNA(INDEX('HS Codes'!$D$2:$K5108,MATCH($B2554,'HS Codes'!$A$2:$A5108,0),MATCH(K$1,'HS Codes'!$D$1:$K$1,0)),"")</f>
        <v>6302.39.00</v>
      </c>
      <c r="L2554" s="8">
        <f>_xlfn.IFNA(INDEX('HS Codes'!$D$2:$K5108,MATCH($B2554,'HS Codes'!$A$2:$A5108,0),MATCH(L$1,'HS Codes'!$D$1:$K$1,0)),"")</f>
        <v>63029120</v>
      </c>
      <c r="M2554" s="8" t="str">
        <f>_xlfn.IFNA(INDEX('HS Codes'!$C$2:$C5108,MATCH($B2554,'HS Codes'!$A$2:$A5108,0)),"")</f>
        <v>Beach Towel - Toilet Linen 100% recycled 220 GSM/83% polyester/17% polyamide includes cotton on the packing pouch drawstring</v>
      </c>
      <c r="N2554" s="9"/>
      <c r="O2554" s="9"/>
      <c r="P2554" s="9"/>
      <c r="Q2554" s="9"/>
    </row>
    <row r="2555" spans="1:17" ht="15.75" customHeight="1">
      <c r="A2555" s="7" t="s">
        <v>2848</v>
      </c>
      <c r="B2555" s="7"/>
      <c r="C2555" s="7"/>
      <c r="D2555" s="7"/>
      <c r="E2555" s="7"/>
      <c r="F2555" s="8" t="str">
        <f>_xlfn.IFNA(INDEX('HS Codes'!$D$2:$K5109,MATCH($B2555,'HS Codes'!$A$2:$A5109,0),MATCH(F$1,'HS Codes'!$D$1:$K$1,0)),"")</f>
        <v/>
      </c>
      <c r="G2555" s="8" t="str">
        <f>_xlfn.IFNA(INDEX('HS Codes'!$D$2:$K5109,MATCH($B2555,'HS Codes'!$A$2:$A5109,0),MATCH(G$1,'HS Codes'!$D$1:$K$1,0)),"")</f>
        <v/>
      </c>
      <c r="H2555" s="8" t="str">
        <f>_xlfn.IFNA(INDEX('HS Codes'!$D$2:$K5109,MATCH($B2555,'HS Codes'!$A$2:$A5109,0),MATCH(H$1,'HS Codes'!$D$1:$K$1,0)),"")</f>
        <v/>
      </c>
      <c r="I2555" s="8" t="str">
        <f>_xlfn.IFNA(INDEX('HS Codes'!$D$2:$K5109,MATCH($B2555,'HS Codes'!$A$2:$A5109,0),MATCH(I$1,'HS Codes'!$D$1:$K$1,0)),"")</f>
        <v/>
      </c>
      <c r="J2555" s="8" t="str">
        <f>_xlfn.IFNA(INDEX('HS Codes'!$D$2:$K5109,MATCH($B2555,'HS Codes'!$A$2:$A5109,0),MATCH(J$1,'HS Codes'!$D$1:$K$1,0)),"")</f>
        <v/>
      </c>
      <c r="K2555" s="8" t="str">
        <f>_xlfn.IFNA(INDEX('HS Codes'!$D$2:$K5109,MATCH($B2555,'HS Codes'!$A$2:$A5109,0),MATCH(K$1,'HS Codes'!$D$1:$K$1,0)),"")</f>
        <v/>
      </c>
      <c r="L2555" s="8" t="str">
        <f>_xlfn.IFNA(INDEX('HS Codes'!$D$2:$K5109,MATCH($B2555,'HS Codes'!$A$2:$A5109,0),MATCH(L$1,'HS Codes'!$D$1:$K$1,0)),"")</f>
        <v/>
      </c>
      <c r="M2555" s="8" t="str">
        <f>_xlfn.IFNA(INDEX('HS Codes'!$C$2:$C5109,MATCH($B2555,'HS Codes'!$A$2:$A5109,0)),"")</f>
        <v/>
      </c>
      <c r="N2555" s="9"/>
      <c r="O2555" s="9"/>
      <c r="P2555" s="9"/>
      <c r="Q2555" s="9"/>
    </row>
    <row r="2556" spans="1:17" ht="15.75" customHeight="1">
      <c r="A2556" s="7" t="s">
        <v>2849</v>
      </c>
      <c r="B2556" s="7"/>
      <c r="C2556" s="7"/>
      <c r="D2556" s="7"/>
      <c r="E2556" s="7"/>
      <c r="F2556" s="8" t="str">
        <f>_xlfn.IFNA(INDEX('HS Codes'!$D$2:$K5110,MATCH($B2556,'HS Codes'!$A$2:$A5110,0),MATCH(F$1,'HS Codes'!$D$1:$K$1,0)),"")</f>
        <v/>
      </c>
      <c r="G2556" s="8" t="str">
        <f>_xlfn.IFNA(INDEX('HS Codes'!$D$2:$K5110,MATCH($B2556,'HS Codes'!$A$2:$A5110,0),MATCH(G$1,'HS Codes'!$D$1:$K$1,0)),"")</f>
        <v/>
      </c>
      <c r="H2556" s="8" t="str">
        <f>_xlfn.IFNA(INDEX('HS Codes'!$D$2:$K5110,MATCH($B2556,'HS Codes'!$A$2:$A5110,0),MATCH(H$1,'HS Codes'!$D$1:$K$1,0)),"")</f>
        <v/>
      </c>
      <c r="I2556" s="8" t="str">
        <f>_xlfn.IFNA(INDEX('HS Codes'!$D$2:$K5110,MATCH($B2556,'HS Codes'!$A$2:$A5110,0),MATCH(I$1,'HS Codes'!$D$1:$K$1,0)),"")</f>
        <v/>
      </c>
      <c r="J2556" s="8" t="str">
        <f>_xlfn.IFNA(INDEX('HS Codes'!$D$2:$K5110,MATCH($B2556,'HS Codes'!$A$2:$A5110,0),MATCH(J$1,'HS Codes'!$D$1:$K$1,0)),"")</f>
        <v/>
      </c>
      <c r="K2556" s="8" t="str">
        <f>_xlfn.IFNA(INDEX('HS Codes'!$D$2:$K5110,MATCH($B2556,'HS Codes'!$A$2:$A5110,0),MATCH(K$1,'HS Codes'!$D$1:$K$1,0)),"")</f>
        <v/>
      </c>
      <c r="L2556" s="8" t="str">
        <f>_xlfn.IFNA(INDEX('HS Codes'!$D$2:$K5110,MATCH($B2556,'HS Codes'!$A$2:$A5110,0),MATCH(L$1,'HS Codes'!$D$1:$K$1,0)),"")</f>
        <v/>
      </c>
      <c r="M2556" s="8" t="str">
        <f>_xlfn.IFNA(INDEX('HS Codes'!$C$2:$C5110,MATCH($B2556,'HS Codes'!$A$2:$A5110,0)),"")</f>
        <v/>
      </c>
      <c r="N2556" s="9"/>
      <c r="O2556" s="9"/>
      <c r="P2556" s="9"/>
      <c r="Q2556" s="9"/>
    </row>
  </sheetData>
  <sheetProtection algorithmName="SHA-512" hashValue="lnCoRzQCpSkVs11722mWVrHxosW6FxsEZ85VdPvuF8HHiewwi/VieN+0mkOVCbSAnq+cjbla1CctZml07n6anQ==" saltValue="Ye5a3YUaSd2dAggLgLrQ7g==" spinCount="100000"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2:O5"/>
  <sheetViews>
    <sheetView workbookViewId="0">
      <selection activeCell="A3" sqref="A3:XFD4"/>
    </sheetView>
  </sheetViews>
  <sheetFormatPr baseColWidth="10" defaultColWidth="12.6640625" defaultRowHeight="15.75" customHeight="1"/>
  <cols>
    <col min="3" max="3" width="23.1640625" customWidth="1"/>
    <col min="4" max="4" width="23.6640625" customWidth="1"/>
    <col min="5" max="5" width="29.6640625" customWidth="1"/>
    <col min="6" max="6" width="29.1640625" customWidth="1"/>
    <col min="7" max="7" width="39.5" customWidth="1"/>
    <col min="8" max="8" width="22.6640625" customWidth="1"/>
  </cols>
  <sheetData>
    <row r="2" spans="2:15" ht="15.75" customHeight="1">
      <c r="B2" s="1"/>
      <c r="C2" s="2" t="s">
        <v>11</v>
      </c>
      <c r="D2" s="2" t="s">
        <v>5</v>
      </c>
      <c r="E2" s="2" t="s">
        <v>16</v>
      </c>
      <c r="F2" s="2" t="s">
        <v>19</v>
      </c>
      <c r="G2" s="2" t="s">
        <v>43</v>
      </c>
      <c r="H2" s="2" t="s">
        <v>26</v>
      </c>
      <c r="I2" s="2" t="s">
        <v>30</v>
      </c>
      <c r="J2" s="2" t="s">
        <v>32</v>
      </c>
      <c r="K2" s="2" t="s">
        <v>23</v>
      </c>
      <c r="L2" s="2" t="s">
        <v>2850</v>
      </c>
      <c r="M2" s="2" t="s">
        <v>40</v>
      </c>
      <c r="N2" s="2" t="s">
        <v>2851</v>
      </c>
      <c r="O2" s="2" t="s">
        <v>41</v>
      </c>
    </row>
    <row r="3" spans="2:15" ht="157" customHeight="1">
      <c r="B3" s="3" t="s">
        <v>2852</v>
      </c>
      <c r="C3" s="4" t="s">
        <v>2853</v>
      </c>
      <c r="D3" s="4" t="s">
        <v>2854</v>
      </c>
      <c r="E3" s="4" t="s">
        <v>2855</v>
      </c>
      <c r="F3" s="4" t="s">
        <v>2856</v>
      </c>
      <c r="G3" s="4" t="s">
        <v>2857</v>
      </c>
      <c r="H3" s="5" t="s">
        <v>2858</v>
      </c>
      <c r="I3" s="5" t="s">
        <v>2859</v>
      </c>
      <c r="J3" s="5" t="s">
        <v>2860</v>
      </c>
      <c r="K3" s="5" t="s">
        <v>2861</v>
      </c>
      <c r="L3" s="5" t="s">
        <v>2862</v>
      </c>
      <c r="M3" s="5" t="s">
        <v>2863</v>
      </c>
      <c r="N3" s="5"/>
      <c r="O3" s="5"/>
    </row>
    <row r="4" spans="2:15" ht="157" customHeight="1">
      <c r="B4" s="3" t="s">
        <v>2864</v>
      </c>
      <c r="C4" s="4" t="s">
        <v>2865</v>
      </c>
      <c r="D4" s="4" t="s">
        <v>2866</v>
      </c>
      <c r="E4" s="4" t="s">
        <v>2867</v>
      </c>
      <c r="F4" s="4" t="s">
        <v>2868</v>
      </c>
      <c r="G4" s="4" t="s">
        <v>2857</v>
      </c>
      <c r="H4" s="5" t="s">
        <v>2858</v>
      </c>
      <c r="I4" s="5" t="s">
        <v>2859</v>
      </c>
      <c r="J4" s="5" t="s">
        <v>2860</v>
      </c>
      <c r="K4" s="5" t="s">
        <v>2861</v>
      </c>
      <c r="L4" s="5" t="s">
        <v>2862</v>
      </c>
      <c r="M4" s="5" t="s">
        <v>2863</v>
      </c>
      <c r="N4" s="5"/>
      <c r="O4" s="5"/>
    </row>
    <row r="5" spans="2:15" ht="104" customHeight="1"/>
  </sheetData>
  <sheetProtection algorithmName="SHA-512" hashValue="Y1OCdBYm/MDscSgb1g0hHeZJwK2QWc6NrTd5EqHhZTQ9b+gvkvnXv6WTdSCThOr5hg0gByJDL6W56eJb8nGvlA==" saltValue="BK8J2p+4J/bMDH3gUxICFw==" spinCount="100000"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10" master="" otherUserPermission="visible"/>
  <rangeList sheetStid="11" master="" otherUserPermission="visible"/>
  <rangeList sheetStid="1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Invoice</vt:lpstr>
      <vt:lpstr>Packing List</vt:lpstr>
      <vt:lpstr>HS Codes</vt:lpstr>
      <vt:lpstr>SKU_LOOKUP</vt:lpstr>
      <vt:lpstr>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 Muller</cp:lastModifiedBy>
  <dcterms:created xsi:type="dcterms:W3CDTF">2026-04-17T01:44:00Z</dcterms:created>
  <dcterms:modified xsi:type="dcterms:W3CDTF">2026-07-17T05:54:12Z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428DFA71549443E1ADBE3F19D0261E88_13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