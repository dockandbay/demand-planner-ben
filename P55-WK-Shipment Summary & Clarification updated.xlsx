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/>
  <mc:AlternateContent xmlns:mc="http://schemas.openxmlformats.org/markup-compatibility/2006">
    <mc:Choice Requires="x15">
      <x15ac:absPath xmlns:x15ac="http://schemas.microsoft.com/office/spreadsheetml/2010/11/ac" url="/Users/bm/Downloads/"/>
    </mc:Choice>
  </mc:AlternateContent>
  <xr:revisionPtr revIDLastSave="0" documentId="8_{B8A26158-7AE7-474B-866C-55A527FF3C7B}" xr6:coauthVersionLast="47" xr6:coauthVersionMax="47" xr10:uidLastSave="{00000000-0000-0000-0000-000000000000}"/>
  <bookViews>
    <workbookView xWindow="9420" yWindow="1920" windowWidth="23680" windowHeight="21100" xr2:uid="{00000000-000D-0000-FFFF-FFFF00000000}"/>
  </bookViews>
  <sheets>
    <sheet name="Total (with 4 sheets) " sheetId="1" r:id="rId1"/>
    <sheet name="PO-55UKWK1,PO-55UKWK2" sheetId="2" r:id="rId2"/>
    <sheet name="PO-55USWK1,PO-55USWK2" sheetId="3" r:id="rId3"/>
    <sheet name="PO-55EUWK1,PO-55EUWK2" sheetId="4" r:id="rId4"/>
    <sheet name="Remaining PO numbe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5" l="1"/>
  <c r="F8" i="5"/>
  <c r="F5" i="5"/>
  <c r="F4" i="5"/>
  <c r="F3" i="5"/>
  <c r="E16" i="4"/>
  <c r="E15" i="4"/>
  <c r="E14" i="4"/>
  <c r="E13" i="4"/>
  <c r="E12" i="4"/>
  <c r="E11" i="4"/>
  <c r="E10" i="4"/>
  <c r="E9" i="4"/>
  <c r="E8" i="4"/>
  <c r="E7" i="4"/>
  <c r="E6" i="4"/>
  <c r="E5" i="4"/>
  <c r="F16" i="3"/>
  <c r="F15" i="3"/>
  <c r="F14" i="3"/>
  <c r="F13" i="3"/>
  <c r="F12" i="3"/>
  <c r="F11" i="3"/>
  <c r="F10" i="3"/>
  <c r="F9" i="3"/>
  <c r="F8" i="3"/>
  <c r="F7" i="3"/>
  <c r="F6" i="3"/>
  <c r="F5" i="3"/>
  <c r="I16" i="2"/>
  <c r="I15" i="2"/>
  <c r="I14" i="2"/>
  <c r="I13" i="2"/>
  <c r="I12" i="2"/>
  <c r="I11" i="2"/>
  <c r="I10" i="2"/>
  <c r="I9" i="2"/>
  <c r="I8" i="2"/>
  <c r="I7" i="2"/>
  <c r="I6" i="2"/>
  <c r="I5" i="2"/>
  <c r="I32" i="1"/>
  <c r="I31" i="1"/>
  <c r="I29" i="1"/>
  <c r="I28" i="1"/>
  <c r="I27" i="1"/>
  <c r="I26" i="1"/>
  <c r="I25" i="1"/>
  <c r="I24" i="1"/>
  <c r="I23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<sst xmlns="http://schemas.openxmlformats.org/spreadsheetml/2006/main" count="167" uniqueCount="73">
  <si>
    <t>PO-55UKWK1,PO-55UKWK2</t>
  </si>
  <si>
    <t>PO-55USWK1,PO-55USWK2</t>
  </si>
  <si>
    <t>PO-55EUWK1,PO-55EUWK2</t>
  </si>
  <si>
    <t>Remaining PO numbers</t>
  </si>
  <si>
    <t>TOTAL</t>
  </si>
  <si>
    <t>TOTAL QUANTITY</t>
  </si>
  <si>
    <t>BAGTOI-MD-BOHMDRM [for gift box bundle]</t>
  </si>
  <si>
    <t>BAGTOI-MD-SEASOIR [for gift box bundle]</t>
  </si>
  <si>
    <t>BAGTOI-MD-CHRYBMB [for gift box bundle]</t>
  </si>
  <si>
    <t>BAGTOI-MD-CHRYBMB</t>
  </si>
  <si>
    <t>BAGTOI-MD-PEPPNCH</t>
  </si>
  <si>
    <t>BAGTOI-MD-BOHMDRM</t>
  </si>
  <si>
    <t>short
 shipment</t>
  </si>
  <si>
    <t>BAGTOI-MD-SEASOIR</t>
  </si>
  <si>
    <t>BAGDRY-XS-HOTTROP</t>
  </si>
  <si>
    <t>BAGDRY-XS-MIAMI</t>
  </si>
  <si>
    <t>BAGDRY-XS-WAVYBBY</t>
  </si>
  <si>
    <t>BAGDRY-XS-WYWH</t>
  </si>
  <si>
    <t>BAGDRY-XS-NAVY</t>
  </si>
  <si>
    <t>From P55-WK-Quantities-v3-Update 6.24</t>
  </si>
  <si>
    <t>FLEX-3947345</t>
  </si>
  <si>
    <t>FLEX-3947351</t>
  </si>
  <si>
    <t>FLEX-3888754</t>
  </si>
  <si>
    <t>XR Estibol</t>
  </si>
  <si>
    <t>Lixin</t>
  </si>
  <si>
    <t>Atlanta Show</t>
  </si>
  <si>
    <t>Total</t>
  </si>
  <si>
    <t>PI Quantity</t>
  </si>
  <si>
    <t>Air freight US1</t>
  </si>
  <si>
    <t>Air freight UK1+2</t>
  </si>
  <si>
    <t>FLEX-3994935</t>
  </si>
  <si>
    <t>XR NEXT</t>
  </si>
  <si>
    <t>XR UNTIL</t>
  </si>
  <si>
    <t>XR EU1+2</t>
  </si>
  <si>
    <t>XR US2</t>
  </si>
  <si>
    <t>Ship information</t>
  </si>
  <si>
    <t>Air freight</t>
  </si>
  <si>
    <t>New PO Number</t>
  </si>
  <si>
    <t>PO-1678126</t>
  </si>
  <si>
    <t>PO-1731760</t>
  </si>
  <si>
    <t>Notes：</t>
  </si>
  <si>
    <t>Shipping Date: 13/07/2026</t>
  </si>
  <si>
    <t>Flight has departed on July 11.
DPD UK tracking numbers（9cartons）:
15504665097969 / 15504665097970 / 15504665097971 / 15504665097972 / 15504665097973 / 15504665097974 / 15504665097975 / 15504665097976 / 15504665097977
Tracking will be available once DPD receives and scans the shipment.</t>
  </si>
  <si>
    <t>Shipping Date: 14/06/2026</t>
  </si>
  <si>
    <t>Already send to XR
2026.05.27</t>
  </si>
  <si>
    <t>Already send to XR
2026.06.22
Zera told NEXT PO is 
PO-1678126</t>
  </si>
  <si>
    <t>Already send to XR
2026.06.16
Zera told Until PO is 
PO-1731760</t>
  </si>
  <si>
    <t>Already send to Lixin
2026.04.25</t>
  </si>
  <si>
    <t>XR  PO-55USWK2</t>
  </si>
  <si>
    <t>Shipping Date: 13/06/2026</t>
  </si>
  <si>
    <t>Flight has departed on July 12.
UPS tracking numbers（4cartons）:
1Z12B6F30339125457
1Z12B6F30329906668
1Z12B6F30333120678
1Z12B6F30335871489
Tracking will be available once UPS receives and scans the shipment.</t>
  </si>
  <si>
    <t>Already send to XR
2026.06.22</t>
  </si>
  <si>
    <t>PO-55EUWK2</t>
  </si>
  <si>
    <t>Already send to XR
2026.06.16
Ben told this one is processed for payment as PO-55EUWK2</t>
  </si>
  <si>
    <t>PO Number</t>
  </si>
  <si>
    <t>PO-55UKWK-AW26-1</t>
  </si>
  <si>
    <t>PO-55USWK-AW26-1</t>
  </si>
  <si>
    <t>PO-55USWK-AW26-2</t>
  </si>
  <si>
    <t>PO-55EUWK-AW26-1</t>
  </si>
  <si>
    <r>
      <rPr>
        <sz val="11"/>
        <color theme="1"/>
        <rFont val="微软雅黑"/>
        <family val="2"/>
        <charset val="134"/>
      </rPr>
      <t xml:space="preserve">Samples
Air freight to UK warehouse
</t>
    </r>
    <r>
      <rPr>
        <b/>
        <sz val="11"/>
        <color theme="1"/>
        <rFont val="微软雅黑"/>
        <family val="2"/>
        <charset val="134"/>
      </rPr>
      <t>(short shipment)</t>
    </r>
    <r>
      <rPr>
        <sz val="11"/>
        <color theme="1"/>
        <rFont val="微软雅黑"/>
        <family val="2"/>
        <charset val="134"/>
      </rPr>
      <t xml:space="preserve">
Samples for the bundle already sent to Lixin
2026.05.05</t>
    </r>
  </si>
  <si>
    <r>
      <rPr>
        <sz val="11"/>
        <color theme="1"/>
        <rFont val="微软雅黑"/>
        <family val="2"/>
        <charset val="134"/>
      </rPr>
      <t xml:space="preserve">Samples
Air freight to US warehouse
</t>
    </r>
    <r>
      <rPr>
        <b/>
        <sz val="11"/>
        <rFont val="微软雅黑"/>
        <family val="2"/>
        <charset val="134"/>
      </rPr>
      <t>(short shipment)</t>
    </r>
    <r>
      <rPr>
        <sz val="11"/>
        <color theme="1"/>
        <rFont val="微软雅黑"/>
        <family val="2"/>
        <charset val="134"/>
      </rPr>
      <t xml:space="preserve">
Samples for the bundle already sent to Lixin
2026.05.05</t>
    </r>
  </si>
  <si>
    <r>
      <rPr>
        <sz val="11"/>
        <color theme="1"/>
        <rFont val="微软雅黑"/>
        <family val="2"/>
        <charset val="134"/>
      </rPr>
      <t xml:space="preserve">Air freight for US Atlanta Shows
Gift box bundle*9+
BAGTOI-MD-CACTMNTN*5（P55.2）
By Fedex: 871153445122
2026.04.28
</t>
    </r>
    <r>
      <rPr>
        <b/>
        <sz val="11"/>
        <color theme="1"/>
        <rFont val="微软雅黑"/>
        <family val="2"/>
        <charset val="134"/>
      </rPr>
      <t>(short shipment)</t>
    </r>
  </si>
  <si>
    <r>
      <rPr>
        <sz val="11"/>
        <color theme="1"/>
        <rFont val="微软雅黑"/>
        <family val="2"/>
        <charset val="134"/>
      </rPr>
      <t xml:space="preserve">Samples
Air freight to EU warehouse
</t>
    </r>
    <r>
      <rPr>
        <b/>
        <sz val="11"/>
        <color theme="1"/>
        <rFont val="微软雅黑"/>
        <family val="2"/>
        <charset val="134"/>
      </rPr>
      <t>(short shipment)</t>
    </r>
    <r>
      <rPr>
        <sz val="11"/>
        <color theme="1"/>
        <rFont val="微软雅黑"/>
        <family val="2"/>
        <charset val="134"/>
      </rPr>
      <t xml:space="preserve">
Samples for the bundle already sent to Lixin
2026.05.05</t>
    </r>
  </si>
  <si>
    <t>short shipment</t>
  </si>
  <si>
    <t>PO-55UKWK2</t>
  </si>
  <si>
    <t>PO-55UKWK1-AIR</t>
  </si>
  <si>
    <t>PO-55UKWK1</t>
  </si>
  <si>
    <t>PO-1712952</t>
  </si>
  <si>
    <t>PO-55WK-MANU</t>
  </si>
  <si>
    <t>PO-55USWK1A</t>
  </si>
  <si>
    <t>PO-55USWK1-AIR</t>
  </si>
  <si>
    <t>PO-55USWK2</t>
  </si>
  <si>
    <t>PO-55EUWK1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</si>
</sst>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Calibri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1"/>
      <color theme="1"/>
      <name val="Calibri"/>
      <charset val="134"/>
      <scheme val="minor"/>
    </font>
    <font>
      <b/>
      <sz val="12"/>
      <color theme="1"/>
      <name val="微软雅黑"/>
      <family val="2"/>
      <charset val="134"/>
    </font>
    <font>
      <sz val="11"/>
      <color rgb="FF92D050"/>
      <name val="Calibri"/>
      <charset val="134"/>
      <scheme val="minor"/>
    </font>
    <font>
      <sz val="12"/>
      <color rgb="FFFF0000"/>
      <name val="微软雅黑"/>
      <family val="2"/>
      <charset val="134"/>
    </font>
    <font>
      <sz val="12"/>
      <color theme="1"/>
      <name val="Calibri"/>
      <charset val="134"/>
      <scheme val="minor"/>
    </font>
    <font>
      <sz val="9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CEF"/>
        <bgColor indexed="64"/>
      </patternFill>
    </fill>
    <fill>
      <patternFill patternType="solid">
        <fgColor rgb="FFFF575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0" fontId="3" fillId="0" borderId="3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/>
    <xf numFmtId="0" fontId="4" fillId="3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5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5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2" fillId="0" borderId="8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19">
    <dxf>
      <fill>
        <patternFill patternType="solid">
          <fgColor rgb="FFD9D9D9"/>
          <bgColor rgb="FFD9D9D9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colors>
    <mruColors>
      <color rgb="FFFFFCEF"/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19</xdr:row>
      <xdr:rowOff>20320</xdr:rowOff>
    </xdr:from>
    <xdr:to>
      <xdr:col>7</xdr:col>
      <xdr:colOff>2285365</xdr:colOff>
      <xdr:row>66</xdr:row>
      <xdr:rowOff>147955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6637020"/>
          <a:ext cx="18467705" cy="8185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</xdr:colOff>
      <xdr:row>19</xdr:row>
      <xdr:rowOff>45720</xdr:rowOff>
    </xdr:from>
    <xdr:to>
      <xdr:col>7</xdr:col>
      <xdr:colOff>5080</xdr:colOff>
      <xdr:row>64</xdr:row>
      <xdr:rowOff>72390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" y="6649720"/>
          <a:ext cx="17475835" cy="77419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19</xdr:row>
      <xdr:rowOff>49530</xdr:rowOff>
    </xdr:from>
    <xdr:to>
      <xdr:col>6</xdr:col>
      <xdr:colOff>2329815</xdr:colOff>
      <xdr:row>63</xdr:row>
      <xdr:rowOff>45720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6640830"/>
          <a:ext cx="17016730" cy="7539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17</xdr:row>
      <xdr:rowOff>66040</xdr:rowOff>
    </xdr:from>
    <xdr:to>
      <xdr:col>7</xdr:col>
      <xdr:colOff>14605</xdr:colOff>
      <xdr:row>59</xdr:row>
      <xdr:rowOff>132715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5965190"/>
          <a:ext cx="16406495" cy="7267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="85" zoomScaleNormal="85" workbookViewId="0">
      <selection activeCell="A38" sqref="A38"/>
    </sheetView>
  </sheetViews>
  <sheetFormatPr baseColWidth="10" defaultColWidth="9" defaultRowHeight="15"/>
  <cols>
    <col min="1" max="1" width="48.83203125" customWidth="1"/>
    <col min="2" max="2" width="37" customWidth="1"/>
    <col min="3" max="3" width="37.6640625" customWidth="1"/>
    <col min="4" max="4" width="37.33203125" customWidth="1"/>
    <col min="5" max="5" width="30.6640625" customWidth="1"/>
    <col min="6" max="6" width="16.6640625" customWidth="1"/>
    <col min="7" max="7" width="23.1640625" customWidth="1"/>
    <col min="8" max="9" width="16.6640625" customWidth="1"/>
    <col min="10" max="10" width="13.6640625" customWidth="1"/>
  </cols>
  <sheetData>
    <row r="1" spans="1:9" ht="35" customHeight="1">
      <c r="A1" s="24"/>
      <c r="B1" s="25" t="s">
        <v>0</v>
      </c>
      <c r="C1" s="25" t="s">
        <v>1</v>
      </c>
      <c r="D1" s="25" t="s">
        <v>2</v>
      </c>
      <c r="E1" s="25" t="s">
        <v>3</v>
      </c>
      <c r="F1" s="25" t="s">
        <v>4</v>
      </c>
      <c r="G1" s="26" t="s">
        <v>5</v>
      </c>
    </row>
    <row r="2" spans="1:9" ht="35" customHeight="1">
      <c r="A2" s="24" t="s">
        <v>6</v>
      </c>
      <c r="B2" s="13">
        <v>82</v>
      </c>
      <c r="C2" s="13">
        <v>80</v>
      </c>
      <c r="D2" s="13">
        <v>50</v>
      </c>
      <c r="E2" s="13">
        <v>28</v>
      </c>
      <c r="F2" s="13">
        <f>SUM(B2:E2)</f>
        <v>240</v>
      </c>
      <c r="G2" s="27">
        <v>240</v>
      </c>
    </row>
    <row r="3" spans="1:9" ht="35" customHeight="1">
      <c r="A3" s="24" t="s">
        <v>7</v>
      </c>
      <c r="B3" s="13">
        <v>82</v>
      </c>
      <c r="C3" s="13">
        <v>80</v>
      </c>
      <c r="D3" s="13">
        <v>50</v>
      </c>
      <c r="E3" s="13">
        <v>28</v>
      </c>
      <c r="F3" s="13">
        <f>SUM(B3:E3)</f>
        <v>240</v>
      </c>
      <c r="G3" s="27">
        <v>240</v>
      </c>
    </row>
    <row r="4" spans="1:9" ht="35" customHeight="1">
      <c r="A4" s="24" t="s">
        <v>8</v>
      </c>
      <c r="B4" s="13">
        <v>82</v>
      </c>
      <c r="C4" s="13">
        <v>80</v>
      </c>
      <c r="D4" s="13">
        <v>50</v>
      </c>
      <c r="E4" s="13">
        <v>28</v>
      </c>
      <c r="F4" s="13">
        <f>SUM(B4:E4)</f>
        <v>240</v>
      </c>
      <c r="G4" s="27">
        <v>240</v>
      </c>
    </row>
    <row r="5" spans="1:9" ht="35" customHeight="1">
      <c r="A5" s="24" t="s">
        <v>9</v>
      </c>
      <c r="B5" s="13">
        <v>1280</v>
      </c>
      <c r="C5" s="13">
        <v>200</v>
      </c>
      <c r="D5" s="43"/>
      <c r="E5" s="43"/>
      <c r="F5" s="13">
        <f>SUM(B5:E5)</f>
        <v>1480</v>
      </c>
      <c r="G5" s="27">
        <v>1480</v>
      </c>
      <c r="I5" s="28"/>
    </row>
    <row r="6" spans="1:9" ht="35" customHeight="1">
      <c r="A6" s="24" t="s">
        <v>10</v>
      </c>
      <c r="B6" s="13">
        <v>760</v>
      </c>
      <c r="C6" s="13">
        <v>120</v>
      </c>
      <c r="D6" s="44"/>
      <c r="E6" s="45"/>
      <c r="F6" s="13">
        <f t="shared" ref="F6:F13" si="0">SUM(B6:E6)</f>
        <v>880</v>
      </c>
      <c r="G6" s="27">
        <v>880</v>
      </c>
    </row>
    <row r="7" spans="1:9" ht="35" customHeight="1">
      <c r="A7" s="24" t="s">
        <v>11</v>
      </c>
      <c r="B7" s="13">
        <v>2132</v>
      </c>
      <c r="C7" s="13">
        <v>680</v>
      </c>
      <c r="D7" s="44"/>
      <c r="E7" s="29">
        <v>0</v>
      </c>
      <c r="F7" s="30">
        <f t="shared" si="0"/>
        <v>2812</v>
      </c>
      <c r="G7" s="27">
        <v>2840</v>
      </c>
      <c r="H7" s="13" t="s">
        <v>12</v>
      </c>
    </row>
    <row r="8" spans="1:9" ht="35" customHeight="1">
      <c r="A8" s="24" t="s">
        <v>13</v>
      </c>
      <c r="B8" s="13">
        <v>2132</v>
      </c>
      <c r="C8" s="13">
        <v>680</v>
      </c>
      <c r="D8" s="45"/>
      <c r="E8" s="29">
        <v>0</v>
      </c>
      <c r="F8" s="30">
        <f t="shared" si="0"/>
        <v>2812</v>
      </c>
      <c r="G8" s="27">
        <v>2840</v>
      </c>
      <c r="H8" s="13" t="s">
        <v>12</v>
      </c>
    </row>
    <row r="9" spans="1:9" ht="35" customHeight="1">
      <c r="A9" s="24" t="s">
        <v>14</v>
      </c>
      <c r="B9" s="13">
        <v>1730</v>
      </c>
      <c r="C9" s="13">
        <v>200</v>
      </c>
      <c r="D9" s="13">
        <v>200</v>
      </c>
      <c r="E9" s="46"/>
      <c r="F9" s="13">
        <f t="shared" si="0"/>
        <v>2130</v>
      </c>
      <c r="G9" s="27">
        <v>2130</v>
      </c>
    </row>
    <row r="10" spans="1:9" ht="35" customHeight="1">
      <c r="A10" s="24" t="s">
        <v>15</v>
      </c>
      <c r="B10" s="13">
        <v>3450</v>
      </c>
      <c r="C10" s="13">
        <v>400</v>
      </c>
      <c r="D10" s="13">
        <v>300</v>
      </c>
      <c r="E10" s="46"/>
      <c r="F10" s="13">
        <f t="shared" si="0"/>
        <v>4150</v>
      </c>
      <c r="G10" s="27">
        <v>4150</v>
      </c>
    </row>
    <row r="11" spans="1:9" ht="35" customHeight="1">
      <c r="A11" s="24" t="s">
        <v>16</v>
      </c>
      <c r="B11" s="13">
        <v>1930</v>
      </c>
      <c r="C11" s="13">
        <v>300</v>
      </c>
      <c r="D11" s="13">
        <v>300</v>
      </c>
      <c r="E11" s="46"/>
      <c r="F11" s="13">
        <f t="shared" si="0"/>
        <v>2530</v>
      </c>
      <c r="G11" s="27">
        <v>2530</v>
      </c>
    </row>
    <row r="12" spans="1:9" ht="35" customHeight="1">
      <c r="A12" s="24" t="s">
        <v>17</v>
      </c>
      <c r="B12" s="13">
        <v>1930</v>
      </c>
      <c r="C12" s="13">
        <v>400</v>
      </c>
      <c r="D12" s="13">
        <v>300</v>
      </c>
      <c r="E12" s="46"/>
      <c r="F12" s="13">
        <f t="shared" si="0"/>
        <v>2630</v>
      </c>
      <c r="G12" s="27">
        <v>2630</v>
      </c>
    </row>
    <row r="13" spans="1:9" ht="35" customHeight="1">
      <c r="A13" s="24" t="s">
        <v>18</v>
      </c>
      <c r="B13" s="13">
        <v>1750</v>
      </c>
      <c r="C13" s="13">
        <v>200</v>
      </c>
      <c r="D13" s="13">
        <v>100</v>
      </c>
      <c r="E13" s="46"/>
      <c r="F13" s="13">
        <f t="shared" si="0"/>
        <v>2050</v>
      </c>
      <c r="G13" s="31">
        <v>2050</v>
      </c>
    </row>
    <row r="14" spans="1:9" ht="71" customHeight="1">
      <c r="A14" s="32"/>
      <c r="B14" s="32"/>
      <c r="C14" s="32"/>
      <c r="D14" s="32"/>
      <c r="E14" s="33"/>
      <c r="F14" s="32"/>
      <c r="G14" s="14" t="s">
        <v>19</v>
      </c>
    </row>
    <row r="22" spans="1:10" ht="42" hidden="1" customHeight="1">
      <c r="A22" s="6"/>
      <c r="B22" s="34" t="s">
        <v>20</v>
      </c>
      <c r="C22" s="34" t="s">
        <v>21</v>
      </c>
      <c r="D22" s="34" t="s">
        <v>22</v>
      </c>
      <c r="E22" s="35" t="s">
        <v>23</v>
      </c>
      <c r="F22" s="36" t="s">
        <v>24</v>
      </c>
      <c r="G22" s="37" t="s">
        <v>25</v>
      </c>
      <c r="H22" s="40"/>
      <c r="I22" s="36" t="s">
        <v>26</v>
      </c>
      <c r="J22" s="36" t="s">
        <v>27</v>
      </c>
    </row>
    <row r="23" spans="1:10" ht="17" hidden="1">
      <c r="A23" s="6" t="s">
        <v>14</v>
      </c>
      <c r="B23" s="38">
        <v>200</v>
      </c>
      <c r="C23" s="38">
        <v>200</v>
      </c>
      <c r="D23" s="38">
        <v>1630</v>
      </c>
      <c r="E23" s="39">
        <v>100</v>
      </c>
      <c r="F23" s="40"/>
      <c r="G23" s="48"/>
      <c r="H23" s="41"/>
      <c r="I23" s="6">
        <f>SUM(B23:E23)</f>
        <v>2130</v>
      </c>
      <c r="J23" s="6">
        <v>2130</v>
      </c>
    </row>
    <row r="24" spans="1:10" ht="17" hidden="1">
      <c r="A24" s="6" t="s">
        <v>15</v>
      </c>
      <c r="B24" s="38">
        <v>400</v>
      </c>
      <c r="C24" s="38">
        <v>300</v>
      </c>
      <c r="D24" s="38">
        <v>3450</v>
      </c>
      <c r="E24" s="47"/>
      <c r="F24" s="41"/>
      <c r="G24" s="49"/>
      <c r="H24" s="41"/>
      <c r="I24" s="6">
        <f t="shared" ref="I24:I27" si="1">SUM(B24:D24)</f>
        <v>4150</v>
      </c>
      <c r="J24" s="6">
        <v>4150</v>
      </c>
    </row>
    <row r="25" spans="1:10" ht="17" hidden="1">
      <c r="A25" s="6" t="s">
        <v>16</v>
      </c>
      <c r="B25" s="38">
        <v>300</v>
      </c>
      <c r="C25" s="38">
        <v>300</v>
      </c>
      <c r="D25" s="38">
        <v>1930</v>
      </c>
      <c r="E25" s="47"/>
      <c r="F25" s="42"/>
      <c r="G25" s="50"/>
      <c r="H25" s="41"/>
      <c r="I25" s="6">
        <f t="shared" si="1"/>
        <v>2530</v>
      </c>
      <c r="J25" s="6">
        <v>2530</v>
      </c>
    </row>
    <row r="26" spans="1:10" ht="17" hidden="1">
      <c r="A26" s="6" t="s">
        <v>9</v>
      </c>
      <c r="B26" s="38">
        <v>200</v>
      </c>
      <c r="C26" s="40"/>
      <c r="D26" s="38">
        <v>1280</v>
      </c>
      <c r="E26" s="47"/>
      <c r="F26" s="6">
        <v>237</v>
      </c>
      <c r="G26" s="39">
        <v>3</v>
      </c>
      <c r="H26" s="41"/>
      <c r="I26" s="6">
        <f t="shared" ref="I26:I29" si="2">SUM(B26:H26)</f>
        <v>1720</v>
      </c>
      <c r="J26" s="6">
        <v>1720</v>
      </c>
    </row>
    <row r="27" spans="1:10" ht="17" hidden="1">
      <c r="A27" s="6" t="s">
        <v>10</v>
      </c>
      <c r="B27" s="38">
        <v>120</v>
      </c>
      <c r="C27" s="41"/>
      <c r="D27" s="38">
        <v>760</v>
      </c>
      <c r="E27" s="47"/>
      <c r="F27" s="36"/>
      <c r="G27" s="35"/>
      <c r="H27" s="41"/>
      <c r="I27" s="6">
        <f t="shared" si="1"/>
        <v>880</v>
      </c>
      <c r="J27" s="6">
        <v>880</v>
      </c>
    </row>
    <row r="28" spans="1:10" ht="17" hidden="1">
      <c r="A28" s="6" t="s">
        <v>11</v>
      </c>
      <c r="B28" s="38">
        <v>680</v>
      </c>
      <c r="C28" s="41"/>
      <c r="D28" s="38">
        <v>2132</v>
      </c>
      <c r="E28" s="47"/>
      <c r="F28" s="6">
        <v>262</v>
      </c>
      <c r="G28" s="39">
        <v>6</v>
      </c>
      <c r="H28" s="41"/>
      <c r="I28" s="6">
        <f t="shared" si="2"/>
        <v>3080</v>
      </c>
      <c r="J28" s="6">
        <v>3080</v>
      </c>
    </row>
    <row r="29" spans="1:10" ht="17" hidden="1">
      <c r="A29" s="6" t="s">
        <v>13</v>
      </c>
      <c r="B29" s="38">
        <v>680</v>
      </c>
      <c r="C29" s="42"/>
      <c r="D29" s="38">
        <v>2132</v>
      </c>
      <c r="E29" s="47"/>
      <c r="F29" s="6">
        <v>262</v>
      </c>
      <c r="G29" s="39">
        <v>6</v>
      </c>
      <c r="H29" s="42"/>
      <c r="I29" s="6">
        <f t="shared" si="2"/>
        <v>3080</v>
      </c>
      <c r="J29" s="6">
        <v>3080</v>
      </c>
    </row>
    <row r="30" spans="1:10" ht="17" hidden="1">
      <c r="A30" s="6"/>
      <c r="B30" s="36" t="s">
        <v>28</v>
      </c>
      <c r="C30" s="36" t="s">
        <v>29</v>
      </c>
      <c r="D30" s="36" t="s">
        <v>30</v>
      </c>
      <c r="E30" s="36" t="s">
        <v>31</v>
      </c>
      <c r="F30" s="36" t="s">
        <v>32</v>
      </c>
      <c r="G30" s="36" t="s">
        <v>33</v>
      </c>
      <c r="H30" s="36" t="s">
        <v>34</v>
      </c>
      <c r="I30" s="6"/>
      <c r="J30" s="6"/>
    </row>
    <row r="31" spans="1:10" ht="17" hidden="1">
      <c r="A31" s="6" t="s">
        <v>17</v>
      </c>
      <c r="B31" s="38">
        <v>200</v>
      </c>
      <c r="C31" s="38">
        <v>400</v>
      </c>
      <c r="D31" s="38">
        <v>1350</v>
      </c>
      <c r="E31" s="6">
        <v>120</v>
      </c>
      <c r="F31" s="6">
        <v>60</v>
      </c>
      <c r="G31" s="6">
        <v>300</v>
      </c>
      <c r="H31" s="6">
        <v>200</v>
      </c>
      <c r="I31" s="6">
        <f>SUM(B31:H31)</f>
        <v>2630</v>
      </c>
      <c r="J31" s="6">
        <v>2630</v>
      </c>
    </row>
    <row r="32" spans="1:10" ht="17" hidden="1">
      <c r="A32" s="6" t="s">
        <v>18</v>
      </c>
      <c r="B32" s="38">
        <v>200</v>
      </c>
      <c r="C32" s="38">
        <v>500</v>
      </c>
      <c r="D32" s="38">
        <v>1250</v>
      </c>
      <c r="E32" s="36"/>
      <c r="F32" s="36"/>
      <c r="G32" s="6">
        <v>100</v>
      </c>
      <c r="H32" s="36"/>
      <c r="I32" s="6">
        <f>SUM(B32:G32)</f>
        <v>2050</v>
      </c>
      <c r="J32" s="6">
        <v>2050</v>
      </c>
    </row>
  </sheetData>
  <mergeCells count="8">
    <mergeCell ref="F23:F25"/>
    <mergeCell ref="G23:G25"/>
    <mergeCell ref="H22:H29"/>
    <mergeCell ref="C26:C29"/>
    <mergeCell ref="D5:D8"/>
    <mergeCell ref="E5:E6"/>
    <mergeCell ref="E9:E13"/>
    <mergeCell ref="E24:E29"/>
  </mergeCells>
  <conditionalFormatting sqref="G1">
    <cfRule type="cellIs" dxfId="1" priority="1" operator="equal">
      <formula>"TOTAL QUANTITY"</formula>
    </cfRule>
    <cfRule type="notContainsBlanks" dxfId="0" priority="2">
      <formula>LEN(TRIM(G1))&gt;0</formula>
    </cfRule>
  </conditionalFormatting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zoomScale="82" zoomScaleNormal="82" workbookViewId="0">
      <pane xSplit="1" topLeftCell="C1" activePane="topRight" state="frozen"/>
      <selection pane="topRight" activeCell="H3" sqref="H3"/>
    </sheetView>
  </sheetViews>
  <sheetFormatPr baseColWidth="10" defaultColWidth="30.6640625" defaultRowHeight="15"/>
  <cols>
    <col min="1" max="1" width="43.83203125" customWidth="1"/>
    <col min="2" max="2" width="26.1640625" customWidth="1"/>
    <col min="3" max="3" width="42.6640625" customWidth="1"/>
    <col min="4" max="4" width="27.5" customWidth="1"/>
    <col min="5" max="5" width="26" customWidth="1"/>
    <col min="6" max="6" width="23" customWidth="1"/>
    <col min="7" max="7" width="23.1640625" customWidth="1"/>
    <col min="8" max="8" width="30.6640625" customWidth="1"/>
  </cols>
  <sheetData>
    <row r="1" spans="1:9" s="18" customFormat="1" ht="34" customHeight="1">
      <c r="A1" s="51" t="s">
        <v>0</v>
      </c>
      <c r="B1" s="51"/>
      <c r="C1" s="51"/>
      <c r="D1" s="51"/>
      <c r="E1" s="51"/>
      <c r="F1" s="51"/>
      <c r="G1" s="51"/>
      <c r="H1" s="51"/>
      <c r="I1" s="51"/>
    </row>
    <row r="2" spans="1:9" ht="27" customHeight="1">
      <c r="A2" s="1" t="s">
        <v>35</v>
      </c>
      <c r="B2" s="2" t="s">
        <v>30</v>
      </c>
      <c r="C2" s="2" t="s">
        <v>36</v>
      </c>
      <c r="D2" s="2" t="s">
        <v>22</v>
      </c>
      <c r="E2" s="2" t="s">
        <v>23</v>
      </c>
      <c r="F2" s="2" t="s">
        <v>31</v>
      </c>
      <c r="G2" s="2" t="s">
        <v>32</v>
      </c>
      <c r="H2" s="2" t="s">
        <v>24</v>
      </c>
      <c r="I2" s="2" t="s">
        <v>26</v>
      </c>
    </row>
    <row r="3" spans="1:9" ht="31" customHeight="1">
      <c r="A3" s="1" t="s">
        <v>37</v>
      </c>
      <c r="B3" s="66" t="s">
        <v>64</v>
      </c>
      <c r="C3" s="66" t="s">
        <v>65</v>
      </c>
      <c r="D3" s="66" t="s">
        <v>66</v>
      </c>
      <c r="E3" s="67" t="s">
        <v>67</v>
      </c>
      <c r="F3" s="2" t="s">
        <v>38</v>
      </c>
      <c r="G3" s="1" t="s">
        <v>39</v>
      </c>
      <c r="H3" s="68" t="s">
        <v>68</v>
      </c>
      <c r="I3" s="2"/>
    </row>
    <row r="4" spans="1:9" ht="163" customHeight="1">
      <c r="A4" s="3" t="s">
        <v>40</v>
      </c>
      <c r="B4" s="4" t="s">
        <v>41</v>
      </c>
      <c r="C4" s="4" t="s">
        <v>42</v>
      </c>
      <c r="D4" s="5" t="s">
        <v>43</v>
      </c>
      <c r="E4" s="19" t="s">
        <v>44</v>
      </c>
      <c r="F4" s="22" t="s">
        <v>45</v>
      </c>
      <c r="G4" s="23" t="s">
        <v>46</v>
      </c>
      <c r="H4" s="20" t="s">
        <v>47</v>
      </c>
      <c r="I4" s="5"/>
    </row>
    <row r="5" spans="1:9" ht="17">
      <c r="A5" s="6" t="s">
        <v>6</v>
      </c>
      <c r="B5" s="53"/>
      <c r="C5" s="56"/>
      <c r="D5" s="58"/>
      <c r="E5" s="59"/>
      <c r="F5" s="59"/>
      <c r="G5" s="59"/>
      <c r="H5" s="7">
        <v>82</v>
      </c>
      <c r="I5" s="7">
        <f>SUM(B5:H5)</f>
        <v>82</v>
      </c>
    </row>
    <row r="6" spans="1:9" ht="17">
      <c r="A6" s="6" t="s">
        <v>7</v>
      </c>
      <c r="B6" s="54"/>
      <c r="C6" s="57"/>
      <c r="D6" s="58"/>
      <c r="E6" s="60"/>
      <c r="F6" s="60"/>
      <c r="G6" s="60"/>
      <c r="H6" s="7">
        <v>82</v>
      </c>
      <c r="I6" s="7">
        <f>SUM(B6:H6)</f>
        <v>82</v>
      </c>
    </row>
    <row r="7" spans="1:9" ht="17">
      <c r="A7" s="6" t="s">
        <v>8</v>
      </c>
      <c r="B7" s="54"/>
      <c r="C7" s="57"/>
      <c r="D7" s="58"/>
      <c r="E7" s="60"/>
      <c r="F7" s="60"/>
      <c r="G7" s="60"/>
      <c r="H7" s="7">
        <v>82</v>
      </c>
      <c r="I7" s="7">
        <f>SUM(B7:H7)</f>
        <v>82</v>
      </c>
    </row>
    <row r="8" spans="1:9" ht="17">
      <c r="A8" s="6" t="s">
        <v>9</v>
      </c>
      <c r="B8" s="54"/>
      <c r="C8" s="54"/>
      <c r="D8" s="7">
        <v>1280</v>
      </c>
      <c r="E8" s="60"/>
      <c r="F8" s="60"/>
      <c r="G8" s="60"/>
      <c r="H8" s="59"/>
      <c r="I8" s="7">
        <f t="shared" ref="I8:I16" si="0">SUM(B8:G8)</f>
        <v>1280</v>
      </c>
    </row>
    <row r="9" spans="1:9" ht="17">
      <c r="A9" s="6" t="s">
        <v>10</v>
      </c>
      <c r="B9" s="54"/>
      <c r="C9" s="54"/>
      <c r="D9" s="7">
        <v>760</v>
      </c>
      <c r="E9" s="60"/>
      <c r="F9" s="60"/>
      <c r="G9" s="60"/>
      <c r="H9" s="60"/>
      <c r="I9" s="7">
        <f t="shared" si="0"/>
        <v>760</v>
      </c>
    </row>
    <row r="10" spans="1:9" ht="17">
      <c r="A10" s="6" t="s">
        <v>11</v>
      </c>
      <c r="B10" s="54"/>
      <c r="C10" s="54"/>
      <c r="D10" s="7">
        <v>2132</v>
      </c>
      <c r="E10" s="60"/>
      <c r="F10" s="60"/>
      <c r="G10" s="60"/>
      <c r="H10" s="60"/>
      <c r="I10" s="7">
        <f t="shared" si="0"/>
        <v>2132</v>
      </c>
    </row>
    <row r="11" spans="1:9" ht="17">
      <c r="A11" s="6" t="s">
        <v>13</v>
      </c>
      <c r="B11" s="54"/>
      <c r="C11" s="54"/>
      <c r="D11" s="7">
        <v>2132</v>
      </c>
      <c r="E11" s="61"/>
      <c r="F11" s="60"/>
      <c r="G11" s="60"/>
      <c r="H11" s="60"/>
      <c r="I11" s="7">
        <f t="shared" si="0"/>
        <v>2132</v>
      </c>
    </row>
    <row r="12" spans="1:9" ht="17">
      <c r="A12" s="6" t="s">
        <v>14</v>
      </c>
      <c r="B12" s="54"/>
      <c r="C12" s="54"/>
      <c r="D12" s="7">
        <v>1630</v>
      </c>
      <c r="E12" s="7">
        <v>100</v>
      </c>
      <c r="F12" s="60"/>
      <c r="G12" s="60"/>
      <c r="H12" s="60"/>
      <c r="I12" s="7">
        <f t="shared" si="0"/>
        <v>1730</v>
      </c>
    </row>
    <row r="13" spans="1:9" ht="17">
      <c r="A13" s="6" t="s">
        <v>15</v>
      </c>
      <c r="B13" s="54"/>
      <c r="C13" s="54"/>
      <c r="D13" s="7">
        <v>3450</v>
      </c>
      <c r="E13" s="59"/>
      <c r="F13" s="60"/>
      <c r="G13" s="60"/>
      <c r="H13" s="60"/>
      <c r="I13" s="7">
        <f t="shared" si="0"/>
        <v>3450</v>
      </c>
    </row>
    <row r="14" spans="1:9" ht="17">
      <c r="A14" s="6" t="s">
        <v>16</v>
      </c>
      <c r="B14" s="55"/>
      <c r="C14" s="55"/>
      <c r="D14" s="7">
        <v>1930</v>
      </c>
      <c r="E14" s="60"/>
      <c r="F14" s="61"/>
      <c r="G14" s="61"/>
      <c r="H14" s="60"/>
      <c r="I14" s="7">
        <f t="shared" si="0"/>
        <v>1930</v>
      </c>
    </row>
    <row r="15" spans="1:9" ht="17">
      <c r="A15" s="6" t="s">
        <v>17</v>
      </c>
      <c r="B15" s="7">
        <v>1350</v>
      </c>
      <c r="C15" s="7">
        <v>400</v>
      </c>
      <c r="D15" s="58"/>
      <c r="E15" s="60"/>
      <c r="F15" s="7">
        <v>120</v>
      </c>
      <c r="G15" s="7">
        <v>60</v>
      </c>
      <c r="H15" s="60"/>
      <c r="I15" s="7">
        <f t="shared" si="0"/>
        <v>1930</v>
      </c>
    </row>
    <row r="16" spans="1:9" ht="17">
      <c r="A16" s="6" t="s">
        <v>18</v>
      </c>
      <c r="B16" s="7">
        <v>1250</v>
      </c>
      <c r="C16" s="7">
        <v>500</v>
      </c>
      <c r="D16" s="58"/>
      <c r="E16" s="61"/>
      <c r="F16" s="7"/>
      <c r="G16" s="7"/>
      <c r="H16" s="61"/>
      <c r="I16" s="7">
        <f t="shared" si="0"/>
        <v>1750</v>
      </c>
    </row>
    <row r="19" spans="1:8" ht="41" customHeight="1">
      <c r="A19" s="52" t="s">
        <v>19</v>
      </c>
      <c r="B19" s="52"/>
      <c r="C19" s="52"/>
      <c r="D19" s="52"/>
      <c r="E19" s="52"/>
      <c r="F19" s="52"/>
      <c r="G19" s="52"/>
      <c r="H19" s="52"/>
    </row>
  </sheetData>
  <mergeCells count="11">
    <mergeCell ref="A1:I1"/>
    <mergeCell ref="A19:H19"/>
    <mergeCell ref="B5:B14"/>
    <mergeCell ref="C5:C14"/>
    <mergeCell ref="D5:D7"/>
    <mergeCell ref="D15:D16"/>
    <mergeCell ref="E5:E11"/>
    <mergeCell ref="E13:E16"/>
    <mergeCell ref="F5:F14"/>
    <mergeCell ref="G5:G14"/>
    <mergeCell ref="H8:H16"/>
  </mergeCells>
  <pageMargins left="0.75" right="0.75" top="1" bottom="1" header="0.5" footer="0.5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zoomScale="85" zoomScaleNormal="85" workbookViewId="0">
      <pane xSplit="1" topLeftCell="B1" activePane="topRight" state="frozen"/>
      <selection pane="topRight" activeCell="E3" sqref="E3"/>
    </sheetView>
  </sheetViews>
  <sheetFormatPr baseColWidth="10" defaultColWidth="30.6640625" defaultRowHeight="15"/>
  <cols>
    <col min="1" max="1" width="45.83203125" customWidth="1"/>
    <col min="2" max="2" width="26.1640625" customWidth="1"/>
    <col min="3" max="3" width="42.6640625" customWidth="1"/>
    <col min="4" max="4" width="27.5" customWidth="1"/>
    <col min="5" max="5" width="26" customWidth="1"/>
    <col min="6" max="16379" width="30.6640625" customWidth="1"/>
  </cols>
  <sheetData>
    <row r="1" spans="1:6" s="18" customFormat="1" ht="34" customHeight="1">
      <c r="A1" s="51" t="s">
        <v>1</v>
      </c>
      <c r="B1" s="51"/>
      <c r="C1" s="51"/>
      <c r="D1" s="51"/>
      <c r="E1" s="51"/>
      <c r="F1" s="51"/>
    </row>
    <row r="2" spans="1:6" ht="26" customHeight="1">
      <c r="A2" s="1" t="s">
        <v>35</v>
      </c>
      <c r="B2" s="2" t="s">
        <v>20</v>
      </c>
      <c r="C2" s="2" t="s">
        <v>36</v>
      </c>
      <c r="D2" s="2" t="s">
        <v>48</v>
      </c>
      <c r="E2" s="2" t="s">
        <v>24</v>
      </c>
      <c r="F2" s="2" t="s">
        <v>26</v>
      </c>
    </row>
    <row r="3" spans="1:6" ht="31" customHeight="1">
      <c r="A3" s="1" t="s">
        <v>37</v>
      </c>
      <c r="B3" s="66" t="s">
        <v>69</v>
      </c>
      <c r="C3" s="66" t="s">
        <v>70</v>
      </c>
      <c r="D3" s="66" t="s">
        <v>71</v>
      </c>
      <c r="E3" s="68" t="s">
        <v>68</v>
      </c>
      <c r="F3" s="2"/>
    </row>
    <row r="4" spans="1:6" ht="163" customHeight="1">
      <c r="A4" s="3" t="s">
        <v>40</v>
      </c>
      <c r="B4" s="4" t="s">
        <v>49</v>
      </c>
      <c r="C4" s="4" t="s">
        <v>50</v>
      </c>
      <c r="D4" s="4" t="s">
        <v>51</v>
      </c>
      <c r="E4" s="20" t="s">
        <v>47</v>
      </c>
      <c r="F4" s="5"/>
    </row>
    <row r="5" spans="1:6" ht="17">
      <c r="A5" s="6" t="s">
        <v>6</v>
      </c>
      <c r="B5" s="59"/>
      <c r="C5" s="53"/>
      <c r="D5" s="59"/>
      <c r="E5" s="9">
        <v>80</v>
      </c>
      <c r="F5" s="7">
        <f>SUM(B5:E5)</f>
        <v>80</v>
      </c>
    </row>
    <row r="6" spans="1:6" ht="17">
      <c r="A6" s="6" t="s">
        <v>7</v>
      </c>
      <c r="B6" s="60"/>
      <c r="C6" s="54"/>
      <c r="D6" s="60"/>
      <c r="E6" s="9">
        <v>80</v>
      </c>
      <c r="F6" s="7">
        <f>SUM(B6:E6)</f>
        <v>80</v>
      </c>
    </row>
    <row r="7" spans="1:6" ht="17">
      <c r="A7" s="6" t="s">
        <v>8</v>
      </c>
      <c r="B7" s="61"/>
      <c r="C7" s="54"/>
      <c r="D7" s="60"/>
      <c r="E7" s="9">
        <v>80</v>
      </c>
      <c r="F7" s="7">
        <f>SUM(B7:E7)</f>
        <v>80</v>
      </c>
    </row>
    <row r="8" spans="1:6" ht="17">
      <c r="A8" s="6" t="s">
        <v>9</v>
      </c>
      <c r="B8" s="7">
        <v>200</v>
      </c>
      <c r="C8" s="54"/>
      <c r="D8" s="60"/>
      <c r="E8" s="59"/>
      <c r="F8" s="7">
        <f t="shared" ref="F8:F16" si="0">SUM(B8:D8)</f>
        <v>200</v>
      </c>
    </row>
    <row r="9" spans="1:6" ht="17">
      <c r="A9" s="6" t="s">
        <v>10</v>
      </c>
      <c r="B9" s="7">
        <v>120</v>
      </c>
      <c r="C9" s="54"/>
      <c r="D9" s="60"/>
      <c r="E9" s="60"/>
      <c r="F9" s="7">
        <f t="shared" si="0"/>
        <v>120</v>
      </c>
    </row>
    <row r="10" spans="1:6" ht="17">
      <c r="A10" s="6" t="s">
        <v>11</v>
      </c>
      <c r="B10" s="7">
        <v>680</v>
      </c>
      <c r="C10" s="54"/>
      <c r="D10" s="60"/>
      <c r="E10" s="60"/>
      <c r="F10" s="7">
        <f t="shared" si="0"/>
        <v>680</v>
      </c>
    </row>
    <row r="11" spans="1:6" ht="17">
      <c r="A11" s="6" t="s">
        <v>13</v>
      </c>
      <c r="B11" s="7">
        <v>680</v>
      </c>
      <c r="C11" s="54"/>
      <c r="D11" s="60"/>
      <c r="E11" s="60"/>
      <c r="F11" s="7">
        <f t="shared" si="0"/>
        <v>680</v>
      </c>
    </row>
    <row r="12" spans="1:6" ht="17">
      <c r="A12" s="6" t="s">
        <v>14</v>
      </c>
      <c r="B12" s="7">
        <v>200</v>
      </c>
      <c r="C12" s="54"/>
      <c r="D12" s="60"/>
      <c r="E12" s="60"/>
      <c r="F12" s="7">
        <f t="shared" si="0"/>
        <v>200</v>
      </c>
    </row>
    <row r="13" spans="1:6" ht="17">
      <c r="A13" s="6" t="s">
        <v>15</v>
      </c>
      <c r="B13" s="7">
        <v>400</v>
      </c>
      <c r="C13" s="54"/>
      <c r="D13" s="60"/>
      <c r="E13" s="60"/>
      <c r="F13" s="7">
        <f t="shared" si="0"/>
        <v>400</v>
      </c>
    </row>
    <row r="14" spans="1:6" ht="17">
      <c r="A14" s="6" t="s">
        <v>16</v>
      </c>
      <c r="B14" s="7">
        <v>300</v>
      </c>
      <c r="C14" s="55"/>
      <c r="D14" s="61"/>
      <c r="E14" s="60"/>
      <c r="F14" s="7">
        <f t="shared" si="0"/>
        <v>300</v>
      </c>
    </row>
    <row r="15" spans="1:6" ht="17">
      <c r="A15" s="6" t="s">
        <v>17</v>
      </c>
      <c r="B15" s="59"/>
      <c r="C15" s="7">
        <v>200</v>
      </c>
      <c r="D15" s="7">
        <v>200</v>
      </c>
      <c r="E15" s="60"/>
      <c r="F15" s="7">
        <f t="shared" si="0"/>
        <v>400</v>
      </c>
    </row>
    <row r="16" spans="1:6" ht="17">
      <c r="A16" s="6" t="s">
        <v>18</v>
      </c>
      <c r="B16" s="61"/>
      <c r="C16" s="7">
        <v>200</v>
      </c>
      <c r="D16" s="21"/>
      <c r="E16" s="61"/>
      <c r="F16" s="7">
        <f t="shared" si="0"/>
        <v>200</v>
      </c>
    </row>
    <row r="19" spans="1:8" ht="41" customHeight="1">
      <c r="A19" s="52" t="s">
        <v>19</v>
      </c>
      <c r="B19" s="52"/>
      <c r="C19" s="52"/>
      <c r="D19" s="52"/>
      <c r="E19" s="52"/>
      <c r="F19" s="52"/>
      <c r="G19" s="52"/>
      <c r="H19" s="17"/>
    </row>
  </sheetData>
  <mergeCells count="7">
    <mergeCell ref="A1:F1"/>
    <mergeCell ref="A19:G19"/>
    <mergeCell ref="B5:B7"/>
    <mergeCell ref="B15:B16"/>
    <mergeCell ref="C5:C14"/>
    <mergeCell ref="D5:D14"/>
    <mergeCell ref="E8:E16"/>
  </mergeCells>
  <pageMargins left="0.75" right="0.75" top="1" bottom="1" header="0.5" footer="0.5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zoomScale="85" zoomScaleNormal="85" workbookViewId="0">
      <pane xSplit="1" topLeftCell="B1" activePane="topRight" state="frozen"/>
      <selection pane="topRight" activeCell="A6" sqref="A6"/>
    </sheetView>
  </sheetViews>
  <sheetFormatPr baseColWidth="10" defaultColWidth="30.6640625" defaultRowHeight="15"/>
  <cols>
    <col min="1" max="1" width="43.6640625" customWidth="1"/>
    <col min="2" max="2" width="26.1640625" customWidth="1"/>
    <col min="3" max="16381" width="30.6640625" customWidth="1"/>
  </cols>
  <sheetData>
    <row r="1" spans="1:5" s="18" customFormat="1" ht="34" customHeight="1">
      <c r="A1" s="51" t="s">
        <v>2</v>
      </c>
      <c r="B1" s="51"/>
      <c r="C1" s="51"/>
      <c r="D1" s="51"/>
      <c r="E1" s="51"/>
    </row>
    <row r="2" spans="1:5" ht="26" customHeight="1">
      <c r="A2" s="1" t="s">
        <v>35</v>
      </c>
      <c r="B2" s="2" t="s">
        <v>21</v>
      </c>
      <c r="C2" s="2" t="s">
        <v>33</v>
      </c>
      <c r="D2" s="2" t="s">
        <v>24</v>
      </c>
      <c r="E2" s="2" t="s">
        <v>26</v>
      </c>
    </row>
    <row r="3" spans="1:5" ht="30" customHeight="1">
      <c r="A3" s="1" t="s">
        <v>37</v>
      </c>
      <c r="B3" s="69" t="s">
        <v>72</v>
      </c>
      <c r="C3" s="66" t="s">
        <v>52</v>
      </c>
      <c r="D3" s="70" t="s">
        <v>68</v>
      </c>
      <c r="E3" s="7"/>
    </row>
    <row r="4" spans="1:5" ht="163" customHeight="1">
      <c r="A4" s="3" t="s">
        <v>40</v>
      </c>
      <c r="B4" s="19" t="s">
        <v>43</v>
      </c>
      <c r="C4" s="4" t="s">
        <v>53</v>
      </c>
      <c r="D4" s="20" t="s">
        <v>47</v>
      </c>
      <c r="E4" s="5"/>
    </row>
    <row r="5" spans="1:5" ht="17">
      <c r="A5" s="6" t="s">
        <v>6</v>
      </c>
      <c r="B5" s="59"/>
      <c r="C5" s="59"/>
      <c r="D5" s="9">
        <v>50</v>
      </c>
      <c r="E5" s="7">
        <f>SUM(B5:D5)</f>
        <v>50</v>
      </c>
    </row>
    <row r="6" spans="1:5" ht="17">
      <c r="A6" s="6" t="s">
        <v>7</v>
      </c>
      <c r="B6" s="60"/>
      <c r="C6" s="60"/>
      <c r="D6" s="9">
        <v>50</v>
      </c>
      <c r="E6" s="7">
        <f>SUM(B6:D6)</f>
        <v>50</v>
      </c>
    </row>
    <row r="7" spans="1:5" ht="17">
      <c r="A7" s="6" t="s">
        <v>8</v>
      </c>
      <c r="B7" s="60"/>
      <c r="C7" s="60"/>
      <c r="D7" s="9">
        <v>50</v>
      </c>
      <c r="E7" s="7">
        <f>SUM(B7:D7)</f>
        <v>50</v>
      </c>
    </row>
    <row r="8" spans="1:5" ht="17">
      <c r="A8" s="6" t="s">
        <v>9</v>
      </c>
      <c r="B8" s="60"/>
      <c r="C8" s="60"/>
      <c r="D8" s="59"/>
      <c r="E8" s="7">
        <f t="shared" ref="E8:E16" si="0">SUM(B8:C8)</f>
        <v>0</v>
      </c>
    </row>
    <row r="9" spans="1:5" ht="17">
      <c r="A9" s="6" t="s">
        <v>10</v>
      </c>
      <c r="B9" s="60"/>
      <c r="C9" s="60"/>
      <c r="D9" s="60"/>
      <c r="E9" s="7">
        <f t="shared" si="0"/>
        <v>0</v>
      </c>
    </row>
    <row r="10" spans="1:5" ht="17">
      <c r="A10" s="6" t="s">
        <v>11</v>
      </c>
      <c r="B10" s="60"/>
      <c r="C10" s="60"/>
      <c r="D10" s="60"/>
      <c r="E10" s="7">
        <f t="shared" si="0"/>
        <v>0</v>
      </c>
    </row>
    <row r="11" spans="1:5" ht="17">
      <c r="A11" s="6" t="s">
        <v>13</v>
      </c>
      <c r="B11" s="61"/>
      <c r="C11" s="60"/>
      <c r="D11" s="60"/>
      <c r="E11" s="7">
        <f t="shared" si="0"/>
        <v>0</v>
      </c>
    </row>
    <row r="12" spans="1:5" ht="17">
      <c r="A12" s="6" t="s">
        <v>14</v>
      </c>
      <c r="B12" s="7">
        <v>200</v>
      </c>
      <c r="C12" s="60"/>
      <c r="D12" s="60"/>
      <c r="E12" s="7">
        <f t="shared" si="0"/>
        <v>200</v>
      </c>
    </row>
    <row r="13" spans="1:5" ht="17">
      <c r="A13" s="6" t="s">
        <v>15</v>
      </c>
      <c r="B13" s="7">
        <v>300</v>
      </c>
      <c r="C13" s="60"/>
      <c r="D13" s="60"/>
      <c r="E13" s="7">
        <f t="shared" si="0"/>
        <v>300</v>
      </c>
    </row>
    <row r="14" spans="1:5" ht="17">
      <c r="A14" s="6" t="s">
        <v>16</v>
      </c>
      <c r="B14" s="7">
        <v>300</v>
      </c>
      <c r="C14" s="61"/>
      <c r="D14" s="60"/>
      <c r="E14" s="7">
        <f t="shared" si="0"/>
        <v>300</v>
      </c>
    </row>
    <row r="15" spans="1:5" ht="17">
      <c r="A15" s="6" t="s">
        <v>17</v>
      </c>
      <c r="B15" s="59"/>
      <c r="C15" s="7">
        <v>300</v>
      </c>
      <c r="D15" s="60"/>
      <c r="E15" s="7">
        <f t="shared" si="0"/>
        <v>300</v>
      </c>
    </row>
    <row r="16" spans="1:5" ht="17">
      <c r="A16" s="6" t="s">
        <v>18</v>
      </c>
      <c r="B16" s="61"/>
      <c r="C16" s="7">
        <v>100</v>
      </c>
      <c r="D16" s="61"/>
      <c r="E16" s="7">
        <f t="shared" si="0"/>
        <v>100</v>
      </c>
    </row>
    <row r="19" spans="1:8" ht="41" customHeight="1">
      <c r="A19" s="52" t="s">
        <v>19</v>
      </c>
      <c r="B19" s="52"/>
      <c r="C19" s="52"/>
      <c r="D19" s="52"/>
      <c r="E19" s="52"/>
      <c r="F19" s="52"/>
      <c r="G19" s="52"/>
      <c r="H19" s="17"/>
    </row>
  </sheetData>
  <mergeCells count="6">
    <mergeCell ref="A1:E1"/>
    <mergeCell ref="A19:G19"/>
    <mergeCell ref="B5:B11"/>
    <mergeCell ref="B15:B16"/>
    <mergeCell ref="C5:C14"/>
    <mergeCell ref="D8:D16"/>
  </mergeCells>
  <pageMargins left="0.75" right="0.75" top="1" bottom="1" header="0.5" footer="0.5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zoomScale="85" zoomScaleNormal="85" workbookViewId="0">
      <selection activeCell="B8" sqref="B8:B9"/>
    </sheetView>
  </sheetViews>
  <sheetFormatPr baseColWidth="10" defaultColWidth="30.6640625" defaultRowHeight="15"/>
  <cols>
    <col min="1" max="1" width="45.83203125" customWidth="1"/>
    <col min="2" max="2" width="26.1640625" customWidth="1"/>
    <col min="3" max="3" width="28.1640625" customWidth="1"/>
    <col min="4" max="4" width="27.5" customWidth="1"/>
    <col min="5" max="5" width="26" customWidth="1"/>
    <col min="6" max="16379" width="30.6640625" customWidth="1"/>
  </cols>
  <sheetData>
    <row r="1" spans="1:7" ht="31" customHeight="1">
      <c r="A1" s="1" t="s">
        <v>54</v>
      </c>
      <c r="B1" s="2" t="s">
        <v>55</v>
      </c>
      <c r="C1" s="2" t="s">
        <v>56</v>
      </c>
      <c r="D1" s="2" t="s">
        <v>57</v>
      </c>
      <c r="E1" s="1" t="s">
        <v>58</v>
      </c>
      <c r="F1" s="2" t="s">
        <v>26</v>
      </c>
    </row>
    <row r="2" spans="1:7" ht="163" customHeight="1">
      <c r="A2" s="3" t="s">
        <v>40</v>
      </c>
      <c r="B2" s="4" t="s">
        <v>59</v>
      </c>
      <c r="C2" s="4" t="s">
        <v>60</v>
      </c>
      <c r="D2" s="4" t="s">
        <v>61</v>
      </c>
      <c r="E2" s="4" t="s">
        <v>62</v>
      </c>
      <c r="F2" s="5"/>
    </row>
    <row r="3" spans="1:7" ht="17">
      <c r="A3" s="6" t="s">
        <v>6</v>
      </c>
      <c r="B3" s="7">
        <v>8</v>
      </c>
      <c r="C3" s="7">
        <v>12</v>
      </c>
      <c r="D3" s="8">
        <v>3</v>
      </c>
      <c r="E3" s="9">
        <v>5</v>
      </c>
      <c r="F3" s="7">
        <f t="shared" ref="F3:F5" si="0">SUM(B3:E3)</f>
        <v>28</v>
      </c>
    </row>
    <row r="4" spans="1:7" ht="17">
      <c r="A4" s="6" t="s">
        <v>7</v>
      </c>
      <c r="B4" s="7">
        <v>8</v>
      </c>
      <c r="C4" s="7">
        <v>12</v>
      </c>
      <c r="D4" s="8">
        <v>3</v>
      </c>
      <c r="E4" s="9">
        <v>5</v>
      </c>
      <c r="F4" s="7">
        <f t="shared" si="0"/>
        <v>28</v>
      </c>
    </row>
    <row r="5" spans="1:7" ht="17">
      <c r="A5" s="6" t="s">
        <v>8</v>
      </c>
      <c r="B5" s="7">
        <v>8</v>
      </c>
      <c r="C5" s="7">
        <v>12</v>
      </c>
      <c r="D5" s="8">
        <v>3</v>
      </c>
      <c r="E5" s="9">
        <v>5</v>
      </c>
      <c r="F5" s="7">
        <f t="shared" si="0"/>
        <v>28</v>
      </c>
    </row>
    <row r="6" spans="1:7" ht="17">
      <c r="A6" s="6" t="s">
        <v>9</v>
      </c>
      <c r="B6" s="59"/>
      <c r="C6" s="54"/>
      <c r="D6" s="62"/>
      <c r="E6" s="62"/>
      <c r="F6" s="63"/>
    </row>
    <row r="7" spans="1:7" ht="17">
      <c r="A7" s="6" t="s">
        <v>10</v>
      </c>
      <c r="B7" s="61"/>
      <c r="C7" s="54"/>
      <c r="D7" s="62"/>
      <c r="E7" s="62"/>
      <c r="F7" s="64"/>
    </row>
    <row r="8" spans="1:7" ht="18">
      <c r="A8" s="6" t="s">
        <v>11</v>
      </c>
      <c r="B8" s="10">
        <v>8</v>
      </c>
      <c r="C8" s="10">
        <v>12</v>
      </c>
      <c r="D8" s="11">
        <v>3</v>
      </c>
      <c r="E8" s="12">
        <v>5</v>
      </c>
      <c r="F8" s="10">
        <f>SUM(B8:E8)</f>
        <v>28</v>
      </c>
      <c r="G8" s="13" t="s">
        <v>12</v>
      </c>
    </row>
    <row r="9" spans="1:7" ht="19">
      <c r="A9" s="6" t="s">
        <v>13</v>
      </c>
      <c r="B9" s="10">
        <v>8</v>
      </c>
      <c r="C9" s="10">
        <v>12</v>
      </c>
      <c r="D9" s="11">
        <v>3</v>
      </c>
      <c r="E9" s="10">
        <v>5</v>
      </c>
      <c r="F9" s="10">
        <f>SUM(B9:E9)</f>
        <v>28</v>
      </c>
      <c r="G9" s="14" t="s">
        <v>63</v>
      </c>
    </row>
    <row r="10" spans="1:7" ht="17">
      <c r="A10" s="6" t="s">
        <v>14</v>
      </c>
      <c r="B10" s="62"/>
      <c r="C10" s="54"/>
      <c r="D10" s="62"/>
      <c r="E10" s="60"/>
      <c r="F10" s="63"/>
    </row>
    <row r="11" spans="1:7" ht="17">
      <c r="A11" s="6" t="s">
        <v>15</v>
      </c>
      <c r="B11" s="62"/>
      <c r="C11" s="54"/>
      <c r="D11" s="62"/>
      <c r="E11" s="60"/>
      <c r="F11" s="65"/>
    </row>
    <row r="12" spans="1:7" ht="17">
      <c r="A12" s="6" t="s">
        <v>16</v>
      </c>
      <c r="B12" s="62"/>
      <c r="C12" s="54"/>
      <c r="D12" s="62"/>
      <c r="E12" s="60"/>
      <c r="F12" s="65"/>
    </row>
    <row r="13" spans="1:7" ht="17">
      <c r="A13" s="6" t="s">
        <v>17</v>
      </c>
      <c r="B13" s="62"/>
      <c r="C13" s="54"/>
      <c r="D13" s="62"/>
      <c r="E13" s="60"/>
      <c r="F13" s="65"/>
    </row>
    <row r="14" spans="1:7" ht="17">
      <c r="A14" s="6" t="s">
        <v>18</v>
      </c>
      <c r="B14" s="62"/>
      <c r="C14" s="55"/>
      <c r="D14" s="62"/>
      <c r="E14" s="61"/>
      <c r="F14" s="64"/>
    </row>
    <row r="15" spans="1:7" ht="17">
      <c r="B15" s="15"/>
      <c r="D15" s="16"/>
    </row>
    <row r="17" spans="1:8" ht="41" customHeight="1">
      <c r="A17" s="52" t="s">
        <v>19</v>
      </c>
      <c r="B17" s="52"/>
      <c r="C17" s="52"/>
      <c r="D17" s="52"/>
      <c r="E17" s="52"/>
      <c r="F17" s="52"/>
      <c r="G17" s="52"/>
      <c r="H17" s="17"/>
    </row>
  </sheetData>
  <mergeCells count="11">
    <mergeCell ref="A17:G17"/>
    <mergeCell ref="B6:B7"/>
    <mergeCell ref="B10:B14"/>
    <mergeCell ref="C6:C7"/>
    <mergeCell ref="C10:C14"/>
    <mergeCell ref="D6:D7"/>
    <mergeCell ref="D10:D14"/>
    <mergeCell ref="E6:E7"/>
    <mergeCell ref="E10:E14"/>
    <mergeCell ref="F6:F7"/>
    <mergeCell ref="F10:F1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 (with 4 sheets) </vt:lpstr>
      <vt:lpstr>PO-55UKWK1,PO-55UKWK2</vt:lpstr>
      <vt:lpstr>PO-55USWK1,PO-55USWK2</vt:lpstr>
      <vt:lpstr>PO-55EUWK1,PO-55EUWK2</vt:lpstr>
      <vt:lpstr>Remaining PO 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Ben Muller</cp:lastModifiedBy>
  <dcterms:created xsi:type="dcterms:W3CDTF">2026-07-10T03:08:00Z</dcterms:created>
  <dcterms:modified xsi:type="dcterms:W3CDTF">2026-07-17T09:24:48Z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008C29812AC647208E56738F473C2234_11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